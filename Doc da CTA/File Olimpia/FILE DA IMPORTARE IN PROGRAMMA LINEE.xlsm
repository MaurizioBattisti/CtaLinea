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Questa_cartella_di_lavoro" defaultThemeVersion="124226"/>
  <mc:AlternateContent xmlns:mc="http://schemas.openxmlformats.org/markup-compatibility/2006">
    <mc:Choice Requires="x15">
      <x15ac:absPath xmlns:x15ac="http://schemas.microsoft.com/office/spreadsheetml/2010/11/ac" url="\\X3500M5\scuola\Linea\APPALTO 2022_2025\MAURIZIO\"/>
    </mc:Choice>
  </mc:AlternateContent>
  <xr:revisionPtr revIDLastSave="0" documentId="13_ncr:1_{53222D4F-6077-4A69-AE1D-3BB4A7ED9AF3}" xr6:coauthVersionLast="47" xr6:coauthVersionMax="47" xr10:uidLastSave="{00000000-0000-0000-0000-000000000000}"/>
  <bookViews>
    <workbookView xWindow="-120" yWindow="-120" windowWidth="29040" windowHeight="15840" xr2:uid="{00000000-000D-0000-FFFF-FFFF00000000}"/>
  </bookViews>
  <sheets>
    <sheet name="Extraurbano " sheetId="86" r:id="rId1"/>
    <sheet name="extra da inserire a mano" sheetId="100" r:id="rId2"/>
    <sheet name="prolungamenti extra cap finiti" sheetId="98" r:id="rId3"/>
    <sheet name="cap negativi" sheetId="99" r:id="rId4"/>
  </sheets>
  <externalReferences>
    <externalReference r:id="rId5"/>
    <externalReference r:id="rId6"/>
  </externalReferences>
  <definedNames>
    <definedName name="_xlnm._FilterDatabase" localSheetId="0" hidden="1">'Extraurbano '!$A$1:$VRS$1010</definedName>
    <definedName name="ago">#REF!</definedName>
    <definedName name="anno">#REF!</definedName>
    <definedName name="anno2002">#REF!</definedName>
    <definedName name="apr">#REF!</definedName>
    <definedName name="aprile2002">#REF!</definedName>
    <definedName name="_xlnm.Print_Area" localSheetId="0">'Extraurbano '!$C$1:$L$943</definedName>
    <definedName name="autov">[1]tabelle!#REF!</definedName>
    <definedName name="COVID3">#REF!</definedName>
    <definedName name="daily">[1]tabelle!#REF!</definedName>
    <definedName name="dic">#REF!</definedName>
    <definedName name="durc">#REF!</definedName>
    <definedName name="esfes">#REF!</definedName>
    <definedName name="est">#REF!</definedName>
    <definedName name="estlv">#REF!</definedName>
    <definedName name="feb">#REF!</definedName>
    <definedName name="febbraio02">#REF!</definedName>
    <definedName name="fer">#REF!</definedName>
    <definedName name="ferlv">#REF!</definedName>
    <definedName name="fers">#REF!</definedName>
    <definedName name="fessc">#REF!</definedName>
    <definedName name="fest">#REF!</definedName>
    <definedName name="fsd">[2]tabelle!$E$6</definedName>
    <definedName name="gen">#REF!</definedName>
    <definedName name="gennaio02">#REF!</definedName>
    <definedName name="giest">#REF!</definedName>
    <definedName name="gifer">#REF!</definedName>
    <definedName name="giinv">#REF!</definedName>
    <definedName name="gins">#REF!</definedName>
    <definedName name="gio">#REF!</definedName>
    <definedName name="giorn">#REF!</definedName>
    <definedName name="giscol">#REF!</definedName>
    <definedName name="giu">#REF!</definedName>
    <definedName name="grande">[1]tabelle!#REF!</definedName>
    <definedName name="inv">#REF!</definedName>
    <definedName name="invlv">#REF!</definedName>
    <definedName name="istat">#REF!</definedName>
    <definedName name="Istat_18">#REF!</definedName>
    <definedName name="istat1">[1]tabelle!#REF!</definedName>
    <definedName name="istat11">#REF!</definedName>
    <definedName name="iva">#REF!</definedName>
    <definedName name="luest">#REF!</definedName>
    <definedName name="lufer">#REF!</definedName>
    <definedName name="lug">#REF!</definedName>
    <definedName name="luinv">#REF!</definedName>
    <definedName name="lun">#REF!</definedName>
    <definedName name="luns">#REF!</definedName>
    <definedName name="luscol">#REF!</definedName>
    <definedName name="maest">#REF!</definedName>
    <definedName name="mafer">#REF!</definedName>
    <definedName name="mag">#REF!</definedName>
    <definedName name="maggio2002">#REF!</definedName>
    <definedName name="mainv">#REF!</definedName>
    <definedName name="mans">#REF!</definedName>
    <definedName name="mar">#REF!</definedName>
    <definedName name="marzo">#REF!</definedName>
    <definedName name="mascol">#REF!</definedName>
    <definedName name="medio">[1]tabelle!#REF!</definedName>
    <definedName name="meest">#REF!</definedName>
    <definedName name="mefer">#REF!</definedName>
    <definedName name="meinv">#REF!</definedName>
    <definedName name="mens">#REF!</definedName>
    <definedName name="mer">#REF!</definedName>
    <definedName name="mescol">#REF!</definedName>
    <definedName name="nov">#REF!</definedName>
    <definedName name="novembre01">#REF!</definedName>
    <definedName name="nscol">#REF!</definedName>
    <definedName name="nscollv">#REF!</definedName>
    <definedName name="oggi">#REF!</definedName>
    <definedName name="opdis">#REF!</definedName>
    <definedName name="oppar">#REF!</definedName>
    <definedName name="opw">#REF!</definedName>
    <definedName name="ott">#REF!</definedName>
    <definedName name="ottobre01">#REF!</definedName>
    <definedName name="pari">#REF!</definedName>
    <definedName name="postfest">#REF!</definedName>
    <definedName name="prefes">#REF!</definedName>
    <definedName name="sab">#REF!</definedName>
    <definedName name="sadgad">[2]giorni!$H$1:$H$65536</definedName>
    <definedName name="saest">#REF!</definedName>
    <definedName name="sainv">#REF!</definedName>
    <definedName name="sans">#REF!</definedName>
    <definedName name="scol">#REF!</definedName>
    <definedName name="scollv">#REF!</definedName>
    <definedName name="scols">#REF!</definedName>
    <definedName name="servizi">#REF!</definedName>
    <definedName name="set">#REF!</definedName>
    <definedName name="_xlnm.Print_Titles" localSheetId="0">'Extraurbano '!$1:$1</definedName>
    <definedName name="ToCopy">'Extraurbano '!$A$1:$S$981</definedName>
    <definedName name="totale">#REF!</definedName>
    <definedName name="veest">#REF!</definedName>
    <definedName name="vefer">#REF!</definedName>
    <definedName name="veinv">#REF!</definedName>
    <definedName name="ven">#REF!</definedName>
    <definedName name="vens">#REF!</definedName>
    <definedName name="vesco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0" i="100" l="1"/>
  <c r="L10" i="100" s="1"/>
  <c r="L9" i="100"/>
  <c r="K8" i="100"/>
  <c r="L8" i="100" s="1"/>
  <c r="I7" i="100"/>
  <c r="L7" i="100" s="1"/>
  <c r="L6" i="100"/>
  <c r="I5" i="100"/>
  <c r="L5" i="100" s="1"/>
  <c r="K4" i="100"/>
  <c r="L4" i="100" s="1"/>
  <c r="K3" i="100"/>
  <c r="L3" i="100" s="1"/>
  <c r="L2" i="100"/>
  <c r="L49" i="98"/>
  <c r="K30" i="99"/>
  <c r="L30" i="99" s="1"/>
  <c r="K29" i="99"/>
  <c r="L29" i="99" s="1"/>
  <c r="K28" i="99"/>
  <c r="L28" i="99" s="1"/>
  <c r="K27" i="99"/>
  <c r="L27" i="99" s="1"/>
  <c r="K26" i="99"/>
  <c r="L26" i="99" s="1"/>
  <c r="K25" i="99"/>
  <c r="L25" i="99" s="1"/>
  <c r="K24" i="99"/>
  <c r="L24" i="99" s="1"/>
  <c r="K23" i="99"/>
  <c r="L23" i="99" s="1"/>
  <c r="K22" i="99"/>
  <c r="L22" i="99" s="1"/>
  <c r="K21" i="99"/>
  <c r="L21" i="99" s="1"/>
  <c r="I21" i="99"/>
  <c r="K20" i="99"/>
  <c r="L20" i="99" s="1"/>
  <c r="I20" i="99"/>
  <c r="K19" i="99"/>
  <c r="L19" i="99" s="1"/>
  <c r="I19" i="99"/>
  <c r="L18" i="99"/>
  <c r="L17" i="99"/>
  <c r="K16" i="99"/>
  <c r="L16" i="99" s="1"/>
  <c r="L15" i="99"/>
  <c r="K15" i="99"/>
  <c r="K14" i="99"/>
  <c r="L14" i="99" s="1"/>
  <c r="L13" i="99"/>
  <c r="K13" i="99"/>
  <c r="K12" i="99"/>
  <c r="L12" i="99" s="1"/>
  <c r="L11" i="99"/>
  <c r="K11" i="99"/>
  <c r="K10" i="99"/>
  <c r="L10" i="99" s="1"/>
  <c r="L9" i="99"/>
  <c r="K9" i="99"/>
  <c r="K8" i="99"/>
  <c r="L8" i="99" s="1"/>
  <c r="L7" i="99"/>
  <c r="K6" i="99"/>
  <c r="L6" i="99" s="1"/>
  <c r="K5" i="99"/>
  <c r="L5" i="99" s="1"/>
  <c r="K4" i="99"/>
  <c r="L4" i="99" s="1"/>
  <c r="L3" i="99"/>
  <c r="L2" i="99"/>
  <c r="K2" i="99"/>
  <c r="L48" i="98"/>
  <c r="L47" i="98"/>
  <c r="L46" i="98"/>
  <c r="L45" i="98"/>
  <c r="L44" i="98"/>
  <c r="L43" i="98"/>
  <c r="K42" i="98"/>
  <c r="L42" i="98" s="1"/>
  <c r="K41" i="98"/>
  <c r="L41" i="98" s="1"/>
  <c r="K40" i="98"/>
  <c r="L40" i="98" s="1"/>
  <c r="K39" i="98"/>
  <c r="L39" i="98" s="1"/>
  <c r="K38" i="98"/>
  <c r="L38" i="98" s="1"/>
  <c r="L37" i="98"/>
  <c r="L36" i="98"/>
  <c r="K35" i="98"/>
  <c r="L35" i="98" s="1"/>
  <c r="L34" i="98"/>
  <c r="K34" i="98"/>
  <c r="K33" i="98"/>
  <c r="L33" i="98" s="1"/>
  <c r="K32" i="98"/>
  <c r="L32" i="98" s="1"/>
  <c r="K31" i="98"/>
  <c r="L31" i="98" s="1"/>
  <c r="K30" i="98"/>
  <c r="L30" i="98" s="1"/>
  <c r="K29" i="98"/>
  <c r="L29" i="98" s="1"/>
  <c r="L28" i="98"/>
  <c r="L27" i="98"/>
  <c r="L26" i="98"/>
  <c r="L25" i="98"/>
  <c r="L24" i="98"/>
  <c r="L23" i="98"/>
  <c r="L22" i="98"/>
  <c r="L21" i="98"/>
  <c r="L20" i="98"/>
  <c r="L19" i="98"/>
  <c r="L18" i="98"/>
  <c r="L17" i="98"/>
  <c r="L16" i="98"/>
  <c r="K15" i="98"/>
  <c r="L15" i="98" s="1"/>
  <c r="K14" i="98"/>
  <c r="L14" i="98" s="1"/>
  <c r="K13" i="98"/>
  <c r="L13" i="98" s="1"/>
  <c r="K12" i="98"/>
  <c r="L12" i="98" s="1"/>
  <c r="K11" i="98"/>
  <c r="L11" i="98" s="1"/>
  <c r="K10" i="98"/>
  <c r="L10" i="98" s="1"/>
  <c r="K9" i="98"/>
  <c r="L9" i="98" s="1"/>
  <c r="K8" i="98"/>
  <c r="L8" i="98" s="1"/>
  <c r="K7" i="98"/>
  <c r="L7" i="98" s="1"/>
  <c r="L6" i="98"/>
  <c r="L5" i="98"/>
  <c r="L4" i="98"/>
  <c r="L3" i="98"/>
  <c r="L2" i="98"/>
  <c r="K976" i="86" l="1"/>
  <c r="L976" i="86" s="1"/>
  <c r="L407" i="86"/>
  <c r="L978" i="86"/>
  <c r="L979" i="86"/>
  <c r="L980" i="86"/>
  <c r="L981" i="86"/>
  <c r="L977" i="86"/>
  <c r="L949" i="86" l="1"/>
  <c r="L948" i="86"/>
  <c r="L947" i="86"/>
  <c r="L946" i="86"/>
  <c r="L945" i="86"/>
  <c r="L944" i="86"/>
  <c r="L973" i="86" l="1"/>
  <c r="L974" i="86"/>
  <c r="L975" i="86"/>
  <c r="L972" i="86"/>
  <c r="L971" i="86"/>
  <c r="L968" i="86" l="1"/>
  <c r="L969" i="86"/>
  <c r="L970" i="86"/>
  <c r="L967" i="86"/>
  <c r="L965" i="86" l="1"/>
  <c r="L115" i="86"/>
  <c r="L966" i="86"/>
  <c r="L958" i="86" l="1"/>
  <c r="L962" i="86"/>
  <c r="L963" i="86"/>
  <c r="K961" i="86"/>
  <c r="L961" i="86" s="1"/>
  <c r="L964" i="86"/>
  <c r="L960" i="86" l="1"/>
  <c r="L959" i="86"/>
  <c r="L957" i="86" l="1"/>
  <c r="L954" i="86"/>
  <c r="L953" i="86"/>
  <c r="L952" i="86"/>
  <c r="L951" i="86"/>
  <c r="L950" i="86"/>
  <c r="K956" i="86"/>
  <c r="L956" i="86" s="1"/>
  <c r="K955" i="86"/>
  <c r="L955" i="86" s="1"/>
  <c r="I943" i="86"/>
  <c r="L942" i="86"/>
  <c r="L941" i="86"/>
  <c r="K940" i="86"/>
  <c r="L939" i="86"/>
  <c r="L938" i="86"/>
  <c r="L937" i="86"/>
  <c r="K936" i="86"/>
  <c r="L936" i="86" s="1"/>
  <c r="L935" i="86"/>
  <c r="L934" i="86"/>
  <c r="L933" i="86"/>
  <c r="L932" i="86"/>
  <c r="L931" i="86"/>
  <c r="L930" i="86"/>
  <c r="L929" i="86"/>
  <c r="L928" i="86"/>
  <c r="I927" i="86"/>
  <c r="K926" i="86"/>
  <c r="L925" i="86"/>
  <c r="L924" i="86"/>
  <c r="L923" i="86"/>
  <c r="L922" i="86"/>
  <c r="L921" i="86"/>
  <c r="L920" i="86"/>
  <c r="L919" i="86"/>
  <c r="L918" i="86"/>
  <c r="L917" i="86"/>
  <c r="L916" i="86"/>
  <c r="L915" i="86"/>
  <c r="K914" i="86"/>
  <c r="L914" i="86" s="1"/>
  <c r="L913" i="86"/>
  <c r="L912" i="86"/>
  <c r="L911" i="86"/>
  <c r="L910" i="86"/>
  <c r="L909" i="86"/>
  <c r="L908" i="86"/>
  <c r="L907" i="86"/>
  <c r="L906" i="86"/>
  <c r="L905" i="86"/>
  <c r="L904" i="86"/>
  <c r="L903" i="86"/>
  <c r="L902" i="86"/>
  <c r="L901" i="86"/>
  <c r="L900" i="86"/>
  <c r="L899" i="86"/>
  <c r="L898" i="86"/>
  <c r="L897" i="86"/>
  <c r="L896" i="86"/>
  <c r="L895" i="86"/>
  <c r="L894" i="86"/>
  <c r="L893" i="86"/>
  <c r="L892" i="86"/>
  <c r="L891" i="86"/>
  <c r="L890" i="86"/>
  <c r="L889" i="86"/>
  <c r="K888" i="86"/>
  <c r="L888" i="86" s="1"/>
  <c r="L887" i="86"/>
  <c r="L886" i="86"/>
  <c r="L885" i="86"/>
  <c r="L884" i="86"/>
  <c r="L883" i="86"/>
  <c r="L882" i="86"/>
  <c r="L881" i="86"/>
  <c r="L880" i="86"/>
  <c r="L879" i="86"/>
  <c r="L878" i="86"/>
  <c r="L877" i="86"/>
  <c r="L876" i="86"/>
  <c r="L875" i="86"/>
  <c r="L874" i="86"/>
  <c r="L873" i="86"/>
  <c r="L872" i="86"/>
  <c r="L871" i="86"/>
  <c r="L870" i="86"/>
  <c r="L869" i="86"/>
  <c r="L868" i="86"/>
  <c r="L867" i="86"/>
  <c r="L866" i="86"/>
  <c r="L865" i="86"/>
  <c r="L864" i="86"/>
  <c r="L863" i="86"/>
  <c r="L862" i="86"/>
  <c r="L861" i="86"/>
  <c r="L860" i="86"/>
  <c r="L859" i="86"/>
  <c r="L858" i="86"/>
  <c r="L857" i="86"/>
  <c r="L856" i="86"/>
  <c r="L855" i="86"/>
  <c r="K854" i="86"/>
  <c r="L853" i="86"/>
  <c r="L852" i="86"/>
  <c r="L851" i="86"/>
  <c r="L850" i="86"/>
  <c r="L849" i="86"/>
  <c r="L848" i="86"/>
  <c r="L847" i="86"/>
  <c r="L846" i="86"/>
  <c r="L845" i="86"/>
  <c r="L844" i="86"/>
  <c r="L843" i="86"/>
  <c r="L842" i="86"/>
  <c r="L841" i="86"/>
  <c r="L840" i="86"/>
  <c r="L839" i="86"/>
  <c r="L838" i="86"/>
  <c r="L837" i="86"/>
  <c r="L836" i="86"/>
  <c r="L835" i="86"/>
  <c r="L834" i="86"/>
  <c r="L833" i="86"/>
  <c r="K832" i="86"/>
  <c r="L831" i="86"/>
  <c r="L830" i="86"/>
  <c r="L829" i="86"/>
  <c r="L828" i="86"/>
  <c r="L827" i="86"/>
  <c r="L826" i="86"/>
  <c r="L825" i="86"/>
  <c r="I824" i="86"/>
  <c r="L823" i="86"/>
  <c r="L822" i="86"/>
  <c r="L821" i="86"/>
  <c r="L820" i="86"/>
  <c r="L819" i="86"/>
  <c r="L818" i="86"/>
  <c r="K817" i="86"/>
  <c r="L817" i="86" s="1"/>
  <c r="L816" i="86"/>
  <c r="K815" i="86"/>
  <c r="L814" i="86"/>
  <c r="L813" i="86"/>
  <c r="L812" i="86"/>
  <c r="L811" i="86"/>
  <c r="L810" i="86"/>
  <c r="L809" i="86"/>
  <c r="L808" i="86"/>
  <c r="L807" i="86"/>
  <c r="L806" i="86"/>
  <c r="L805" i="86"/>
  <c r="L804" i="86"/>
  <c r="L803" i="86"/>
  <c r="L802" i="86"/>
  <c r="L801" i="86"/>
  <c r="L800" i="86"/>
  <c r="L799" i="86"/>
  <c r="L798" i="86"/>
  <c r="L797" i="86"/>
  <c r="L796" i="86"/>
  <c r="L795" i="86"/>
  <c r="L794" i="86"/>
  <c r="L793" i="86"/>
  <c r="L792" i="86"/>
  <c r="L791" i="86"/>
  <c r="L790" i="86"/>
  <c r="L789" i="86"/>
  <c r="L788" i="86"/>
  <c r="L787" i="86"/>
  <c r="L786" i="86"/>
  <c r="L785" i="86"/>
  <c r="L784" i="86"/>
  <c r="L783" i="86"/>
  <c r="L782" i="86"/>
  <c r="L781" i="86"/>
  <c r="K780" i="86"/>
  <c r="L779" i="86"/>
  <c r="L778" i="86"/>
  <c r="L777" i="86"/>
  <c r="L776" i="86"/>
  <c r="I775" i="86"/>
  <c r="L774" i="86"/>
  <c r="L773" i="86"/>
  <c r="L772" i="86"/>
  <c r="L771" i="86"/>
  <c r="L770" i="86"/>
  <c r="L769" i="86"/>
  <c r="L768" i="86"/>
  <c r="L767" i="86"/>
  <c r="L766" i="86"/>
  <c r="L765" i="86"/>
  <c r="L764" i="86"/>
  <c r="L763" i="86"/>
  <c r="L762" i="86"/>
  <c r="L761" i="86"/>
  <c r="L760" i="86"/>
  <c r="L759" i="86"/>
  <c r="K758" i="86"/>
  <c r="L758" i="86" s="1"/>
  <c r="I757" i="86"/>
  <c r="L756" i="86"/>
  <c r="L755" i="86"/>
  <c r="K754" i="86"/>
  <c r="L753" i="86"/>
  <c r="L752" i="86"/>
  <c r="L751" i="86"/>
  <c r="L750" i="86"/>
  <c r="L749" i="86"/>
  <c r="L748" i="86"/>
  <c r="L747" i="86"/>
  <c r="K746" i="86"/>
  <c r="L746" i="86" s="1"/>
  <c r="K745" i="86"/>
  <c r="K744" i="86"/>
  <c r="L744" i="86" s="1"/>
  <c r="K743" i="86"/>
  <c r="L742" i="86"/>
  <c r="L741" i="86"/>
  <c r="L740" i="86"/>
  <c r="L739" i="86"/>
  <c r="L738" i="86"/>
  <c r="L737" i="86"/>
  <c r="I736" i="86"/>
  <c r="L735" i="86"/>
  <c r="L734" i="86"/>
  <c r="L733" i="86"/>
  <c r="L732" i="86"/>
  <c r="L731" i="86"/>
  <c r="L730" i="86"/>
  <c r="L729" i="86"/>
  <c r="I728" i="86"/>
  <c r="L727" i="86"/>
  <c r="L726" i="86"/>
  <c r="L725" i="86"/>
  <c r="I724" i="86"/>
  <c r="I723" i="86"/>
  <c r="L722" i="86"/>
  <c r="L721" i="86"/>
  <c r="L720" i="86"/>
  <c r="L719" i="86"/>
  <c r="L718" i="86"/>
  <c r="L717" i="86"/>
  <c r="L716" i="86"/>
  <c r="L715" i="86"/>
  <c r="L714" i="86"/>
  <c r="L713" i="86"/>
  <c r="L712" i="86"/>
  <c r="L711" i="86"/>
  <c r="L710" i="86"/>
  <c r="L709" i="86"/>
  <c r="L708" i="86"/>
  <c r="L707" i="86"/>
  <c r="L706" i="86"/>
  <c r="L705" i="86"/>
  <c r="L704" i="86"/>
  <c r="L703" i="86"/>
  <c r="L702" i="86"/>
  <c r="L701" i="86"/>
  <c r="L700" i="86"/>
  <c r="L699" i="86"/>
  <c r="L698" i="86"/>
  <c r="L697" i="86"/>
  <c r="L696" i="86"/>
  <c r="L695" i="86"/>
  <c r="L694" i="86"/>
  <c r="L693" i="86"/>
  <c r="L692" i="86"/>
  <c r="L691" i="86"/>
  <c r="L690" i="86"/>
  <c r="L689" i="86"/>
  <c r="L688" i="86"/>
  <c r="L687" i="86"/>
  <c r="L686" i="86"/>
  <c r="L685" i="86"/>
  <c r="L684" i="86"/>
  <c r="L683" i="86"/>
  <c r="L682" i="86"/>
  <c r="L681" i="86"/>
  <c r="L680" i="86"/>
  <c r="L679" i="86"/>
  <c r="L678" i="86"/>
  <c r="L677" i="86"/>
  <c r="L676" i="86"/>
  <c r="K675" i="86"/>
  <c r="L675" i="86" s="1"/>
  <c r="K674" i="86"/>
  <c r="L674" i="86" s="1"/>
  <c r="L673" i="86"/>
  <c r="L672" i="86"/>
  <c r="L671" i="86"/>
  <c r="L670" i="86"/>
  <c r="L669" i="86"/>
  <c r="L668" i="86"/>
  <c r="L667" i="86"/>
  <c r="L666" i="86"/>
  <c r="L665" i="86"/>
  <c r="L664" i="86"/>
  <c r="L663" i="86"/>
  <c r="L662" i="86"/>
  <c r="L661" i="86"/>
  <c r="L660" i="86"/>
  <c r="L659" i="86"/>
  <c r="L658" i="86"/>
  <c r="L657" i="86"/>
  <c r="L656" i="86"/>
  <c r="L655" i="86"/>
  <c r="L654" i="86"/>
  <c r="L653" i="86"/>
  <c r="L652" i="86"/>
  <c r="L651" i="86"/>
  <c r="L650" i="86"/>
  <c r="L649" i="86"/>
  <c r="L648" i="86"/>
  <c r="L647" i="86"/>
  <c r="L646" i="86"/>
  <c r="L645" i="86"/>
  <c r="L644" i="86"/>
  <c r="K643" i="86"/>
  <c r="L642" i="86"/>
  <c r="L641" i="86"/>
  <c r="L640" i="86"/>
  <c r="L639" i="86"/>
  <c r="L638" i="86"/>
  <c r="L637" i="86"/>
  <c r="L636" i="86"/>
  <c r="L635" i="86"/>
  <c r="L634" i="86"/>
  <c r="L633" i="86"/>
  <c r="L632" i="86"/>
  <c r="L631" i="86"/>
  <c r="L630" i="86"/>
  <c r="L629" i="86"/>
  <c r="L628" i="86"/>
  <c r="L627" i="86"/>
  <c r="K626" i="86"/>
  <c r="L626" i="86" s="1"/>
  <c r="K625" i="86"/>
  <c r="L625" i="86" s="1"/>
  <c r="K624" i="86"/>
  <c r="L624" i="86" s="1"/>
  <c r="K623" i="86"/>
  <c r="K622" i="86"/>
  <c r="K621" i="86"/>
  <c r="L621" i="86" s="1"/>
  <c r="K620" i="86"/>
  <c r="L620" i="86" s="1"/>
  <c r="K619" i="86"/>
  <c r="L618" i="86"/>
  <c r="L617" i="86"/>
  <c r="L616" i="86"/>
  <c r="L615" i="86"/>
  <c r="L614" i="86"/>
  <c r="L613" i="86"/>
  <c r="L612" i="86"/>
  <c r="K611" i="86"/>
  <c r="L610" i="86"/>
  <c r="L609" i="86"/>
  <c r="K608" i="86"/>
  <c r="I608" i="86"/>
  <c r="L607" i="86"/>
  <c r="I606" i="86"/>
  <c r="L605" i="86"/>
  <c r="L604" i="86"/>
  <c r="L603" i="86"/>
  <c r="L602" i="86"/>
  <c r="L601" i="86"/>
  <c r="L600" i="86"/>
  <c r="L599" i="86"/>
  <c r="L598" i="86"/>
  <c r="L597" i="86"/>
  <c r="L596" i="86"/>
  <c r="L595" i="86"/>
  <c r="L594" i="86"/>
  <c r="L593" i="86"/>
  <c r="L592" i="86"/>
  <c r="L591" i="86"/>
  <c r="L590" i="86"/>
  <c r="L589" i="86"/>
  <c r="L588" i="86"/>
  <c r="L587" i="86"/>
  <c r="L586" i="86"/>
  <c r="L585" i="86"/>
  <c r="L584" i="86"/>
  <c r="L583" i="86"/>
  <c r="L582" i="86"/>
  <c r="L581" i="86"/>
  <c r="L580" i="86"/>
  <c r="L579" i="86"/>
  <c r="L578" i="86"/>
  <c r="L577" i="86"/>
  <c r="L576" i="86"/>
  <c r="L575" i="86"/>
  <c r="L574" i="86"/>
  <c r="L573" i="86"/>
  <c r="L572" i="86"/>
  <c r="L571" i="86"/>
  <c r="L570" i="86"/>
  <c r="L569" i="86"/>
  <c r="L568" i="86"/>
  <c r="L567" i="86"/>
  <c r="L566" i="86"/>
  <c r="L565" i="86"/>
  <c r="L564" i="86"/>
  <c r="L563" i="86"/>
  <c r="L562" i="86"/>
  <c r="L561" i="86"/>
  <c r="L560" i="86"/>
  <c r="L559" i="86"/>
  <c r="L558" i="86"/>
  <c r="L557" i="86"/>
  <c r="L556" i="86"/>
  <c r="L555" i="86"/>
  <c r="L554" i="86"/>
  <c r="L553" i="86"/>
  <c r="L552" i="86"/>
  <c r="L551" i="86"/>
  <c r="L550" i="86"/>
  <c r="L549" i="86"/>
  <c r="L548" i="86"/>
  <c r="L547" i="86"/>
  <c r="L546" i="86"/>
  <c r="L545" i="86"/>
  <c r="L544" i="86"/>
  <c r="L543" i="86"/>
  <c r="L542" i="86"/>
  <c r="L541" i="86"/>
  <c r="L540" i="86"/>
  <c r="L539" i="86"/>
  <c r="L538" i="86"/>
  <c r="L537" i="86"/>
  <c r="L536" i="86"/>
  <c r="L535" i="86"/>
  <c r="L534" i="86"/>
  <c r="L533" i="86"/>
  <c r="L532" i="86"/>
  <c r="L531" i="86"/>
  <c r="L530" i="86"/>
  <c r="L529" i="86"/>
  <c r="L528" i="86"/>
  <c r="L527" i="86"/>
  <c r="L526" i="86"/>
  <c r="L525" i="86"/>
  <c r="L524" i="86"/>
  <c r="L523" i="86"/>
  <c r="L522" i="86"/>
  <c r="L521" i="86"/>
  <c r="L520" i="86"/>
  <c r="L519" i="86"/>
  <c r="L518" i="86"/>
  <c r="L517" i="86"/>
  <c r="L516" i="86"/>
  <c r="L515" i="86"/>
  <c r="L514" i="86"/>
  <c r="L513" i="86"/>
  <c r="L512" i="86"/>
  <c r="L511" i="86"/>
  <c r="L510" i="86"/>
  <c r="L509" i="86"/>
  <c r="L508" i="86"/>
  <c r="L507" i="86"/>
  <c r="L506" i="86"/>
  <c r="L505" i="86"/>
  <c r="K504" i="86"/>
  <c r="L504" i="86" s="1"/>
  <c r="L503" i="86"/>
  <c r="L502" i="86"/>
  <c r="L501" i="86"/>
  <c r="L500" i="86"/>
  <c r="L499" i="86"/>
  <c r="L498" i="86"/>
  <c r="L497" i="86"/>
  <c r="L496" i="86"/>
  <c r="K495" i="86"/>
  <c r="L495" i="86" s="1"/>
  <c r="L494" i="86"/>
  <c r="L493" i="86"/>
  <c r="L492" i="86"/>
  <c r="L491" i="86"/>
  <c r="K490" i="86"/>
  <c r="L490" i="86" s="1"/>
  <c r="L489" i="86"/>
  <c r="K488" i="86"/>
  <c r="L487" i="86"/>
  <c r="L486" i="86"/>
  <c r="L485" i="86"/>
  <c r="K484" i="86"/>
  <c r="L484" i="86" s="1"/>
  <c r="L483" i="86"/>
  <c r="L482" i="86"/>
  <c r="L481" i="86"/>
  <c r="K480" i="86"/>
  <c r="L479" i="86"/>
  <c r="L478" i="86"/>
  <c r="L477" i="86"/>
  <c r="L476" i="86"/>
  <c r="L475" i="86"/>
  <c r="L474" i="86"/>
  <c r="L473" i="86"/>
  <c r="L472" i="86"/>
  <c r="L471" i="86"/>
  <c r="L470" i="86"/>
  <c r="L469" i="86"/>
  <c r="L468" i="86"/>
  <c r="L467" i="86"/>
  <c r="K465" i="86"/>
  <c r="L464" i="86"/>
  <c r="L463" i="86"/>
  <c r="L462" i="86"/>
  <c r="L461" i="86"/>
  <c r="L460" i="86"/>
  <c r="L459" i="86"/>
  <c r="L457" i="86"/>
  <c r="L456" i="86"/>
  <c r="K455" i="86"/>
  <c r="L454" i="86"/>
  <c r="L453" i="86"/>
  <c r="L452" i="86"/>
  <c r="L451" i="86"/>
  <c r="L450" i="86"/>
  <c r="L449" i="86"/>
  <c r="L448" i="86"/>
  <c r="L447" i="86"/>
  <c r="L446" i="86"/>
  <c r="L445" i="86"/>
  <c r="L444" i="86"/>
  <c r="L443" i="86"/>
  <c r="L442" i="86"/>
  <c r="L441" i="86"/>
  <c r="L440" i="86"/>
  <c r="L439" i="86"/>
  <c r="L438" i="86"/>
  <c r="L437" i="86"/>
  <c r="L436" i="86"/>
  <c r="L435" i="86"/>
  <c r="L434" i="86"/>
  <c r="K433" i="86"/>
  <c r="L433" i="86" s="1"/>
  <c r="L432" i="86"/>
  <c r="L431" i="86"/>
  <c r="L430" i="86"/>
  <c r="L429" i="86"/>
  <c r="L428" i="86"/>
  <c r="L427" i="86"/>
  <c r="L426" i="86"/>
  <c r="L425" i="86"/>
  <c r="L424" i="86"/>
  <c r="L423" i="86"/>
  <c r="L422" i="86"/>
  <c r="L421" i="86"/>
  <c r="I420" i="86"/>
  <c r="L419" i="86"/>
  <c r="L418" i="86"/>
  <c r="L417" i="86"/>
  <c r="L416" i="86"/>
  <c r="L415" i="86"/>
  <c r="L414" i="86"/>
  <c r="L413" i="86"/>
  <c r="K412" i="86"/>
  <c r="L412" i="86" s="1"/>
  <c r="L411" i="86"/>
  <c r="L410" i="86"/>
  <c r="K409" i="86"/>
  <c r="L408" i="86"/>
  <c r="L406" i="86"/>
  <c r="L405" i="86"/>
  <c r="K404" i="86"/>
  <c r="L403" i="86"/>
  <c r="L402" i="86"/>
  <c r="L401" i="86"/>
  <c r="L400" i="86"/>
  <c r="L399" i="86"/>
  <c r="L398" i="86"/>
  <c r="K397" i="86"/>
  <c r="K396" i="86"/>
  <c r="L395" i="86"/>
  <c r="L394" i="86"/>
  <c r="L393" i="86"/>
  <c r="L392" i="86"/>
  <c r="L391" i="86"/>
  <c r="L390" i="86"/>
  <c r="L389" i="86"/>
  <c r="L388" i="86"/>
  <c r="L387" i="86"/>
  <c r="L386" i="86"/>
  <c r="L385" i="86"/>
  <c r="L384" i="86"/>
  <c r="K383" i="86"/>
  <c r="L382" i="86"/>
  <c r="L381" i="86"/>
  <c r="L380" i="86"/>
  <c r="L379" i="86"/>
  <c r="L378" i="86"/>
  <c r="L377" i="86"/>
  <c r="L376" i="86"/>
  <c r="L375" i="86"/>
  <c r="L374" i="86"/>
  <c r="L373" i="86"/>
  <c r="L372" i="86"/>
  <c r="K371" i="86"/>
  <c r="L370" i="86"/>
  <c r="L369" i="86"/>
  <c r="L368" i="86"/>
  <c r="L367" i="86"/>
  <c r="L366" i="86"/>
  <c r="L365" i="86"/>
  <c r="L364" i="86"/>
  <c r="L363" i="86"/>
  <c r="L362" i="86"/>
  <c r="L361" i="86"/>
  <c r="L360" i="86"/>
  <c r="L359" i="86"/>
  <c r="L358" i="86"/>
  <c r="L357" i="86"/>
  <c r="L356" i="86"/>
  <c r="L355" i="86"/>
  <c r="L354" i="86"/>
  <c r="L353" i="86"/>
  <c r="L352" i="86"/>
  <c r="L351" i="86"/>
  <c r="L350" i="86"/>
  <c r="L349" i="86"/>
  <c r="L348" i="86"/>
  <c r="L347" i="86"/>
  <c r="L346" i="86"/>
  <c r="L345" i="86"/>
  <c r="L344" i="86"/>
  <c r="L343" i="86"/>
  <c r="L342" i="86"/>
  <c r="L341" i="86"/>
  <c r="L340" i="86"/>
  <c r="L339" i="86"/>
  <c r="L338" i="86"/>
  <c r="L337" i="86"/>
  <c r="K336" i="86"/>
  <c r="I336" i="86"/>
  <c r="I335" i="86"/>
  <c r="L334" i="86"/>
  <c r="L333" i="86"/>
  <c r="L332" i="86"/>
  <c r="L331" i="86"/>
  <c r="L330" i="86"/>
  <c r="L329" i="86"/>
  <c r="L328" i="86"/>
  <c r="L327" i="86"/>
  <c r="L326" i="86"/>
  <c r="L325" i="86"/>
  <c r="L324" i="86"/>
  <c r="L323" i="86"/>
  <c r="L322" i="86"/>
  <c r="L321" i="86"/>
  <c r="L320" i="86"/>
  <c r="L319" i="86"/>
  <c r="L318" i="86"/>
  <c r="L317" i="86"/>
  <c r="L316" i="86"/>
  <c r="L315" i="86"/>
  <c r="L314" i="86"/>
  <c r="L313" i="86"/>
  <c r="L312" i="86"/>
  <c r="L311" i="86"/>
  <c r="L310" i="86"/>
  <c r="L309" i="86"/>
  <c r="L308" i="86"/>
  <c r="L307" i="86"/>
  <c r="L306" i="86"/>
  <c r="L305" i="86"/>
  <c r="L304" i="86"/>
  <c r="L303" i="86"/>
  <c r="L302" i="86"/>
  <c r="L301" i="86"/>
  <c r="L300" i="86"/>
  <c r="L299" i="86"/>
  <c r="L298" i="86"/>
  <c r="L297" i="86"/>
  <c r="L296" i="86"/>
  <c r="L295" i="86"/>
  <c r="L294" i="86"/>
  <c r="L293" i="86"/>
  <c r="L292" i="86"/>
  <c r="L291" i="86"/>
  <c r="L290" i="86"/>
  <c r="L289" i="86"/>
  <c r="L288" i="86"/>
  <c r="L287" i="86"/>
  <c r="L286" i="86"/>
  <c r="L285" i="86"/>
  <c r="L284" i="86"/>
  <c r="L283" i="86"/>
  <c r="L282" i="86"/>
  <c r="L281" i="86"/>
  <c r="L280" i="86"/>
  <c r="L279" i="86"/>
  <c r="L278" i="86"/>
  <c r="L277" i="86"/>
  <c r="L276" i="86"/>
  <c r="L275" i="86"/>
  <c r="L274" i="86"/>
  <c r="L273" i="86"/>
  <c r="L272" i="86"/>
  <c r="L271" i="86"/>
  <c r="L270" i="86"/>
  <c r="L269" i="86"/>
  <c r="L268" i="86"/>
  <c r="L267" i="86"/>
  <c r="L266" i="86"/>
  <c r="L265" i="86"/>
  <c r="L264" i="86"/>
  <c r="L263" i="86"/>
  <c r="L262" i="86"/>
  <c r="L261" i="86"/>
  <c r="L260" i="86"/>
  <c r="L259" i="86"/>
  <c r="L258" i="86"/>
  <c r="L257" i="86"/>
  <c r="L256" i="86"/>
  <c r="L255" i="86"/>
  <c r="K254" i="86"/>
  <c r="L254" i="86" s="1"/>
  <c r="L253" i="86"/>
  <c r="L252" i="86"/>
  <c r="L251" i="86"/>
  <c r="L250" i="86"/>
  <c r="L249" i="86"/>
  <c r="L248" i="86"/>
  <c r="L247" i="86"/>
  <c r="L246" i="86"/>
  <c r="L245" i="86"/>
  <c r="L244" i="86"/>
  <c r="L243" i="86"/>
  <c r="L242" i="86"/>
  <c r="K241" i="86"/>
  <c r="L240" i="86"/>
  <c r="K239" i="86"/>
  <c r="L238" i="86"/>
  <c r="L237" i="86"/>
  <c r="L236" i="86"/>
  <c r="L235" i="86"/>
  <c r="L234" i="86"/>
  <c r="L233" i="86"/>
  <c r="L232" i="86"/>
  <c r="L231" i="86"/>
  <c r="K230" i="86"/>
  <c r="L230" i="86" s="1"/>
  <c r="L229" i="86"/>
  <c r="L228" i="86"/>
  <c r="L227" i="86"/>
  <c r="L226" i="86"/>
  <c r="L225" i="86"/>
  <c r="L224" i="86"/>
  <c r="L223" i="86"/>
  <c r="L222" i="86"/>
  <c r="L221" i="86"/>
  <c r="L220" i="86"/>
  <c r="L219" i="86"/>
  <c r="L218" i="86"/>
  <c r="L217" i="86"/>
  <c r="L216" i="86"/>
  <c r="L215" i="86"/>
  <c r="L214" i="86"/>
  <c r="L213" i="86"/>
  <c r="L212" i="86"/>
  <c r="L211" i="86"/>
  <c r="L210" i="86"/>
  <c r="L209" i="86"/>
  <c r="L208" i="86"/>
  <c r="L207" i="86"/>
  <c r="I206" i="86"/>
  <c r="L205" i="86"/>
  <c r="L204" i="86"/>
  <c r="L203" i="86"/>
  <c r="L202" i="86"/>
  <c r="L201" i="86"/>
  <c r="L200" i="86"/>
  <c r="L199" i="86"/>
  <c r="L198" i="86"/>
  <c r="L197" i="86"/>
  <c r="L196" i="86"/>
  <c r="L195" i="86"/>
  <c r="L194" i="86"/>
  <c r="L193" i="86"/>
  <c r="L192" i="86"/>
  <c r="L191" i="86"/>
  <c r="L190" i="86"/>
  <c r="L189" i="86"/>
  <c r="L188" i="86"/>
  <c r="L187" i="86"/>
  <c r="L186" i="86"/>
  <c r="L185" i="86"/>
  <c r="L184" i="86"/>
  <c r="L183" i="86"/>
  <c r="L182" i="86"/>
  <c r="L181" i="86"/>
  <c r="L180" i="86"/>
  <c r="L179" i="86"/>
  <c r="L178" i="86"/>
  <c r="L177" i="86"/>
  <c r="L176" i="86"/>
  <c r="L175" i="86"/>
  <c r="L174" i="86"/>
  <c r="L173" i="86"/>
  <c r="L172" i="86"/>
  <c r="L171" i="86"/>
  <c r="L170" i="86"/>
  <c r="L169" i="86"/>
  <c r="L168" i="86"/>
  <c r="L167" i="86"/>
  <c r="L166" i="86"/>
  <c r="L165" i="86"/>
  <c r="L164" i="86"/>
  <c r="L163" i="86"/>
  <c r="L162" i="86"/>
  <c r="L161" i="86"/>
  <c r="L160" i="86"/>
  <c r="L159" i="86"/>
  <c r="L158" i="86"/>
  <c r="L157" i="86"/>
  <c r="L156" i="86"/>
  <c r="L155" i="86"/>
  <c r="L154" i="86"/>
  <c r="L153" i="86"/>
  <c r="L152" i="86"/>
  <c r="L151" i="86"/>
  <c r="L150" i="86"/>
  <c r="L149" i="86"/>
  <c r="L148" i="86"/>
  <c r="L147" i="86"/>
  <c r="L146" i="86"/>
  <c r="K145" i="86"/>
  <c r="L145" i="86" s="1"/>
  <c r="L144" i="86"/>
  <c r="L143" i="86"/>
  <c r="L142" i="86"/>
  <c r="L141" i="86"/>
  <c r="L140" i="86"/>
  <c r="L139" i="86"/>
  <c r="L138" i="86"/>
  <c r="L137" i="86"/>
  <c r="L136" i="86"/>
  <c r="K135" i="86"/>
  <c r="L135" i="86" s="1"/>
  <c r="L134" i="86"/>
  <c r="L133" i="86"/>
  <c r="L132" i="86"/>
  <c r="L131" i="86"/>
  <c r="L130" i="86"/>
  <c r="L129" i="86"/>
  <c r="L128" i="86"/>
  <c r="L127" i="86"/>
  <c r="L126" i="86"/>
  <c r="L125" i="86"/>
  <c r="L124" i="86"/>
  <c r="K123" i="86"/>
  <c r="L123" i="86" s="1"/>
  <c r="L122" i="86"/>
  <c r="L121" i="86"/>
  <c r="L120" i="86"/>
  <c r="L119" i="86"/>
  <c r="L118" i="86"/>
  <c r="L117" i="86"/>
  <c r="L116" i="86"/>
  <c r="L114" i="86"/>
  <c r="L113" i="86"/>
  <c r="L112" i="86"/>
  <c r="L111" i="86"/>
  <c r="L110" i="86"/>
  <c r="L109" i="86"/>
  <c r="L108" i="86"/>
  <c r="L107" i="86"/>
  <c r="L106" i="86"/>
  <c r="L105" i="86"/>
  <c r="L104" i="86"/>
  <c r="L103" i="86"/>
  <c r="L102" i="86"/>
  <c r="L101" i="86"/>
  <c r="L100" i="86"/>
  <c r="L99" i="86"/>
  <c r="L98" i="86"/>
  <c r="L97" i="86"/>
  <c r="L96" i="86"/>
  <c r="L95" i="86"/>
  <c r="L94" i="86"/>
  <c r="L93" i="86"/>
  <c r="L92" i="86"/>
  <c r="L91" i="86"/>
  <c r="L90" i="86"/>
  <c r="L89" i="86"/>
  <c r="L88" i="86"/>
  <c r="L87" i="86"/>
  <c r="L86" i="86"/>
  <c r="L85" i="86"/>
  <c r="L84" i="86"/>
  <c r="L83" i="86"/>
  <c r="L82" i="86"/>
  <c r="L81" i="86"/>
  <c r="L80" i="86"/>
  <c r="L79" i="86"/>
  <c r="L78" i="86"/>
  <c r="L77" i="86"/>
  <c r="L76" i="86"/>
  <c r="L75" i="86"/>
  <c r="L74" i="86"/>
  <c r="L73" i="86"/>
  <c r="L72" i="86"/>
  <c r="L71" i="86"/>
  <c r="K70" i="86"/>
  <c r="L70" i="86" s="1"/>
  <c r="L69" i="86"/>
  <c r="K68" i="86"/>
  <c r="L67" i="86"/>
  <c r="K66" i="86"/>
  <c r="L65" i="86"/>
  <c r="L64" i="86"/>
  <c r="L63" i="86"/>
  <c r="L62" i="86"/>
  <c r="L61" i="86"/>
  <c r="L60" i="86"/>
  <c r="L59" i="86"/>
  <c r="L58" i="86"/>
  <c r="L57" i="86"/>
  <c r="L56" i="86"/>
  <c r="L55" i="86"/>
  <c r="L54" i="86"/>
  <c r="L53" i="86"/>
  <c r="L52" i="86"/>
  <c r="L51" i="86"/>
  <c r="L50" i="86"/>
  <c r="L49" i="86"/>
  <c r="L48" i="86"/>
  <c r="L47" i="86"/>
  <c r="L46" i="86"/>
  <c r="L45" i="86"/>
  <c r="L44" i="86"/>
  <c r="L43" i="86"/>
  <c r="L42" i="86"/>
  <c r="L41" i="86"/>
  <c r="L40" i="86"/>
  <c r="L39" i="86"/>
  <c r="L38" i="86"/>
  <c r="L37" i="86"/>
  <c r="L36" i="86"/>
  <c r="L35" i="86"/>
  <c r="L34" i="86"/>
  <c r="L33" i="86"/>
  <c r="L32" i="86"/>
  <c r="L31" i="86"/>
  <c r="L30" i="86"/>
  <c r="L29" i="86"/>
  <c r="L28" i="86"/>
  <c r="L27" i="86"/>
  <c r="L26" i="86"/>
  <c r="L25" i="86"/>
  <c r="L24" i="86"/>
  <c r="L23" i="86"/>
  <c r="L22" i="86"/>
  <c r="L21" i="86"/>
  <c r="L20" i="86"/>
  <c r="L19" i="86"/>
  <c r="L18" i="86"/>
  <c r="L17" i="86"/>
  <c r="L16" i="86"/>
  <c r="L15" i="86"/>
  <c r="L14" i="86"/>
  <c r="L13" i="86"/>
  <c r="K12" i="86"/>
  <c r="L11" i="86"/>
  <c r="L10" i="86"/>
  <c r="L9" i="86"/>
  <c r="L8" i="86"/>
  <c r="L7" i="86"/>
  <c r="L6" i="86"/>
  <c r="L5" i="86"/>
  <c r="L4" i="86"/>
  <c r="L3" i="86"/>
  <c r="L2" i="86"/>
  <c r="L611" i="86" l="1"/>
  <c r="L623" i="86"/>
  <c r="L743" i="86"/>
  <c r="L619" i="86"/>
  <c r="L643" i="86"/>
  <c r="L383" i="86"/>
  <c r="L335" i="86"/>
  <c r="L728" i="86"/>
  <c r="L420" i="86"/>
  <c r="L606" i="86"/>
  <c r="L757" i="86"/>
  <c r="L206" i="86"/>
  <c r="L723" i="86"/>
  <c r="L775" i="86"/>
  <c r="L927" i="86"/>
  <c r="L943" i="86"/>
  <c r="L940" i="86"/>
  <c r="L736" i="86"/>
  <c r="L396" i="86"/>
  <c r="L409" i="86"/>
  <c r="L241" i="86"/>
  <c r="L239" i="86"/>
  <c r="L371" i="86"/>
  <c r="L455" i="86"/>
  <c r="L68" i="86"/>
  <c r="L745" i="86"/>
  <c r="L336" i="86"/>
  <c r="L404" i="86"/>
  <c r="L754" i="86"/>
  <c r="L724" i="86"/>
  <c r="L480" i="86"/>
  <c r="L815" i="86"/>
  <c r="L824" i="86"/>
  <c r="L465" i="86"/>
  <c r="L622" i="86"/>
  <c r="L608" i="86"/>
  <c r="L854" i="86"/>
  <c r="L66" i="86"/>
  <c r="L488" i="86"/>
  <c r="L780" i="86"/>
  <c r="L397" i="86"/>
  <c r="L926" i="86"/>
  <c r="L832" i="86"/>
  <c r="L12" i="86"/>
  <c r="U4" i="8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Olimpia Kanellatu</author>
    <author>Demattè Adriano</author>
    <author xml:space="preserve"> </author>
  </authors>
  <commentList>
    <comment ref="N22" authorId="0" shapeId="0" xr:uid="{F486D775-8A20-4FC3-894B-D5C7BE6CC641}">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N23" authorId="0" shapeId="0" xr:uid="{00000000-0006-0000-0000-000009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N24" authorId="0" shapeId="0" xr:uid="{00000000-0006-0000-0000-00000A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N25" authorId="0" shapeId="0" xr:uid="{00000000-0006-0000-0000-00000B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H28" authorId="0" shapeId="0" xr:uid="{00000000-0006-0000-0000-00000E000000}">
      <text>
        <r>
          <rPr>
            <b/>
            <sz val="9"/>
            <color indexed="81"/>
            <rFont val="Tahoma"/>
            <family val="2"/>
          </rPr>
          <t>Olimpia Kanellatu:</t>
        </r>
        <r>
          <rPr>
            <sz val="9"/>
            <color indexed="81"/>
            <rFont val="Tahoma"/>
            <family val="2"/>
          </rPr>
          <t xml:space="preserve">
era festiva estiva</t>
        </r>
      </text>
    </comment>
    <comment ref="N42" authorId="0" shapeId="0" xr:uid="{00000000-0006-0000-0000-00001D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N43" authorId="0" shapeId="0" xr:uid="{00000000-0006-0000-0000-00001E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N44" authorId="0" shapeId="0" xr:uid="{00000000-0006-0000-0000-00001F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N45" authorId="0" shapeId="0" xr:uid="{00000000-0006-0000-0000-000020000000}">
      <text>
        <r>
          <rPr>
            <b/>
            <sz val="9"/>
            <color indexed="81"/>
            <rFont val="Tahoma"/>
            <family val="2"/>
          </rPr>
          <t>Olimpia Kanellatu:</t>
        </r>
        <r>
          <rPr>
            <sz val="9"/>
            <color indexed="81"/>
            <rFont val="Tahoma"/>
            <family val="2"/>
          </rPr>
          <t xml:space="preserve">
in deroga e in attesa di commissione tecnica per autorizzare il mezzo da 12 m FW757WP-50p</t>
        </r>
      </text>
    </comment>
    <comment ref="H48" authorId="0" shapeId="0" xr:uid="{00000000-0006-0000-0000-000023000000}">
      <text>
        <r>
          <rPr>
            <b/>
            <sz val="9"/>
            <color indexed="81"/>
            <rFont val="Tahoma"/>
            <family val="2"/>
          </rPr>
          <t>Olimpia Kanellatu:</t>
        </r>
        <r>
          <rPr>
            <sz val="9"/>
            <color indexed="81"/>
            <rFont val="Tahoma"/>
            <family val="2"/>
          </rPr>
          <t xml:space="preserve">
era festiva estiva</t>
        </r>
      </text>
    </comment>
    <comment ref="J63" authorId="0" shapeId="0" xr:uid="{00000000-0006-0000-0000-000026000000}">
      <text>
        <r>
          <rPr>
            <sz val="9"/>
            <color indexed="81"/>
            <rFont val="Tahoma"/>
            <family val="2"/>
          </rPr>
          <t>LS: ok per il 9 posti., come previsto nello scorso appalto. Succ. valutiamo se è necessario il 17 posti</t>
        </r>
        <r>
          <rPr>
            <sz val="9"/>
            <color indexed="81"/>
            <rFont val="Tahoma"/>
            <family val="2"/>
          </rPr>
          <t xml:space="preserve">
</t>
        </r>
      </text>
    </comment>
    <comment ref="R105" authorId="0" shapeId="0" xr:uid="{00000000-0006-0000-0000-000027000000}">
      <text>
        <r>
          <rPr>
            <b/>
            <sz val="9"/>
            <color indexed="81"/>
            <rFont val="Tahoma"/>
            <family val="2"/>
          </rPr>
          <t>Olimpia Kanellatu:</t>
        </r>
        <r>
          <rPr>
            <sz val="9"/>
            <color indexed="81"/>
            <rFont val="Tahoma"/>
            <family val="2"/>
          </rPr>
          <t xml:space="preserve">
si chiede autorizzazione del 9 posti vista l'utenza che non supera le 3-4 persone</t>
        </r>
      </text>
    </comment>
    <comment ref="J135" authorId="0" shapeId="0" xr:uid="{00000000-0006-0000-0000-00002D000000}">
      <text>
        <r>
          <rPr>
            <b/>
            <sz val="9"/>
            <color indexed="81"/>
            <rFont val="Tahoma"/>
            <family val="2"/>
          </rPr>
          <t>LS: 20p vanno bene da valutare a settembre</t>
        </r>
        <r>
          <rPr>
            <sz val="9"/>
            <color indexed="81"/>
            <rFont val="Tahoma"/>
            <family val="2"/>
          </rPr>
          <t xml:space="preserve">
</t>
        </r>
      </text>
    </comment>
    <comment ref="I136" authorId="0" shapeId="0" xr:uid="{00000000-0006-0000-0000-00002E000000}">
      <text>
        <r>
          <rPr>
            <b/>
            <sz val="9"/>
            <color indexed="81"/>
            <rFont val="Tahoma"/>
            <family val="2"/>
          </rPr>
          <t>Olimpia Kanellatu:</t>
        </r>
        <r>
          <rPr>
            <sz val="9"/>
            <color indexed="81"/>
            <rFont val="Tahoma"/>
            <family val="2"/>
          </rPr>
          <t xml:space="preserve">
in capitolato erano km 5,50</t>
        </r>
      </text>
    </comment>
    <comment ref="G140" authorId="0" shapeId="0" xr:uid="{00000000-0006-0000-0000-00002F000000}">
      <text>
        <r>
          <rPr>
            <b/>
            <sz val="9"/>
            <color indexed="81"/>
            <rFont val="Tahoma"/>
            <family val="2"/>
          </rPr>
          <t>Olimpia Kanellatu:</t>
        </r>
        <r>
          <rPr>
            <sz val="9"/>
            <color indexed="81"/>
            <rFont val="Tahoma"/>
            <family val="2"/>
          </rPr>
          <t xml:space="preserve">
è stata aggiunta Ville a.s. 22/23
</t>
        </r>
      </text>
    </comment>
    <comment ref="M154" authorId="0" shapeId="0" xr:uid="{00000000-0006-0000-0000-000032000000}">
      <text>
        <r>
          <rPr>
            <b/>
            <sz val="9"/>
            <color indexed="81"/>
            <rFont val="Tahoma"/>
            <family val="2"/>
          </rPr>
          <t>Olimpia Kanellatu:</t>
        </r>
        <r>
          <rPr>
            <sz val="9"/>
            <color indexed="81"/>
            <rFont val="Tahoma"/>
            <family val="2"/>
          </rPr>
          <t xml:space="preserve">
dal 01/10/2022 Oscar svolge servizio al posto di Paolat</t>
        </r>
      </text>
    </comment>
    <comment ref="N154" authorId="0" shapeId="0" xr:uid="{00000000-0006-0000-0000-000033000000}">
      <text>
        <r>
          <rPr>
            <b/>
            <sz val="9"/>
            <color indexed="81"/>
            <rFont val="Tahoma"/>
            <family val="2"/>
          </rPr>
          <t>Olimpia Kanellatu:</t>
        </r>
        <r>
          <rPr>
            <sz val="9"/>
            <color indexed="81"/>
            <rFont val="Tahoma"/>
            <family val="2"/>
          </rPr>
          <t xml:space="preserve">
mezzo ex Paolat - reimmatricolato Oscar Viaggi</t>
        </r>
      </text>
    </comment>
    <comment ref="P154" authorId="0" shapeId="0" xr:uid="{00000000-0006-0000-0000-000034000000}">
      <text>
        <r>
          <rPr>
            <b/>
            <sz val="9"/>
            <color indexed="81"/>
            <rFont val="Tahoma"/>
            <family val="2"/>
          </rPr>
          <t>Olimpia Kanellatu:</t>
        </r>
        <r>
          <rPr>
            <sz val="9"/>
            <color indexed="81"/>
            <rFont val="Tahoma"/>
            <family val="2"/>
          </rPr>
          <t xml:space="preserve">
mezzo ex Paolat - reimmatricolato Oscar Viaggi</t>
        </r>
      </text>
    </comment>
    <comment ref="M155" authorId="0" shapeId="0" xr:uid="{00000000-0006-0000-0000-000035000000}">
      <text>
        <r>
          <rPr>
            <b/>
            <sz val="9"/>
            <color indexed="81"/>
            <rFont val="Tahoma"/>
            <family val="2"/>
          </rPr>
          <t>Olimpia Kanellatu:</t>
        </r>
        <r>
          <rPr>
            <sz val="9"/>
            <color indexed="81"/>
            <rFont val="Tahoma"/>
            <family val="2"/>
          </rPr>
          <t xml:space="preserve">
dal 01/10/2022 Oscar svolge servizio al posto di Paolat</t>
        </r>
      </text>
    </comment>
    <comment ref="N155" authorId="0" shapeId="0" xr:uid="{00000000-0006-0000-0000-000036000000}">
      <text>
        <r>
          <rPr>
            <b/>
            <sz val="9"/>
            <color indexed="81"/>
            <rFont val="Tahoma"/>
            <family val="2"/>
          </rPr>
          <t>Olimpia Kanellatu:</t>
        </r>
        <r>
          <rPr>
            <sz val="9"/>
            <color indexed="81"/>
            <rFont val="Tahoma"/>
            <family val="2"/>
          </rPr>
          <t xml:space="preserve">
mezzo ex Paolat - reimmatricolato Oscar Viaggi</t>
        </r>
      </text>
    </comment>
    <comment ref="P155" authorId="0" shapeId="0" xr:uid="{00000000-0006-0000-0000-000037000000}">
      <text>
        <r>
          <rPr>
            <b/>
            <sz val="9"/>
            <color indexed="81"/>
            <rFont val="Tahoma"/>
            <family val="2"/>
          </rPr>
          <t>Olimpia Kanellatu:</t>
        </r>
        <r>
          <rPr>
            <sz val="9"/>
            <color indexed="81"/>
            <rFont val="Tahoma"/>
            <family val="2"/>
          </rPr>
          <t xml:space="preserve">
mezzo ex Paolat - reimmatricolato Oscar Viaggi</t>
        </r>
      </text>
    </comment>
    <comment ref="M156" authorId="0" shapeId="0" xr:uid="{00000000-0006-0000-0000-000038000000}">
      <text>
        <r>
          <rPr>
            <b/>
            <sz val="9"/>
            <color indexed="81"/>
            <rFont val="Tahoma"/>
            <family val="2"/>
          </rPr>
          <t>Olimpia Kanellatu:</t>
        </r>
        <r>
          <rPr>
            <sz val="9"/>
            <color indexed="81"/>
            <rFont val="Tahoma"/>
            <family val="2"/>
          </rPr>
          <t xml:space="preserve">
dal 01/10/2022 Oscar svolge servizio al posto di Paolat</t>
        </r>
      </text>
    </comment>
    <comment ref="N156" authorId="0" shapeId="0" xr:uid="{00000000-0006-0000-0000-000039000000}">
      <text>
        <r>
          <rPr>
            <b/>
            <sz val="9"/>
            <color indexed="81"/>
            <rFont val="Tahoma"/>
            <family val="2"/>
          </rPr>
          <t>Olimpia Kanellatu:</t>
        </r>
        <r>
          <rPr>
            <sz val="9"/>
            <color indexed="81"/>
            <rFont val="Tahoma"/>
            <family val="2"/>
          </rPr>
          <t xml:space="preserve">
mezzo ex Paolat - reimmatricolato Oscar Viaggi</t>
        </r>
      </text>
    </comment>
    <comment ref="P156" authorId="0" shapeId="0" xr:uid="{00000000-0006-0000-0000-00003A000000}">
      <text>
        <r>
          <rPr>
            <b/>
            <sz val="9"/>
            <color indexed="81"/>
            <rFont val="Tahoma"/>
            <family val="2"/>
          </rPr>
          <t>Olimpia Kanellatu:</t>
        </r>
        <r>
          <rPr>
            <sz val="9"/>
            <color indexed="81"/>
            <rFont val="Tahoma"/>
            <family val="2"/>
          </rPr>
          <t xml:space="preserve">
mezzo ex Paolat - reimmatricolato Oscar Viaggi</t>
        </r>
      </text>
    </comment>
    <comment ref="M157" authorId="0" shapeId="0" xr:uid="{00000000-0006-0000-0000-00003B000000}">
      <text>
        <r>
          <rPr>
            <b/>
            <sz val="9"/>
            <color indexed="81"/>
            <rFont val="Tahoma"/>
            <family val="2"/>
          </rPr>
          <t>Olimpia Kanellatu:</t>
        </r>
        <r>
          <rPr>
            <sz val="9"/>
            <color indexed="81"/>
            <rFont val="Tahoma"/>
            <family val="2"/>
          </rPr>
          <t xml:space="preserve">
dal 01/10/2022 Oscar svolge servizio al posto di Paolat</t>
        </r>
      </text>
    </comment>
    <comment ref="N157" authorId="0" shapeId="0" xr:uid="{00000000-0006-0000-0000-00003C000000}">
      <text>
        <r>
          <rPr>
            <b/>
            <sz val="9"/>
            <color indexed="81"/>
            <rFont val="Tahoma"/>
            <family val="2"/>
          </rPr>
          <t>Olimpia Kanellatu:</t>
        </r>
        <r>
          <rPr>
            <sz val="9"/>
            <color indexed="81"/>
            <rFont val="Tahoma"/>
            <family val="2"/>
          </rPr>
          <t xml:space="preserve">
mezzo ex Paolat - reimmatricolato Oscar Viaggi</t>
        </r>
      </text>
    </comment>
    <comment ref="P157" authorId="0" shapeId="0" xr:uid="{00000000-0006-0000-0000-00003D000000}">
      <text>
        <r>
          <rPr>
            <b/>
            <sz val="9"/>
            <color indexed="81"/>
            <rFont val="Tahoma"/>
            <family val="2"/>
          </rPr>
          <t>Olimpia Kanellatu:</t>
        </r>
        <r>
          <rPr>
            <sz val="9"/>
            <color indexed="81"/>
            <rFont val="Tahoma"/>
            <family val="2"/>
          </rPr>
          <t xml:space="preserve">
mezzo ex Paolat - reimmatricolato Oscar Viaggi</t>
        </r>
      </text>
    </comment>
    <comment ref="M158" authorId="0" shapeId="0" xr:uid="{00000000-0006-0000-0000-00003E000000}">
      <text>
        <r>
          <rPr>
            <b/>
            <sz val="9"/>
            <color indexed="81"/>
            <rFont val="Tahoma"/>
            <family val="2"/>
          </rPr>
          <t>Olimpia Kanellatu:</t>
        </r>
        <r>
          <rPr>
            <sz val="9"/>
            <color indexed="81"/>
            <rFont val="Tahoma"/>
            <family val="2"/>
          </rPr>
          <t xml:space="preserve">
dal 01/10/2022 Oscar svolge servizio al posto di Paolat</t>
        </r>
      </text>
    </comment>
    <comment ref="N158" authorId="0" shapeId="0" xr:uid="{00000000-0006-0000-0000-00003F000000}">
      <text>
        <r>
          <rPr>
            <b/>
            <sz val="9"/>
            <color indexed="81"/>
            <rFont val="Tahoma"/>
            <family val="2"/>
          </rPr>
          <t>Olimpia Kanellatu:</t>
        </r>
        <r>
          <rPr>
            <sz val="9"/>
            <color indexed="81"/>
            <rFont val="Tahoma"/>
            <family val="2"/>
          </rPr>
          <t xml:space="preserve">
mezzo ex Paolat - reimmatricolato Oscar Viaggi</t>
        </r>
      </text>
    </comment>
    <comment ref="P158" authorId="0" shapeId="0" xr:uid="{00000000-0006-0000-0000-000040000000}">
      <text>
        <r>
          <rPr>
            <b/>
            <sz val="9"/>
            <color indexed="81"/>
            <rFont val="Tahoma"/>
            <family val="2"/>
          </rPr>
          <t>Olimpia Kanellatu:</t>
        </r>
        <r>
          <rPr>
            <sz val="9"/>
            <color indexed="81"/>
            <rFont val="Tahoma"/>
            <family val="2"/>
          </rPr>
          <t xml:space="preserve">
mezzo ex Paolat - reimmatricolato Oscar Viaggi</t>
        </r>
      </text>
    </comment>
    <comment ref="M159" authorId="0" shapeId="0" xr:uid="{00000000-0006-0000-0000-000041000000}">
      <text>
        <r>
          <rPr>
            <b/>
            <sz val="9"/>
            <color indexed="81"/>
            <rFont val="Tahoma"/>
            <family val="2"/>
          </rPr>
          <t>Olimpia Kanellatu:</t>
        </r>
        <r>
          <rPr>
            <sz val="9"/>
            <color indexed="81"/>
            <rFont val="Tahoma"/>
            <family val="2"/>
          </rPr>
          <t xml:space="preserve">
dal 01/10/2022 Oscar svolge servizio al posto di Paolat</t>
        </r>
      </text>
    </comment>
    <comment ref="N159" authorId="0" shapeId="0" xr:uid="{00000000-0006-0000-0000-000042000000}">
      <text>
        <r>
          <rPr>
            <b/>
            <sz val="9"/>
            <color indexed="81"/>
            <rFont val="Tahoma"/>
            <family val="2"/>
          </rPr>
          <t>Olimpia Kanellatu:</t>
        </r>
        <r>
          <rPr>
            <sz val="9"/>
            <color indexed="81"/>
            <rFont val="Tahoma"/>
            <family val="2"/>
          </rPr>
          <t xml:space="preserve">
mezzo ex Paolat - reimmatricolato Oscar Viaggi</t>
        </r>
      </text>
    </comment>
    <comment ref="P159" authorId="0" shapeId="0" xr:uid="{00000000-0006-0000-0000-000043000000}">
      <text>
        <r>
          <rPr>
            <b/>
            <sz val="9"/>
            <color indexed="81"/>
            <rFont val="Tahoma"/>
            <family val="2"/>
          </rPr>
          <t>Olimpia Kanellatu:</t>
        </r>
        <r>
          <rPr>
            <sz val="9"/>
            <color indexed="81"/>
            <rFont val="Tahoma"/>
            <family val="2"/>
          </rPr>
          <t xml:space="preserve">
mezzo ex Paolat - reimmatricolato Oscar Viaggi</t>
        </r>
      </text>
    </comment>
    <comment ref="M160" authorId="0" shapeId="0" xr:uid="{00000000-0006-0000-0000-000044000000}">
      <text>
        <r>
          <rPr>
            <b/>
            <sz val="9"/>
            <color indexed="81"/>
            <rFont val="Tahoma"/>
            <family val="2"/>
          </rPr>
          <t>Olimpia Kanellatu:</t>
        </r>
        <r>
          <rPr>
            <sz val="9"/>
            <color indexed="81"/>
            <rFont val="Tahoma"/>
            <family val="2"/>
          </rPr>
          <t xml:space="preserve">
dal 01/10/2022 Oscar svolge servizio al posto di Paolat</t>
        </r>
      </text>
    </comment>
    <comment ref="N160" authorId="0" shapeId="0" xr:uid="{00000000-0006-0000-0000-000045000000}">
      <text>
        <r>
          <rPr>
            <b/>
            <sz val="9"/>
            <color indexed="81"/>
            <rFont val="Tahoma"/>
            <family val="2"/>
          </rPr>
          <t>Olimpia Kanellatu:</t>
        </r>
        <r>
          <rPr>
            <sz val="9"/>
            <color indexed="81"/>
            <rFont val="Tahoma"/>
            <family val="2"/>
          </rPr>
          <t xml:space="preserve">
mezzo ex Paolat - reimmatricolato Oscar Viaggi</t>
        </r>
      </text>
    </comment>
    <comment ref="P160" authorId="0" shapeId="0" xr:uid="{00000000-0006-0000-0000-000046000000}">
      <text>
        <r>
          <rPr>
            <b/>
            <sz val="9"/>
            <color indexed="81"/>
            <rFont val="Tahoma"/>
            <family val="2"/>
          </rPr>
          <t>Olimpia Kanellatu:</t>
        </r>
        <r>
          <rPr>
            <sz val="9"/>
            <color indexed="81"/>
            <rFont val="Tahoma"/>
            <family val="2"/>
          </rPr>
          <t xml:space="preserve">
mezzo ex Paolat - reimmatricolato Oscar Viaggi</t>
        </r>
      </text>
    </comment>
    <comment ref="M161" authorId="0" shapeId="0" xr:uid="{00000000-0006-0000-0000-000047000000}">
      <text>
        <r>
          <rPr>
            <b/>
            <sz val="9"/>
            <color indexed="81"/>
            <rFont val="Tahoma"/>
            <family val="2"/>
          </rPr>
          <t>Olimpia Kanellatu:</t>
        </r>
        <r>
          <rPr>
            <sz val="9"/>
            <color indexed="81"/>
            <rFont val="Tahoma"/>
            <family val="2"/>
          </rPr>
          <t xml:space="preserve">
dal 01/10/2022 Oscar svolge servizio al posto di Paolat</t>
        </r>
      </text>
    </comment>
    <comment ref="N161" authorId="0" shapeId="0" xr:uid="{00000000-0006-0000-0000-000048000000}">
      <text>
        <r>
          <rPr>
            <b/>
            <sz val="9"/>
            <color indexed="81"/>
            <rFont val="Tahoma"/>
            <family val="2"/>
          </rPr>
          <t>Olimpia Kanellatu:</t>
        </r>
        <r>
          <rPr>
            <sz val="9"/>
            <color indexed="81"/>
            <rFont val="Tahoma"/>
            <family val="2"/>
          </rPr>
          <t xml:space="preserve">
mezzo ex Paolat - reimmatricolato Oscar Viaggi</t>
        </r>
      </text>
    </comment>
    <comment ref="P161" authorId="0" shapeId="0" xr:uid="{00000000-0006-0000-0000-000049000000}">
      <text>
        <r>
          <rPr>
            <b/>
            <sz val="9"/>
            <color indexed="81"/>
            <rFont val="Tahoma"/>
            <family val="2"/>
          </rPr>
          <t>Olimpia Kanellatu:</t>
        </r>
        <r>
          <rPr>
            <sz val="9"/>
            <color indexed="81"/>
            <rFont val="Tahoma"/>
            <family val="2"/>
          </rPr>
          <t xml:space="preserve">
mezzo ex Paolat - reimmatricolato Oscar Viaggi</t>
        </r>
      </text>
    </comment>
    <comment ref="M165" authorId="0" shapeId="0" xr:uid="{00000000-0006-0000-0000-00004A000000}">
      <text>
        <r>
          <rPr>
            <b/>
            <sz val="9"/>
            <color indexed="81"/>
            <rFont val="Tahoma"/>
            <family val="2"/>
          </rPr>
          <t>Olimpia Kanellatu:</t>
        </r>
        <r>
          <rPr>
            <sz val="9"/>
            <color indexed="81"/>
            <rFont val="Tahoma"/>
            <family val="2"/>
          </rPr>
          <t xml:space="preserve">
dal 01/10/2022 Oscar svolge servizio al posto di Paolat</t>
        </r>
      </text>
    </comment>
    <comment ref="N165" authorId="0" shapeId="0" xr:uid="{00000000-0006-0000-0000-00004B000000}">
      <text>
        <r>
          <rPr>
            <b/>
            <sz val="9"/>
            <color indexed="81"/>
            <rFont val="Tahoma"/>
            <family val="2"/>
          </rPr>
          <t>Olimpia Kanellatu:</t>
        </r>
        <r>
          <rPr>
            <sz val="9"/>
            <color indexed="81"/>
            <rFont val="Tahoma"/>
            <family val="2"/>
          </rPr>
          <t xml:space="preserve">
mezzo ex Paolat - reimmatricolato Oscar Viaggi</t>
        </r>
      </text>
    </comment>
    <comment ref="P165" authorId="0" shapeId="0" xr:uid="{00000000-0006-0000-0000-00004C000000}">
      <text>
        <r>
          <rPr>
            <b/>
            <sz val="9"/>
            <color indexed="81"/>
            <rFont val="Tahoma"/>
            <family val="2"/>
          </rPr>
          <t>Olimpia Kanellatu:</t>
        </r>
        <r>
          <rPr>
            <sz val="9"/>
            <color indexed="81"/>
            <rFont val="Tahoma"/>
            <family val="2"/>
          </rPr>
          <t xml:space="preserve">
mezzo ex Paolat - reimmatricolato Oscar Viaggi</t>
        </r>
      </text>
    </comment>
    <comment ref="H176" authorId="0" shapeId="0" xr:uid="{00000000-0006-0000-0000-00004D000000}">
      <text>
        <r>
          <rPr>
            <b/>
            <sz val="9"/>
            <color indexed="81"/>
            <rFont val="Tahoma"/>
            <family val="2"/>
          </rPr>
          <t>Olimpia Kanellatu:</t>
        </r>
        <r>
          <rPr>
            <sz val="9"/>
            <color indexed="81"/>
            <rFont val="Tahoma"/>
            <family val="2"/>
          </rPr>
          <t xml:space="preserve">
soppresso il sabato dal 18/02/23</t>
        </r>
      </text>
    </comment>
    <comment ref="AB176" authorId="0" shapeId="0" xr:uid="{00000000-0006-0000-0000-00004E000000}">
      <text>
        <r>
          <rPr>
            <b/>
            <sz val="9"/>
            <color indexed="81"/>
            <rFont val="Tahoma"/>
            <family val="2"/>
          </rPr>
          <t>Olimpia Kanellatu:</t>
        </r>
        <r>
          <rPr>
            <sz val="9"/>
            <color indexed="81"/>
            <rFont val="Tahoma"/>
            <family val="2"/>
          </rPr>
          <t xml:space="preserve">
soppresso il sabato dal 18/02/2023</t>
        </r>
      </text>
    </comment>
    <comment ref="H177" authorId="0" shapeId="0" xr:uid="{00000000-0006-0000-0000-00004F000000}">
      <text>
        <r>
          <rPr>
            <b/>
            <sz val="9"/>
            <color indexed="81"/>
            <rFont val="Tahoma"/>
            <family val="2"/>
          </rPr>
          <t>Olimpia Kanellatu:</t>
        </r>
        <r>
          <rPr>
            <sz val="9"/>
            <color indexed="81"/>
            <rFont val="Tahoma"/>
            <family val="2"/>
          </rPr>
          <t xml:space="preserve">
soppresso il sabato dal 18/02/23</t>
        </r>
      </text>
    </comment>
    <comment ref="AB177" authorId="0" shapeId="0" xr:uid="{00000000-0006-0000-0000-000050000000}">
      <text>
        <r>
          <rPr>
            <b/>
            <sz val="9"/>
            <color indexed="81"/>
            <rFont val="Tahoma"/>
            <family val="2"/>
          </rPr>
          <t>Olimpia Kanellatu:</t>
        </r>
        <r>
          <rPr>
            <sz val="9"/>
            <color indexed="81"/>
            <rFont val="Tahoma"/>
            <family val="2"/>
          </rPr>
          <t xml:space="preserve">
soppresso il sabato dal 18/02/2023</t>
        </r>
      </text>
    </comment>
    <comment ref="J204" authorId="0" shapeId="0" xr:uid="{00000000-0006-0000-0000-000051000000}">
      <text>
        <r>
          <rPr>
            <b/>
            <sz val="9"/>
            <color indexed="81"/>
            <rFont val="Tahoma"/>
            <family val="2"/>
          </rPr>
          <t>LS: La corsa titolare e bis presente nel precedente appalto sono state unita in unica corsa con mezzo da 50 posti.</t>
        </r>
        <r>
          <rPr>
            <sz val="9"/>
            <color indexed="81"/>
            <rFont val="Tahoma"/>
            <family val="2"/>
          </rPr>
          <t xml:space="preserve">
</t>
        </r>
      </text>
    </comment>
    <comment ref="J207" authorId="0" shapeId="0" xr:uid="{00000000-0006-0000-0000-000052000000}">
      <text>
        <r>
          <rPr>
            <b/>
            <sz val="9"/>
            <color indexed="81"/>
            <rFont val="Tahoma"/>
            <family val="2"/>
          </rPr>
          <t>LS: Corretto 50 posti, per maggior utenza.</t>
        </r>
        <r>
          <rPr>
            <sz val="9"/>
            <color indexed="81"/>
            <rFont val="Tahoma"/>
            <family val="2"/>
          </rPr>
          <t xml:space="preserve">
</t>
        </r>
      </text>
    </comment>
    <comment ref="J208" authorId="0" shapeId="0" xr:uid="{00000000-0006-0000-0000-000053000000}">
      <text>
        <r>
          <rPr>
            <b/>
            <sz val="9"/>
            <color indexed="81"/>
            <rFont val="Tahoma"/>
            <family val="2"/>
          </rPr>
          <t>LS: Unite corsa bis + titolare del precedente appalto in unica corsa con mezzo da 50 posti.</t>
        </r>
        <r>
          <rPr>
            <sz val="9"/>
            <color indexed="81"/>
            <rFont val="Tahoma"/>
            <family val="2"/>
          </rPr>
          <t xml:space="preserve">
</t>
        </r>
      </text>
    </comment>
    <comment ref="J209" authorId="0" shapeId="0" xr:uid="{00000000-0006-0000-0000-000054000000}">
      <text>
        <r>
          <rPr>
            <b/>
            <sz val="9"/>
            <color indexed="81"/>
            <rFont val="Tahoma"/>
            <family val="2"/>
          </rPr>
          <t>LS: Lasciamo 20 posti ma va bene anche il mezzo 17 posti. In base all'utenza di sett. Valuteremo.</t>
        </r>
        <r>
          <rPr>
            <sz val="9"/>
            <color indexed="81"/>
            <rFont val="Tahoma"/>
            <family val="2"/>
          </rPr>
          <t xml:space="preserve">
</t>
        </r>
      </text>
    </comment>
    <comment ref="J232" authorId="0" shapeId="0" xr:uid="{00000000-0006-0000-0000-000056000000}">
      <text>
        <r>
          <rPr>
            <b/>
            <sz val="9"/>
            <color indexed="81"/>
            <rFont val="Tahoma"/>
            <family val="2"/>
          </rPr>
          <t>LS: ok 8p come nel precedente appalto</t>
        </r>
        <r>
          <rPr>
            <sz val="9"/>
            <color indexed="81"/>
            <rFont val="Tahoma"/>
            <family val="2"/>
          </rPr>
          <t xml:space="preserve">
</t>
        </r>
      </text>
    </comment>
    <comment ref="J242" authorId="0" shapeId="0" xr:uid="{00000000-0006-0000-0000-000057000000}">
      <text>
        <r>
          <rPr>
            <b/>
            <sz val="9"/>
            <color indexed="81"/>
            <rFont val="Tahoma"/>
            <family val="2"/>
          </rPr>
          <t>LS: Era autorizzato un 9 posti ma anche nello scorso appalto era richiesto un 29 posti</t>
        </r>
        <r>
          <rPr>
            <sz val="9"/>
            <color indexed="81"/>
            <rFont val="Tahoma"/>
            <family val="2"/>
          </rPr>
          <t xml:space="preserve">
</t>
        </r>
      </text>
    </comment>
    <comment ref="J243" authorId="0" shapeId="0" xr:uid="{00000000-0006-0000-0000-000059000000}">
      <text>
        <r>
          <rPr>
            <b/>
            <sz val="9"/>
            <color indexed="81"/>
            <rFont val="Tahoma"/>
            <family val="2"/>
          </rPr>
          <t>LS: Inserito mezzo uguale alla corsa n. 655 linea 124</t>
        </r>
        <r>
          <rPr>
            <sz val="9"/>
            <color indexed="81"/>
            <rFont val="Tahoma"/>
            <family val="2"/>
          </rPr>
          <t xml:space="preserve">
</t>
        </r>
      </text>
    </comment>
    <comment ref="M253" authorId="0" shapeId="0" xr:uid="{00000000-0006-0000-0000-00005A000000}">
      <text>
        <r>
          <rPr>
            <b/>
            <sz val="9"/>
            <color indexed="81"/>
            <rFont val="Tahoma"/>
            <family val="2"/>
          </rPr>
          <t>Olimpia Kanellatu:</t>
        </r>
        <r>
          <rPr>
            <sz val="9"/>
            <color indexed="81"/>
            <rFont val="Tahoma"/>
            <family val="2"/>
          </rPr>
          <t xml:space="preserve">
servizio ex Sarcatour - dal 01/03/23 SRT</t>
        </r>
      </text>
    </comment>
    <comment ref="M254" authorId="0" shapeId="0" xr:uid="{00000000-0006-0000-0000-00005C000000}">
      <text>
        <r>
          <rPr>
            <b/>
            <sz val="9"/>
            <color indexed="81"/>
            <rFont val="Tahoma"/>
            <family val="2"/>
          </rPr>
          <t>Olimpia Kanellatu:</t>
        </r>
        <r>
          <rPr>
            <sz val="9"/>
            <color indexed="81"/>
            <rFont val="Tahoma"/>
            <family val="2"/>
          </rPr>
          <t xml:space="preserve">
servizio ex Sarcatour - dal 01/03/23 SRT</t>
        </r>
      </text>
    </comment>
    <comment ref="I259" authorId="0" shapeId="0" xr:uid="{00000000-0006-0000-0000-00005D000000}">
      <text>
        <r>
          <rPr>
            <b/>
            <sz val="9"/>
            <color indexed="81"/>
            <rFont val="Tahoma"/>
            <family val="2"/>
          </rPr>
          <t>Olimpia Kanellatu:</t>
        </r>
        <r>
          <rPr>
            <sz val="9"/>
            <color indexed="81"/>
            <rFont val="Tahoma"/>
            <family val="2"/>
          </rPr>
          <t xml:space="preserve">
in capitolato erano km 37</t>
        </r>
      </text>
    </comment>
    <comment ref="N263" authorId="0" shapeId="0" xr:uid="{00000000-0006-0000-0000-00005E000000}">
      <text>
        <r>
          <rPr>
            <b/>
            <sz val="9"/>
            <color indexed="81"/>
            <rFont val="Tahoma"/>
            <family val="2"/>
          </rPr>
          <t>Olimpia Kanellatu:</t>
        </r>
        <r>
          <rPr>
            <sz val="9"/>
            <color indexed="81"/>
            <rFont val="Tahoma"/>
            <family val="2"/>
          </rPr>
          <t xml:space="preserve">
da utilizzare fino a agosto'23 che raggiunge i 13 anni</t>
        </r>
      </text>
    </comment>
    <comment ref="N273" authorId="0" shapeId="0" xr:uid="{00000000-0006-0000-0000-00005F000000}">
      <text>
        <r>
          <rPr>
            <b/>
            <sz val="9"/>
            <color indexed="81"/>
            <rFont val="Tahoma"/>
            <family val="2"/>
          </rPr>
          <t>Olimpia Kanellatu:</t>
        </r>
        <r>
          <rPr>
            <sz val="9"/>
            <color indexed="81"/>
            <rFont val="Tahoma"/>
            <family val="2"/>
          </rPr>
          <t xml:space="preserve">
da utilizzare fino a agosto'23 che raggiunge i 13 anni</t>
        </r>
      </text>
    </comment>
    <comment ref="N276" authorId="0" shapeId="0" xr:uid="{00000000-0006-0000-0000-000060000000}">
      <text>
        <r>
          <rPr>
            <b/>
            <sz val="9"/>
            <color indexed="81"/>
            <rFont val="Tahoma"/>
            <family val="2"/>
          </rPr>
          <t>Olimpia Kanellatu:</t>
        </r>
        <r>
          <rPr>
            <sz val="9"/>
            <color indexed="81"/>
            <rFont val="Tahoma"/>
            <family val="2"/>
          </rPr>
          <t xml:space="preserve">
da utilizzare fino a agosto'23 che raggiunge i 13 anni</t>
        </r>
      </text>
    </comment>
    <comment ref="N285" authorId="0" shapeId="0" xr:uid="{00000000-0006-0000-0000-000061000000}">
      <text>
        <r>
          <rPr>
            <b/>
            <sz val="9"/>
            <color indexed="81"/>
            <rFont val="Tahoma"/>
            <family val="2"/>
          </rPr>
          <t>Olimpia Kanellatu:</t>
        </r>
        <r>
          <rPr>
            <sz val="9"/>
            <color indexed="81"/>
            <rFont val="Tahoma"/>
            <family val="2"/>
          </rPr>
          <t xml:space="preserve">
da utilizzare fino a agosto'23 che raggiunge i 13 anni</t>
        </r>
      </text>
    </comment>
    <comment ref="J291" authorId="0" shapeId="0" xr:uid="{00000000-0006-0000-0000-000062000000}">
      <text>
        <r>
          <rPr>
            <b/>
            <sz val="9"/>
            <color indexed="81"/>
            <rFont val="Tahoma"/>
            <family val="2"/>
          </rPr>
          <t>LS: Ok per il 17 posti in caso valutiamo più avanti se è necessario il 19 posti.</t>
        </r>
        <r>
          <rPr>
            <sz val="9"/>
            <color indexed="81"/>
            <rFont val="Tahoma"/>
            <family val="2"/>
          </rPr>
          <t xml:space="preserve">
</t>
        </r>
      </text>
    </comment>
    <comment ref="K320" authorId="0" shapeId="0" xr:uid="{00000000-0006-0000-0000-000065000000}">
      <text>
        <r>
          <rPr>
            <b/>
            <sz val="9"/>
            <color indexed="81"/>
            <rFont val="Tahoma"/>
            <family val="2"/>
          </rPr>
          <t>Olimpia Kanellatu:</t>
        </r>
        <r>
          <rPr>
            <sz val="9"/>
            <color indexed="81"/>
            <rFont val="Tahoma"/>
            <family val="2"/>
          </rPr>
          <t xml:space="preserve">
da cancellare perché già prevista nella riga 270</t>
        </r>
      </text>
    </comment>
    <comment ref="M344" authorId="0" shapeId="0" xr:uid="{00000000-0006-0000-0000-000066000000}">
      <text>
        <r>
          <rPr>
            <b/>
            <sz val="9"/>
            <color indexed="81"/>
            <rFont val="Tahoma"/>
            <family val="2"/>
          </rPr>
          <t>Olimpia Kanellatu:</t>
        </r>
        <r>
          <rPr>
            <sz val="9"/>
            <color indexed="81"/>
            <rFont val="Tahoma"/>
            <family val="2"/>
          </rPr>
          <t xml:space="preserve">
ex servizio Sarcatour</t>
        </r>
      </text>
    </comment>
    <comment ref="H346" authorId="0" shapeId="0" xr:uid="{00000000-0006-0000-0000-000067000000}">
      <text>
        <r>
          <rPr>
            <b/>
            <sz val="9"/>
            <color indexed="81"/>
            <rFont val="Tahoma"/>
            <family val="2"/>
          </rPr>
          <t>Olimpia Kanellatu:</t>
        </r>
        <r>
          <rPr>
            <sz val="9"/>
            <color indexed="81"/>
            <rFont val="Tahoma"/>
            <family val="2"/>
          </rPr>
          <t xml:space="preserve">
era solo invernale
</t>
        </r>
      </text>
    </comment>
    <comment ref="H370" authorId="0" shapeId="0" xr:uid="{00000000-0006-0000-0000-00006A000000}">
      <text>
        <r>
          <rPr>
            <b/>
            <sz val="9"/>
            <color indexed="81"/>
            <rFont val="Tahoma"/>
            <family val="2"/>
          </rPr>
          <t>Olimpia Kanellatu:</t>
        </r>
        <r>
          <rPr>
            <sz val="9"/>
            <color indexed="81"/>
            <rFont val="Tahoma"/>
            <family val="2"/>
          </rPr>
          <t xml:space="preserve">
era post festiva + covid</t>
        </r>
      </text>
    </comment>
    <comment ref="J386" authorId="0" shapeId="0" xr:uid="{00000000-0006-0000-0000-00006D000000}">
      <text>
        <r>
          <rPr>
            <b/>
            <sz val="9"/>
            <color indexed="81"/>
            <rFont val="Tahoma"/>
            <family val="2"/>
          </rPr>
          <t>LS: ok per il 22 posti., come previsto nello scorso appalto. Succ. valutiamo se è necessario il 50 posti</t>
        </r>
        <r>
          <rPr>
            <sz val="9"/>
            <color indexed="81"/>
            <rFont val="Tahoma"/>
            <family val="2"/>
          </rPr>
          <t xml:space="preserve">
</t>
        </r>
      </text>
    </comment>
    <comment ref="J396" authorId="0" shapeId="0" xr:uid="{00000000-0006-0000-0000-00006E000000}">
      <text>
        <r>
          <rPr>
            <b/>
            <sz val="9"/>
            <color indexed="81"/>
            <rFont val="Tahoma"/>
            <family val="2"/>
          </rPr>
          <t>LS: ok per il 18 posti., come previsto nello scorso appalto. Succ. valutiamo se è necessario il 22 posti</t>
        </r>
        <r>
          <rPr>
            <sz val="9"/>
            <color indexed="81"/>
            <rFont val="Tahoma"/>
            <family val="2"/>
          </rPr>
          <t xml:space="preserve">
</t>
        </r>
      </text>
    </comment>
    <comment ref="J397" authorId="0" shapeId="0" xr:uid="{00000000-0006-0000-0000-00006F000000}">
      <text>
        <r>
          <rPr>
            <b/>
            <sz val="9"/>
            <color indexed="81"/>
            <rFont val="Tahoma"/>
            <family val="2"/>
          </rPr>
          <t>LS: ok per il 28 posti., come previsto nello scorso appalto. Succ. valutiamo se è necessario il 44 posti</t>
        </r>
        <r>
          <rPr>
            <sz val="9"/>
            <color indexed="81"/>
            <rFont val="Tahoma"/>
            <family val="2"/>
          </rPr>
          <t xml:space="preserve">
</t>
        </r>
      </text>
    </comment>
    <comment ref="J399" authorId="0" shapeId="0" xr:uid="{00000000-0006-0000-0000-000071000000}">
      <text>
        <r>
          <rPr>
            <b/>
            <sz val="9"/>
            <color indexed="81"/>
            <rFont val="Tahoma"/>
            <family val="2"/>
          </rPr>
          <t>LS: ok per il 9 posti., come previsto nello scorso appalto. Succ. valutiamo se è necessario il 20 posti</t>
        </r>
        <r>
          <rPr>
            <sz val="9"/>
            <color indexed="81"/>
            <rFont val="Tahoma"/>
            <family val="2"/>
          </rPr>
          <t xml:space="preserve">
</t>
        </r>
      </text>
    </comment>
    <comment ref="A401" authorId="0" shapeId="0" xr:uid="{00000000-0006-0000-0000-000072000000}">
      <text>
        <r>
          <rPr>
            <b/>
            <sz val="9"/>
            <color indexed="81"/>
            <rFont val="Tahoma"/>
            <family val="2"/>
          </rPr>
          <t>Olimpia Kanellatu:</t>
        </r>
        <r>
          <rPr>
            <sz val="9"/>
            <color indexed="81"/>
            <rFont val="Tahoma"/>
            <family val="2"/>
          </rPr>
          <t xml:space="preserve">
contattare Fruner per il 2023</t>
        </r>
      </text>
    </comment>
    <comment ref="A402" authorId="0" shapeId="0" xr:uid="{00000000-0006-0000-0000-000073000000}">
      <text>
        <r>
          <rPr>
            <b/>
            <sz val="9"/>
            <color indexed="81"/>
            <rFont val="Tahoma"/>
            <family val="2"/>
          </rPr>
          <t>Olimpia Kanellatu:</t>
        </r>
        <r>
          <rPr>
            <sz val="9"/>
            <color indexed="81"/>
            <rFont val="Tahoma"/>
            <family val="2"/>
          </rPr>
          <t xml:space="preserve">
contattare Fruner per il 2023</t>
        </r>
      </text>
    </comment>
    <comment ref="H405" authorId="0" shapeId="0" xr:uid="{00000000-0006-0000-0000-000074000000}">
      <text>
        <r>
          <rPr>
            <b/>
            <sz val="9"/>
            <color indexed="81"/>
            <rFont val="Tahoma"/>
            <family val="2"/>
          </rPr>
          <t>Olimpia Kanellatu:</t>
        </r>
        <r>
          <rPr>
            <sz val="9"/>
            <color indexed="81"/>
            <rFont val="Tahoma"/>
            <family val="2"/>
          </rPr>
          <t xml:space="preserve">
soppresso il sabato dal 28/01/2023
</t>
        </r>
      </text>
    </comment>
    <comment ref="AB405" authorId="0" shapeId="0" xr:uid="{00000000-0006-0000-0000-000075000000}">
      <text>
        <r>
          <rPr>
            <b/>
            <sz val="9"/>
            <color indexed="81"/>
            <rFont val="Tahoma"/>
            <family val="2"/>
          </rPr>
          <t>Olimpia Kanellatu:</t>
        </r>
        <r>
          <rPr>
            <sz val="9"/>
            <color indexed="81"/>
            <rFont val="Tahoma"/>
            <family val="2"/>
          </rPr>
          <t xml:space="preserve">
soppresso il sabato dal 28/01/2023</t>
        </r>
      </text>
    </comment>
    <comment ref="J415" authorId="0" shapeId="0" xr:uid="{00000000-0006-0000-0000-000079000000}">
      <text>
        <r>
          <rPr>
            <b/>
            <sz val="9"/>
            <color indexed="81"/>
            <rFont val="Tahoma"/>
            <family val="2"/>
          </rPr>
          <t>LS: ok per il 9 posti., come previsto nello scorso appalto. Succ. valutiamo se è necessario il 20 posti</t>
        </r>
        <r>
          <rPr>
            <sz val="9"/>
            <color indexed="81"/>
            <rFont val="Tahoma"/>
            <family val="2"/>
          </rPr>
          <t xml:space="preserve">
</t>
        </r>
      </text>
    </comment>
    <comment ref="J417" authorId="0" shapeId="0" xr:uid="{00000000-0006-0000-0000-00007A000000}">
      <text>
        <r>
          <rPr>
            <b/>
            <sz val="9"/>
            <color indexed="81"/>
            <rFont val="Tahoma"/>
            <family val="2"/>
          </rPr>
          <t>LS: ok per il 9 posti., come previsto nello scorso appalto. Succ. valutiamo se è necessario il 29 posti</t>
        </r>
        <r>
          <rPr>
            <sz val="9"/>
            <color indexed="81"/>
            <rFont val="Tahoma"/>
            <family val="2"/>
          </rPr>
          <t xml:space="preserve">
</t>
        </r>
      </text>
    </comment>
    <comment ref="N419" authorId="0" shapeId="0" xr:uid="{00000000-0006-0000-0000-00007C000000}">
      <text>
        <r>
          <rPr>
            <b/>
            <sz val="9"/>
            <color indexed="81"/>
            <rFont val="Tahoma"/>
            <family val="2"/>
          </rPr>
          <t>Olimpia Kanellatu:</t>
        </r>
        <r>
          <rPr>
            <sz val="9"/>
            <color indexed="81"/>
            <rFont val="Tahoma"/>
            <family val="2"/>
          </rPr>
          <t xml:space="preserve">
da utilizzare fino a agosto'23 che raggiunge i 13 anni</t>
        </r>
      </text>
    </comment>
    <comment ref="N420" authorId="0" shapeId="0" xr:uid="{00000000-0006-0000-0000-00007D000000}">
      <text>
        <r>
          <rPr>
            <b/>
            <sz val="9"/>
            <color indexed="81"/>
            <rFont val="Tahoma"/>
            <family val="2"/>
          </rPr>
          <t>Olimpia Kanellatu:</t>
        </r>
        <r>
          <rPr>
            <sz val="9"/>
            <color indexed="81"/>
            <rFont val="Tahoma"/>
            <family val="2"/>
          </rPr>
          <t xml:space="preserve">
da utilizzare fino a agosto'23 che raggiunge i 13 anni</t>
        </r>
      </text>
    </comment>
    <comment ref="N421" authorId="0" shapeId="0" xr:uid="{00000000-0006-0000-0000-00007E000000}">
      <text>
        <r>
          <rPr>
            <b/>
            <sz val="9"/>
            <color indexed="81"/>
            <rFont val="Tahoma"/>
            <family val="2"/>
          </rPr>
          <t>Olimpia Kanellatu:</t>
        </r>
        <r>
          <rPr>
            <sz val="9"/>
            <color indexed="81"/>
            <rFont val="Tahoma"/>
            <family val="2"/>
          </rPr>
          <t xml:space="preserve">
da utilizzare fino a agosto'23 che raggiunge i 13 anni</t>
        </r>
      </text>
    </comment>
    <comment ref="N447" authorId="0" shapeId="0" xr:uid="{00000000-0006-0000-0000-000081000000}">
      <text>
        <r>
          <rPr>
            <b/>
            <sz val="9"/>
            <color indexed="81"/>
            <rFont val="Tahoma"/>
            <family val="2"/>
          </rPr>
          <t>Olimpia Kanellatu:</t>
        </r>
        <r>
          <rPr>
            <sz val="9"/>
            <color indexed="81"/>
            <rFont val="Tahoma"/>
            <family val="2"/>
          </rPr>
          <t xml:space="preserve">
da utilizzare fino a agosto'23 che raggiunge i 13 anni</t>
        </r>
      </text>
    </comment>
    <comment ref="N450" authorId="0" shapeId="0" xr:uid="{00000000-0006-0000-0000-000082000000}">
      <text>
        <r>
          <rPr>
            <b/>
            <sz val="9"/>
            <color indexed="81"/>
            <rFont val="Tahoma"/>
            <family val="2"/>
          </rPr>
          <t>Olimpia Kanellatu:</t>
        </r>
        <r>
          <rPr>
            <sz val="9"/>
            <color indexed="81"/>
            <rFont val="Tahoma"/>
            <family val="2"/>
          </rPr>
          <t xml:space="preserve">
da utilizzare fino a agosto'23 che raggiunge i 13 anni</t>
        </r>
      </text>
    </comment>
    <comment ref="G459" authorId="0" shapeId="0" xr:uid="{00000000-0006-0000-0000-000085000000}">
      <text>
        <r>
          <rPr>
            <b/>
            <sz val="9"/>
            <color indexed="81"/>
            <rFont val="Tahoma"/>
            <family val="2"/>
          </rPr>
          <t>Olimpia Kanellatu:</t>
        </r>
        <r>
          <rPr>
            <sz val="9"/>
            <color indexed="81"/>
            <rFont val="Tahoma"/>
            <family val="2"/>
          </rPr>
          <t xml:space="preserve">
dal 11/04 corsa svolta da Filippi nuovamente al posto di Tn Service - è stato aggiunto Storo a.s. 22/23</t>
        </r>
      </text>
    </comment>
    <comment ref="I459" authorId="0" shapeId="0" xr:uid="{00000000-0006-0000-0000-000086000000}">
      <text>
        <r>
          <rPr>
            <b/>
            <sz val="9"/>
            <color indexed="81"/>
            <rFont val="Tahoma"/>
            <family val="2"/>
          </rPr>
          <t xml:space="preserve">Olimpia Kanellatu: 
</t>
        </r>
        <r>
          <rPr>
            <sz val="9"/>
            <color indexed="81"/>
            <rFont val="Tahoma"/>
            <family val="2"/>
          </rPr>
          <t>inseriti da TT 3,2 km in più per partenza da Storo invece di Ca' Rossa</t>
        </r>
      </text>
    </comment>
    <comment ref="N471" authorId="0" shapeId="0" xr:uid="{00000000-0006-0000-0000-000089000000}">
      <text>
        <r>
          <rPr>
            <b/>
            <sz val="9"/>
            <color indexed="81"/>
            <rFont val="Tahoma"/>
            <family val="2"/>
          </rPr>
          <t>Olimpia Kanellatu:</t>
        </r>
        <r>
          <rPr>
            <sz val="9"/>
            <color indexed="81"/>
            <rFont val="Tahoma"/>
            <family val="2"/>
          </rPr>
          <t xml:space="preserve">
da utilizzare fino a agosto'23 che raggiunge i 13 anni</t>
        </r>
      </text>
    </comment>
    <comment ref="H482" authorId="0" shapeId="0" xr:uid="{00000000-0006-0000-0000-00008C000000}">
      <text>
        <r>
          <rPr>
            <b/>
            <sz val="9"/>
            <color indexed="81"/>
            <rFont val="Tahoma"/>
            <family val="2"/>
          </rPr>
          <t>Olimpia Kanellatu:</t>
        </r>
        <r>
          <rPr>
            <sz val="9"/>
            <color indexed="81"/>
            <rFont val="Tahoma"/>
            <family val="2"/>
          </rPr>
          <t xml:space="preserve">
era festiva estiva</t>
        </r>
      </text>
    </comment>
    <comment ref="H499" authorId="0" shapeId="0" xr:uid="{00000000-0006-0000-0000-000090000000}">
      <text>
        <r>
          <rPr>
            <b/>
            <sz val="9"/>
            <color indexed="81"/>
            <rFont val="Tahoma"/>
            <family val="2"/>
          </rPr>
          <t>Olimpia Kanellatu:</t>
        </r>
        <r>
          <rPr>
            <sz val="9"/>
            <color indexed="81"/>
            <rFont val="Tahoma"/>
            <family val="2"/>
          </rPr>
          <t xml:space="preserve">
INTRODOTTO SABATO</t>
        </r>
      </text>
    </comment>
    <comment ref="G501" authorId="0" shapeId="0" xr:uid="{00000000-0006-0000-0000-000092000000}">
      <text>
        <r>
          <rPr>
            <b/>
            <sz val="9"/>
            <color indexed="81"/>
            <rFont val="Tahoma"/>
            <family val="2"/>
          </rPr>
          <t>Olimpia Kanellatu:</t>
        </r>
        <r>
          <rPr>
            <sz val="9"/>
            <color indexed="81"/>
            <rFont val="Tahoma"/>
            <family val="2"/>
          </rPr>
          <t xml:space="preserve">
era fino a Spiazzo Rendena</t>
        </r>
      </text>
    </comment>
    <comment ref="I501" authorId="0" shapeId="0" xr:uid="{00000000-0006-0000-0000-000093000000}">
      <text>
        <r>
          <rPr>
            <b/>
            <sz val="9"/>
            <color indexed="81"/>
            <rFont val="Tahoma"/>
            <family val="2"/>
          </rPr>
          <t>Olimpia Kanellatu:</t>
        </r>
        <r>
          <rPr>
            <sz val="9"/>
            <color indexed="81"/>
            <rFont val="Tahoma"/>
            <family val="2"/>
          </rPr>
          <t xml:space="preserve">
i km Vestone - Tione sono 54 - la corsa in capitolato arrivava fino a Spiazzo Rendenza con 9 km in più</t>
        </r>
      </text>
    </comment>
    <comment ref="J509" authorId="0" shapeId="0" xr:uid="{00000000-0006-0000-0000-000094000000}">
      <text>
        <r>
          <rPr>
            <b/>
            <sz val="9"/>
            <color indexed="81"/>
            <rFont val="Tahoma"/>
            <family val="2"/>
          </rPr>
          <t xml:space="preserve">LS: ok per il 9 posti. Succ. valutiamo se necessario 16 posti.
</t>
        </r>
      </text>
    </comment>
    <comment ref="J510" authorId="0" shapeId="0" xr:uid="{00000000-0006-0000-0000-000095000000}">
      <text>
        <r>
          <rPr>
            <b/>
            <sz val="9"/>
            <color indexed="81"/>
            <rFont val="Tahoma"/>
            <family val="2"/>
          </rPr>
          <t xml:space="preserve">LS: Capienza corretta non è più suddivisa tra periodo con e senza intensificazione. </t>
        </r>
        <r>
          <rPr>
            <sz val="9"/>
            <color indexed="81"/>
            <rFont val="Tahoma"/>
            <family val="2"/>
          </rPr>
          <t xml:space="preserve">
</t>
        </r>
      </text>
    </comment>
    <comment ref="A516" authorId="0" shapeId="0" xr:uid="{00000000-0006-0000-0000-000096000000}">
      <text>
        <r>
          <rPr>
            <b/>
            <sz val="9"/>
            <color indexed="81"/>
            <rFont val="Tahoma"/>
            <family val="2"/>
          </rPr>
          <t>Olimpia Kanellatu:</t>
        </r>
        <r>
          <rPr>
            <sz val="9"/>
            <color indexed="81"/>
            <rFont val="Tahoma"/>
            <family val="2"/>
          </rPr>
          <t xml:space="preserve">
Riesumata: 
</t>
        </r>
        <r>
          <rPr>
            <b/>
            <sz val="9"/>
            <color indexed="81"/>
            <rFont val="Tahoma"/>
            <family val="2"/>
          </rPr>
          <t>L.S.:</t>
        </r>
        <r>
          <rPr>
            <sz val="9"/>
            <color indexed="81"/>
            <rFont val="Tahoma"/>
            <family val="2"/>
          </rPr>
          <t xml:space="preserve"> Modificato l'orario inizialmente previsto</t>
        </r>
      </text>
    </comment>
    <comment ref="H518" authorId="0" shapeId="0" xr:uid="{00000000-0006-0000-0000-000097000000}">
      <text>
        <r>
          <rPr>
            <b/>
            <sz val="9"/>
            <color indexed="81"/>
            <rFont val="Tahoma"/>
            <family val="2"/>
          </rPr>
          <t>Olimpia Kanellatu:</t>
        </r>
        <r>
          <rPr>
            <sz val="9"/>
            <color indexed="81"/>
            <rFont val="Tahoma"/>
            <family val="2"/>
          </rPr>
          <t xml:space="preserve">
in capitolato era Festiva invernale
dal 1 dic a 31 marzo</t>
        </r>
      </text>
    </comment>
    <comment ref="P528" authorId="0" shapeId="0" xr:uid="{00000000-0006-0000-0000-000098000000}">
      <text>
        <r>
          <rPr>
            <b/>
            <sz val="9"/>
            <color indexed="81"/>
            <rFont val="Tahoma"/>
            <family val="2"/>
          </rPr>
          <t>Olimpia Kanellatu:</t>
        </r>
        <r>
          <rPr>
            <sz val="9"/>
            <color indexed="81"/>
            <rFont val="Tahoma"/>
            <family val="2"/>
          </rPr>
          <t xml:space="preserve">
mezzo utilizzabile a.s. 22/23 fino a compimento 13° anno</t>
        </r>
      </text>
    </comment>
    <comment ref="P529" authorId="0" shapeId="0" xr:uid="{00000000-0006-0000-0000-000099000000}">
      <text>
        <r>
          <rPr>
            <b/>
            <sz val="9"/>
            <color indexed="81"/>
            <rFont val="Tahoma"/>
            <family val="2"/>
          </rPr>
          <t>Olimpia Kanellatu:</t>
        </r>
        <r>
          <rPr>
            <sz val="9"/>
            <color indexed="81"/>
            <rFont val="Tahoma"/>
            <family val="2"/>
          </rPr>
          <t xml:space="preserve">
mezzo utilizzabile a.s. 22/23 fino a compimento 13° anno</t>
        </r>
      </text>
    </comment>
    <comment ref="H530" authorId="0" shapeId="0" xr:uid="{00000000-0006-0000-0000-00009A000000}">
      <text>
        <r>
          <rPr>
            <b/>
            <sz val="9"/>
            <color indexed="81"/>
            <rFont val="Tahoma"/>
            <family val="2"/>
          </rPr>
          <t>Olimpia Kanellatu:</t>
        </r>
        <r>
          <rPr>
            <sz val="9"/>
            <color indexed="81"/>
            <rFont val="Tahoma"/>
            <family val="2"/>
          </rPr>
          <t xml:space="preserve">
era dal lunedì al sabato</t>
        </r>
      </text>
    </comment>
    <comment ref="G560" authorId="0" shapeId="0" xr:uid="{00000000-0006-0000-0000-0000A3000000}">
      <text>
        <r>
          <rPr>
            <b/>
            <sz val="9"/>
            <color indexed="81"/>
            <rFont val="Tahoma"/>
            <family val="2"/>
          </rPr>
          <t>Olimpia Kanellatu:</t>
        </r>
        <r>
          <rPr>
            <sz val="9"/>
            <color indexed="81"/>
            <rFont val="Tahoma"/>
            <family val="2"/>
          </rPr>
          <t xml:space="preserve">
in capitolato c'era scritto Luserna-Caldonazzo</t>
        </r>
      </text>
    </comment>
    <comment ref="I560" authorId="0" shapeId="0" xr:uid="{00000000-0006-0000-0000-0000A4000000}">
      <text>
        <r>
          <rPr>
            <b/>
            <sz val="9"/>
            <color indexed="81"/>
            <rFont val="Tahoma"/>
            <family val="2"/>
          </rPr>
          <t>Olimpia Kanellatu:</t>
        </r>
        <r>
          <rPr>
            <sz val="9"/>
            <color indexed="81"/>
            <rFont val="Tahoma"/>
            <family val="2"/>
          </rPr>
          <t xml:space="preserve">
in capitolato erano 19km</t>
        </r>
      </text>
    </comment>
    <comment ref="M564" authorId="0" shapeId="0" xr:uid="{00000000-0006-0000-0000-0000A6000000}">
      <text>
        <r>
          <rPr>
            <b/>
            <sz val="9"/>
            <color indexed="81"/>
            <rFont val="Tahoma"/>
            <family val="2"/>
          </rPr>
          <t>Olimpia Kanellatu:</t>
        </r>
        <r>
          <rPr>
            <sz val="9"/>
            <color indexed="81"/>
            <rFont val="Tahoma"/>
            <family val="2"/>
          </rPr>
          <t xml:space="preserve">
richiesta a Italbus</t>
        </r>
      </text>
    </comment>
    <comment ref="J583" authorId="0" shapeId="0" xr:uid="{00000000-0006-0000-0000-0000A7000000}">
      <text>
        <r>
          <rPr>
            <b/>
            <sz val="9"/>
            <color indexed="81"/>
            <rFont val="Tahoma"/>
            <family val="2"/>
          </rPr>
          <t>LS: ok per il 9 posti. Succ. valutiamo se necessario 14 posti.</t>
        </r>
        <r>
          <rPr>
            <sz val="9"/>
            <color indexed="81"/>
            <rFont val="Tahoma"/>
            <family val="2"/>
          </rPr>
          <t xml:space="preserve">
</t>
        </r>
      </text>
    </comment>
    <comment ref="H616" authorId="0" shapeId="0" xr:uid="{00000000-0006-0000-0000-0000AD000000}">
      <text>
        <r>
          <rPr>
            <b/>
            <sz val="9"/>
            <color indexed="81"/>
            <rFont val="Tahoma"/>
            <family val="2"/>
          </rPr>
          <t>Olimpia Kanellatu:</t>
        </r>
        <r>
          <rPr>
            <sz val="9"/>
            <color indexed="81"/>
            <rFont val="Tahoma"/>
            <family val="2"/>
          </rPr>
          <t xml:space="preserve">
era frequenza invernale e estiva
</t>
        </r>
      </text>
    </comment>
    <comment ref="K616" authorId="0" shapeId="0" xr:uid="{00000000-0006-0000-0000-0000AE000000}">
      <text>
        <r>
          <rPr>
            <b/>
            <sz val="9"/>
            <color indexed="81"/>
            <rFont val="Tahoma"/>
            <family val="2"/>
          </rPr>
          <t>Olimpia Kanellatu:</t>
        </r>
        <r>
          <rPr>
            <sz val="9"/>
            <color indexed="81"/>
            <rFont val="Tahoma"/>
            <family val="2"/>
          </rPr>
          <t xml:space="preserve">
gg corretti 202 e non 252</t>
        </r>
      </text>
    </comment>
    <comment ref="M642" authorId="0" shapeId="0" xr:uid="{00000000-0006-0000-0000-0000B7000000}">
      <text>
        <r>
          <rPr>
            <b/>
            <sz val="9"/>
            <color indexed="81"/>
            <rFont val="Tahoma"/>
            <family val="2"/>
          </rPr>
          <t>Olimpia Kanellatu:</t>
        </r>
        <r>
          <rPr>
            <sz val="9"/>
            <color indexed="81"/>
            <rFont val="Tahoma"/>
            <family val="2"/>
          </rPr>
          <t xml:space="preserve">
ex Busmania
</t>
        </r>
      </text>
    </comment>
    <comment ref="R642" authorId="0" shapeId="0" xr:uid="{00000000-0006-0000-0000-0000B8000000}">
      <text>
        <r>
          <rPr>
            <b/>
            <sz val="9"/>
            <color indexed="81"/>
            <rFont val="Tahoma"/>
            <family val="2"/>
          </rPr>
          <t xml:space="preserve">Olimpia Kanellatu:
</t>
        </r>
        <r>
          <rPr>
            <sz val="9"/>
            <color indexed="81"/>
            <rFont val="Tahoma"/>
            <family val="2"/>
          </rPr>
          <t xml:space="preserve">mezzo utilizzabile a.s. 22/23 fino a compimento 13° anno
</t>
        </r>
      </text>
    </comment>
    <comment ref="M643" authorId="0" shapeId="0" xr:uid="{00000000-0006-0000-0000-0000B9000000}">
      <text>
        <r>
          <rPr>
            <b/>
            <sz val="9"/>
            <color indexed="81"/>
            <rFont val="Tahoma"/>
            <family val="2"/>
          </rPr>
          <t>Olimpia Kanellatu:</t>
        </r>
        <r>
          <rPr>
            <sz val="9"/>
            <color indexed="81"/>
            <rFont val="Tahoma"/>
            <family val="2"/>
          </rPr>
          <t xml:space="preserve">
servizio ex Busmania - dal 01/03/23 svolto da Valduga</t>
        </r>
      </text>
    </comment>
    <comment ref="R643" authorId="0" shapeId="0" xr:uid="{00000000-0006-0000-0000-0000BA000000}">
      <text>
        <r>
          <rPr>
            <b/>
            <sz val="9"/>
            <color indexed="81"/>
            <rFont val="Tahoma"/>
            <family val="2"/>
          </rPr>
          <t xml:space="preserve">Olimpia Kanellatu:
</t>
        </r>
        <r>
          <rPr>
            <sz val="9"/>
            <color indexed="81"/>
            <rFont val="Tahoma"/>
            <family val="2"/>
          </rPr>
          <t xml:space="preserve">mezzo utilizzabile a.s. 22/23 fino a compimento 13° anno
</t>
        </r>
      </text>
    </comment>
    <comment ref="J644" authorId="0" shapeId="0" xr:uid="{00000000-0006-0000-0000-0000BB000000}">
      <text>
        <r>
          <rPr>
            <b/>
            <sz val="9"/>
            <color indexed="81"/>
            <rFont val="Tahoma"/>
            <family val="2"/>
          </rPr>
          <t>LS: Ok per il 24 posti in caso valutiamo più avanti se è necessario il 29 posti.</t>
        </r>
        <r>
          <rPr>
            <sz val="9"/>
            <color indexed="81"/>
            <rFont val="Tahoma"/>
            <family val="2"/>
          </rPr>
          <t xml:space="preserve">
</t>
        </r>
      </text>
    </comment>
    <comment ref="M644" authorId="0" shapeId="0" xr:uid="{00000000-0006-0000-0000-0000BC000000}">
      <text>
        <r>
          <rPr>
            <b/>
            <sz val="9"/>
            <color indexed="81"/>
            <rFont val="Tahoma"/>
            <family val="2"/>
          </rPr>
          <t>Olimpia Kanellatu:</t>
        </r>
        <r>
          <rPr>
            <sz val="9"/>
            <color indexed="81"/>
            <rFont val="Tahoma"/>
            <family val="2"/>
          </rPr>
          <t xml:space="preserve">
servizio ex Busmania - dal 01/03/23 svolto da Valduga</t>
        </r>
      </text>
    </comment>
    <comment ref="R644" authorId="0" shapeId="0" xr:uid="{00000000-0006-0000-0000-0000BD000000}">
      <text>
        <r>
          <rPr>
            <b/>
            <sz val="9"/>
            <color indexed="81"/>
            <rFont val="Tahoma"/>
            <family val="2"/>
          </rPr>
          <t xml:space="preserve">Olimpia Kanellatu:
</t>
        </r>
        <r>
          <rPr>
            <sz val="9"/>
            <color indexed="81"/>
            <rFont val="Tahoma"/>
            <family val="2"/>
          </rPr>
          <t xml:space="preserve">mezzo utilizzabile a.s. 22/23 fino a compimento 13° anno
</t>
        </r>
      </text>
    </comment>
    <comment ref="M646" authorId="0" shapeId="0" xr:uid="{00000000-0006-0000-0000-0000BE000000}">
      <text>
        <r>
          <rPr>
            <b/>
            <sz val="9"/>
            <color indexed="81"/>
            <rFont val="Tahoma"/>
            <family val="2"/>
          </rPr>
          <t>Olimpia Kanellatu:</t>
        </r>
        <r>
          <rPr>
            <sz val="9"/>
            <color indexed="81"/>
            <rFont val="Tahoma"/>
            <family val="2"/>
          </rPr>
          <t xml:space="preserve">
servizio ex Busmania - dal 01/03/23 svolto da Valduga</t>
        </r>
      </text>
    </comment>
    <comment ref="R646" authorId="0" shapeId="0" xr:uid="{00000000-0006-0000-0000-0000BF000000}">
      <text>
        <r>
          <rPr>
            <b/>
            <sz val="9"/>
            <color indexed="81"/>
            <rFont val="Tahoma"/>
            <family val="2"/>
          </rPr>
          <t xml:space="preserve">Olimpia Kanellatu:
</t>
        </r>
        <r>
          <rPr>
            <sz val="9"/>
            <color indexed="81"/>
            <rFont val="Tahoma"/>
            <family val="2"/>
          </rPr>
          <t xml:space="preserve">mezzo utilizzabile a.s. 22/23 fino a compimento 13° anno
</t>
        </r>
      </text>
    </comment>
    <comment ref="J647" authorId="0" shapeId="0" xr:uid="{00000000-0006-0000-0000-0000C0000000}">
      <text>
        <r>
          <rPr>
            <b/>
            <sz val="9"/>
            <color indexed="81"/>
            <rFont val="Tahoma"/>
            <family val="2"/>
          </rPr>
          <t>LS: Ok per il 24 posti in caso valutiamo più avanti se è necessario il 29 posti.</t>
        </r>
        <r>
          <rPr>
            <sz val="9"/>
            <color indexed="81"/>
            <rFont val="Tahoma"/>
            <family val="2"/>
          </rPr>
          <t xml:space="preserve">
</t>
        </r>
      </text>
    </comment>
    <comment ref="M647" authorId="0" shapeId="0" xr:uid="{00000000-0006-0000-0000-0000C1000000}">
      <text>
        <r>
          <rPr>
            <b/>
            <sz val="9"/>
            <color indexed="81"/>
            <rFont val="Tahoma"/>
            <family val="2"/>
          </rPr>
          <t>Olimpia Kanellatu:</t>
        </r>
        <r>
          <rPr>
            <sz val="9"/>
            <color indexed="81"/>
            <rFont val="Tahoma"/>
            <family val="2"/>
          </rPr>
          <t xml:space="preserve">
servizio ex Busmania - dal 01/03/23 svolto da Valduga</t>
        </r>
      </text>
    </comment>
    <comment ref="R647" authorId="0" shapeId="0" xr:uid="{00000000-0006-0000-0000-0000C2000000}">
      <text>
        <r>
          <rPr>
            <b/>
            <sz val="9"/>
            <color indexed="81"/>
            <rFont val="Tahoma"/>
            <family val="2"/>
          </rPr>
          <t xml:space="preserve">Olimpia Kanellatu:
</t>
        </r>
        <r>
          <rPr>
            <sz val="9"/>
            <color indexed="81"/>
            <rFont val="Tahoma"/>
            <family val="2"/>
          </rPr>
          <t xml:space="preserve">mezzo utilizzabile a.s. 22/23 fino a compimento 13° anno
</t>
        </r>
      </text>
    </comment>
    <comment ref="M648" authorId="0" shapeId="0" xr:uid="{00000000-0006-0000-0000-0000C3000000}">
      <text>
        <r>
          <rPr>
            <b/>
            <sz val="9"/>
            <color indexed="81"/>
            <rFont val="Tahoma"/>
            <family val="2"/>
          </rPr>
          <t>Olimpia Kanellatu:</t>
        </r>
        <r>
          <rPr>
            <sz val="9"/>
            <color indexed="81"/>
            <rFont val="Tahoma"/>
            <family val="2"/>
          </rPr>
          <t xml:space="preserve">
ex Busmania
</t>
        </r>
      </text>
    </comment>
    <comment ref="R648" authorId="0" shapeId="0" xr:uid="{00000000-0006-0000-0000-0000C4000000}">
      <text>
        <r>
          <rPr>
            <b/>
            <sz val="9"/>
            <color indexed="81"/>
            <rFont val="Tahoma"/>
            <family val="2"/>
          </rPr>
          <t xml:space="preserve">Olimpia Kanellatu:
</t>
        </r>
        <r>
          <rPr>
            <sz val="9"/>
            <color indexed="81"/>
            <rFont val="Tahoma"/>
            <family val="2"/>
          </rPr>
          <t xml:space="preserve">mezzo utilizzabile a.s. 22/23 fino a compimento 13° anno
</t>
        </r>
      </text>
    </comment>
    <comment ref="R649" authorId="0" shapeId="0" xr:uid="{00000000-0006-0000-0000-0000C5000000}">
      <text>
        <r>
          <rPr>
            <b/>
            <sz val="9"/>
            <color indexed="81"/>
            <rFont val="Tahoma"/>
            <family val="2"/>
          </rPr>
          <t xml:space="preserve">Olimpia Kanellatu:
</t>
        </r>
        <r>
          <rPr>
            <sz val="9"/>
            <color indexed="81"/>
            <rFont val="Tahoma"/>
            <family val="2"/>
          </rPr>
          <t xml:space="preserve">mezzo utilizzabile a.s. 22/23 fino a compimento 13° anno
</t>
        </r>
      </text>
    </comment>
    <comment ref="R650" authorId="0" shapeId="0" xr:uid="{00000000-0006-0000-0000-0000C6000000}">
      <text>
        <r>
          <rPr>
            <b/>
            <sz val="9"/>
            <color indexed="81"/>
            <rFont val="Tahoma"/>
            <family val="2"/>
          </rPr>
          <t xml:space="preserve">Olimpia Kanellatu:
</t>
        </r>
        <r>
          <rPr>
            <sz val="9"/>
            <color indexed="81"/>
            <rFont val="Tahoma"/>
            <family val="2"/>
          </rPr>
          <t xml:space="preserve">mezzo utilizzabile a.s. 22/23 fino a compimento 13° anno
</t>
        </r>
      </text>
    </comment>
    <comment ref="P651" authorId="0" shapeId="0" xr:uid="{00000000-0006-0000-0000-0000C7000000}">
      <text>
        <r>
          <rPr>
            <b/>
            <sz val="9"/>
            <color indexed="81"/>
            <rFont val="Tahoma"/>
            <family val="2"/>
          </rPr>
          <t>Olimpia Kanellatu:</t>
        </r>
        <r>
          <rPr>
            <sz val="9"/>
            <color indexed="81"/>
            <rFont val="Tahoma"/>
            <family val="2"/>
          </rPr>
          <t xml:space="preserve">
mezzo utilizzabile a.s. 22/23 fino a compimento 13° anno</t>
        </r>
      </text>
    </comment>
    <comment ref="I652" authorId="0" shapeId="0" xr:uid="{00000000-0006-0000-0000-0000C8000000}">
      <text>
        <r>
          <rPr>
            <b/>
            <sz val="9"/>
            <color indexed="81"/>
            <rFont val="Tahoma"/>
            <family val="2"/>
          </rPr>
          <t>Olimpia Kanellatu:</t>
        </r>
        <r>
          <rPr>
            <sz val="9"/>
            <color indexed="81"/>
            <rFont val="Tahoma"/>
            <family val="2"/>
          </rPr>
          <t xml:space="preserve">
in capitolato erano 10 km</t>
        </r>
      </text>
    </comment>
    <comment ref="P652" authorId="0" shapeId="0" xr:uid="{00000000-0006-0000-0000-0000C9000000}">
      <text>
        <r>
          <rPr>
            <b/>
            <sz val="9"/>
            <color indexed="81"/>
            <rFont val="Tahoma"/>
            <family val="2"/>
          </rPr>
          <t>Olimpia Kanellatu:</t>
        </r>
        <r>
          <rPr>
            <sz val="9"/>
            <color indexed="81"/>
            <rFont val="Tahoma"/>
            <family val="2"/>
          </rPr>
          <t xml:space="preserve">
mezzo utilizzabile a.s. 22/23 fino a compimento 13° anno</t>
        </r>
      </text>
    </comment>
    <comment ref="P653" authorId="0" shapeId="0" xr:uid="{00000000-0006-0000-0000-0000CA000000}">
      <text>
        <r>
          <rPr>
            <b/>
            <sz val="9"/>
            <color indexed="81"/>
            <rFont val="Tahoma"/>
            <family val="2"/>
          </rPr>
          <t>Olimpia Kanellatu:</t>
        </r>
        <r>
          <rPr>
            <sz val="9"/>
            <color indexed="81"/>
            <rFont val="Tahoma"/>
            <family val="2"/>
          </rPr>
          <t xml:space="preserve">
mezzo utilizzabile a.s. 22/23 fino a compimento 13° anno</t>
        </r>
      </text>
    </comment>
    <comment ref="P654" authorId="0" shapeId="0" xr:uid="{00000000-0006-0000-0000-0000CB000000}">
      <text>
        <r>
          <rPr>
            <b/>
            <sz val="9"/>
            <color indexed="81"/>
            <rFont val="Tahoma"/>
            <family val="2"/>
          </rPr>
          <t>Olimpia Kanellatu:</t>
        </r>
        <r>
          <rPr>
            <sz val="9"/>
            <color indexed="81"/>
            <rFont val="Tahoma"/>
            <family val="2"/>
          </rPr>
          <t xml:space="preserve">
mezzo utilizzabile a.s. 22/23 fino a compimento 13° anno</t>
        </r>
      </text>
    </comment>
    <comment ref="P655" authorId="0" shapeId="0" xr:uid="{00000000-0006-0000-0000-0000CC000000}">
      <text>
        <r>
          <rPr>
            <b/>
            <sz val="9"/>
            <color indexed="81"/>
            <rFont val="Tahoma"/>
            <family val="2"/>
          </rPr>
          <t>Olimpia Kanellatu:</t>
        </r>
        <r>
          <rPr>
            <sz val="9"/>
            <color indexed="81"/>
            <rFont val="Tahoma"/>
            <family val="2"/>
          </rPr>
          <t xml:space="preserve">
mezzo utilizzabile a.s. 22/23 fino a compimento 13° anno</t>
        </r>
      </text>
    </comment>
    <comment ref="P656" authorId="0" shapeId="0" xr:uid="{00000000-0006-0000-0000-0000CD000000}">
      <text>
        <r>
          <rPr>
            <b/>
            <sz val="9"/>
            <color indexed="81"/>
            <rFont val="Tahoma"/>
            <family val="2"/>
          </rPr>
          <t>Olimpia Kanellatu:</t>
        </r>
        <r>
          <rPr>
            <sz val="9"/>
            <color indexed="81"/>
            <rFont val="Tahoma"/>
            <family val="2"/>
          </rPr>
          <t xml:space="preserve">
mezzo utilizzabile a.s. 22/23 fino a compimento 13° anno</t>
        </r>
      </text>
    </comment>
    <comment ref="I657" authorId="0" shapeId="0" xr:uid="{00000000-0006-0000-0000-0000CE000000}">
      <text>
        <r>
          <rPr>
            <b/>
            <sz val="9"/>
            <color indexed="81"/>
            <rFont val="Tahoma"/>
            <family val="2"/>
          </rPr>
          <t>Olimpia Kanellatu:</t>
        </r>
        <r>
          <rPr>
            <sz val="9"/>
            <color indexed="81"/>
            <rFont val="Tahoma"/>
            <family val="2"/>
          </rPr>
          <t xml:space="preserve">
vedi storno km per sostituzione corsa - righe finali file</t>
        </r>
      </text>
    </comment>
    <comment ref="P657" authorId="0" shapeId="0" xr:uid="{00000000-0006-0000-0000-0000CF000000}">
      <text>
        <r>
          <rPr>
            <b/>
            <sz val="9"/>
            <color indexed="81"/>
            <rFont val="Tahoma"/>
            <family val="2"/>
          </rPr>
          <t>Olimpia Kanellatu:</t>
        </r>
        <r>
          <rPr>
            <sz val="9"/>
            <color indexed="81"/>
            <rFont val="Tahoma"/>
            <family val="2"/>
          </rPr>
          <t xml:space="preserve">
mezzo utilizzabile a.s. 22/23 fino a compimento 13° anno</t>
        </r>
      </text>
    </comment>
    <comment ref="P658" authorId="0" shapeId="0" xr:uid="{00000000-0006-0000-0000-0000D0000000}">
      <text>
        <r>
          <rPr>
            <b/>
            <sz val="9"/>
            <color indexed="81"/>
            <rFont val="Tahoma"/>
            <family val="2"/>
          </rPr>
          <t>Olimpia Kanellatu:</t>
        </r>
        <r>
          <rPr>
            <sz val="9"/>
            <color indexed="81"/>
            <rFont val="Tahoma"/>
            <family val="2"/>
          </rPr>
          <t xml:space="preserve">
mezzo utilizzabile a.s. 22/23 fino a compimento 13° anno</t>
        </r>
      </text>
    </comment>
    <comment ref="P659" authorId="0" shapeId="0" xr:uid="{00000000-0006-0000-0000-0000D1000000}">
      <text>
        <r>
          <rPr>
            <b/>
            <sz val="9"/>
            <color indexed="81"/>
            <rFont val="Tahoma"/>
            <family val="2"/>
          </rPr>
          <t>Olimpia Kanellatu:</t>
        </r>
        <r>
          <rPr>
            <sz val="9"/>
            <color indexed="81"/>
            <rFont val="Tahoma"/>
            <family val="2"/>
          </rPr>
          <t xml:space="preserve">
mezzo utilizzabile a.s. 22/23 fino a compimento 13° anno</t>
        </r>
      </text>
    </comment>
    <comment ref="P660" authorId="0" shapeId="0" xr:uid="{00000000-0006-0000-0000-0000D2000000}">
      <text>
        <r>
          <rPr>
            <b/>
            <sz val="9"/>
            <color indexed="81"/>
            <rFont val="Tahoma"/>
            <family val="2"/>
          </rPr>
          <t>Olimpia Kanellatu:</t>
        </r>
        <r>
          <rPr>
            <sz val="9"/>
            <color indexed="81"/>
            <rFont val="Tahoma"/>
            <family val="2"/>
          </rPr>
          <t xml:space="preserve">
mezzo utilizzabile a.s. 22/23 fino a compimento 13° anno</t>
        </r>
      </text>
    </comment>
    <comment ref="P661" authorId="0" shapeId="0" xr:uid="{00000000-0006-0000-0000-0000D3000000}">
      <text>
        <r>
          <rPr>
            <b/>
            <sz val="9"/>
            <color indexed="81"/>
            <rFont val="Tahoma"/>
            <family val="2"/>
          </rPr>
          <t>Olimpia Kanellatu:</t>
        </r>
        <r>
          <rPr>
            <sz val="9"/>
            <color indexed="81"/>
            <rFont val="Tahoma"/>
            <family val="2"/>
          </rPr>
          <t xml:space="preserve">
mezzo utilizzabile a.s. 22/23 fino a compimento 13° anno</t>
        </r>
      </text>
    </comment>
    <comment ref="P662" authorId="0" shapeId="0" xr:uid="{00000000-0006-0000-0000-0000D4000000}">
      <text>
        <r>
          <rPr>
            <b/>
            <sz val="9"/>
            <color indexed="81"/>
            <rFont val="Tahoma"/>
            <family val="2"/>
          </rPr>
          <t>Olimpia Kanellatu:</t>
        </r>
        <r>
          <rPr>
            <sz val="9"/>
            <color indexed="81"/>
            <rFont val="Tahoma"/>
            <family val="2"/>
          </rPr>
          <t xml:space="preserve">
mezzo utilizzabile a.s. 22/23 fino a compimento 13° anno</t>
        </r>
      </text>
    </comment>
    <comment ref="P663" authorId="0" shapeId="0" xr:uid="{00000000-0006-0000-0000-0000D5000000}">
      <text>
        <r>
          <rPr>
            <b/>
            <sz val="9"/>
            <color indexed="81"/>
            <rFont val="Tahoma"/>
            <family val="2"/>
          </rPr>
          <t>Olimpia Kanellatu:</t>
        </r>
        <r>
          <rPr>
            <sz val="9"/>
            <color indexed="81"/>
            <rFont val="Tahoma"/>
            <family val="2"/>
          </rPr>
          <t xml:space="preserve">
mezzo utilizzabile a.s. 22/23 fino a compimento 13° anno</t>
        </r>
      </text>
    </comment>
    <comment ref="P664" authorId="0" shapeId="0" xr:uid="{00000000-0006-0000-0000-0000D6000000}">
      <text>
        <r>
          <rPr>
            <b/>
            <sz val="9"/>
            <color indexed="81"/>
            <rFont val="Tahoma"/>
            <family val="2"/>
          </rPr>
          <t>Olimpia Kanellatu:</t>
        </r>
        <r>
          <rPr>
            <sz val="9"/>
            <color indexed="81"/>
            <rFont val="Tahoma"/>
            <family val="2"/>
          </rPr>
          <t xml:space="preserve">
mezzo utilizzabile a.s. 22/23 fino a compimento 13° anno</t>
        </r>
      </text>
    </comment>
    <comment ref="I665" authorId="0" shapeId="0" xr:uid="{00000000-0006-0000-0000-0000D7000000}">
      <text>
        <r>
          <rPr>
            <b/>
            <sz val="9"/>
            <color indexed="81"/>
            <rFont val="Tahoma"/>
            <family val="2"/>
          </rPr>
          <t>Olimpia Kanellatu:</t>
        </r>
        <r>
          <rPr>
            <sz val="9"/>
            <color indexed="81"/>
            <rFont val="Tahoma"/>
            <family val="2"/>
          </rPr>
          <t xml:space="preserve">
in capitolato erano 10 km</t>
        </r>
      </text>
    </comment>
    <comment ref="P665" authorId="0" shapeId="0" xr:uid="{00000000-0006-0000-0000-0000D8000000}">
      <text>
        <r>
          <rPr>
            <b/>
            <sz val="9"/>
            <color indexed="81"/>
            <rFont val="Tahoma"/>
            <family val="2"/>
          </rPr>
          <t>Olimpia Kanellatu:</t>
        </r>
        <r>
          <rPr>
            <sz val="9"/>
            <color indexed="81"/>
            <rFont val="Tahoma"/>
            <family val="2"/>
          </rPr>
          <t xml:space="preserve">
mezzo utilizzabile a.s. 22/23 fino a compimento 13° anno</t>
        </r>
      </text>
    </comment>
    <comment ref="P666" authorId="0" shapeId="0" xr:uid="{00000000-0006-0000-0000-0000D9000000}">
      <text>
        <r>
          <rPr>
            <b/>
            <sz val="9"/>
            <color indexed="81"/>
            <rFont val="Tahoma"/>
            <family val="2"/>
          </rPr>
          <t>Olimpia Kanellatu:</t>
        </r>
        <r>
          <rPr>
            <sz val="9"/>
            <color indexed="81"/>
            <rFont val="Tahoma"/>
            <family val="2"/>
          </rPr>
          <t xml:space="preserve">
mezzo utilizzabile a.s. 22/23 fino a compimento 13° anno</t>
        </r>
      </text>
    </comment>
    <comment ref="P668" authorId="0" shapeId="0" xr:uid="{00000000-0006-0000-0000-0000DA000000}">
      <text>
        <r>
          <rPr>
            <b/>
            <sz val="9"/>
            <color indexed="81"/>
            <rFont val="Tahoma"/>
            <family val="2"/>
          </rPr>
          <t>Olimpia Kanellatu:</t>
        </r>
        <r>
          <rPr>
            <sz val="9"/>
            <color indexed="81"/>
            <rFont val="Tahoma"/>
            <family val="2"/>
          </rPr>
          <t xml:space="preserve">
mezzo utilizzabile a.s. 22/23 fino a compimento 13° anno</t>
        </r>
      </text>
    </comment>
    <comment ref="P669" authorId="0" shapeId="0" xr:uid="{00000000-0006-0000-0000-0000DB000000}">
      <text>
        <r>
          <rPr>
            <b/>
            <sz val="9"/>
            <color indexed="81"/>
            <rFont val="Tahoma"/>
            <family val="2"/>
          </rPr>
          <t>Olimpia Kanellatu:</t>
        </r>
        <r>
          <rPr>
            <sz val="9"/>
            <color indexed="81"/>
            <rFont val="Tahoma"/>
            <family val="2"/>
          </rPr>
          <t xml:space="preserve">
mezzo utilizzabile a.s. 22/23 fino a compimento 13° anno</t>
        </r>
      </text>
    </comment>
    <comment ref="J670" authorId="0" shapeId="0" xr:uid="{00000000-0006-0000-0000-0000DC000000}">
      <text>
        <r>
          <rPr>
            <b/>
            <sz val="9"/>
            <color indexed="81"/>
            <rFont val="Tahoma"/>
            <family val="2"/>
          </rPr>
          <t>LS: Ok per il 24 posti in caso valutiamo più avanti se è necessario il 29 posti.</t>
        </r>
        <r>
          <rPr>
            <sz val="9"/>
            <color indexed="81"/>
            <rFont val="Tahoma"/>
            <family val="2"/>
          </rPr>
          <t xml:space="preserve">
</t>
        </r>
      </text>
    </comment>
    <comment ref="P670" authorId="0" shapeId="0" xr:uid="{00000000-0006-0000-0000-0000DD000000}">
      <text>
        <r>
          <rPr>
            <b/>
            <sz val="9"/>
            <color indexed="81"/>
            <rFont val="Tahoma"/>
            <family val="2"/>
          </rPr>
          <t>Olimpia Kanellatu:</t>
        </r>
        <r>
          <rPr>
            <sz val="9"/>
            <color indexed="81"/>
            <rFont val="Tahoma"/>
            <family val="2"/>
          </rPr>
          <t xml:space="preserve">
mezzo utilizzabile a.s. 22/23 fino a compimento 13° anno</t>
        </r>
      </text>
    </comment>
    <comment ref="J671" authorId="0" shapeId="0" xr:uid="{00000000-0006-0000-0000-0000DE000000}">
      <text>
        <r>
          <rPr>
            <b/>
            <sz val="9"/>
            <color indexed="81"/>
            <rFont val="Tahoma"/>
            <family val="2"/>
          </rPr>
          <t>LS: Ok per il 24 posti in caso valutiamo più avanti se è necessario il 29 posti.</t>
        </r>
        <r>
          <rPr>
            <sz val="9"/>
            <color indexed="81"/>
            <rFont val="Tahoma"/>
            <family val="2"/>
          </rPr>
          <t xml:space="preserve">
</t>
        </r>
      </text>
    </comment>
    <comment ref="P671" authorId="0" shapeId="0" xr:uid="{00000000-0006-0000-0000-0000DF000000}">
      <text>
        <r>
          <rPr>
            <b/>
            <sz val="9"/>
            <color indexed="81"/>
            <rFont val="Tahoma"/>
            <family val="2"/>
          </rPr>
          <t>Olimpia Kanellatu:</t>
        </r>
        <r>
          <rPr>
            <sz val="9"/>
            <color indexed="81"/>
            <rFont val="Tahoma"/>
            <family val="2"/>
          </rPr>
          <t xml:space="preserve">
mezzo utilizzabile a.s. 22/23 fino a compimento 13° anno</t>
        </r>
      </text>
    </comment>
    <comment ref="P674" authorId="0" shapeId="0" xr:uid="{00000000-0006-0000-0000-0000E0000000}">
      <text>
        <r>
          <rPr>
            <b/>
            <sz val="9"/>
            <color indexed="81"/>
            <rFont val="Tahoma"/>
            <family val="2"/>
          </rPr>
          <t>Olimpia Kanellatu:</t>
        </r>
        <r>
          <rPr>
            <sz val="9"/>
            <color indexed="81"/>
            <rFont val="Tahoma"/>
            <family val="2"/>
          </rPr>
          <t xml:space="preserve">
mezzo utilizzabile a.s. 22/23 fino a compimento 13° anno</t>
        </r>
      </text>
    </comment>
    <comment ref="P675" authorId="0" shapeId="0" xr:uid="{00000000-0006-0000-0000-0000E1000000}">
      <text>
        <r>
          <rPr>
            <b/>
            <sz val="9"/>
            <color indexed="81"/>
            <rFont val="Tahoma"/>
            <family val="2"/>
          </rPr>
          <t>Olimpia Kanellatu:</t>
        </r>
        <r>
          <rPr>
            <sz val="9"/>
            <color indexed="81"/>
            <rFont val="Tahoma"/>
            <family val="2"/>
          </rPr>
          <t xml:space="preserve">
mezzo utilizzabile a.s. 22/23 fino a compimento 13° anno</t>
        </r>
      </text>
    </comment>
    <comment ref="J686" authorId="0" shapeId="0" xr:uid="{00000000-0006-0000-0000-0000E2000000}">
      <text>
        <r>
          <rPr>
            <b/>
            <sz val="9"/>
            <color indexed="81"/>
            <rFont val="Tahoma"/>
            <family val="2"/>
          </rPr>
          <t>LS: Ok per il 16 posti in caso valutiamo più avanti se è necessario il 22 posti.</t>
        </r>
        <r>
          <rPr>
            <sz val="9"/>
            <color indexed="81"/>
            <rFont val="Tahoma"/>
            <family val="2"/>
          </rPr>
          <t xml:space="preserve">
</t>
        </r>
      </text>
    </comment>
    <comment ref="J687" authorId="0" shapeId="0" xr:uid="{00000000-0006-0000-0000-0000E3000000}">
      <text>
        <r>
          <rPr>
            <b/>
            <sz val="9"/>
            <color indexed="81"/>
            <rFont val="Tahoma"/>
            <family val="2"/>
          </rPr>
          <t>LS: Ok per il 16 posti in caso valutiamo più avanti se è necessario il 22 posti.</t>
        </r>
        <r>
          <rPr>
            <sz val="9"/>
            <color indexed="81"/>
            <rFont val="Tahoma"/>
            <family val="2"/>
          </rPr>
          <t xml:space="preserve">
</t>
        </r>
      </text>
    </comment>
    <comment ref="P690" authorId="0" shapeId="0" xr:uid="{B9596089-F797-4DC3-9061-65723DC0F055}">
      <text>
        <r>
          <rPr>
            <b/>
            <sz val="9"/>
            <color indexed="81"/>
            <rFont val="Tahoma"/>
            <charset val="1"/>
          </rPr>
          <t>Olimpia Kanellatu:</t>
        </r>
        <r>
          <rPr>
            <sz val="9"/>
            <color indexed="81"/>
            <rFont val="Tahoma"/>
            <charset val="1"/>
          </rPr>
          <t xml:space="preserve">
GA840ER venduto</t>
        </r>
      </text>
    </comment>
    <comment ref="H716" authorId="0" shapeId="0" xr:uid="{00000000-0006-0000-0000-0000E5000000}">
      <text>
        <r>
          <rPr>
            <b/>
            <sz val="9"/>
            <color indexed="81"/>
            <rFont val="Tahoma"/>
            <family val="2"/>
          </rPr>
          <t>Olimpia Kanellatu:</t>
        </r>
        <r>
          <rPr>
            <sz val="9"/>
            <color indexed="81"/>
            <rFont val="Tahoma"/>
            <family val="2"/>
          </rPr>
          <t xml:space="preserve">
era invernale feriale</t>
        </r>
      </text>
    </comment>
    <comment ref="J720" authorId="0" shapeId="0" xr:uid="{00000000-0006-0000-0000-0000E6000000}">
      <text>
        <r>
          <rPr>
            <b/>
            <sz val="9"/>
            <color indexed="81"/>
            <rFont val="Tahoma"/>
            <family val="2"/>
          </rPr>
          <t>LS: Ok per il 9 posti in caso valutiamo più avanti se è necessario il 19 posti.</t>
        </r>
        <r>
          <rPr>
            <sz val="9"/>
            <color indexed="81"/>
            <rFont val="Tahoma"/>
            <family val="2"/>
          </rPr>
          <t xml:space="preserve">
</t>
        </r>
      </text>
    </comment>
    <comment ref="J722" authorId="0" shapeId="0" xr:uid="{00000000-0006-0000-0000-0000E7000000}">
      <text>
        <r>
          <rPr>
            <b/>
            <sz val="9"/>
            <color indexed="81"/>
            <rFont val="Tahoma"/>
            <family val="2"/>
          </rPr>
          <t>LS: Ok per il 9 posti in caso valutiamo più avanti se è necessario il 19 posti.</t>
        </r>
        <r>
          <rPr>
            <sz val="9"/>
            <color indexed="81"/>
            <rFont val="Tahoma"/>
            <family val="2"/>
          </rPr>
          <t xml:space="preserve">
</t>
        </r>
      </text>
    </comment>
    <comment ref="J761" authorId="0" shapeId="0" xr:uid="{00000000-0006-0000-0000-0000EC000000}">
      <text>
        <r>
          <rPr>
            <b/>
            <sz val="9"/>
            <color indexed="81"/>
            <rFont val="Tahoma"/>
            <family val="2"/>
          </rPr>
          <t>LS: Ok 9 posti per la tratta Cavedago-Andalo. Successivamente valutiamo se utilizzare il 50 posti</t>
        </r>
      </text>
    </comment>
    <comment ref="J769" authorId="0" shapeId="0" xr:uid="{00000000-0006-0000-0000-0000ED000000}">
      <text>
        <r>
          <rPr>
            <b/>
            <sz val="9"/>
            <color indexed="81"/>
            <rFont val="Tahoma"/>
            <family val="2"/>
          </rPr>
          <t>LS: Ok per il 45 posti in caso valutiamo più avanti se è necessario il 50 posti.</t>
        </r>
        <r>
          <rPr>
            <sz val="9"/>
            <color indexed="81"/>
            <rFont val="Tahoma"/>
            <family val="2"/>
          </rPr>
          <t xml:space="preserve">
</t>
        </r>
      </text>
    </comment>
    <comment ref="I776" authorId="0" shapeId="0" xr:uid="{00000000-0006-0000-0000-0000EE000000}">
      <text>
        <r>
          <rPr>
            <b/>
            <sz val="9"/>
            <color indexed="81"/>
            <rFont val="Tahoma"/>
            <family val="2"/>
          </rPr>
          <t>Olimpia Kanellatu:</t>
        </r>
        <r>
          <rPr>
            <sz val="9"/>
            <color indexed="81"/>
            <rFont val="Tahoma"/>
            <family val="2"/>
          </rPr>
          <t xml:space="preserve">
in capitolato erano 12 km - si compensa con la 511</t>
        </r>
      </text>
    </comment>
    <comment ref="I777" authorId="0" shapeId="0" xr:uid="{00000000-0006-0000-0000-0000EF000000}">
      <text>
        <r>
          <rPr>
            <b/>
            <sz val="9"/>
            <color indexed="81"/>
            <rFont val="Tahoma"/>
            <family val="2"/>
          </rPr>
          <t>Olimpia Kanellatu:</t>
        </r>
        <r>
          <rPr>
            <sz val="9"/>
            <color indexed="81"/>
            <rFont val="Tahoma"/>
            <family val="2"/>
          </rPr>
          <t xml:space="preserve">
in capitolato erano 10 km - si compensa con la 510</t>
        </r>
      </text>
    </comment>
    <comment ref="I779" authorId="0" shapeId="0" xr:uid="{00000000-0006-0000-0000-0000F0000000}">
      <text>
        <r>
          <rPr>
            <b/>
            <sz val="9"/>
            <color indexed="81"/>
            <rFont val="Tahoma"/>
            <family val="2"/>
          </rPr>
          <t>LS: Vericherò con il controllore se è ancora necessario terminare a Raut visto che comunque passiamo da bivio Raut per arrivare a Toss. I km sono corretti se termina a Toss (altrim. 10,6km)</t>
        </r>
      </text>
    </comment>
    <comment ref="J791" authorId="0" shapeId="0" xr:uid="{00000000-0006-0000-0000-0000F1000000}">
      <text>
        <r>
          <rPr>
            <b/>
            <sz val="9"/>
            <color indexed="81"/>
            <rFont val="Tahoma"/>
            <family val="2"/>
          </rPr>
          <t>LS: Ok per il 20 posti in caso valutiamo più avanti se è necessario il 30 posti.</t>
        </r>
        <r>
          <rPr>
            <sz val="9"/>
            <color indexed="81"/>
            <rFont val="Tahoma"/>
            <family val="2"/>
          </rPr>
          <t xml:space="preserve">
</t>
        </r>
      </text>
    </comment>
    <comment ref="I799" authorId="1" shapeId="0" xr:uid="{00000000-0006-0000-0000-0000F2000000}">
      <text>
        <r>
          <rPr>
            <b/>
            <sz val="9"/>
            <color indexed="81"/>
            <rFont val="Tahoma"/>
            <family val="2"/>
          </rPr>
          <t>Demattè Adriano:</t>
        </r>
        <r>
          <rPr>
            <sz val="9"/>
            <color indexed="81"/>
            <rFont val="Tahoma"/>
            <family val="2"/>
          </rPr>
          <t xml:space="preserve">
era 11,4</t>
        </r>
      </text>
    </comment>
    <comment ref="M811" authorId="0" shapeId="0" xr:uid="{E5941850-491D-4E15-9998-BD496EB90349}">
      <text>
        <r>
          <rPr>
            <b/>
            <sz val="9"/>
            <color indexed="81"/>
            <rFont val="Tahoma"/>
            <charset val="1"/>
          </rPr>
          <t>Olimpia Kanellatu:</t>
        </r>
        <r>
          <rPr>
            <sz val="9"/>
            <color indexed="81"/>
            <rFont val="Tahoma"/>
            <charset val="1"/>
          </rPr>
          <t xml:space="preserve">
EX ERIKA TOURS</t>
        </r>
      </text>
    </comment>
    <comment ref="M812" authorId="0" shapeId="0" xr:uid="{944F31B5-0386-4A35-8631-B505104CD9EC}">
      <text>
        <r>
          <rPr>
            <b/>
            <sz val="9"/>
            <color indexed="81"/>
            <rFont val="Tahoma"/>
            <charset val="1"/>
          </rPr>
          <t>Olimpia Kanellatu:</t>
        </r>
        <r>
          <rPr>
            <sz val="9"/>
            <color indexed="81"/>
            <rFont val="Tahoma"/>
            <charset val="1"/>
          </rPr>
          <t xml:space="preserve">
EX ERIKA TOURS</t>
        </r>
      </text>
    </comment>
    <comment ref="M813" authorId="0" shapeId="0" xr:uid="{A94EFED8-3AFB-431E-8C2B-387EF10F1A97}">
      <text>
        <r>
          <rPr>
            <b/>
            <sz val="9"/>
            <color indexed="81"/>
            <rFont val="Tahoma"/>
            <charset val="1"/>
          </rPr>
          <t>Olimpia Kanellatu:</t>
        </r>
        <r>
          <rPr>
            <sz val="9"/>
            <color indexed="81"/>
            <rFont val="Tahoma"/>
            <charset val="1"/>
          </rPr>
          <t xml:space="preserve">
EX ERIKA TOURS</t>
        </r>
      </text>
    </comment>
    <comment ref="M814" authorId="0" shapeId="0" xr:uid="{11B7BA6A-28E3-4C06-859A-FB5181294753}">
      <text>
        <r>
          <rPr>
            <b/>
            <sz val="9"/>
            <color indexed="81"/>
            <rFont val="Tahoma"/>
            <charset val="1"/>
          </rPr>
          <t>Olimpia Kanellatu:</t>
        </r>
        <r>
          <rPr>
            <sz val="9"/>
            <color indexed="81"/>
            <rFont val="Tahoma"/>
            <charset val="1"/>
          </rPr>
          <t xml:space="preserve">
EX ERIKA TOURS</t>
        </r>
      </text>
    </comment>
    <comment ref="M820" authorId="0" shapeId="0" xr:uid="{1D741E5F-E7F6-405C-8DB3-ACF0E05C96EF}">
      <text>
        <r>
          <rPr>
            <b/>
            <sz val="9"/>
            <color indexed="81"/>
            <rFont val="Tahoma"/>
            <charset val="1"/>
          </rPr>
          <t>Olimpia Kanellatu:</t>
        </r>
        <r>
          <rPr>
            <sz val="9"/>
            <color indexed="81"/>
            <rFont val="Tahoma"/>
            <charset val="1"/>
          </rPr>
          <t xml:space="preserve">
EX ERIKA TOURS</t>
        </r>
      </text>
    </comment>
    <comment ref="M821" authorId="0" shapeId="0" xr:uid="{A2B8F8C3-FCD5-44EC-B6C3-470D00E35C4C}">
      <text>
        <r>
          <rPr>
            <b/>
            <sz val="9"/>
            <color indexed="81"/>
            <rFont val="Tahoma"/>
            <charset val="1"/>
          </rPr>
          <t>Olimpia Kanellatu:</t>
        </r>
        <r>
          <rPr>
            <sz val="9"/>
            <color indexed="81"/>
            <rFont val="Tahoma"/>
            <charset val="1"/>
          </rPr>
          <t xml:space="preserve">
EX ERIKA TOURS</t>
        </r>
      </text>
    </comment>
    <comment ref="M827" authorId="0" shapeId="0" xr:uid="{00000000-0006-0000-0000-0000F3000000}">
      <text>
        <r>
          <rPr>
            <b/>
            <sz val="9"/>
            <color indexed="81"/>
            <rFont val="Tahoma"/>
            <family val="2"/>
          </rPr>
          <t>Olimpia Kanellatu:</t>
        </r>
        <r>
          <rPr>
            <sz val="9"/>
            <color indexed="81"/>
            <rFont val="Tahoma"/>
            <family val="2"/>
          </rPr>
          <t xml:space="preserve">
ex Gorini Luigi</t>
        </r>
      </text>
    </comment>
    <comment ref="M828" authorId="0" shapeId="0" xr:uid="{00000000-0006-0000-0000-0000F4000000}">
      <text>
        <r>
          <rPr>
            <b/>
            <sz val="9"/>
            <color indexed="81"/>
            <rFont val="Tahoma"/>
            <family val="2"/>
          </rPr>
          <t>Olimpia Kanellatu:</t>
        </r>
        <r>
          <rPr>
            <sz val="9"/>
            <color indexed="81"/>
            <rFont val="Tahoma"/>
            <family val="2"/>
          </rPr>
          <t xml:space="preserve">
ex Gorini Luigi</t>
        </r>
      </text>
    </comment>
    <comment ref="M833" authorId="0" shapeId="0" xr:uid="{00000000-0006-0000-0000-0000F5000000}">
      <text>
        <r>
          <rPr>
            <b/>
            <sz val="9"/>
            <color indexed="81"/>
            <rFont val="Tahoma"/>
            <family val="2"/>
          </rPr>
          <t>Olimpia Kanellatu:</t>
        </r>
        <r>
          <rPr>
            <sz val="9"/>
            <color indexed="81"/>
            <rFont val="Tahoma"/>
            <family val="2"/>
          </rPr>
          <t xml:space="preserve">
ex Gorini Luigi</t>
        </r>
      </text>
    </comment>
    <comment ref="J844" authorId="0" shapeId="0" xr:uid="{00000000-0006-0000-0000-0000F7000000}">
      <text>
        <r>
          <rPr>
            <b/>
            <sz val="9"/>
            <color indexed="81"/>
            <rFont val="Tahoma"/>
            <family val="2"/>
          </rPr>
          <t>LS: Ok 20. Succ. valutiamo se è necessario utilizzare 40 posti</t>
        </r>
        <r>
          <rPr>
            <sz val="9"/>
            <color indexed="81"/>
            <rFont val="Tahoma"/>
            <family val="2"/>
          </rPr>
          <t xml:space="preserve">
</t>
        </r>
      </text>
    </comment>
    <comment ref="H852" authorId="0" shapeId="0" xr:uid="{00000000-0006-0000-0000-0000F9000000}">
      <text>
        <r>
          <rPr>
            <b/>
            <sz val="9"/>
            <color indexed="81"/>
            <rFont val="Tahoma"/>
            <family val="2"/>
          </rPr>
          <t>Olimpia Kanellatu:</t>
        </r>
        <r>
          <rPr>
            <sz val="9"/>
            <color indexed="81"/>
            <rFont val="Tahoma"/>
            <family val="2"/>
          </rPr>
          <t xml:space="preserve">
era scolastica solo martedì</t>
        </r>
      </text>
    </comment>
    <comment ref="M855" authorId="0" shapeId="0" xr:uid="{D8267F23-A5DE-42E9-9081-B2C99EF27F5B}">
      <text>
        <r>
          <rPr>
            <b/>
            <sz val="9"/>
            <color indexed="81"/>
            <rFont val="Tahoma"/>
            <charset val="1"/>
          </rPr>
          <t>Olimpia Kanellatu:</t>
        </r>
        <r>
          <rPr>
            <sz val="9"/>
            <color indexed="81"/>
            <rFont val="Tahoma"/>
            <charset val="1"/>
          </rPr>
          <t xml:space="preserve">
EX ERIKA TOURS</t>
        </r>
      </text>
    </comment>
    <comment ref="M856" authorId="0" shapeId="0" xr:uid="{819D0A32-0FB1-4C13-9A5B-00D1BB4C86C8}">
      <text>
        <r>
          <rPr>
            <b/>
            <sz val="9"/>
            <color indexed="81"/>
            <rFont val="Tahoma"/>
            <charset val="1"/>
          </rPr>
          <t>Olimpia Kanellatu:</t>
        </r>
        <r>
          <rPr>
            <sz val="9"/>
            <color indexed="81"/>
            <rFont val="Tahoma"/>
            <charset val="1"/>
          </rPr>
          <t xml:space="preserve">
EX ERIKA TOURS</t>
        </r>
      </text>
    </comment>
    <comment ref="H857" authorId="0" shapeId="0" xr:uid="{00000000-0006-0000-0000-0000FA000000}">
      <text>
        <r>
          <rPr>
            <b/>
            <sz val="9"/>
            <color indexed="81"/>
            <rFont val="Tahoma"/>
            <family val="2"/>
          </rPr>
          <t>Olimpia Kanellatu:</t>
        </r>
        <r>
          <rPr>
            <sz val="9"/>
            <color indexed="81"/>
            <rFont val="Tahoma"/>
            <family val="2"/>
          </rPr>
          <t xml:space="preserve">
era feriale invernale estivo
</t>
        </r>
      </text>
    </comment>
    <comment ref="J859" authorId="0" shapeId="0" xr:uid="{00000000-0006-0000-0000-0000FB000000}">
      <text>
        <r>
          <rPr>
            <b/>
            <sz val="9"/>
            <color indexed="81"/>
            <rFont val="Tahoma"/>
            <family val="2"/>
          </rPr>
          <t>LS: Ok utilizzare mezzo con capienza ridotto. Succ. valutiamo se è necessario il 50 posti</t>
        </r>
        <r>
          <rPr>
            <sz val="9"/>
            <color indexed="81"/>
            <rFont val="Tahoma"/>
            <family val="2"/>
          </rPr>
          <t xml:space="preserve">
</t>
        </r>
      </text>
    </comment>
    <comment ref="H861" authorId="0" shapeId="0" xr:uid="{00000000-0006-0000-0000-0000FC000000}">
      <text>
        <r>
          <rPr>
            <b/>
            <sz val="9"/>
            <color indexed="81"/>
            <rFont val="Tahoma"/>
            <family val="2"/>
          </rPr>
          <t>Olimpia Kanellatu:</t>
        </r>
        <r>
          <rPr>
            <sz val="9"/>
            <color indexed="81"/>
            <rFont val="Tahoma"/>
            <family val="2"/>
          </rPr>
          <t xml:space="preserve">
era feriale invernale estivo
</t>
        </r>
      </text>
    </comment>
    <comment ref="J862" authorId="0" shapeId="0" xr:uid="{00000000-0006-0000-0000-0000FD000000}">
      <text>
        <r>
          <rPr>
            <b/>
            <sz val="9"/>
            <color indexed="81"/>
            <rFont val="Tahoma"/>
            <family val="2"/>
          </rPr>
          <t>Olimpia Kanellatu:</t>
        </r>
        <r>
          <rPr>
            <sz val="9"/>
            <color indexed="81"/>
            <rFont val="Tahoma"/>
            <family val="2"/>
          </rPr>
          <t xml:space="preserve">
anno scorso svolto con due mezzi - il 2° mezzo non serve (email TT 08/08/2022)</t>
        </r>
      </text>
    </comment>
    <comment ref="J864" authorId="0" shapeId="0" xr:uid="{00000000-0006-0000-0000-0000FE000000}">
      <text>
        <r>
          <rPr>
            <b/>
            <sz val="9"/>
            <color indexed="81"/>
            <rFont val="Tahoma"/>
            <family val="2"/>
          </rPr>
          <t>Olimpia Kanellatu:</t>
        </r>
        <r>
          <rPr>
            <sz val="9"/>
            <color indexed="81"/>
            <rFont val="Tahoma"/>
            <family val="2"/>
          </rPr>
          <t xml:space="preserve">
2 mezzi (email TT 08/08/22)</t>
        </r>
      </text>
    </comment>
    <comment ref="M876" authorId="0" shapeId="0" xr:uid="{72BDDAC0-1F15-452F-A270-2869146B7B43}">
      <text>
        <r>
          <rPr>
            <b/>
            <sz val="9"/>
            <color indexed="81"/>
            <rFont val="Tahoma"/>
            <charset val="1"/>
          </rPr>
          <t>Olimpia Kanellatu:</t>
        </r>
        <r>
          <rPr>
            <sz val="9"/>
            <color indexed="81"/>
            <rFont val="Tahoma"/>
            <charset val="1"/>
          </rPr>
          <t xml:space="preserve">
EX ERIKA TOURS</t>
        </r>
      </text>
    </comment>
    <comment ref="M878" authorId="0" shapeId="0" xr:uid="{211D1CE2-56A7-40DD-8B3A-CB57B4E760ED}">
      <text>
        <r>
          <rPr>
            <b/>
            <sz val="9"/>
            <color indexed="81"/>
            <rFont val="Tahoma"/>
            <charset val="1"/>
          </rPr>
          <t>Olimpia Kanellatu:</t>
        </r>
        <r>
          <rPr>
            <sz val="9"/>
            <color indexed="81"/>
            <rFont val="Tahoma"/>
            <charset val="1"/>
          </rPr>
          <t xml:space="preserve">
EX ERIKA TOURS</t>
        </r>
      </text>
    </comment>
    <comment ref="M880" authorId="0" shapeId="0" xr:uid="{E420B0D8-ED75-4258-87F1-57C34442C747}">
      <text>
        <r>
          <rPr>
            <b/>
            <sz val="9"/>
            <color indexed="81"/>
            <rFont val="Tahoma"/>
            <charset val="1"/>
          </rPr>
          <t>Olimpia Kanellatu:</t>
        </r>
        <r>
          <rPr>
            <sz val="9"/>
            <color indexed="81"/>
            <rFont val="Tahoma"/>
            <charset val="1"/>
          </rPr>
          <t xml:space="preserve">
EX ERIKA TOURS</t>
        </r>
      </text>
    </comment>
    <comment ref="M881" authorId="0" shapeId="0" xr:uid="{9443AAE6-5345-4C3C-81B2-DA0608B7D90B}">
      <text>
        <r>
          <rPr>
            <b/>
            <sz val="9"/>
            <color indexed="81"/>
            <rFont val="Tahoma"/>
            <charset val="1"/>
          </rPr>
          <t>Olimpia Kanellatu:</t>
        </r>
        <r>
          <rPr>
            <sz val="9"/>
            <color indexed="81"/>
            <rFont val="Tahoma"/>
            <charset val="1"/>
          </rPr>
          <t xml:space="preserve">
EX ERIKA TOURS</t>
        </r>
      </text>
    </comment>
    <comment ref="K886" authorId="1" shapeId="0" xr:uid="{00000000-0006-0000-0000-000003010000}">
      <text>
        <r>
          <rPr>
            <b/>
            <sz val="9"/>
            <color indexed="81"/>
            <rFont val="Tahoma"/>
            <family val="2"/>
          </rPr>
          <t>Demattè Adriano:</t>
        </r>
        <r>
          <rPr>
            <sz val="9"/>
            <color indexed="81"/>
            <rFont val="Tahoma"/>
            <family val="2"/>
          </rPr>
          <t xml:space="preserve">
Nel 2021 non lavorato con questa frequenza</t>
        </r>
      </text>
    </comment>
    <comment ref="K894" authorId="1" shapeId="0" xr:uid="{00000000-0006-0000-0000-00000B010000}">
      <text>
        <r>
          <rPr>
            <b/>
            <sz val="9"/>
            <color indexed="81"/>
            <rFont val="Tahoma"/>
            <family val="2"/>
          </rPr>
          <t xml:space="preserve">Demattè Adriano:
</t>
        </r>
        <r>
          <rPr>
            <sz val="9"/>
            <color indexed="81"/>
            <rFont val="Tahoma"/>
            <family val="2"/>
          </rPr>
          <t>c.sa periodica (usati gg. 2021)</t>
        </r>
      </text>
    </comment>
    <comment ref="I895" authorId="0" shapeId="0" xr:uid="{00000000-0006-0000-0000-00000E010000}">
      <text>
        <r>
          <rPr>
            <b/>
            <sz val="9"/>
            <color indexed="81"/>
            <rFont val="Tahoma"/>
            <family val="2"/>
          </rPr>
          <t>Olimpia Kanellatu:</t>
        </r>
        <r>
          <rPr>
            <sz val="9"/>
            <color indexed="81"/>
            <rFont val="Tahoma"/>
            <family val="2"/>
          </rPr>
          <t xml:space="preserve">
in capitolato erano 17,50</t>
        </r>
      </text>
    </comment>
    <comment ref="J906" authorId="0" shapeId="0" xr:uid="{00000000-0006-0000-0000-00000F010000}">
      <text>
        <r>
          <rPr>
            <b/>
            <sz val="9"/>
            <color indexed="81"/>
            <rFont val="Tahoma"/>
            <family val="2"/>
          </rPr>
          <t>LS: Ok 16 posti. Succ. valutiamo se è necessario i 19 posti</t>
        </r>
        <r>
          <rPr>
            <sz val="9"/>
            <color indexed="81"/>
            <rFont val="Tahoma"/>
            <family val="2"/>
          </rPr>
          <t xml:space="preserve">
</t>
        </r>
      </text>
    </comment>
    <comment ref="J907" authorId="0" shapeId="0" xr:uid="{00000000-0006-0000-0000-000010010000}">
      <text>
        <r>
          <rPr>
            <b/>
            <sz val="9"/>
            <color indexed="81"/>
            <rFont val="Tahoma"/>
            <family val="2"/>
          </rPr>
          <t>LS: Ok 9 posti. Succ. valutiamo se è necessario i 15 posti</t>
        </r>
        <r>
          <rPr>
            <sz val="9"/>
            <color indexed="81"/>
            <rFont val="Tahoma"/>
            <family val="2"/>
          </rPr>
          <t xml:space="preserve">
</t>
        </r>
      </text>
    </comment>
    <comment ref="J909" authorId="2" shapeId="0" xr:uid="{00000000-0006-0000-0000-000011010000}">
      <text>
        <r>
          <rPr>
            <sz val="8"/>
            <color indexed="81"/>
            <rFont val="Tahoma"/>
            <family val="2"/>
          </rPr>
          <t xml:space="preserve">la titolarità del mezzo è soggetta a variazione in base al numero degli alunni sui servizi speciali come l'anno scorso
</t>
        </r>
        <r>
          <rPr>
            <b/>
            <sz val="8"/>
            <color indexed="81"/>
            <rFont val="Tahoma"/>
            <family val="2"/>
          </rPr>
          <t>LS: Ok 9 posti. Succ. valutiamo se è necessario i 15 posti</t>
        </r>
      </text>
    </comment>
    <comment ref="J933" authorId="0" shapeId="0" xr:uid="{00000000-0006-0000-0000-000012010000}">
      <text>
        <r>
          <rPr>
            <b/>
            <sz val="9"/>
            <color indexed="81"/>
            <rFont val="Tahoma"/>
            <family val="2"/>
          </rPr>
          <t>LS: Ok 9 posti. Succ. valutiamo se è necessario i 16 posti</t>
        </r>
        <r>
          <rPr>
            <sz val="9"/>
            <color indexed="81"/>
            <rFont val="Tahoma"/>
            <family val="2"/>
          </rPr>
          <t xml:space="preserve">
</t>
        </r>
      </text>
    </comment>
    <comment ref="J934" authorId="0" shapeId="0" xr:uid="{00000000-0006-0000-0000-000013010000}">
      <text>
        <r>
          <rPr>
            <b/>
            <sz val="9"/>
            <color indexed="81"/>
            <rFont val="Tahoma"/>
            <family val="2"/>
          </rPr>
          <t>LS: Ok 9 posti. Succ. valutiamo se è necessario i 16 posti</t>
        </r>
        <r>
          <rPr>
            <sz val="9"/>
            <color indexed="81"/>
            <rFont val="Tahoma"/>
            <family val="2"/>
          </rPr>
          <t xml:space="preserve">
</t>
        </r>
      </text>
    </comment>
    <comment ref="J935" authorId="0" shapeId="0" xr:uid="{00000000-0006-0000-0000-000014010000}">
      <text>
        <r>
          <rPr>
            <b/>
            <sz val="9"/>
            <color indexed="81"/>
            <rFont val="Tahoma"/>
            <family val="2"/>
          </rPr>
          <t>LS: Ok 9 posti. Succ. valutiamo se è necessario i 16 posti</t>
        </r>
        <r>
          <rPr>
            <sz val="9"/>
            <color indexed="81"/>
            <rFont val="Tahoma"/>
            <family val="2"/>
          </rPr>
          <t xml:space="preserve">
</t>
        </r>
      </text>
    </comment>
    <comment ref="H939" authorId="0" shapeId="0" xr:uid="{00000000-0006-0000-0000-000015010000}">
      <text>
        <r>
          <rPr>
            <b/>
            <sz val="9"/>
            <color indexed="81"/>
            <rFont val="Tahoma"/>
            <family val="2"/>
          </rPr>
          <t>Olimpia Kanellatu:</t>
        </r>
        <r>
          <rPr>
            <sz val="9"/>
            <color indexed="81"/>
            <rFont val="Tahoma"/>
            <family val="2"/>
          </rPr>
          <t xml:space="preserve">
era dal lunedì al sabato</t>
        </r>
      </text>
    </comment>
    <comment ref="AB939" authorId="0" shapeId="0" xr:uid="{834A12D7-9CC8-4616-85B4-A022201A0A69}">
      <text>
        <r>
          <rPr>
            <b/>
            <sz val="9"/>
            <color indexed="81"/>
            <rFont val="Tahoma"/>
            <family val="2"/>
          </rPr>
          <t>Olimpia Kanellatu:</t>
        </r>
        <r>
          <rPr>
            <sz val="9"/>
            <color indexed="81"/>
            <rFont val="Tahoma"/>
            <family val="2"/>
          </rPr>
          <t xml:space="preserve">
08/12/22-19/03/23</t>
        </r>
      </text>
    </comment>
    <comment ref="J940" authorId="0" shapeId="0" xr:uid="{00000000-0006-0000-0000-000016010000}">
      <text>
        <r>
          <rPr>
            <b/>
            <sz val="9"/>
            <color indexed="81"/>
            <rFont val="Tahoma"/>
            <family val="2"/>
          </rPr>
          <t>LS: Ok 9 posti. Succ. valutiamo se è necessario i 16 posti</t>
        </r>
        <r>
          <rPr>
            <sz val="9"/>
            <color indexed="81"/>
            <rFont val="Tahoma"/>
            <family val="2"/>
          </rPr>
          <t xml:space="preserve">
</t>
        </r>
      </text>
    </comment>
    <comment ref="P943" authorId="0" shapeId="0" xr:uid="{A122E9BA-077D-4435-8ED7-97D130884323}">
      <text>
        <r>
          <rPr>
            <b/>
            <sz val="9"/>
            <color indexed="81"/>
            <rFont val="Tahoma"/>
            <charset val="1"/>
          </rPr>
          <t>Olimpia Kanellatu:</t>
        </r>
        <r>
          <rPr>
            <sz val="9"/>
            <color indexed="81"/>
            <rFont val="Tahoma"/>
            <charset val="1"/>
          </rPr>
          <t xml:space="preserve">
GA840ER venduto</t>
        </r>
      </text>
    </comment>
    <comment ref="J956" authorId="0" shapeId="0" xr:uid="{00000000-0006-0000-0000-000023010000}">
      <text>
        <r>
          <rPr>
            <b/>
            <sz val="9"/>
            <color indexed="81"/>
            <rFont val="Tahoma"/>
            <family val="2"/>
          </rPr>
          <t>LS: ok per il 28 posti., come previsto nello scorso appalto. Succ. valutiamo se è necessario il 44 posti</t>
        </r>
        <r>
          <rPr>
            <sz val="9"/>
            <color indexed="81"/>
            <rFont val="Tahoma"/>
            <family val="2"/>
          </rPr>
          <t xml:space="preserve">
</t>
        </r>
      </text>
    </comment>
    <comment ref="B965" authorId="1" shapeId="0" xr:uid="{00000000-0006-0000-0000-000027010000}">
      <text>
        <r>
          <rPr>
            <b/>
            <sz val="9"/>
            <color indexed="81"/>
            <rFont val="Tahoma"/>
            <family val="2"/>
          </rPr>
          <t>Demattè Adriano:</t>
        </r>
        <r>
          <rPr>
            <sz val="9"/>
            <color indexed="81"/>
            <rFont val="Tahoma"/>
            <family val="2"/>
          </rPr>
          <t xml:space="preserve">
ex 645
</t>
        </r>
      </text>
    </comment>
    <comment ref="P965" authorId="0" shapeId="0" xr:uid="{00000000-0006-0000-0000-000028010000}">
      <text>
        <r>
          <rPr>
            <b/>
            <sz val="9"/>
            <color indexed="81"/>
            <rFont val="Tahoma"/>
            <family val="2"/>
          </rPr>
          <t>Olimpia Kanellatu:</t>
        </r>
        <r>
          <rPr>
            <sz val="9"/>
            <color indexed="81"/>
            <rFont val="Tahoma"/>
            <family val="2"/>
          </rPr>
          <t xml:space="preserve">
mezzo utilizzabile a.s. 22/23 fino a compimento 13° anno</t>
        </r>
      </text>
    </comment>
    <comment ref="B966" authorId="1" shapeId="0" xr:uid="{00000000-0006-0000-0000-000029010000}">
      <text>
        <r>
          <rPr>
            <b/>
            <sz val="9"/>
            <color indexed="81"/>
            <rFont val="Tahoma"/>
            <family val="2"/>
          </rPr>
          <t>Demattè Adriano:</t>
        </r>
        <r>
          <rPr>
            <sz val="9"/>
            <color indexed="81"/>
            <rFont val="Tahoma"/>
            <family val="2"/>
          </rPr>
          <t xml:space="preserve">
ex 111
</t>
        </r>
      </text>
    </comment>
    <comment ref="H967" authorId="0" shapeId="0" xr:uid="{00000000-0006-0000-0000-00002C010000}">
      <text>
        <r>
          <rPr>
            <b/>
            <sz val="9"/>
            <color indexed="81"/>
            <rFont val="Tahoma"/>
            <family val="2"/>
          </rPr>
          <t>Olimpia Kanellatu:</t>
        </r>
        <r>
          <rPr>
            <sz val="9"/>
            <color indexed="81"/>
            <rFont val="Tahoma"/>
            <family val="2"/>
          </rPr>
          <t xml:space="preserve">
il lunedì viene svolta come servizio ex covid - si tratta di un bis al servizio urbano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Olimpia Kanellatu</author>
  </authors>
  <commentList>
    <comment ref="G7" authorId="0" shapeId="0" xr:uid="{00000000-0006-0000-0000-00001E010000}">
      <text>
        <r>
          <rPr>
            <b/>
            <sz val="9"/>
            <color indexed="81"/>
            <rFont val="Tahoma"/>
            <family val="2"/>
          </rPr>
          <t>Olimpia Kanellatu:</t>
        </r>
        <r>
          <rPr>
            <sz val="9"/>
            <color indexed="81"/>
            <rFont val="Tahoma"/>
            <family val="2"/>
          </rPr>
          <t xml:space="preserve">
dal 11/04 corsa svolta da Filippi nuovamente al posto di Tn Service - è stato aggiunto Storo a.s. 22/23</t>
        </r>
      </text>
    </comment>
    <comment ref="I7" authorId="0" shapeId="0" xr:uid="{00000000-0006-0000-0000-00001F010000}">
      <text>
        <r>
          <rPr>
            <b/>
            <sz val="9"/>
            <color indexed="81"/>
            <rFont val="Tahoma"/>
            <family val="2"/>
          </rPr>
          <t xml:space="preserve">Olimpia Kanellatu: 
</t>
        </r>
        <r>
          <rPr>
            <sz val="9"/>
            <color indexed="81"/>
            <rFont val="Tahoma"/>
            <family val="2"/>
          </rPr>
          <t>inseriti da TT 3,2 km in più per partenza da Storo invece di Ca' Rossa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Olimpia Kanellatu</author>
  </authors>
  <commentList>
    <comment ref="J2" authorId="0" shapeId="0" xr:uid="{00000000-0006-0000-0000-00001B010000}">
      <text>
        <r>
          <rPr>
            <b/>
            <sz val="9"/>
            <color indexed="81"/>
            <rFont val="Tahoma"/>
            <family val="2"/>
          </rPr>
          <t>LS: ok per il 9 posti., come previsto nello scorso appalto. Succ. valutiamo se è necessario il 20 posti</t>
        </r>
        <r>
          <rPr>
            <sz val="9"/>
            <color indexed="81"/>
            <rFont val="Tahoma"/>
            <family val="2"/>
          </rPr>
          <t xml:space="preserve">
</t>
        </r>
      </text>
    </comment>
    <comment ref="H24" authorId="0" shapeId="0" xr:uid="{61A40827-CD30-440D-9882-4A2F3CCABF51}">
      <text>
        <r>
          <rPr>
            <b/>
            <sz val="9"/>
            <color indexed="81"/>
            <rFont val="Tahoma"/>
            <family val="2"/>
          </rPr>
          <t>Olimpia Kanellatu:</t>
        </r>
        <r>
          <rPr>
            <sz val="9"/>
            <color indexed="81"/>
            <rFont val="Tahoma"/>
            <family val="2"/>
          </rPr>
          <t xml:space="preserve">
corretto, era dal lunedì al venerdì</t>
        </r>
      </text>
    </comment>
    <comment ref="G43" authorId="0" shapeId="0" xr:uid="{0D286032-0989-4922-90C9-A3606EB24AF9}">
      <text>
        <r>
          <rPr>
            <b/>
            <sz val="9"/>
            <color indexed="81"/>
            <rFont val="Tahoma"/>
            <family val="2"/>
          </rPr>
          <t>Olimpia Kanellatu:</t>
        </r>
        <r>
          <rPr>
            <sz val="9"/>
            <color indexed="81"/>
            <rFont val="Tahoma"/>
            <family val="2"/>
          </rPr>
          <t xml:space="preserve">
in capitolato c'era scritto Luserna-Caldonazzo</t>
        </r>
      </text>
    </comment>
    <comment ref="J47" authorId="0" shapeId="0" xr:uid="{D329C77D-A080-4015-A3FA-EF44E59666C7}">
      <text>
        <r>
          <rPr>
            <b/>
            <sz val="9"/>
            <color indexed="81"/>
            <rFont val="Tahoma"/>
            <family val="2"/>
          </rPr>
          <t>LS: ok per il 9 posti. Succ. valutiamo se necessario 14 posti.</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Olimpia Kanellatu</author>
  </authors>
  <commentList>
    <comment ref="AB7" authorId="0" shapeId="0" xr:uid="{00000000-0006-0000-0000-00002D010000}">
      <text>
        <r>
          <rPr>
            <b/>
            <sz val="9"/>
            <color indexed="81"/>
            <rFont val="Tahoma"/>
            <family val="2"/>
          </rPr>
          <t>Olimpia Kanellatu:</t>
        </r>
        <r>
          <rPr>
            <sz val="9"/>
            <color indexed="81"/>
            <rFont val="Tahoma"/>
            <family val="2"/>
          </rPr>
          <t xml:space="preserve">
soppresso il sabato dal 28/01/2023</t>
        </r>
      </text>
    </comment>
    <comment ref="AB17" authorId="0" shapeId="0" xr:uid="{00000000-0006-0000-0000-00002E010000}">
      <text>
        <r>
          <rPr>
            <b/>
            <sz val="9"/>
            <color indexed="81"/>
            <rFont val="Tahoma"/>
            <family val="2"/>
          </rPr>
          <t>Olimpia Kanellatu:</t>
        </r>
        <r>
          <rPr>
            <sz val="9"/>
            <color indexed="81"/>
            <rFont val="Tahoma"/>
            <family val="2"/>
          </rPr>
          <t xml:space="preserve">
soppresso il sabato dal 18/02/2023</t>
        </r>
      </text>
    </comment>
    <comment ref="AB18" authorId="0" shapeId="0" xr:uid="{00000000-0006-0000-0000-00002F010000}">
      <text>
        <r>
          <rPr>
            <b/>
            <sz val="9"/>
            <color indexed="81"/>
            <rFont val="Tahoma"/>
            <family val="2"/>
          </rPr>
          <t>Olimpia Kanellatu:</t>
        </r>
        <r>
          <rPr>
            <sz val="9"/>
            <color indexed="81"/>
            <rFont val="Tahoma"/>
            <family val="2"/>
          </rPr>
          <t xml:space="preserve">
soppresso il sabato dal 18/02/2023</t>
        </r>
      </text>
    </comment>
  </commentList>
</comments>
</file>

<file path=xl/sharedStrings.xml><?xml version="1.0" encoding="utf-8"?>
<sst xmlns="http://schemas.openxmlformats.org/spreadsheetml/2006/main" count="16740" uniqueCount="2140">
  <si>
    <t>Trento-Vigo Cavedine</t>
  </si>
  <si>
    <t>estiva feriale</t>
  </si>
  <si>
    <t>Trento-Drena</t>
  </si>
  <si>
    <t>Trento-Centa</t>
  </si>
  <si>
    <t>Lavarone-Trento</t>
  </si>
  <si>
    <t>Trento-Lavarone</t>
  </si>
  <si>
    <t>Viote-Trento</t>
  </si>
  <si>
    <t>Trento-Viote</t>
  </si>
  <si>
    <t>Lagolo-Trento</t>
  </si>
  <si>
    <t>Trento-Lagolo</t>
  </si>
  <si>
    <t>Trento-Rovereto</t>
  </si>
  <si>
    <t>Rovereto-Trento</t>
  </si>
  <si>
    <t>Trento-Borgo V.</t>
  </si>
  <si>
    <t>Levico T. - Borgo V.</t>
  </si>
  <si>
    <t>scolastica solo sabato</t>
  </si>
  <si>
    <t>Baselga-Trento</t>
  </si>
  <si>
    <t>Mezzolombardo-Fai-Santel</t>
  </si>
  <si>
    <t>Molveno-Mezzocorona</t>
  </si>
  <si>
    <t>feriale</t>
  </si>
  <si>
    <t>Trento-Civezzano</t>
  </si>
  <si>
    <t>estiva dal lunedì al venerdì feriale</t>
  </si>
  <si>
    <t>Civezzano-Trento</t>
  </si>
  <si>
    <t>Trento-Grauno</t>
  </si>
  <si>
    <t>Cavalese-Trento</t>
  </si>
  <si>
    <t>Trento-Baselga</t>
  </si>
  <si>
    <t>Baitoni-Tione</t>
  </si>
  <si>
    <t>Tione-Baitoni</t>
  </si>
  <si>
    <t>Rovereto-Pozzacchio</t>
  </si>
  <si>
    <t>Rovereto-Camposilvano</t>
  </si>
  <si>
    <t>Vò Sinistro - Ala Fs</t>
  </si>
  <si>
    <t>Ala Fs - Vò Sinistro</t>
  </si>
  <si>
    <t>Avio - Masi d'Avio</t>
  </si>
  <si>
    <t>Masi d'Avio - Ala Fs</t>
  </si>
  <si>
    <t>Avio CC - Ala FS</t>
  </si>
  <si>
    <t>Avio - Ala Fs</t>
  </si>
  <si>
    <t>Ala Fs - Avio</t>
  </si>
  <si>
    <t>Ala Fs-Avio</t>
  </si>
  <si>
    <t>Avio-Ala Fs</t>
  </si>
  <si>
    <t>Riva-Baitoni</t>
  </si>
  <si>
    <t>invernale non scolastica feriale</t>
  </si>
  <si>
    <t>Pergine-Hacleri</t>
  </si>
  <si>
    <t>Hacleri-pergine</t>
  </si>
  <si>
    <t>Menas-Pellizzano</t>
  </si>
  <si>
    <t>Pellizzano-Menas</t>
  </si>
  <si>
    <t>Laives-Trento</t>
  </si>
  <si>
    <t>Trento-Laives</t>
  </si>
  <si>
    <t>Toss-Mezzolombardo</t>
  </si>
  <si>
    <t>Mezzolombardo-Toss</t>
  </si>
  <si>
    <t>Raut-Toss-Mezzolombardo</t>
  </si>
  <si>
    <t>Roverè della Luna-Mezzolombardo</t>
  </si>
  <si>
    <t>Mezzolombardo-Roverè della Luna</t>
  </si>
  <si>
    <t>Mezzocorona-Faedo</t>
  </si>
  <si>
    <t>Faedo-Mezzocorona</t>
  </si>
  <si>
    <t>Mechel-Cles</t>
  </si>
  <si>
    <t>Cles-Mechel</t>
  </si>
  <si>
    <t>Cles-Fondo</t>
  </si>
  <si>
    <t>Fondo-Cles</t>
  </si>
  <si>
    <t>Cles-Tuenno-Portolo</t>
  </si>
  <si>
    <t>Romallo-Cles</t>
  </si>
  <si>
    <t>Cles-Romallo</t>
  </si>
  <si>
    <t>Portolo-Cles</t>
  </si>
  <si>
    <t>Cles-Portolo</t>
  </si>
  <si>
    <t>Tres-Cles</t>
  </si>
  <si>
    <t>Mollaro-Tres</t>
  </si>
  <si>
    <t>Cles-Lanza</t>
  </si>
  <si>
    <t>Lanza-Cles</t>
  </si>
  <si>
    <t>Cles-Livo-Bresimo</t>
  </si>
  <si>
    <t>Cles-Bresimo-Lanza</t>
  </si>
  <si>
    <t>Bresimo-Livo-Cles</t>
  </si>
  <si>
    <t>Lanza-Bresimo-Cles</t>
  </si>
  <si>
    <t>Mendola-Fondo</t>
  </si>
  <si>
    <t>Cles-Mendola</t>
  </si>
  <si>
    <t>Fondo-Dermulo</t>
  </si>
  <si>
    <t>Sfruz-Dermulo</t>
  </si>
  <si>
    <t>Sfruz-Cles</t>
  </si>
  <si>
    <t>Cis-Cles</t>
  </si>
  <si>
    <t>Cles-Cis</t>
  </si>
  <si>
    <t>Civezzano-Bosco</t>
  </si>
  <si>
    <t>Bosco-Civezzano</t>
  </si>
  <si>
    <t>Pergine-Civezzano-Bosco</t>
  </si>
  <si>
    <t>Olle-Borgo</t>
  </si>
  <si>
    <t>Borgo-Olle</t>
  </si>
  <si>
    <t>Ronchi Borgo</t>
  </si>
  <si>
    <t>Borgo-Ronchi</t>
  </si>
  <si>
    <t>Borgo -Torcegno</t>
  </si>
  <si>
    <t>Samone-Borgo</t>
  </si>
  <si>
    <t>Torcegno-Borgo</t>
  </si>
  <si>
    <t>Borgo-Torcegno</t>
  </si>
  <si>
    <t>percorso</t>
  </si>
  <si>
    <t>ora arr.</t>
  </si>
  <si>
    <t>ora part.</t>
  </si>
  <si>
    <t>Linea</t>
  </si>
  <si>
    <t xml:space="preserve"> </t>
  </si>
  <si>
    <t>19</t>
  </si>
  <si>
    <t>Posti autobus</t>
  </si>
  <si>
    <t xml:space="preserve">frequenza </t>
  </si>
  <si>
    <t>n.
corsa</t>
  </si>
  <si>
    <t>scolastica 
da lunedì a sabato</t>
  </si>
  <si>
    <t>8/ 8</t>
  </si>
  <si>
    <t>20</t>
  </si>
  <si>
    <t>07.05 Sover-Segonzano-Sevignano-Faver bv</t>
  </si>
  <si>
    <t>50</t>
  </si>
  <si>
    <t>Scolastica
solo lunedì</t>
  </si>
  <si>
    <t>scolastica 
da lunedì a venerdì</t>
  </si>
  <si>
    <t xml:space="preserve">Forti Lardaro-Praso-Daone
</t>
  </si>
  <si>
    <t>feriale
estiva</t>
  </si>
  <si>
    <t xml:space="preserve">Drena - Vigo Cavedine </t>
  </si>
  <si>
    <t>feriale
non scolastica</t>
  </si>
  <si>
    <t>feriale 
solo mercoledì</t>
  </si>
  <si>
    <t>Cembra - Segonzano - Valcava</t>
  </si>
  <si>
    <t>Valcava - Segonzano - Cembra</t>
  </si>
  <si>
    <t>54</t>
  </si>
  <si>
    <t>Cles - Castelfondo</t>
  </si>
  <si>
    <t>Tavon - Cles - Cles piazza Fiera</t>
  </si>
  <si>
    <t>Mechel Cles</t>
  </si>
  <si>
    <t>Cles piazza Fiera - Mechel</t>
  </si>
  <si>
    <t>8</t>
  </si>
  <si>
    <t>Fondo  - Fondo (Vasio)  - Fondo</t>
  </si>
  <si>
    <t xml:space="preserve">Fondo (Vasio) - Fondo </t>
  </si>
  <si>
    <t xml:space="preserve">scolastica 
solo venerdì </t>
  </si>
  <si>
    <t>Malè-Somrabbi</t>
  </si>
  <si>
    <t>Bolentina - Montes -Malè</t>
  </si>
  <si>
    <t>Malè - Bolentina</t>
  </si>
  <si>
    <t>scolastica 
solo giorno di sabato</t>
  </si>
  <si>
    <t>Bolentina - Malè</t>
  </si>
  <si>
    <t>15</t>
  </si>
  <si>
    <t>Cles - Cis</t>
  </si>
  <si>
    <t>36</t>
  </si>
  <si>
    <t>Tres (Predaia)-Tres - Taio</t>
  </si>
  <si>
    <t>Tres - Taio</t>
  </si>
  <si>
    <t xml:space="preserve">Dermulo - Coredo - Sfruz </t>
  </si>
  <si>
    <t>Rovereto-Terragnolo - Serrada - Folgaria</t>
  </si>
  <si>
    <t>Serrada - Terragnolo - Rovereto F.S.</t>
  </si>
  <si>
    <t>Mezzomonte - Guardia di Folgaria</t>
  </si>
  <si>
    <t>feriale 
solo martedì</t>
  </si>
  <si>
    <t>Folgaria - Mezzomonte - Guardia di Fogaria</t>
  </si>
  <si>
    <t>invernale feriale 
solo martedì</t>
  </si>
  <si>
    <t>Guardia di Folgaria - Mezzomonte - Folgaria</t>
  </si>
  <si>
    <t>estiva feriale 
solo giorno di martedì</t>
  </si>
  <si>
    <t>Guardia di Folgaria - Mezzomonte</t>
  </si>
  <si>
    <t>Pergine - Tenna - Levico</t>
  </si>
  <si>
    <t>Pergine - Fierozzo - Hacleri - Palù del Fersina</t>
  </si>
  <si>
    <t xml:space="preserve">Palù del Fersina - Viarago - Pergine </t>
  </si>
  <si>
    <t>invernale festivo 
no durante intensificazione: Ponte Immacolata-1° decade aprile)</t>
  </si>
  <si>
    <t>Fucine - Vermiglio</t>
  </si>
  <si>
    <t>Ponte di Legno - Fucine - Malè</t>
  </si>
  <si>
    <t>16</t>
  </si>
  <si>
    <t>Masi di Cavalese - Cavalese</t>
  </si>
  <si>
    <t>Cavalese - Masi di Cavalese</t>
  </si>
  <si>
    <t xml:space="preserve">Cavalese - Varena - Cavalese </t>
  </si>
  <si>
    <t>Tesero - Stava</t>
  </si>
  <si>
    <t>Stava - Tesero</t>
  </si>
  <si>
    <t>Monte Terlago - Trento</t>
  </si>
  <si>
    <t>Trento - Monte Terlago</t>
  </si>
  <si>
    <t>Trento - Aldeno - Garniga</t>
  </si>
  <si>
    <t>feriale 
da lunedì a venerdì</t>
  </si>
  <si>
    <t>24</t>
  </si>
  <si>
    <t>festiva</t>
  </si>
  <si>
    <t>Garniga Vecchia - Garniga - Aldeno - Trento</t>
  </si>
  <si>
    <t>Trento - Aldeno - Garniga - garniga Vecchia</t>
  </si>
  <si>
    <t>Trento - Aldeno - Garniga - Garniga Vecchia</t>
  </si>
  <si>
    <t>invernale feriale 
solo sabato</t>
  </si>
  <si>
    <t>Aldeno - Garniga - Ganiga Vecchia</t>
  </si>
  <si>
    <t>Trento - Terlago - Monte Terlago</t>
  </si>
  <si>
    <t>35</t>
  </si>
  <si>
    <t>55</t>
  </si>
  <si>
    <t>Trento (via Giusti e giro scuole) - Verla (bis)</t>
  </si>
  <si>
    <t>9</t>
  </si>
  <si>
    <t>Regnana-Centrale</t>
  </si>
  <si>
    <t>Centrale-Regnana</t>
  </si>
  <si>
    <t>Bedollo - Svaldi</t>
  </si>
  <si>
    <t>Svaldi - Bedollo</t>
  </si>
  <si>
    <t>Valcava - Brusago</t>
  </si>
  <si>
    <t>6</t>
  </si>
  <si>
    <t>Fiorè - Baselga di Pinè</t>
  </si>
  <si>
    <t>Carbonare - Vigolo Vattaro - Trento (corsa bis)</t>
  </si>
  <si>
    <t>Crescino - Sporminore</t>
  </si>
  <si>
    <t>Crescino - Dercolo - Quetta - Campodenno - Sporminore</t>
  </si>
  <si>
    <t>Crescino Sporminore (bis corsa diretta)</t>
  </si>
  <si>
    <t xml:space="preserve">Lover - Sporminore </t>
  </si>
  <si>
    <t>invernale feriale 
solo venerdì</t>
  </si>
  <si>
    <t xml:space="preserve"> Ponte Arche - Tione ( corsa bis)</t>
  </si>
  <si>
    <t>Tione - Ponte Arche (corsa bis)</t>
  </si>
  <si>
    <t>57</t>
  </si>
  <si>
    <t>Scancio di Segonzano  - Trento giro scuole (corsa bis)</t>
  </si>
  <si>
    <t>Calavino-Dro</t>
  </si>
  <si>
    <t>Drò - Drena - Vigo Cavedine</t>
  </si>
  <si>
    <t>Sarche-Pergolese</t>
  </si>
  <si>
    <t>30</t>
  </si>
  <si>
    <t>Calavino-Riva del Garda</t>
  </si>
  <si>
    <t xml:space="preserve">Tiarno - Storo - Condino - Pieve di Bono </t>
  </si>
  <si>
    <t>56</t>
  </si>
  <si>
    <t>Sarche - Ponte Arche - Tione</t>
  </si>
  <si>
    <t>Ponte Arche - Trento (corsa bis)</t>
  </si>
  <si>
    <t>scolastica 
da lunedì a giovedì</t>
  </si>
  <si>
    <t>Trento - Fornace - Albiano</t>
  </si>
  <si>
    <t>S.Lorenzo - Molveno</t>
  </si>
  <si>
    <t>Andogno - S.Lorenzo in B.</t>
  </si>
  <si>
    <t xml:space="preserve">S.Lorenzo in B.- Andogno </t>
  </si>
  <si>
    <t>Ponte Arche - S.Lorenzo in Banale</t>
  </si>
  <si>
    <t>S.Lorenzo in Banale - Ponte Arche</t>
  </si>
  <si>
    <t>S.Lorenzo in Banale - Molveno</t>
  </si>
  <si>
    <t>Calceranica-Caldonazzo-Levico-Borgo
(C.sa bis sostitutiva treno)</t>
  </si>
  <si>
    <t>invernale
da lunedì a venerdì</t>
  </si>
  <si>
    <t>Vezzano Apt-V.Cavedine</t>
  </si>
  <si>
    <t>V.Cavedine-Trento</t>
  </si>
  <si>
    <t>festiva invernale</t>
  </si>
  <si>
    <t>Monte Terlago - Cadine - Forte Bus del Vela</t>
  </si>
  <si>
    <t>Sopramomnte - Monte Terlago</t>
  </si>
  <si>
    <t>Monte Terlago - Sopramonte</t>
  </si>
  <si>
    <t>Terlago - Covelo - Maso Ariol - Monte Terlago</t>
  </si>
  <si>
    <t>Sopramonte - Monte Terlago</t>
  </si>
  <si>
    <t>Terlago - Sopramonte</t>
  </si>
  <si>
    <t>Trento - Terlago - Covelo -Ciago - Monte Terlago</t>
  </si>
  <si>
    <t>M.Terlago-Covelo-Terlago-TN</t>
  </si>
  <si>
    <t>Monte Terlago - Covelo - Terlago - TN</t>
  </si>
  <si>
    <t>L. Lamar -M.Terlago 17.55  (Prolungamento)</t>
  </si>
  <si>
    <t>Terlago bivio - M.te Terlago</t>
  </si>
  <si>
    <t>M.te Terlago - Laghi Lamar (prolungamento)</t>
  </si>
  <si>
    <t>Cadine - Terlago - M.terlago</t>
  </si>
  <si>
    <t>Vezzano - Fraveggio - Ciago - Ranzo (settimane pari)</t>
  </si>
  <si>
    <t>Vezzano Apt - Ranzo - Margone</t>
  </si>
  <si>
    <t xml:space="preserve">scolastica 
solo martedì e giovedì </t>
  </si>
  <si>
    <t>Vezzano Apt - Ciago (bis)</t>
  </si>
  <si>
    <t>Margone - Ranzo - Vezzano bivio sud</t>
  </si>
  <si>
    <t>Sardagna - Trento</t>
  </si>
  <si>
    <t>Trento - Sardagna</t>
  </si>
  <si>
    <t>Kamauz - Maso Tingerla (prolungamento)</t>
  </si>
  <si>
    <t>25</t>
  </si>
  <si>
    <t>Pergine - Canezza - Kamauz</t>
  </si>
  <si>
    <t>Roveda bivio - Kamauz</t>
  </si>
  <si>
    <t>Kamuz - Roveda Bivio</t>
  </si>
  <si>
    <t>Kamauz - Roveda Bivio</t>
  </si>
  <si>
    <t>Ala F.S. - Ronchi di Ala ( Ponzolotti)</t>
  </si>
  <si>
    <t>29</t>
  </si>
  <si>
    <t>Ronchi di Ala (Ponzolotti) - Ala F.S.</t>
  </si>
  <si>
    <t>Ala F.S.- Ronchi di Ala</t>
  </si>
  <si>
    <t>Vigo Cavedine - Masi di Vigo</t>
  </si>
  <si>
    <t>Masi di Vigo - Vigo Cavedine</t>
  </si>
  <si>
    <t>feriale 
solo martedì e venerdì</t>
  </si>
  <si>
    <t>Cogolo - Celentino paese</t>
  </si>
  <si>
    <t>Comasine - Cogolo</t>
  </si>
  <si>
    <t>scolastica 
 sabato</t>
  </si>
  <si>
    <t>Strombiano- Celentino Bivio</t>
  </si>
  <si>
    <t>Celentino paese - Celentino Bivio</t>
  </si>
  <si>
    <t>scolastica
lun+merc+giov+ven</t>
  </si>
  <si>
    <t>Claiano bv-Ortisè-Menas</t>
  </si>
  <si>
    <t>Cusiano - Passo Tonale</t>
  </si>
  <si>
    <t xml:space="preserve">Passo Tonale - Vermiglio - Fucine -Pellizzano - Mezzana -  Dimaro </t>
  </si>
  <si>
    <t>Passo Tonale - Stavel - Vermiglio</t>
  </si>
  <si>
    <t>Menas - Pellizzano</t>
  </si>
  <si>
    <t>estiva
lunedi-venerdì</t>
  </si>
  <si>
    <t>Santel-Mezzolombardo</t>
  </si>
  <si>
    <t>scolastica 
sabato</t>
  </si>
  <si>
    <t>41</t>
  </si>
  <si>
    <t>Tesero-Palù di Giovo</t>
  </si>
  <si>
    <t>Cembra - Scancio di Segonzano</t>
  </si>
  <si>
    <t>S.Michele - Cembra</t>
  </si>
  <si>
    <t>Valda - Faver - Cembra - Ville - S.Michele</t>
  </si>
  <si>
    <t>Palù di Giovo - Ville di Giovo - Verla</t>
  </si>
  <si>
    <t>Verla - Palù di Giovo, nei gg. senza scuola  e estivi   transita da Ville di Giovo</t>
  </si>
  <si>
    <t>Verla - Palù di Giovo</t>
  </si>
  <si>
    <t>Palù di Giovo - Verla</t>
  </si>
  <si>
    <t>Grauno - Trento</t>
  </si>
  <si>
    <t>47</t>
  </si>
  <si>
    <t>Cembra - Trento (corsa bis)</t>
  </si>
  <si>
    <t>Cembra - Capriana</t>
  </si>
  <si>
    <t>estiva feriale 
dal lunedì al venerdì</t>
  </si>
  <si>
    <t>Levico - Borgo Valsugana</t>
  </si>
  <si>
    <t>22</t>
  </si>
  <si>
    <t>Tione - Montagne</t>
  </si>
  <si>
    <t>Ponte Arche - S.Lorenzo - Molveno</t>
  </si>
  <si>
    <t>Montagne-Tione</t>
  </si>
  <si>
    <t>Preore-Montagne</t>
  </si>
  <si>
    <t>invernale giornaliera</t>
  </si>
  <si>
    <t>Tione - M. di Campiglio C.Carlo Magno</t>
  </si>
  <si>
    <t>Tione - Baitoni</t>
  </si>
  <si>
    <t>Ponte Arche - Cavrasto - Bivedo</t>
  </si>
  <si>
    <t>Ponte Arche - Fiavè - Lundo - Comano</t>
  </si>
  <si>
    <t>Ponte Arche - Sclemo - S.Lorenzo</t>
  </si>
  <si>
    <t>Ponte Arche - Stenico - Sclemo</t>
  </si>
  <si>
    <t>Sclemo - Stenico - Ponte Arche</t>
  </si>
  <si>
    <t>scolastica 
solo venerdì</t>
  </si>
  <si>
    <t xml:space="preserve">Pieve di Bono (loc. Creto) - Prezzo </t>
  </si>
  <si>
    <t xml:space="preserve">Condino-Pieve di Bono - Strada </t>
  </si>
  <si>
    <t>Prezzo - Pieve di Bono</t>
  </si>
  <si>
    <t>Por - Pieve di Bono (loc. Strada)</t>
  </si>
  <si>
    <t>Castel Condino - Cimego</t>
  </si>
  <si>
    <t>Cimone bivio Pietra - Vigile</t>
  </si>
  <si>
    <t>Vigile - Cimone bivio Pietra</t>
  </si>
  <si>
    <t>estiva feriale 
solo giorno di giovedì</t>
  </si>
  <si>
    <t>Solaiolo - Cavalese                                          al martedì partenza alle 14.30</t>
  </si>
  <si>
    <t>Cavalese - Solaiolo                                                         al martedi partenza alle 14.15</t>
  </si>
  <si>
    <t>feriale 
solo giovedì</t>
  </si>
  <si>
    <t>Falesina - Pergine</t>
  </si>
  <si>
    <t>Pergine - Falesina</t>
  </si>
  <si>
    <t xml:space="preserve">Sveseri Bivio - Facendi </t>
  </si>
  <si>
    <t xml:space="preserve">Sover-Montesover                                        </t>
  </si>
  <si>
    <t>Sover - Montesover</t>
  </si>
  <si>
    <t>Montesover- Gabard (prolungamento c.sa 67)</t>
  </si>
  <si>
    <t>Montesover - Sover</t>
  </si>
  <si>
    <t>Facendi  - Sveseri Bivio</t>
  </si>
  <si>
    <t>Casatta - Sover</t>
  </si>
  <si>
    <t>Piscine - Sover</t>
  </si>
  <si>
    <t>Ischia-Pergine V
(c.sa bis a L.423)</t>
  </si>
  <si>
    <t>Lases - Trento Port'Aquila (corsa bis)</t>
  </si>
  <si>
    <t>Regnana Alta-Centrale B.</t>
  </si>
  <si>
    <t xml:space="preserve">Baselga di Pinè - S.Mauro </t>
  </si>
  <si>
    <t>S.Mauro - Baselga di Pinè</t>
  </si>
  <si>
    <t>4</t>
  </si>
  <si>
    <t>Baselga di Pinè - Fiorè</t>
  </si>
  <si>
    <t>scolastica
mar+gio</t>
  </si>
  <si>
    <t>Predazzo sc.-Bellamonte</t>
  </si>
  <si>
    <t>Bellamonte - Predazzo sc.</t>
  </si>
  <si>
    <t>Tregiovo - Revò</t>
  </si>
  <si>
    <t>Revò - Tregiovo</t>
  </si>
  <si>
    <t>Brez - Salobbi</t>
  </si>
  <si>
    <t>Salobbi - Brez</t>
  </si>
  <si>
    <t>Castelfondo - Revò - Cles</t>
  </si>
  <si>
    <t>Serso-Pergine V. 
C.sa bis L.417</t>
  </si>
  <si>
    <t>Levico (S.P. 228 maso Rosso) - Borgo - Feltre Vellai</t>
  </si>
  <si>
    <t>Pergine - Frassilongo - Fierozzo - Hacleri</t>
  </si>
  <si>
    <t>Sicina - Casatta</t>
  </si>
  <si>
    <t>Casatta - Sicina</t>
  </si>
  <si>
    <t xml:space="preserve">Sicina - Casatta - Pradel </t>
  </si>
  <si>
    <t xml:space="preserve">estiva feriale </t>
  </si>
  <si>
    <t>Grumes - Giro masi</t>
  </si>
  <si>
    <t>Pregasina - Riva del Garda</t>
  </si>
  <si>
    <t>Rovereto-Piazza Terragnolo - Zoreri</t>
  </si>
  <si>
    <t>Zoreri-Piazza Terragnolo-Rovereto</t>
  </si>
  <si>
    <t>feriale invernale 
martedì e giovedì</t>
  </si>
  <si>
    <t>17</t>
  </si>
  <si>
    <t>Piazza di Terragnolo -Zoreri - Geroli</t>
  </si>
  <si>
    <t>Geroli - Piazza di Terragnolo - Zencheri           (ore 6.50 prolungamento per Valle e Costa)</t>
  </si>
  <si>
    <t>Folgaria - Rovereto F.S.  (corsa bis)</t>
  </si>
  <si>
    <t>S. Pellegrino - Moena</t>
  </si>
  <si>
    <t>Moena - S.Pellegrino</t>
  </si>
  <si>
    <t>Moena - Falcade</t>
  </si>
  <si>
    <t>Falcade - Moena</t>
  </si>
  <si>
    <t xml:space="preserve"> Borgo vals. - Ronchi Valsugana  giro masi</t>
  </si>
  <si>
    <t>Ronchi Valsugana  giro masi - Borgo vals.</t>
  </si>
  <si>
    <t>Levico -Vigolo vattaro</t>
  </si>
  <si>
    <t xml:space="preserve">Pergine - Levico - Centa </t>
  </si>
  <si>
    <t>Vigolo Vattaro - Levico</t>
  </si>
  <si>
    <t>Centa - Calceranica</t>
  </si>
  <si>
    <t>Vattaro - Vigolo Vattaro (corsa bis)</t>
  </si>
  <si>
    <t>Centa - Trento</t>
  </si>
  <si>
    <t>feriale non scolastica
da lunedì a sabato</t>
  </si>
  <si>
    <t>Centa - Pergine</t>
  </si>
  <si>
    <t>Bosentino - Vigolo Vattaro (corsa bis)</t>
  </si>
  <si>
    <t>Pian dei Pradi - Trento (corsa bis)</t>
  </si>
  <si>
    <t>Aldeno - Pomarolo</t>
  </si>
  <si>
    <t>Sarche - Pergolese - Pietramurata</t>
  </si>
  <si>
    <t>Due Laghi - S. Massenza</t>
  </si>
  <si>
    <t>S. Massenza - Due laghi</t>
  </si>
  <si>
    <t>20,00</t>
  </si>
  <si>
    <t>Albaredo - Raossi</t>
  </si>
  <si>
    <t>Raossi - Albaredo</t>
  </si>
  <si>
    <t>Ometto - Raossi</t>
  </si>
  <si>
    <t>Raossi - Ometto</t>
  </si>
  <si>
    <t>Raossi -Ometto</t>
  </si>
  <si>
    <t>feriale non scolastica 
da lunedì a venerdì</t>
  </si>
  <si>
    <t>Rovereto - Raossi</t>
  </si>
  <si>
    <t>Ometto - Rovereto</t>
  </si>
  <si>
    <t>feriale 
solo lunedì e giovedì</t>
  </si>
  <si>
    <t>Pian delle Fugazze - Raossi</t>
  </si>
  <si>
    <t>Raossi - Pian delle Fugazze</t>
  </si>
  <si>
    <t>Valmorbia - Raossi</t>
  </si>
  <si>
    <t>Raossi - Valmorbia</t>
  </si>
  <si>
    <t>Calvola - Ville del Monte</t>
  </si>
  <si>
    <t xml:space="preserve">scolastica 
da lunedì a giovedì </t>
  </si>
  <si>
    <t>Fiavè-V.Lomaso-P.Arche
prolungamento 16.35 Riva-Fiavè</t>
  </si>
  <si>
    <t xml:space="preserve">Riva del Garda - Pregasina </t>
  </si>
  <si>
    <t xml:space="preserve">Riva del Garda - Tenno - Fiavè </t>
  </si>
  <si>
    <t>Scolastica
lun+mar+gio+ven</t>
  </si>
  <si>
    <t>Tiarno Sopra - Storo</t>
  </si>
  <si>
    <t xml:space="preserve">Condino - Brione </t>
  </si>
  <si>
    <t>Storo - Lodrone - Baitoni</t>
  </si>
  <si>
    <t>scolastica 
solo venerdì e sabato</t>
  </si>
  <si>
    <t>Bondone - Ponte Caffaro bivio</t>
  </si>
  <si>
    <t>Brione - Condino</t>
  </si>
  <si>
    <t>Bondone - Baitoni</t>
  </si>
  <si>
    <t>Massimeno - Giustino</t>
  </si>
  <si>
    <t>Mori FS - Mori Bar Centrale</t>
  </si>
  <si>
    <t>Mori - Besagno - Brentonico</t>
  </si>
  <si>
    <t>Pergine - Civezzano</t>
  </si>
  <si>
    <t>Fornace - Civezzano 7.11 - Pergine</t>
  </si>
  <si>
    <t xml:space="preserve">Civezzano-Fornace </t>
  </si>
  <si>
    <t xml:space="preserve">Ville del Monte - Ponte Arche </t>
  </si>
  <si>
    <t xml:space="preserve">scolastica 
lun+mar+mer+ven </t>
  </si>
  <si>
    <t>Ville del Monte - Calvola</t>
  </si>
  <si>
    <t>S.Croce - Ponte Arche</t>
  </si>
  <si>
    <t>Villa-Sesto bivio - Ponte Arche - Tione (corsa bis)</t>
  </si>
  <si>
    <t>Ponte Arche - Lundo</t>
  </si>
  <si>
    <t>Lundo - Ponte Arche</t>
  </si>
  <si>
    <t>Luserna - Caldonazzo</t>
  </si>
  <si>
    <t xml:space="preserve">feriale solo 
lunedì e mercoledì </t>
  </si>
  <si>
    <t>Borgo Vals. - Roncegno giro masi</t>
  </si>
  <si>
    <t xml:space="preserve">invernale feriale 
solo lunedì e mercoledì </t>
  </si>
  <si>
    <t xml:space="preserve">Roncegno giro Masi - Borgo Vals. </t>
  </si>
  <si>
    <t xml:space="preserve">estivo feriale
solo giorni di lunedì e mercoledì </t>
  </si>
  <si>
    <t>Masi di Imer - Pozza di fassa</t>
  </si>
  <si>
    <t>Spormaggiore-Trento</t>
  </si>
  <si>
    <t>scolastica lunedì</t>
  </si>
  <si>
    <t>scolastica venerdì</t>
  </si>
  <si>
    <t>Ponte Arche-Trento</t>
  </si>
  <si>
    <t>40</t>
  </si>
  <si>
    <t xml:space="preserve">Mezzolombardo-Nave S.Rocco-Mezzolombardo </t>
  </si>
  <si>
    <t>Trento FTM-Mezzolombardo FTM  (serv. Sostitutivo treno)</t>
  </si>
  <si>
    <t>Caldonazzo-Pergine</t>
  </si>
  <si>
    <t>Rizzolaga-Sover</t>
  </si>
  <si>
    <t>Malè-Cogolo</t>
  </si>
  <si>
    <t>Fucine - Pejo</t>
  </si>
  <si>
    <t>Mezzocorona - Faedo</t>
  </si>
  <si>
    <t>Faedo - Mezzocorona</t>
  </si>
  <si>
    <t xml:space="preserve">Scancio di Segonzano-Lases
in coinc. con c.sa Tte da Ist. Alberghiero Tesero </t>
  </si>
  <si>
    <t xml:space="preserve">scolastica
martedì </t>
  </si>
  <si>
    <t>Sover-Scancio di Segonzano</t>
  </si>
  <si>
    <t>Dermulo-Coredo-Sfruz</t>
  </si>
  <si>
    <t>S. Orsola Mantovani- Mala - Viarago - Pergine (corsa bis)</t>
  </si>
  <si>
    <t>Grumes-Capriana</t>
  </si>
  <si>
    <t xml:space="preserve">scolastica 
solo  lun-mar-gio </t>
  </si>
  <si>
    <t xml:space="preserve">Cavalese - Veronza </t>
  </si>
  <si>
    <t>Estiva
lunedì-sabato</t>
  </si>
  <si>
    <t>Estiva
lunedì-venerdì</t>
  </si>
  <si>
    <t>Trento FTM - Lavis - Mezzolombardo</t>
  </si>
  <si>
    <t>Feriale invernale
giovedì</t>
  </si>
  <si>
    <t>Pergine-Fierozzo-Palu' F.-S.Orsola-Pergine</t>
  </si>
  <si>
    <t>Festiva</t>
  </si>
  <si>
    <t>Cles-Mezzana-Fucine-Peio</t>
  </si>
  <si>
    <t>P.di Bono Borel - Castel Condino</t>
  </si>
  <si>
    <t>Maso Tingherla-Kamauz (prolungamento c.sa x Roveda bv)</t>
  </si>
  <si>
    <t>Baselga P.-Rizzolaga (prolungamento c.sa x Sover)</t>
  </si>
  <si>
    <t>Pregasina bv.-Pregasina</t>
  </si>
  <si>
    <t>Faver loc.Ponciac-Cembra loc.Molini-Cembra</t>
  </si>
  <si>
    <t>Comasine bv.-Strombiano-Celentino</t>
  </si>
  <si>
    <t>scolastica
solo mart-merc-ven</t>
  </si>
  <si>
    <t>Comasine bv-Comasine paese-Comasine bv</t>
  </si>
  <si>
    <t>Trento - Covelo-Ciago-Monte Terlago</t>
  </si>
  <si>
    <t>Trento-Vezzano-v.Cavedine</t>
  </si>
  <si>
    <t>Molveno-Andalo-Mezzolombardo</t>
  </si>
  <si>
    <t>Centa-Bosentino-V.Vattaro-Trento</t>
  </si>
  <si>
    <t>Invernale 
festiva</t>
  </si>
  <si>
    <t>Trento-V.Vattaro-Bosentino-Centa</t>
  </si>
  <si>
    <t>Monte Terlago-Ciago-Vezzano-V.Cavedine</t>
  </si>
  <si>
    <t>invernale 
festiva</t>
  </si>
  <si>
    <t>Pellizzano-Claiano bv.-Menas</t>
  </si>
  <si>
    <t>Garniga V.-Garniga-Aldeno-Ravina-Trento</t>
  </si>
  <si>
    <t>Invernale
festiva</t>
  </si>
  <si>
    <t>Riva-Bezzecca-Concei-Tiarno</t>
  </si>
  <si>
    <t>Invernale no scuola
lun-ven</t>
  </si>
  <si>
    <t>Tiarno-Concei-Bezzecca-Riva</t>
  </si>
  <si>
    <t>Trento-V.Vattaro-Bosentino-Centa-Carbonare</t>
  </si>
  <si>
    <t>Carbonare-Centa-Bosentino-V.Vattaro-Trento</t>
  </si>
  <si>
    <t>Storo-Tremalzo bv.-Tiarno</t>
  </si>
  <si>
    <t>Tiarno-Tremalzo bv.-Storo</t>
  </si>
  <si>
    <t>estiva 
martedì feriale</t>
  </si>
  <si>
    <t>Cavalese-Ospedale-Cavalese</t>
  </si>
  <si>
    <t>Mezzolombardo-Vigo di Ton-Toss</t>
  </si>
  <si>
    <t>Storo-Baitoni</t>
  </si>
  <si>
    <t>Vigo Cavedine-Dro</t>
  </si>
  <si>
    <t>Dro-Riva del Garda</t>
  </si>
  <si>
    <t>Revò-Tregiovo</t>
  </si>
  <si>
    <t>scolastica 
mar-gio-ven-sab</t>
  </si>
  <si>
    <t xml:space="preserve">Trento-Levico (prolungamento c.sa per Feltre </t>
  </si>
  <si>
    <t>scolastica 
lunedì + post festivi</t>
  </si>
  <si>
    <t>Drò - Drena - Vigo Cavedine-Calavino</t>
  </si>
  <si>
    <t>Lagolo-Lasino</t>
  </si>
  <si>
    <t>Caldonazzo  FS-Luserna</t>
  </si>
  <si>
    <t>Ville d.Monte S.Antonio-Fiavè-Ponte Arche</t>
  </si>
  <si>
    <t>Mezzocorona FS-Campodenno-Cles</t>
  </si>
  <si>
    <t>Mezzolombardo - Denno -Cles</t>
  </si>
  <si>
    <t>Cles-Campodenno-Mezzocorona FS</t>
  </si>
  <si>
    <t>feriale
sabato</t>
  </si>
  <si>
    <t>feriale invernale
sabato</t>
  </si>
  <si>
    <t>Lavis FTM-Nave S.Rocco-Mezzolombardo</t>
  </si>
  <si>
    <t>Mezzolombardo-Nave S.Rocco-Lavis FTM</t>
  </si>
  <si>
    <t>invernale
lunedì-sabato</t>
  </si>
  <si>
    <t>Crescino-Spormaggiore-Molveno</t>
  </si>
  <si>
    <t>Deggiano-Mastellina FTM</t>
  </si>
  <si>
    <t>Tiarno - Storo-Baitoni-Darzo-P.di Bono</t>
  </si>
  <si>
    <t xml:space="preserve">Cimego-Castel Condino </t>
  </si>
  <si>
    <t xml:space="preserve">Sfuz- Credai 
(prolungamento c.sa Dermulo - Coredo - Sfruz) </t>
  </si>
  <si>
    <t>Pregasina bivio-Pregasina</t>
  </si>
  <si>
    <t>Valle S.Felice - Rovereto (c.sa bis)</t>
  </si>
  <si>
    <t xml:space="preserve">Cles - Cis </t>
  </si>
  <si>
    <t xml:space="preserve">Cis - Cles </t>
  </si>
  <si>
    <t>Tesero - Stava (dal 19/11/18)</t>
  </si>
  <si>
    <t>Stava - Cavalese (dal 19/11/18)</t>
  </si>
  <si>
    <t>Trento-Pergine-Levico-Borgo</t>
  </si>
  <si>
    <t>Dimaro staz.FTM-Campiglio-S.A.Mavignola</t>
  </si>
  <si>
    <t>invernale 
da lunedì a sabato</t>
  </si>
  <si>
    <t>Dermulo FTM-Mezzocorona FS</t>
  </si>
  <si>
    <t>Lago Cavedine Trebi-Sarche</t>
  </si>
  <si>
    <t>Sarche-Lago Cavedine Trebi</t>
  </si>
  <si>
    <t>Fondo-Romeno-Dermulo-Cles</t>
  </si>
  <si>
    <t>Lasino-Lagolo</t>
  </si>
  <si>
    <t>estiva
lun-mer-gio</t>
  </si>
  <si>
    <t>Lagolo-Lasino-Vezzano</t>
  </si>
  <si>
    <t xml:space="preserve">estiva
feriale </t>
  </si>
  <si>
    <t>Trento-Pergine-Baselga Pinè</t>
  </si>
  <si>
    <t>Moena-Passo S.Pellegrino-Falcade</t>
  </si>
  <si>
    <t>Falcade-Passo S. Pellegrino-Moena</t>
  </si>
  <si>
    <t>Mezzolombardo-Termon</t>
  </si>
  <si>
    <t>Mezzolombardo-Denno-Cles</t>
  </si>
  <si>
    <t xml:space="preserve">estiva
sabato </t>
  </si>
  <si>
    <t>Mezzocorona Fs-S.Michele a/A</t>
  </si>
  <si>
    <t>Borgo-Levico-Caldonazzo-Trento</t>
  </si>
  <si>
    <t>Trento-Pergine-gallerie-Levico-Borgo</t>
  </si>
  <si>
    <t>Trento-Sardagna-Vason-Viote</t>
  </si>
  <si>
    <t>Viote-Vason-Sardagna-Trento</t>
  </si>
  <si>
    <t>Luserna-Caldonazzo</t>
  </si>
  <si>
    <t>Caldonazzo-Luserna</t>
  </si>
  <si>
    <t xml:space="preserve">Folgaria - Rovereto </t>
  </si>
  <si>
    <t>Rovereto-Pian della Fugazze</t>
  </si>
  <si>
    <t>Pian delle Fugazze-Rovereto</t>
  </si>
  <si>
    <t>Stramentizzo - Casatta</t>
  </si>
  <si>
    <t>estiva+inv
festiva</t>
  </si>
  <si>
    <t>S. Michele-Mezzolombardo-Spormaggire-Molveno</t>
  </si>
  <si>
    <t>53</t>
  </si>
  <si>
    <t>Molveno-Dorsino</t>
  </si>
  <si>
    <t>festiva 
invernale</t>
  </si>
  <si>
    <t>Denno FTM-Moncovo-Truzzi bivio-Toss</t>
  </si>
  <si>
    <t>Mezzzolombardo-Termon</t>
  </si>
  <si>
    <t>Baitoni-Bondone</t>
  </si>
  <si>
    <t xml:space="preserve">scolastica 
solo sabato </t>
  </si>
  <si>
    <t>Mezzocorona FS-Denno-Cles</t>
  </si>
  <si>
    <t>Pozza Fassa-Predazzo-P.so Rolle-Fiera P.-Imer</t>
  </si>
  <si>
    <t>Mezzocorona FS-S. Michele Ist. Agrario
prolungamento c.sa per Cembra</t>
  </si>
  <si>
    <t>scolastica 
solo mar-gio-ven</t>
  </si>
  <si>
    <t>scolastica
sabato</t>
  </si>
  <si>
    <t>Scancio di Segonzano-Sevignano
prolungamento  c.sa Cembra-Scancio</t>
  </si>
  <si>
    <t>Roveda bivio - Kamauz-Maso Tingherla</t>
  </si>
  <si>
    <t>Verla - Palù di Giovo (strada breve)</t>
  </si>
  <si>
    <t>scolastica 
solo Venerdì</t>
  </si>
  <si>
    <t>Tione-P.Arche</t>
  </si>
  <si>
    <t>P.Arche-Tione</t>
  </si>
  <si>
    <t>Fiavè-P.Arche</t>
  </si>
  <si>
    <t>Lundo-P.Arche</t>
  </si>
  <si>
    <t>Tione-Trento</t>
  </si>
  <si>
    <t>Trento-Tione</t>
  </si>
  <si>
    <t>P.Arche-Lundo</t>
  </si>
  <si>
    <t>P.Arche-S. Lorenzo in B.</t>
  </si>
  <si>
    <t>Vezzano APT-Vigo Cavedine-Drena</t>
  </si>
  <si>
    <t>festiva invernale
invernale</t>
  </si>
  <si>
    <t>Mezzolombardo - Nave s. Rocco - Trento (dal 12/09/19)</t>
  </si>
  <si>
    <t>festiva 
estiva</t>
  </si>
  <si>
    <t>invernale + estiva
festiva</t>
  </si>
  <si>
    <t>14</t>
  </si>
  <si>
    <t>S.Agnese-Civezzano</t>
  </si>
  <si>
    <t>Mezzolombardo-Mezzocorona FS</t>
  </si>
  <si>
    <t>6.20 S.Antonio di Mavignola-Campiglio-Dimaro</t>
  </si>
  <si>
    <t>Marilleva 1400 - Marilleva 900</t>
  </si>
  <si>
    <t>Ponte Arche - S.Croce Bleggio</t>
  </si>
  <si>
    <t xml:space="preserve">scolastica 
lun+merc+ven </t>
  </si>
  <si>
    <t>Toss-Raut 
(prolungamento c.sa da Denno FTM-Toss)</t>
  </si>
  <si>
    <t>scolastica 
gio+ven</t>
  </si>
  <si>
    <t>scolastica 
lun+mar+mer</t>
  </si>
  <si>
    <t xml:space="preserve">Ponte Caffaro - Bondone </t>
  </si>
  <si>
    <t>Rovereto - Folgaria</t>
  </si>
  <si>
    <t>Crescino-Sporminore</t>
  </si>
  <si>
    <t xml:space="preserve">Passo Tonale - Vermiglio </t>
  </si>
  <si>
    <t>Pergine-Palù del Fersina</t>
  </si>
  <si>
    <t>feriale estiva
da lunedì a venerdì</t>
  </si>
  <si>
    <t>Luserna-Caldonazzo-Pergine</t>
  </si>
  <si>
    <t>Invernale feriale
solo giovedì</t>
  </si>
  <si>
    <t>Riva-Sarche (c.sa bis)</t>
  </si>
  <si>
    <t>Borgo V. - Ronchi</t>
  </si>
  <si>
    <t>Ronchi - Borgo V.</t>
  </si>
  <si>
    <t>Trento - Pergine</t>
  </si>
  <si>
    <t>Lavarone - V.Vattaro</t>
  </si>
  <si>
    <t>Pian dei Pradi - Lavarone</t>
  </si>
  <si>
    <t>Cavizzana - Malè</t>
  </si>
  <si>
    <t>estiva
2° e 4° mercoledì feriale</t>
  </si>
  <si>
    <t>Malè - Cavizzana</t>
  </si>
  <si>
    <t>Bivedo-P.Arche</t>
  </si>
  <si>
    <t>Tione-C.C.Magno</t>
  </si>
  <si>
    <t>C.C.Magno-Tione</t>
  </si>
  <si>
    <t>Malè-Marrilleva 1400</t>
  </si>
  <si>
    <t>Marilleva 1400 - Malè</t>
  </si>
  <si>
    <t>Mezzana FTM - Pejo</t>
  </si>
  <si>
    <t>Pejo - Fucine</t>
  </si>
  <si>
    <t>Tione-Tione-Ospedale-Tione</t>
  </si>
  <si>
    <t>invernale
feriale sabato</t>
  </si>
  <si>
    <t>Tione-Ragoli-Trento</t>
  </si>
  <si>
    <t>non scolastica 
da lunedì a sabato</t>
  </si>
  <si>
    <t>non scolastica 
da lunedì a venerdì</t>
  </si>
  <si>
    <t>estiva 
da lunedì a giovedì</t>
  </si>
  <si>
    <t>Ala F.S. - Ronchi di Ala + (Ponzolotti)</t>
  </si>
  <si>
    <t>(Ponzolotti) + Ronchi di Ala - Ala F.S.</t>
  </si>
  <si>
    <t xml:space="preserve">scolastica 
da lunedì a venerdì; 
non scolastici 
solo lun-merc-ven  </t>
  </si>
  <si>
    <t>Kamauz - Canezza - Pergine
+1,8km prolungamento bar sole</t>
  </si>
  <si>
    <t xml:space="preserve">Terzolas Revò o 12.20 Terzolas Revò per turni alternati </t>
  </si>
  <si>
    <t>invernale 
da lun a sab 
(sospesa gg chiusura magazzino Melinda)</t>
  </si>
  <si>
    <t xml:space="preserve">Terzolas - Revò turno a giornata     </t>
  </si>
  <si>
    <t>invernale
da lunedì a venerdì (sospesa gg chiusura magazzino Melinda)</t>
  </si>
  <si>
    <t xml:space="preserve">Terzolas - Revò turno a giornata  </t>
  </si>
  <si>
    <t>Revò - Terzolas o 20.00 Terzolas - Revò per turni alternati</t>
  </si>
  <si>
    <t xml:space="preserve">Revò - Terzolas turno a giornata </t>
  </si>
  <si>
    <t>feriale 
da lunedì a venerdì corsa operai 
(sospesa gg chiusura magazzino Melinda)</t>
  </si>
  <si>
    <t>Vermiglio - Mezzana
(periodo NON di intensificazione: fino al 7/12 e dopo Pasqua circa)</t>
  </si>
  <si>
    <t>Fucine - Mezzana
(periodo di intensificazione: dal 8/12 a Pasqua circa)</t>
  </si>
  <si>
    <t>Ceniga-Dro - Sarche - Trento (corsa bis)</t>
  </si>
  <si>
    <t>Km  corsa/servizio</t>
  </si>
  <si>
    <t>Servizio a chiamata Elastibus del Chiese fino Tione 2^ navetta Elastibus Bondone)</t>
  </si>
  <si>
    <t>Servizio a chiamata Elastibus del Chiese fino Tione 1^ navetta Elastibus Pieve Bono)</t>
  </si>
  <si>
    <t>Vezzano -Vigo Cavedine-Drena</t>
  </si>
  <si>
    <t>Trento-Terlago-M.te Terlago-Ciago-Vezzano-Vigo Cavedine-Drena</t>
  </si>
  <si>
    <t>Baitoni-Riva</t>
  </si>
  <si>
    <t>Riva d.G-Ponte Arche</t>
  </si>
  <si>
    <t>Ponte Arche - Riva del Garda</t>
  </si>
  <si>
    <t>Ponte Arche - Riva d.G</t>
  </si>
  <si>
    <t>estiva 
dal lunedì al venerdì feriale</t>
  </si>
  <si>
    <t>invernale non scolastica 
feriale</t>
  </si>
  <si>
    <t>scolastica 
solo lunedì e postfest.</t>
  </si>
  <si>
    <t>Scolastica
venerdì+prefest. infrasett.</t>
  </si>
  <si>
    <t xml:space="preserve">Trento-Sover </t>
  </si>
  <si>
    <t xml:space="preserve">Trento-Fornace-Sover </t>
  </si>
  <si>
    <t>Luserna-Lavarone-Carbonare-Folgaria-Calliano-Rovereto,</t>
  </si>
  <si>
    <t>Raossi - Piano Vallarsa -P. Fugazze - Camposilvano</t>
  </si>
  <si>
    <t xml:space="preserve">Camposilvano - Speccheri  - Raossi </t>
  </si>
  <si>
    <t xml:space="preserve">Vanza - Anghebeni-S.Anna.-Anghebeni-Raossi </t>
  </si>
  <si>
    <t>feriale 
solo martedì mercoledì e venerdì</t>
  </si>
  <si>
    <t>Ala - Ronchi di Ala -Ponzolotti</t>
  </si>
  <si>
    <t>Ponzolotti - Ronchi di Ala -  Ala F.S.</t>
  </si>
  <si>
    <t>Garniga Vecchia- Garniga T. - Aldeno - Trento</t>
  </si>
  <si>
    <t>Pergine-Fierozzo-Palu' F.-S.Orsola-Pergine (estate ore 12.45)</t>
  </si>
  <si>
    <t>Portolo-Tuenno-Cles</t>
  </si>
  <si>
    <t>Lanza-Livo</t>
  </si>
  <si>
    <t>scolastica 
da martedì a venerdì 
(esclusi giorni postfest.)</t>
  </si>
  <si>
    <t>scolastica 
solo lunedì e posfest.</t>
  </si>
  <si>
    <t>scolastica 
da martedì a venerdì 
(esclusi giorni postfest)</t>
  </si>
  <si>
    <t>Albiano-Lases-Segonzano</t>
  </si>
  <si>
    <t>Cavalese - Tesero - Tesero Casa Riposo - Masi - Cavalese</t>
  </si>
  <si>
    <t>invernale feriale 
da lunedì a sabato 
(periodo intensificazione circa 20 dic- fine marzo)</t>
  </si>
  <si>
    <t>feriale invernale 
lun-ven-sab e gg. pre e postfest.
(non si effettua nel periodo di effettuazione 20 dic-fine marzo))</t>
  </si>
  <si>
    <t>Pergine - Bosentino-V.Vattaro</t>
  </si>
  <si>
    <t>Pergine - Caldonazzo-Luserna</t>
  </si>
  <si>
    <t>Trento - Vigolo Vattaro -Centa</t>
  </si>
  <si>
    <t>Mezzomonte-Guardia di Folgaria</t>
  </si>
  <si>
    <t>Pian delle Fugazze - Camposilvano- Speccheri- Raossi</t>
  </si>
  <si>
    <t>Ala-Serravalle-Chizzola-Ala</t>
  </si>
  <si>
    <t>Ala Fs-Serravalle-Chizzola-Pilcante</t>
  </si>
  <si>
    <t>invernale non scolastico lunedì-venerdì</t>
  </si>
  <si>
    <t>Trento- Giro Città-Nogarè-Baselga-Montesover</t>
  </si>
  <si>
    <t>scolastica 
solo sabato</t>
  </si>
  <si>
    <t>Hacleri-Canezza Bar al Sole-Pergine</t>
  </si>
  <si>
    <t>Hacleri-Pergine</t>
  </si>
  <si>
    <t>Mezzolombardo-Fai-
Andalo Maso Toscana</t>
  </si>
  <si>
    <t>invernale feriale
sabato</t>
  </si>
  <si>
    <t xml:space="preserve">Mezzolombardo - Nave s. Rocco - Trento </t>
  </si>
  <si>
    <t>Cles-Coredo-Merlonga-Sfruz</t>
  </si>
  <si>
    <t>Credaia-Sfruz-Tavon-Dermulo</t>
  </si>
  <si>
    <t>Sfruz-Tavon-Dermulo</t>
  </si>
  <si>
    <t>Dermulo-Tavon-Sfruz</t>
  </si>
  <si>
    <t>scolastica 
martedì-mercoledì-venerdì</t>
  </si>
  <si>
    <t xml:space="preserve">scolastica dal lunedì al giovedì </t>
  </si>
  <si>
    <t>Dermulo - Dambel - Cavareno - Don - Cavareno - Fondo</t>
  </si>
  <si>
    <t>Cles-Dermulo-Romeno-Fondo</t>
  </si>
  <si>
    <t>scolastica 
mart+merc+giov+ven</t>
  </si>
  <si>
    <t>Vermiglio-Stavel-Vallon-Passo Tonale</t>
  </si>
  <si>
    <t>Pellizzano-Castello-Menas</t>
  </si>
  <si>
    <t>Menas-Castello-Pellizzano</t>
  </si>
  <si>
    <t>Capriana-Grauno</t>
  </si>
  <si>
    <t>Scolastica
mart+merc</t>
  </si>
  <si>
    <t xml:space="preserve">scolastica 
lunedì </t>
  </si>
  <si>
    <t>Maso Gabard-Rizzolaga-Baselga</t>
  </si>
  <si>
    <t>Cembra - Scancio di Segonzano - Sevignano</t>
  </si>
  <si>
    <t>Capriana-Grumes-Valda
(prolungamento c.sa per S.Michele)</t>
  </si>
  <si>
    <t>Capriana-Grumese - Valda 
(prolungamento c.sa per S.Michele)</t>
  </si>
  <si>
    <t>Vezzano Apt- Margone</t>
  </si>
  <si>
    <t>Drena-Vigo Cavedine -Vezzano</t>
  </si>
  <si>
    <t>Vigo Cavedine - Vezzano -Trento</t>
  </si>
  <si>
    <t>Drena-Vigo Cavedine-Vezzano</t>
  </si>
  <si>
    <t>Monte Terlago - Cadine</t>
  </si>
  <si>
    <t>Tavodo-Andogno - S.Lorenzo in B.</t>
  </si>
  <si>
    <t>S.Lorenzo in B.-Tavodo</t>
  </si>
  <si>
    <t>Ponte Arche - Cares - Sesto bivio</t>
  </si>
  <si>
    <t xml:space="preserve">scolastica 
solo lunedì martedì e giovedì </t>
  </si>
  <si>
    <t>Castellir - Bellamonte-Predazzo</t>
  </si>
  <si>
    <t>Predazzo-Bellamonte - Castellir</t>
  </si>
  <si>
    <t>Civezzano Ist. De Carneri - Civezzano-Pergine V.</t>
  </si>
  <si>
    <t xml:space="preserve">Drena - Masi di Vigo C. -  Vigo Cavedine </t>
  </si>
  <si>
    <t>Vigo Cavedine - Masi di Vigio C. - Drena</t>
  </si>
  <si>
    <t>Trento - Monte Terlago (estate ore 18.40)</t>
  </si>
  <si>
    <t>Feriale 
estiva + no scuola</t>
  </si>
  <si>
    <t>Pieve di Bono-Storo-Riva</t>
  </si>
  <si>
    <t xml:space="preserve">Tiarno-Tremalzo bv.-Storo
</t>
  </si>
  <si>
    <t>Tiarno Off.Mariani-Bezzecca-Riva del Garda</t>
  </si>
  <si>
    <t>invernale 
solo sabato non scol.</t>
  </si>
  <si>
    <t>Ca' Rossa-Fontanedo-Tione-Istituto</t>
  </si>
  <si>
    <t>Vigo Cavedine - Masi di Vigo - Drena</t>
  </si>
  <si>
    <t>Maso Tingherla-Kamauz - Roveda Bivio</t>
  </si>
  <si>
    <t xml:space="preserve">Pergine-Hacleri </t>
  </si>
  <si>
    <t>Cavedago-Fai-Andalo-Molveno</t>
  </si>
  <si>
    <t>Celentino Bivio - Strombiano - Celentino Paese</t>
  </si>
  <si>
    <t>Loc. Ruc Riccomassimo-Lodrone</t>
  </si>
  <si>
    <t>5</t>
  </si>
  <si>
    <t>Ponte Caffaro-Storo-Baitoni</t>
  </si>
  <si>
    <t>Raossi - Vanza (in estate ore 10.35)</t>
  </si>
  <si>
    <t>Molveno-Fai-Mezzocorona</t>
  </si>
  <si>
    <t>Mezzocorona-Spormaggiore-Molveno</t>
  </si>
  <si>
    <t>Maso S. Lorenzo - S. Felice  Fierozzo</t>
  </si>
  <si>
    <t>Rovereto - Pozzacchio</t>
  </si>
  <si>
    <t>Invernale
sabato</t>
  </si>
  <si>
    <t>Riva del Garda - Ponte Arche</t>
  </si>
  <si>
    <t>nr. gg</t>
  </si>
  <si>
    <t>Tot km</t>
  </si>
  <si>
    <t>scolastica 
solo lun+mer</t>
  </si>
  <si>
    <t>feriale 
da martedì a sabato</t>
  </si>
  <si>
    <t>scolastica 
lunedì (settimane pari)</t>
  </si>
  <si>
    <t xml:space="preserve">Vigo Cavedine - Drena </t>
  </si>
  <si>
    <t>DITTA</t>
  </si>
  <si>
    <t>MDL s.r.l.</t>
  </si>
  <si>
    <t>DMG</t>
  </si>
  <si>
    <t>M.G.M. DI CASARI MARCO</t>
  </si>
  <si>
    <t>FERSINA TOUR S.R.L</t>
  </si>
  <si>
    <t xml:space="preserve">MONAUNI CARLO S.N.C. DI MONAUNI GERARDO E C. </t>
  </si>
  <si>
    <t xml:space="preserve">PERINI FRANCO </t>
  </si>
  <si>
    <t>AUTONOLEGGIO DI GUADAGNINI FERDINANDO E ZAMPIERI DAVID S.N.C.</t>
  </si>
  <si>
    <t xml:space="preserve">SIGNORI SI PARTE DI DONINI IORAM </t>
  </si>
  <si>
    <t>GROFF TOUR DI TATTI CARLA</t>
  </si>
  <si>
    <t>GROFF PAOLO</t>
  </si>
  <si>
    <t>AUTONOLEGGI VISINTAINER di VISINTAINER FRANCESCO</t>
  </si>
  <si>
    <t>ITALBUS S.N.C. DI CASAGRANDE ARMANDO E CHRISTIAN &amp; C.</t>
  </si>
  <si>
    <t>GROFF  ALFREDO</t>
  </si>
  <si>
    <t>x</t>
  </si>
  <si>
    <t xml:space="preserve">Pineta Faedo-S.Michele-Mezzocorona </t>
  </si>
  <si>
    <t>VITO DI PEDRON VITTORIA</t>
  </si>
  <si>
    <t>OSCAR VIAGGI DI FORMOLO OSCAR</t>
  </si>
  <si>
    <t>TAXI  ZETA DI ZAMPIERI SERGIO</t>
  </si>
  <si>
    <t>DESILVESTRO TAXI E VIAGGI SRL</t>
  </si>
  <si>
    <t>HOTEL AL BIVIO SRL</t>
  </si>
  <si>
    <t xml:space="preserve">ZAMPEDRI STEFANO </t>
  </si>
  <si>
    <t>SARCATOUR s.r.l.</t>
  </si>
  <si>
    <t>TRENTINOBUS SRL</t>
  </si>
  <si>
    <t>SOLETANA VIAGGI S.R.L.</t>
  </si>
  <si>
    <t>PEDERZOLLI DENIS</t>
  </si>
  <si>
    <t>CLUB DELLAI S.R.L.</t>
  </si>
  <si>
    <t>NICE srl</t>
  </si>
  <si>
    <t>RIGOTTI FLAVIO</t>
  </si>
  <si>
    <t>FABIO VIAGGI SRL</t>
  </si>
  <si>
    <t>AUTONOLEGGI FILIPPI S.R.L. UNIPERSONALE</t>
  </si>
  <si>
    <t>FRUNER VIAGGI IN EUROPA DI FRUNER TATIANA E SIMONE FRUNER SAS</t>
  </si>
  <si>
    <t xml:space="preserve">AUTOSERVIZI MATTUZZI CLAUDIO &amp; C. S.N.C. </t>
  </si>
  <si>
    <t xml:space="preserve">MAESTRI AUGUSTO &amp; C. S.N.C. </t>
  </si>
  <si>
    <t xml:space="preserve">EUROTOUR SERVICE (IN SIGLA E.T.S.) DI AZZOLINI LUCA &amp; C. S.N.C. </t>
  </si>
  <si>
    <t>TN SERVICE LORENZI A CAPITALE RIDOTTO S.R.L. DI TAVELLI ANDREA</t>
  </si>
  <si>
    <t>BUS MANIA srl</t>
  </si>
  <si>
    <t>AUTOFFICINA LUNELLI DI LUNELLI STEFANO &amp; C. S.N.C.</t>
  </si>
  <si>
    <t xml:space="preserve">STENGHELE SRL  </t>
  </si>
  <si>
    <t>TOMA SPEED DI TOMASELLI PIERGIORGIO</t>
  </si>
  <si>
    <t>AUTONOLEGGI PEGORARO S.N.C. di PEGORARO LUCIANO &amp; C.</t>
  </si>
  <si>
    <t>ANDREOLLI FRANCO</t>
  </si>
  <si>
    <t>AUTOSERVIZI ANDREOLLI SNC DI ANDREOLLI PAOLO &amp; C.</t>
  </si>
  <si>
    <t>VALDUGA FRANCESCO</t>
  </si>
  <si>
    <t>PEDRINOLLA GRAZIANO s.r.l.</t>
  </si>
  <si>
    <t xml:space="preserve">TOLLER S.N.C. DI TOLLER CALLISTO E C. </t>
  </si>
  <si>
    <t>TODESCHI AUTONOLEGGI SRL</t>
  </si>
  <si>
    <t xml:space="preserve">BUS MANIA SRL </t>
  </si>
  <si>
    <t>PEDRINOLLA FABRIZIO</t>
  </si>
  <si>
    <t>MARTINA MATTEO</t>
  </si>
  <si>
    <t xml:space="preserve">MARTINA MATTEO </t>
  </si>
  <si>
    <t>MARGON DIEGO</t>
  </si>
  <si>
    <t>ANGELI CAMILLO</t>
  </si>
  <si>
    <t xml:space="preserve">SVALDI PIERINO </t>
  </si>
  <si>
    <t>FONTANARI SERGIO</t>
  </si>
  <si>
    <t>VALBUS S.R.L.</t>
  </si>
  <si>
    <t>PERGBUS DI FUCHS MARIO E C. S.N.C.</t>
  </si>
  <si>
    <t>PLANCHEL RENATO</t>
  </si>
  <si>
    <t xml:space="preserve">ERIKA TOURS SRL </t>
  </si>
  <si>
    <t>GENZIANA S.r.l.</t>
  </si>
  <si>
    <t>VIAGGI FORMOLO S.A.S. DI FORMOLO ANGELO &amp; C.</t>
  </si>
  <si>
    <t xml:space="preserve">VIAGGI CICOLINI S.R.L .  </t>
  </si>
  <si>
    <t>ALPINABUS DI MARTINTONI MAURO</t>
  </si>
  <si>
    <t>FIABA VIAGGI SNC DI FANTI MILVA</t>
  </si>
  <si>
    <t xml:space="preserve">BUCELLA IVANO </t>
  </si>
  <si>
    <t>VIAGGI CORNELIO DI FLESSATI NICOLA E C. S.N.C.</t>
  </si>
  <si>
    <t>BIANCANEVE VIAGGI DI
 DALLATORRE MARCO</t>
  </si>
  <si>
    <t xml:space="preserve">TONALE VIAGGI DI PANIZZA CLAUDIO </t>
  </si>
  <si>
    <t xml:space="preserve">TAXI-MINIBUS-AUTOBUS PANIZZA S.A.S. DI ZENDELI ILIR </t>
  </si>
  <si>
    <t>PATERNOSTER LORENZO</t>
  </si>
  <si>
    <t>FE856YK</t>
  </si>
  <si>
    <t>FM492NR</t>
  </si>
  <si>
    <t>FN174MX</t>
  </si>
  <si>
    <t>FF721CS</t>
  </si>
  <si>
    <t>FX036WC</t>
  </si>
  <si>
    <t>EV877GJ</t>
  </si>
  <si>
    <t>GG128PN</t>
  </si>
  <si>
    <t>FT942AZ</t>
  </si>
  <si>
    <t>FN299MX</t>
  </si>
  <si>
    <t>CS792NG</t>
  </si>
  <si>
    <t>FG405XM</t>
  </si>
  <si>
    <t>bacino 2 estate 2021</t>
  </si>
  <si>
    <t>NUOVA</t>
  </si>
  <si>
    <t>inverno</t>
  </si>
  <si>
    <t>estate</t>
  </si>
  <si>
    <t>lun</t>
  </si>
  <si>
    <t>mart</t>
  </si>
  <si>
    <t>merc</t>
  </si>
  <si>
    <t>giov</t>
  </si>
  <si>
    <t>ven</t>
  </si>
  <si>
    <t>sab</t>
  </si>
  <si>
    <t>fest</t>
  </si>
  <si>
    <t>postfest</t>
  </si>
  <si>
    <t>prefest</t>
  </si>
  <si>
    <t>fer</t>
  </si>
  <si>
    <t>scol</t>
  </si>
  <si>
    <t>estiva da lun a sab (sospesa gg chiusura magazzino Melinda)</t>
  </si>
  <si>
    <t>estiva da lunedì a venerdì corsa operai (sospesa gg chiusura magazzino Melinda)</t>
  </si>
  <si>
    <t>non scol lun</t>
  </si>
  <si>
    <t>non scol mart</t>
  </si>
  <si>
    <t>non scol merc</t>
  </si>
  <si>
    <t>non scol giov</t>
  </si>
  <si>
    <t>non scol ven</t>
  </si>
  <si>
    <t>non scol sab</t>
  </si>
  <si>
    <t>no postfest</t>
  </si>
  <si>
    <t>MEZZO TITOLARE</t>
  </si>
  <si>
    <t>posti mezzo titolare</t>
  </si>
  <si>
    <t>FP041BC</t>
  </si>
  <si>
    <t>GA014HT</t>
  </si>
  <si>
    <t>18</t>
  </si>
  <si>
    <t>FT016JR</t>
  </si>
  <si>
    <t>FZ904BE</t>
  </si>
  <si>
    <t>FW770WP</t>
  </si>
  <si>
    <t>FZ556KF</t>
  </si>
  <si>
    <t>FF887CS</t>
  </si>
  <si>
    <t>FN113MX</t>
  </si>
  <si>
    <t>FX671LT</t>
  </si>
  <si>
    <t>ER906KZ</t>
  </si>
  <si>
    <t>FG831XD</t>
  </si>
  <si>
    <t>FN589MX</t>
  </si>
  <si>
    <t>FL778HC</t>
  </si>
  <si>
    <t>FC208RJ</t>
  </si>
  <si>
    <t xml:space="preserve"> GF141FZ</t>
  </si>
  <si>
    <t>FR770WP</t>
  </si>
  <si>
    <t>GE316VX</t>
  </si>
  <si>
    <t>FN483MX</t>
  </si>
  <si>
    <t>ER857KZ</t>
  </si>
  <si>
    <t xml:space="preserve"> ED494MM</t>
  </si>
  <si>
    <t>ES852SX</t>
  </si>
  <si>
    <t>FF899CS</t>
  </si>
  <si>
    <t>FN117MX</t>
  </si>
  <si>
    <t>FF723CS</t>
  </si>
  <si>
    <t>FZ047KX</t>
  </si>
  <si>
    <t xml:space="preserve"> GC807JF</t>
  </si>
  <si>
    <t>GC807JF</t>
  </si>
  <si>
    <t>FT217LV</t>
  </si>
  <si>
    <t>FE926YK</t>
  </si>
  <si>
    <t>EV659LA</t>
  </si>
  <si>
    <t>FZ894BE</t>
  </si>
  <si>
    <t>FZ898BE</t>
  </si>
  <si>
    <t>FZ906BE</t>
  </si>
  <si>
    <t>FE205HG</t>
  </si>
  <si>
    <t>EY732LP</t>
  </si>
  <si>
    <t>GA996ER</t>
  </si>
  <si>
    <t>FR777WP</t>
  </si>
  <si>
    <t>GG078PN</t>
  </si>
  <si>
    <t>FN293MX</t>
  </si>
  <si>
    <t>FC109RJ</t>
  </si>
  <si>
    <t>FY964HP</t>
  </si>
  <si>
    <t>FW755WP</t>
  </si>
  <si>
    <t>FW720WP</t>
  </si>
  <si>
    <t>FS198ZG</t>
  </si>
  <si>
    <t>FS248ZL</t>
  </si>
  <si>
    <t>FC395RJ</t>
  </si>
  <si>
    <t>GA057TM</t>
  </si>
  <si>
    <t>GH502KX</t>
  </si>
  <si>
    <t>EZ997DM</t>
  </si>
  <si>
    <t>GC624CS</t>
  </si>
  <si>
    <t>FY975HP</t>
  </si>
  <si>
    <t>FL561HC</t>
  </si>
  <si>
    <t>GE457VX</t>
  </si>
  <si>
    <t>FB913BJ</t>
  </si>
  <si>
    <t>FZ987BE</t>
  </si>
  <si>
    <t>GA701ER</t>
  </si>
  <si>
    <t>FG050NA</t>
  </si>
  <si>
    <t>FB997BJ</t>
  </si>
  <si>
    <t>FR892WP</t>
  </si>
  <si>
    <t>EK946GV</t>
  </si>
  <si>
    <t>FW907WP</t>
  </si>
  <si>
    <t>EP445NZ</t>
  </si>
  <si>
    <t>EK645JA</t>
  </si>
  <si>
    <t>FF601CS</t>
  </si>
  <si>
    <t>FL557HC</t>
  </si>
  <si>
    <t>EH342PM</t>
  </si>
  <si>
    <t>FN568MX</t>
  </si>
  <si>
    <t>FE091HG</t>
  </si>
  <si>
    <t>GA938ER</t>
  </si>
  <si>
    <t>GE347VX</t>
  </si>
  <si>
    <t>GA984ER</t>
  </si>
  <si>
    <t>FN426MX</t>
  </si>
  <si>
    <t>GE453VX</t>
  </si>
  <si>
    <t>GE452VX</t>
  </si>
  <si>
    <t>GC658CS</t>
  </si>
  <si>
    <t>GC466NL</t>
  </si>
  <si>
    <t>GJ181FP</t>
  </si>
  <si>
    <t>EW959KB</t>
  </si>
  <si>
    <t>FV001FA</t>
  </si>
  <si>
    <t>FC321RJ</t>
  </si>
  <si>
    <t xml:space="preserve">Ville-Palù di Giovo-Cembra </t>
  </si>
  <si>
    <t>GH464KX</t>
  </si>
  <si>
    <t>FS184ZG</t>
  </si>
  <si>
    <t>EL182VV</t>
  </si>
  <si>
    <t>EV696LA</t>
  </si>
  <si>
    <t>ET415HZ</t>
  </si>
  <si>
    <t>GH078PC</t>
  </si>
  <si>
    <t>FA893GW</t>
  </si>
  <si>
    <t>FT944AZ</t>
  </si>
  <si>
    <t>FE022HG</t>
  </si>
  <si>
    <t xml:space="preserve"> EP148JJ </t>
  </si>
  <si>
    <t>FE293HG</t>
  </si>
  <si>
    <t>EJ941ZA</t>
  </si>
  <si>
    <t>FR781WP</t>
  </si>
  <si>
    <t>ED930MM</t>
  </si>
  <si>
    <t xml:space="preserve"> GE371BA</t>
  </si>
  <si>
    <t>FJ988YE</t>
  </si>
  <si>
    <t>GH106PC</t>
  </si>
  <si>
    <t>FF891CS</t>
  </si>
  <si>
    <t>EN920NH</t>
  </si>
  <si>
    <t>FL934HC</t>
  </si>
  <si>
    <t>GE439VX</t>
  </si>
  <si>
    <t>GH441KX</t>
  </si>
  <si>
    <t>GH658ZZ</t>
  </si>
  <si>
    <t>FV524FA</t>
  </si>
  <si>
    <t>GG613WS</t>
  </si>
  <si>
    <t>GA007TD</t>
  </si>
  <si>
    <t>FA989GW</t>
  </si>
  <si>
    <t>FP560ED</t>
  </si>
  <si>
    <t>Trento-Sover-Cavalese</t>
  </si>
  <si>
    <t>Trento-Cembra-Cavalese</t>
  </si>
  <si>
    <t>FH845YZ</t>
  </si>
  <si>
    <t>ET848ZJ</t>
  </si>
  <si>
    <t>FW821WP</t>
  </si>
  <si>
    <t>FR952WP</t>
  </si>
  <si>
    <t>FK791WG</t>
  </si>
  <si>
    <t>FA895BD</t>
  </si>
  <si>
    <t>FL596HC</t>
  </si>
  <si>
    <t>FV978FS</t>
  </si>
  <si>
    <t>FC188RJ</t>
  </si>
  <si>
    <t>ET984ZJ</t>
  </si>
  <si>
    <t>ER716KZ</t>
  </si>
  <si>
    <t xml:space="preserve">FT534CV </t>
  </si>
  <si>
    <t xml:space="preserve">
FZ889KY
</t>
  </si>
  <si>
    <t>FJ097PL</t>
  </si>
  <si>
    <t>FB912BJ</t>
  </si>
  <si>
    <t>EX903HC</t>
  </si>
  <si>
    <t xml:space="preserve"> EX903HC</t>
  </si>
  <si>
    <t>GA903ER</t>
  </si>
  <si>
    <t>ER747KZ</t>
  </si>
  <si>
    <t>EZ827RB</t>
  </si>
  <si>
    <t>EZ779XL</t>
  </si>
  <si>
    <t>EZ943DM</t>
  </si>
  <si>
    <t>FY833HP</t>
  </si>
  <si>
    <t>GA901ZZ</t>
  </si>
  <si>
    <t>FN025MX</t>
  </si>
  <si>
    <t>EJ940ZA</t>
  </si>
  <si>
    <t>FW832WP</t>
  </si>
  <si>
    <t>EC937AD</t>
  </si>
  <si>
    <t>GC420NL</t>
  </si>
  <si>
    <t>FZ833BE</t>
  </si>
  <si>
    <t>FH993YZ</t>
  </si>
  <si>
    <t>GG015PN</t>
  </si>
  <si>
    <t xml:space="preserve"> FL916HC</t>
  </si>
  <si>
    <t xml:space="preserve"> FE599HG</t>
  </si>
  <si>
    <t>EW792KB</t>
  </si>
  <si>
    <t>FH992YZ</t>
  </si>
  <si>
    <t>FR981TK</t>
  </si>
  <si>
    <t>EX037JY</t>
  </si>
  <si>
    <t>GH569KX</t>
  </si>
  <si>
    <t>GK228BZ</t>
  </si>
  <si>
    <t>FZ783BE</t>
  </si>
  <si>
    <t>57+18 in piedi</t>
  </si>
  <si>
    <t>GG487PS</t>
  </si>
  <si>
    <t xml:space="preserve"> FN744MW</t>
  </si>
  <si>
    <t>EL182VV GH464KX (9)</t>
  </si>
  <si>
    <t>Veronza - Aguai - Carano - Cavalese</t>
  </si>
  <si>
    <t>Penedallo-Bosco-Civezzano-Trento</t>
  </si>
  <si>
    <t>Bellamonte - Predazzo</t>
  </si>
  <si>
    <t>invernale + estiva
lunedì-sabato</t>
  </si>
  <si>
    <t>Monte Terlago - Terlago - Trento</t>
  </si>
  <si>
    <t xml:space="preserve">S.Lorenzo in Banale - Villa Banale - Ponte Arche </t>
  </si>
  <si>
    <t>Luserna - Caldonazzo - Pergine</t>
  </si>
  <si>
    <t>feriale invernale
da lunedì a venerdì</t>
  </si>
  <si>
    <t>invernale scolastico
lunedì-sabato</t>
  </si>
  <si>
    <t xml:space="preserve">scolastica 
solo martedì </t>
  </si>
  <si>
    <t>scolastica 
solo giovedì</t>
  </si>
  <si>
    <t>feriale invernale</t>
  </si>
  <si>
    <t xml:space="preserve">Terzolas Revò o 12.15 Terzolas Revò per turni alternati </t>
  </si>
  <si>
    <t>FF182VP</t>
  </si>
  <si>
    <t>Fornace - Pian del Gacc (ore 14:00 part. il sabato)</t>
  </si>
  <si>
    <t>Civezzano Ist. De Carneri - 7:12 Civezzano-Pergine V.</t>
  </si>
  <si>
    <t>(Ponzolotti)+Ronchi di Ala - Ala F.S.</t>
  </si>
  <si>
    <t>274/275</t>
  </si>
  <si>
    <t>276/277</t>
  </si>
  <si>
    <t>278/279</t>
  </si>
  <si>
    <t>Lausen polo scol. - Canal S.Bovo - Ronco Chiesa</t>
  </si>
  <si>
    <t>518/509</t>
  </si>
  <si>
    <t>Lover - Dercolo-Cles (tratta Lover - Dercolo extracap.)</t>
  </si>
  <si>
    <t>197/198</t>
  </si>
  <si>
    <t>Loc. Roncio - Mezzana FTM</t>
  </si>
  <si>
    <t>NUOVA PREV. N. 02/2022</t>
  </si>
  <si>
    <t>FB779BJ</t>
  </si>
  <si>
    <t>EX946HC</t>
  </si>
  <si>
    <t>GK152EV</t>
  </si>
  <si>
    <t>Vestone - Tione</t>
  </si>
  <si>
    <t>Festiva invernale</t>
  </si>
  <si>
    <t>invernale lunedì-venerdì</t>
  </si>
  <si>
    <t>FR792WP</t>
  </si>
  <si>
    <t>SRT S.R.L.</t>
  </si>
  <si>
    <t>FE259HG</t>
  </si>
  <si>
    <t>FD479MP</t>
  </si>
  <si>
    <t>FF736CS</t>
  </si>
  <si>
    <t>FG976XM</t>
  </si>
  <si>
    <t>FX671LT + FR784WP</t>
  </si>
  <si>
    <t>30 + 21</t>
  </si>
  <si>
    <t>GJ571MK</t>
  </si>
  <si>
    <t>GJ553MK</t>
  </si>
  <si>
    <t xml:space="preserve">S.Giacomo - Brentonico </t>
  </si>
  <si>
    <t>FL716HC</t>
  </si>
  <si>
    <t>Cis - Cles</t>
  </si>
  <si>
    <t>Cis - Cles + Sc. Medie (+2° mezzo 7:12 Cis - 7:17 Mostizzolo)</t>
  </si>
  <si>
    <t>aggiornato percorso</t>
  </si>
  <si>
    <t xml:space="preserve">FZ889KY + FJ097PL
</t>
  </si>
  <si>
    <t>24 + 21</t>
  </si>
  <si>
    <t>Pozza di Fassa - Trento Autost.</t>
  </si>
  <si>
    <t>scolastica di venerdì a settimane alterne</t>
  </si>
  <si>
    <t>DOLOMITI RENT A CAR S.N.C. DI ROMOR MARSHA &amp; C.</t>
  </si>
  <si>
    <t>NUOVA PREV. N. 03/2022</t>
  </si>
  <si>
    <t>VIAGGI VALFASSA S.R.L.</t>
  </si>
  <si>
    <t>FR797WP</t>
  </si>
  <si>
    <t>Trento Autost. - Pozza di Fassa</t>
  </si>
  <si>
    <t>festivi esclusi precedenti a vacanza scol a settimane alterne</t>
  </si>
  <si>
    <t>Scolastica lun+gio+ven</t>
  </si>
  <si>
    <t>dal 26/09/2022 era solo mar+mer</t>
  </si>
  <si>
    <t>Prolungamento Fiavè loc. Curè - Favrio-Cornelle-Fiavè</t>
  </si>
  <si>
    <t>scolastica mercoledì</t>
  </si>
  <si>
    <t>dal 28/09/2022 era solo lu+ma+gio</t>
  </si>
  <si>
    <t>Ala F.S. - Ronchi di Ala prolungamento per fermata loc. Rocca</t>
  </si>
  <si>
    <t>frequenza</t>
  </si>
  <si>
    <t>annuale feriale sab</t>
  </si>
  <si>
    <t>annuale feriale lu-ve</t>
  </si>
  <si>
    <t>scolastica lu-ve</t>
  </si>
  <si>
    <t>invernale festiva</t>
  </si>
  <si>
    <t>estiva festiva</t>
  </si>
  <si>
    <t>scolastica lu, ma, me, gio</t>
  </si>
  <si>
    <t>scolastica lu-sa</t>
  </si>
  <si>
    <t>estiva feriale lu-sa</t>
  </si>
  <si>
    <t>invernale feriale lu-ve</t>
  </si>
  <si>
    <t>estiva feriale lu-ve</t>
  </si>
  <si>
    <t>invernale feriale no scol lu-sa</t>
  </si>
  <si>
    <t>scolastica sab</t>
  </si>
  <si>
    <t>invernale feriale lu-sa</t>
  </si>
  <si>
    <t>annuale feriale lu-sa</t>
  </si>
  <si>
    <t>annuale feriale ma, me, gio, ve, sab</t>
  </si>
  <si>
    <t>annuale festiva</t>
  </si>
  <si>
    <t>scolastica ma, me</t>
  </si>
  <si>
    <t>scolastica ma</t>
  </si>
  <si>
    <t>estiva feriale sab</t>
  </si>
  <si>
    <t>scolastica lu</t>
  </si>
  <si>
    <t>scolastica ve</t>
  </si>
  <si>
    <t>scolastica ma, gio</t>
  </si>
  <si>
    <t>scolastica lu + postfest</t>
  </si>
  <si>
    <t>annuale feriale me</t>
  </si>
  <si>
    <t>scolastica ma, me, gio, ve (no postfest)</t>
  </si>
  <si>
    <t>invernale feriale sab</t>
  </si>
  <si>
    <t>estiva feriale lu, me, gio</t>
  </si>
  <si>
    <t>scolastica lu sett. Pari</t>
  </si>
  <si>
    <t>estiva feriale lu-sa + no scol lu-sa</t>
  </si>
  <si>
    <t>scolastica lu, me, ve</t>
  </si>
  <si>
    <t>scolastica lu, ma, me, ve</t>
  </si>
  <si>
    <t>scolastica lu, ma, gio, ve</t>
  </si>
  <si>
    <t>invernale feriale no scol lu-ve</t>
  </si>
  <si>
    <t>scolastica ve, sa</t>
  </si>
  <si>
    <t>scolastica ma, gio, ve</t>
  </si>
  <si>
    <t>scolastica gio, ve</t>
  </si>
  <si>
    <t>scolastica lu, me</t>
  </si>
  <si>
    <t>scolastica lu, ma, me</t>
  </si>
  <si>
    <t>invernale feriale ven</t>
  </si>
  <si>
    <t>estiva feriale gio</t>
  </si>
  <si>
    <t>estiva feriale lu-gio</t>
  </si>
  <si>
    <t>invernale feriale gio</t>
  </si>
  <si>
    <t>estiva feriale ma</t>
  </si>
  <si>
    <t>invernale feriale ma</t>
  </si>
  <si>
    <t>annuale feriale ma</t>
  </si>
  <si>
    <t>annuale feriale lu, gio</t>
  </si>
  <si>
    <t>annuale feriale ma, me, ve</t>
  </si>
  <si>
    <t>invernale feriale ma, gio</t>
  </si>
  <si>
    <t>scolastica lu-ve + non scol lu, me, ve</t>
  </si>
  <si>
    <t>annuale feriale gio</t>
  </si>
  <si>
    <t>estiva feriale lu, me</t>
  </si>
  <si>
    <t>invernale feriale lu, me</t>
  </si>
  <si>
    <t>scolastica ma, me, ve</t>
  </si>
  <si>
    <t>scolastica gio</t>
  </si>
  <si>
    <t>scolastica ma, gio, ve, sab</t>
  </si>
  <si>
    <t>scolastica lu, me, gio, ve</t>
  </si>
  <si>
    <t>estiva feriale me (solo 2° e 4° mese)</t>
  </si>
  <si>
    <t>annuale feriale ma, ve</t>
  </si>
  <si>
    <t>scolastica ma, me, gio, ve</t>
  </si>
  <si>
    <t>scolastica ve a settimane alterne</t>
  </si>
  <si>
    <t>scolastica festiva a settimane alterne</t>
  </si>
  <si>
    <t>scolastica lu, gio, ve</t>
  </si>
  <si>
    <t>scolastica me</t>
  </si>
  <si>
    <t>n° righe capitolato: 928</t>
  </si>
  <si>
    <t>frequenza corretta da capitolato</t>
  </si>
  <si>
    <t>km corretti da capitolato</t>
  </si>
  <si>
    <t>variazione da capitolato</t>
  </si>
  <si>
    <t>variazione km capitolato</t>
  </si>
  <si>
    <t>EX673MT</t>
  </si>
  <si>
    <t>ED770MM 9 pp + FZ898BE 55pp</t>
  </si>
  <si>
    <t>Prolungamento Storo Sp.69 (km 2) - Ca' Rossa</t>
  </si>
  <si>
    <t>65 bis</t>
  </si>
  <si>
    <t>66 bis</t>
  </si>
  <si>
    <t>67 bis</t>
  </si>
  <si>
    <t>FN744MW</t>
  </si>
  <si>
    <t>scolastica di lunedì, mercoledì e venerdì</t>
  </si>
  <si>
    <t>scolastica di martedì e giovedì</t>
  </si>
  <si>
    <t>AUTOSERVIZI MATTUZZI CLAUDIO &amp; C. S.N.C.</t>
  </si>
  <si>
    <t>Estiva
lunedì-sabato a mesi alterni</t>
  </si>
  <si>
    <t>420 bis</t>
  </si>
  <si>
    <t>423 bis</t>
  </si>
  <si>
    <t>432 bis</t>
  </si>
  <si>
    <t>435 bis</t>
  </si>
  <si>
    <t>445 bis</t>
  </si>
  <si>
    <t>Estiva lunedì-venerdì</t>
  </si>
  <si>
    <t>Estiva sabato</t>
  </si>
  <si>
    <t>MAESTRI AUGUSTO &amp; C. S.N.C.</t>
  </si>
  <si>
    <t>454 bis</t>
  </si>
  <si>
    <t>551 bis</t>
  </si>
  <si>
    <t>scolastica a mesi alterni
da lunedì a venerdì</t>
  </si>
  <si>
    <t>STENGHELE SRL</t>
  </si>
  <si>
    <t>GJ549MK</t>
  </si>
  <si>
    <t>746 bis</t>
  </si>
  <si>
    <t>scolastica il sabato</t>
  </si>
  <si>
    <t>802 bis</t>
  </si>
  <si>
    <t>803 bis</t>
  </si>
  <si>
    <t>VIAGGI CICOLINI S.R.L .</t>
  </si>
  <si>
    <t>ERIKA TOURS SRL</t>
  </si>
  <si>
    <t>TAXI VIAGGI VALENTINELLI DI VALENTINELLI GIORGIO &amp; C. SNC</t>
  </si>
  <si>
    <t>Tres (Predaia)-via Predaia inc. v. Tavana</t>
  </si>
  <si>
    <t>MEZZO DI RISERVA 1</t>
  </si>
  <si>
    <t>posti mezzo di riserva 1</t>
  </si>
  <si>
    <t xml:space="preserve">MEZZO DI RISERVA 2 </t>
  </si>
  <si>
    <t>FL557HC (MDL)</t>
  </si>
  <si>
    <t>FL781HC</t>
  </si>
  <si>
    <t>FA989GW (Perini)</t>
  </si>
  <si>
    <t>FF182VP (Perini)</t>
  </si>
  <si>
    <t>23+20</t>
  </si>
  <si>
    <t>FE629SK</t>
  </si>
  <si>
    <t>FW907WP solo al sabato</t>
  </si>
  <si>
    <t xml:space="preserve"> FC376RJ</t>
  </si>
  <si>
    <t>FN339MX</t>
  </si>
  <si>
    <t>FC376RJ</t>
  </si>
  <si>
    <t>FG707GA</t>
  </si>
  <si>
    <t>CJ625MG</t>
  </si>
  <si>
    <t>FX408CM</t>
  </si>
  <si>
    <t>FH962KW</t>
  </si>
  <si>
    <t>FY974HP</t>
  </si>
  <si>
    <t>FR820WP (Fersina Tour)</t>
  </si>
  <si>
    <t>FN583MX</t>
  </si>
  <si>
    <t>FR784WP</t>
  </si>
  <si>
    <t>DZ957SD</t>
  </si>
  <si>
    <t>GH779KX</t>
  </si>
  <si>
    <t>GH738AD</t>
  </si>
  <si>
    <t>EN858WY</t>
  </si>
  <si>
    <t>ED494MM</t>
  </si>
  <si>
    <t xml:space="preserve"> FN299MX</t>
  </si>
  <si>
    <t>EZ992DM</t>
  </si>
  <si>
    <t>FZ897BE</t>
  </si>
  <si>
    <t>FZ896BE</t>
  </si>
  <si>
    <t>FW184AM</t>
  </si>
  <si>
    <t>FB808BJ</t>
  </si>
  <si>
    <t>FA919GW</t>
  </si>
  <si>
    <t>EZ943DM (solo orario invernale)</t>
  </si>
  <si>
    <t>CS792NG (il venerdì)</t>
  </si>
  <si>
    <t xml:space="preserve">GH658ZZ
no mart-ven </t>
  </si>
  <si>
    <t>FC144RJ</t>
  </si>
  <si>
    <t>ES314MS</t>
  </si>
  <si>
    <t>GJ655MK</t>
  </si>
  <si>
    <t>FE585HG</t>
  </si>
  <si>
    <t>FN191MX (Pedrinolla Gr.)</t>
  </si>
  <si>
    <t>FH120DD</t>
  </si>
  <si>
    <t>GA991ZZ</t>
  </si>
  <si>
    <t>FW865WP</t>
  </si>
  <si>
    <t>FY999HP</t>
  </si>
  <si>
    <t>FN678GD</t>
  </si>
  <si>
    <t>FS143ZG</t>
  </si>
  <si>
    <t>FN217MX (Corn Adolfo)</t>
  </si>
  <si>
    <t>FF849CS</t>
  </si>
  <si>
    <t xml:space="preserve"> FZ898BE</t>
  </si>
  <si>
    <t xml:space="preserve"> FZ906BE</t>
  </si>
  <si>
    <t xml:space="preserve"> FZ901BE</t>
  </si>
  <si>
    <t>FZ901BE</t>
  </si>
  <si>
    <t>GC698CS</t>
  </si>
  <si>
    <t>ER846KZ</t>
  </si>
  <si>
    <t xml:space="preserve">FF849CS </t>
  </si>
  <si>
    <t>60</t>
  </si>
  <si>
    <t>FK451EC</t>
  </si>
  <si>
    <t>FZ889KY</t>
  </si>
  <si>
    <t>FN391MX</t>
  </si>
  <si>
    <t>DT209DB</t>
  </si>
  <si>
    <t xml:space="preserve"> FZ889KY</t>
  </si>
  <si>
    <t>GH911KX (Gorini)</t>
  </si>
  <si>
    <t>FC384RJ</t>
  </si>
  <si>
    <t>EJ947ZA</t>
  </si>
  <si>
    <t>FC200RJ</t>
  </si>
  <si>
    <t>FR346WN</t>
  </si>
  <si>
    <t>FW902WP</t>
  </si>
  <si>
    <t>GC751CS</t>
  </si>
  <si>
    <t>GA900ER</t>
  </si>
  <si>
    <t>GA902ER</t>
  </si>
  <si>
    <t>ER506KZ</t>
  </si>
  <si>
    <t>FL803HC</t>
  </si>
  <si>
    <t>FS184ZG  FL803HC (9)</t>
  </si>
  <si>
    <t>GE374VX</t>
  </si>
  <si>
    <t>FR853MY</t>
  </si>
  <si>
    <t>FR796WP</t>
  </si>
  <si>
    <t>FR320WN</t>
  </si>
  <si>
    <t>Cles-Mezzana-Fucine</t>
  </si>
  <si>
    <t>FP633ED</t>
  </si>
  <si>
    <t>FM515LT</t>
  </si>
  <si>
    <t>GC951CS</t>
  </si>
  <si>
    <t>Cod. Fermata Partenza</t>
  </si>
  <si>
    <t>FERMATA PARTENZA</t>
  </si>
  <si>
    <t>Cod. Fermata Arrivo</t>
  </si>
  <si>
    <t>FERMATA ARRIVO</t>
  </si>
  <si>
    <t xml:space="preserve">  0001FS</t>
  </si>
  <si>
    <t xml:space="preserve">TRENTO (Stazione FS)         </t>
  </si>
  <si>
    <t xml:space="preserve">  1169SB</t>
  </si>
  <si>
    <t xml:space="preserve">Laives - Stabilimento Seeber </t>
  </si>
  <si>
    <t xml:space="preserve">  0001VG</t>
  </si>
  <si>
    <t xml:space="preserve">Trento(Via Giusti)           </t>
  </si>
  <si>
    <t xml:space="preserve">VERLA                        </t>
  </si>
  <si>
    <t xml:space="preserve">TRENTO   (Autostaz.)         </t>
  </si>
  <si>
    <t xml:space="preserve">CAVALESE  (Autostaz.)        </t>
  </si>
  <si>
    <t xml:space="preserve">ALBIANO                      </t>
  </si>
  <si>
    <t xml:space="preserve">TRENTO (Autostaz.)         </t>
  </si>
  <si>
    <t xml:space="preserve">SOVER                        </t>
  </si>
  <si>
    <t xml:space="preserve">  MEZZOLOMBARDO                </t>
  </si>
  <si>
    <t xml:space="preserve">  6113AD</t>
  </si>
  <si>
    <t xml:space="preserve">Rovere' (Trentinalatte)      </t>
  </si>
  <si>
    <t xml:space="preserve">  1070OS</t>
  </si>
  <si>
    <t xml:space="preserve">Cavalese (Ospedale)          </t>
  </si>
  <si>
    <t xml:space="preserve">  1250AT</t>
  </si>
  <si>
    <t xml:space="preserve">Moena (Albergo Trentino)     </t>
  </si>
  <si>
    <t xml:space="preserve">FALCADE                      </t>
  </si>
  <si>
    <t xml:space="preserve">  1253CM</t>
  </si>
  <si>
    <t xml:space="preserve">  P.S.PELLEGRINO (FUN.)        </t>
  </si>
  <si>
    <t xml:space="preserve">P.S.PELLEGRINO (FUN.)        </t>
  </si>
  <si>
    <t xml:space="preserve">VIOTE                        </t>
  </si>
  <si>
    <t xml:space="preserve">CALAVINO                     </t>
  </si>
  <si>
    <t xml:space="preserve">RIVA DEL G. (Autostaz.)      </t>
  </si>
  <si>
    <t xml:space="preserve">DRENA                        </t>
  </si>
  <si>
    <t xml:space="preserve">  2040RR</t>
  </si>
  <si>
    <t>VEZZANO (Piazza)</t>
  </si>
  <si>
    <t xml:space="preserve">DRO                          </t>
  </si>
  <si>
    <t xml:space="preserve">VIGO CAVEDINE                </t>
  </si>
  <si>
    <t xml:space="preserve">VEZZANO (Piazza)             </t>
  </si>
  <si>
    <t xml:space="preserve">S.Massenza                   </t>
  </si>
  <si>
    <t xml:space="preserve">Due Laghi                    </t>
  </si>
  <si>
    <t xml:space="preserve">  2023AL</t>
  </si>
  <si>
    <t xml:space="preserve">M.TERLAGO (H. 2 Laghi)       </t>
  </si>
  <si>
    <t xml:space="preserve">CASTEL CONDINO               </t>
  </si>
  <si>
    <t xml:space="preserve">Cimego                       </t>
  </si>
  <si>
    <t xml:space="preserve">PREGASINA                    </t>
  </si>
  <si>
    <t xml:space="preserve">Pregasina Bivio              </t>
  </si>
  <si>
    <t xml:space="preserve">  3100SV</t>
  </si>
  <si>
    <t xml:space="preserve">ROVERETO (Via Savioli)       </t>
  </si>
  <si>
    <t xml:space="preserve">PIAN DELLE FUGAZZE           </t>
  </si>
  <si>
    <t xml:space="preserve">ROVERETO (Via Manzoni)       </t>
  </si>
  <si>
    <t xml:space="preserve">VALCAVA                      </t>
  </si>
  <si>
    <t xml:space="preserve">BRUSAGO                      </t>
  </si>
  <si>
    <t xml:space="preserve">Svaldi                       </t>
  </si>
  <si>
    <t xml:space="preserve">BEDOLLO                      </t>
  </si>
  <si>
    <t xml:space="preserve">  6120ST</t>
  </si>
  <si>
    <t xml:space="preserve">Mezzolombardo (V.Devigili)   </t>
  </si>
  <si>
    <t xml:space="preserve">  1010MT</t>
  </si>
  <si>
    <t xml:space="preserve">LAVIS (Staz. FTM)            </t>
  </si>
  <si>
    <t xml:space="preserve">  1010CS</t>
  </si>
  <si>
    <t>LAVIS</t>
  </si>
  <si>
    <t xml:space="preserve">LANZA DI RUMO                </t>
  </si>
  <si>
    <t xml:space="preserve">CLES (Autostaz.)             </t>
  </si>
  <si>
    <t xml:space="preserve">MALE'                        </t>
  </si>
  <si>
    <t xml:space="preserve">SOMRABBI                     </t>
  </si>
  <si>
    <t xml:space="preserve">  1059SO</t>
  </si>
  <si>
    <t xml:space="preserve">Solaiolo Basso               </t>
  </si>
  <si>
    <t xml:space="preserve">  1081CA</t>
  </si>
  <si>
    <t xml:space="preserve">Grumes maso Casel            </t>
  </si>
  <si>
    <t xml:space="preserve">  1081RR</t>
  </si>
  <si>
    <t>GRUMES</t>
  </si>
  <si>
    <t xml:space="preserve">  1079PC</t>
  </si>
  <si>
    <t xml:space="preserve">Faver Via Ponciach, civ. 1   </t>
  </si>
  <si>
    <t xml:space="preserve">  1078RR</t>
  </si>
  <si>
    <t xml:space="preserve">Cembra           </t>
  </si>
  <si>
    <t>CEMBRA</t>
  </si>
  <si>
    <t xml:space="preserve">CAPRIANA                     </t>
  </si>
  <si>
    <t xml:space="preserve">Valda                        </t>
  </si>
  <si>
    <t xml:space="preserve">S.Michele a/Adige            </t>
  </si>
  <si>
    <t xml:space="preserve">GRAUNO                       </t>
  </si>
  <si>
    <t xml:space="preserve">  1081TO</t>
  </si>
  <si>
    <t xml:space="preserve">Grumes maso Todescat         </t>
  </si>
  <si>
    <t xml:space="preserve">Tesero                       </t>
  </si>
  <si>
    <t>1075CP</t>
  </si>
  <si>
    <t xml:space="preserve">Palu' di G. (C.Polisportivo)  </t>
  </si>
  <si>
    <t xml:space="preserve">  1113MO</t>
  </si>
  <si>
    <t xml:space="preserve">Albiano (Via Roma)           </t>
  </si>
  <si>
    <t xml:space="preserve">  1118SB</t>
  </si>
  <si>
    <t xml:space="preserve">Scancio S. (Snack Bar)       </t>
  </si>
  <si>
    <t xml:space="preserve">Piscine                      </t>
  </si>
  <si>
    <t xml:space="preserve">  1118SR</t>
  </si>
  <si>
    <t>Scancio S.(Snack Bar)</t>
  </si>
  <si>
    <t xml:space="preserve">  1112PE</t>
  </si>
  <si>
    <t xml:space="preserve">LASES Pesa                   </t>
  </si>
  <si>
    <t xml:space="preserve">  0001PA</t>
  </si>
  <si>
    <t>TRENTO  Port'Aquila</t>
  </si>
  <si>
    <t xml:space="preserve">  1079FB</t>
  </si>
  <si>
    <t xml:space="preserve">Faver bivio                  </t>
  </si>
  <si>
    <t xml:space="preserve">CIVEZZANO                    </t>
  </si>
  <si>
    <t xml:space="preserve">FORNACE                      </t>
  </si>
  <si>
    <t xml:space="preserve">  1138VC</t>
  </si>
  <si>
    <t xml:space="preserve">Pian del Gac"Villaggio"      </t>
  </si>
  <si>
    <t xml:space="preserve">  1087FL</t>
  </si>
  <si>
    <t xml:space="preserve">Stramentizzo (Bivio)         </t>
  </si>
  <si>
    <t xml:space="preserve">CASATTA di VALFL.            </t>
  </si>
  <si>
    <t xml:space="preserve">SCANCIO SEGONZANO            </t>
  </si>
  <si>
    <t xml:space="preserve">LASES (Pesa)                 </t>
  </si>
  <si>
    <t xml:space="preserve">CIVEZZANO </t>
  </si>
  <si>
    <t xml:space="preserve">TRENTO Autostaz.              </t>
  </si>
  <si>
    <t>Ville di Giovo</t>
  </si>
  <si>
    <t xml:space="preserve">PALU' DI GIOVO               </t>
  </si>
  <si>
    <t xml:space="preserve">FAEDO PINETA                 </t>
  </si>
  <si>
    <t xml:space="preserve">  MEZZOCORONA FERROVIA         </t>
  </si>
  <si>
    <t xml:space="preserve">  6100FS</t>
  </si>
  <si>
    <t xml:space="preserve">  MEZZOCORONA (St. FS)         </t>
  </si>
  <si>
    <t xml:space="preserve">  6120EM</t>
  </si>
  <si>
    <t xml:space="preserve">Mezz.do Ex Sc. Media  (via Rotaliana)       </t>
  </si>
  <si>
    <t xml:space="preserve">Masi di Cavalese             </t>
  </si>
  <si>
    <t xml:space="preserve">  1152HV</t>
  </si>
  <si>
    <t xml:space="preserve">V.VERONZA (H.Veronza)        </t>
  </si>
  <si>
    <t xml:space="preserve">Stava                        </t>
  </si>
  <si>
    <t xml:space="preserve">  1070SE</t>
  </si>
  <si>
    <t xml:space="preserve">SICINA                       </t>
  </si>
  <si>
    <t xml:space="preserve">Pradel                       </t>
  </si>
  <si>
    <t xml:space="preserve">  4100CI</t>
  </si>
  <si>
    <t xml:space="preserve">PERGINE (C.Intermodale)      </t>
  </si>
  <si>
    <t xml:space="preserve">  1100OX</t>
  </si>
  <si>
    <t xml:space="preserve">Civezzano Scuola Media       </t>
  </si>
  <si>
    <t xml:space="preserve">  4100RR</t>
  </si>
  <si>
    <t>PERGINE V. (P.Gavazzi)</t>
  </si>
  <si>
    <t>1100OX</t>
  </si>
  <si>
    <t>Civezzano Scuola Media</t>
  </si>
  <si>
    <t>4100CI</t>
  </si>
  <si>
    <t xml:space="preserve">PERGINE V. Intermodale        </t>
  </si>
  <si>
    <t xml:space="preserve">BOSCO di CIVEZZANO           </t>
  </si>
  <si>
    <t xml:space="preserve">S.AGNESE                     </t>
  </si>
  <si>
    <t xml:space="preserve">  1100SR</t>
  </si>
  <si>
    <t xml:space="preserve">Civezzano (Quadrivio )       </t>
  </si>
  <si>
    <t xml:space="preserve">MONTESOVER                   </t>
  </si>
  <si>
    <t xml:space="preserve">  1123SA</t>
  </si>
  <si>
    <t>Facendi V.S.Antonio(Capitello)</t>
  </si>
  <si>
    <t xml:space="preserve">Sveseri  Bivio               </t>
  </si>
  <si>
    <t xml:space="preserve">  4060MG</t>
  </si>
  <si>
    <t xml:space="preserve">Brusago (Maso Gabart)        </t>
  </si>
  <si>
    <t xml:space="preserve">  4025UP</t>
  </si>
  <si>
    <t xml:space="preserve">BASELGA P. (Municipio)       </t>
  </si>
  <si>
    <t xml:space="preserve">  1221HT</t>
  </si>
  <si>
    <t xml:space="preserve">Bellamonte (H.Torretta)      </t>
  </si>
  <si>
    <t xml:space="preserve">PREDAZZO (Autostaz.)         </t>
  </si>
  <si>
    <t xml:space="preserve">  1221CS</t>
  </si>
  <si>
    <t xml:space="preserve">Castelir di Bellamonte       </t>
  </si>
  <si>
    <t xml:space="preserve">  1220SM</t>
  </si>
  <si>
    <t xml:space="preserve">Predazzo - Scuole Medie      </t>
  </si>
  <si>
    <t xml:space="preserve">  1220SC</t>
  </si>
  <si>
    <t xml:space="preserve">Predazzo(C.so Degasperi)     </t>
  </si>
  <si>
    <t xml:space="preserve">  5111RR</t>
  </si>
  <si>
    <t>Masi di Imer</t>
  </si>
  <si>
    <t xml:space="preserve">POZZA DI FASSA               </t>
  </si>
  <si>
    <t xml:space="preserve">  0954IA</t>
  </si>
  <si>
    <t xml:space="preserve">S.Michele a/A.- Ist. Agrario </t>
  </si>
  <si>
    <t xml:space="preserve">Sevignano                    </t>
  </si>
  <si>
    <t xml:space="preserve">PONTE ARCHE (Autost.)        </t>
  </si>
  <si>
    <t xml:space="preserve">TIONE (Autostazione)         </t>
  </si>
  <si>
    <t xml:space="preserve">LAGOLO                       </t>
  </si>
  <si>
    <t xml:space="preserve">Lasino                       </t>
  </si>
  <si>
    <t xml:space="preserve">  2620RO</t>
  </si>
  <si>
    <t xml:space="preserve">Sardagna (Rotatoria)         </t>
  </si>
  <si>
    <t xml:space="preserve">MARGONE                      </t>
  </si>
  <si>
    <t xml:space="preserve">  2040SN</t>
  </si>
  <si>
    <t xml:space="preserve">Vezzano Sud                  </t>
  </si>
  <si>
    <t xml:space="preserve">  2040SD</t>
  </si>
  <si>
    <t xml:space="preserve">Vezzano Apt                  </t>
  </si>
  <si>
    <t xml:space="preserve">Ciago                        </t>
  </si>
  <si>
    <t xml:space="preserve">RANZO                        </t>
  </si>
  <si>
    <t xml:space="preserve">Ceniga                       </t>
  </si>
  <si>
    <t xml:space="preserve">  2058TB</t>
  </si>
  <si>
    <t xml:space="preserve">Lago di Cavedine (Trebi)     </t>
  </si>
  <si>
    <t xml:space="preserve">  2120RR</t>
  </si>
  <si>
    <t xml:space="preserve">SARCHE (Centro Comm.)        </t>
  </si>
  <si>
    <t xml:space="preserve">SARCHE (Cassa Rurale)        </t>
  </si>
  <si>
    <t xml:space="preserve">  2125FA</t>
  </si>
  <si>
    <t xml:space="preserve">Pietramurata </t>
  </si>
  <si>
    <t xml:space="preserve">Pergolese                    </t>
  </si>
  <si>
    <t xml:space="preserve">  0001PL</t>
  </si>
  <si>
    <t xml:space="preserve">"Forte Bus de Vela"         </t>
  </si>
  <si>
    <t xml:space="preserve">  2010RR</t>
  </si>
  <si>
    <t>Cadine</t>
  </si>
  <si>
    <t xml:space="preserve">Cadine                       </t>
  </si>
  <si>
    <t xml:space="preserve">Laghi di Lamar               </t>
  </si>
  <si>
    <t xml:space="preserve">Terlago bivio                </t>
  </si>
  <si>
    <t xml:space="preserve">MONTE TERLAGO (P.zza)        </t>
  </si>
  <si>
    <t xml:space="preserve">TERLAGO                      </t>
  </si>
  <si>
    <t xml:space="preserve">  2215RR</t>
  </si>
  <si>
    <t>Sclemo</t>
  </si>
  <si>
    <t xml:space="preserve">S.LORENZO IN B.              </t>
  </si>
  <si>
    <t xml:space="preserve">MOLVENO (Centro)             </t>
  </si>
  <si>
    <t xml:space="preserve">  2219CH</t>
  </si>
  <si>
    <t xml:space="preserve">S.Lorenzo (Chiesa)           </t>
  </si>
  <si>
    <t xml:space="preserve">Andogno                      </t>
  </si>
  <si>
    <t xml:space="preserve">  2216SR</t>
  </si>
  <si>
    <t>Tavodo (incr.S.P.)</t>
  </si>
  <si>
    <t xml:space="preserve">  2216SP</t>
  </si>
  <si>
    <t xml:space="preserve">Tavodo (SP)                  </t>
  </si>
  <si>
    <t xml:space="preserve">  0956RR</t>
  </si>
  <si>
    <t>MOLVENO</t>
  </si>
  <si>
    <t xml:space="preserve">Dorsino                      </t>
  </si>
  <si>
    <t xml:space="preserve">LUNDO                        </t>
  </si>
  <si>
    <t xml:space="preserve">BIVEDO                       </t>
  </si>
  <si>
    <t xml:space="preserve">Villa di Bleggio             </t>
  </si>
  <si>
    <t xml:space="preserve">SANTA CROCE                  </t>
  </si>
  <si>
    <t xml:space="preserve">Sesto bivio                  </t>
  </si>
  <si>
    <t xml:space="preserve">  2185BR</t>
  </si>
  <si>
    <t>Fiave' (Bar Aurora)</t>
  </si>
  <si>
    <t xml:space="preserve">  2185CU</t>
  </si>
  <si>
    <t xml:space="preserve">Fiave' Curè                  </t>
  </si>
  <si>
    <t xml:space="preserve">  2185CN</t>
  </si>
  <si>
    <t xml:space="preserve">Cornelle                     </t>
  </si>
  <si>
    <t xml:space="preserve">Calvola                      </t>
  </si>
  <si>
    <t xml:space="preserve">Ville del Monte              </t>
  </si>
  <si>
    <t xml:space="preserve">  2221SA</t>
  </si>
  <si>
    <t xml:space="preserve">Villa S.Antonio              </t>
  </si>
  <si>
    <t>2170RR</t>
  </si>
  <si>
    <t>Comano Terme</t>
  </si>
  <si>
    <t xml:space="preserve">  2185RR</t>
  </si>
  <si>
    <t>FIAVE'</t>
  </si>
  <si>
    <t xml:space="preserve">  2301RR</t>
  </si>
  <si>
    <t>Forti di Lardaro</t>
  </si>
  <si>
    <t xml:space="preserve">DAONE                        </t>
  </si>
  <si>
    <t xml:space="preserve">Por                          </t>
  </si>
  <si>
    <t xml:space="preserve">  2304RR</t>
  </si>
  <si>
    <t>Strada</t>
  </si>
  <si>
    <t xml:space="preserve">Ponte Cimego                 </t>
  </si>
  <si>
    <t xml:space="preserve">  2305BO</t>
  </si>
  <si>
    <t xml:space="preserve">Pieve di Bono (Tratt.Borel)  </t>
  </si>
  <si>
    <t xml:space="preserve">BAITONI                      </t>
  </si>
  <si>
    <t xml:space="preserve">PIEVE DI BONO                </t>
  </si>
  <si>
    <t>2156MR</t>
  </si>
  <si>
    <t>Tiarno di Sopra-Mariani</t>
  </si>
  <si>
    <t xml:space="preserve">STORO                        </t>
  </si>
  <si>
    <t xml:space="preserve">  2156RR</t>
  </si>
  <si>
    <t>TIARNO DI SOPRA</t>
  </si>
  <si>
    <t xml:space="preserve">  2314RR</t>
  </si>
  <si>
    <t xml:space="preserve">Bondone                      </t>
  </si>
  <si>
    <t xml:space="preserve">  2314RU</t>
  </si>
  <si>
    <t xml:space="preserve">Storo Al Ruch                 </t>
  </si>
  <si>
    <t xml:space="preserve">  2321RR</t>
  </si>
  <si>
    <t>Lodrone</t>
  </si>
  <si>
    <t xml:space="preserve">Brione di Condino            </t>
  </si>
  <si>
    <t xml:space="preserve">CONDINO                      </t>
  </si>
  <si>
    <t xml:space="preserve">Ponte Caffaro Bivio          </t>
  </si>
  <si>
    <t xml:space="preserve">  2313RR</t>
  </si>
  <si>
    <t>Ca' Rossa</t>
  </si>
  <si>
    <t xml:space="preserve">  2290IS</t>
  </si>
  <si>
    <t xml:space="preserve">Tione - Istituto             </t>
  </si>
  <si>
    <t xml:space="preserve">Prezzo                       </t>
  </si>
  <si>
    <t xml:space="preserve">BAITONI       </t>
  </si>
  <si>
    <t xml:space="preserve">TIONE Autostazione            </t>
  </si>
  <si>
    <t xml:space="preserve">  2322BP</t>
  </si>
  <si>
    <t xml:space="preserve">Ponte Caffaro Bar Ponte      </t>
  </si>
  <si>
    <t xml:space="preserve">Ponte Caffaro bivio          </t>
  </si>
  <si>
    <t xml:space="preserve">VESTONE                      </t>
  </si>
  <si>
    <t xml:space="preserve">Preore                       </t>
  </si>
  <si>
    <t xml:space="preserve">MONTAGNE (Binio)             </t>
  </si>
  <si>
    <t xml:space="preserve">  2055ST</t>
  </si>
  <si>
    <t xml:space="preserve">Masi di Sotto  civ. 6        </t>
  </si>
  <si>
    <t xml:space="preserve">CAMPO CARLOMAGNO             </t>
  </si>
  <si>
    <t xml:space="preserve">Massimeno                    </t>
  </si>
  <si>
    <t xml:space="preserve">Giustino                     </t>
  </si>
  <si>
    <t xml:space="preserve">  TIONE Autostazione            </t>
  </si>
  <si>
    <t xml:space="preserve">CAMPO CARLOMAGNO              </t>
  </si>
  <si>
    <t xml:space="preserve">  2621SD</t>
  </si>
  <si>
    <t xml:space="preserve">Sopramonte     </t>
  </si>
  <si>
    <t xml:space="preserve">Sopramonte                 </t>
  </si>
  <si>
    <t xml:space="preserve">  3100FR</t>
  </si>
  <si>
    <t>ROVERETO (Staz.F.S.)</t>
  </si>
  <si>
    <t xml:space="preserve">  3100FS</t>
  </si>
  <si>
    <t xml:space="preserve">Vigile                       </t>
  </si>
  <si>
    <t xml:space="preserve">  3670PI</t>
  </si>
  <si>
    <t xml:space="preserve">Cimone - Bivio Pietra        </t>
  </si>
  <si>
    <t xml:space="preserve">GARNIGA VECCHIA              </t>
  </si>
  <si>
    <t xml:space="preserve">ALDENO                       </t>
  </si>
  <si>
    <t xml:space="preserve">GARNIGA TERME                </t>
  </si>
  <si>
    <t xml:space="preserve">LUSERNA                      </t>
  </si>
  <si>
    <t xml:space="preserve">  4270PT</t>
  </si>
  <si>
    <t>Caldonazzo</t>
  </si>
  <si>
    <t xml:space="preserve">CARBONARE                    </t>
  </si>
  <si>
    <t xml:space="preserve">CENTA                        </t>
  </si>
  <si>
    <t xml:space="preserve">  4260RR</t>
  </si>
  <si>
    <t>Calceranica al Lago</t>
  </si>
  <si>
    <t>Pian Dei Pradi</t>
  </si>
  <si>
    <t xml:space="preserve">VATTARO                      </t>
  </si>
  <si>
    <t xml:space="preserve">VIGOLO VATTARO               </t>
  </si>
  <si>
    <t xml:space="preserve">Bosentino                    </t>
  </si>
  <si>
    <t xml:space="preserve">  4300SP</t>
  </si>
  <si>
    <t xml:space="preserve">Levico T.-Via Roma, 61       </t>
  </si>
  <si>
    <t xml:space="preserve">  4270FS</t>
  </si>
  <si>
    <t xml:space="preserve">Caldonazzo - Staz. FS        </t>
  </si>
  <si>
    <t xml:space="preserve">LAVARONE CAPPELLA            </t>
  </si>
  <si>
    <t xml:space="preserve">TRENTO   (Autostaz.)          </t>
  </si>
  <si>
    <t xml:space="preserve">LAVARONE CAPPELLA             </t>
  </si>
  <si>
    <t xml:space="preserve">  4300IC</t>
  </si>
  <si>
    <t>Levico T.-Istituto Comprensivo</t>
  </si>
  <si>
    <t xml:space="preserve">Passo S.Valentino            </t>
  </si>
  <si>
    <t xml:space="preserve">BRENTONICO                   </t>
  </si>
  <si>
    <t xml:space="preserve">  3542UR</t>
  </si>
  <si>
    <t xml:space="preserve">Mori di fronte Mc Donald's   </t>
  </si>
  <si>
    <t xml:space="preserve">Mori (Stazione F.S.)         </t>
  </si>
  <si>
    <t xml:space="preserve">MORI (Bar Centrale)          </t>
  </si>
  <si>
    <t xml:space="preserve">Guardia di Folgaria          </t>
  </si>
  <si>
    <t xml:space="preserve">Mezzomonte                   </t>
  </si>
  <si>
    <t xml:space="preserve">  3045SP</t>
  </si>
  <si>
    <t xml:space="preserve">FOLGARIA (Palasport)         </t>
  </si>
  <si>
    <t xml:space="preserve">  3045NU</t>
  </si>
  <si>
    <t xml:space="preserve">Folgaria - P.le N.Unite      </t>
  </si>
  <si>
    <t xml:space="preserve">VALLE S.FELICE               </t>
  </si>
  <si>
    <t xml:space="preserve">  3100PC</t>
  </si>
  <si>
    <t xml:space="preserve">Rovereto - Ist. don Milani   </t>
  </si>
  <si>
    <t xml:space="preserve">RONZO CHIENIS                </t>
  </si>
  <si>
    <t xml:space="preserve">Pomarolo                     </t>
  </si>
  <si>
    <t xml:space="preserve">RAOSSI                       </t>
  </si>
  <si>
    <t xml:space="preserve">Valmorbia                    </t>
  </si>
  <si>
    <t xml:space="preserve">  CAMPOSILVANO                 </t>
  </si>
  <si>
    <t xml:space="preserve">  3155SP</t>
  </si>
  <si>
    <t xml:space="preserve">Vanza paese incr. SP50       </t>
  </si>
  <si>
    <t xml:space="preserve">Vanza SP50                   </t>
  </si>
  <si>
    <t xml:space="preserve">POZZACCHIO                   </t>
  </si>
  <si>
    <t xml:space="preserve">OMETTO                       </t>
  </si>
  <si>
    <t xml:space="preserve">  3100VP</t>
  </si>
  <si>
    <t xml:space="preserve">ROVERETO (Aut.-V.Paoli)      </t>
  </si>
  <si>
    <t xml:space="preserve">ROVERETO  (Autostaz.)        </t>
  </si>
  <si>
    <t xml:space="preserve">Albaredo                     </t>
  </si>
  <si>
    <t xml:space="preserve">  3047RR</t>
  </si>
  <si>
    <t>SERRADA</t>
  </si>
  <si>
    <t xml:space="preserve">Geroli                       </t>
  </si>
  <si>
    <t xml:space="preserve">PIAZZA DI TERRAGNOLO         </t>
  </si>
  <si>
    <t xml:space="preserve">Zoreri-Soldati               </t>
  </si>
  <si>
    <t xml:space="preserve">  3045PG</t>
  </si>
  <si>
    <t xml:space="preserve">Folgaria (Via Battisti)      </t>
  </si>
  <si>
    <t xml:space="preserve">  3358PL</t>
  </si>
  <si>
    <t xml:space="preserve">Vo' Sinistro (Pass.Livello)  </t>
  </si>
  <si>
    <t xml:space="preserve">  3346FS</t>
  </si>
  <si>
    <t xml:space="preserve">ALA (Staz. FS)               </t>
  </si>
  <si>
    <t xml:space="preserve">  3350VB</t>
  </si>
  <si>
    <t xml:space="preserve">AVIO (Via M.Baldo)           </t>
  </si>
  <si>
    <t xml:space="preserve">  3350CC</t>
  </si>
  <si>
    <t xml:space="preserve">Avio (carabinieri)           </t>
  </si>
  <si>
    <t xml:space="preserve">Pilcante                     </t>
  </si>
  <si>
    <t xml:space="preserve">MASI D'AVIO                  </t>
  </si>
  <si>
    <t xml:space="preserve">  3346OR</t>
  </si>
  <si>
    <t>ALA (Ospedale bivio)</t>
  </si>
  <si>
    <t xml:space="preserve">ALA (Ospedale bivio).        </t>
  </si>
  <si>
    <t xml:space="preserve">  3337PO</t>
  </si>
  <si>
    <t xml:space="preserve">Ponzolotti                   </t>
  </si>
  <si>
    <t xml:space="preserve">Ronchi di Ala                </t>
  </si>
  <si>
    <t xml:space="preserve">LEVICO T.  (Autostaz.)       </t>
  </si>
  <si>
    <t xml:space="preserve">  4400VA</t>
  </si>
  <si>
    <t xml:space="preserve">BORGO VALS. (Valli)          </t>
  </si>
  <si>
    <t xml:space="preserve">BORGO V.(C.Intermodale)      </t>
  </si>
  <si>
    <t xml:space="preserve">Rizzolaga                    </t>
  </si>
  <si>
    <t xml:space="preserve">Fiore'                       </t>
  </si>
  <si>
    <t xml:space="preserve">SAMONE                       </t>
  </si>
  <si>
    <t xml:space="preserve">TORCEGNO                     </t>
  </si>
  <si>
    <t xml:space="preserve">OLLE                         </t>
  </si>
  <si>
    <t xml:space="preserve">Ronchi (Zurli)               </t>
  </si>
  <si>
    <t xml:space="preserve">RONCHI VALSUGANA             </t>
  </si>
  <si>
    <t xml:space="preserve">  4123RR</t>
  </si>
  <si>
    <t>S.ORSOLA</t>
  </si>
  <si>
    <t xml:space="preserve">  4100SA</t>
  </si>
  <si>
    <t xml:space="preserve">Pergine V. Scuole Andreatta  </t>
  </si>
  <si>
    <t xml:space="preserve">Serso                        </t>
  </si>
  <si>
    <t xml:space="preserve">PALU' del F.                 </t>
  </si>
  <si>
    <t>4126BA</t>
  </si>
  <si>
    <t>Battisti</t>
  </si>
  <si>
    <t xml:space="preserve">Maso Tingherla               </t>
  </si>
  <si>
    <t xml:space="preserve">KAMAUZ                       </t>
  </si>
  <si>
    <t xml:space="preserve">Hacleri                      </t>
  </si>
  <si>
    <t xml:space="preserve">Roveda bivio                 </t>
  </si>
  <si>
    <t xml:space="preserve">  4142SL</t>
  </si>
  <si>
    <t>S.Felice Fierozzo Maso Lorenzo</t>
  </si>
  <si>
    <t>S. Felice Fierozzo</t>
  </si>
  <si>
    <t xml:space="preserve">ISCHIA DI PERGINE            </t>
  </si>
  <si>
    <t xml:space="preserve">  4300PM</t>
  </si>
  <si>
    <t xml:space="preserve">LEVICO T.( Via Avancini)     </t>
  </si>
  <si>
    <t xml:space="preserve">Falesina                     </t>
  </si>
  <si>
    <t xml:space="preserve">  4048AL</t>
  </si>
  <si>
    <t xml:space="preserve">Regnana Alta                 </t>
  </si>
  <si>
    <t xml:space="preserve">CENTRALE DI BEDOLLO          </t>
  </si>
  <si>
    <t xml:space="preserve">REGNANA                      </t>
  </si>
  <si>
    <t xml:space="preserve">S.MAURO                      </t>
  </si>
  <si>
    <t xml:space="preserve">BASELGA di PINE' (Lago)      </t>
  </si>
  <si>
    <t xml:space="preserve">RONCEGNO TERME               </t>
  </si>
  <si>
    <t xml:space="preserve">  4400OS</t>
  </si>
  <si>
    <t xml:space="preserve">BORGO VALS.(Ospedale)        </t>
  </si>
  <si>
    <t xml:space="preserve">CANAL S.BOVO                 </t>
  </si>
  <si>
    <t xml:space="preserve">RONCO CHIESA                 </t>
  </si>
  <si>
    <t xml:space="preserve">  4300BB</t>
  </si>
  <si>
    <t xml:space="preserve"> LEVICO TERME(SP.228)         </t>
  </si>
  <si>
    <t xml:space="preserve">LEVICO TERME(SP.228)         </t>
  </si>
  <si>
    <t xml:space="preserve">Feltre-Vellai                </t>
  </si>
  <si>
    <t xml:space="preserve">DERMULO                      </t>
  </si>
  <si>
    <t xml:space="preserve">Cavedago                     </t>
  </si>
  <si>
    <t xml:space="preserve">Santel (S.p. 64)             </t>
  </si>
  <si>
    <t xml:space="preserve">SPORMAGGIORE                 </t>
  </si>
  <si>
    <t xml:space="preserve">Crescino             </t>
  </si>
  <si>
    <t xml:space="preserve">  6137MT</t>
  </si>
  <si>
    <t xml:space="preserve">Andalo - Maso Toscana        </t>
  </si>
  <si>
    <t xml:space="preserve">  6126RA</t>
  </si>
  <si>
    <t xml:space="preserve">Raut                         </t>
  </si>
  <si>
    <t xml:space="preserve">TOSS                         </t>
  </si>
  <si>
    <t xml:space="preserve">  6150TM</t>
  </si>
  <si>
    <t xml:space="preserve">Denno  FTM                  </t>
  </si>
  <si>
    <t xml:space="preserve">Dercolo (Bivio)              </t>
  </si>
  <si>
    <t xml:space="preserve">Lover                        </t>
  </si>
  <si>
    <t xml:space="preserve">Sporminore                   </t>
  </si>
  <si>
    <t xml:space="preserve">  6143OT</t>
  </si>
  <si>
    <t xml:space="preserve">Sporminore civ. 86           </t>
  </si>
  <si>
    <t xml:space="preserve">Termon                       </t>
  </si>
  <si>
    <t xml:space="preserve">  6120SM</t>
  </si>
  <si>
    <t xml:space="preserve">Mezzolombardo Sc. Media      </t>
  </si>
  <si>
    <t xml:space="preserve">PORTOLO                      </t>
  </si>
  <si>
    <t xml:space="preserve">  6220PF</t>
  </si>
  <si>
    <t xml:space="preserve">Cles (Piazza Fiera)          </t>
  </si>
  <si>
    <t xml:space="preserve">MECHEL                       </t>
  </si>
  <si>
    <t xml:space="preserve">  6191TA</t>
  </si>
  <si>
    <t>Tres Via Predaia inc. V.Tavana</t>
  </si>
  <si>
    <t xml:space="preserve">  6190SM</t>
  </si>
  <si>
    <t xml:space="preserve">Taio (Plesso Scolastico)     </t>
  </si>
  <si>
    <t xml:space="preserve">  6170ST</t>
  </si>
  <si>
    <t xml:space="preserve">MOLLARO (Staz.FTM)           </t>
  </si>
  <si>
    <t xml:space="preserve">Tres                         </t>
  </si>
  <si>
    <t>6504CR</t>
  </si>
  <si>
    <t>Credai</t>
  </si>
  <si>
    <t xml:space="preserve">SFRUZ                        </t>
  </si>
  <si>
    <t xml:space="preserve">Tavon                        </t>
  </si>
  <si>
    <t xml:space="preserve">  6580CA</t>
  </si>
  <si>
    <t xml:space="preserve">FONDO (Via Garibaldi)        </t>
  </si>
  <si>
    <t xml:space="preserve">PASSO MENDOLA                </t>
  </si>
  <si>
    <t xml:space="preserve">Castelfondo                  </t>
  </si>
  <si>
    <t xml:space="preserve">Fondo loc. Vasio             </t>
  </si>
  <si>
    <t xml:space="preserve">  6675AN</t>
  </si>
  <si>
    <t xml:space="preserve">Salobbi  Bacheca Comunale    </t>
  </si>
  <si>
    <t xml:space="preserve">Brez                         </t>
  </si>
  <si>
    <t xml:space="preserve">Tregiovo                     </t>
  </si>
  <si>
    <t xml:space="preserve">Revo'                        </t>
  </si>
  <si>
    <t xml:space="preserve">Romallo                      </t>
  </si>
  <si>
    <t>6675SA</t>
  </si>
  <si>
    <t xml:space="preserve">Salobbi   </t>
  </si>
  <si>
    <t xml:space="preserve">CIS                          </t>
  </si>
  <si>
    <t>46.36513832853683, 11.029254119523086</t>
  </si>
  <si>
    <t>15 Via delle Scuole</t>
  </si>
  <si>
    <t xml:space="preserve">BRESIMO                      </t>
  </si>
  <si>
    <t xml:space="preserve">LIVO                         </t>
  </si>
  <si>
    <t xml:space="preserve">Terzolas (Bivio paese)       </t>
  </si>
  <si>
    <t xml:space="preserve">  6655ME</t>
  </si>
  <si>
    <t xml:space="preserve">Revo'  (Magazzino Melinda)   </t>
  </si>
  <si>
    <t xml:space="preserve">BOLENTINA                    </t>
  </si>
  <si>
    <t xml:space="preserve">S.Antonio di Mavignola       </t>
  </si>
  <si>
    <t xml:space="preserve">  6340ST</t>
  </si>
  <si>
    <t xml:space="preserve">DIMARO (Staz. FTM)           </t>
  </si>
  <si>
    <t xml:space="preserve">  2470RR</t>
  </si>
  <si>
    <t>S.Antonio di Mavignola</t>
  </si>
  <si>
    <t xml:space="preserve">  6382SO</t>
  </si>
  <si>
    <t xml:space="preserve">MARILLEVA 1400               </t>
  </si>
  <si>
    <t xml:space="preserve">Marilleva 900                </t>
  </si>
  <si>
    <t xml:space="preserve">  6382SS</t>
  </si>
  <si>
    <t xml:space="preserve">MARILLEVA 1400 Solaria       </t>
  </si>
  <si>
    <t xml:space="preserve">MENAS                        </t>
  </si>
  <si>
    <t xml:space="preserve">PELLIZZANO                   </t>
  </si>
  <si>
    <t xml:space="preserve">Claiano Bivio                </t>
  </si>
  <si>
    <t xml:space="preserve">Celentino Bivio              </t>
  </si>
  <si>
    <t xml:space="preserve">  6402PA</t>
  </si>
  <si>
    <t xml:space="preserve">Celentino paese              </t>
  </si>
  <si>
    <t xml:space="preserve">  6402ST</t>
  </si>
  <si>
    <t xml:space="preserve">Strombiano                   </t>
  </si>
  <si>
    <t xml:space="preserve">  6350DP</t>
  </si>
  <si>
    <t xml:space="preserve">Deggiano Paese               </t>
  </si>
  <si>
    <t xml:space="preserve">Mastellina   Staz. FTM                </t>
  </si>
  <si>
    <t>6270TM</t>
  </si>
  <si>
    <t>Cavizzana</t>
  </si>
  <si>
    <t xml:space="preserve">  6403PA</t>
  </si>
  <si>
    <t xml:space="preserve">Comasine paese               </t>
  </si>
  <si>
    <t xml:space="preserve">COGOLO                       </t>
  </si>
  <si>
    <t xml:space="preserve">Comasine bivio               </t>
  </si>
  <si>
    <t xml:space="preserve">  6220MS</t>
  </si>
  <si>
    <t xml:space="preserve">Cles - Negozio Mascotti      </t>
  </si>
  <si>
    <t xml:space="preserve">PEIO                         </t>
  </si>
  <si>
    <t xml:space="preserve">FUCINE                       </t>
  </si>
  <si>
    <t xml:space="preserve">  6380MT</t>
  </si>
  <si>
    <t xml:space="preserve">Mezzana (staz FTM)           </t>
  </si>
  <si>
    <t xml:space="preserve">PASSO TONALE                 </t>
  </si>
  <si>
    <t xml:space="preserve">VERMIGLIO                    </t>
  </si>
  <si>
    <t xml:space="preserve">  6408NO</t>
  </si>
  <si>
    <t xml:space="preserve">Vermiglio nord               </t>
  </si>
  <si>
    <t xml:space="preserve">  6340PT</t>
  </si>
  <si>
    <t xml:space="preserve">DIMARO (Ponte)               </t>
  </si>
  <si>
    <t xml:space="preserve">Cusiano                      </t>
  </si>
  <si>
    <t>4260Z936W929:Z944X952W941:Z944W626:Z944</t>
  </si>
  <si>
    <t xml:space="preserve">Calceranica al Lago          </t>
  </si>
  <si>
    <t xml:space="preserve">  6380RO</t>
  </si>
  <si>
    <t xml:space="preserve">  Località Roncio               </t>
  </si>
  <si>
    <t>6380TM</t>
  </si>
  <si>
    <t xml:space="preserve">MEZZANA FTM                  </t>
  </si>
  <si>
    <t>1300IA</t>
  </si>
  <si>
    <t xml:space="preserve">Pozza di Fassa-Istituto Arte  </t>
  </si>
  <si>
    <t>1300UP</t>
  </si>
  <si>
    <t xml:space="preserve">POZZA DI FASSA </t>
  </si>
  <si>
    <t>CAPRIANA</t>
  </si>
  <si>
    <t xml:space="preserve">  GRAUNO                        </t>
  </si>
  <si>
    <t>2313RR</t>
  </si>
  <si>
    <t>SP 69</t>
  </si>
  <si>
    <t xml:space="preserve">FUCINE </t>
  </si>
  <si>
    <t>data inizio</t>
  </si>
  <si>
    <t>data fine</t>
  </si>
  <si>
    <t>data inizio 1</t>
  </si>
  <si>
    <t>data fine 1</t>
  </si>
  <si>
    <t>posti mezzo di riserva 2</t>
  </si>
  <si>
    <t>annuale feriale lu, me</t>
  </si>
  <si>
    <t>scolastica lu-ve ott-dic-febb-apr-giu</t>
  </si>
  <si>
    <t>scolastica lu-ve sett-nov-genn-mar-magg</t>
  </si>
  <si>
    <t>estiva feriale lu-sa giugno/agosto</t>
  </si>
  <si>
    <t>estiva feriale lu-sa luglio/settembre</t>
  </si>
  <si>
    <t>invernale feriale lu-sa (in intensificazione linea 123)</t>
  </si>
  <si>
    <t>invernale feriale lu, ve, sab + prefest + postfest (eccetto intensificazione linea 123)</t>
  </si>
  <si>
    <t>invernale feriale lu-ve (in intensificazione linea 646)</t>
  </si>
  <si>
    <t>invernale feriale lu-sa (eccetto intensificazione linea 646)</t>
  </si>
  <si>
    <t>invernale festivo (eccetto intensificazione linea 646)</t>
  </si>
  <si>
    <t>annuale feriale lu-ve elastibus</t>
  </si>
  <si>
    <t>estiva feriale lu-sa melinda</t>
  </si>
  <si>
    <t>annuale feriale lu-ve a giornata melinda</t>
  </si>
  <si>
    <t>invernale feriale lu-sa a turni melinda</t>
  </si>
  <si>
    <t>estiva feriale lu-ve melinda</t>
  </si>
  <si>
    <t>invernale feriale lu-ve melinda</t>
  </si>
  <si>
    <t>NUOVA frequenza corretta da capitolato</t>
  </si>
  <si>
    <t>dal 12/09/2022 inserimento loc. Rocca come all'andata</t>
  </si>
  <si>
    <t>dal 12/09/2022 partenza da Storo SP69</t>
  </si>
  <si>
    <t>dal 11/10/2022 nuova</t>
  </si>
  <si>
    <t>extra</t>
  </si>
  <si>
    <t>FH962KW (MDL)</t>
  </si>
  <si>
    <t>55 24</t>
  </si>
  <si>
    <t>GD933VT</t>
  </si>
  <si>
    <t>62  61</t>
  </si>
  <si>
    <t>FF887CS (Aut. Filippi)</t>
  </si>
  <si>
    <t>Verla bivio - Ville di Giovo - Verla deviazione Tesero - Palù</t>
  </si>
  <si>
    <t>1072BV</t>
  </si>
  <si>
    <t xml:space="preserve">Verla (Bivio)                 </t>
  </si>
  <si>
    <t>dal 03/10/2022 prolungamento</t>
  </si>
  <si>
    <t xml:space="preserve">Favrio  </t>
  </si>
  <si>
    <t xml:space="preserve">  2185CA</t>
  </si>
  <si>
    <t xml:space="preserve">Fiave' (Caseificio)           </t>
  </si>
  <si>
    <t>dal 12/09/2022 al 30/09/2022</t>
  </si>
  <si>
    <t>dal 12/10/2022 prolungamento</t>
  </si>
  <si>
    <t>Solaiolo Alto - Solaiolo</t>
  </si>
  <si>
    <t>Solaiolo Alto</t>
  </si>
  <si>
    <t>ES278NX</t>
  </si>
  <si>
    <t>FR599WM</t>
  </si>
  <si>
    <t>EK526JA</t>
  </si>
  <si>
    <t>EN513NH</t>
  </si>
  <si>
    <t xml:space="preserve"> FY946HP</t>
  </si>
  <si>
    <t>FR981TK (Groff Tour)</t>
  </si>
  <si>
    <t>EX931HC</t>
  </si>
  <si>
    <t>FR820WP</t>
  </si>
  <si>
    <t>EJ873ZA</t>
  </si>
  <si>
    <t>FF501YE</t>
  </si>
  <si>
    <t>9+7</t>
  </si>
  <si>
    <t>20+7</t>
  </si>
  <si>
    <t>ER812KZ</t>
  </si>
  <si>
    <t>EZ866DM</t>
  </si>
  <si>
    <t>FJ863YE</t>
  </si>
  <si>
    <t>GH939KX</t>
  </si>
  <si>
    <t>GH658ZZ
no mart-ven e sab.</t>
  </si>
  <si>
    <t>GH658ZZ no mart e ven</t>
  </si>
  <si>
    <t>EX007PS</t>
  </si>
  <si>
    <t>FN308MX</t>
  </si>
  <si>
    <t>FE584HG</t>
  </si>
  <si>
    <t>FR954WP</t>
  </si>
  <si>
    <t>FM433JT</t>
  </si>
  <si>
    <t>FT942AZ (lu-ve)</t>
  </si>
  <si>
    <t xml:space="preserve"> FW805WP</t>
  </si>
  <si>
    <t>FE271HG</t>
  </si>
  <si>
    <t>GE387VX</t>
  </si>
  <si>
    <t>FZ734BE</t>
  </si>
  <si>
    <t>GC523CS</t>
  </si>
  <si>
    <t xml:space="preserve"> ED909MM</t>
  </si>
  <si>
    <t>FF724CS</t>
  </si>
  <si>
    <t>ED909MM /solo al sabato GC523CS (23)</t>
  </si>
  <si>
    <t>FG963XM</t>
  </si>
  <si>
    <t>FE301HG</t>
  </si>
  <si>
    <t>EM088EK</t>
  </si>
  <si>
    <t>FV848NS</t>
  </si>
  <si>
    <t>FL648HC</t>
  </si>
  <si>
    <t>GE316VX (Busmania)</t>
  </si>
  <si>
    <t>FN191MX</t>
  </si>
  <si>
    <t>FR576WM</t>
  </si>
  <si>
    <t>EX952HC</t>
  </si>
  <si>
    <t>FL786HC</t>
  </si>
  <si>
    <t>FN143MX</t>
  </si>
  <si>
    <t>FL606HC</t>
  </si>
  <si>
    <t>GE440VX</t>
  </si>
  <si>
    <t>GG008PL</t>
  </si>
  <si>
    <t>57/31</t>
  </si>
  <si>
    <t>24/31</t>
  </si>
  <si>
    <t>(Fai Miravalle) - Cortalta-Trento</t>
  </si>
  <si>
    <t>6135MV</t>
  </si>
  <si>
    <t xml:space="preserve">Fai Paganella - Miravalle     </t>
  </si>
  <si>
    <t>(Solaiolo Alto extracapitolato) - Solaiolo basso - Cavalese</t>
  </si>
  <si>
    <t>46.294100387964086, 11.389613582411105</t>
  </si>
  <si>
    <t>Ronzo-V.S.Felice.Mori-Rovereto</t>
  </si>
  <si>
    <t>EJ855RC (Fersina Tour)</t>
  </si>
  <si>
    <t>EL182VV (Paternoster )</t>
  </si>
  <si>
    <t xml:space="preserve"> EM401DR (Groff Tour)</t>
  </si>
  <si>
    <t>FA981GW (Planchel)</t>
  </si>
  <si>
    <t>FE259HG (DMG)</t>
  </si>
  <si>
    <t>FF736CS (Taxizeta)</t>
  </si>
  <si>
    <t>FG962XM (Giacomelli)</t>
  </si>
  <si>
    <t>FH992YZ (VITO VIAGGI)</t>
  </si>
  <si>
    <t>FK451EC (Erika Tours)</t>
  </si>
  <si>
    <t>FN554MX (MDL)</t>
  </si>
  <si>
    <t>FT534CV (Stenghele)</t>
  </si>
  <si>
    <t>FT942AZ (Tn Service)</t>
  </si>
  <si>
    <t xml:space="preserve">FV001FA (Vito Viaggi) </t>
  </si>
  <si>
    <t>FY240VT FR993WP</t>
  </si>
  <si>
    <t xml:space="preserve">FZ047KX GC807JF
</t>
  </si>
  <si>
    <t>FZ833BE (Trentinobus)</t>
  </si>
  <si>
    <t>GC807JF FR993WP</t>
  </si>
  <si>
    <t>GE457VX (Groff Tour)</t>
  </si>
  <si>
    <t>GK228BZ (TN Service)</t>
  </si>
  <si>
    <t>DT209DB FZ889KY</t>
  </si>
  <si>
    <t>EK710SE (Paolat)</t>
  </si>
  <si>
    <t>ER857KZ (Club dellai)</t>
  </si>
  <si>
    <t>EV659LA (Erika Tours) / FK451EC (Erika Tours)</t>
  </si>
  <si>
    <t>FE205HG (Fersina Tour) / FY999HP (Fersina Tour)</t>
  </si>
  <si>
    <t>FE585HG  FF601CS (Martina)</t>
  </si>
  <si>
    <t>FE599HG (Viaggi Cicolini)</t>
  </si>
  <si>
    <t>FR777WP (Fersina Tour)</t>
  </si>
  <si>
    <t>FZ863BE (Giacomelli)</t>
  </si>
  <si>
    <t>FZ889KY (Valentinelli) / FK451EC (Erika Tours)</t>
  </si>
  <si>
    <t>GE308VX (D'Amico)</t>
  </si>
  <si>
    <t>scolastica</t>
  </si>
  <si>
    <t>dal 30/11/2022 nuova</t>
  </si>
  <si>
    <t>Pergolese</t>
  </si>
  <si>
    <t>eliminata dal 30/11/2022</t>
  </si>
  <si>
    <t>invernale lunedì-sabato</t>
  </si>
  <si>
    <t>Stramentizzo bv - Sover</t>
  </si>
  <si>
    <t>scolastica martedì e mercoledì</t>
  </si>
  <si>
    <t>BAZZAVAN S.A.S. DI BAZZANELLA ANDREA</t>
  </si>
  <si>
    <t>Stramentizzo (Bivio)</t>
  </si>
  <si>
    <t>1087FL</t>
  </si>
  <si>
    <t>SOVER</t>
  </si>
  <si>
    <t>GC917HM</t>
  </si>
  <si>
    <t>GG058PN</t>
  </si>
  <si>
    <t>dal 28/11/2022 nuova</t>
  </si>
  <si>
    <t>102-103</t>
  </si>
  <si>
    <t>Cembra-Sevignano-Civezzano sc. Media</t>
  </si>
  <si>
    <t>dal 29/11/2022 nuova</t>
  </si>
  <si>
    <t>scolastica il martedì</t>
  </si>
  <si>
    <t>scolastica il lunedì</t>
  </si>
  <si>
    <t>6408NO</t>
  </si>
  <si>
    <t>Vermiglio nord</t>
  </si>
  <si>
    <t>Ponte di Legno - Vermiglio</t>
  </si>
  <si>
    <t>46.25536943397489, 10.509713206468964</t>
  </si>
  <si>
    <t xml:space="preserve">Ponte di Legno - P.le Cida </t>
  </si>
  <si>
    <t>dal 21/11/2022 nuova</t>
  </si>
  <si>
    <t>Cles - Lanza di Rumo</t>
  </si>
  <si>
    <t>CLES (Autostaz.)</t>
  </si>
  <si>
    <t>LANZA DI RUMO</t>
  </si>
  <si>
    <t>eliminata dal 02/11/2022</t>
  </si>
  <si>
    <t>FE205HG (ditta Fersina)</t>
  </si>
  <si>
    <t>sostituisce corsa 131 linea 102</t>
  </si>
  <si>
    <t>Lisignago - Trento (corsa bis) storno km corsa sostituita</t>
  </si>
  <si>
    <t>Santel - Mezzolombardo</t>
  </si>
  <si>
    <t>Santel (S.p. 64)</t>
  </si>
  <si>
    <t>eliminata dal 14/11/2022</t>
  </si>
  <si>
    <t>cap</t>
  </si>
  <si>
    <t>eliminata dal 14/11/2022 riga 417</t>
  </si>
  <si>
    <t>eliminata dal 30/11/2022 riga 339</t>
  </si>
  <si>
    <t>sostituita dal 02/11/2022 riga 111</t>
  </si>
  <si>
    <t>sostituita dal 05/11/2022 riga 645</t>
  </si>
  <si>
    <t>Avio - Ala Fs storno km corsa sostituita</t>
  </si>
  <si>
    <t>dal 02/11/2022 prolungamento</t>
  </si>
  <si>
    <t>dal 27/09/2022 prolungamento sostituito il 02/11</t>
  </si>
  <si>
    <t>eliminata dal 02/11/2022 riga 337</t>
  </si>
  <si>
    <t>dal 12/09/2022 prolungamento corsa riga 773</t>
  </si>
  <si>
    <t>Lover - Dercolo prolungamento corsa Dercolo - Cles</t>
  </si>
  <si>
    <t>EY198WJ</t>
  </si>
  <si>
    <t>FN676GD</t>
  </si>
  <si>
    <t>Luserna-Lavarone-Carbonare-Folgaria-Calliano-Rovereto (ore 16:20 dal 26/12/22 al 19/03/23)</t>
  </si>
  <si>
    <t>Rovereto-Calliano-Folgaria-Carbonare-Lavarone-Luserna (ore 18:15 dal 26/12/22 al 19/03/23)</t>
  </si>
  <si>
    <t>GK082FC</t>
  </si>
  <si>
    <t xml:space="preserve">FF887CS </t>
  </si>
  <si>
    <t>GL551LP</t>
  </si>
  <si>
    <t>GK228BZ (TN Service) GL551LP</t>
  </si>
  <si>
    <t>57 37</t>
  </si>
  <si>
    <t>EV877GJ (ditta Italbus)</t>
  </si>
  <si>
    <t>GC658CS (ditta Nice srl)</t>
  </si>
  <si>
    <t>GA984ER (ditta Nice srl)</t>
  </si>
  <si>
    <t>FW970WP</t>
  </si>
  <si>
    <t>ATP SRLS</t>
  </si>
  <si>
    <t>GA984ER (ditta Nice srl) FN426MX (ditta Nice srl)</t>
  </si>
  <si>
    <t>23  20</t>
  </si>
  <si>
    <t>FN426MX (ditta Nice srl)</t>
  </si>
  <si>
    <t>Denno FTM-Moncovo-Truzzi bivio-Toss-Raut</t>
  </si>
  <si>
    <t>Mezzolombardo-Toss-Mezzolombardo</t>
  </si>
  <si>
    <t>FN362MX</t>
  </si>
  <si>
    <t>FH120DD  FY870HP</t>
  </si>
  <si>
    <t>21                                    9</t>
  </si>
  <si>
    <t>ARCO  Autostaz.</t>
  </si>
  <si>
    <t>3100VP</t>
  </si>
  <si>
    <t xml:space="preserve">ROVERETO Via Paoli            </t>
  </si>
  <si>
    <t>Arco - Rovereto</t>
  </si>
  <si>
    <t>Trento - Riva del Garda</t>
  </si>
  <si>
    <t xml:space="preserve">RIVA DEL G. Autostaz.         </t>
  </si>
  <si>
    <t>Rovereto - Trento</t>
  </si>
  <si>
    <t>GE453VX (Nice srl)</t>
  </si>
  <si>
    <t>GG008PL (Nice srl)</t>
  </si>
  <si>
    <t>scolastica lu, ma, gio</t>
  </si>
  <si>
    <t>GJ981MK</t>
  </si>
  <si>
    <t>55+30</t>
  </si>
  <si>
    <r>
      <t>scolastica da lunedì</t>
    </r>
    <r>
      <rPr>
        <strike/>
        <sz val="10"/>
        <rFont val="Arial"/>
        <family val="2"/>
      </rPr>
      <t xml:space="preserve"> a sabato</t>
    </r>
    <r>
      <rPr>
        <sz val="10"/>
        <rFont val="Arial"/>
        <family val="2"/>
      </rPr>
      <t xml:space="preserve"> al venerdì</t>
    </r>
  </si>
  <si>
    <t>dal 23/01/2023 deviazione corsa riga 119</t>
  </si>
  <si>
    <t>Tesero-Masi di Cavalese-Tesero</t>
  </si>
  <si>
    <t>1151RR</t>
  </si>
  <si>
    <t>Masi (dir. Cavalese)</t>
  </si>
  <si>
    <t>dal 16/01/2023 deviazione corsa riga 575</t>
  </si>
  <si>
    <t>Monterovere- Masetti bivio- Monterovere</t>
  </si>
  <si>
    <t>45.954338764437104, 11.294710272070128</t>
  </si>
  <si>
    <t>Masetti bivio</t>
  </si>
  <si>
    <t>Monterovere</t>
  </si>
  <si>
    <t>Garniga Terme - Covelo deviazione</t>
  </si>
  <si>
    <t>Covelo - Garniga Terme deviazione</t>
  </si>
  <si>
    <t>45.97896101961809, 11.071275326875115</t>
  </si>
  <si>
    <t>Covelo Piazzale pizzeria</t>
  </si>
  <si>
    <t>Garniga Vecchia - Cimone</t>
  </si>
  <si>
    <t>Feriale</t>
  </si>
  <si>
    <t>loc. Gatter - Garniga V-Aldeno
non transita da Cimone</t>
  </si>
  <si>
    <t>Cimone-Garniga T.</t>
  </si>
  <si>
    <t>Feriale
da lunedì a venerdì</t>
  </si>
  <si>
    <t>Garniga T.-Cimone</t>
  </si>
  <si>
    <t>Aldeno-Garniga V.</t>
  </si>
  <si>
    <t>Garniga V.-Aldeno</t>
  </si>
  <si>
    <t>Feriale
sabato</t>
  </si>
  <si>
    <r>
      <t xml:space="preserve">Favrio - </t>
    </r>
    <r>
      <rPr>
        <strike/>
        <sz val="10"/>
        <rFont val="Arial"/>
        <family val="2"/>
      </rPr>
      <t>Dasindo</t>
    </r>
    <r>
      <rPr>
        <sz val="10"/>
        <rFont val="Arial"/>
        <family val="2"/>
      </rPr>
      <t xml:space="preserve"> - Fiavè loc. Curè -</t>
    </r>
    <r>
      <rPr>
        <strike/>
        <sz val="10"/>
        <rFont val="Arial"/>
        <family val="2"/>
      </rPr>
      <t xml:space="preserve"> Cornelle</t>
    </r>
    <r>
      <rPr>
        <sz val="10"/>
        <rFont val="Arial"/>
        <family val="2"/>
      </rPr>
      <t xml:space="preserve"> - Fiavè</t>
    </r>
  </si>
  <si>
    <t>eliminata nuova dall'inizio</t>
  </si>
  <si>
    <t>Eliminata già compresa - corsa nuova - dall'inizio</t>
  </si>
  <si>
    <t>NULLA</t>
  </si>
  <si>
    <t>Eliminata già compresa (ditta Nice)</t>
  </si>
  <si>
    <t>Eliminata dall'inizio (Sarcatour)</t>
  </si>
  <si>
    <t>Eliminata dall'inizio (Soletana)</t>
  </si>
  <si>
    <t>Eliminata (Soletana)</t>
  </si>
  <si>
    <t>invernale feriale no scol sab</t>
  </si>
  <si>
    <t>sostituita da corsa 401 linea 334 da Avio dal 05/11/2022</t>
  </si>
  <si>
    <t>sostituisce corsa 401 linea 334 da Avio dal 05/11/2022</t>
  </si>
  <si>
    <t>sostituita con linea 611 dal 02/11/2022</t>
  </si>
  <si>
    <t>GK153FC</t>
  </si>
  <si>
    <t>GA844ER</t>
  </si>
  <si>
    <t>FM522KR</t>
  </si>
  <si>
    <t>FK791WG (FL781HC+FA989GW Perini già autorizzate in caso di cambio titolarità)</t>
  </si>
  <si>
    <t>EV936EW (Sarcatour)</t>
  </si>
  <si>
    <t>FK791WG (Sarcatour)</t>
  </si>
  <si>
    <t>dal 01/03/2023 nuova</t>
  </si>
  <si>
    <t>Riva del Garda - Arco</t>
  </si>
  <si>
    <t>Sarche - Riva del Garda</t>
  </si>
  <si>
    <t>Riva del Garda - Sarche</t>
  </si>
  <si>
    <t xml:space="preserve">  3520LR</t>
  </si>
  <si>
    <t xml:space="preserve">  Arco Piazza Italia           </t>
  </si>
  <si>
    <t>GM363RH</t>
  </si>
  <si>
    <t>50/55</t>
  </si>
  <si>
    <t>feriale estivo dal lun. al ven. + senza scuola
da lunedì a venerdì</t>
  </si>
  <si>
    <t>estiva feriale lu-ve + no scol lu-ve</t>
  </si>
  <si>
    <t>FE590HG</t>
  </si>
  <si>
    <t>GE213VX</t>
  </si>
  <si>
    <t>eliminato sabato dal 28/01/2023 riga 401</t>
  </si>
  <si>
    <t>Stava - Cavalese</t>
  </si>
  <si>
    <t>eliminato sabato dal 18/02/2023 riga 172</t>
  </si>
  <si>
    <t>eliminato sabato dal 18/02/2023 riga 173</t>
  </si>
  <si>
    <r>
      <t xml:space="preserve">scolastica da lunedì a </t>
    </r>
    <r>
      <rPr>
        <strike/>
        <sz val="10"/>
        <rFont val="Arial"/>
        <family val="2"/>
      </rPr>
      <t>sabato</t>
    </r>
    <r>
      <rPr>
        <sz val="10"/>
        <rFont val="Arial"/>
        <family val="2"/>
      </rPr>
      <t xml:space="preserve"> al venerdì</t>
    </r>
  </si>
  <si>
    <t>soppresso il sabato dal 28/01/23</t>
  </si>
  <si>
    <t>soppresso il sabato dal 18/02/23</t>
  </si>
  <si>
    <t xml:space="preserve">Daone-Bersone
</t>
  </si>
  <si>
    <t>dal 12/09/22 al 17/02/23 prolungamento corsa riga 410</t>
  </si>
  <si>
    <t>BERSONE</t>
  </si>
  <si>
    <t>FT217LV (ditta Dolomiti)</t>
  </si>
  <si>
    <t>dal 20/03/2023 nuova</t>
  </si>
  <si>
    <t>Termon - Mezzolombardo</t>
  </si>
  <si>
    <t>Riva del Garda - Bolognano</t>
  </si>
  <si>
    <t>RIVA DEL G. Autostaz.</t>
  </si>
  <si>
    <t>BOLOGNANO</t>
  </si>
  <si>
    <t>Bolognano - Rovereto</t>
  </si>
  <si>
    <t xml:space="preserve">ROVERETO Via Paoli </t>
  </si>
  <si>
    <t>Rovereto - Bolognano</t>
  </si>
  <si>
    <t>ROVERETO Via Manzoni</t>
  </si>
  <si>
    <t>Bolognano - Riva del Garda</t>
  </si>
  <si>
    <t>eliminata dal 27/03/2023</t>
  </si>
  <si>
    <t>eliminata dal 27/03/2023 riga 138</t>
  </si>
  <si>
    <t>eliminata dal 05/03/2023</t>
  </si>
  <si>
    <t>eliminata dal 05/03/2023 riga 712</t>
  </si>
  <si>
    <t>eliminata dal 05/03/2023 riga 716</t>
  </si>
  <si>
    <t>eliminata dal 05/03/2023 riga 724</t>
  </si>
  <si>
    <t>FE589HG</t>
  </si>
  <si>
    <t>GC524CS</t>
  </si>
  <si>
    <t>FE588HG</t>
  </si>
  <si>
    <t>dal 19/01/2023 al 28/02/2023</t>
  </si>
  <si>
    <t>GK228BZ (Tn Service)</t>
  </si>
  <si>
    <t>dal 27 al 30/03/2023 deviazione x chiusura S.P. 9 riga 575</t>
  </si>
  <si>
    <t>Pergine - Caldonazzo-Luserna prolungamento via Passo Vezzena</t>
  </si>
  <si>
    <t>45.95660640911109, 11.32911774057306</t>
  </si>
  <si>
    <t>Passo Vezzena</t>
  </si>
  <si>
    <t>GC514CS</t>
  </si>
  <si>
    <t>FY986JL</t>
  </si>
  <si>
    <t>Feriale di sabato</t>
  </si>
  <si>
    <t>GK204AA</t>
  </si>
  <si>
    <t>FF736CSB (ditta Taxizeta)</t>
  </si>
  <si>
    <t>P.Arche-Tione deviazione x chiusura Ragoli-Preore</t>
  </si>
  <si>
    <t>Trento-Tione deviazione x chiusura Ragoli-Preore</t>
  </si>
  <si>
    <t>Tione-P.Arche deviazione x chiusura Ragoli-Preore</t>
  </si>
  <si>
    <t>Tione - Ponte Arche (corsa bis) deviazione x chiusura Ragoli-Preore</t>
  </si>
  <si>
    <t xml:space="preserve"> Ponte Arche - Tione ( corsa bis) deviazione x chiusura Ragoli-Preore</t>
  </si>
  <si>
    <t>dal 27/03 al 31/05 deviazione corsa riga 253</t>
  </si>
  <si>
    <t>dal 27/03 al 31/05 deviazione corsa riga 255</t>
  </si>
  <si>
    <t>dal 27/03 al 31/05 deviazione corsa riga 256</t>
  </si>
  <si>
    <t>dal 27/03 al 31/05 deviazione corsa riga 258</t>
  </si>
  <si>
    <t>dal 27/03 al 31/05 deviazione corsa riga 260</t>
  </si>
  <si>
    <t>dal 27/03 al 31/05 deviazione corsa riga 262</t>
  </si>
  <si>
    <t>dal 27/03 al 31/05 deviazione corsa riga 266</t>
  </si>
  <si>
    <t>dal 27/03 al 31/05 deviazione corsa riga 269</t>
  </si>
  <si>
    <t>dal 27/03 al 31/05 deviazione corsa riga 272</t>
  </si>
  <si>
    <t>dal 27/03 al 31/05 deviazione corsa riga 273</t>
  </si>
  <si>
    <t>dal 27/03 al 31/05 deviazione corsa riga 276</t>
  </si>
  <si>
    <t>dal 27/03 al 31/05 deviazione corsa riga 279</t>
  </si>
  <si>
    <t>dal 27/03 al 31/05 deviazione corsa affid. Prot. 4266/SE</t>
  </si>
  <si>
    <t>scolastico dal lun al ven</t>
  </si>
  <si>
    <t>scol lu-ve</t>
  </si>
  <si>
    <t>dal 27/03 al 31/05 deviazione corsa affid. Prot. 1972/SE-4393/SE</t>
  </si>
  <si>
    <r>
      <t xml:space="preserve">Tione - Trento deviazione x chiusura Ragoli-Preore </t>
    </r>
    <r>
      <rPr>
        <b/>
        <sz val="10"/>
        <rFont val="Arial"/>
        <family val="2"/>
      </rPr>
      <t>corsa affid. Prot. 4266/SE</t>
    </r>
  </si>
  <si>
    <r>
      <t xml:space="preserve">Trento - Tione x chiusura Ragoli-Preore </t>
    </r>
    <r>
      <rPr>
        <b/>
        <sz val="10"/>
        <rFont val="Arial"/>
        <family val="2"/>
      </rPr>
      <t>corsa affid. Prot. 1972/SE-4393/SE</t>
    </r>
  </si>
  <si>
    <t>Montesover - Brusago</t>
  </si>
  <si>
    <t>17-18-19/04/23 prolungamento corsa riga 227</t>
  </si>
  <si>
    <t>48/57</t>
  </si>
  <si>
    <t>GL689HS</t>
  </si>
  <si>
    <t>FA989GW (Perini) / GL689HS (Atp)</t>
  </si>
  <si>
    <t>null</t>
  </si>
  <si>
    <t>dal 19/01/2023 al 05/05/2023 deviazione corsa riga 526</t>
  </si>
  <si>
    <t>dal 19/01/2023 al 05/05/2023 deviazione corsa riga 528</t>
  </si>
  <si>
    <t>dal 19/01/2023 al 05/05/2023 deviazione corsa riga 529</t>
  </si>
  <si>
    <t>dal 19/01/2023 al 05/05/2023 deviazione corsa riga 531</t>
  </si>
  <si>
    <t>dal 19/01/2023 al 05/05/2023 deviazione corsa riga 535</t>
  </si>
  <si>
    <t>dal 19/01/2023 al 05/05/2023 deviazione corsa riga 538</t>
  </si>
  <si>
    <t>dal 19/01/2023 al 05/05/2023 deviazione corsa riga 544</t>
  </si>
  <si>
    <t>dal 19/01/2023 al 05/05/2023 deviazione corsa riga 546</t>
  </si>
  <si>
    <t>dal 19/01/2023 al 05/05/2023 deviazione corsa riga 548</t>
  </si>
  <si>
    <t>soppressa dal 19/01/2023 al 05/05/2023 x ch.strd</t>
  </si>
  <si>
    <t>dal 20/01/2023 al 05/05/2023 x chiusura strada</t>
  </si>
  <si>
    <t>dal 19/01/2023 al 05/05/2023 x chiusura strada</t>
  </si>
  <si>
    <t>corsa soppressa il 11/09/2022</t>
  </si>
  <si>
    <t>estiva giornaliera</t>
  </si>
  <si>
    <t>sost. riga 21 22</t>
  </si>
  <si>
    <t>sost. riga 23 24</t>
  </si>
  <si>
    <t>sost. riga 41 42</t>
  </si>
  <si>
    <t>sost. riga 43 44</t>
  </si>
  <si>
    <t>capitolato sostituzione dal 24/06/2023</t>
  </si>
  <si>
    <t>corsa soppressa il 11/09/2022 riga 21</t>
  </si>
  <si>
    <t>corsa soppressa il 11/09/2022 riga 22</t>
  </si>
  <si>
    <t>corsa soppressa il 11/09/2022 riga 23</t>
  </si>
  <si>
    <t>corsa soppressa il 11/09/2022 riga 24</t>
  </si>
  <si>
    <t>corsa soppressa il 11/09/2022 riga 41</t>
  </si>
  <si>
    <t>corsa soppressa il 11/09/2022 riga 42</t>
  </si>
  <si>
    <t>corsa soppressa il 11/09/2022 riga 43</t>
  </si>
  <si>
    <t>corsa soppressa il 11/09/2022 riga 44</t>
  </si>
  <si>
    <t>Monte Terlago - Trento(estate partenza da Laghi di Lamar)</t>
  </si>
  <si>
    <t>FZ000KS (Erika Tours)</t>
  </si>
  <si>
    <t>scolastica ve + prefest lu-ve</t>
  </si>
  <si>
    <t>scolastica da martedì a venerdì esclusi postfest</t>
  </si>
  <si>
    <t>scolastica ma, me, gio, ve no postfest</t>
  </si>
  <si>
    <t>Luserna - Caldonazzo via Centa S. Nicolò</t>
  </si>
  <si>
    <t>Pergine - Caldonazzo-Luserna via Centa S. Nicolò</t>
  </si>
  <si>
    <t>Caldonazzo-Luserna via Centa S. Nicolò</t>
  </si>
  <si>
    <t>FJ845YE</t>
  </si>
  <si>
    <t>GA984ER GC658CS (ditta Nice srl)</t>
  </si>
  <si>
    <t>GA984ER FN426MX (ditta Nice srl)</t>
  </si>
  <si>
    <t>EN046NH</t>
  </si>
  <si>
    <t>FN426MX (ditta Nice srl) GL689HS</t>
  </si>
  <si>
    <t>20   57</t>
  </si>
  <si>
    <t>GM061DZ</t>
  </si>
  <si>
    <t>Caldonazzo  FS-Luserna via Centa S. Nicolò</t>
  </si>
  <si>
    <t>Estiva lunedì-sabato</t>
  </si>
  <si>
    <t>GC807JF (Desilvestro)</t>
  </si>
  <si>
    <t>dal 17/11/2022 al 09/12/2022 e dal 27/03/2023 al 31/03/2023</t>
  </si>
  <si>
    <t>dal 23/03/2023 al 09/06/2023</t>
  </si>
  <si>
    <t>dal 24/06/2023 al 10/09/2023</t>
  </si>
  <si>
    <t>170-171-172-173-174-175-176-177-178-179-180-181-182-183-184-185</t>
  </si>
  <si>
    <t>Moena - S. Pellegrino e ritorno: integrazione km rispetto al capitolato di 3 km a tratta per 16 corse tra andate e ritorni</t>
  </si>
  <si>
    <t>FL739HC</t>
  </si>
  <si>
    <t>dal 21/07/2023 al 11/08/2023</t>
  </si>
  <si>
    <t>dal 21/07/2023 al 11/08/2024</t>
  </si>
  <si>
    <t>dal 21/07/2023 al 11/08/2025</t>
  </si>
  <si>
    <t>dal 21/07/2023 al 11/08/2026</t>
  </si>
  <si>
    <t>dal 21/07/2023 al 11/08/2027</t>
  </si>
  <si>
    <t>estiva ma-ve</t>
  </si>
  <si>
    <t>dal 08/05 al 31/05/23 deviazione corsa riga 549</t>
  </si>
  <si>
    <t>dal 08/05 al 31/05/23 deviazione corsa riga 560</t>
  </si>
  <si>
    <t>dal 08/05 al 31/05/23 deviazione corsa riga 575</t>
  </si>
  <si>
    <t>dal 08/05 al 31/05/23 deviazione corsa riga 584</t>
  </si>
  <si>
    <t>dal 08/05 al 31/05/23 deviazione corsa riga 571</t>
  </si>
  <si>
    <t>dal 08/05 al 31/05/23 e il 15/06/23 deviazione corsa riga 576</t>
  </si>
  <si>
    <t>temp. soppressa dal 20/01 al 05/05/23 x ch.strd riga 521</t>
  </si>
  <si>
    <t>temp. soppressa dal 20/01 al 05/05/23 x ch.strd riga 522</t>
  </si>
  <si>
    <t>temp. soppressa dal 20/01 al 05/05/23 x ch.strd riga 539</t>
  </si>
  <si>
    <t>temp. soppressa dal 20/01 al 05/05/23 x ch.strd riga 540</t>
  </si>
  <si>
    <t>temp. soppressa dal 20/01 al 05/05/23 x ch.strd riga 541</t>
  </si>
  <si>
    <t>Estiva lunedì-sabato agosto/settembre</t>
  </si>
  <si>
    <t>402 bis</t>
  </si>
  <si>
    <t>Estiva lunedì-sabato giugno/luglio</t>
  </si>
  <si>
    <t>estiva feriale lu-sa ago/sett</t>
  </si>
  <si>
    <t>estiva feriale lu-sa giu/lug</t>
  </si>
  <si>
    <t>dal 19/06 al 10/09/2023</t>
  </si>
  <si>
    <t>Piano di Vallarsa - Rovereto</t>
  </si>
  <si>
    <t>estiva feriale dal lunedì al venerdì</t>
  </si>
  <si>
    <t xml:space="preserve">  PIANO DI VALLARSA            </t>
  </si>
  <si>
    <t>GK008EV</t>
  </si>
  <si>
    <t>estiva feriale ma e ve</t>
  </si>
  <si>
    <t>COSTO COMPLETO PER PROGRAMMA LINEE</t>
  </si>
  <si>
    <t>frequenza x PROGRAMMA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</si>
</sst>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1" formatCode="_-* #,##0_-;\-* #,##0_-;_-* &quot;-&quot;_-;_-@_-"/>
    <numFmt numFmtId="44" formatCode="_-* #,##0.00\ &quot;€&quot;_-;\-* #,##0.00\ &quot;€&quot;_-;_-* &quot;-&quot;??\ &quot;€&quot;_-;_-@_-"/>
    <numFmt numFmtId="43" formatCode="_-* #,##0.00_-;\-* #,##0.00_-;_-* &quot;-&quot;??_-;_-@_-"/>
    <numFmt numFmtId="164" formatCode="_-* #,##0.00\ _€_-;\-* #,##0.00\ _€_-;_-* &quot;-&quot;??\ _€_-;_-@_-"/>
    <numFmt numFmtId="165" formatCode="_-&quot;€&quot;\ * #,##0.00_-;\-&quot;€&quot;\ * #,##0.00_-;_-&quot;€&quot;\ * &quot;-&quot;??_-;_-@_-"/>
    <numFmt numFmtId="166" formatCode="000"/>
    <numFmt numFmtId="167" formatCode="_-* #,##0_-;\-* #,##0_-;_-* &quot;-&quot;??_-;_-@_-"/>
  </numFmts>
  <fonts count="47">
    <font>
      <sz val="10"/>
      <name val="Tahoma"/>
      <family val="2"/>
    </font>
    <font>
      <sz val="11"/>
      <color theme="1"/>
      <name val="Calibri"/>
      <family val="2"/>
      <scheme val="minor"/>
    </font>
    <font>
      <sz val="11"/>
      <color theme="1"/>
      <name val="Calibri"/>
      <family val="2"/>
      <scheme val="minor"/>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0"/>
      <name val="Arial"/>
      <family val="2"/>
    </font>
    <font>
      <sz val="8"/>
      <name val="Arial"/>
      <family val="2"/>
    </font>
    <font>
      <sz val="10"/>
      <name val="Tahoma"/>
      <family val="2"/>
    </font>
    <font>
      <b/>
      <sz val="8"/>
      <color indexed="81"/>
      <name val="Tahoma"/>
      <family val="2"/>
    </font>
    <font>
      <sz val="8"/>
      <color indexed="81"/>
      <name val="Tahoma"/>
      <family val="2"/>
    </font>
    <font>
      <b/>
      <sz val="9"/>
      <color indexed="81"/>
      <name val="Tahoma"/>
      <family val="2"/>
    </font>
    <font>
      <sz val="9"/>
      <color indexed="81"/>
      <name val="Tahoma"/>
      <family val="2"/>
    </font>
    <font>
      <b/>
      <sz val="10"/>
      <name val="Arial"/>
      <family val="2"/>
    </font>
    <font>
      <sz val="10"/>
      <name val="Arial"/>
      <family val="2"/>
    </font>
    <font>
      <sz val="10"/>
      <name val="Arial"/>
      <family val="2"/>
    </font>
    <font>
      <i/>
      <sz val="10"/>
      <name val="Arial"/>
      <family val="2"/>
    </font>
    <font>
      <sz val="8"/>
      <name val="Tahoma"/>
      <family val="2"/>
    </font>
    <font>
      <b/>
      <sz val="8"/>
      <name val="Arial"/>
      <family val="2"/>
    </font>
    <font>
      <b/>
      <sz val="9"/>
      <name val="Arial"/>
      <family val="2"/>
    </font>
    <font>
      <strike/>
      <sz val="8"/>
      <name val="Arial"/>
      <family val="2"/>
    </font>
    <font>
      <strike/>
      <sz val="10"/>
      <name val="Arial"/>
      <family val="2"/>
    </font>
    <font>
      <sz val="11"/>
      <color theme="1"/>
      <name val="Calibri"/>
      <family val="2"/>
      <scheme val="minor"/>
    </font>
    <font>
      <b/>
      <sz val="10"/>
      <color rgb="FF000000"/>
      <name val="Liberation Sans"/>
    </font>
    <font>
      <sz val="10"/>
      <color rgb="FFFFFFFF"/>
      <name val="Liberation Sans"/>
    </font>
    <font>
      <sz val="10"/>
      <color rgb="FFCC0000"/>
      <name val="Liberation Sans"/>
    </font>
    <font>
      <b/>
      <sz val="10"/>
      <color rgb="FFFFFFFF"/>
      <name val="Liberation Sans"/>
    </font>
    <font>
      <i/>
      <sz val="10"/>
      <color rgb="FF808080"/>
      <name val="Liberation Sans"/>
    </font>
    <font>
      <sz val="10"/>
      <color rgb="FF006600"/>
      <name val="Liberation Sans"/>
    </font>
    <font>
      <b/>
      <sz val="24"/>
      <color rgb="FF000000"/>
      <name val="Liberation Sans"/>
    </font>
    <font>
      <sz val="18"/>
      <color rgb="FF000000"/>
      <name val="Liberation Sans"/>
    </font>
    <font>
      <sz val="12"/>
      <color rgb="FF000000"/>
      <name val="Liberation Sans"/>
    </font>
    <font>
      <sz val="10"/>
      <color rgb="FF996600"/>
      <name val="Liberation Sans"/>
    </font>
    <font>
      <sz val="11"/>
      <color theme="1"/>
      <name val="Liberation Sans"/>
    </font>
    <font>
      <sz val="10"/>
      <color rgb="FF333333"/>
      <name val="Liberation Sans"/>
    </font>
    <font>
      <sz val="8"/>
      <color rgb="FF0070C0"/>
      <name val="Arial"/>
      <family val="2"/>
    </font>
    <font>
      <sz val="10"/>
      <color rgb="FF0070C0"/>
      <name val="Tahoma"/>
      <family val="2"/>
    </font>
    <font>
      <strike/>
      <sz val="8"/>
      <color rgb="FFFF0000"/>
      <name val="Arial"/>
      <family val="2"/>
    </font>
    <font>
      <b/>
      <sz val="8"/>
      <color rgb="FF0070C0"/>
      <name val="Arial"/>
      <family val="2"/>
    </font>
    <font>
      <sz val="9"/>
      <color indexed="81"/>
      <name val="Tahoma"/>
      <charset val="1"/>
    </font>
    <font>
      <b/>
      <sz val="9"/>
      <color indexed="81"/>
      <name val="Tahoma"/>
      <charset val="1"/>
    </font>
  </fonts>
  <fills count="13">
    <fill>
      <patternFill patternType="none"/>
    </fill>
    <fill>
      <patternFill patternType="gray125"/>
    </fill>
    <fill>
      <patternFill patternType="solid">
        <fgColor indexed="52"/>
        <bgColor indexed="64"/>
      </patternFill>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FFFF00"/>
        <bgColor indexed="64"/>
      </patternFill>
    </fill>
    <fill>
      <patternFill patternType="solid">
        <fgColor theme="0" tint="-4.9989318521683403E-2"/>
        <bgColor indexed="64"/>
      </patternFill>
    </fill>
    <fill>
      <patternFill patternType="solid">
        <fgColor theme="0"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808080"/>
      </left>
      <right style="thin">
        <color rgb="FF808080"/>
      </right>
      <top style="thin">
        <color rgb="FF808080"/>
      </top>
      <bottom style="thin">
        <color rgb="FF808080"/>
      </bottom>
      <diagonal/>
    </border>
  </borders>
  <cellStyleXfs count="60">
    <xf numFmtId="0" fontId="0" fillId="0" borderId="0"/>
    <xf numFmtId="0" fontId="29" fillId="0" borderId="0"/>
    <xf numFmtId="0" fontId="30" fillId="3" borderId="0"/>
    <xf numFmtId="0" fontId="30" fillId="4" borderId="0"/>
    <xf numFmtId="0" fontId="29" fillId="5" borderId="0"/>
    <xf numFmtId="0" fontId="31" fillId="6" borderId="0"/>
    <xf numFmtId="0" fontId="32" fillId="7" borderId="0"/>
    <xf numFmtId="0" fontId="33" fillId="0" borderId="0"/>
    <xf numFmtId="0" fontId="34" fillId="8" borderId="0"/>
    <xf numFmtId="0" fontId="35" fillId="0" borderId="0"/>
    <xf numFmtId="0" fontId="36" fillId="0" borderId="0"/>
    <xf numFmtId="0" fontId="37" fillId="0" borderId="0"/>
    <xf numFmtId="43" fontId="14" fillId="0" borderId="0" applyFont="0" applyFill="0" applyBorder="0" applyAlignment="0" applyProtection="0"/>
    <xf numFmtId="41" fontId="4" fillId="0" borderId="0" applyFont="0" applyFill="0" applyBorder="0" applyAlignment="0" applyProtection="0"/>
    <xf numFmtId="41" fontId="12" fillId="0" borderId="0" applyFont="0" applyFill="0" applyBorder="0" applyAlignment="0" applyProtection="0"/>
    <xf numFmtId="43" fontId="11"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43" fontId="5" fillId="0" borderId="0" applyFont="0" applyFill="0" applyBorder="0" applyAlignment="0" applyProtection="0"/>
    <xf numFmtId="164" fontId="4" fillId="0" borderId="0" applyFont="0" applyFill="0" applyBorder="0" applyAlignment="0" applyProtection="0"/>
    <xf numFmtId="43" fontId="3" fillId="0" borderId="0" applyFont="0" applyFill="0" applyBorder="0" applyAlignment="0" applyProtection="0"/>
    <xf numFmtId="43" fontId="12" fillId="0" borderId="0" applyFont="0" applyFill="0" applyBorder="0" applyAlignment="0" applyProtection="0"/>
    <xf numFmtId="0" fontId="38" fillId="9" borderId="0"/>
    <xf numFmtId="0" fontId="28" fillId="0" borderId="0"/>
    <xf numFmtId="0" fontId="21" fillId="0" borderId="0"/>
    <xf numFmtId="0" fontId="12" fillId="0" borderId="0"/>
    <xf numFmtId="0" fontId="39" fillId="0" borderId="0"/>
    <xf numFmtId="0" fontId="28" fillId="0" borderId="0"/>
    <xf numFmtId="0" fontId="28" fillId="0" borderId="0"/>
    <xf numFmtId="0" fontId="28" fillId="0" borderId="0"/>
    <xf numFmtId="0" fontId="28" fillId="0" borderId="0"/>
    <xf numFmtId="0" fontId="20" fillId="0" borderId="0"/>
    <xf numFmtId="0" fontId="28" fillId="0" borderId="0"/>
    <xf numFmtId="0" fontId="28" fillId="0" borderId="0"/>
    <xf numFmtId="0" fontId="28" fillId="0" borderId="0"/>
    <xf numFmtId="0" fontId="28" fillId="0" borderId="0"/>
    <xf numFmtId="0" fontId="28" fillId="0" borderId="0"/>
    <xf numFmtId="0" fontId="28" fillId="0" borderId="0"/>
    <xf numFmtId="0" fontId="12" fillId="0" borderId="0"/>
    <xf numFmtId="0" fontId="12" fillId="0" borderId="0"/>
    <xf numFmtId="0" fontId="40" fillId="9" borderId="5"/>
    <xf numFmtId="0" fontId="39" fillId="0" borderId="0"/>
    <xf numFmtId="0" fontId="39" fillId="0" borderId="0"/>
    <xf numFmtId="165" fontId="1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31" fillId="0" borderId="0"/>
    <xf numFmtId="0" fontId="2" fillId="0" borderId="0"/>
    <xf numFmtId="164" fontId="2" fillId="0" borderId="0" applyFont="0" applyFill="0" applyBorder="0" applyAlignment="0" applyProtection="0"/>
    <xf numFmtId="164" fontId="2"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165" fontId="1" fillId="0" borderId="0" applyFont="0" applyFill="0" applyBorder="0" applyAlignment="0" applyProtection="0"/>
    <xf numFmtId="165" fontId="12" fillId="0" borderId="0" applyFont="0" applyFill="0" applyBorder="0" applyAlignment="0" applyProtection="0"/>
    <xf numFmtId="43" fontId="1" fillId="0" borderId="0" applyFont="0" applyFill="0" applyBorder="0" applyAlignment="0" applyProtection="0"/>
  </cellStyleXfs>
  <cellXfs count="150">
    <xf numFmtId="0" fontId="0" fillId="0" borderId="0" xfId="0"/>
    <xf numFmtId="0" fontId="13" fillId="0" borderId="0" xfId="43" applyFont="1" applyAlignment="1">
      <alignment vertical="center" wrapText="1"/>
    </xf>
    <xf numFmtId="0" fontId="13" fillId="0" borderId="0" xfId="43" applyFont="1" applyAlignment="1">
      <alignment horizontal="center" vertical="center" wrapText="1"/>
    </xf>
    <xf numFmtId="0" fontId="41" fillId="0" borderId="0" xfId="0" applyFont="1" applyAlignment="1">
      <alignment horizontal="center"/>
    </xf>
    <xf numFmtId="0" fontId="13" fillId="0" borderId="0" xfId="43" applyFont="1" applyAlignment="1">
      <alignment horizontal="center" wrapText="1"/>
    </xf>
    <xf numFmtId="0" fontId="13" fillId="0" borderId="0" xfId="0" applyFont="1" applyAlignment="1">
      <alignment horizontal="center" wrapText="1"/>
    </xf>
    <xf numFmtId="0" fontId="13" fillId="0" borderId="0" xfId="0" applyFont="1" applyAlignment="1">
      <alignment horizontal="center"/>
    </xf>
    <xf numFmtId="0" fontId="41" fillId="0" borderId="0" xfId="0" applyFont="1" applyAlignment="1">
      <alignment horizontal="center" wrapText="1"/>
    </xf>
    <xf numFmtId="0" fontId="41" fillId="0" borderId="0" xfId="43" applyFont="1" applyAlignment="1">
      <alignment horizontal="center" wrapText="1"/>
    </xf>
    <xf numFmtId="0" fontId="41" fillId="10" borderId="0" xfId="0" applyFont="1" applyFill="1" applyAlignment="1">
      <alignment horizontal="center" wrapText="1"/>
    </xf>
    <xf numFmtId="0" fontId="0" fillId="0" borderId="0" xfId="0" applyAlignment="1">
      <alignment horizontal="center"/>
    </xf>
    <xf numFmtId="165" fontId="13" fillId="0" borderId="0" xfId="47" applyFont="1" applyFill="1" applyBorder="1" applyAlignment="1">
      <alignment horizontal="center" wrapText="1"/>
    </xf>
    <xf numFmtId="167" fontId="13" fillId="0" borderId="0" xfId="43" applyNumberFormat="1" applyFont="1" applyAlignment="1">
      <alignment horizontal="center" wrapText="1"/>
    </xf>
    <xf numFmtId="0" fontId="13" fillId="11" borderId="0" xfId="43" applyFont="1" applyFill="1" applyAlignment="1">
      <alignment horizontal="center" wrapText="1"/>
    </xf>
    <xf numFmtId="0" fontId="43" fillId="0" borderId="0" xfId="43" applyFont="1" applyAlignment="1">
      <alignment horizontal="center" wrapText="1"/>
    </xf>
    <xf numFmtId="44" fontId="13" fillId="0" borderId="0" xfId="43" applyNumberFormat="1" applyFont="1" applyAlignment="1">
      <alignment horizontal="center" wrapText="1"/>
    </xf>
    <xf numFmtId="0" fontId="41" fillId="11" borderId="0" xfId="0" applyFont="1" applyFill="1" applyAlignment="1">
      <alignment horizontal="center" wrapText="1"/>
    </xf>
    <xf numFmtId="14" fontId="41" fillId="0" borderId="0" xfId="0" applyNumberFormat="1" applyFont="1" applyAlignment="1">
      <alignment horizontal="center" wrapText="1"/>
    </xf>
    <xf numFmtId="14" fontId="41" fillId="0" borderId="0" xfId="0" applyNumberFormat="1" applyFont="1" applyAlignment="1">
      <alignment horizontal="center"/>
    </xf>
    <xf numFmtId="0" fontId="44" fillId="0" borderId="0" xfId="42" applyFont="1" applyAlignment="1">
      <alignment horizontal="center" vertical="top" wrapText="1"/>
    </xf>
    <xf numFmtId="0" fontId="44" fillId="0" borderId="0" xfId="43" applyFont="1" applyAlignment="1">
      <alignment horizontal="center" vertical="top" wrapText="1"/>
    </xf>
    <xf numFmtId="0" fontId="44" fillId="0" borderId="0" xfId="0" applyFont="1" applyAlignment="1">
      <alignment horizontal="center" vertical="top" wrapText="1"/>
    </xf>
    <xf numFmtId="0" fontId="13" fillId="0" borderId="0" xfId="43" applyFont="1" applyAlignment="1">
      <alignment horizontal="center" vertical="top" wrapText="1"/>
    </xf>
    <xf numFmtId="0" fontId="13" fillId="0" borderId="0" xfId="0" applyFont="1" applyAlignment="1">
      <alignment horizontal="center" vertical="center" wrapText="1"/>
    </xf>
    <xf numFmtId="0" fontId="13" fillId="0" borderId="0" xfId="0" applyFont="1" applyAlignment="1">
      <alignment horizontal="center" vertical="center"/>
    </xf>
    <xf numFmtId="0" fontId="13" fillId="0" borderId="0" xfId="31" applyFont="1" applyAlignment="1">
      <alignment horizontal="center" vertical="center"/>
    </xf>
    <xf numFmtId="0" fontId="24" fillId="0" borderId="0" xfId="42" applyFont="1" applyAlignment="1">
      <alignment horizontal="center" vertical="center" wrapText="1"/>
    </xf>
    <xf numFmtId="0" fontId="25" fillId="0" borderId="0" xfId="43" applyFont="1" applyAlignment="1">
      <alignment horizontal="center" vertical="center" wrapText="1"/>
    </xf>
    <xf numFmtId="0" fontId="19" fillId="2" borderId="1" xfId="43" applyFont="1" applyFill="1" applyBorder="1" applyAlignment="1">
      <alignment horizontal="center" vertical="center" wrapText="1"/>
    </xf>
    <xf numFmtId="2" fontId="19" fillId="2" borderId="1" xfId="43" applyNumberFormat="1" applyFont="1" applyFill="1" applyBorder="1" applyAlignment="1">
      <alignment horizontal="center" vertical="center" wrapText="1"/>
    </xf>
    <xf numFmtId="166" fontId="12" fillId="0" borderId="1" xfId="42" applyNumberFormat="1" applyBorder="1" applyAlignment="1">
      <alignment horizontal="center" vertical="center"/>
    </xf>
    <xf numFmtId="0" fontId="12" fillId="0" borderId="1" xfId="43" applyBorder="1" applyAlignment="1">
      <alignment horizontal="center" vertical="center" wrapText="1"/>
    </xf>
    <xf numFmtId="20" fontId="12" fillId="0" borderId="1" xfId="43" applyNumberFormat="1" applyBorder="1" applyAlignment="1">
      <alignment horizontal="center" vertical="center" wrapText="1"/>
    </xf>
    <xf numFmtId="2" fontId="12" fillId="0" borderId="1" xfId="43" applyNumberFormat="1" applyBorder="1" applyAlignment="1">
      <alignment horizontal="center" vertical="center" wrapText="1"/>
    </xf>
    <xf numFmtId="1" fontId="12" fillId="0" borderId="1" xfId="43" applyNumberFormat="1" applyBorder="1" applyAlignment="1">
      <alignment horizontal="center" vertical="center" wrapText="1"/>
    </xf>
    <xf numFmtId="167" fontId="12" fillId="0" borderId="1" xfId="12" applyNumberFormat="1" applyFont="1" applyFill="1" applyBorder="1" applyAlignment="1">
      <alignment horizontal="center" vertical="center" wrapText="1"/>
    </xf>
    <xf numFmtId="43" fontId="12" fillId="0" borderId="1" xfId="12" applyFont="1" applyFill="1" applyBorder="1" applyAlignment="1">
      <alignment horizontal="center" vertical="center" wrapText="1"/>
    </xf>
    <xf numFmtId="0" fontId="13" fillId="0" borderId="1" xfId="0" applyFont="1" applyBorder="1" applyAlignment="1">
      <alignment horizontal="center" vertical="center" wrapText="1"/>
    </xf>
    <xf numFmtId="0" fontId="12" fillId="0" borderId="1" xfId="42" applyBorder="1" applyAlignment="1">
      <alignment horizontal="center" vertical="center"/>
    </xf>
    <xf numFmtId="20" fontId="12" fillId="0" borderId="1" xfId="42" applyNumberFormat="1" applyBorder="1" applyAlignment="1">
      <alignment horizontal="center" vertical="center"/>
    </xf>
    <xf numFmtId="0" fontId="12" fillId="0" borderId="1" xfId="42" applyBorder="1" applyAlignment="1">
      <alignment horizontal="center" vertical="center" wrapText="1"/>
    </xf>
    <xf numFmtId="1" fontId="12" fillId="0" borderId="1" xfId="42" applyNumberFormat="1" applyBorder="1" applyAlignment="1">
      <alignment horizontal="center" vertical="center"/>
    </xf>
    <xf numFmtId="20" fontId="12" fillId="11" borderId="1" xfId="43" applyNumberFormat="1" applyFill="1" applyBorder="1" applyAlignment="1">
      <alignment horizontal="center" vertical="center" wrapText="1"/>
    </xf>
    <xf numFmtId="0" fontId="12" fillId="11" borderId="1" xfId="43" applyFill="1" applyBorder="1" applyAlignment="1">
      <alignment horizontal="center" vertical="center" wrapText="1"/>
    </xf>
    <xf numFmtId="20" fontId="12" fillId="11" borderId="1" xfId="42" applyNumberFormat="1" applyFill="1" applyBorder="1" applyAlignment="1">
      <alignment horizontal="center" vertical="center"/>
    </xf>
    <xf numFmtId="0" fontId="23" fillId="0" borderId="0" xfId="0" applyFont="1" applyAlignment="1">
      <alignment horizontal="center" vertical="center" wrapText="1"/>
    </xf>
    <xf numFmtId="167" fontId="12" fillId="11" borderId="1" xfId="12" applyNumberFormat="1" applyFont="1" applyFill="1" applyBorder="1" applyAlignment="1">
      <alignment horizontal="center" vertical="center" wrapText="1"/>
    </xf>
    <xf numFmtId="0" fontId="24" fillId="0" borderId="0" xfId="43" applyFont="1" applyAlignment="1">
      <alignment horizontal="center" vertical="center" wrapText="1"/>
    </xf>
    <xf numFmtId="0" fontId="25" fillId="11" borderId="0" xfId="43" applyFont="1" applyFill="1" applyAlignment="1">
      <alignment horizontal="center" vertical="center" wrapText="1"/>
    </xf>
    <xf numFmtId="0" fontId="13" fillId="0" borderId="0" xfId="31" applyFont="1" applyAlignment="1">
      <alignment horizontal="center" vertical="center" wrapText="1"/>
    </xf>
    <xf numFmtId="0" fontId="12" fillId="11" borderId="1" xfId="42" applyFill="1" applyBorder="1" applyAlignment="1">
      <alignment horizontal="center" vertical="center" wrapText="1"/>
    </xf>
    <xf numFmtId="0" fontId="13" fillId="0" borderId="1" xfId="0" applyFont="1" applyBorder="1" applyAlignment="1">
      <alignment horizontal="center" vertical="center"/>
    </xf>
    <xf numFmtId="2" fontId="12" fillId="11" borderId="1" xfId="43" applyNumberFormat="1" applyFill="1" applyBorder="1" applyAlignment="1">
      <alignment horizontal="center" vertical="center" wrapText="1"/>
    </xf>
    <xf numFmtId="0" fontId="12" fillId="11" borderId="1" xfId="42" applyFill="1" applyBorder="1" applyAlignment="1">
      <alignment horizontal="center" vertical="center"/>
    </xf>
    <xf numFmtId="1" fontId="12" fillId="11" borderId="1" xfId="43" applyNumberFormat="1" applyFill="1" applyBorder="1" applyAlignment="1">
      <alignment horizontal="center" vertical="center" wrapText="1"/>
    </xf>
    <xf numFmtId="0" fontId="12" fillId="0" borderId="1" xfId="0" applyFont="1" applyBorder="1" applyAlignment="1">
      <alignment horizontal="center" vertical="center"/>
    </xf>
    <xf numFmtId="20" fontId="12" fillId="11" borderId="1" xfId="0" applyNumberFormat="1" applyFont="1" applyFill="1" applyBorder="1" applyAlignment="1">
      <alignment horizontal="center" vertical="center"/>
    </xf>
    <xf numFmtId="0" fontId="12" fillId="0" borderId="1" xfId="0" applyFont="1" applyBorder="1" applyAlignment="1">
      <alignment horizontal="center" vertical="center" wrapText="1"/>
    </xf>
    <xf numFmtId="1" fontId="12" fillId="0" borderId="1" xfId="0" applyNumberFormat="1" applyFont="1" applyBorder="1" applyAlignment="1">
      <alignment horizontal="center" vertical="center"/>
    </xf>
    <xf numFmtId="0" fontId="12" fillId="11" borderId="1" xfId="0" applyFont="1" applyFill="1" applyBorder="1" applyAlignment="1">
      <alignment horizontal="center" vertical="center"/>
    </xf>
    <xf numFmtId="20" fontId="12" fillId="0" borderId="1" xfId="0" applyNumberFormat="1" applyFont="1" applyBorder="1" applyAlignment="1">
      <alignment horizontal="center" vertical="center"/>
    </xf>
    <xf numFmtId="167" fontId="12" fillId="0" borderId="1" xfId="12" applyNumberFormat="1" applyFont="1" applyFill="1" applyBorder="1" applyAlignment="1">
      <alignment horizontal="center" vertical="center"/>
    </xf>
    <xf numFmtId="0" fontId="22" fillId="0" borderId="1" xfId="43" applyFont="1" applyBorder="1" applyAlignment="1">
      <alignment horizontal="center" vertical="center" wrapText="1"/>
    </xf>
    <xf numFmtId="0" fontId="13" fillId="0" borderId="1" xfId="31" applyFont="1" applyBorder="1" applyAlignment="1">
      <alignment horizontal="center" vertical="center" wrapText="1"/>
    </xf>
    <xf numFmtId="167" fontId="12" fillId="11" borderId="1" xfId="12" applyNumberFormat="1" applyFont="1" applyFill="1" applyBorder="1" applyAlignment="1">
      <alignment horizontal="center" vertical="center"/>
    </xf>
    <xf numFmtId="20" fontId="12" fillId="0" borderId="2" xfId="43" applyNumberFormat="1" applyBorder="1" applyAlignment="1">
      <alignment horizontal="center" vertical="center" wrapText="1"/>
    </xf>
    <xf numFmtId="0" fontId="12" fillId="0" borderId="2" xfId="43" applyBorder="1" applyAlignment="1">
      <alignment horizontal="center" vertical="center" wrapText="1"/>
    </xf>
    <xf numFmtId="0" fontId="12" fillId="11" borderId="1" xfId="0" applyFont="1" applyFill="1" applyBorder="1" applyAlignment="1">
      <alignment horizontal="center" vertical="center" wrapText="1"/>
    </xf>
    <xf numFmtId="0" fontId="12" fillId="0" borderId="3" xfId="43" applyBorder="1" applyAlignment="1">
      <alignment horizontal="center" vertical="center" wrapText="1"/>
    </xf>
    <xf numFmtId="20" fontId="12" fillId="0" borderId="1" xfId="0" applyNumberFormat="1" applyFont="1" applyBorder="1" applyAlignment="1">
      <alignment horizontal="center" vertical="center" wrapText="1"/>
    </xf>
    <xf numFmtId="0" fontId="26" fillId="0" borderId="0" xfId="0" applyFont="1" applyAlignment="1">
      <alignment horizontal="center" vertical="center" wrapText="1"/>
    </xf>
    <xf numFmtId="20" fontId="12" fillId="11" borderId="1" xfId="42" applyNumberFormat="1" applyFill="1" applyBorder="1" applyAlignment="1">
      <alignment horizontal="center" vertical="center" wrapText="1"/>
    </xf>
    <xf numFmtId="49" fontId="13" fillId="0" borderId="0" xfId="0" applyNumberFormat="1" applyFont="1" applyAlignment="1">
      <alignment horizontal="center" vertical="center" wrapText="1"/>
    </xf>
    <xf numFmtId="0" fontId="14" fillId="0" borderId="0" xfId="0" applyFont="1" applyAlignment="1">
      <alignment horizontal="center" vertical="center" wrapText="1"/>
    </xf>
    <xf numFmtId="167" fontId="12" fillId="0" borderId="1" xfId="0" applyNumberFormat="1" applyFont="1" applyBorder="1" applyAlignment="1">
      <alignment horizontal="center" vertical="center"/>
    </xf>
    <xf numFmtId="2" fontId="13" fillId="0" borderId="0" xfId="43" applyNumberFormat="1" applyFont="1" applyAlignment="1">
      <alignment horizontal="center" vertical="center" wrapText="1"/>
    </xf>
    <xf numFmtId="1" fontId="13" fillId="0" borderId="0" xfId="43" applyNumberFormat="1" applyFont="1" applyAlignment="1">
      <alignment horizontal="center" vertical="center" wrapText="1"/>
    </xf>
    <xf numFmtId="2" fontId="13" fillId="0" borderId="0" xfId="12" applyNumberFormat="1" applyFont="1" applyFill="1" applyBorder="1" applyAlignment="1">
      <alignment horizontal="center" vertical="center" wrapText="1"/>
    </xf>
    <xf numFmtId="167" fontId="13" fillId="0" borderId="0" xfId="12" applyNumberFormat="1" applyFont="1" applyBorder="1" applyAlignment="1">
      <alignment horizontal="center" vertical="center" wrapText="1"/>
    </xf>
    <xf numFmtId="0" fontId="13" fillId="11" borderId="0" xfId="0" applyFont="1" applyFill="1" applyAlignment="1">
      <alignment horizontal="center" vertical="center" wrapText="1"/>
    </xf>
    <xf numFmtId="20" fontId="12" fillId="0" borderId="1" xfId="43" applyNumberFormat="1" applyBorder="1" applyAlignment="1">
      <alignment horizontal="center" wrapText="1"/>
    </xf>
    <xf numFmtId="0" fontId="12" fillId="11" borderId="1" xfId="43" applyFill="1" applyBorder="1" applyAlignment="1">
      <alignment horizontal="center" wrapText="1"/>
    </xf>
    <xf numFmtId="20" fontId="12" fillId="11" borderId="1" xfId="43" applyNumberFormat="1" applyFill="1" applyBorder="1" applyAlignment="1">
      <alignment horizontal="center" wrapText="1"/>
    </xf>
    <xf numFmtId="0" fontId="13" fillId="12" borderId="0" xfId="43" applyFont="1" applyFill="1" applyAlignment="1">
      <alignment horizontal="center" vertical="center" wrapText="1"/>
    </xf>
    <xf numFmtId="0" fontId="25" fillId="12" borderId="0" xfId="43" applyFont="1" applyFill="1" applyAlignment="1">
      <alignment horizontal="center" vertical="center" wrapText="1"/>
    </xf>
    <xf numFmtId="0" fontId="12" fillId="12" borderId="1" xfId="43" applyFill="1" applyBorder="1" applyAlignment="1">
      <alignment horizontal="center" vertical="center" wrapText="1"/>
    </xf>
    <xf numFmtId="20" fontId="12" fillId="12" borderId="1" xfId="43" applyNumberFormat="1" applyFill="1" applyBorder="1" applyAlignment="1">
      <alignment horizontal="center" vertical="center" wrapText="1"/>
    </xf>
    <xf numFmtId="2" fontId="12" fillId="12" borderId="1" xfId="43" applyNumberFormat="1" applyFill="1" applyBorder="1" applyAlignment="1">
      <alignment horizontal="center" vertical="center" wrapText="1"/>
    </xf>
    <xf numFmtId="1" fontId="12" fillId="12" borderId="1" xfId="43" applyNumberFormat="1" applyFill="1" applyBorder="1" applyAlignment="1">
      <alignment horizontal="center" vertical="center" wrapText="1"/>
    </xf>
    <xf numFmtId="167" fontId="12" fillId="12" borderId="1" xfId="12" applyNumberFormat="1" applyFont="1" applyFill="1" applyBorder="1" applyAlignment="1">
      <alignment horizontal="center" vertical="center"/>
    </xf>
    <xf numFmtId="43" fontId="12" fillId="12" borderId="1" xfId="12" applyFont="1" applyFill="1" applyBorder="1" applyAlignment="1">
      <alignment horizontal="center" vertical="center" wrapText="1"/>
    </xf>
    <xf numFmtId="0" fontId="13" fillId="12" borderId="1" xfId="0" applyFont="1" applyFill="1" applyBorder="1" applyAlignment="1">
      <alignment horizontal="center" vertical="center" wrapText="1"/>
    </xf>
    <xf numFmtId="0" fontId="13" fillId="12" borderId="0" xfId="0" applyFont="1" applyFill="1" applyAlignment="1">
      <alignment horizontal="center" wrapText="1"/>
    </xf>
    <xf numFmtId="0" fontId="13" fillId="12" borderId="0" xfId="43" applyFont="1" applyFill="1" applyAlignment="1">
      <alignment horizontal="center" wrapText="1"/>
    </xf>
    <xf numFmtId="167" fontId="12" fillId="12" borderId="1" xfId="12" applyNumberFormat="1" applyFont="1" applyFill="1" applyBorder="1" applyAlignment="1">
      <alignment horizontal="center" vertical="center" wrapText="1"/>
    </xf>
    <xf numFmtId="0" fontId="41" fillId="12" borderId="0" xfId="0" applyFont="1" applyFill="1" applyAlignment="1">
      <alignment horizontal="center" wrapText="1"/>
    </xf>
    <xf numFmtId="0" fontId="12" fillId="12" borderId="1" xfId="42" applyFill="1" applyBorder="1" applyAlignment="1">
      <alignment horizontal="center" vertical="center"/>
    </xf>
    <xf numFmtId="20" fontId="12" fillId="12" borderId="1" xfId="42" applyNumberFormat="1" applyFill="1" applyBorder="1" applyAlignment="1">
      <alignment horizontal="center" vertical="center"/>
    </xf>
    <xf numFmtId="0" fontId="12" fillId="12" borderId="1" xfId="42" applyFill="1" applyBorder="1" applyAlignment="1">
      <alignment horizontal="center" vertical="center" wrapText="1"/>
    </xf>
    <xf numFmtId="1" fontId="12" fillId="12" borderId="1" xfId="42" applyNumberFormat="1" applyFill="1" applyBorder="1" applyAlignment="1">
      <alignment horizontal="center" vertical="center"/>
    </xf>
    <xf numFmtId="0" fontId="12" fillId="12" borderId="1" xfId="0" applyFont="1" applyFill="1" applyBorder="1" applyAlignment="1">
      <alignment horizontal="center" vertical="center"/>
    </xf>
    <xf numFmtId="20" fontId="12" fillId="12" borderId="1" xfId="0" applyNumberFormat="1" applyFont="1" applyFill="1" applyBorder="1" applyAlignment="1">
      <alignment horizontal="center" vertical="center"/>
    </xf>
    <xf numFmtId="0" fontId="12" fillId="12" borderId="1" xfId="0" applyFont="1" applyFill="1" applyBorder="1" applyAlignment="1">
      <alignment horizontal="center" vertical="center" wrapText="1"/>
    </xf>
    <xf numFmtId="1" fontId="12" fillId="12" borderId="1" xfId="0" applyNumberFormat="1" applyFont="1" applyFill="1" applyBorder="1" applyAlignment="1">
      <alignment horizontal="center" vertical="center"/>
    </xf>
    <xf numFmtId="0" fontId="13" fillId="12" borderId="0" xfId="0" applyFont="1" applyFill="1" applyAlignment="1">
      <alignment horizontal="center" vertical="center" wrapText="1"/>
    </xf>
    <xf numFmtId="14" fontId="41" fillId="12" borderId="0" xfId="0" applyNumberFormat="1" applyFont="1" applyFill="1" applyAlignment="1">
      <alignment horizontal="center" wrapText="1"/>
    </xf>
    <xf numFmtId="0" fontId="41" fillId="12" borderId="0" xfId="43" applyFont="1" applyFill="1" applyAlignment="1">
      <alignment horizontal="center" wrapText="1"/>
    </xf>
    <xf numFmtId="14" fontId="41" fillId="12" borderId="0" xfId="0" applyNumberFormat="1" applyFont="1" applyFill="1" applyAlignment="1">
      <alignment horizontal="center"/>
    </xf>
    <xf numFmtId="0" fontId="13" fillId="12" borderId="0" xfId="0" applyFont="1" applyFill="1" applyAlignment="1">
      <alignment horizontal="center" vertical="center"/>
    </xf>
    <xf numFmtId="20" fontId="12" fillId="11" borderId="4" xfId="0" applyNumberFormat="1" applyFont="1" applyFill="1" applyBorder="1" applyAlignment="1">
      <alignment horizontal="center" vertical="center" wrapText="1"/>
    </xf>
    <xf numFmtId="0" fontId="12" fillId="11" borderId="4" xfId="0" applyFont="1" applyFill="1" applyBorder="1" applyAlignment="1">
      <alignment horizontal="center" vertical="center" wrapText="1"/>
    </xf>
    <xf numFmtId="0" fontId="13" fillId="11" borderId="0" xfId="0" applyFont="1" applyFill="1" applyAlignment="1">
      <alignment horizontal="center" vertical="center"/>
    </xf>
    <xf numFmtId="0" fontId="13" fillId="11" borderId="0" xfId="43" applyFont="1" applyFill="1" applyAlignment="1">
      <alignment horizontal="center" vertical="center" wrapText="1"/>
    </xf>
    <xf numFmtId="0" fontId="13" fillId="12" borderId="1" xfId="43" applyFont="1" applyFill="1" applyBorder="1" applyAlignment="1">
      <alignment horizontal="center" vertical="center" wrapText="1"/>
    </xf>
    <xf numFmtId="14" fontId="13" fillId="0" borderId="0" xfId="0" applyNumberFormat="1" applyFont="1" applyAlignment="1">
      <alignment horizontal="center"/>
    </xf>
    <xf numFmtId="49" fontId="41" fillId="12" borderId="0" xfId="0" applyNumberFormat="1" applyFont="1" applyFill="1" applyAlignment="1">
      <alignment horizontal="center" wrapText="1"/>
    </xf>
    <xf numFmtId="14" fontId="41" fillId="10" borderId="0" xfId="0" applyNumberFormat="1" applyFont="1" applyFill="1" applyAlignment="1">
      <alignment horizontal="center" wrapText="1"/>
    </xf>
    <xf numFmtId="0" fontId="13" fillId="12" borderId="0" xfId="0" applyFont="1" applyFill="1" applyAlignment="1">
      <alignment horizontal="center"/>
    </xf>
    <xf numFmtId="0" fontId="12" fillId="10" borderId="1" xfId="43" applyFill="1" applyBorder="1" applyAlignment="1">
      <alignment horizontal="center" vertical="center" wrapText="1"/>
    </xf>
    <xf numFmtId="0" fontId="13" fillId="10" borderId="0" xfId="43" applyFont="1" applyFill="1" applyAlignment="1">
      <alignment horizontal="center" wrapText="1"/>
    </xf>
    <xf numFmtId="0" fontId="13" fillId="10" borderId="1" xfId="0" applyFont="1" applyFill="1" applyBorder="1" applyAlignment="1">
      <alignment horizontal="center" vertical="center" wrapText="1"/>
    </xf>
    <xf numFmtId="0" fontId="13" fillId="11" borderId="1" xfId="0" applyFont="1" applyFill="1" applyBorder="1" applyAlignment="1">
      <alignment horizontal="center" vertical="center" wrapText="1"/>
    </xf>
    <xf numFmtId="14" fontId="41" fillId="10" borderId="0" xfId="0" applyNumberFormat="1" applyFont="1" applyFill="1" applyAlignment="1">
      <alignment horizontal="center"/>
    </xf>
    <xf numFmtId="20" fontId="12" fillId="10" borderId="1" xfId="43" applyNumberFormat="1" applyFill="1" applyBorder="1" applyAlignment="1">
      <alignment horizontal="center" vertical="center" wrapText="1"/>
    </xf>
    <xf numFmtId="1" fontId="12" fillId="10" borderId="1" xfId="43" applyNumberFormat="1" applyFill="1" applyBorder="1" applyAlignment="1">
      <alignment horizontal="center" vertical="center" wrapText="1"/>
    </xf>
    <xf numFmtId="0" fontId="13" fillId="10" borderId="0" xfId="43" applyFont="1" applyFill="1" applyAlignment="1">
      <alignment horizontal="center" vertical="center" wrapText="1"/>
    </xf>
    <xf numFmtId="0" fontId="25" fillId="10" borderId="0" xfId="43" applyFont="1" applyFill="1" applyAlignment="1">
      <alignment horizontal="center" vertical="center" wrapText="1"/>
    </xf>
    <xf numFmtId="2" fontId="12" fillId="10" borderId="1" xfId="43" applyNumberFormat="1" applyFill="1" applyBorder="1" applyAlignment="1">
      <alignment horizontal="center" vertical="center" wrapText="1"/>
    </xf>
    <xf numFmtId="167" fontId="12" fillId="10" borderId="1" xfId="12" applyNumberFormat="1" applyFont="1" applyFill="1" applyBorder="1" applyAlignment="1">
      <alignment horizontal="center" vertical="center" wrapText="1"/>
    </xf>
    <xf numFmtId="43" fontId="12" fillId="10" borderId="1" xfId="12" applyFont="1" applyFill="1" applyBorder="1" applyAlignment="1">
      <alignment horizontal="center" vertical="center" wrapText="1"/>
    </xf>
    <xf numFmtId="0" fontId="13" fillId="11" borderId="0" xfId="31" applyFont="1" applyFill="1" applyAlignment="1">
      <alignment horizontal="center" vertical="center"/>
    </xf>
    <xf numFmtId="20" fontId="12" fillId="10" borderId="1" xfId="0" applyNumberFormat="1" applyFont="1" applyFill="1" applyBorder="1" applyAlignment="1">
      <alignment horizontal="center" vertical="center"/>
    </xf>
    <xf numFmtId="166" fontId="12" fillId="12" borderId="1" xfId="42" applyNumberFormat="1" applyFill="1" applyBorder="1" applyAlignment="1">
      <alignment horizontal="center" vertical="center"/>
    </xf>
    <xf numFmtId="0" fontId="12" fillId="10" borderId="1" xfId="42" applyFill="1" applyBorder="1" applyAlignment="1">
      <alignment horizontal="center" vertical="center"/>
    </xf>
    <xf numFmtId="20" fontId="12" fillId="10" borderId="1" xfId="42" applyNumberFormat="1" applyFill="1" applyBorder="1" applyAlignment="1">
      <alignment horizontal="center" vertical="center"/>
    </xf>
    <xf numFmtId="0" fontId="13" fillId="10" borderId="1" xfId="43" applyFont="1" applyFill="1" applyBorder="1" applyAlignment="1">
      <alignment horizontal="center" vertical="center" wrapText="1"/>
    </xf>
    <xf numFmtId="0" fontId="13" fillId="10" borderId="0" xfId="0" applyFont="1" applyFill="1" applyAlignment="1">
      <alignment horizontal="center" vertical="center" wrapText="1"/>
    </xf>
    <xf numFmtId="0" fontId="13" fillId="12" borderId="1" xfId="0" applyFont="1" applyFill="1" applyBorder="1" applyAlignment="1">
      <alignment horizontal="center" vertical="center"/>
    </xf>
    <xf numFmtId="0" fontId="22" fillId="10" borderId="1" xfId="43" applyFont="1" applyFill="1" applyBorder="1" applyAlignment="1">
      <alignment horizontal="center" vertical="center" wrapText="1"/>
    </xf>
    <xf numFmtId="0" fontId="13" fillId="10" borderId="1" xfId="31" applyFont="1" applyFill="1" applyBorder="1" applyAlignment="1">
      <alignment horizontal="center" vertical="center" wrapText="1"/>
    </xf>
    <xf numFmtId="14" fontId="44" fillId="12" borderId="0" xfId="0" applyNumberFormat="1" applyFont="1" applyFill="1" applyAlignment="1">
      <alignment horizontal="center"/>
    </xf>
    <xf numFmtId="165" fontId="13" fillId="0" borderId="0" xfId="47" applyFont="1" applyAlignment="1">
      <alignment horizontal="center" vertical="top" wrapText="1"/>
    </xf>
    <xf numFmtId="165" fontId="13" fillId="0" borderId="0" xfId="47" applyFont="1" applyAlignment="1">
      <alignment horizontal="center" wrapText="1"/>
    </xf>
    <xf numFmtId="165" fontId="43" fillId="0" borderId="0" xfId="47" applyFont="1" applyAlignment="1">
      <alignment horizontal="center" wrapText="1"/>
    </xf>
    <xf numFmtId="165" fontId="0" fillId="0" borderId="0" xfId="47" applyFont="1" applyAlignment="1">
      <alignment horizontal="center"/>
    </xf>
    <xf numFmtId="0" fontId="42" fillId="0" borderId="0" xfId="0" applyFont="1" applyAlignment="1">
      <alignment horizontal="center" wrapText="1"/>
    </xf>
    <xf numFmtId="0" fontId="44" fillId="10" borderId="0" xfId="42" applyFont="1" applyFill="1" applyAlignment="1">
      <alignment horizontal="center" vertical="top" wrapText="1"/>
    </xf>
    <xf numFmtId="165" fontId="13" fillId="0" borderId="0" xfId="47" applyFont="1" applyFill="1" applyAlignment="1">
      <alignment horizontal="center" wrapText="1"/>
    </xf>
    <xf numFmtId="49" fontId="44" fillId="0" borderId="0" xfId="0" applyNumberFormat="1" applyFont="1" applyAlignment="1">
      <alignment horizontal="center" wrapText="1"/>
    </xf>
    <xf numFmtId="14" fontId="44" fillId="0" borderId="0" xfId="0" applyNumberFormat="1" applyFont="1" applyAlignment="1">
      <alignment horizontal="center" wrapText="1"/>
    </xf>
  </cellXfs>
  <cellStyles count="60">
    <cellStyle name="Accent" xfId="1" xr:uid="{00000000-0005-0000-0000-000000000000}"/>
    <cellStyle name="Accent 1" xfId="2" xr:uid="{00000000-0005-0000-0000-000001000000}"/>
    <cellStyle name="Accent 2" xfId="3" xr:uid="{00000000-0005-0000-0000-000002000000}"/>
    <cellStyle name="Accent 3" xfId="4" xr:uid="{00000000-0005-0000-0000-000003000000}"/>
    <cellStyle name="Bad" xfId="5" xr:uid="{00000000-0005-0000-0000-000004000000}"/>
    <cellStyle name="Error" xfId="6" xr:uid="{00000000-0005-0000-0000-000005000000}"/>
    <cellStyle name="Euro" xfId="58" xr:uid="{535956BA-6266-4ADF-8F2C-6517155A5D3C}"/>
    <cellStyle name="Footnote" xfId="7" xr:uid="{00000000-0005-0000-0000-000006000000}"/>
    <cellStyle name="Good" xfId="8" xr:uid="{00000000-0005-0000-0000-000007000000}"/>
    <cellStyle name="Heading (user)" xfId="9" xr:uid="{00000000-0005-0000-0000-000008000000}"/>
    <cellStyle name="Heading 1" xfId="10" xr:uid="{00000000-0005-0000-0000-000009000000}"/>
    <cellStyle name="Heading 2" xfId="11" xr:uid="{00000000-0005-0000-0000-00000A000000}"/>
    <cellStyle name="Migliaia" xfId="12" builtinId="3"/>
    <cellStyle name="Migliaia [0] 2" xfId="13" xr:uid="{00000000-0005-0000-0000-00000C000000}"/>
    <cellStyle name="Migliaia [0] 3" xfId="14" xr:uid="{00000000-0005-0000-0000-00000D000000}"/>
    <cellStyle name="Migliaia 10" xfId="52" xr:uid="{00000000-0005-0000-0000-00000E000000}"/>
    <cellStyle name="Migliaia 11" xfId="53" xr:uid="{00000000-0005-0000-0000-00000F000000}"/>
    <cellStyle name="Migliaia 12" xfId="56" xr:uid="{767EF085-7017-4B76-A0D0-048E0FB656D7}"/>
    <cellStyle name="Migliaia 13" xfId="59" xr:uid="{D1178855-E635-4850-ADCC-048F7010010F}"/>
    <cellStyle name="Migliaia 2" xfId="15" xr:uid="{00000000-0005-0000-0000-000010000000}"/>
    <cellStyle name="Migliaia 2 2" xfId="16" xr:uid="{00000000-0005-0000-0000-000011000000}"/>
    <cellStyle name="Migliaia 2 2 2" xfId="17" xr:uid="{00000000-0005-0000-0000-000012000000}"/>
    <cellStyle name="Migliaia 2 2 2 2" xfId="18" xr:uid="{00000000-0005-0000-0000-000013000000}"/>
    <cellStyle name="Migliaia 3" xfId="19" xr:uid="{00000000-0005-0000-0000-000014000000}"/>
    <cellStyle name="Migliaia 4" xfId="20" xr:uid="{00000000-0005-0000-0000-000015000000}"/>
    <cellStyle name="Migliaia 5" xfId="21" xr:uid="{00000000-0005-0000-0000-000016000000}"/>
    <cellStyle name="Migliaia 6" xfId="22" xr:uid="{00000000-0005-0000-0000-000017000000}"/>
    <cellStyle name="Migliaia 7" xfId="23" xr:uid="{00000000-0005-0000-0000-000018000000}"/>
    <cellStyle name="Migliaia 8" xfId="24" xr:uid="{00000000-0005-0000-0000-000019000000}"/>
    <cellStyle name="Migliaia 9" xfId="25" xr:uid="{00000000-0005-0000-0000-00001A000000}"/>
    <cellStyle name="Neutral" xfId="26" xr:uid="{00000000-0005-0000-0000-00001B000000}"/>
    <cellStyle name="Normale" xfId="0" builtinId="0"/>
    <cellStyle name="Normale 10" xfId="27" xr:uid="{00000000-0005-0000-0000-00001D000000}"/>
    <cellStyle name="Normale 11" xfId="28" xr:uid="{00000000-0005-0000-0000-00001E000000}"/>
    <cellStyle name="Normale 11 2" xfId="29" xr:uid="{00000000-0005-0000-0000-00001F000000}"/>
    <cellStyle name="Normale 12" xfId="30" xr:uid="{00000000-0005-0000-0000-000020000000}"/>
    <cellStyle name="Normale 13" xfId="51" xr:uid="{00000000-0005-0000-0000-000021000000}"/>
    <cellStyle name="Normale 14" xfId="55" xr:uid="{F6E62220-B4DA-439B-A41F-F2D0CF90AA1F}"/>
    <cellStyle name="Normale 2" xfId="31" xr:uid="{00000000-0005-0000-0000-000022000000}"/>
    <cellStyle name="Normale 2 2" xfId="32" xr:uid="{00000000-0005-0000-0000-000023000000}"/>
    <cellStyle name="Normale 2 2 2" xfId="33" xr:uid="{00000000-0005-0000-0000-000024000000}"/>
    <cellStyle name="Normale 2 3" xfId="54" xr:uid="{00000000-0005-0000-0000-000025000000}"/>
    <cellStyle name="Normale 3" xfId="34" xr:uid="{00000000-0005-0000-0000-000026000000}"/>
    <cellStyle name="Normale 4" xfId="35" xr:uid="{00000000-0005-0000-0000-000027000000}"/>
    <cellStyle name="Normale 4 2" xfId="36" xr:uid="{00000000-0005-0000-0000-000028000000}"/>
    <cellStyle name="Normale 5" xfId="37" xr:uid="{00000000-0005-0000-0000-000029000000}"/>
    <cellStyle name="Normale 6" xfId="38" xr:uid="{00000000-0005-0000-0000-00002A000000}"/>
    <cellStyle name="Normale 7" xfId="39" xr:uid="{00000000-0005-0000-0000-00002B000000}"/>
    <cellStyle name="Normale 8" xfId="40" xr:uid="{00000000-0005-0000-0000-00002C000000}"/>
    <cellStyle name="Normale 9" xfId="41" xr:uid="{00000000-0005-0000-0000-00002D000000}"/>
    <cellStyle name="Normale_Copia di ALLEGATO_2_LOTTO_DUE_con autobus in usufrutto  exel" xfId="42" xr:uid="{00000000-0005-0000-0000-00002E000000}"/>
    <cellStyle name="Normale_Elenco servizi capitolato appalto 2012-14" xfId="43" xr:uid="{00000000-0005-0000-0000-00002F000000}"/>
    <cellStyle name="Note" xfId="44" xr:uid="{00000000-0005-0000-0000-000030000000}"/>
    <cellStyle name="Status" xfId="45" xr:uid="{00000000-0005-0000-0000-000032000000}"/>
    <cellStyle name="Text" xfId="46" xr:uid="{00000000-0005-0000-0000-000033000000}"/>
    <cellStyle name="Valuta" xfId="47" builtinId="4"/>
    <cellStyle name="Valuta 2" xfId="48" xr:uid="{00000000-0005-0000-0000-000035000000}"/>
    <cellStyle name="Valuta 3" xfId="49" xr:uid="{00000000-0005-0000-0000-000036000000}"/>
    <cellStyle name="Valuta 4" xfId="57" xr:uid="{D4821502-D915-4E02-A3FC-0F5258DB6DDF}"/>
    <cellStyle name="Warning" xfId="50" xr:uid="{00000000-0005-0000-0000-000037000000}"/>
  </cellStyles>
  <dxfs count="570">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b/>
        <i val="0"/>
        <color rgb="FFFF0000"/>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ndense val="0"/>
        <extend val="0"/>
        <color rgb="FF9C0006"/>
      </font>
      <fill>
        <patternFill>
          <bgColor rgb="FFFFC7CE"/>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b/>
        <i val="0"/>
        <color rgb="FFFF0000"/>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ndense val="0"/>
        <extend val="0"/>
        <color rgb="FF9C0006"/>
      </font>
      <fill>
        <patternFill>
          <bgColor rgb="FFFFC7CE"/>
        </patternFill>
      </fill>
    </dxf>
  </dxfs>
  <tableStyles count="1" defaultTableStyle="Stile tabella 1" defaultPivotStyle="PivotStyleLight16">
    <tableStyle name="Stile tabella 1" pivot="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Autonoleggiatori/FATTURE/Fatture%202016-2017%20Extraurban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utonoleggiatori/Copia%20di%20WWW%20NEW%20FATTURE%202005%20bi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orni"/>
      <sheetName val="tabelle"/>
      <sheetName val="Calcolo saldo 2015-16"/>
      <sheetName val="Calcolo fatturazione 2016-17"/>
      <sheetName val="Km 2016"/>
      <sheetName val="Conguaglio Lotto 2"/>
      <sheetName val="Pivot x conguaglio"/>
      <sheetName val="Chiusura Borghetto"/>
      <sheetName val="Calcoli L.2"/>
      <sheetName val="Pivot L.2"/>
      <sheetName val="Lotto 2"/>
      <sheetName val="In detrazione"/>
      <sheetName val="Mattuzzi-Predaia"/>
      <sheetName val="No appalto PAT"/>
      <sheetName val="riassunto"/>
      <sheetName val="Chk km"/>
      <sheetName val=" Lotto 1 "/>
      <sheetName val="dic-16"/>
      <sheetName val="nov-16"/>
      <sheetName val="ott-16"/>
      <sheetName val="Ago-16"/>
      <sheetName val="Lug-16"/>
      <sheetName val="Giu-16"/>
      <sheetName val="Mag-16"/>
      <sheetName val="Apr-16"/>
      <sheetName val="Mar-16"/>
      <sheetName val="Feb-16"/>
      <sheetName val="gen-16"/>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orni"/>
      <sheetName val="tabelle"/>
      <sheetName val="Foglio1"/>
      <sheetName val="fattura"/>
      <sheetName val="targheautisti"/>
      <sheetName val="nol"/>
      <sheetName val="SET 04"/>
    </sheetNames>
    <sheetDataSet>
      <sheetData sheetId="0">
        <row r="1">
          <cell r="H1" t="str">
            <v>scol</v>
          </cell>
        </row>
        <row r="2">
          <cell r="H2">
            <v>19</v>
          </cell>
        </row>
        <row r="3">
          <cell r="H3">
            <v>22</v>
          </cell>
        </row>
        <row r="4">
          <cell r="H4">
            <v>27</v>
          </cell>
        </row>
        <row r="5">
          <cell r="H5">
            <v>22</v>
          </cell>
        </row>
        <row r="6">
          <cell r="H6">
            <v>25</v>
          </cell>
        </row>
        <row r="7">
          <cell r="H7">
            <v>4</v>
          </cell>
        </row>
        <row r="8">
          <cell r="H8">
            <v>0</v>
          </cell>
        </row>
        <row r="9">
          <cell r="H9">
            <v>0</v>
          </cell>
        </row>
        <row r="10">
          <cell r="H10">
            <v>16</v>
          </cell>
        </row>
        <row r="11">
          <cell r="H11">
            <v>26</v>
          </cell>
        </row>
        <row r="12">
          <cell r="H12">
            <v>25</v>
          </cell>
        </row>
        <row r="13">
          <cell r="H13">
            <v>18</v>
          </cell>
        </row>
        <row r="14">
          <cell r="H14">
            <v>204</v>
          </cell>
        </row>
        <row r="31">
          <cell r="H31" t="str">
            <v>scol</v>
          </cell>
        </row>
        <row r="32">
          <cell r="H32">
            <v>22</v>
          </cell>
        </row>
        <row r="34">
          <cell r="H34">
            <v>0</v>
          </cell>
        </row>
      </sheetData>
      <sheetData sheetId="1">
        <row r="6">
          <cell r="E6" t="str">
            <v>A</v>
          </cell>
        </row>
      </sheetData>
      <sheetData sheetId="2"/>
      <sheetData sheetId="3"/>
      <sheetData sheetId="4"/>
      <sheetData sheetId="5"/>
      <sheetData sheetId="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pageSetUpPr fitToPage="1"/>
  </sheetPr>
  <dimension ref="A1:AX981"/>
  <sheetViews>
    <sheetView tabSelected="1" zoomScaleNormal="100" workbookViewId="0">
      <pane ySplit="1" topLeftCell="A2" activePane="bottomLeft" state="frozen"/>
      <selection activeCell="E16" sqref="E16"/>
      <selection pane="bottomLeft" activeCell="A966" sqref="A966"/>
    </sheetView>
  </sheetViews>
  <sheetFormatPr defaultRowHeight="11.25"/>
  <cols>
    <col min="1" max="1" width="16.85546875" style="2" customWidth="1"/>
    <col min="2" max="2" width="9.140625" style="2"/>
    <col min="3" max="3" width="10.7109375" style="2" customWidth="1"/>
    <col min="4" max="4" width="8.28515625" style="2" customWidth="1"/>
    <col min="5" max="5" width="9.7109375" style="2" customWidth="1"/>
    <col min="6" max="6" width="8.7109375" style="2" customWidth="1"/>
    <col min="7" max="7" width="22" style="2" customWidth="1"/>
    <col min="8" max="8" width="18.42578125" style="2" customWidth="1"/>
    <col min="9" max="9" width="9.42578125" style="75" customWidth="1"/>
    <col min="10" max="10" width="9.28515625" style="76" customWidth="1"/>
    <col min="11" max="11" width="7.42578125" style="78" customWidth="1"/>
    <col min="12" max="12" width="10.5703125" style="77" customWidth="1"/>
    <col min="13" max="13" width="19.42578125" style="2" customWidth="1"/>
    <col min="14" max="18" width="11" style="2" customWidth="1"/>
    <col min="19" max="19" width="11.5703125" style="2" customWidth="1"/>
    <col min="20" max="20" width="9.140625" style="4" customWidth="1"/>
    <col min="21" max="21" width="13.42578125" style="4" customWidth="1"/>
    <col min="22" max="22" width="9.140625" style="4" customWidth="1"/>
    <col min="23" max="23" width="15.42578125" style="4" customWidth="1"/>
    <col min="24" max="24" width="15" style="4" customWidth="1"/>
    <col min="25" max="27" width="13.5703125" style="4" customWidth="1"/>
    <col min="28" max="28" width="15.28515625" style="4" customWidth="1"/>
    <col min="29" max="29" width="5" style="4" customWidth="1"/>
    <col min="30" max="30" width="5.7109375" style="4" customWidth="1"/>
    <col min="31" max="31" width="4.5703125" style="4" customWidth="1"/>
    <col min="32" max="32" width="5" style="4" customWidth="1"/>
    <col min="33" max="33" width="4.5703125" style="4" customWidth="1"/>
    <col min="34" max="34" width="5.140625" style="4" customWidth="1"/>
    <col min="35" max="35" width="5.5703125" style="4" customWidth="1"/>
    <col min="36" max="37" width="4.5703125" style="4" customWidth="1"/>
    <col min="38" max="38" width="4.140625" style="4" customWidth="1"/>
    <col min="39" max="39" width="5.140625" style="4" customWidth="1"/>
    <col min="40" max="40" width="5" style="4" customWidth="1"/>
    <col min="41" max="41" width="5.28515625" style="4" customWidth="1"/>
    <col min="42" max="42" width="4.5703125" style="4" customWidth="1"/>
    <col min="43" max="43" width="4.42578125" style="4" customWidth="1"/>
    <col min="44" max="44" width="5.28515625" style="4" customWidth="1"/>
    <col min="45" max="45" width="5.42578125" style="4" customWidth="1"/>
    <col min="46" max="46" width="5.140625" style="4" customWidth="1"/>
    <col min="47" max="47" width="4.5703125" style="4" customWidth="1"/>
    <col min="48" max="48" width="4.140625" style="4" customWidth="1"/>
    <col min="49" max="49" width="10" style="4" bestFit="1" customWidth="1"/>
    <col min="50" max="50" width="12.140625" style="142" customWidth="1"/>
    <col min="51" max="16384" width="9.140625" style="4"/>
  </cols>
  <sheetData>
    <row r="1" spans="1:50" s="22" customFormat="1" ht="45">
      <c r="A1" s="26" t="s">
        <v>92</v>
      </c>
      <c r="B1" s="27" t="s">
        <v>1103</v>
      </c>
      <c r="C1" s="28" t="s">
        <v>91</v>
      </c>
      <c r="D1" s="28" t="s">
        <v>96</v>
      </c>
      <c r="E1" s="28" t="s">
        <v>90</v>
      </c>
      <c r="F1" s="28" t="s">
        <v>89</v>
      </c>
      <c r="G1" s="28" t="s">
        <v>88</v>
      </c>
      <c r="H1" s="28" t="s">
        <v>95</v>
      </c>
      <c r="I1" s="29" t="s">
        <v>603</v>
      </c>
      <c r="J1" s="28" t="s">
        <v>94</v>
      </c>
      <c r="K1" s="28" t="s">
        <v>706</v>
      </c>
      <c r="L1" s="28" t="s">
        <v>707</v>
      </c>
      <c r="M1" s="28" t="s">
        <v>712</v>
      </c>
      <c r="N1" s="26" t="s">
        <v>817</v>
      </c>
      <c r="O1" s="26" t="s">
        <v>818</v>
      </c>
      <c r="P1" s="26" t="s">
        <v>1140</v>
      </c>
      <c r="Q1" s="26" t="s">
        <v>1141</v>
      </c>
      <c r="R1" s="26" t="s">
        <v>1142</v>
      </c>
      <c r="S1" s="26" t="s">
        <v>1734</v>
      </c>
      <c r="T1" s="21" t="s">
        <v>1222</v>
      </c>
      <c r="U1" s="20" t="s">
        <v>1223</v>
      </c>
      <c r="V1" s="21" t="s">
        <v>1224</v>
      </c>
      <c r="W1" s="20" t="s">
        <v>1225</v>
      </c>
      <c r="X1" s="19" t="s">
        <v>1730</v>
      </c>
      <c r="Y1" s="19" t="s">
        <v>1731</v>
      </c>
      <c r="Z1" s="19" t="s">
        <v>1732</v>
      </c>
      <c r="AA1" s="19" t="s">
        <v>1733</v>
      </c>
      <c r="AB1" s="19" t="s">
        <v>1039</v>
      </c>
      <c r="AC1" s="20" t="s">
        <v>795</v>
      </c>
      <c r="AD1" s="20" t="s">
        <v>796</v>
      </c>
      <c r="AE1" s="20" t="s">
        <v>806</v>
      </c>
      <c r="AF1" s="20" t="s">
        <v>807</v>
      </c>
      <c r="AG1" s="20" t="s">
        <v>797</v>
      </c>
      <c r="AH1" s="20" t="s">
        <v>798</v>
      </c>
      <c r="AI1" s="20" t="s">
        <v>799</v>
      </c>
      <c r="AJ1" s="20" t="s">
        <v>800</v>
      </c>
      <c r="AK1" s="20" t="s">
        <v>801</v>
      </c>
      <c r="AL1" s="20" t="s">
        <v>802</v>
      </c>
      <c r="AM1" s="20" t="s">
        <v>803</v>
      </c>
      <c r="AN1" s="20" t="s">
        <v>804</v>
      </c>
      <c r="AO1" s="20" t="s">
        <v>816</v>
      </c>
      <c r="AP1" s="20" t="s">
        <v>805</v>
      </c>
      <c r="AQ1" s="20" t="s">
        <v>810</v>
      </c>
      <c r="AR1" s="20" t="s">
        <v>811</v>
      </c>
      <c r="AS1" s="20" t="s">
        <v>812</v>
      </c>
      <c r="AT1" s="20" t="s">
        <v>813</v>
      </c>
      <c r="AU1" s="20" t="s">
        <v>814</v>
      </c>
      <c r="AV1" s="20" t="s">
        <v>815</v>
      </c>
      <c r="AX1" s="141" t="s">
        <v>2138</v>
      </c>
    </row>
    <row r="2" spans="1:50" ht="25.5">
      <c r="B2" s="27">
        <v>1</v>
      </c>
      <c r="C2" s="30">
        <v>91</v>
      </c>
      <c r="D2" s="31">
        <v>492</v>
      </c>
      <c r="E2" s="32">
        <v>0.52430555555555558</v>
      </c>
      <c r="F2" s="32">
        <v>0.56944444444444442</v>
      </c>
      <c r="G2" s="32" t="s">
        <v>45</v>
      </c>
      <c r="H2" s="31" t="s">
        <v>473</v>
      </c>
      <c r="I2" s="33">
        <v>50</v>
      </c>
      <c r="J2" s="34">
        <v>50</v>
      </c>
      <c r="K2" s="35">
        <v>50</v>
      </c>
      <c r="L2" s="36">
        <f>+K2*I2</f>
        <v>2500</v>
      </c>
      <c r="M2" s="37" t="s">
        <v>1009</v>
      </c>
      <c r="N2" s="79" t="s">
        <v>1934</v>
      </c>
      <c r="O2" s="79" t="s">
        <v>1935</v>
      </c>
      <c r="P2" s="23" t="s">
        <v>1756</v>
      </c>
      <c r="Q2" s="23">
        <v>54</v>
      </c>
      <c r="R2" s="23" t="s">
        <v>1143</v>
      </c>
      <c r="S2" s="24">
        <v>53</v>
      </c>
      <c r="T2" s="7" t="s">
        <v>1226</v>
      </c>
      <c r="U2" s="7" t="s">
        <v>1227</v>
      </c>
      <c r="V2" s="7" t="s">
        <v>1228</v>
      </c>
      <c r="W2" s="7" t="s">
        <v>1229</v>
      </c>
      <c r="X2" s="17"/>
      <c r="Y2" s="17"/>
      <c r="Z2" s="17"/>
      <c r="AA2" s="17"/>
      <c r="AB2" s="7" t="s">
        <v>1040</v>
      </c>
      <c r="AC2" s="8" t="s">
        <v>726</v>
      </c>
      <c r="AD2" s="8" t="s">
        <v>726</v>
      </c>
      <c r="AE2" s="8" t="s">
        <v>726</v>
      </c>
      <c r="AF2" s="8"/>
      <c r="AG2" s="8"/>
      <c r="AH2" s="8"/>
      <c r="AI2" s="8"/>
      <c r="AJ2" s="8"/>
      <c r="AK2" s="8"/>
      <c r="AL2" s="8" t="s">
        <v>726</v>
      </c>
      <c r="AM2" s="8"/>
      <c r="AN2" s="8"/>
      <c r="AO2" s="8"/>
      <c r="AP2" s="8"/>
      <c r="AQ2" s="8"/>
      <c r="AR2" s="8"/>
      <c r="AS2" s="8"/>
      <c r="AT2" s="8"/>
      <c r="AU2" s="8"/>
      <c r="AV2" s="8"/>
      <c r="AX2" s="142">
        <v>150</v>
      </c>
    </row>
    <row r="3" spans="1:50" ht="25.5">
      <c r="B3" s="27">
        <v>2</v>
      </c>
      <c r="C3" s="30">
        <v>91</v>
      </c>
      <c r="D3" s="38">
        <v>492</v>
      </c>
      <c r="E3" s="39">
        <v>0.52430555555555558</v>
      </c>
      <c r="F3" s="39">
        <v>0.56944444444444442</v>
      </c>
      <c r="G3" s="40" t="s">
        <v>45</v>
      </c>
      <c r="H3" s="31" t="s">
        <v>155</v>
      </c>
      <c r="I3" s="38">
        <v>50</v>
      </c>
      <c r="J3" s="41">
        <v>50</v>
      </c>
      <c r="K3" s="35">
        <v>245</v>
      </c>
      <c r="L3" s="36">
        <f>+K3*I3</f>
        <v>12250</v>
      </c>
      <c r="M3" s="37" t="s">
        <v>1009</v>
      </c>
      <c r="N3" s="79" t="s">
        <v>1934</v>
      </c>
      <c r="O3" s="79" t="s">
        <v>1935</v>
      </c>
      <c r="P3" s="23" t="s">
        <v>1756</v>
      </c>
      <c r="Q3" s="23">
        <v>54</v>
      </c>
      <c r="R3" s="23" t="s">
        <v>1143</v>
      </c>
      <c r="S3" s="24">
        <v>53</v>
      </c>
      <c r="T3" s="7" t="s">
        <v>1226</v>
      </c>
      <c r="U3" s="7" t="s">
        <v>1227</v>
      </c>
      <c r="V3" s="7" t="s">
        <v>1228</v>
      </c>
      <c r="W3" s="7" t="s">
        <v>1229</v>
      </c>
      <c r="X3" s="17"/>
      <c r="Y3" s="17"/>
      <c r="Z3" s="17"/>
      <c r="AA3" s="17"/>
      <c r="AB3" s="7" t="s">
        <v>1041</v>
      </c>
      <c r="AC3" s="8" t="s">
        <v>726</v>
      </c>
      <c r="AD3" s="8" t="s">
        <v>726</v>
      </c>
      <c r="AE3" s="8" t="s">
        <v>726</v>
      </c>
      <c r="AF3" s="8"/>
      <c r="AG3" s="8" t="s">
        <v>726</v>
      </c>
      <c r="AH3" s="8" t="s">
        <v>726</v>
      </c>
      <c r="AI3" s="8" t="s">
        <v>726</v>
      </c>
      <c r="AJ3" s="8" t="s">
        <v>726</v>
      </c>
      <c r="AK3" s="8" t="s">
        <v>726</v>
      </c>
      <c r="AL3" s="8"/>
      <c r="AM3" s="8"/>
      <c r="AN3" s="8"/>
      <c r="AO3" s="8"/>
      <c r="AP3" s="8"/>
      <c r="AQ3" s="8"/>
      <c r="AR3" s="8"/>
      <c r="AS3" s="8"/>
      <c r="AT3" s="8"/>
      <c r="AU3" s="8"/>
      <c r="AV3" s="8"/>
      <c r="AX3" s="142">
        <v>100</v>
      </c>
    </row>
    <row r="4" spans="1:50" ht="25.5">
      <c r="B4" s="27">
        <v>3</v>
      </c>
      <c r="C4" s="30">
        <v>91</v>
      </c>
      <c r="D4" s="31">
        <v>493</v>
      </c>
      <c r="E4" s="32">
        <v>0.59375</v>
      </c>
      <c r="F4" s="32">
        <v>0.63541666666666663</v>
      </c>
      <c r="G4" s="32" t="s">
        <v>44</v>
      </c>
      <c r="H4" s="31" t="s">
        <v>473</v>
      </c>
      <c r="I4" s="33">
        <v>50</v>
      </c>
      <c r="J4" s="34">
        <v>50</v>
      </c>
      <c r="K4" s="35">
        <v>50</v>
      </c>
      <c r="L4" s="36">
        <f>+K4*I4</f>
        <v>2500</v>
      </c>
      <c r="M4" s="37" t="s">
        <v>1009</v>
      </c>
      <c r="N4" s="79" t="s">
        <v>1934</v>
      </c>
      <c r="O4" s="79" t="s">
        <v>1935</v>
      </c>
      <c r="P4" s="23" t="s">
        <v>1756</v>
      </c>
      <c r="Q4" s="23">
        <v>54</v>
      </c>
      <c r="R4" s="23" t="s">
        <v>1143</v>
      </c>
      <c r="S4" s="24">
        <v>53</v>
      </c>
      <c r="T4" s="7" t="s">
        <v>1228</v>
      </c>
      <c r="U4" s="7" t="e">
        <f>SUM('Extraurbano '!#REF!)</f>
        <v>#REF!</v>
      </c>
      <c r="V4" s="7" t="s">
        <v>1226</v>
      </c>
      <c r="W4" s="7" t="s">
        <v>1227</v>
      </c>
      <c r="X4" s="17"/>
      <c r="Y4" s="17"/>
      <c r="Z4" s="17"/>
      <c r="AA4" s="17"/>
      <c r="AB4" s="7" t="s">
        <v>1040</v>
      </c>
      <c r="AC4" s="8" t="s">
        <v>726</v>
      </c>
      <c r="AD4" s="8" t="s">
        <v>726</v>
      </c>
      <c r="AE4" s="8" t="s">
        <v>726</v>
      </c>
      <c r="AF4" s="8"/>
      <c r="AG4" s="8"/>
      <c r="AH4" s="8"/>
      <c r="AI4" s="8"/>
      <c r="AJ4" s="8"/>
      <c r="AK4" s="8"/>
      <c r="AL4" s="8" t="s">
        <v>726</v>
      </c>
      <c r="AM4" s="8"/>
      <c r="AN4" s="8"/>
      <c r="AO4" s="8"/>
      <c r="AP4" s="8"/>
      <c r="AQ4" s="8"/>
      <c r="AR4" s="8"/>
      <c r="AS4" s="8"/>
      <c r="AT4" s="8"/>
      <c r="AU4" s="8"/>
      <c r="AV4" s="8"/>
      <c r="AX4" s="142">
        <v>150</v>
      </c>
    </row>
    <row r="5" spans="1:50" ht="33.75">
      <c r="B5" s="27">
        <v>4</v>
      </c>
      <c r="C5" s="30">
        <v>91</v>
      </c>
      <c r="D5" s="38">
        <v>493</v>
      </c>
      <c r="E5" s="39">
        <v>0.59375</v>
      </c>
      <c r="F5" s="39">
        <v>0.63541666666666663</v>
      </c>
      <c r="G5" s="40" t="s">
        <v>44</v>
      </c>
      <c r="H5" s="31" t="s">
        <v>155</v>
      </c>
      <c r="I5" s="38">
        <v>50</v>
      </c>
      <c r="J5" s="41">
        <v>50</v>
      </c>
      <c r="K5" s="35">
        <v>245</v>
      </c>
      <c r="L5" s="36">
        <f>+K5*I5</f>
        <v>12250</v>
      </c>
      <c r="M5" s="37" t="s">
        <v>1009</v>
      </c>
      <c r="N5" s="79" t="s">
        <v>1934</v>
      </c>
      <c r="O5" s="79" t="s">
        <v>1935</v>
      </c>
      <c r="P5" s="23" t="s">
        <v>1756</v>
      </c>
      <c r="Q5" s="23">
        <v>54</v>
      </c>
      <c r="R5" s="23" t="s">
        <v>1143</v>
      </c>
      <c r="S5" s="24">
        <v>53</v>
      </c>
      <c r="T5" s="7" t="s">
        <v>1228</v>
      </c>
      <c r="U5" s="7" t="s">
        <v>1229</v>
      </c>
      <c r="V5" s="7" t="s">
        <v>1226</v>
      </c>
      <c r="W5" s="7" t="s">
        <v>1227</v>
      </c>
      <c r="X5" s="17"/>
      <c r="Y5" s="17"/>
      <c r="Z5" s="17"/>
      <c r="AA5" s="17"/>
      <c r="AB5" s="7" t="s">
        <v>1041</v>
      </c>
      <c r="AC5" s="8" t="s">
        <v>726</v>
      </c>
      <c r="AD5" s="8" t="s">
        <v>726</v>
      </c>
      <c r="AE5" s="8" t="s">
        <v>726</v>
      </c>
      <c r="AF5" s="8"/>
      <c r="AG5" s="8" t="s">
        <v>726</v>
      </c>
      <c r="AH5" s="8" t="s">
        <v>726</v>
      </c>
      <c r="AI5" s="8" t="s">
        <v>726</v>
      </c>
      <c r="AJ5" s="8" t="s">
        <v>726</v>
      </c>
      <c r="AK5" s="8" t="s">
        <v>726</v>
      </c>
      <c r="AL5" s="8"/>
      <c r="AM5" s="8"/>
      <c r="AN5" s="8"/>
      <c r="AO5" s="8"/>
      <c r="AP5" s="8"/>
      <c r="AQ5" s="8"/>
      <c r="AR5" s="8"/>
      <c r="AS5" s="8"/>
      <c r="AT5" s="8"/>
      <c r="AU5" s="8"/>
      <c r="AV5" s="8"/>
      <c r="AX5" s="142">
        <v>100</v>
      </c>
    </row>
    <row r="6" spans="1:50" ht="25.5">
      <c r="B6" s="27">
        <v>5</v>
      </c>
      <c r="C6" s="30">
        <v>91</v>
      </c>
      <c r="D6" s="38">
        <v>494</v>
      </c>
      <c r="E6" s="39">
        <v>0.86458333333333337</v>
      </c>
      <c r="F6" s="39">
        <v>0.90625</v>
      </c>
      <c r="G6" s="40" t="s">
        <v>45</v>
      </c>
      <c r="H6" s="31" t="s">
        <v>155</v>
      </c>
      <c r="I6" s="38">
        <v>50</v>
      </c>
      <c r="J6" s="41">
        <v>50</v>
      </c>
      <c r="K6" s="35">
        <v>245</v>
      </c>
      <c r="L6" s="36">
        <f>+K6*I6</f>
        <v>12250</v>
      </c>
      <c r="M6" s="37" t="s">
        <v>1009</v>
      </c>
      <c r="N6" s="79" t="s">
        <v>1934</v>
      </c>
      <c r="O6" s="79" t="s">
        <v>1935</v>
      </c>
      <c r="P6" s="23" t="s">
        <v>1756</v>
      </c>
      <c r="Q6" s="23">
        <v>54</v>
      </c>
      <c r="R6" s="23" t="s">
        <v>1143</v>
      </c>
      <c r="S6" s="24">
        <v>53</v>
      </c>
      <c r="T6" s="7" t="s">
        <v>1226</v>
      </c>
      <c r="U6" s="7" t="s">
        <v>1227</v>
      </c>
      <c r="V6" s="7" t="s">
        <v>1228</v>
      </c>
      <c r="W6" s="7" t="s">
        <v>1229</v>
      </c>
      <c r="X6" s="17"/>
      <c r="Y6" s="17"/>
      <c r="Z6" s="17"/>
      <c r="AA6" s="17"/>
      <c r="AB6" s="7" t="s">
        <v>1041</v>
      </c>
      <c r="AC6" s="8" t="s">
        <v>726</v>
      </c>
      <c r="AD6" s="8" t="s">
        <v>726</v>
      </c>
      <c r="AE6" s="8" t="s">
        <v>726</v>
      </c>
      <c r="AF6" s="8"/>
      <c r="AG6" s="8" t="s">
        <v>726</v>
      </c>
      <c r="AH6" s="8" t="s">
        <v>726</v>
      </c>
      <c r="AI6" s="8" t="s">
        <v>726</v>
      </c>
      <c r="AJ6" s="8" t="s">
        <v>726</v>
      </c>
      <c r="AK6" s="8" t="s">
        <v>726</v>
      </c>
      <c r="AL6" s="8"/>
      <c r="AM6" s="8"/>
      <c r="AN6" s="8"/>
      <c r="AO6" s="8"/>
      <c r="AP6" s="8"/>
      <c r="AQ6" s="8"/>
      <c r="AR6" s="8"/>
      <c r="AS6" s="8"/>
      <c r="AT6" s="8"/>
      <c r="AU6" s="8"/>
      <c r="AV6" s="8"/>
      <c r="AX6" s="142">
        <v>100</v>
      </c>
    </row>
    <row r="7" spans="1:50" ht="33.75">
      <c r="B7" s="27">
        <v>6</v>
      </c>
      <c r="C7" s="30">
        <v>91</v>
      </c>
      <c r="D7" s="31">
        <v>495</v>
      </c>
      <c r="E7" s="32">
        <v>0.92361111111111116</v>
      </c>
      <c r="F7" s="32">
        <v>0.96527777777777779</v>
      </c>
      <c r="G7" s="32" t="s">
        <v>44</v>
      </c>
      <c r="H7" s="31" t="s">
        <v>473</v>
      </c>
      <c r="I7" s="33">
        <v>50</v>
      </c>
      <c r="J7" s="34">
        <v>50</v>
      </c>
      <c r="K7" s="35">
        <v>50</v>
      </c>
      <c r="L7" s="36">
        <f>+K7*I7</f>
        <v>2500</v>
      </c>
      <c r="M7" s="37" t="s">
        <v>1009</v>
      </c>
      <c r="N7" s="79" t="s">
        <v>1934</v>
      </c>
      <c r="O7" s="79" t="s">
        <v>1935</v>
      </c>
      <c r="P7" s="23" t="s">
        <v>1756</v>
      </c>
      <c r="Q7" s="23">
        <v>54</v>
      </c>
      <c r="R7" s="23" t="s">
        <v>1143</v>
      </c>
      <c r="S7" s="24">
        <v>53</v>
      </c>
      <c r="T7" s="7" t="s">
        <v>1228</v>
      </c>
      <c r="U7" s="7" t="s">
        <v>1229</v>
      </c>
      <c r="V7" s="7" t="s">
        <v>1226</v>
      </c>
      <c r="W7" s="7" t="s">
        <v>1227</v>
      </c>
      <c r="X7" s="17"/>
      <c r="Y7" s="17"/>
      <c r="Z7" s="17"/>
      <c r="AA7" s="17"/>
      <c r="AB7" s="7" t="s">
        <v>1040</v>
      </c>
      <c r="AC7" s="8" t="s">
        <v>726</v>
      </c>
      <c r="AD7" s="8" t="s">
        <v>726</v>
      </c>
      <c r="AE7" s="8" t="s">
        <v>726</v>
      </c>
      <c r="AF7" s="8"/>
      <c r="AG7" s="8"/>
      <c r="AH7" s="8"/>
      <c r="AI7" s="8"/>
      <c r="AJ7" s="8"/>
      <c r="AK7" s="8"/>
      <c r="AL7" s="8" t="s">
        <v>726</v>
      </c>
      <c r="AM7" s="8"/>
      <c r="AN7" s="8"/>
      <c r="AO7" s="8"/>
      <c r="AP7" s="8"/>
      <c r="AQ7" s="8"/>
      <c r="AR7" s="8"/>
      <c r="AS7" s="8"/>
      <c r="AT7" s="8"/>
      <c r="AU7" s="8"/>
      <c r="AV7" s="8"/>
      <c r="AX7" s="142">
        <v>150</v>
      </c>
    </row>
    <row r="8" spans="1:50" ht="25.5">
      <c r="B8" s="27">
        <v>7</v>
      </c>
      <c r="C8" s="30">
        <v>91</v>
      </c>
      <c r="D8" s="38">
        <v>495</v>
      </c>
      <c r="E8" s="39">
        <v>0.92361111111111116</v>
      </c>
      <c r="F8" s="39">
        <v>0.96527777777777779</v>
      </c>
      <c r="G8" s="40" t="s">
        <v>44</v>
      </c>
      <c r="H8" s="31" t="s">
        <v>155</v>
      </c>
      <c r="I8" s="38">
        <v>50</v>
      </c>
      <c r="J8" s="41">
        <v>50</v>
      </c>
      <c r="K8" s="35">
        <v>245</v>
      </c>
      <c r="L8" s="36">
        <f>+K8*I8</f>
        <v>12250</v>
      </c>
      <c r="M8" s="37" t="s">
        <v>1009</v>
      </c>
      <c r="N8" s="79" t="s">
        <v>1934</v>
      </c>
      <c r="O8" s="79" t="s">
        <v>1935</v>
      </c>
      <c r="P8" s="23" t="s">
        <v>1756</v>
      </c>
      <c r="Q8" s="23">
        <v>54</v>
      </c>
      <c r="R8" s="23" t="s">
        <v>1143</v>
      </c>
      <c r="S8" s="24">
        <v>53</v>
      </c>
      <c r="T8" s="7" t="s">
        <v>1228</v>
      </c>
      <c r="U8" s="79" t="s">
        <v>1935</v>
      </c>
      <c r="V8" s="7" t="s">
        <v>1226</v>
      </c>
      <c r="W8" s="7" t="s">
        <v>1227</v>
      </c>
      <c r="X8" s="17"/>
      <c r="Y8" s="17"/>
      <c r="Z8" s="17"/>
      <c r="AA8" s="17"/>
      <c r="AB8" s="7" t="s">
        <v>1041</v>
      </c>
      <c r="AC8" s="8" t="s">
        <v>726</v>
      </c>
      <c r="AD8" s="8" t="s">
        <v>726</v>
      </c>
      <c r="AE8" s="8" t="s">
        <v>726</v>
      </c>
      <c r="AF8" s="8"/>
      <c r="AG8" s="8" t="s">
        <v>726</v>
      </c>
      <c r="AH8" s="8" t="s">
        <v>726</v>
      </c>
      <c r="AI8" s="8" t="s">
        <v>726</v>
      </c>
      <c r="AJ8" s="8" t="s">
        <v>726</v>
      </c>
      <c r="AK8" s="8" t="s">
        <v>726</v>
      </c>
      <c r="AL8" s="8"/>
      <c r="AM8" s="8"/>
      <c r="AN8" s="8"/>
      <c r="AO8" s="8"/>
      <c r="AP8" s="8"/>
      <c r="AQ8" s="8"/>
      <c r="AR8" s="8"/>
      <c r="AS8" s="8"/>
      <c r="AT8" s="8"/>
      <c r="AU8" s="8"/>
      <c r="AV8" s="8"/>
      <c r="AX8" s="142">
        <v>100</v>
      </c>
    </row>
    <row r="9" spans="1:50" ht="45">
      <c r="B9" s="27">
        <v>8</v>
      </c>
      <c r="C9" s="31">
        <v>102</v>
      </c>
      <c r="D9" s="31">
        <v>146</v>
      </c>
      <c r="E9" s="32">
        <v>0.55277777777777781</v>
      </c>
      <c r="F9" s="32">
        <v>0.5805555555555556</v>
      </c>
      <c r="G9" s="31" t="s">
        <v>166</v>
      </c>
      <c r="H9" s="31" t="s">
        <v>103</v>
      </c>
      <c r="I9" s="33">
        <v>19</v>
      </c>
      <c r="J9" s="34" t="s">
        <v>165</v>
      </c>
      <c r="K9" s="35">
        <v>174</v>
      </c>
      <c r="L9" s="36">
        <f>+K9*I9</f>
        <v>3306</v>
      </c>
      <c r="M9" s="37" t="s">
        <v>739</v>
      </c>
      <c r="N9" s="23" t="s">
        <v>892</v>
      </c>
      <c r="O9" s="23">
        <v>57</v>
      </c>
      <c r="P9" s="79" t="s">
        <v>1817</v>
      </c>
      <c r="Q9" s="112">
        <v>50</v>
      </c>
      <c r="R9" s="79" t="s">
        <v>2057</v>
      </c>
      <c r="S9" s="111" t="s">
        <v>2055</v>
      </c>
      <c r="T9" s="7" t="s">
        <v>1230</v>
      </c>
      <c r="U9" s="7" t="s">
        <v>1231</v>
      </c>
      <c r="V9" s="7">
        <v>1072</v>
      </c>
      <c r="W9" s="7" t="s">
        <v>1232</v>
      </c>
      <c r="X9" s="17"/>
      <c r="Y9" s="17"/>
      <c r="Z9" s="17"/>
      <c r="AA9" s="17"/>
      <c r="AB9" s="7" t="s">
        <v>1042</v>
      </c>
      <c r="AC9" s="8"/>
      <c r="AD9" s="8"/>
      <c r="AE9" s="8"/>
      <c r="AF9" s="8" t="s">
        <v>726</v>
      </c>
      <c r="AG9" s="8" t="s">
        <v>726</v>
      </c>
      <c r="AH9" s="8" t="s">
        <v>726</v>
      </c>
      <c r="AI9" s="8" t="s">
        <v>726</v>
      </c>
      <c r="AJ9" s="8" t="s">
        <v>726</v>
      </c>
      <c r="AK9" s="8" t="s">
        <v>726</v>
      </c>
      <c r="AL9" s="8"/>
      <c r="AM9" s="8"/>
      <c r="AN9" s="8"/>
      <c r="AO9" s="8"/>
      <c r="AP9" s="8"/>
      <c r="AQ9" s="8"/>
      <c r="AR9" s="8"/>
      <c r="AS9" s="8"/>
      <c r="AT9" s="8"/>
      <c r="AU9" s="8"/>
      <c r="AV9" s="8"/>
      <c r="AX9" s="142">
        <v>57</v>
      </c>
    </row>
    <row r="10" spans="1:50" ht="25.5">
      <c r="B10" s="27">
        <v>9</v>
      </c>
      <c r="C10" s="31">
        <v>103</v>
      </c>
      <c r="D10" s="31">
        <v>110</v>
      </c>
      <c r="E10" s="32">
        <v>0.51388888888888895</v>
      </c>
      <c r="F10" s="42">
        <v>0.59166666666666667</v>
      </c>
      <c r="G10" s="43" t="s">
        <v>929</v>
      </c>
      <c r="H10" s="31" t="s">
        <v>521</v>
      </c>
      <c r="I10" s="33">
        <v>62</v>
      </c>
      <c r="J10" s="34" t="s">
        <v>406</v>
      </c>
      <c r="K10" s="35">
        <v>45</v>
      </c>
      <c r="L10" s="36">
        <f>+K10*I10</f>
        <v>2790</v>
      </c>
      <c r="M10" s="37" t="s">
        <v>718</v>
      </c>
      <c r="N10" s="23" t="s">
        <v>927</v>
      </c>
      <c r="O10" s="23">
        <v>48</v>
      </c>
      <c r="P10" s="23" t="s">
        <v>989</v>
      </c>
      <c r="Q10" s="23">
        <v>45</v>
      </c>
      <c r="R10" s="23" t="s">
        <v>1144</v>
      </c>
      <c r="S10" s="24">
        <v>56</v>
      </c>
      <c r="T10" s="7">
        <v>1</v>
      </c>
      <c r="U10" s="7" t="s">
        <v>1233</v>
      </c>
      <c r="V10" s="7">
        <v>1070</v>
      </c>
      <c r="W10" s="7" t="s">
        <v>1234</v>
      </c>
      <c r="X10" s="18"/>
      <c r="Y10" s="17"/>
      <c r="Z10" s="18"/>
      <c r="AA10" s="18"/>
      <c r="AB10" s="7" t="s">
        <v>1043</v>
      </c>
      <c r="AC10" s="8" t="s">
        <v>726</v>
      </c>
      <c r="AD10" s="8"/>
      <c r="AE10" s="8"/>
      <c r="AF10" s="8"/>
      <c r="AG10" s="8"/>
      <c r="AH10" s="8"/>
      <c r="AI10" s="8"/>
      <c r="AJ10" s="8"/>
      <c r="AK10" s="8"/>
      <c r="AL10" s="8"/>
      <c r="AM10" s="8" t="s">
        <v>726</v>
      </c>
      <c r="AN10" s="8"/>
      <c r="AO10" s="8"/>
      <c r="AP10" s="8"/>
      <c r="AQ10" s="8"/>
      <c r="AR10" s="8"/>
      <c r="AS10" s="8"/>
      <c r="AT10" s="8"/>
      <c r="AU10" s="8"/>
      <c r="AV10" s="8"/>
      <c r="AX10" s="142">
        <v>186</v>
      </c>
    </row>
    <row r="11" spans="1:50" ht="25.5">
      <c r="B11" s="27">
        <v>10</v>
      </c>
      <c r="C11" s="38">
        <v>103</v>
      </c>
      <c r="D11" s="38">
        <v>110</v>
      </c>
      <c r="E11" s="39">
        <v>0.51388888888888895</v>
      </c>
      <c r="F11" s="44">
        <v>0.59166666666666667</v>
      </c>
      <c r="G11" s="43" t="s">
        <v>929</v>
      </c>
      <c r="H11" s="31" t="s">
        <v>546</v>
      </c>
      <c r="I11" s="38">
        <v>62</v>
      </c>
      <c r="J11" s="41">
        <v>30</v>
      </c>
      <c r="K11" s="35">
        <v>13</v>
      </c>
      <c r="L11" s="36">
        <f>+K11*I11</f>
        <v>806</v>
      </c>
      <c r="M11" s="37" t="s">
        <v>718</v>
      </c>
      <c r="N11" s="23" t="s">
        <v>927</v>
      </c>
      <c r="O11" s="23">
        <v>48</v>
      </c>
      <c r="P11" s="23" t="s">
        <v>989</v>
      </c>
      <c r="Q11" s="23">
        <v>45</v>
      </c>
      <c r="R11" s="23" t="s">
        <v>1144</v>
      </c>
      <c r="S11" s="24">
        <v>56</v>
      </c>
      <c r="T11" s="7">
        <v>1</v>
      </c>
      <c r="U11" s="7">
        <v>524859.14</v>
      </c>
      <c r="V11" s="7">
        <v>1070</v>
      </c>
      <c r="W11" s="7" t="s">
        <v>1234</v>
      </c>
      <c r="X11" s="17"/>
      <c r="Y11" s="18"/>
      <c r="Z11" s="18"/>
      <c r="AA11" s="18"/>
      <c r="AB11" s="7" t="s">
        <v>1044</v>
      </c>
      <c r="AC11" s="8"/>
      <c r="AD11" s="8" t="s">
        <v>726</v>
      </c>
      <c r="AE11" s="8"/>
      <c r="AF11" s="8"/>
      <c r="AG11" s="8"/>
      <c r="AH11" s="8"/>
      <c r="AI11" s="8"/>
      <c r="AJ11" s="8"/>
      <c r="AK11" s="8"/>
      <c r="AL11" s="8"/>
      <c r="AM11" s="8" t="s">
        <v>726</v>
      </c>
      <c r="AN11" s="8"/>
      <c r="AO11" s="8"/>
      <c r="AP11" s="8"/>
      <c r="AQ11" s="8"/>
      <c r="AR11" s="8"/>
      <c r="AS11" s="8"/>
      <c r="AT11" s="8"/>
      <c r="AU11" s="8"/>
      <c r="AV11" s="8"/>
      <c r="AX11" s="142">
        <v>175</v>
      </c>
    </row>
    <row r="12" spans="1:50" ht="25.5">
      <c r="B12" s="27">
        <v>11</v>
      </c>
      <c r="C12" s="31">
        <v>103</v>
      </c>
      <c r="D12" s="31">
        <v>118</v>
      </c>
      <c r="E12" s="32">
        <v>0.69444444444444453</v>
      </c>
      <c r="F12" s="32">
        <v>0.72916666666666663</v>
      </c>
      <c r="G12" s="31" t="s">
        <v>195</v>
      </c>
      <c r="H12" s="31" t="s">
        <v>194</v>
      </c>
      <c r="I12" s="33">
        <v>27</v>
      </c>
      <c r="J12" s="34" t="s">
        <v>165</v>
      </c>
      <c r="K12" s="35">
        <f>34+34+36+33</f>
        <v>137</v>
      </c>
      <c r="L12" s="36">
        <f>+K12*I12</f>
        <v>3699</v>
      </c>
      <c r="M12" s="37" t="s">
        <v>1009</v>
      </c>
      <c r="N12" s="79" t="s">
        <v>1934</v>
      </c>
      <c r="O12" s="79" t="s">
        <v>1935</v>
      </c>
      <c r="P12" s="23" t="s">
        <v>1145</v>
      </c>
      <c r="Q12" s="23">
        <v>48</v>
      </c>
      <c r="R12" s="23" t="s">
        <v>1146</v>
      </c>
      <c r="S12" s="24">
        <v>45</v>
      </c>
      <c r="T12" s="7">
        <v>1</v>
      </c>
      <c r="U12" s="7" t="s">
        <v>1233</v>
      </c>
      <c r="V12" s="7">
        <v>1113</v>
      </c>
      <c r="W12" s="7" t="s">
        <v>1235</v>
      </c>
      <c r="X12" s="18"/>
      <c r="Y12" s="17"/>
      <c r="Z12" s="17"/>
      <c r="AA12" s="17"/>
      <c r="AB12" s="7" t="s">
        <v>1045</v>
      </c>
      <c r="AC12" s="8"/>
      <c r="AD12" s="8"/>
      <c r="AE12" s="8"/>
      <c r="AF12" s="8" t="s">
        <v>726</v>
      </c>
      <c r="AG12" s="8" t="s">
        <v>726</v>
      </c>
      <c r="AH12" s="8" t="s">
        <v>726</v>
      </c>
      <c r="AI12" s="8" t="s">
        <v>726</v>
      </c>
      <c r="AJ12" s="8" t="s">
        <v>726</v>
      </c>
      <c r="AK12" s="8"/>
      <c r="AL12" s="8"/>
      <c r="AM12" s="8"/>
      <c r="AN12" s="8"/>
      <c r="AO12" s="8"/>
      <c r="AP12" s="8"/>
      <c r="AQ12" s="8"/>
      <c r="AR12" s="8"/>
      <c r="AS12" s="8"/>
      <c r="AT12" s="8"/>
      <c r="AU12" s="8"/>
      <c r="AV12" s="8"/>
      <c r="AX12" s="142">
        <v>81</v>
      </c>
    </row>
    <row r="13" spans="1:50" ht="25.5">
      <c r="B13" s="27">
        <v>12</v>
      </c>
      <c r="C13" s="31">
        <v>103</v>
      </c>
      <c r="D13" s="31">
        <v>119</v>
      </c>
      <c r="E13" s="32">
        <v>0.70833333333333337</v>
      </c>
      <c r="F13" s="42">
        <v>0.78611111111111109</v>
      </c>
      <c r="G13" s="31" t="s">
        <v>23</v>
      </c>
      <c r="H13" s="31" t="s">
        <v>521</v>
      </c>
      <c r="I13" s="33">
        <v>62</v>
      </c>
      <c r="J13" s="34" t="s">
        <v>406</v>
      </c>
      <c r="K13" s="35">
        <v>45</v>
      </c>
      <c r="L13" s="36">
        <f>+K13*I13</f>
        <v>2790</v>
      </c>
      <c r="M13" s="37" t="s">
        <v>718</v>
      </c>
      <c r="N13" s="23" t="s">
        <v>927</v>
      </c>
      <c r="O13" s="23">
        <v>48</v>
      </c>
      <c r="P13" s="23" t="s">
        <v>989</v>
      </c>
      <c r="Q13" s="23">
        <v>45</v>
      </c>
      <c r="R13" s="23" t="s">
        <v>1144</v>
      </c>
      <c r="S13" s="24">
        <v>56</v>
      </c>
      <c r="T13" s="7">
        <v>1070</v>
      </c>
      <c r="U13" s="7" t="s">
        <v>1234</v>
      </c>
      <c r="V13" s="7">
        <v>1</v>
      </c>
      <c r="W13" s="7" t="s">
        <v>1236</v>
      </c>
      <c r="X13" s="18"/>
      <c r="Y13" s="17"/>
      <c r="Z13" s="18"/>
      <c r="AA13" s="18"/>
      <c r="AB13" s="7" t="s">
        <v>1043</v>
      </c>
      <c r="AC13" s="8" t="s">
        <v>726</v>
      </c>
      <c r="AD13" s="8"/>
      <c r="AE13" s="8"/>
      <c r="AF13" s="8"/>
      <c r="AG13" s="8"/>
      <c r="AH13" s="8"/>
      <c r="AI13" s="8"/>
      <c r="AJ13" s="8"/>
      <c r="AK13" s="8"/>
      <c r="AL13" s="8"/>
      <c r="AM13" s="8" t="s">
        <v>726</v>
      </c>
      <c r="AN13" s="8"/>
      <c r="AO13" s="8"/>
      <c r="AP13" s="8"/>
      <c r="AQ13" s="8"/>
      <c r="AR13" s="8"/>
      <c r="AS13" s="8"/>
      <c r="AT13" s="8"/>
      <c r="AU13" s="8"/>
      <c r="AV13" s="8"/>
      <c r="AX13" s="142">
        <v>186</v>
      </c>
    </row>
    <row r="14" spans="1:50" ht="25.5">
      <c r="B14" s="27">
        <v>13</v>
      </c>
      <c r="C14" s="38">
        <v>103</v>
      </c>
      <c r="D14" s="38">
        <v>119</v>
      </c>
      <c r="E14" s="39">
        <v>0.70833333333333337</v>
      </c>
      <c r="F14" s="39">
        <v>0.78888888888888886</v>
      </c>
      <c r="G14" s="40" t="s">
        <v>23</v>
      </c>
      <c r="H14" s="31" t="s">
        <v>546</v>
      </c>
      <c r="I14" s="38">
        <v>62</v>
      </c>
      <c r="J14" s="41">
        <v>30</v>
      </c>
      <c r="K14" s="35">
        <v>13</v>
      </c>
      <c r="L14" s="36">
        <f>+K14*I14</f>
        <v>806</v>
      </c>
      <c r="M14" s="37" t="s">
        <v>718</v>
      </c>
      <c r="N14" s="23" t="s">
        <v>927</v>
      </c>
      <c r="O14" s="23">
        <v>48</v>
      </c>
      <c r="P14" s="23" t="s">
        <v>989</v>
      </c>
      <c r="Q14" s="23">
        <v>45</v>
      </c>
      <c r="R14" s="23" t="s">
        <v>1144</v>
      </c>
      <c r="S14" s="24">
        <v>56</v>
      </c>
      <c r="T14" s="7">
        <v>1070</v>
      </c>
      <c r="U14" s="7" t="s">
        <v>1234</v>
      </c>
      <c r="V14" s="7">
        <v>1</v>
      </c>
      <c r="W14" s="7" t="s">
        <v>1236</v>
      </c>
      <c r="X14" s="17"/>
      <c r="Y14" s="18"/>
      <c r="Z14" s="18"/>
      <c r="AA14" s="18"/>
      <c r="AB14" s="7" t="s">
        <v>1044</v>
      </c>
      <c r="AC14" s="8"/>
      <c r="AD14" s="8" t="s">
        <v>726</v>
      </c>
      <c r="AE14" s="8"/>
      <c r="AF14" s="8"/>
      <c r="AG14" s="8"/>
      <c r="AH14" s="8"/>
      <c r="AI14" s="8"/>
      <c r="AJ14" s="8"/>
      <c r="AK14" s="8"/>
      <c r="AL14" s="8"/>
      <c r="AM14" s="8" t="s">
        <v>726</v>
      </c>
      <c r="AN14" s="8"/>
      <c r="AO14" s="8"/>
      <c r="AP14" s="8"/>
      <c r="AQ14" s="8"/>
      <c r="AR14" s="8"/>
      <c r="AS14" s="8"/>
      <c r="AT14" s="8"/>
      <c r="AU14" s="8"/>
      <c r="AV14" s="8"/>
      <c r="AX14" s="142">
        <v>175</v>
      </c>
    </row>
    <row r="15" spans="1:50" ht="45">
      <c r="B15" s="27">
        <v>14</v>
      </c>
      <c r="C15" s="38">
        <v>103</v>
      </c>
      <c r="D15" s="38">
        <v>124</v>
      </c>
      <c r="E15" s="39">
        <v>0.77430555555555547</v>
      </c>
      <c r="F15" s="44">
        <v>0.83333333333333337</v>
      </c>
      <c r="G15" s="40" t="s">
        <v>617</v>
      </c>
      <c r="H15" s="40" t="s">
        <v>473</v>
      </c>
      <c r="I15" s="38">
        <v>48</v>
      </c>
      <c r="J15" s="41">
        <v>50</v>
      </c>
      <c r="K15" s="35">
        <v>50</v>
      </c>
      <c r="L15" s="36">
        <f>+K15*I15</f>
        <v>2400</v>
      </c>
      <c r="M15" s="37" t="s">
        <v>1915</v>
      </c>
      <c r="N15" s="112" t="s">
        <v>2056</v>
      </c>
      <c r="O15" s="112">
        <v>57</v>
      </c>
      <c r="P15" s="23" t="s">
        <v>1931</v>
      </c>
      <c r="Q15" s="23">
        <v>57</v>
      </c>
      <c r="R15" s="23" t="s">
        <v>1849</v>
      </c>
      <c r="S15" s="2">
        <v>57</v>
      </c>
      <c r="T15" s="7">
        <v>1</v>
      </c>
      <c r="U15" s="7" t="s">
        <v>1233</v>
      </c>
      <c r="V15" s="7">
        <v>1122</v>
      </c>
      <c r="W15" s="7" t="s">
        <v>1237</v>
      </c>
      <c r="X15" s="17"/>
      <c r="Y15" s="17"/>
      <c r="Z15" s="17"/>
      <c r="AA15" s="17"/>
      <c r="AB15" s="7" t="s">
        <v>1040</v>
      </c>
      <c r="AC15" s="8" t="s">
        <v>726</v>
      </c>
      <c r="AD15" s="8" t="s">
        <v>726</v>
      </c>
      <c r="AE15" s="8" t="s">
        <v>726</v>
      </c>
      <c r="AF15" s="8"/>
      <c r="AG15" s="8"/>
      <c r="AH15" s="8"/>
      <c r="AI15" s="8"/>
      <c r="AJ15" s="8"/>
      <c r="AK15" s="8"/>
      <c r="AL15" s="8" t="s">
        <v>726</v>
      </c>
      <c r="AM15" s="8"/>
      <c r="AN15" s="8"/>
      <c r="AO15" s="8"/>
      <c r="AP15" s="8"/>
      <c r="AQ15" s="8"/>
      <c r="AR15" s="8"/>
      <c r="AS15" s="8"/>
      <c r="AT15" s="8"/>
      <c r="AU15" s="8"/>
      <c r="AV15" s="8"/>
      <c r="AX15" s="142">
        <v>114.4</v>
      </c>
    </row>
    <row r="16" spans="1:50" ht="45">
      <c r="B16" s="27">
        <v>15</v>
      </c>
      <c r="C16" s="38">
        <v>103</v>
      </c>
      <c r="D16" s="38">
        <v>124</v>
      </c>
      <c r="E16" s="39">
        <v>0.77430555555555547</v>
      </c>
      <c r="F16" s="39">
        <v>0.82638888888888884</v>
      </c>
      <c r="G16" s="40" t="s">
        <v>616</v>
      </c>
      <c r="H16" s="31" t="s">
        <v>155</v>
      </c>
      <c r="I16" s="38">
        <v>44</v>
      </c>
      <c r="J16" s="41">
        <v>50</v>
      </c>
      <c r="K16" s="35">
        <v>252</v>
      </c>
      <c r="L16" s="36">
        <f>+K16*I16</f>
        <v>11088</v>
      </c>
      <c r="M16" s="37" t="s">
        <v>1915</v>
      </c>
      <c r="N16" s="112" t="s">
        <v>2056</v>
      </c>
      <c r="O16" s="112">
        <v>57</v>
      </c>
      <c r="P16" s="79" t="s">
        <v>1932</v>
      </c>
      <c r="Q16" s="112">
        <v>50</v>
      </c>
      <c r="R16" s="23" t="s">
        <v>1849</v>
      </c>
      <c r="S16" s="2">
        <v>57</v>
      </c>
      <c r="T16" s="7">
        <v>1</v>
      </c>
      <c r="U16" s="7" t="s">
        <v>1233</v>
      </c>
      <c r="V16" s="7">
        <v>1122</v>
      </c>
      <c r="W16" s="7" t="s">
        <v>1237</v>
      </c>
      <c r="X16" s="17"/>
      <c r="Y16" s="17"/>
      <c r="Z16" s="17"/>
      <c r="AA16" s="17"/>
      <c r="AB16" s="7" t="s">
        <v>1041</v>
      </c>
      <c r="AC16" s="8" t="s">
        <v>726</v>
      </c>
      <c r="AD16" s="8" t="s">
        <v>726</v>
      </c>
      <c r="AE16" s="8" t="s">
        <v>726</v>
      </c>
      <c r="AF16" s="8"/>
      <c r="AG16" s="8" t="s">
        <v>726</v>
      </c>
      <c r="AH16" s="8" t="s">
        <v>726</v>
      </c>
      <c r="AI16" s="8" t="s">
        <v>726</v>
      </c>
      <c r="AJ16" s="8" t="s">
        <v>726</v>
      </c>
      <c r="AK16" s="8" t="s">
        <v>726</v>
      </c>
      <c r="AL16" s="8"/>
      <c r="AM16" s="8"/>
      <c r="AN16" s="8"/>
      <c r="AO16" s="8"/>
      <c r="AP16" s="8"/>
      <c r="AQ16" s="8"/>
      <c r="AR16" s="8"/>
      <c r="AS16" s="8"/>
      <c r="AT16" s="8"/>
      <c r="AU16" s="8"/>
      <c r="AV16" s="8"/>
      <c r="AX16" s="142">
        <v>114.4</v>
      </c>
    </row>
    <row r="17" spans="1:50" ht="33.75">
      <c r="B17" s="27">
        <v>16</v>
      </c>
      <c r="C17" s="38">
        <v>107</v>
      </c>
      <c r="D17" s="38">
        <v>570</v>
      </c>
      <c r="E17" s="39">
        <v>0.71180555555555547</v>
      </c>
      <c r="F17" s="39">
        <v>0.72638888888888886</v>
      </c>
      <c r="G17" s="40" t="s">
        <v>50</v>
      </c>
      <c r="H17" s="31" t="s">
        <v>97</v>
      </c>
      <c r="I17" s="38">
        <v>15</v>
      </c>
      <c r="J17" s="41">
        <v>30</v>
      </c>
      <c r="K17" s="35">
        <v>208</v>
      </c>
      <c r="L17" s="36">
        <f>+K17*I17</f>
        <v>3120</v>
      </c>
      <c r="M17" s="37" t="s">
        <v>1915</v>
      </c>
      <c r="N17" s="112" t="s">
        <v>2056</v>
      </c>
      <c r="O17" s="112">
        <v>57</v>
      </c>
      <c r="P17" s="23" t="s">
        <v>1931</v>
      </c>
      <c r="Q17" s="23">
        <v>57</v>
      </c>
      <c r="R17" s="23" t="s">
        <v>1852</v>
      </c>
      <c r="S17" s="23" t="s">
        <v>972</v>
      </c>
      <c r="T17" s="7">
        <v>6120</v>
      </c>
      <c r="U17" s="7" t="s">
        <v>1238</v>
      </c>
      <c r="V17" s="7" t="s">
        <v>1239</v>
      </c>
      <c r="W17" s="7" t="s">
        <v>1240</v>
      </c>
      <c r="X17" s="18"/>
      <c r="Y17" s="17"/>
      <c r="Z17" s="17"/>
      <c r="AA17" s="17"/>
      <c r="AB17" s="7" t="s">
        <v>1046</v>
      </c>
      <c r="AC17" s="8"/>
      <c r="AD17" s="8"/>
      <c r="AE17" s="8"/>
      <c r="AF17" s="8" t="s">
        <v>726</v>
      </c>
      <c r="AG17" s="8" t="s">
        <v>726</v>
      </c>
      <c r="AH17" s="8" t="s">
        <v>726</v>
      </c>
      <c r="AI17" s="8" t="s">
        <v>726</v>
      </c>
      <c r="AJ17" s="8" t="s">
        <v>726</v>
      </c>
      <c r="AK17" s="8" t="s">
        <v>726</v>
      </c>
      <c r="AL17" s="8" t="s">
        <v>726</v>
      </c>
      <c r="AM17" s="8"/>
      <c r="AN17" s="8"/>
      <c r="AO17" s="8"/>
      <c r="AP17" s="8"/>
      <c r="AQ17" s="8"/>
      <c r="AR17" s="8"/>
      <c r="AS17" s="8"/>
      <c r="AT17" s="8"/>
      <c r="AU17" s="8"/>
      <c r="AV17" s="8"/>
      <c r="AX17" s="142">
        <v>82.5</v>
      </c>
    </row>
    <row r="18" spans="1:50" ht="25.5">
      <c r="B18" s="27">
        <v>17</v>
      </c>
      <c r="C18" s="38">
        <v>107</v>
      </c>
      <c r="D18" s="38">
        <v>571</v>
      </c>
      <c r="E18" s="39">
        <v>0.72638888888888886</v>
      </c>
      <c r="F18" s="39">
        <v>0.7402777777777777</v>
      </c>
      <c r="G18" s="40" t="s">
        <v>49</v>
      </c>
      <c r="H18" s="31" t="s">
        <v>97</v>
      </c>
      <c r="I18" s="38">
        <v>15</v>
      </c>
      <c r="J18" s="41">
        <v>30</v>
      </c>
      <c r="K18" s="35">
        <v>208</v>
      </c>
      <c r="L18" s="36">
        <f>+K18*I18</f>
        <v>3120</v>
      </c>
      <c r="M18" s="37" t="s">
        <v>1915</v>
      </c>
      <c r="N18" s="112" t="s">
        <v>2056</v>
      </c>
      <c r="O18" s="112">
        <v>57</v>
      </c>
      <c r="P18" s="79" t="s">
        <v>1932</v>
      </c>
      <c r="Q18" s="112">
        <v>50</v>
      </c>
      <c r="R18" s="23" t="s">
        <v>1852</v>
      </c>
      <c r="S18" s="23" t="s">
        <v>972</v>
      </c>
      <c r="T18" s="7" t="s">
        <v>1239</v>
      </c>
      <c r="U18" s="7" t="s">
        <v>1240</v>
      </c>
      <c r="V18" s="7">
        <v>6120</v>
      </c>
      <c r="W18" s="7" t="s">
        <v>1238</v>
      </c>
      <c r="X18" s="18"/>
      <c r="Y18" s="17"/>
      <c r="Z18" s="17"/>
      <c r="AA18" s="17"/>
      <c r="AB18" s="7" t="s">
        <v>1046</v>
      </c>
      <c r="AC18" s="8"/>
      <c r="AD18" s="8"/>
      <c r="AE18" s="8"/>
      <c r="AF18" s="8" t="s">
        <v>726</v>
      </c>
      <c r="AG18" s="8" t="s">
        <v>726</v>
      </c>
      <c r="AH18" s="8" t="s">
        <v>726</v>
      </c>
      <c r="AI18" s="8" t="s">
        <v>726</v>
      </c>
      <c r="AJ18" s="8" t="s">
        <v>726</v>
      </c>
      <c r="AK18" s="8" t="s">
        <v>726</v>
      </c>
      <c r="AL18" s="8" t="s">
        <v>726</v>
      </c>
      <c r="AM18" s="8"/>
      <c r="AN18" s="8"/>
      <c r="AO18" s="8"/>
      <c r="AP18" s="8"/>
      <c r="AQ18" s="8"/>
      <c r="AR18" s="8"/>
      <c r="AS18" s="8"/>
      <c r="AT18" s="8"/>
      <c r="AU18" s="8"/>
      <c r="AV18" s="8"/>
      <c r="AX18" s="142">
        <v>82.5</v>
      </c>
    </row>
    <row r="19" spans="1:50" ht="25.5">
      <c r="B19" s="27">
        <v>18</v>
      </c>
      <c r="C19" s="31">
        <v>120</v>
      </c>
      <c r="D19" s="31">
        <v>178</v>
      </c>
      <c r="E19" s="32">
        <v>0.62013888888888891</v>
      </c>
      <c r="F19" s="32">
        <v>0.62708333333333333</v>
      </c>
      <c r="G19" s="31" t="s">
        <v>457</v>
      </c>
      <c r="H19" s="31" t="s">
        <v>521</v>
      </c>
      <c r="I19" s="33">
        <v>4</v>
      </c>
      <c r="J19" s="34" t="s">
        <v>406</v>
      </c>
      <c r="K19" s="35">
        <v>45</v>
      </c>
      <c r="L19" s="36">
        <f>+K19*I19</f>
        <v>180</v>
      </c>
      <c r="M19" s="37" t="s">
        <v>718</v>
      </c>
      <c r="N19" s="23" t="s">
        <v>927</v>
      </c>
      <c r="O19" s="23">
        <v>48</v>
      </c>
      <c r="P19" s="23" t="s">
        <v>989</v>
      </c>
      <c r="Q19" s="23">
        <v>45</v>
      </c>
      <c r="R19" s="23" t="s">
        <v>1144</v>
      </c>
      <c r="S19" s="24">
        <v>56</v>
      </c>
      <c r="T19" s="7" t="s">
        <v>1241</v>
      </c>
      <c r="U19" s="7" t="s">
        <v>1242</v>
      </c>
      <c r="V19" s="7">
        <v>1070</v>
      </c>
      <c r="W19" s="7" t="s">
        <v>1234</v>
      </c>
      <c r="X19" s="18"/>
      <c r="Y19" s="17"/>
      <c r="Z19" s="18"/>
      <c r="AA19" s="18"/>
      <c r="AB19" s="7" t="s">
        <v>1043</v>
      </c>
      <c r="AC19" s="8" t="s">
        <v>726</v>
      </c>
      <c r="AD19" s="8"/>
      <c r="AE19" s="8"/>
      <c r="AF19" s="8"/>
      <c r="AG19" s="8"/>
      <c r="AH19" s="8"/>
      <c r="AI19" s="8"/>
      <c r="AJ19" s="8"/>
      <c r="AK19" s="8"/>
      <c r="AL19" s="8"/>
      <c r="AM19" s="8" t="s">
        <v>726</v>
      </c>
      <c r="AN19" s="8"/>
      <c r="AO19" s="8"/>
      <c r="AP19" s="8"/>
      <c r="AQ19" s="8"/>
      <c r="AR19" s="8"/>
      <c r="AS19" s="8"/>
      <c r="AT19" s="8"/>
      <c r="AU19" s="8"/>
      <c r="AV19" s="8"/>
      <c r="AX19" s="142">
        <v>12</v>
      </c>
    </row>
    <row r="20" spans="1:50" ht="25.5">
      <c r="B20" s="27">
        <v>19</v>
      </c>
      <c r="C20" s="31">
        <v>120</v>
      </c>
      <c r="D20" s="43" t="s">
        <v>1984</v>
      </c>
      <c r="E20" s="32">
        <v>0.66180555555555554</v>
      </c>
      <c r="F20" s="32">
        <v>0.66875000000000007</v>
      </c>
      <c r="G20" s="31" t="s">
        <v>457</v>
      </c>
      <c r="H20" s="31" t="s">
        <v>546</v>
      </c>
      <c r="I20" s="33">
        <v>4</v>
      </c>
      <c r="J20" s="34" t="s">
        <v>93</v>
      </c>
      <c r="K20" s="35">
        <v>13</v>
      </c>
      <c r="L20" s="36">
        <f>+K20*I20</f>
        <v>52</v>
      </c>
      <c r="M20" s="37" t="s">
        <v>718</v>
      </c>
      <c r="N20" s="23" t="s">
        <v>927</v>
      </c>
      <c r="O20" s="23">
        <v>48</v>
      </c>
      <c r="P20" s="23" t="s">
        <v>989</v>
      </c>
      <c r="Q20" s="23">
        <v>45</v>
      </c>
      <c r="R20" s="23" t="s">
        <v>1144</v>
      </c>
      <c r="S20" s="24">
        <v>56</v>
      </c>
      <c r="T20" s="7">
        <v>1070</v>
      </c>
      <c r="U20" s="7" t="s">
        <v>1234</v>
      </c>
      <c r="V20" s="7" t="s">
        <v>1241</v>
      </c>
      <c r="W20" s="7" t="s">
        <v>1242</v>
      </c>
      <c r="X20" s="17"/>
      <c r="Y20" s="18"/>
      <c r="Z20" s="18"/>
      <c r="AA20" s="18"/>
      <c r="AB20" s="7" t="s">
        <v>1044</v>
      </c>
      <c r="AC20" s="8"/>
      <c r="AD20" s="8" t="s">
        <v>726</v>
      </c>
      <c r="AE20" s="8"/>
      <c r="AF20" s="8"/>
      <c r="AG20" s="8"/>
      <c r="AH20" s="8"/>
      <c r="AI20" s="8"/>
      <c r="AJ20" s="8"/>
      <c r="AK20" s="8"/>
      <c r="AL20" s="8"/>
      <c r="AM20" s="8" t="s">
        <v>726</v>
      </c>
      <c r="AN20" s="8"/>
      <c r="AO20" s="8"/>
      <c r="AP20" s="8"/>
      <c r="AQ20" s="8"/>
      <c r="AR20" s="8"/>
      <c r="AS20" s="8"/>
      <c r="AT20" s="8"/>
      <c r="AU20" s="8"/>
      <c r="AV20" s="8"/>
      <c r="AX20" s="142">
        <v>18</v>
      </c>
    </row>
    <row r="21" spans="1:50" ht="25.5">
      <c r="B21" s="27">
        <v>20</v>
      </c>
      <c r="C21" s="31">
        <v>120</v>
      </c>
      <c r="D21" s="31">
        <v>90</v>
      </c>
      <c r="E21" s="32">
        <v>0.66180555555555554</v>
      </c>
      <c r="F21" s="32">
        <v>0.66875000000000007</v>
      </c>
      <c r="G21" s="31" t="s">
        <v>457</v>
      </c>
      <c r="H21" s="31" t="s">
        <v>521</v>
      </c>
      <c r="I21" s="33">
        <v>4</v>
      </c>
      <c r="J21" s="34" t="s">
        <v>406</v>
      </c>
      <c r="K21" s="35">
        <v>45</v>
      </c>
      <c r="L21" s="36">
        <f>+K21*I21</f>
        <v>180</v>
      </c>
      <c r="M21" s="37" t="s">
        <v>718</v>
      </c>
      <c r="N21" s="23" t="s">
        <v>927</v>
      </c>
      <c r="O21" s="23">
        <v>48</v>
      </c>
      <c r="P21" s="23" t="s">
        <v>989</v>
      </c>
      <c r="Q21" s="23">
        <v>45</v>
      </c>
      <c r="R21" s="23" t="s">
        <v>1144</v>
      </c>
      <c r="S21" s="24">
        <v>56</v>
      </c>
      <c r="T21" s="7">
        <v>1070</v>
      </c>
      <c r="U21" s="7" t="s">
        <v>1234</v>
      </c>
      <c r="V21" s="7" t="s">
        <v>1241</v>
      </c>
      <c r="W21" s="7" t="s">
        <v>1242</v>
      </c>
      <c r="X21" s="18"/>
      <c r="Y21" s="17"/>
      <c r="Z21" s="18"/>
      <c r="AA21" s="18"/>
      <c r="AB21" s="7" t="s">
        <v>1043</v>
      </c>
      <c r="AC21" s="8" t="s">
        <v>726</v>
      </c>
      <c r="AD21" s="8"/>
      <c r="AE21" s="8"/>
      <c r="AF21" s="8"/>
      <c r="AG21" s="8"/>
      <c r="AH21" s="8"/>
      <c r="AI21" s="8"/>
      <c r="AJ21" s="8"/>
      <c r="AK21" s="8"/>
      <c r="AL21" s="8"/>
      <c r="AM21" s="8" t="s">
        <v>726</v>
      </c>
      <c r="AN21" s="8"/>
      <c r="AO21" s="8"/>
      <c r="AP21" s="8"/>
      <c r="AQ21" s="8"/>
      <c r="AR21" s="8"/>
      <c r="AS21" s="8"/>
      <c r="AT21" s="8"/>
      <c r="AU21" s="8"/>
      <c r="AV21" s="8"/>
      <c r="AX21" s="142">
        <v>12</v>
      </c>
    </row>
    <row r="22" spans="1:50" ht="33.75">
      <c r="A22" s="83" t="s">
        <v>2071</v>
      </c>
      <c r="B22" s="84">
        <v>21</v>
      </c>
      <c r="C22" s="85">
        <v>123</v>
      </c>
      <c r="D22" s="85">
        <v>172</v>
      </c>
      <c r="E22" s="86">
        <v>0.36805555555555558</v>
      </c>
      <c r="F22" s="86">
        <v>0.40138888888888885</v>
      </c>
      <c r="G22" s="85" t="s">
        <v>337</v>
      </c>
      <c r="H22" s="85" t="s">
        <v>423</v>
      </c>
      <c r="I22" s="87">
        <v>22</v>
      </c>
      <c r="J22" s="88" t="s">
        <v>101</v>
      </c>
      <c r="K22" s="94">
        <v>67</v>
      </c>
      <c r="L22" s="90">
        <f>+K22*I22</f>
        <v>1474</v>
      </c>
      <c r="M22" s="91" t="s">
        <v>731</v>
      </c>
      <c r="N22" s="104" t="s">
        <v>1921</v>
      </c>
      <c r="O22" s="104">
        <v>43</v>
      </c>
      <c r="P22" s="104" t="s">
        <v>1840</v>
      </c>
      <c r="Q22" s="104" t="s">
        <v>1147</v>
      </c>
      <c r="R22" s="83"/>
      <c r="S22" s="104"/>
      <c r="T22" s="95" t="s">
        <v>1243</v>
      </c>
      <c r="U22" s="95" t="s">
        <v>1244</v>
      </c>
      <c r="V22" s="95">
        <v>1255</v>
      </c>
      <c r="W22" s="95" t="s">
        <v>1245</v>
      </c>
      <c r="X22" s="105"/>
      <c r="Y22" s="107">
        <v>44815</v>
      </c>
      <c r="Z22" s="107"/>
      <c r="AA22" s="107"/>
      <c r="AB22" s="106" t="s">
        <v>1047</v>
      </c>
      <c r="AC22" s="106"/>
      <c r="AD22" s="106" t="s">
        <v>726</v>
      </c>
      <c r="AE22" s="106" t="s">
        <v>726</v>
      </c>
      <c r="AF22" s="106"/>
      <c r="AG22" s="106" t="s">
        <v>726</v>
      </c>
      <c r="AH22" s="106" t="s">
        <v>726</v>
      </c>
      <c r="AI22" s="106" t="s">
        <v>726</v>
      </c>
      <c r="AJ22" s="106" t="s">
        <v>726</v>
      </c>
      <c r="AK22" s="106" t="s">
        <v>726</v>
      </c>
      <c r="AL22" s="106" t="s">
        <v>726</v>
      </c>
      <c r="AM22" s="106"/>
      <c r="AN22" s="106"/>
      <c r="AO22" s="106"/>
      <c r="AP22" s="106"/>
      <c r="AQ22" s="106"/>
      <c r="AR22" s="106"/>
      <c r="AS22" s="106"/>
      <c r="AT22" s="106"/>
      <c r="AU22" s="106"/>
      <c r="AV22" s="106"/>
    </row>
    <row r="23" spans="1:50" ht="33.75">
      <c r="A23" s="83" t="s">
        <v>2071</v>
      </c>
      <c r="B23" s="84">
        <v>22</v>
      </c>
      <c r="C23" s="85">
        <v>123</v>
      </c>
      <c r="D23" s="85">
        <v>172</v>
      </c>
      <c r="E23" s="86">
        <v>0.36805555555555558</v>
      </c>
      <c r="F23" s="86">
        <v>0.39374999999999999</v>
      </c>
      <c r="G23" s="85" t="s">
        <v>501</v>
      </c>
      <c r="H23" s="85" t="s">
        <v>546</v>
      </c>
      <c r="I23" s="87">
        <v>22</v>
      </c>
      <c r="J23" s="88" t="s">
        <v>101</v>
      </c>
      <c r="K23" s="94">
        <v>13</v>
      </c>
      <c r="L23" s="90">
        <f>+K23*I23</f>
        <v>286</v>
      </c>
      <c r="M23" s="91" t="s">
        <v>731</v>
      </c>
      <c r="N23" s="104" t="s">
        <v>1921</v>
      </c>
      <c r="O23" s="104">
        <v>43</v>
      </c>
      <c r="P23" s="104" t="s">
        <v>1840</v>
      </c>
      <c r="Q23" s="104" t="s">
        <v>1147</v>
      </c>
      <c r="R23" s="83"/>
      <c r="S23" s="104"/>
      <c r="T23" s="95" t="s">
        <v>1243</v>
      </c>
      <c r="U23" s="95" t="s">
        <v>1244</v>
      </c>
      <c r="V23" s="95">
        <v>1255</v>
      </c>
      <c r="W23" s="95" t="s">
        <v>1245</v>
      </c>
      <c r="X23" s="105"/>
      <c r="Y23" s="107">
        <v>44815</v>
      </c>
      <c r="Z23" s="107"/>
      <c r="AA23" s="107"/>
      <c r="AB23" s="95" t="s">
        <v>1044</v>
      </c>
      <c r="AC23" s="106"/>
      <c r="AD23" s="106" t="s">
        <v>726</v>
      </c>
      <c r="AE23" s="106"/>
      <c r="AF23" s="106"/>
      <c r="AG23" s="106"/>
      <c r="AH23" s="106"/>
      <c r="AI23" s="106"/>
      <c r="AJ23" s="106"/>
      <c r="AK23" s="106"/>
      <c r="AL23" s="106"/>
      <c r="AM23" s="106" t="s">
        <v>726</v>
      </c>
      <c r="AN23" s="106"/>
      <c r="AO23" s="106"/>
      <c r="AP23" s="106"/>
      <c r="AQ23" s="106"/>
      <c r="AR23" s="106"/>
      <c r="AS23" s="106"/>
      <c r="AT23" s="106"/>
      <c r="AU23" s="106"/>
      <c r="AV23" s="106"/>
    </row>
    <row r="24" spans="1:50" ht="33.75">
      <c r="A24" s="83" t="s">
        <v>2071</v>
      </c>
      <c r="B24" s="84">
        <v>23</v>
      </c>
      <c r="C24" s="85">
        <v>123</v>
      </c>
      <c r="D24" s="85">
        <v>173</v>
      </c>
      <c r="E24" s="86">
        <v>0.40069444444444446</v>
      </c>
      <c r="F24" s="86">
        <v>0.42638888888888887</v>
      </c>
      <c r="G24" s="85" t="s">
        <v>338</v>
      </c>
      <c r="H24" s="85" t="s">
        <v>1</v>
      </c>
      <c r="I24" s="87">
        <v>22</v>
      </c>
      <c r="J24" s="88" t="s">
        <v>101</v>
      </c>
      <c r="K24" s="94">
        <v>67</v>
      </c>
      <c r="L24" s="90">
        <f>+K24*I24</f>
        <v>1474</v>
      </c>
      <c r="M24" s="91" t="s">
        <v>731</v>
      </c>
      <c r="N24" s="104" t="s">
        <v>1921</v>
      </c>
      <c r="O24" s="104">
        <v>43</v>
      </c>
      <c r="P24" s="104" t="s">
        <v>1840</v>
      </c>
      <c r="Q24" s="104" t="s">
        <v>1147</v>
      </c>
      <c r="R24" s="83"/>
      <c r="S24" s="104"/>
      <c r="T24" s="95">
        <v>1255</v>
      </c>
      <c r="U24" s="95" t="s">
        <v>1245</v>
      </c>
      <c r="V24" s="95" t="s">
        <v>1243</v>
      </c>
      <c r="W24" s="95" t="s">
        <v>1244</v>
      </c>
      <c r="X24" s="105"/>
      <c r="Y24" s="107">
        <v>44815</v>
      </c>
      <c r="Z24" s="107"/>
      <c r="AA24" s="107"/>
      <c r="AB24" s="106" t="s">
        <v>1047</v>
      </c>
      <c r="AC24" s="106"/>
      <c r="AD24" s="106" t="s">
        <v>726</v>
      </c>
      <c r="AE24" s="106" t="s">
        <v>726</v>
      </c>
      <c r="AF24" s="106"/>
      <c r="AG24" s="106" t="s">
        <v>726</v>
      </c>
      <c r="AH24" s="106" t="s">
        <v>726</v>
      </c>
      <c r="AI24" s="106" t="s">
        <v>726</v>
      </c>
      <c r="AJ24" s="106" t="s">
        <v>726</v>
      </c>
      <c r="AK24" s="106" t="s">
        <v>726</v>
      </c>
      <c r="AL24" s="106" t="s">
        <v>726</v>
      </c>
      <c r="AM24" s="106"/>
      <c r="AN24" s="106"/>
      <c r="AO24" s="106"/>
      <c r="AP24" s="106"/>
      <c r="AQ24" s="106"/>
      <c r="AR24" s="106"/>
      <c r="AS24" s="106"/>
      <c r="AT24" s="106"/>
      <c r="AU24" s="106"/>
      <c r="AV24" s="106"/>
    </row>
    <row r="25" spans="1:50" ht="33.75">
      <c r="A25" s="83" t="s">
        <v>2071</v>
      </c>
      <c r="B25" s="84">
        <v>24</v>
      </c>
      <c r="C25" s="85">
        <v>123</v>
      </c>
      <c r="D25" s="85">
        <v>173</v>
      </c>
      <c r="E25" s="86">
        <v>0.40069444444444446</v>
      </c>
      <c r="F25" s="86">
        <v>0.42638888888888887</v>
      </c>
      <c r="G25" s="85" t="s">
        <v>502</v>
      </c>
      <c r="H25" s="85" t="s">
        <v>546</v>
      </c>
      <c r="I25" s="87">
        <v>22</v>
      </c>
      <c r="J25" s="88" t="s">
        <v>101</v>
      </c>
      <c r="K25" s="94">
        <v>13</v>
      </c>
      <c r="L25" s="90">
        <f>+K25*I25</f>
        <v>286</v>
      </c>
      <c r="M25" s="91" t="s">
        <v>731</v>
      </c>
      <c r="N25" s="104" t="s">
        <v>1921</v>
      </c>
      <c r="O25" s="104">
        <v>43</v>
      </c>
      <c r="P25" s="104" t="s">
        <v>1840</v>
      </c>
      <c r="Q25" s="104" t="s">
        <v>1147</v>
      </c>
      <c r="R25" s="83"/>
      <c r="S25" s="104"/>
      <c r="T25" s="95">
        <v>1255</v>
      </c>
      <c r="U25" s="95" t="s">
        <v>1245</v>
      </c>
      <c r="V25" s="95" t="s">
        <v>1243</v>
      </c>
      <c r="W25" s="95" t="s">
        <v>1244</v>
      </c>
      <c r="X25" s="105"/>
      <c r="Y25" s="107">
        <v>44815</v>
      </c>
      <c r="Z25" s="107"/>
      <c r="AA25" s="107"/>
      <c r="AB25" s="95" t="s">
        <v>1044</v>
      </c>
      <c r="AC25" s="106"/>
      <c r="AD25" s="106" t="s">
        <v>726</v>
      </c>
      <c r="AE25" s="106"/>
      <c r="AF25" s="106"/>
      <c r="AG25" s="106"/>
      <c r="AH25" s="106"/>
      <c r="AI25" s="106"/>
      <c r="AJ25" s="106"/>
      <c r="AK25" s="106"/>
      <c r="AL25" s="106"/>
      <c r="AM25" s="106" t="s">
        <v>726</v>
      </c>
      <c r="AN25" s="106"/>
      <c r="AO25" s="106"/>
      <c r="AP25" s="106"/>
      <c r="AQ25" s="106"/>
      <c r="AR25" s="106"/>
      <c r="AS25" s="106"/>
      <c r="AT25" s="106"/>
      <c r="AU25" s="106"/>
      <c r="AV25" s="106"/>
    </row>
    <row r="26" spans="1:50" ht="33.75">
      <c r="B26" s="27">
        <v>25</v>
      </c>
      <c r="C26" s="31">
        <v>123</v>
      </c>
      <c r="D26" s="31">
        <v>174</v>
      </c>
      <c r="E26" s="123">
        <v>0.43055555555555558</v>
      </c>
      <c r="F26" s="123">
        <v>0.4465277777777778</v>
      </c>
      <c r="G26" s="31" t="s">
        <v>336</v>
      </c>
      <c r="H26" s="31" t="s">
        <v>1</v>
      </c>
      <c r="I26" s="33">
        <v>12</v>
      </c>
      <c r="J26" s="34" t="s">
        <v>101</v>
      </c>
      <c r="K26" s="35">
        <v>67</v>
      </c>
      <c r="L26" s="36">
        <f>+K26*I26</f>
        <v>804</v>
      </c>
      <c r="M26" s="37" t="s">
        <v>731</v>
      </c>
      <c r="N26" s="79" t="s">
        <v>2094</v>
      </c>
      <c r="O26" s="79">
        <v>56</v>
      </c>
      <c r="P26" s="23" t="s">
        <v>1840</v>
      </c>
      <c r="Q26" s="23" t="s">
        <v>1147</v>
      </c>
      <c r="R26" s="112" t="s">
        <v>2136</v>
      </c>
      <c r="S26" s="79">
        <v>57</v>
      </c>
      <c r="T26" s="7" t="s">
        <v>1243</v>
      </c>
      <c r="U26" s="7" t="s">
        <v>1244</v>
      </c>
      <c r="V26" s="7" t="s">
        <v>1246</v>
      </c>
      <c r="W26" s="7" t="s">
        <v>1247</v>
      </c>
      <c r="X26" s="17"/>
      <c r="Y26" s="18"/>
      <c r="Z26" s="18"/>
      <c r="AA26" s="18"/>
      <c r="AB26" s="8" t="s">
        <v>1047</v>
      </c>
      <c r="AC26" s="8"/>
      <c r="AD26" s="8" t="s">
        <v>726</v>
      </c>
      <c r="AE26" s="8" t="s">
        <v>726</v>
      </c>
      <c r="AF26" s="8"/>
      <c r="AG26" s="8" t="s">
        <v>726</v>
      </c>
      <c r="AH26" s="8" t="s">
        <v>726</v>
      </c>
      <c r="AI26" s="8" t="s">
        <v>726</v>
      </c>
      <c r="AJ26" s="8" t="s">
        <v>726</v>
      </c>
      <c r="AK26" s="8" t="s">
        <v>726</v>
      </c>
      <c r="AL26" s="8" t="s">
        <v>726</v>
      </c>
      <c r="AM26" s="8"/>
      <c r="AN26" s="8"/>
      <c r="AO26" s="8"/>
      <c r="AP26" s="8"/>
      <c r="AQ26" s="8"/>
      <c r="AR26" s="8"/>
      <c r="AS26" s="8"/>
      <c r="AT26" s="8"/>
      <c r="AU26" s="8"/>
      <c r="AV26" s="8"/>
      <c r="AX26" s="142">
        <v>36</v>
      </c>
    </row>
    <row r="27" spans="1:50" ht="33.75">
      <c r="B27" s="27">
        <v>26</v>
      </c>
      <c r="C27" s="31">
        <v>123</v>
      </c>
      <c r="D27" s="31">
        <v>174</v>
      </c>
      <c r="E27" s="123">
        <v>0.43055555555555558</v>
      </c>
      <c r="F27" s="123">
        <v>0.4465277777777778</v>
      </c>
      <c r="G27" s="31" t="s">
        <v>336</v>
      </c>
      <c r="H27" s="31" t="s">
        <v>1044</v>
      </c>
      <c r="I27" s="33">
        <v>12</v>
      </c>
      <c r="J27" s="34" t="s">
        <v>101</v>
      </c>
      <c r="K27" s="35">
        <v>13</v>
      </c>
      <c r="L27" s="36">
        <f>+K27*I27</f>
        <v>156</v>
      </c>
      <c r="M27" s="37" t="s">
        <v>731</v>
      </c>
      <c r="N27" s="79" t="s">
        <v>2094</v>
      </c>
      <c r="O27" s="79">
        <v>56</v>
      </c>
      <c r="P27" s="23" t="s">
        <v>1840</v>
      </c>
      <c r="Q27" s="23" t="s">
        <v>1147</v>
      </c>
      <c r="R27" s="112" t="s">
        <v>2136</v>
      </c>
      <c r="S27" s="79">
        <v>57</v>
      </c>
      <c r="T27" s="7" t="s">
        <v>1243</v>
      </c>
      <c r="U27" s="7" t="s">
        <v>1244</v>
      </c>
      <c r="V27" s="7" t="s">
        <v>1246</v>
      </c>
      <c r="W27" s="7" t="s">
        <v>1247</v>
      </c>
      <c r="X27" s="17"/>
      <c r="Y27" s="18"/>
      <c r="Z27" s="18"/>
      <c r="AA27" s="18"/>
      <c r="AB27" s="7" t="s">
        <v>1044</v>
      </c>
      <c r="AC27" s="8"/>
      <c r="AD27" s="8" t="s">
        <v>726</v>
      </c>
      <c r="AE27" s="8"/>
      <c r="AF27" s="8"/>
      <c r="AG27" s="8"/>
      <c r="AH27" s="8"/>
      <c r="AI27" s="8"/>
      <c r="AJ27" s="8"/>
      <c r="AK27" s="8"/>
      <c r="AL27" s="8"/>
      <c r="AM27" s="8" t="s">
        <v>726</v>
      </c>
      <c r="AN27" s="8"/>
      <c r="AO27" s="8"/>
      <c r="AP27" s="8"/>
      <c r="AQ27" s="8"/>
      <c r="AR27" s="8"/>
      <c r="AS27" s="8"/>
      <c r="AT27" s="8"/>
      <c r="AU27" s="8"/>
      <c r="AV27" s="8"/>
      <c r="AX27" s="142">
        <v>36</v>
      </c>
    </row>
    <row r="28" spans="1:50" ht="33.75">
      <c r="A28" s="45" t="s">
        <v>1104</v>
      </c>
      <c r="B28" s="27">
        <v>27</v>
      </c>
      <c r="C28" s="31">
        <v>123</v>
      </c>
      <c r="D28" s="31">
        <v>175</v>
      </c>
      <c r="E28" s="123">
        <v>0.44861111111111113</v>
      </c>
      <c r="F28" s="123">
        <v>0.46458333333333335</v>
      </c>
      <c r="G28" s="31" t="s">
        <v>335</v>
      </c>
      <c r="H28" s="43" t="s">
        <v>1</v>
      </c>
      <c r="I28" s="33">
        <v>12</v>
      </c>
      <c r="J28" s="34" t="s">
        <v>101</v>
      </c>
      <c r="K28" s="46">
        <v>67</v>
      </c>
      <c r="L28" s="36">
        <f>+K28*I28</f>
        <v>804</v>
      </c>
      <c r="M28" s="37" t="s">
        <v>731</v>
      </c>
      <c r="N28" s="79" t="s">
        <v>2094</v>
      </c>
      <c r="O28" s="79">
        <v>56</v>
      </c>
      <c r="P28" s="23" t="s">
        <v>1840</v>
      </c>
      <c r="Q28" s="23" t="s">
        <v>1147</v>
      </c>
      <c r="R28" s="112" t="s">
        <v>2136</v>
      </c>
      <c r="S28" s="79">
        <v>57</v>
      </c>
      <c r="T28" s="7" t="s">
        <v>1246</v>
      </c>
      <c r="U28" s="7" t="s">
        <v>1248</v>
      </c>
      <c r="V28" s="7" t="s">
        <v>1243</v>
      </c>
      <c r="W28" s="7" t="s">
        <v>1244</v>
      </c>
      <c r="X28" s="17"/>
      <c r="Y28" s="18"/>
      <c r="Z28" s="18"/>
      <c r="AA28" s="18"/>
      <c r="AB28" s="8" t="s">
        <v>1047</v>
      </c>
      <c r="AC28" s="8"/>
      <c r="AD28" s="8" t="s">
        <v>726</v>
      </c>
      <c r="AE28" s="8" t="s">
        <v>726</v>
      </c>
      <c r="AF28" s="8"/>
      <c r="AG28" s="8" t="s">
        <v>726</v>
      </c>
      <c r="AH28" s="8" t="s">
        <v>726</v>
      </c>
      <c r="AI28" s="8" t="s">
        <v>726</v>
      </c>
      <c r="AJ28" s="8" t="s">
        <v>726</v>
      </c>
      <c r="AK28" s="8" t="s">
        <v>726</v>
      </c>
      <c r="AL28" s="8" t="s">
        <v>726</v>
      </c>
      <c r="AM28" s="8"/>
      <c r="AN28" s="8"/>
      <c r="AO28" s="8"/>
      <c r="AP28" s="8"/>
      <c r="AQ28" s="8"/>
      <c r="AR28" s="8"/>
      <c r="AS28" s="8"/>
      <c r="AT28" s="8"/>
      <c r="AU28" s="8"/>
      <c r="AV28" s="8"/>
      <c r="AX28" s="142">
        <v>36</v>
      </c>
    </row>
    <row r="29" spans="1:50" ht="33.75">
      <c r="B29" s="27">
        <v>28</v>
      </c>
      <c r="C29" s="31">
        <v>123</v>
      </c>
      <c r="D29" s="31">
        <v>175</v>
      </c>
      <c r="E29" s="123">
        <v>0.44861111111111113</v>
      </c>
      <c r="F29" s="123">
        <v>0.46458333333333335</v>
      </c>
      <c r="G29" s="31" t="s">
        <v>335</v>
      </c>
      <c r="H29" s="31" t="s">
        <v>1044</v>
      </c>
      <c r="I29" s="33">
        <v>12</v>
      </c>
      <c r="J29" s="34" t="s">
        <v>101</v>
      </c>
      <c r="K29" s="35">
        <v>13</v>
      </c>
      <c r="L29" s="36">
        <f>+K29*I29</f>
        <v>156</v>
      </c>
      <c r="M29" s="37" t="s">
        <v>731</v>
      </c>
      <c r="N29" s="79" t="s">
        <v>2094</v>
      </c>
      <c r="O29" s="79">
        <v>56</v>
      </c>
      <c r="P29" s="23" t="s">
        <v>1840</v>
      </c>
      <c r="Q29" s="23" t="s">
        <v>1147</v>
      </c>
      <c r="R29" s="112" t="s">
        <v>2136</v>
      </c>
      <c r="S29" s="79">
        <v>57</v>
      </c>
      <c r="T29" s="7" t="s">
        <v>1246</v>
      </c>
      <c r="U29" s="7" t="s">
        <v>1248</v>
      </c>
      <c r="V29" s="7" t="s">
        <v>1243</v>
      </c>
      <c r="W29" s="7" t="s">
        <v>1244</v>
      </c>
      <c r="X29" s="17"/>
      <c r="Y29" s="18"/>
      <c r="Z29" s="18"/>
      <c r="AA29" s="18"/>
      <c r="AB29" s="7" t="s">
        <v>1044</v>
      </c>
      <c r="AC29" s="8"/>
      <c r="AD29" s="8" t="s">
        <v>726</v>
      </c>
      <c r="AE29" s="8"/>
      <c r="AF29" s="8"/>
      <c r="AG29" s="8"/>
      <c r="AH29" s="8"/>
      <c r="AI29" s="8"/>
      <c r="AJ29" s="8"/>
      <c r="AK29" s="8"/>
      <c r="AL29" s="8"/>
      <c r="AM29" s="8" t="s">
        <v>726</v>
      </c>
      <c r="AN29" s="8"/>
      <c r="AO29" s="8"/>
      <c r="AP29" s="8"/>
      <c r="AQ29" s="8"/>
      <c r="AR29" s="8"/>
      <c r="AS29" s="8"/>
      <c r="AT29" s="8"/>
      <c r="AU29" s="8"/>
      <c r="AV29" s="8"/>
      <c r="AX29" s="142">
        <v>36</v>
      </c>
    </row>
    <row r="30" spans="1:50" ht="33.75">
      <c r="B30" s="27">
        <v>29</v>
      </c>
      <c r="C30" s="31">
        <v>123</v>
      </c>
      <c r="D30" s="31">
        <v>176</v>
      </c>
      <c r="E30" s="123">
        <v>0.47222222222222227</v>
      </c>
      <c r="F30" s="123">
        <v>0.48819444444444443</v>
      </c>
      <c r="G30" s="31" t="s">
        <v>336</v>
      </c>
      <c r="H30" s="31" t="s">
        <v>1</v>
      </c>
      <c r="I30" s="33">
        <v>12</v>
      </c>
      <c r="J30" s="34" t="s">
        <v>101</v>
      </c>
      <c r="K30" s="35">
        <v>67</v>
      </c>
      <c r="L30" s="36">
        <f>+K30*I30</f>
        <v>804</v>
      </c>
      <c r="M30" s="37" t="s">
        <v>731</v>
      </c>
      <c r="N30" s="79" t="s">
        <v>2094</v>
      </c>
      <c r="O30" s="79">
        <v>56</v>
      </c>
      <c r="P30" s="23" t="s">
        <v>1840</v>
      </c>
      <c r="Q30" s="23" t="s">
        <v>1147</v>
      </c>
      <c r="R30" s="112" t="s">
        <v>2136</v>
      </c>
      <c r="S30" s="79">
        <v>57</v>
      </c>
      <c r="T30" s="7" t="s">
        <v>1243</v>
      </c>
      <c r="U30" s="7" t="s">
        <v>1244</v>
      </c>
      <c r="V30" s="7" t="s">
        <v>1246</v>
      </c>
      <c r="W30" s="7" t="s">
        <v>1247</v>
      </c>
      <c r="X30" s="17"/>
      <c r="Y30" s="18"/>
      <c r="Z30" s="18"/>
      <c r="AA30" s="18"/>
      <c r="AB30" s="8" t="s">
        <v>1047</v>
      </c>
      <c r="AC30" s="8"/>
      <c r="AD30" s="8" t="s">
        <v>726</v>
      </c>
      <c r="AE30" s="8" t="s">
        <v>726</v>
      </c>
      <c r="AF30" s="8"/>
      <c r="AG30" s="8" t="s">
        <v>726</v>
      </c>
      <c r="AH30" s="8" t="s">
        <v>726</v>
      </c>
      <c r="AI30" s="8" t="s">
        <v>726</v>
      </c>
      <c r="AJ30" s="8" t="s">
        <v>726</v>
      </c>
      <c r="AK30" s="8" t="s">
        <v>726</v>
      </c>
      <c r="AL30" s="8" t="s">
        <v>726</v>
      </c>
      <c r="AM30" s="8"/>
      <c r="AN30" s="8"/>
      <c r="AO30" s="8"/>
      <c r="AP30" s="8"/>
      <c r="AQ30" s="8"/>
      <c r="AR30" s="8"/>
      <c r="AS30" s="8"/>
      <c r="AT30" s="8"/>
      <c r="AU30" s="8"/>
      <c r="AV30" s="8"/>
      <c r="AX30" s="142">
        <v>36</v>
      </c>
    </row>
    <row r="31" spans="1:50" ht="33.75">
      <c r="B31" s="27">
        <v>30</v>
      </c>
      <c r="C31" s="31">
        <v>123</v>
      </c>
      <c r="D31" s="31">
        <v>176</v>
      </c>
      <c r="E31" s="123">
        <v>0.47222222222222227</v>
      </c>
      <c r="F31" s="123">
        <v>0.48819444444444443</v>
      </c>
      <c r="G31" s="31" t="s">
        <v>336</v>
      </c>
      <c r="H31" s="31" t="s">
        <v>1044</v>
      </c>
      <c r="I31" s="33">
        <v>12</v>
      </c>
      <c r="J31" s="34" t="s">
        <v>101</v>
      </c>
      <c r="K31" s="35">
        <v>13</v>
      </c>
      <c r="L31" s="36">
        <f>+K31*I31</f>
        <v>156</v>
      </c>
      <c r="M31" s="37" t="s">
        <v>731</v>
      </c>
      <c r="N31" s="79" t="s">
        <v>2094</v>
      </c>
      <c r="O31" s="79">
        <v>56</v>
      </c>
      <c r="P31" s="23" t="s">
        <v>1840</v>
      </c>
      <c r="Q31" s="23" t="s">
        <v>1147</v>
      </c>
      <c r="R31" s="112" t="s">
        <v>2136</v>
      </c>
      <c r="S31" s="79">
        <v>57</v>
      </c>
      <c r="T31" s="7" t="s">
        <v>1243</v>
      </c>
      <c r="U31" s="7" t="s">
        <v>1244</v>
      </c>
      <c r="V31" s="7" t="s">
        <v>1246</v>
      </c>
      <c r="W31" s="7" t="s">
        <v>1247</v>
      </c>
      <c r="X31" s="17"/>
      <c r="Y31" s="18"/>
      <c r="Z31" s="18"/>
      <c r="AA31" s="18"/>
      <c r="AB31" s="7" t="s">
        <v>1044</v>
      </c>
      <c r="AC31" s="8"/>
      <c r="AD31" s="8" t="s">
        <v>726</v>
      </c>
      <c r="AE31" s="8"/>
      <c r="AF31" s="8"/>
      <c r="AG31" s="8"/>
      <c r="AH31" s="8"/>
      <c r="AI31" s="8"/>
      <c r="AJ31" s="8"/>
      <c r="AK31" s="8"/>
      <c r="AL31" s="8"/>
      <c r="AM31" s="8" t="s">
        <v>726</v>
      </c>
      <c r="AN31" s="8"/>
      <c r="AO31" s="8"/>
      <c r="AP31" s="8"/>
      <c r="AQ31" s="8"/>
      <c r="AR31" s="8"/>
      <c r="AS31" s="8"/>
      <c r="AT31" s="8"/>
      <c r="AU31" s="8"/>
      <c r="AV31" s="8"/>
      <c r="AX31" s="142">
        <v>36</v>
      </c>
    </row>
    <row r="32" spans="1:50" ht="33.75">
      <c r="B32" s="27">
        <v>31</v>
      </c>
      <c r="C32" s="31">
        <v>123</v>
      </c>
      <c r="D32" s="31">
        <v>177</v>
      </c>
      <c r="E32" s="123">
        <v>0.49027777777777781</v>
      </c>
      <c r="F32" s="123">
        <v>0.50624999999999998</v>
      </c>
      <c r="G32" s="31" t="s">
        <v>335</v>
      </c>
      <c r="H32" s="31" t="s">
        <v>1</v>
      </c>
      <c r="I32" s="33">
        <v>12</v>
      </c>
      <c r="J32" s="34" t="s">
        <v>101</v>
      </c>
      <c r="K32" s="35">
        <v>67</v>
      </c>
      <c r="L32" s="36">
        <f>+K32*I32</f>
        <v>804</v>
      </c>
      <c r="M32" s="37" t="s">
        <v>731</v>
      </c>
      <c r="N32" s="79" t="s">
        <v>2094</v>
      </c>
      <c r="O32" s="79">
        <v>56</v>
      </c>
      <c r="P32" s="23" t="s">
        <v>1840</v>
      </c>
      <c r="Q32" s="23" t="s">
        <v>1147</v>
      </c>
      <c r="R32" s="112" t="s">
        <v>2136</v>
      </c>
      <c r="S32" s="79">
        <v>57</v>
      </c>
      <c r="T32" s="7" t="s">
        <v>1246</v>
      </c>
      <c r="U32" s="7" t="s">
        <v>1248</v>
      </c>
      <c r="V32" s="7" t="s">
        <v>1243</v>
      </c>
      <c r="W32" s="7" t="s">
        <v>1244</v>
      </c>
      <c r="X32" s="17"/>
      <c r="Y32" s="18"/>
      <c r="Z32" s="18"/>
      <c r="AA32" s="18"/>
      <c r="AB32" s="8" t="s">
        <v>1047</v>
      </c>
      <c r="AC32" s="8"/>
      <c r="AD32" s="8" t="s">
        <v>726</v>
      </c>
      <c r="AE32" s="8" t="s">
        <v>726</v>
      </c>
      <c r="AF32" s="8"/>
      <c r="AG32" s="8" t="s">
        <v>726</v>
      </c>
      <c r="AH32" s="8" t="s">
        <v>726</v>
      </c>
      <c r="AI32" s="8" t="s">
        <v>726</v>
      </c>
      <c r="AJ32" s="8" t="s">
        <v>726</v>
      </c>
      <c r="AK32" s="8" t="s">
        <v>726</v>
      </c>
      <c r="AL32" s="8" t="s">
        <v>726</v>
      </c>
      <c r="AM32" s="8"/>
      <c r="AN32" s="8"/>
      <c r="AO32" s="8"/>
      <c r="AP32" s="8"/>
      <c r="AQ32" s="8"/>
      <c r="AR32" s="8"/>
      <c r="AS32" s="8"/>
      <c r="AT32" s="8"/>
      <c r="AU32" s="8"/>
      <c r="AV32" s="8"/>
      <c r="AX32" s="142">
        <v>36</v>
      </c>
    </row>
    <row r="33" spans="1:50" ht="33.75">
      <c r="B33" s="27">
        <v>32</v>
      </c>
      <c r="C33" s="31">
        <v>123</v>
      </c>
      <c r="D33" s="31">
        <v>177</v>
      </c>
      <c r="E33" s="123">
        <v>0.49027777777777781</v>
      </c>
      <c r="F33" s="123">
        <v>0.50624999999999998</v>
      </c>
      <c r="G33" s="31" t="s">
        <v>335</v>
      </c>
      <c r="H33" s="31" t="s">
        <v>1044</v>
      </c>
      <c r="I33" s="33">
        <v>12</v>
      </c>
      <c r="J33" s="34" t="s">
        <v>101</v>
      </c>
      <c r="K33" s="35">
        <v>13</v>
      </c>
      <c r="L33" s="36">
        <f>+K33*I33</f>
        <v>156</v>
      </c>
      <c r="M33" s="37" t="s">
        <v>731</v>
      </c>
      <c r="N33" s="79" t="s">
        <v>2094</v>
      </c>
      <c r="O33" s="79">
        <v>56</v>
      </c>
      <c r="P33" s="23" t="s">
        <v>1840</v>
      </c>
      <c r="Q33" s="23" t="s">
        <v>1147</v>
      </c>
      <c r="R33" s="112" t="s">
        <v>2136</v>
      </c>
      <c r="S33" s="79">
        <v>57</v>
      </c>
      <c r="T33" s="7" t="s">
        <v>1246</v>
      </c>
      <c r="U33" s="7" t="s">
        <v>1248</v>
      </c>
      <c r="V33" s="7" t="s">
        <v>1243</v>
      </c>
      <c r="W33" s="7" t="s">
        <v>1244</v>
      </c>
      <c r="X33" s="17"/>
      <c r="Y33" s="18"/>
      <c r="Z33" s="18"/>
      <c r="AA33" s="18"/>
      <c r="AB33" s="7" t="s">
        <v>1044</v>
      </c>
      <c r="AC33" s="8"/>
      <c r="AD33" s="8" t="s">
        <v>726</v>
      </c>
      <c r="AE33" s="8"/>
      <c r="AF33" s="8"/>
      <c r="AG33" s="8"/>
      <c r="AH33" s="8"/>
      <c r="AI33" s="8"/>
      <c r="AJ33" s="8"/>
      <c r="AK33" s="8"/>
      <c r="AL33" s="8"/>
      <c r="AM33" s="8" t="s">
        <v>726</v>
      </c>
      <c r="AN33" s="8"/>
      <c r="AO33" s="8"/>
      <c r="AP33" s="8"/>
      <c r="AQ33" s="8"/>
      <c r="AR33" s="8"/>
      <c r="AS33" s="8"/>
      <c r="AT33" s="8"/>
      <c r="AU33" s="8"/>
      <c r="AV33" s="8"/>
      <c r="AX33" s="142">
        <v>36</v>
      </c>
    </row>
    <row r="34" spans="1:50" ht="33.75">
      <c r="B34" s="27">
        <v>33</v>
      </c>
      <c r="C34" s="31">
        <v>123</v>
      </c>
      <c r="D34" s="31">
        <v>178</v>
      </c>
      <c r="E34" s="123">
        <v>0.59722222222222221</v>
      </c>
      <c r="F34" s="123">
        <v>0.61319444444444449</v>
      </c>
      <c r="G34" s="31" t="s">
        <v>336</v>
      </c>
      <c r="H34" s="31" t="s">
        <v>1</v>
      </c>
      <c r="I34" s="33">
        <v>12</v>
      </c>
      <c r="J34" s="34" t="s">
        <v>101</v>
      </c>
      <c r="K34" s="35">
        <v>67</v>
      </c>
      <c r="L34" s="36">
        <f>+K34*I34</f>
        <v>804</v>
      </c>
      <c r="M34" s="37" t="s">
        <v>731</v>
      </c>
      <c r="N34" s="79" t="s">
        <v>2094</v>
      </c>
      <c r="O34" s="79">
        <v>56</v>
      </c>
      <c r="P34" s="23" t="s">
        <v>1840</v>
      </c>
      <c r="Q34" s="23" t="s">
        <v>1147</v>
      </c>
      <c r="R34" s="112" t="s">
        <v>2136</v>
      </c>
      <c r="S34" s="79">
        <v>57</v>
      </c>
      <c r="T34" s="7" t="s">
        <v>1243</v>
      </c>
      <c r="U34" s="7" t="s">
        <v>1244</v>
      </c>
      <c r="V34" s="7" t="s">
        <v>1246</v>
      </c>
      <c r="W34" s="7" t="s">
        <v>1247</v>
      </c>
      <c r="X34" s="17"/>
      <c r="Y34" s="18"/>
      <c r="Z34" s="18"/>
      <c r="AA34" s="18"/>
      <c r="AB34" s="8" t="s">
        <v>1047</v>
      </c>
      <c r="AC34" s="8"/>
      <c r="AD34" s="8" t="s">
        <v>726</v>
      </c>
      <c r="AE34" s="8" t="s">
        <v>726</v>
      </c>
      <c r="AF34" s="8"/>
      <c r="AG34" s="8" t="s">
        <v>726</v>
      </c>
      <c r="AH34" s="8" t="s">
        <v>726</v>
      </c>
      <c r="AI34" s="8" t="s">
        <v>726</v>
      </c>
      <c r="AJ34" s="8" t="s">
        <v>726</v>
      </c>
      <c r="AK34" s="8" t="s">
        <v>726</v>
      </c>
      <c r="AL34" s="8" t="s">
        <v>726</v>
      </c>
      <c r="AM34" s="8"/>
      <c r="AN34" s="8"/>
      <c r="AO34" s="8"/>
      <c r="AP34" s="8"/>
      <c r="AQ34" s="8"/>
      <c r="AR34" s="8"/>
      <c r="AS34" s="8"/>
      <c r="AT34" s="8"/>
      <c r="AU34" s="8"/>
      <c r="AV34" s="8"/>
      <c r="AX34" s="142">
        <v>36</v>
      </c>
    </row>
    <row r="35" spans="1:50" ht="33.75">
      <c r="B35" s="27">
        <v>34</v>
      </c>
      <c r="C35" s="31">
        <v>123</v>
      </c>
      <c r="D35" s="31">
        <v>178</v>
      </c>
      <c r="E35" s="123">
        <v>0.59722222222222221</v>
      </c>
      <c r="F35" s="123">
        <v>0.61319444444444449</v>
      </c>
      <c r="G35" s="31" t="s">
        <v>336</v>
      </c>
      <c r="H35" s="31" t="s">
        <v>1044</v>
      </c>
      <c r="I35" s="33">
        <v>12</v>
      </c>
      <c r="J35" s="34" t="s">
        <v>101</v>
      </c>
      <c r="K35" s="35">
        <v>13</v>
      </c>
      <c r="L35" s="36">
        <f>+K35*I35</f>
        <v>156</v>
      </c>
      <c r="M35" s="37" t="s">
        <v>731</v>
      </c>
      <c r="N35" s="79" t="s">
        <v>2094</v>
      </c>
      <c r="O35" s="79">
        <v>56</v>
      </c>
      <c r="P35" s="23" t="s">
        <v>1840</v>
      </c>
      <c r="Q35" s="23" t="s">
        <v>1147</v>
      </c>
      <c r="R35" s="112" t="s">
        <v>2136</v>
      </c>
      <c r="S35" s="79">
        <v>57</v>
      </c>
      <c r="T35" s="7" t="s">
        <v>1243</v>
      </c>
      <c r="U35" s="7" t="s">
        <v>1244</v>
      </c>
      <c r="V35" s="7" t="s">
        <v>1246</v>
      </c>
      <c r="W35" s="7" t="s">
        <v>1247</v>
      </c>
      <c r="X35" s="17"/>
      <c r="Y35" s="18"/>
      <c r="Z35" s="18"/>
      <c r="AA35" s="18"/>
      <c r="AB35" s="7" t="s">
        <v>1044</v>
      </c>
      <c r="AC35" s="8"/>
      <c r="AD35" s="8" t="s">
        <v>726</v>
      </c>
      <c r="AE35" s="8"/>
      <c r="AF35" s="8"/>
      <c r="AG35" s="8"/>
      <c r="AH35" s="8"/>
      <c r="AI35" s="8"/>
      <c r="AJ35" s="8"/>
      <c r="AK35" s="8"/>
      <c r="AL35" s="8"/>
      <c r="AM35" s="8" t="s">
        <v>726</v>
      </c>
      <c r="AN35" s="8"/>
      <c r="AO35" s="8"/>
      <c r="AP35" s="8"/>
      <c r="AQ35" s="8"/>
      <c r="AR35" s="8"/>
      <c r="AS35" s="8"/>
      <c r="AT35" s="8"/>
      <c r="AU35" s="8"/>
      <c r="AV35" s="8"/>
      <c r="AX35" s="142">
        <v>36</v>
      </c>
    </row>
    <row r="36" spans="1:50" ht="33.75">
      <c r="B36" s="27">
        <v>35</v>
      </c>
      <c r="C36" s="31">
        <v>123</v>
      </c>
      <c r="D36" s="31">
        <v>179</v>
      </c>
      <c r="E36" s="123">
        <v>0.61527777777777781</v>
      </c>
      <c r="F36" s="123">
        <v>0.63124999999999998</v>
      </c>
      <c r="G36" s="31" t="s">
        <v>335</v>
      </c>
      <c r="H36" s="31" t="s">
        <v>1</v>
      </c>
      <c r="I36" s="33">
        <v>12</v>
      </c>
      <c r="J36" s="34" t="s">
        <v>101</v>
      </c>
      <c r="K36" s="35">
        <v>67</v>
      </c>
      <c r="L36" s="36">
        <f>+K36*I36</f>
        <v>804</v>
      </c>
      <c r="M36" s="37" t="s">
        <v>731</v>
      </c>
      <c r="N36" s="79" t="s">
        <v>2094</v>
      </c>
      <c r="O36" s="79">
        <v>56</v>
      </c>
      <c r="P36" s="23" t="s">
        <v>1840</v>
      </c>
      <c r="Q36" s="23" t="s">
        <v>1147</v>
      </c>
      <c r="R36" s="112" t="s">
        <v>2136</v>
      </c>
      <c r="S36" s="79">
        <v>57</v>
      </c>
      <c r="T36" s="7" t="s">
        <v>1246</v>
      </c>
      <c r="U36" s="7" t="s">
        <v>1248</v>
      </c>
      <c r="V36" s="7" t="s">
        <v>1243</v>
      </c>
      <c r="W36" s="7" t="s">
        <v>1244</v>
      </c>
      <c r="X36" s="17"/>
      <c r="Y36" s="18"/>
      <c r="Z36" s="18"/>
      <c r="AA36" s="18"/>
      <c r="AB36" s="8" t="s">
        <v>1047</v>
      </c>
      <c r="AC36" s="8"/>
      <c r="AD36" s="8" t="s">
        <v>726</v>
      </c>
      <c r="AE36" s="8" t="s">
        <v>726</v>
      </c>
      <c r="AF36" s="8"/>
      <c r="AG36" s="8" t="s">
        <v>726</v>
      </c>
      <c r="AH36" s="8" t="s">
        <v>726</v>
      </c>
      <c r="AI36" s="8" t="s">
        <v>726</v>
      </c>
      <c r="AJ36" s="8" t="s">
        <v>726</v>
      </c>
      <c r="AK36" s="8" t="s">
        <v>726</v>
      </c>
      <c r="AL36" s="8" t="s">
        <v>726</v>
      </c>
      <c r="AM36" s="8"/>
      <c r="AN36" s="8"/>
      <c r="AO36" s="8"/>
      <c r="AP36" s="8"/>
      <c r="AQ36" s="8"/>
      <c r="AR36" s="8"/>
      <c r="AS36" s="8"/>
      <c r="AT36" s="8"/>
      <c r="AU36" s="8"/>
      <c r="AV36" s="8"/>
      <c r="AX36" s="142">
        <v>36</v>
      </c>
    </row>
    <row r="37" spans="1:50" ht="33.75">
      <c r="B37" s="27">
        <v>36</v>
      </c>
      <c r="C37" s="31">
        <v>123</v>
      </c>
      <c r="D37" s="31">
        <v>179</v>
      </c>
      <c r="E37" s="123">
        <v>0.61527777777777781</v>
      </c>
      <c r="F37" s="123">
        <v>0.63124999999999998</v>
      </c>
      <c r="G37" s="31" t="s">
        <v>335</v>
      </c>
      <c r="H37" s="31" t="s">
        <v>1044</v>
      </c>
      <c r="I37" s="33">
        <v>12</v>
      </c>
      <c r="J37" s="34" t="s">
        <v>101</v>
      </c>
      <c r="K37" s="35">
        <v>13</v>
      </c>
      <c r="L37" s="36">
        <f>+K37*I37</f>
        <v>156</v>
      </c>
      <c r="M37" s="37" t="s">
        <v>731</v>
      </c>
      <c r="N37" s="79" t="s">
        <v>2094</v>
      </c>
      <c r="O37" s="79">
        <v>56</v>
      </c>
      <c r="P37" s="23" t="s">
        <v>1840</v>
      </c>
      <c r="Q37" s="23" t="s">
        <v>1147</v>
      </c>
      <c r="R37" s="112" t="s">
        <v>2136</v>
      </c>
      <c r="S37" s="79">
        <v>57</v>
      </c>
      <c r="T37" s="7" t="s">
        <v>1246</v>
      </c>
      <c r="U37" s="7" t="s">
        <v>1248</v>
      </c>
      <c r="V37" s="7" t="s">
        <v>1243</v>
      </c>
      <c r="W37" s="7" t="s">
        <v>1244</v>
      </c>
      <c r="X37" s="17"/>
      <c r="Y37" s="18"/>
      <c r="Z37" s="18"/>
      <c r="AA37" s="18"/>
      <c r="AB37" s="7" t="s">
        <v>1044</v>
      </c>
      <c r="AC37" s="8"/>
      <c r="AD37" s="8" t="s">
        <v>726</v>
      </c>
      <c r="AE37" s="8"/>
      <c r="AF37" s="8"/>
      <c r="AG37" s="8"/>
      <c r="AH37" s="8"/>
      <c r="AI37" s="8"/>
      <c r="AJ37" s="8"/>
      <c r="AK37" s="8"/>
      <c r="AL37" s="8"/>
      <c r="AM37" s="8" t="s">
        <v>726</v>
      </c>
      <c r="AN37" s="8"/>
      <c r="AO37" s="8"/>
      <c r="AP37" s="8"/>
      <c r="AQ37" s="8"/>
      <c r="AR37" s="8"/>
      <c r="AS37" s="8"/>
      <c r="AT37" s="8"/>
      <c r="AU37" s="8"/>
      <c r="AV37" s="8"/>
      <c r="AX37" s="142">
        <v>36</v>
      </c>
    </row>
    <row r="38" spans="1:50" ht="33.75">
      <c r="B38" s="27">
        <v>37</v>
      </c>
      <c r="C38" s="31">
        <v>123</v>
      </c>
      <c r="D38" s="31">
        <v>180</v>
      </c>
      <c r="E38" s="123">
        <v>0.63888888888888895</v>
      </c>
      <c r="F38" s="123">
        <v>0.65486111111111112</v>
      </c>
      <c r="G38" s="31" t="s">
        <v>336</v>
      </c>
      <c r="H38" s="31" t="s">
        <v>1</v>
      </c>
      <c r="I38" s="33">
        <v>12</v>
      </c>
      <c r="J38" s="34" t="s">
        <v>101</v>
      </c>
      <c r="K38" s="35">
        <v>67</v>
      </c>
      <c r="L38" s="36">
        <f>+K38*I38</f>
        <v>804</v>
      </c>
      <c r="M38" s="37" t="s">
        <v>731</v>
      </c>
      <c r="N38" s="79" t="s">
        <v>2094</v>
      </c>
      <c r="O38" s="79">
        <v>56</v>
      </c>
      <c r="P38" s="23" t="s">
        <v>1840</v>
      </c>
      <c r="Q38" s="23" t="s">
        <v>1147</v>
      </c>
      <c r="R38" s="112" t="s">
        <v>2136</v>
      </c>
      <c r="S38" s="79">
        <v>57</v>
      </c>
      <c r="T38" s="7" t="s">
        <v>1243</v>
      </c>
      <c r="U38" s="7" t="s">
        <v>1244</v>
      </c>
      <c r="V38" s="7" t="s">
        <v>1246</v>
      </c>
      <c r="W38" s="7" t="s">
        <v>1247</v>
      </c>
      <c r="X38" s="17"/>
      <c r="Y38" s="18"/>
      <c r="Z38" s="18"/>
      <c r="AA38" s="18"/>
      <c r="AB38" s="8" t="s">
        <v>1047</v>
      </c>
      <c r="AC38" s="8"/>
      <c r="AD38" s="8" t="s">
        <v>726</v>
      </c>
      <c r="AE38" s="8" t="s">
        <v>726</v>
      </c>
      <c r="AF38" s="8"/>
      <c r="AG38" s="8" t="s">
        <v>726</v>
      </c>
      <c r="AH38" s="8" t="s">
        <v>726</v>
      </c>
      <c r="AI38" s="8" t="s">
        <v>726</v>
      </c>
      <c r="AJ38" s="8" t="s">
        <v>726</v>
      </c>
      <c r="AK38" s="8" t="s">
        <v>726</v>
      </c>
      <c r="AL38" s="8" t="s">
        <v>726</v>
      </c>
      <c r="AM38" s="8"/>
      <c r="AN38" s="8"/>
      <c r="AO38" s="8"/>
      <c r="AP38" s="8"/>
      <c r="AQ38" s="8"/>
      <c r="AR38" s="8"/>
      <c r="AS38" s="8"/>
      <c r="AT38" s="8"/>
      <c r="AU38" s="8"/>
      <c r="AV38" s="8"/>
      <c r="AX38" s="142">
        <v>36</v>
      </c>
    </row>
    <row r="39" spans="1:50" ht="33.75">
      <c r="B39" s="27">
        <v>38</v>
      </c>
      <c r="C39" s="31">
        <v>123</v>
      </c>
      <c r="D39" s="31">
        <v>180</v>
      </c>
      <c r="E39" s="123">
        <v>0.63888888888888895</v>
      </c>
      <c r="F39" s="123">
        <v>0.65486111111111112</v>
      </c>
      <c r="G39" s="31" t="s">
        <v>336</v>
      </c>
      <c r="H39" s="31" t="s">
        <v>1044</v>
      </c>
      <c r="I39" s="33">
        <v>12</v>
      </c>
      <c r="J39" s="34" t="s">
        <v>101</v>
      </c>
      <c r="K39" s="35">
        <v>13</v>
      </c>
      <c r="L39" s="36">
        <f>+K39*I39</f>
        <v>156</v>
      </c>
      <c r="M39" s="37" t="s">
        <v>731</v>
      </c>
      <c r="N39" s="79" t="s">
        <v>2094</v>
      </c>
      <c r="O39" s="79">
        <v>56</v>
      </c>
      <c r="P39" s="23" t="s">
        <v>1840</v>
      </c>
      <c r="Q39" s="23" t="s">
        <v>1147</v>
      </c>
      <c r="R39" s="112" t="s">
        <v>2136</v>
      </c>
      <c r="S39" s="79">
        <v>57</v>
      </c>
      <c r="T39" s="7" t="s">
        <v>1243</v>
      </c>
      <c r="U39" s="7" t="s">
        <v>1244</v>
      </c>
      <c r="V39" s="7" t="s">
        <v>1246</v>
      </c>
      <c r="W39" s="7" t="s">
        <v>1247</v>
      </c>
      <c r="X39" s="17"/>
      <c r="Y39" s="18"/>
      <c r="Z39" s="18"/>
      <c r="AA39" s="18"/>
      <c r="AB39" s="7" t="s">
        <v>1044</v>
      </c>
      <c r="AC39" s="8"/>
      <c r="AD39" s="8" t="s">
        <v>726</v>
      </c>
      <c r="AE39" s="8"/>
      <c r="AF39" s="8"/>
      <c r="AG39" s="8"/>
      <c r="AH39" s="8"/>
      <c r="AI39" s="8"/>
      <c r="AJ39" s="8"/>
      <c r="AK39" s="8"/>
      <c r="AL39" s="8"/>
      <c r="AM39" s="8" t="s">
        <v>726</v>
      </c>
      <c r="AN39" s="8"/>
      <c r="AO39" s="8"/>
      <c r="AP39" s="8"/>
      <c r="AQ39" s="8"/>
      <c r="AR39" s="8"/>
      <c r="AS39" s="8"/>
      <c r="AT39" s="8"/>
      <c r="AU39" s="8"/>
      <c r="AV39" s="8"/>
      <c r="AX39" s="142">
        <v>36</v>
      </c>
    </row>
    <row r="40" spans="1:50" ht="33.75">
      <c r="B40" s="27">
        <v>39</v>
      </c>
      <c r="C40" s="31">
        <v>123</v>
      </c>
      <c r="D40" s="31">
        <v>181</v>
      </c>
      <c r="E40" s="123">
        <v>0.65694444444444444</v>
      </c>
      <c r="F40" s="123">
        <v>0.67291666666666661</v>
      </c>
      <c r="G40" s="31" t="s">
        <v>335</v>
      </c>
      <c r="H40" s="31" t="s">
        <v>1</v>
      </c>
      <c r="I40" s="33">
        <v>12</v>
      </c>
      <c r="J40" s="34" t="s">
        <v>101</v>
      </c>
      <c r="K40" s="35">
        <v>67</v>
      </c>
      <c r="L40" s="36">
        <f>+K40*I40</f>
        <v>804</v>
      </c>
      <c r="M40" s="37" t="s">
        <v>731</v>
      </c>
      <c r="N40" s="79" t="s">
        <v>2094</v>
      </c>
      <c r="O40" s="79">
        <v>56</v>
      </c>
      <c r="P40" s="23" t="s">
        <v>1840</v>
      </c>
      <c r="Q40" s="23" t="s">
        <v>1147</v>
      </c>
      <c r="R40" s="112" t="s">
        <v>2136</v>
      </c>
      <c r="S40" s="79">
        <v>57</v>
      </c>
      <c r="T40" s="7" t="s">
        <v>1246</v>
      </c>
      <c r="U40" s="7" t="s">
        <v>1248</v>
      </c>
      <c r="V40" s="7" t="s">
        <v>1243</v>
      </c>
      <c r="W40" s="7" t="s">
        <v>1244</v>
      </c>
      <c r="X40" s="17"/>
      <c r="Y40" s="18"/>
      <c r="Z40" s="18"/>
      <c r="AA40" s="18"/>
      <c r="AB40" s="8" t="s">
        <v>1047</v>
      </c>
      <c r="AC40" s="8"/>
      <c r="AD40" s="8" t="s">
        <v>726</v>
      </c>
      <c r="AE40" s="8" t="s">
        <v>726</v>
      </c>
      <c r="AF40" s="8"/>
      <c r="AG40" s="8" t="s">
        <v>726</v>
      </c>
      <c r="AH40" s="8" t="s">
        <v>726</v>
      </c>
      <c r="AI40" s="8" t="s">
        <v>726</v>
      </c>
      <c r="AJ40" s="8" t="s">
        <v>726</v>
      </c>
      <c r="AK40" s="8" t="s">
        <v>726</v>
      </c>
      <c r="AL40" s="8" t="s">
        <v>726</v>
      </c>
      <c r="AM40" s="8"/>
      <c r="AN40" s="8"/>
      <c r="AO40" s="8"/>
      <c r="AP40" s="8"/>
      <c r="AQ40" s="8"/>
      <c r="AR40" s="8"/>
      <c r="AS40" s="8"/>
      <c r="AT40" s="8"/>
      <c r="AU40" s="8"/>
      <c r="AV40" s="8"/>
      <c r="AX40" s="142">
        <v>36</v>
      </c>
    </row>
    <row r="41" spans="1:50" ht="33.75">
      <c r="B41" s="27">
        <v>40</v>
      </c>
      <c r="C41" s="31">
        <v>123</v>
      </c>
      <c r="D41" s="31">
        <v>181</v>
      </c>
      <c r="E41" s="123">
        <v>0.65694444444444444</v>
      </c>
      <c r="F41" s="123">
        <v>0.67291666666666661</v>
      </c>
      <c r="G41" s="31" t="s">
        <v>335</v>
      </c>
      <c r="H41" s="31" t="s">
        <v>1044</v>
      </c>
      <c r="I41" s="33">
        <v>12</v>
      </c>
      <c r="J41" s="34" t="s">
        <v>101</v>
      </c>
      <c r="K41" s="35">
        <v>13</v>
      </c>
      <c r="L41" s="36">
        <f>+K41*I41</f>
        <v>156</v>
      </c>
      <c r="M41" s="37" t="s">
        <v>731</v>
      </c>
      <c r="N41" s="79" t="s">
        <v>2094</v>
      </c>
      <c r="O41" s="79">
        <v>56</v>
      </c>
      <c r="P41" s="23" t="s">
        <v>1840</v>
      </c>
      <c r="Q41" s="23" t="s">
        <v>1147</v>
      </c>
      <c r="R41" s="112" t="s">
        <v>2136</v>
      </c>
      <c r="S41" s="79">
        <v>57</v>
      </c>
      <c r="T41" s="7" t="s">
        <v>1246</v>
      </c>
      <c r="U41" s="7" t="s">
        <v>1248</v>
      </c>
      <c r="V41" s="7" t="s">
        <v>1243</v>
      </c>
      <c r="W41" s="7" t="s">
        <v>1244</v>
      </c>
      <c r="X41" s="17"/>
      <c r="Y41" s="18"/>
      <c r="Z41" s="18"/>
      <c r="AA41" s="18"/>
      <c r="AB41" s="7" t="s">
        <v>1044</v>
      </c>
      <c r="AC41" s="8"/>
      <c r="AD41" s="8" t="s">
        <v>726</v>
      </c>
      <c r="AE41" s="8"/>
      <c r="AF41" s="8"/>
      <c r="AG41" s="8"/>
      <c r="AH41" s="8"/>
      <c r="AI41" s="8"/>
      <c r="AJ41" s="8"/>
      <c r="AK41" s="8"/>
      <c r="AL41" s="8"/>
      <c r="AM41" s="8" t="s">
        <v>726</v>
      </c>
      <c r="AN41" s="8"/>
      <c r="AO41" s="8"/>
      <c r="AP41" s="8"/>
      <c r="AQ41" s="8"/>
      <c r="AR41" s="8"/>
      <c r="AS41" s="8"/>
      <c r="AT41" s="8"/>
      <c r="AU41" s="8"/>
      <c r="AV41" s="8"/>
      <c r="AX41" s="142">
        <v>36</v>
      </c>
    </row>
    <row r="42" spans="1:50" ht="33.75">
      <c r="A42" s="83" t="s">
        <v>2071</v>
      </c>
      <c r="B42" s="84">
        <v>41</v>
      </c>
      <c r="C42" s="85">
        <v>123</v>
      </c>
      <c r="D42" s="85">
        <v>182</v>
      </c>
      <c r="E42" s="86">
        <v>0.70138888888888884</v>
      </c>
      <c r="F42" s="86">
        <v>0.7270833333333333</v>
      </c>
      <c r="G42" s="85" t="s">
        <v>337</v>
      </c>
      <c r="H42" s="85" t="s">
        <v>1</v>
      </c>
      <c r="I42" s="87">
        <v>22</v>
      </c>
      <c r="J42" s="88" t="s">
        <v>101</v>
      </c>
      <c r="K42" s="94">
        <v>67</v>
      </c>
      <c r="L42" s="90">
        <f>+K42*I42</f>
        <v>1474</v>
      </c>
      <c r="M42" s="91" t="s">
        <v>731</v>
      </c>
      <c r="N42" s="104" t="s">
        <v>1921</v>
      </c>
      <c r="O42" s="104">
        <v>43</v>
      </c>
      <c r="P42" s="104" t="s">
        <v>1840</v>
      </c>
      <c r="Q42" s="104" t="s">
        <v>1147</v>
      </c>
      <c r="R42" s="83"/>
      <c r="S42" s="104"/>
      <c r="T42" s="95" t="s">
        <v>1243</v>
      </c>
      <c r="U42" s="95" t="s">
        <v>1244</v>
      </c>
      <c r="V42" s="95">
        <v>1255</v>
      </c>
      <c r="W42" s="95" t="s">
        <v>1245</v>
      </c>
      <c r="X42" s="105"/>
      <c r="Y42" s="107">
        <v>44815</v>
      </c>
      <c r="Z42" s="107"/>
      <c r="AA42" s="107"/>
      <c r="AB42" s="106" t="s">
        <v>1047</v>
      </c>
      <c r="AC42" s="106"/>
      <c r="AD42" s="106" t="s">
        <v>726</v>
      </c>
      <c r="AE42" s="106" t="s">
        <v>726</v>
      </c>
      <c r="AF42" s="106"/>
      <c r="AG42" s="106" t="s">
        <v>726</v>
      </c>
      <c r="AH42" s="106" t="s">
        <v>726</v>
      </c>
      <c r="AI42" s="106" t="s">
        <v>726</v>
      </c>
      <c r="AJ42" s="106" t="s">
        <v>726</v>
      </c>
      <c r="AK42" s="106" t="s">
        <v>726</v>
      </c>
      <c r="AL42" s="106" t="s">
        <v>726</v>
      </c>
      <c r="AM42" s="106"/>
      <c r="AN42" s="106"/>
      <c r="AO42" s="106"/>
      <c r="AP42" s="106"/>
      <c r="AQ42" s="106"/>
      <c r="AR42" s="106"/>
      <c r="AS42" s="106"/>
      <c r="AT42" s="106"/>
      <c r="AU42" s="106"/>
      <c r="AV42" s="106"/>
    </row>
    <row r="43" spans="1:50" ht="33.75">
      <c r="A43" s="83" t="s">
        <v>2071</v>
      </c>
      <c r="B43" s="84">
        <v>42</v>
      </c>
      <c r="C43" s="85">
        <v>123</v>
      </c>
      <c r="D43" s="85">
        <v>182</v>
      </c>
      <c r="E43" s="86">
        <v>0.70138888888888884</v>
      </c>
      <c r="F43" s="86">
        <v>0.7270833333333333</v>
      </c>
      <c r="G43" s="85" t="s">
        <v>501</v>
      </c>
      <c r="H43" s="85" t="s">
        <v>546</v>
      </c>
      <c r="I43" s="87">
        <v>22</v>
      </c>
      <c r="J43" s="88" t="s">
        <v>101</v>
      </c>
      <c r="K43" s="94">
        <v>13</v>
      </c>
      <c r="L43" s="90">
        <f>+K43*I43</f>
        <v>286</v>
      </c>
      <c r="M43" s="91" t="s">
        <v>731</v>
      </c>
      <c r="N43" s="104" t="s">
        <v>1921</v>
      </c>
      <c r="O43" s="104">
        <v>43</v>
      </c>
      <c r="P43" s="104" t="s">
        <v>1840</v>
      </c>
      <c r="Q43" s="104" t="s">
        <v>1147</v>
      </c>
      <c r="R43" s="83"/>
      <c r="S43" s="104"/>
      <c r="T43" s="95" t="s">
        <v>1243</v>
      </c>
      <c r="U43" s="95" t="s">
        <v>1244</v>
      </c>
      <c r="V43" s="95">
        <v>1255</v>
      </c>
      <c r="W43" s="95" t="s">
        <v>1245</v>
      </c>
      <c r="X43" s="105"/>
      <c r="Y43" s="107">
        <v>44815</v>
      </c>
      <c r="Z43" s="107"/>
      <c r="AA43" s="107"/>
      <c r="AB43" s="95" t="s">
        <v>1044</v>
      </c>
      <c r="AC43" s="106"/>
      <c r="AD43" s="106" t="s">
        <v>726</v>
      </c>
      <c r="AE43" s="106"/>
      <c r="AF43" s="106"/>
      <c r="AG43" s="106"/>
      <c r="AH43" s="106"/>
      <c r="AI43" s="106"/>
      <c r="AJ43" s="106"/>
      <c r="AK43" s="106"/>
      <c r="AL43" s="106"/>
      <c r="AM43" s="106" t="s">
        <v>726</v>
      </c>
      <c r="AN43" s="106"/>
      <c r="AO43" s="106"/>
      <c r="AP43" s="106"/>
      <c r="AQ43" s="106"/>
      <c r="AR43" s="106"/>
      <c r="AS43" s="106"/>
      <c r="AT43" s="106"/>
      <c r="AU43" s="106"/>
      <c r="AV43" s="106"/>
    </row>
    <row r="44" spans="1:50" ht="33.75">
      <c r="A44" s="83" t="s">
        <v>2071</v>
      </c>
      <c r="B44" s="84">
        <v>43</v>
      </c>
      <c r="C44" s="85">
        <v>123</v>
      </c>
      <c r="D44" s="85">
        <v>183</v>
      </c>
      <c r="E44" s="86">
        <v>0.73402777777777783</v>
      </c>
      <c r="F44" s="86">
        <v>0.7597222222222223</v>
      </c>
      <c r="G44" s="85" t="s">
        <v>502</v>
      </c>
      <c r="H44" s="85" t="s">
        <v>1</v>
      </c>
      <c r="I44" s="87">
        <v>22</v>
      </c>
      <c r="J44" s="88" t="s">
        <v>101</v>
      </c>
      <c r="K44" s="94">
        <v>67</v>
      </c>
      <c r="L44" s="90">
        <f>+K44*I44</f>
        <v>1474</v>
      </c>
      <c r="M44" s="91" t="s">
        <v>731</v>
      </c>
      <c r="N44" s="104" t="s">
        <v>1921</v>
      </c>
      <c r="O44" s="104">
        <v>43</v>
      </c>
      <c r="P44" s="104" t="s">
        <v>1840</v>
      </c>
      <c r="Q44" s="104" t="s">
        <v>1147</v>
      </c>
      <c r="R44" s="83"/>
      <c r="S44" s="104"/>
      <c r="T44" s="95">
        <v>1255</v>
      </c>
      <c r="U44" s="95" t="s">
        <v>1245</v>
      </c>
      <c r="V44" s="95" t="s">
        <v>1243</v>
      </c>
      <c r="W44" s="95" t="s">
        <v>1244</v>
      </c>
      <c r="X44" s="105"/>
      <c r="Y44" s="107">
        <v>44815</v>
      </c>
      <c r="Z44" s="107"/>
      <c r="AA44" s="107"/>
      <c r="AB44" s="106" t="s">
        <v>1047</v>
      </c>
      <c r="AC44" s="106"/>
      <c r="AD44" s="106" t="s">
        <v>726</v>
      </c>
      <c r="AE44" s="106" t="s">
        <v>726</v>
      </c>
      <c r="AF44" s="106"/>
      <c r="AG44" s="106" t="s">
        <v>726</v>
      </c>
      <c r="AH44" s="106" t="s">
        <v>726</v>
      </c>
      <c r="AI44" s="106" t="s">
        <v>726</v>
      </c>
      <c r="AJ44" s="106" t="s">
        <v>726</v>
      </c>
      <c r="AK44" s="106" t="s">
        <v>726</v>
      </c>
      <c r="AL44" s="106" t="s">
        <v>726</v>
      </c>
      <c r="AM44" s="106"/>
      <c r="AN44" s="106"/>
      <c r="AO44" s="106"/>
      <c r="AP44" s="106"/>
      <c r="AQ44" s="106"/>
      <c r="AR44" s="106"/>
      <c r="AS44" s="106"/>
      <c r="AT44" s="106"/>
      <c r="AU44" s="106"/>
      <c r="AV44" s="106"/>
    </row>
    <row r="45" spans="1:50" ht="33.75">
      <c r="A45" s="83" t="s">
        <v>2071</v>
      </c>
      <c r="B45" s="84">
        <v>44</v>
      </c>
      <c r="C45" s="85">
        <v>123</v>
      </c>
      <c r="D45" s="85">
        <v>183</v>
      </c>
      <c r="E45" s="86">
        <v>0.73402777777777783</v>
      </c>
      <c r="F45" s="86">
        <v>0.7597222222222223</v>
      </c>
      <c r="G45" s="85" t="s">
        <v>502</v>
      </c>
      <c r="H45" s="85" t="s">
        <v>546</v>
      </c>
      <c r="I45" s="87">
        <v>22</v>
      </c>
      <c r="J45" s="88" t="s">
        <v>101</v>
      </c>
      <c r="K45" s="94">
        <v>13</v>
      </c>
      <c r="L45" s="90">
        <f>+K45*I45</f>
        <v>286</v>
      </c>
      <c r="M45" s="91" t="s">
        <v>731</v>
      </c>
      <c r="N45" s="104" t="s">
        <v>1921</v>
      </c>
      <c r="O45" s="104">
        <v>43</v>
      </c>
      <c r="P45" s="104" t="s">
        <v>1840</v>
      </c>
      <c r="Q45" s="104" t="s">
        <v>1147</v>
      </c>
      <c r="R45" s="83"/>
      <c r="S45" s="104"/>
      <c r="T45" s="95">
        <v>1255</v>
      </c>
      <c r="U45" s="95" t="s">
        <v>1245</v>
      </c>
      <c r="V45" s="95" t="s">
        <v>1243</v>
      </c>
      <c r="W45" s="95" t="s">
        <v>1244</v>
      </c>
      <c r="X45" s="105"/>
      <c r="Y45" s="107">
        <v>44815</v>
      </c>
      <c r="Z45" s="107"/>
      <c r="AA45" s="107"/>
      <c r="AB45" s="95" t="s">
        <v>1044</v>
      </c>
      <c r="AC45" s="106"/>
      <c r="AD45" s="106" t="s">
        <v>726</v>
      </c>
      <c r="AE45" s="106"/>
      <c r="AF45" s="106"/>
      <c r="AG45" s="106"/>
      <c r="AH45" s="106"/>
      <c r="AI45" s="106"/>
      <c r="AJ45" s="106"/>
      <c r="AK45" s="106"/>
      <c r="AL45" s="106"/>
      <c r="AM45" s="106" t="s">
        <v>726</v>
      </c>
      <c r="AN45" s="106"/>
      <c r="AO45" s="106"/>
      <c r="AP45" s="106"/>
      <c r="AQ45" s="106"/>
      <c r="AR45" s="106"/>
      <c r="AS45" s="106"/>
      <c r="AT45" s="106"/>
      <c r="AU45" s="106"/>
      <c r="AV45" s="106"/>
    </row>
    <row r="46" spans="1:50" ht="33.75">
      <c r="B46" s="27">
        <v>45</v>
      </c>
      <c r="C46" s="31">
        <v>123</v>
      </c>
      <c r="D46" s="31">
        <v>184</v>
      </c>
      <c r="E46" s="123">
        <v>0.72222222222222221</v>
      </c>
      <c r="F46" s="123">
        <v>0.73819444444444438</v>
      </c>
      <c r="G46" s="31" t="s">
        <v>336</v>
      </c>
      <c r="H46" s="31" t="s">
        <v>1</v>
      </c>
      <c r="I46" s="33">
        <v>12</v>
      </c>
      <c r="J46" s="34" t="s">
        <v>101</v>
      </c>
      <c r="K46" s="35">
        <v>67</v>
      </c>
      <c r="L46" s="36">
        <f>+K46*I46</f>
        <v>804</v>
      </c>
      <c r="M46" s="37" t="s">
        <v>731</v>
      </c>
      <c r="N46" s="79" t="s">
        <v>2094</v>
      </c>
      <c r="O46" s="79">
        <v>56</v>
      </c>
      <c r="P46" s="23" t="s">
        <v>1840</v>
      </c>
      <c r="Q46" s="23" t="s">
        <v>1147</v>
      </c>
      <c r="R46" s="112" t="s">
        <v>2136</v>
      </c>
      <c r="S46" s="79">
        <v>57</v>
      </c>
      <c r="T46" s="7" t="s">
        <v>1243</v>
      </c>
      <c r="U46" s="7" t="s">
        <v>1244</v>
      </c>
      <c r="V46" s="7" t="s">
        <v>1246</v>
      </c>
      <c r="W46" s="7" t="s">
        <v>1247</v>
      </c>
      <c r="X46" s="17"/>
      <c r="Y46" s="18"/>
      <c r="Z46" s="18"/>
      <c r="AA46" s="18"/>
      <c r="AB46" s="8" t="s">
        <v>1047</v>
      </c>
      <c r="AC46" s="8"/>
      <c r="AD46" s="8" t="s">
        <v>726</v>
      </c>
      <c r="AE46" s="8" t="s">
        <v>726</v>
      </c>
      <c r="AF46" s="8"/>
      <c r="AG46" s="8" t="s">
        <v>726</v>
      </c>
      <c r="AH46" s="8" t="s">
        <v>726</v>
      </c>
      <c r="AI46" s="8" t="s">
        <v>726</v>
      </c>
      <c r="AJ46" s="8" t="s">
        <v>726</v>
      </c>
      <c r="AK46" s="8" t="s">
        <v>726</v>
      </c>
      <c r="AL46" s="8" t="s">
        <v>726</v>
      </c>
      <c r="AM46" s="8"/>
      <c r="AN46" s="8"/>
      <c r="AO46" s="8"/>
      <c r="AP46" s="8"/>
      <c r="AQ46" s="8"/>
      <c r="AR46" s="8"/>
      <c r="AS46" s="8"/>
      <c r="AT46" s="8"/>
      <c r="AU46" s="8"/>
      <c r="AV46" s="8"/>
      <c r="AX46" s="142">
        <v>36</v>
      </c>
    </row>
    <row r="47" spans="1:50" ht="33.75">
      <c r="B47" s="27">
        <v>46</v>
      </c>
      <c r="C47" s="31">
        <v>123</v>
      </c>
      <c r="D47" s="31">
        <v>184</v>
      </c>
      <c r="E47" s="123">
        <v>0.72222222222222221</v>
      </c>
      <c r="F47" s="123">
        <v>0.73819444444444438</v>
      </c>
      <c r="G47" s="31" t="s">
        <v>336</v>
      </c>
      <c r="H47" s="31" t="s">
        <v>1044</v>
      </c>
      <c r="I47" s="33">
        <v>12</v>
      </c>
      <c r="J47" s="34" t="s">
        <v>101</v>
      </c>
      <c r="K47" s="35">
        <v>13</v>
      </c>
      <c r="L47" s="36">
        <f>+K47*I47</f>
        <v>156</v>
      </c>
      <c r="M47" s="37" t="s">
        <v>731</v>
      </c>
      <c r="N47" s="79" t="s">
        <v>2094</v>
      </c>
      <c r="O47" s="79">
        <v>56</v>
      </c>
      <c r="P47" s="23" t="s">
        <v>1840</v>
      </c>
      <c r="Q47" s="23" t="s">
        <v>1147</v>
      </c>
      <c r="R47" s="112" t="s">
        <v>2136</v>
      </c>
      <c r="S47" s="79">
        <v>57</v>
      </c>
      <c r="T47" s="7" t="s">
        <v>1243</v>
      </c>
      <c r="U47" s="7" t="s">
        <v>1244</v>
      </c>
      <c r="V47" s="7" t="s">
        <v>1246</v>
      </c>
      <c r="W47" s="7" t="s">
        <v>1247</v>
      </c>
      <c r="X47" s="17"/>
      <c r="Y47" s="18"/>
      <c r="Z47" s="18"/>
      <c r="AA47" s="18"/>
      <c r="AB47" s="7" t="s">
        <v>1044</v>
      </c>
      <c r="AC47" s="8"/>
      <c r="AD47" s="8" t="s">
        <v>726</v>
      </c>
      <c r="AE47" s="8"/>
      <c r="AF47" s="8"/>
      <c r="AG47" s="8"/>
      <c r="AH47" s="8"/>
      <c r="AI47" s="8"/>
      <c r="AJ47" s="8"/>
      <c r="AK47" s="8"/>
      <c r="AL47" s="8"/>
      <c r="AM47" s="8" t="s">
        <v>726</v>
      </c>
      <c r="AN47" s="8"/>
      <c r="AO47" s="8"/>
      <c r="AP47" s="8"/>
      <c r="AQ47" s="8"/>
      <c r="AR47" s="8"/>
      <c r="AS47" s="8"/>
      <c r="AT47" s="8"/>
      <c r="AU47" s="8"/>
      <c r="AV47" s="8"/>
      <c r="AX47" s="142">
        <v>36</v>
      </c>
    </row>
    <row r="48" spans="1:50" ht="33.75">
      <c r="A48" s="45" t="s">
        <v>1104</v>
      </c>
      <c r="B48" s="27">
        <v>47</v>
      </c>
      <c r="C48" s="31">
        <v>123</v>
      </c>
      <c r="D48" s="31">
        <v>185</v>
      </c>
      <c r="E48" s="123">
        <v>0.7402777777777777</v>
      </c>
      <c r="F48" s="123">
        <v>0.75624999999999998</v>
      </c>
      <c r="G48" s="31" t="s">
        <v>335</v>
      </c>
      <c r="H48" s="43" t="s">
        <v>1</v>
      </c>
      <c r="I48" s="33">
        <v>12</v>
      </c>
      <c r="J48" s="34" t="s">
        <v>101</v>
      </c>
      <c r="K48" s="46">
        <v>67</v>
      </c>
      <c r="L48" s="36">
        <f>+K48*I48</f>
        <v>804</v>
      </c>
      <c r="M48" s="37" t="s">
        <v>731</v>
      </c>
      <c r="N48" s="79" t="s">
        <v>2094</v>
      </c>
      <c r="O48" s="79">
        <v>56</v>
      </c>
      <c r="P48" s="23" t="s">
        <v>1840</v>
      </c>
      <c r="Q48" s="23" t="s">
        <v>1147</v>
      </c>
      <c r="R48" s="112" t="s">
        <v>2136</v>
      </c>
      <c r="S48" s="79">
        <v>57</v>
      </c>
      <c r="T48" s="7" t="s">
        <v>1246</v>
      </c>
      <c r="U48" s="7" t="s">
        <v>1248</v>
      </c>
      <c r="V48" s="7" t="s">
        <v>1243</v>
      </c>
      <c r="W48" s="7" t="s">
        <v>1244</v>
      </c>
      <c r="X48" s="17"/>
      <c r="Y48" s="18"/>
      <c r="Z48" s="18"/>
      <c r="AA48" s="18"/>
      <c r="AB48" s="8" t="s">
        <v>1047</v>
      </c>
      <c r="AC48" s="8"/>
      <c r="AD48" s="8" t="s">
        <v>726</v>
      </c>
      <c r="AE48" s="8" t="s">
        <v>726</v>
      </c>
      <c r="AF48" s="8"/>
      <c r="AG48" s="8" t="s">
        <v>726</v>
      </c>
      <c r="AH48" s="8" t="s">
        <v>726</v>
      </c>
      <c r="AI48" s="8" t="s">
        <v>726</v>
      </c>
      <c r="AJ48" s="8" t="s">
        <v>726</v>
      </c>
      <c r="AK48" s="8" t="s">
        <v>726</v>
      </c>
      <c r="AL48" s="8" t="s">
        <v>726</v>
      </c>
      <c r="AM48" s="8"/>
      <c r="AN48" s="8"/>
      <c r="AO48" s="8"/>
      <c r="AP48" s="8"/>
      <c r="AQ48" s="8"/>
      <c r="AR48" s="8"/>
      <c r="AS48" s="8"/>
      <c r="AT48" s="8"/>
      <c r="AU48" s="8"/>
      <c r="AV48" s="8"/>
      <c r="AX48" s="142">
        <v>36</v>
      </c>
    </row>
    <row r="49" spans="1:50" ht="33.75">
      <c r="B49" s="27">
        <v>48</v>
      </c>
      <c r="C49" s="31">
        <v>123</v>
      </c>
      <c r="D49" s="31">
        <v>185</v>
      </c>
      <c r="E49" s="123">
        <v>0.7402777777777777</v>
      </c>
      <c r="F49" s="123">
        <v>0.75624999999999998</v>
      </c>
      <c r="G49" s="31" t="s">
        <v>335</v>
      </c>
      <c r="H49" s="31" t="s">
        <v>1044</v>
      </c>
      <c r="I49" s="33">
        <v>12</v>
      </c>
      <c r="J49" s="34" t="s">
        <v>101</v>
      </c>
      <c r="K49" s="35">
        <v>13</v>
      </c>
      <c r="L49" s="36">
        <f>+K49*I49</f>
        <v>156</v>
      </c>
      <c r="M49" s="37" t="s">
        <v>731</v>
      </c>
      <c r="N49" s="79" t="s">
        <v>2094</v>
      </c>
      <c r="O49" s="79">
        <v>56</v>
      </c>
      <c r="P49" s="23" t="s">
        <v>1840</v>
      </c>
      <c r="Q49" s="23" t="s">
        <v>1147</v>
      </c>
      <c r="R49" s="112" t="s">
        <v>2136</v>
      </c>
      <c r="S49" s="79">
        <v>57</v>
      </c>
      <c r="T49" s="7" t="s">
        <v>1246</v>
      </c>
      <c r="U49" s="7" t="s">
        <v>1248</v>
      </c>
      <c r="V49" s="7" t="s">
        <v>1243</v>
      </c>
      <c r="W49" s="7" t="s">
        <v>1244</v>
      </c>
      <c r="X49" s="17"/>
      <c r="Y49" s="18"/>
      <c r="Z49" s="18"/>
      <c r="AA49" s="18"/>
      <c r="AB49" s="7" t="s">
        <v>1044</v>
      </c>
      <c r="AC49" s="8"/>
      <c r="AD49" s="8" t="s">
        <v>726</v>
      </c>
      <c r="AE49" s="8"/>
      <c r="AF49" s="8"/>
      <c r="AG49" s="8"/>
      <c r="AH49" s="8"/>
      <c r="AI49" s="8"/>
      <c r="AJ49" s="8"/>
      <c r="AK49" s="8"/>
      <c r="AL49" s="8"/>
      <c r="AM49" s="8" t="s">
        <v>726</v>
      </c>
      <c r="AN49" s="8"/>
      <c r="AO49" s="8"/>
      <c r="AP49" s="8"/>
      <c r="AQ49" s="8"/>
      <c r="AR49" s="8"/>
      <c r="AS49" s="8"/>
      <c r="AT49" s="8"/>
      <c r="AU49" s="8"/>
      <c r="AV49" s="8"/>
      <c r="AX49" s="142">
        <v>36</v>
      </c>
    </row>
    <row r="50" spans="1:50" ht="25.5">
      <c r="B50" s="27">
        <v>49</v>
      </c>
      <c r="C50" s="38">
        <v>202</v>
      </c>
      <c r="D50" s="38">
        <v>92</v>
      </c>
      <c r="E50" s="39">
        <v>0.32291666666666669</v>
      </c>
      <c r="F50" s="39">
        <v>0.3611111111111111</v>
      </c>
      <c r="G50" s="40" t="s">
        <v>7</v>
      </c>
      <c r="H50" s="31" t="s">
        <v>546</v>
      </c>
      <c r="I50" s="38">
        <v>24</v>
      </c>
      <c r="J50" s="41">
        <v>30</v>
      </c>
      <c r="K50" s="35">
        <v>13</v>
      </c>
      <c r="L50" s="36">
        <f>+K50*I50</f>
        <v>312</v>
      </c>
      <c r="M50" s="37" t="s">
        <v>718</v>
      </c>
      <c r="N50" s="23" t="s">
        <v>989</v>
      </c>
      <c r="O50" s="23">
        <v>45</v>
      </c>
      <c r="P50" s="23" t="s">
        <v>927</v>
      </c>
      <c r="Q50" s="23">
        <v>48</v>
      </c>
      <c r="R50" s="79" t="s">
        <v>1902</v>
      </c>
      <c r="S50" s="111">
        <v>45</v>
      </c>
      <c r="T50" s="7">
        <v>1</v>
      </c>
      <c r="U50" s="7" t="s">
        <v>1233</v>
      </c>
      <c r="V50" s="7">
        <v>2660</v>
      </c>
      <c r="W50" s="7" t="s">
        <v>1249</v>
      </c>
      <c r="X50" s="17"/>
      <c r="Y50" s="18"/>
      <c r="Z50" s="18"/>
      <c r="AA50" s="18"/>
      <c r="AB50" s="7" t="s">
        <v>1044</v>
      </c>
      <c r="AC50" s="8"/>
      <c r="AD50" s="8" t="s">
        <v>726</v>
      </c>
      <c r="AE50" s="8"/>
      <c r="AF50" s="8"/>
      <c r="AG50" s="8"/>
      <c r="AH50" s="8"/>
      <c r="AI50" s="8"/>
      <c r="AJ50" s="8"/>
      <c r="AK50" s="8"/>
      <c r="AL50" s="8"/>
      <c r="AM50" s="8" t="s">
        <v>726</v>
      </c>
      <c r="AN50" s="8"/>
      <c r="AO50" s="8"/>
      <c r="AP50" s="8"/>
      <c r="AQ50" s="8"/>
      <c r="AR50" s="8"/>
      <c r="AS50" s="8"/>
      <c r="AT50" s="8"/>
      <c r="AU50" s="8"/>
      <c r="AV50" s="8"/>
      <c r="AX50" s="142">
        <v>59.154929577464785</v>
      </c>
    </row>
    <row r="51" spans="1:50" ht="25.5">
      <c r="B51" s="27">
        <v>50</v>
      </c>
      <c r="C51" s="38">
        <v>202</v>
      </c>
      <c r="D51" s="38">
        <v>85</v>
      </c>
      <c r="E51" s="39">
        <v>0.36458333333333331</v>
      </c>
      <c r="F51" s="39">
        <v>0.40277777777777773</v>
      </c>
      <c r="G51" s="40" t="s">
        <v>6</v>
      </c>
      <c r="H51" s="31" t="s">
        <v>546</v>
      </c>
      <c r="I51" s="38">
        <v>24</v>
      </c>
      <c r="J51" s="41">
        <v>30</v>
      </c>
      <c r="K51" s="35">
        <v>13</v>
      </c>
      <c r="L51" s="36">
        <f>+K51*I51</f>
        <v>312</v>
      </c>
      <c r="M51" s="37" t="s">
        <v>718</v>
      </c>
      <c r="N51" s="23" t="s">
        <v>989</v>
      </c>
      <c r="O51" s="23">
        <v>45</v>
      </c>
      <c r="P51" s="23" t="s">
        <v>927</v>
      </c>
      <c r="Q51" s="23">
        <v>48</v>
      </c>
      <c r="R51" s="79" t="s">
        <v>1902</v>
      </c>
      <c r="S51" s="111">
        <v>45</v>
      </c>
      <c r="T51" s="7">
        <v>2660</v>
      </c>
      <c r="U51" s="7" t="s">
        <v>1249</v>
      </c>
      <c r="V51" s="7">
        <v>1</v>
      </c>
      <c r="W51" s="7" t="s">
        <v>1236</v>
      </c>
      <c r="X51" s="17"/>
      <c r="Y51" s="18"/>
      <c r="Z51" s="18"/>
      <c r="AA51" s="18"/>
      <c r="AB51" s="7" t="s">
        <v>1044</v>
      </c>
      <c r="AC51" s="8"/>
      <c r="AD51" s="8" t="s">
        <v>726</v>
      </c>
      <c r="AE51" s="8"/>
      <c r="AF51" s="8"/>
      <c r="AG51" s="8"/>
      <c r="AH51" s="8"/>
      <c r="AI51" s="8"/>
      <c r="AJ51" s="8"/>
      <c r="AK51" s="8"/>
      <c r="AL51" s="8"/>
      <c r="AM51" s="8" t="s">
        <v>726</v>
      </c>
      <c r="AN51" s="8"/>
      <c r="AO51" s="8"/>
      <c r="AP51" s="8"/>
      <c r="AQ51" s="8"/>
      <c r="AR51" s="8"/>
      <c r="AS51" s="8"/>
      <c r="AT51" s="8"/>
      <c r="AU51" s="8"/>
      <c r="AV51" s="8"/>
      <c r="AX51" s="142">
        <v>59.154929577464785</v>
      </c>
    </row>
    <row r="52" spans="1:50" ht="90">
      <c r="B52" s="27">
        <v>51</v>
      </c>
      <c r="C52" s="31">
        <v>204</v>
      </c>
      <c r="D52" s="31">
        <v>148</v>
      </c>
      <c r="E52" s="32">
        <v>0.27777777777777779</v>
      </c>
      <c r="F52" s="32">
        <v>0.3263888888888889</v>
      </c>
      <c r="G52" s="31" t="s">
        <v>189</v>
      </c>
      <c r="H52" s="31" t="s">
        <v>97</v>
      </c>
      <c r="I52" s="33">
        <v>34</v>
      </c>
      <c r="J52" s="34" t="s">
        <v>101</v>
      </c>
      <c r="K52" s="35">
        <v>208</v>
      </c>
      <c r="L52" s="36">
        <f>+K52*I52</f>
        <v>7072</v>
      </c>
      <c r="M52" s="37" t="s">
        <v>734</v>
      </c>
      <c r="N52" s="23" t="s">
        <v>936</v>
      </c>
      <c r="O52" s="23">
        <v>57</v>
      </c>
      <c r="P52" s="23" t="s">
        <v>1148</v>
      </c>
      <c r="Q52" s="23">
        <v>54</v>
      </c>
      <c r="R52" s="79" t="s">
        <v>1974</v>
      </c>
      <c r="S52" s="23">
        <v>55</v>
      </c>
      <c r="T52" s="7">
        <v>2048</v>
      </c>
      <c r="U52" s="7" t="s">
        <v>1250</v>
      </c>
      <c r="V52" s="7">
        <v>960</v>
      </c>
      <c r="W52" s="7" t="s">
        <v>1251</v>
      </c>
      <c r="X52" s="18"/>
      <c r="Y52" s="17"/>
      <c r="Z52" s="17"/>
      <c r="AA52" s="17"/>
      <c r="AB52" s="7" t="s">
        <v>1046</v>
      </c>
      <c r="AC52" s="8"/>
      <c r="AD52" s="8"/>
      <c r="AE52" s="8"/>
      <c r="AF52" s="8" t="s">
        <v>726</v>
      </c>
      <c r="AG52" s="8" t="s">
        <v>726</v>
      </c>
      <c r="AH52" s="8" t="s">
        <v>726</v>
      </c>
      <c r="AI52" s="8" t="s">
        <v>726</v>
      </c>
      <c r="AJ52" s="8" t="s">
        <v>726</v>
      </c>
      <c r="AK52" s="8" t="s">
        <v>726</v>
      </c>
      <c r="AL52" s="8" t="s">
        <v>726</v>
      </c>
      <c r="AM52" s="8"/>
      <c r="AN52" s="8"/>
      <c r="AO52" s="8"/>
      <c r="AP52" s="8"/>
      <c r="AQ52" s="8"/>
      <c r="AR52" s="8"/>
      <c r="AS52" s="8"/>
      <c r="AT52" s="8"/>
      <c r="AU52" s="8"/>
      <c r="AV52" s="8"/>
      <c r="AX52" s="142">
        <v>102</v>
      </c>
    </row>
    <row r="53" spans="1:50" ht="25.5">
      <c r="A53" s="47"/>
      <c r="B53" s="27">
        <v>52</v>
      </c>
      <c r="C53" s="31">
        <v>204</v>
      </c>
      <c r="D53" s="31">
        <v>281</v>
      </c>
      <c r="E53" s="32">
        <v>0.30416666666666664</v>
      </c>
      <c r="F53" s="42">
        <v>0.32500000000000001</v>
      </c>
      <c r="G53" s="31" t="s">
        <v>671</v>
      </c>
      <c r="H53" s="31" t="s">
        <v>155</v>
      </c>
      <c r="I53" s="33">
        <v>16.899999999999999</v>
      </c>
      <c r="J53" s="34" t="s">
        <v>101</v>
      </c>
      <c r="K53" s="35">
        <v>252</v>
      </c>
      <c r="L53" s="36">
        <f>+K53*I53</f>
        <v>4258.7999999999993</v>
      </c>
      <c r="M53" s="37" t="s">
        <v>739</v>
      </c>
      <c r="N53" s="23" t="s">
        <v>893</v>
      </c>
      <c r="O53" s="23">
        <v>36</v>
      </c>
      <c r="P53" s="79" t="s">
        <v>1817</v>
      </c>
      <c r="Q53" s="112">
        <v>50</v>
      </c>
      <c r="R53" s="23" t="s">
        <v>1146</v>
      </c>
      <c r="S53" s="24">
        <v>45</v>
      </c>
      <c r="T53" s="7">
        <v>2057</v>
      </c>
      <c r="U53" s="7" t="s">
        <v>1252</v>
      </c>
      <c r="V53" s="7" t="s">
        <v>1253</v>
      </c>
      <c r="W53" s="7" t="s">
        <v>1254</v>
      </c>
      <c r="X53" s="17"/>
      <c r="Y53" s="17"/>
      <c r="Z53" s="17"/>
      <c r="AA53" s="17"/>
      <c r="AB53" s="7" t="s">
        <v>1041</v>
      </c>
      <c r="AC53" s="8" t="s">
        <v>726</v>
      </c>
      <c r="AD53" s="8" t="s">
        <v>726</v>
      </c>
      <c r="AE53" s="8" t="s">
        <v>726</v>
      </c>
      <c r="AF53" s="8"/>
      <c r="AG53" s="8" t="s">
        <v>726</v>
      </c>
      <c r="AH53" s="8" t="s">
        <v>726</v>
      </c>
      <c r="AI53" s="8" t="s">
        <v>726</v>
      </c>
      <c r="AJ53" s="8" t="s">
        <v>726</v>
      </c>
      <c r="AK53" s="8" t="s">
        <v>726</v>
      </c>
      <c r="AL53" s="8"/>
      <c r="AM53" s="8"/>
      <c r="AN53" s="8"/>
      <c r="AO53" s="8"/>
      <c r="AP53" s="8"/>
      <c r="AQ53" s="8"/>
      <c r="AR53" s="8"/>
      <c r="AS53" s="8"/>
      <c r="AT53" s="8"/>
      <c r="AU53" s="8"/>
      <c r="AV53" s="8"/>
      <c r="AX53" s="142">
        <v>110.35000000000001</v>
      </c>
    </row>
    <row r="54" spans="1:50" ht="25.5">
      <c r="B54" s="27">
        <v>53</v>
      </c>
      <c r="C54" s="31">
        <v>204</v>
      </c>
      <c r="D54" s="31">
        <v>375</v>
      </c>
      <c r="E54" s="42">
        <v>0.59861111111111109</v>
      </c>
      <c r="F54" s="42">
        <v>0.60902777777777783</v>
      </c>
      <c r="G54" s="31" t="s">
        <v>186</v>
      </c>
      <c r="H54" s="31" t="s">
        <v>97</v>
      </c>
      <c r="I54" s="33">
        <v>10</v>
      </c>
      <c r="J54" s="34" t="s">
        <v>93</v>
      </c>
      <c r="K54" s="35">
        <v>208</v>
      </c>
      <c r="L54" s="36">
        <f>+K54*I54</f>
        <v>2080</v>
      </c>
      <c r="M54" s="37" t="s">
        <v>1009</v>
      </c>
      <c r="N54" s="112" t="s">
        <v>1988</v>
      </c>
      <c r="O54" s="112">
        <v>17</v>
      </c>
      <c r="P54" s="112" t="s">
        <v>2017</v>
      </c>
      <c r="Q54" s="112">
        <v>17</v>
      </c>
      <c r="R54" s="79" t="s">
        <v>2018</v>
      </c>
      <c r="S54" s="111">
        <v>17</v>
      </c>
      <c r="T54" s="7">
        <v>2127</v>
      </c>
      <c r="U54" s="7" t="s">
        <v>1255</v>
      </c>
      <c r="V54" s="7">
        <v>2054</v>
      </c>
      <c r="W54" s="7" t="s">
        <v>1256</v>
      </c>
      <c r="X54" s="18"/>
      <c r="Y54" s="17"/>
      <c r="Z54" s="17"/>
      <c r="AA54" s="17"/>
      <c r="AB54" s="7" t="s">
        <v>1046</v>
      </c>
      <c r="AC54" s="8"/>
      <c r="AD54" s="8"/>
      <c r="AE54" s="8"/>
      <c r="AF54" s="8" t="s">
        <v>726</v>
      </c>
      <c r="AG54" s="8" t="s">
        <v>726</v>
      </c>
      <c r="AH54" s="8" t="s">
        <v>726</v>
      </c>
      <c r="AI54" s="8" t="s">
        <v>726</v>
      </c>
      <c r="AJ54" s="8" t="s">
        <v>726</v>
      </c>
      <c r="AK54" s="8" t="s">
        <v>726</v>
      </c>
      <c r="AL54" s="8" t="s">
        <v>726</v>
      </c>
      <c r="AM54" s="8"/>
      <c r="AN54" s="8"/>
      <c r="AO54" s="8"/>
      <c r="AP54" s="8"/>
      <c r="AQ54" s="8"/>
      <c r="AR54" s="8"/>
      <c r="AS54" s="8"/>
      <c r="AT54" s="8"/>
      <c r="AU54" s="8"/>
      <c r="AV54" s="8"/>
      <c r="AX54" s="142">
        <v>55.48</v>
      </c>
    </row>
    <row r="55" spans="1:50" ht="25.5">
      <c r="B55" s="27">
        <v>54</v>
      </c>
      <c r="C55" s="31">
        <v>204</v>
      </c>
      <c r="D55" s="31">
        <v>414</v>
      </c>
      <c r="E55" s="42">
        <v>0.60416666666666663</v>
      </c>
      <c r="F55" s="42">
        <v>0.62638888888888888</v>
      </c>
      <c r="G55" s="31" t="s">
        <v>185</v>
      </c>
      <c r="H55" s="31" t="s">
        <v>103</v>
      </c>
      <c r="I55" s="33">
        <v>16</v>
      </c>
      <c r="J55" s="34" t="s">
        <v>93</v>
      </c>
      <c r="K55" s="35">
        <v>174</v>
      </c>
      <c r="L55" s="36">
        <f>+K55*I55</f>
        <v>2784</v>
      </c>
      <c r="M55" s="37" t="s">
        <v>1009</v>
      </c>
      <c r="N55" s="112" t="s">
        <v>1987</v>
      </c>
      <c r="O55" s="112">
        <v>17</v>
      </c>
      <c r="P55" s="112" t="s">
        <v>2016</v>
      </c>
      <c r="Q55" s="112">
        <v>17</v>
      </c>
      <c r="R55" s="112" t="s">
        <v>2025</v>
      </c>
      <c r="S55" s="79">
        <v>23</v>
      </c>
      <c r="T55" s="7">
        <v>2048</v>
      </c>
      <c r="U55" s="7" t="s">
        <v>1250</v>
      </c>
      <c r="V55" s="7">
        <v>2127</v>
      </c>
      <c r="W55" s="7" t="s">
        <v>1255</v>
      </c>
      <c r="X55" s="18"/>
      <c r="Y55" s="17"/>
      <c r="Z55" s="17"/>
      <c r="AA55" s="17"/>
      <c r="AB55" s="7" t="s">
        <v>1042</v>
      </c>
      <c r="AC55" s="8"/>
      <c r="AD55" s="8"/>
      <c r="AE55" s="8"/>
      <c r="AF55" s="8" t="s">
        <v>726</v>
      </c>
      <c r="AG55" s="8" t="s">
        <v>726</v>
      </c>
      <c r="AH55" s="8" t="s">
        <v>726</v>
      </c>
      <c r="AI55" s="8" t="s">
        <v>726</v>
      </c>
      <c r="AJ55" s="8" t="s">
        <v>726</v>
      </c>
      <c r="AK55" s="8" t="s">
        <v>726</v>
      </c>
      <c r="AL55" s="8"/>
      <c r="AM55" s="8"/>
      <c r="AN55" s="8"/>
      <c r="AO55" s="8"/>
      <c r="AP55" s="8"/>
      <c r="AQ55" s="8"/>
      <c r="AR55" s="8"/>
      <c r="AS55" s="8"/>
      <c r="AT55" s="8"/>
      <c r="AU55" s="8"/>
      <c r="AV55" s="8"/>
      <c r="AX55" s="142">
        <v>32</v>
      </c>
    </row>
    <row r="56" spans="1:50" ht="25.5">
      <c r="B56" s="27">
        <v>55</v>
      </c>
      <c r="C56" s="31">
        <v>204</v>
      </c>
      <c r="D56" s="31">
        <v>200</v>
      </c>
      <c r="E56" s="32">
        <v>0.68888888888888899</v>
      </c>
      <c r="F56" s="42">
        <v>0.7104166666666667</v>
      </c>
      <c r="G56" s="31" t="s">
        <v>606</v>
      </c>
      <c r="H56" s="31" t="s">
        <v>203</v>
      </c>
      <c r="I56" s="33">
        <v>17.899999999999999</v>
      </c>
      <c r="J56" s="34" t="s">
        <v>165</v>
      </c>
      <c r="K56" s="35">
        <v>202</v>
      </c>
      <c r="L56" s="36">
        <f>+K56*I56</f>
        <v>3615.7999999999997</v>
      </c>
      <c r="M56" s="37" t="s">
        <v>739</v>
      </c>
      <c r="N56" s="23" t="s">
        <v>893</v>
      </c>
      <c r="O56" s="23">
        <v>36</v>
      </c>
      <c r="P56" s="79" t="s">
        <v>1817</v>
      </c>
      <c r="Q56" s="112">
        <v>50</v>
      </c>
      <c r="R56" s="23" t="s">
        <v>1146</v>
      </c>
      <c r="S56" s="24">
        <v>45</v>
      </c>
      <c r="T56" s="7" t="s">
        <v>1253</v>
      </c>
      <c r="U56" s="7" t="s">
        <v>1257</v>
      </c>
      <c r="V56" s="7">
        <v>2057</v>
      </c>
      <c r="W56" s="7" t="s">
        <v>1252</v>
      </c>
      <c r="X56" s="18"/>
      <c r="Y56" s="17"/>
      <c r="Z56" s="18"/>
      <c r="AA56" s="18"/>
      <c r="AB56" s="7" t="s">
        <v>1048</v>
      </c>
      <c r="AC56" s="8" t="s">
        <v>726</v>
      </c>
      <c r="AD56" s="8"/>
      <c r="AE56" s="8" t="s">
        <v>726</v>
      </c>
      <c r="AF56" s="8"/>
      <c r="AG56" s="8" t="s">
        <v>726</v>
      </c>
      <c r="AH56" s="8" t="s">
        <v>726</v>
      </c>
      <c r="AI56" s="8" t="s">
        <v>726</v>
      </c>
      <c r="AJ56" s="8" t="s">
        <v>726</v>
      </c>
      <c r="AK56" s="8" t="s">
        <v>726</v>
      </c>
      <c r="AL56" s="8"/>
      <c r="AM56" s="8"/>
      <c r="AN56" s="8"/>
      <c r="AO56" s="8"/>
      <c r="AP56" s="8"/>
      <c r="AQ56" s="8"/>
      <c r="AR56" s="8"/>
      <c r="AS56" s="8"/>
      <c r="AT56" s="8"/>
      <c r="AU56" s="8"/>
      <c r="AV56" s="8"/>
      <c r="AX56" s="142">
        <v>56.22</v>
      </c>
    </row>
    <row r="57" spans="1:50" ht="25.5">
      <c r="B57" s="27">
        <v>56</v>
      </c>
      <c r="C57" s="31">
        <v>204</v>
      </c>
      <c r="D57" s="31">
        <v>282</v>
      </c>
      <c r="E57" s="32">
        <v>0.69374999999999998</v>
      </c>
      <c r="F57" s="42">
        <v>0.71458333333333324</v>
      </c>
      <c r="G57" s="31" t="s">
        <v>606</v>
      </c>
      <c r="H57" s="31" t="s">
        <v>424</v>
      </c>
      <c r="I57" s="33">
        <v>17.899999999999999</v>
      </c>
      <c r="J57" s="34" t="s">
        <v>165</v>
      </c>
      <c r="K57" s="35">
        <v>55</v>
      </c>
      <c r="L57" s="36">
        <f>+K57*I57</f>
        <v>984.49999999999989</v>
      </c>
      <c r="M57" s="37" t="s">
        <v>739</v>
      </c>
      <c r="N57" s="23" t="s">
        <v>892</v>
      </c>
      <c r="O57" s="23">
        <v>57</v>
      </c>
      <c r="P57" s="79" t="s">
        <v>1817</v>
      </c>
      <c r="Q57" s="112">
        <v>50</v>
      </c>
      <c r="R57" s="23" t="s">
        <v>1146</v>
      </c>
      <c r="S57" s="24">
        <v>45</v>
      </c>
      <c r="T57" s="7" t="s">
        <v>1253</v>
      </c>
      <c r="U57" s="7" t="s">
        <v>1257</v>
      </c>
      <c r="V57" s="7">
        <v>2057</v>
      </c>
      <c r="W57" s="7" t="s">
        <v>1252</v>
      </c>
      <c r="X57" s="17"/>
      <c r="Y57" s="18"/>
      <c r="Z57" s="18"/>
      <c r="AA57" s="18"/>
      <c r="AB57" s="7" t="s">
        <v>1049</v>
      </c>
      <c r="AC57" s="8"/>
      <c r="AD57" s="8" t="s">
        <v>726</v>
      </c>
      <c r="AE57" s="8" t="s">
        <v>726</v>
      </c>
      <c r="AF57" s="8"/>
      <c r="AG57" s="8" t="s">
        <v>726</v>
      </c>
      <c r="AH57" s="8" t="s">
        <v>726</v>
      </c>
      <c r="AI57" s="8" t="s">
        <v>726</v>
      </c>
      <c r="AJ57" s="8" t="s">
        <v>726</v>
      </c>
      <c r="AK57" s="8" t="s">
        <v>726</v>
      </c>
      <c r="AL57" s="8"/>
      <c r="AM57" s="8"/>
      <c r="AN57" s="8"/>
      <c r="AO57" s="8"/>
      <c r="AP57" s="8"/>
      <c r="AQ57" s="8"/>
      <c r="AR57" s="8"/>
      <c r="AS57" s="8"/>
      <c r="AT57" s="8"/>
      <c r="AU57" s="8"/>
      <c r="AV57" s="8"/>
      <c r="AX57" s="142">
        <v>56.22</v>
      </c>
    </row>
    <row r="58" spans="1:50" ht="25.5">
      <c r="B58" s="27">
        <v>57</v>
      </c>
      <c r="C58" s="31">
        <v>205</v>
      </c>
      <c r="D58" s="118">
        <v>159</v>
      </c>
      <c r="E58" s="32">
        <v>0.28611111111111115</v>
      </c>
      <c r="F58" s="32">
        <v>0.2902777777777778</v>
      </c>
      <c r="G58" s="31" t="s">
        <v>354</v>
      </c>
      <c r="H58" s="31" t="s">
        <v>267</v>
      </c>
      <c r="I58" s="33">
        <v>1</v>
      </c>
      <c r="J58" s="34" t="s">
        <v>93</v>
      </c>
      <c r="K58" s="35">
        <v>55</v>
      </c>
      <c r="L58" s="36">
        <f>+K58*I58</f>
        <v>55</v>
      </c>
      <c r="M58" s="37" t="s">
        <v>739</v>
      </c>
      <c r="N58" s="23" t="s">
        <v>891</v>
      </c>
      <c r="O58" s="23">
        <v>20</v>
      </c>
      <c r="P58" s="23" t="s">
        <v>890</v>
      </c>
      <c r="Q58" s="23">
        <v>23</v>
      </c>
      <c r="R58" s="23" t="s">
        <v>894</v>
      </c>
      <c r="S58" s="24">
        <v>24</v>
      </c>
      <c r="T58" s="7">
        <v>2101</v>
      </c>
      <c r="U58" s="7" t="s">
        <v>1258</v>
      </c>
      <c r="V58" s="7">
        <v>2100</v>
      </c>
      <c r="W58" s="7" t="s">
        <v>1259</v>
      </c>
      <c r="X58" s="17"/>
      <c r="Y58" s="18"/>
      <c r="Z58" s="18"/>
      <c r="AA58" s="18"/>
      <c r="AB58" s="7" t="s">
        <v>1049</v>
      </c>
      <c r="AC58" s="8"/>
      <c r="AD58" s="8" t="s">
        <v>726</v>
      </c>
      <c r="AE58" s="8" t="s">
        <v>726</v>
      </c>
      <c r="AF58" s="8"/>
      <c r="AG58" s="8" t="s">
        <v>726</v>
      </c>
      <c r="AH58" s="8" t="s">
        <v>726</v>
      </c>
      <c r="AI58" s="8" t="s">
        <v>726</v>
      </c>
      <c r="AJ58" s="8" t="s">
        <v>726</v>
      </c>
      <c r="AK58" s="8" t="s">
        <v>726</v>
      </c>
      <c r="AL58" s="8"/>
      <c r="AM58" s="8"/>
      <c r="AN58" s="8"/>
      <c r="AO58" s="8"/>
      <c r="AP58" s="8"/>
      <c r="AQ58" s="8"/>
      <c r="AR58" s="8"/>
      <c r="AS58" s="8"/>
      <c r="AT58" s="8"/>
      <c r="AU58" s="8"/>
      <c r="AV58" s="8"/>
      <c r="AX58" s="142">
        <v>20</v>
      </c>
    </row>
    <row r="59" spans="1:50" ht="38.25">
      <c r="B59" s="27">
        <v>58</v>
      </c>
      <c r="C59" s="31">
        <v>205</v>
      </c>
      <c r="D59" s="31">
        <v>397</v>
      </c>
      <c r="E59" s="32">
        <v>0.28611111111111115</v>
      </c>
      <c r="F59" s="42">
        <v>0.28819444444444448</v>
      </c>
      <c r="G59" s="31" t="s">
        <v>354</v>
      </c>
      <c r="H59" s="31" t="s">
        <v>347</v>
      </c>
      <c r="I59" s="33">
        <v>1</v>
      </c>
      <c r="J59" s="34" t="s">
        <v>93</v>
      </c>
      <c r="K59" s="35">
        <v>29</v>
      </c>
      <c r="L59" s="36">
        <f>+K59*I59</f>
        <v>29</v>
      </c>
      <c r="M59" s="37" t="s">
        <v>739</v>
      </c>
      <c r="N59" s="23" t="s">
        <v>891</v>
      </c>
      <c r="O59" s="23">
        <v>20</v>
      </c>
      <c r="P59" s="23" t="s">
        <v>890</v>
      </c>
      <c r="Q59" s="23">
        <v>23</v>
      </c>
      <c r="R59" s="23" t="s">
        <v>894</v>
      </c>
      <c r="S59" s="24">
        <v>24</v>
      </c>
      <c r="T59" s="7">
        <v>2101</v>
      </c>
      <c r="U59" s="7" t="s">
        <v>1258</v>
      </c>
      <c r="V59" s="7">
        <v>2100</v>
      </c>
      <c r="W59" s="7" t="s">
        <v>1259</v>
      </c>
      <c r="X59" s="18"/>
      <c r="Y59" s="17"/>
      <c r="Z59" s="18"/>
      <c r="AA59" s="18"/>
      <c r="AB59" s="7" t="s">
        <v>1050</v>
      </c>
      <c r="AC59" s="8" t="s">
        <v>726</v>
      </c>
      <c r="AD59" s="8"/>
      <c r="AE59" s="8" t="s">
        <v>726</v>
      </c>
      <c r="AF59" s="8"/>
      <c r="AG59" s="8"/>
      <c r="AH59" s="8"/>
      <c r="AI59" s="8"/>
      <c r="AJ59" s="8"/>
      <c r="AK59" s="8"/>
      <c r="AL59" s="8"/>
      <c r="AM59" s="8"/>
      <c r="AN59" s="8"/>
      <c r="AO59" s="8"/>
      <c r="AP59" s="8"/>
      <c r="AQ59" s="8" t="s">
        <v>726</v>
      </c>
      <c r="AR59" s="8" t="s">
        <v>726</v>
      </c>
      <c r="AS59" s="8" t="s">
        <v>726</v>
      </c>
      <c r="AT59" s="8" t="s">
        <v>726</v>
      </c>
      <c r="AU59" s="8" t="s">
        <v>726</v>
      </c>
      <c r="AV59" s="8" t="s">
        <v>726</v>
      </c>
      <c r="AX59" s="142">
        <v>20</v>
      </c>
    </row>
    <row r="60" spans="1:50" ht="25.5">
      <c r="B60" s="27">
        <v>59</v>
      </c>
      <c r="C60" s="31">
        <v>205</v>
      </c>
      <c r="D60" s="31">
        <v>400</v>
      </c>
      <c r="E60" s="32">
        <v>0.74305555555555547</v>
      </c>
      <c r="F60" s="32">
        <v>0.74444444444444446</v>
      </c>
      <c r="G60" s="31" t="s">
        <v>353</v>
      </c>
      <c r="H60" s="31" t="s">
        <v>103</v>
      </c>
      <c r="I60" s="33">
        <v>1.5</v>
      </c>
      <c r="J60" s="34" t="s">
        <v>93</v>
      </c>
      <c r="K60" s="35">
        <v>174</v>
      </c>
      <c r="L60" s="36">
        <f>+K60*I60</f>
        <v>261</v>
      </c>
      <c r="M60" s="37" t="s">
        <v>739</v>
      </c>
      <c r="N60" s="23" t="s">
        <v>891</v>
      </c>
      <c r="O60" s="23">
        <v>20</v>
      </c>
      <c r="P60" s="23" t="s">
        <v>890</v>
      </c>
      <c r="Q60" s="23">
        <v>23</v>
      </c>
      <c r="R60" s="23" t="s">
        <v>894</v>
      </c>
      <c r="S60" s="24">
        <v>24</v>
      </c>
      <c r="T60" s="7">
        <v>2100</v>
      </c>
      <c r="U60" s="7" t="s">
        <v>1259</v>
      </c>
      <c r="V60" s="7">
        <v>2101</v>
      </c>
      <c r="W60" s="7" t="s">
        <v>1258</v>
      </c>
      <c r="X60" s="18"/>
      <c r="Y60" s="17"/>
      <c r="Z60" s="17"/>
      <c r="AA60" s="17"/>
      <c r="AB60" s="7" t="s">
        <v>1042</v>
      </c>
      <c r="AC60" s="8"/>
      <c r="AD60" s="8"/>
      <c r="AE60" s="8"/>
      <c r="AF60" s="8" t="s">
        <v>726</v>
      </c>
      <c r="AG60" s="8" t="s">
        <v>726</v>
      </c>
      <c r="AH60" s="8" t="s">
        <v>726</v>
      </c>
      <c r="AI60" s="8" t="s">
        <v>726</v>
      </c>
      <c r="AJ60" s="8" t="s">
        <v>726</v>
      </c>
      <c r="AK60" s="8" t="s">
        <v>726</v>
      </c>
      <c r="AL60" s="8"/>
      <c r="AM60" s="8"/>
      <c r="AN60" s="8"/>
      <c r="AO60" s="8"/>
      <c r="AP60" s="8"/>
      <c r="AQ60" s="8"/>
      <c r="AR60" s="8"/>
      <c r="AS60" s="8"/>
      <c r="AT60" s="8"/>
      <c r="AU60" s="8"/>
      <c r="AV60" s="8"/>
      <c r="AX60" s="142">
        <v>11.87</v>
      </c>
    </row>
    <row r="61" spans="1:50" ht="25.5">
      <c r="B61" s="27">
        <v>60</v>
      </c>
      <c r="C61" s="31">
        <v>206</v>
      </c>
      <c r="D61" s="31">
        <v>124</v>
      </c>
      <c r="E61" s="32">
        <v>0.67361111111111116</v>
      </c>
      <c r="F61" s="32">
        <v>0.70138888888888884</v>
      </c>
      <c r="G61" s="31" t="s">
        <v>163</v>
      </c>
      <c r="H61" s="31" t="s">
        <v>203</v>
      </c>
      <c r="I61" s="33">
        <v>18.3</v>
      </c>
      <c r="J61" s="34" t="s">
        <v>164</v>
      </c>
      <c r="K61" s="35">
        <v>202</v>
      </c>
      <c r="L61" s="36">
        <f>+K61*I61</f>
        <v>3696.6000000000004</v>
      </c>
      <c r="M61" s="37" t="s">
        <v>739</v>
      </c>
      <c r="N61" s="23" t="s">
        <v>894</v>
      </c>
      <c r="O61" s="23">
        <v>23</v>
      </c>
      <c r="P61" s="23" t="s">
        <v>893</v>
      </c>
      <c r="Q61" s="23">
        <v>36</v>
      </c>
      <c r="S61" s="23"/>
      <c r="T61" s="7">
        <v>1</v>
      </c>
      <c r="U61" s="7" t="s">
        <v>1233</v>
      </c>
      <c r="V61" s="7" t="s">
        <v>1260</v>
      </c>
      <c r="W61" s="7" t="s">
        <v>1261</v>
      </c>
      <c r="X61" s="18"/>
      <c r="Y61" s="17"/>
      <c r="Z61" s="18"/>
      <c r="AA61" s="18"/>
      <c r="AB61" s="7" t="s">
        <v>1048</v>
      </c>
      <c r="AC61" s="8" t="s">
        <v>726</v>
      </c>
      <c r="AD61" s="8"/>
      <c r="AE61" s="8" t="s">
        <v>726</v>
      </c>
      <c r="AF61" s="8"/>
      <c r="AG61" s="8" t="s">
        <v>726</v>
      </c>
      <c r="AH61" s="8" t="s">
        <v>726</v>
      </c>
      <c r="AI61" s="8" t="s">
        <v>726</v>
      </c>
      <c r="AJ61" s="8" t="s">
        <v>726</v>
      </c>
      <c r="AK61" s="8" t="s">
        <v>726</v>
      </c>
      <c r="AL61" s="8"/>
      <c r="AM61" s="8"/>
      <c r="AN61" s="8"/>
      <c r="AO61" s="8"/>
      <c r="AP61" s="8"/>
      <c r="AQ61" s="8"/>
      <c r="AR61" s="8"/>
      <c r="AS61" s="8"/>
      <c r="AT61" s="8"/>
      <c r="AU61" s="8"/>
      <c r="AV61" s="8"/>
      <c r="AX61" s="142">
        <v>75.33</v>
      </c>
    </row>
    <row r="62" spans="1:50" ht="25.5">
      <c r="B62" s="27">
        <v>61</v>
      </c>
      <c r="C62" s="31">
        <v>213</v>
      </c>
      <c r="D62" s="31">
        <v>5</v>
      </c>
      <c r="E62" s="32">
        <v>0.28819444444444448</v>
      </c>
      <c r="F62" s="32">
        <v>0.2986111111111111</v>
      </c>
      <c r="G62" s="31" t="s">
        <v>287</v>
      </c>
      <c r="H62" s="31" t="s">
        <v>97</v>
      </c>
      <c r="I62" s="33">
        <v>3.7</v>
      </c>
      <c r="J62" s="34" t="s">
        <v>234</v>
      </c>
      <c r="K62" s="35">
        <v>208</v>
      </c>
      <c r="L62" s="36">
        <f>+K62*I62</f>
        <v>769.6</v>
      </c>
      <c r="M62" s="37" t="s">
        <v>745</v>
      </c>
      <c r="N62" s="23" t="s">
        <v>878</v>
      </c>
      <c r="O62" s="23">
        <v>21</v>
      </c>
      <c r="P62" s="23" t="s">
        <v>1149</v>
      </c>
      <c r="Q62" s="24">
        <v>9</v>
      </c>
      <c r="T62" s="7">
        <v>2324</v>
      </c>
      <c r="U62" s="7" t="s">
        <v>1262</v>
      </c>
      <c r="V62" s="7">
        <v>2310</v>
      </c>
      <c r="W62" s="7" t="s">
        <v>1263</v>
      </c>
      <c r="X62" s="18"/>
      <c r="Y62" s="17"/>
      <c r="Z62" s="17"/>
      <c r="AA62" s="17"/>
      <c r="AB62" s="7" t="s">
        <v>1046</v>
      </c>
      <c r="AC62" s="8"/>
      <c r="AD62" s="8"/>
      <c r="AE62" s="8"/>
      <c r="AF62" s="8" t="s">
        <v>726</v>
      </c>
      <c r="AG62" s="8" t="s">
        <v>726</v>
      </c>
      <c r="AH62" s="8" t="s">
        <v>726</v>
      </c>
      <c r="AI62" s="8" t="s">
        <v>726</v>
      </c>
      <c r="AJ62" s="8" t="s">
        <v>726</v>
      </c>
      <c r="AK62" s="8" t="s">
        <v>726</v>
      </c>
      <c r="AL62" s="8" t="s">
        <v>726</v>
      </c>
      <c r="AM62" s="8"/>
      <c r="AN62" s="8"/>
      <c r="AO62" s="8"/>
      <c r="AP62" s="8"/>
      <c r="AQ62" s="8"/>
      <c r="AR62" s="8"/>
      <c r="AS62" s="8"/>
      <c r="AT62" s="8"/>
      <c r="AU62" s="8"/>
      <c r="AV62" s="8"/>
      <c r="AX62" s="142">
        <v>25.6</v>
      </c>
    </row>
    <row r="63" spans="1:50" ht="45">
      <c r="B63" s="27">
        <v>62</v>
      </c>
      <c r="C63" s="31">
        <v>214</v>
      </c>
      <c r="D63" s="43">
        <v>617</v>
      </c>
      <c r="E63" s="32">
        <v>0.30833333333333335</v>
      </c>
      <c r="F63" s="32">
        <v>0.32291666666666669</v>
      </c>
      <c r="G63" s="31" t="s">
        <v>327</v>
      </c>
      <c r="H63" s="31" t="s">
        <v>97</v>
      </c>
      <c r="I63" s="33">
        <v>10.5</v>
      </c>
      <c r="J63" s="34" t="s">
        <v>331</v>
      </c>
      <c r="K63" s="35">
        <v>208</v>
      </c>
      <c r="L63" s="36">
        <f>+K63*I63</f>
        <v>2184</v>
      </c>
      <c r="M63" s="37" t="s">
        <v>746</v>
      </c>
      <c r="N63" s="23" t="s">
        <v>974</v>
      </c>
      <c r="O63" s="23">
        <v>9</v>
      </c>
      <c r="P63" s="23" t="s">
        <v>1150</v>
      </c>
      <c r="Q63" s="23">
        <v>9</v>
      </c>
      <c r="S63" s="23"/>
      <c r="T63" s="7">
        <v>2160</v>
      </c>
      <c r="U63" s="7" t="s">
        <v>1264</v>
      </c>
      <c r="V63" s="7">
        <v>960</v>
      </c>
      <c r="W63" s="7" t="s">
        <v>1251</v>
      </c>
      <c r="X63" s="18"/>
      <c r="Y63" s="17"/>
      <c r="Z63" s="17"/>
      <c r="AA63" s="17"/>
      <c r="AB63" s="7" t="s">
        <v>1046</v>
      </c>
      <c r="AC63" s="8"/>
      <c r="AD63" s="8"/>
      <c r="AE63" s="8"/>
      <c r="AF63" s="8" t="s">
        <v>726</v>
      </c>
      <c r="AG63" s="8" t="s">
        <v>726</v>
      </c>
      <c r="AH63" s="8" t="s">
        <v>726</v>
      </c>
      <c r="AI63" s="8" t="s">
        <v>726</v>
      </c>
      <c r="AJ63" s="8" t="s">
        <v>726</v>
      </c>
      <c r="AK63" s="8" t="s">
        <v>726</v>
      </c>
      <c r="AL63" s="8" t="s">
        <v>726</v>
      </c>
      <c r="AM63" s="8"/>
      <c r="AN63" s="8"/>
      <c r="AO63" s="8"/>
      <c r="AP63" s="8"/>
      <c r="AQ63" s="8"/>
      <c r="AR63" s="8"/>
      <c r="AS63" s="8"/>
      <c r="AT63" s="8"/>
      <c r="AU63" s="8"/>
      <c r="AV63" s="8"/>
      <c r="AX63" s="142">
        <v>31.5</v>
      </c>
    </row>
    <row r="64" spans="1:50" ht="45">
      <c r="B64" s="27">
        <v>63</v>
      </c>
      <c r="C64" s="31">
        <v>214</v>
      </c>
      <c r="D64" s="31">
        <v>616</v>
      </c>
      <c r="E64" s="32">
        <v>0.54305555555555551</v>
      </c>
      <c r="F64" s="32">
        <v>0.54583333333333328</v>
      </c>
      <c r="G64" s="31" t="s">
        <v>433</v>
      </c>
      <c r="H64" s="31" t="s">
        <v>530</v>
      </c>
      <c r="I64" s="33">
        <v>3.1</v>
      </c>
      <c r="J64" s="34" t="s">
        <v>116</v>
      </c>
      <c r="K64" s="35">
        <v>34</v>
      </c>
      <c r="L64" s="36">
        <f>+K64*I64</f>
        <v>105.4</v>
      </c>
      <c r="M64" s="37" t="s">
        <v>746</v>
      </c>
      <c r="N64" s="23" t="s">
        <v>974</v>
      </c>
      <c r="O64" s="23">
        <v>9</v>
      </c>
      <c r="P64" s="23" t="s">
        <v>1150</v>
      </c>
      <c r="Q64" s="23">
        <v>9</v>
      </c>
      <c r="S64" s="23"/>
      <c r="T64" s="7">
        <v>2163</v>
      </c>
      <c r="U64" s="7" t="s">
        <v>1265</v>
      </c>
      <c r="V64" s="7">
        <v>2160</v>
      </c>
      <c r="W64" s="7" t="s">
        <v>1264</v>
      </c>
      <c r="X64" s="18"/>
      <c r="Y64" s="17"/>
      <c r="Z64" s="17"/>
      <c r="AA64" s="17"/>
      <c r="AB64" s="8" t="s">
        <v>1051</v>
      </c>
      <c r="AC64" s="8"/>
      <c r="AD64" s="8"/>
      <c r="AE64" s="8"/>
      <c r="AF64" s="8" t="s">
        <v>726</v>
      </c>
      <c r="AG64" s="8"/>
      <c r="AH64" s="8"/>
      <c r="AI64" s="8"/>
      <c r="AJ64" s="8"/>
      <c r="AK64" s="8"/>
      <c r="AL64" s="8" t="s">
        <v>726</v>
      </c>
      <c r="AM64" s="8"/>
      <c r="AN64" s="8"/>
      <c r="AO64" s="8"/>
      <c r="AP64" s="8"/>
      <c r="AQ64" s="8"/>
      <c r="AR64" s="8"/>
      <c r="AS64" s="8"/>
      <c r="AT64" s="8"/>
      <c r="AU64" s="8"/>
      <c r="AV64" s="8"/>
      <c r="AX64" s="142">
        <v>18.899999999999999</v>
      </c>
    </row>
    <row r="65" spans="2:50" ht="45">
      <c r="B65" s="27">
        <v>64</v>
      </c>
      <c r="C65" s="31">
        <v>214</v>
      </c>
      <c r="D65" s="31">
        <v>49</v>
      </c>
      <c r="E65" s="32">
        <v>0.54861111111111105</v>
      </c>
      <c r="F65" s="32">
        <v>0.58680555555555558</v>
      </c>
      <c r="G65" s="31" t="s">
        <v>327</v>
      </c>
      <c r="H65" s="31" t="s">
        <v>253</v>
      </c>
      <c r="I65" s="33">
        <v>10.5</v>
      </c>
      <c r="J65" s="34" t="s">
        <v>116</v>
      </c>
      <c r="K65" s="35">
        <v>34</v>
      </c>
      <c r="L65" s="36">
        <f>+K65*I65</f>
        <v>357</v>
      </c>
      <c r="M65" s="37" t="s">
        <v>746</v>
      </c>
      <c r="N65" s="23" t="s">
        <v>974</v>
      </c>
      <c r="O65" s="23">
        <v>9</v>
      </c>
      <c r="P65" s="23" t="s">
        <v>1150</v>
      </c>
      <c r="Q65" s="23">
        <v>9</v>
      </c>
      <c r="S65" s="23"/>
      <c r="T65" s="7">
        <v>2160</v>
      </c>
      <c r="U65" s="7" t="s">
        <v>1264</v>
      </c>
      <c r="V65" s="7">
        <v>960</v>
      </c>
      <c r="W65" s="7" t="s">
        <v>1251</v>
      </c>
      <c r="X65" s="18"/>
      <c r="Y65" s="17"/>
      <c r="Z65" s="17"/>
      <c r="AA65" s="17"/>
      <c r="AB65" s="8" t="s">
        <v>1051</v>
      </c>
      <c r="AC65" s="8"/>
      <c r="AD65" s="8"/>
      <c r="AE65" s="8"/>
      <c r="AF65" s="8" t="s">
        <v>726</v>
      </c>
      <c r="AG65" s="8"/>
      <c r="AH65" s="8"/>
      <c r="AI65" s="8"/>
      <c r="AJ65" s="8"/>
      <c r="AK65" s="8"/>
      <c r="AL65" s="8" t="s">
        <v>726</v>
      </c>
      <c r="AM65" s="8"/>
      <c r="AN65" s="8"/>
      <c r="AO65" s="8"/>
      <c r="AP65" s="8"/>
      <c r="AQ65" s="8"/>
      <c r="AR65" s="8"/>
      <c r="AS65" s="8"/>
      <c r="AT65" s="8"/>
      <c r="AU65" s="8"/>
      <c r="AV65" s="8"/>
      <c r="AX65" s="142">
        <v>21</v>
      </c>
    </row>
    <row r="66" spans="2:50" ht="25.5">
      <c r="B66" s="27">
        <v>65</v>
      </c>
      <c r="C66" s="31">
        <v>214</v>
      </c>
      <c r="D66" s="31">
        <v>618</v>
      </c>
      <c r="E66" s="32">
        <v>0.5708333333333333</v>
      </c>
      <c r="F66" s="32">
        <v>0.57361111111111118</v>
      </c>
      <c r="G66" s="31" t="s">
        <v>433</v>
      </c>
      <c r="H66" s="43" t="s">
        <v>1115</v>
      </c>
      <c r="I66" s="33">
        <v>3.1</v>
      </c>
      <c r="J66" s="34" t="s">
        <v>116</v>
      </c>
      <c r="K66" s="46">
        <f>174-K67</f>
        <v>106</v>
      </c>
      <c r="L66" s="36">
        <f>+K66*I66</f>
        <v>328.6</v>
      </c>
      <c r="M66" s="37" t="s">
        <v>1117</v>
      </c>
      <c r="N66" s="23" t="s">
        <v>831</v>
      </c>
      <c r="O66" s="23">
        <v>9</v>
      </c>
      <c r="P66" s="23" t="s">
        <v>832</v>
      </c>
      <c r="Q66" s="23">
        <v>23</v>
      </c>
      <c r="R66" s="23" t="s">
        <v>1151</v>
      </c>
      <c r="S66" s="23">
        <v>7</v>
      </c>
      <c r="T66" s="7">
        <v>2163</v>
      </c>
      <c r="U66" s="7" t="s">
        <v>1265</v>
      </c>
      <c r="V66" s="7">
        <v>2160</v>
      </c>
      <c r="W66" s="7" t="s">
        <v>1264</v>
      </c>
      <c r="X66" s="18"/>
      <c r="Y66" s="17"/>
      <c r="Z66" s="17"/>
      <c r="AA66" s="17"/>
      <c r="AB66" s="7" t="s">
        <v>1069</v>
      </c>
      <c r="AC66" s="8"/>
      <c r="AD66" s="8"/>
      <c r="AE66" s="8"/>
      <c r="AF66" s="8" t="s">
        <v>726</v>
      </c>
      <c r="AG66" s="8" t="s">
        <v>726</v>
      </c>
      <c r="AH66" s="8"/>
      <c r="AI66" s="8" t="s">
        <v>726</v>
      </c>
      <c r="AJ66" s="8"/>
      <c r="AK66" s="8" t="s">
        <v>726</v>
      </c>
      <c r="AL66" s="8"/>
      <c r="AM66" s="8"/>
      <c r="AN66" s="8"/>
      <c r="AO66" s="8"/>
      <c r="AP66" s="8"/>
      <c r="AQ66" s="8"/>
      <c r="AR66" s="8"/>
      <c r="AS66" s="8"/>
      <c r="AT66" s="8"/>
      <c r="AU66" s="8"/>
      <c r="AV66" s="8"/>
      <c r="AX66" s="142">
        <v>18.899999999999999</v>
      </c>
    </row>
    <row r="67" spans="2:50" ht="45">
      <c r="B67" s="48" t="s">
        <v>1111</v>
      </c>
      <c r="C67" s="31">
        <v>214</v>
      </c>
      <c r="D67" s="31">
        <v>618</v>
      </c>
      <c r="E67" s="32">
        <v>0.5708333333333333</v>
      </c>
      <c r="F67" s="32">
        <v>0.57361111111111118</v>
      </c>
      <c r="G67" s="31" t="s">
        <v>433</v>
      </c>
      <c r="H67" s="43" t="s">
        <v>1116</v>
      </c>
      <c r="I67" s="33">
        <v>3.1</v>
      </c>
      <c r="J67" s="34" t="s">
        <v>116</v>
      </c>
      <c r="K67" s="46">
        <v>68</v>
      </c>
      <c r="L67" s="36">
        <f>+K67*I67</f>
        <v>210.8</v>
      </c>
      <c r="M67" s="37" t="s">
        <v>746</v>
      </c>
      <c r="N67" s="23" t="s">
        <v>1114</v>
      </c>
      <c r="O67" s="23">
        <v>9</v>
      </c>
      <c r="P67" s="23" t="s">
        <v>1152</v>
      </c>
      <c r="Q67" s="23">
        <v>9</v>
      </c>
      <c r="R67" s="23"/>
      <c r="S67" s="23"/>
      <c r="T67" s="7">
        <v>2163</v>
      </c>
      <c r="U67" s="7" t="s">
        <v>1265</v>
      </c>
      <c r="V67" s="7">
        <v>2160</v>
      </c>
      <c r="W67" s="7" t="s">
        <v>1264</v>
      </c>
      <c r="X67" s="18"/>
      <c r="Y67" s="17"/>
      <c r="Z67" s="17"/>
      <c r="AA67" s="17"/>
      <c r="AB67" s="7" t="s">
        <v>1061</v>
      </c>
      <c r="AC67" s="8"/>
      <c r="AD67" s="8"/>
      <c r="AE67" s="8"/>
      <c r="AF67" s="8" t="s">
        <v>726</v>
      </c>
      <c r="AG67" s="8"/>
      <c r="AH67" s="8" t="s">
        <v>726</v>
      </c>
      <c r="AI67" s="8"/>
      <c r="AJ67" s="8" t="s">
        <v>726</v>
      </c>
      <c r="AK67" s="8"/>
      <c r="AL67" s="8"/>
      <c r="AM67" s="8"/>
      <c r="AN67" s="8"/>
      <c r="AO67" s="8"/>
      <c r="AP67" s="8"/>
      <c r="AQ67" s="8"/>
      <c r="AR67" s="8"/>
      <c r="AS67" s="8"/>
      <c r="AT67" s="8"/>
      <c r="AU67" s="8"/>
      <c r="AV67" s="8"/>
      <c r="AX67" s="142">
        <v>18.899999999999999</v>
      </c>
    </row>
    <row r="68" spans="2:50" ht="25.5">
      <c r="B68" s="27">
        <v>66</v>
      </c>
      <c r="C68" s="31">
        <v>214</v>
      </c>
      <c r="D68" s="31">
        <v>49</v>
      </c>
      <c r="E68" s="42">
        <v>0.60902777777777783</v>
      </c>
      <c r="F68" s="42">
        <v>0.62361111111111112</v>
      </c>
      <c r="G68" s="31" t="s">
        <v>327</v>
      </c>
      <c r="H68" s="43" t="s">
        <v>1115</v>
      </c>
      <c r="I68" s="33">
        <v>10.5</v>
      </c>
      <c r="J68" s="34" t="s">
        <v>98</v>
      </c>
      <c r="K68" s="46">
        <f>174-K69</f>
        <v>106</v>
      </c>
      <c r="L68" s="36">
        <f>+K68*I68</f>
        <v>1113</v>
      </c>
      <c r="M68" s="37" t="s">
        <v>1117</v>
      </c>
      <c r="N68" s="23" t="s">
        <v>831</v>
      </c>
      <c r="O68" s="23">
        <v>9</v>
      </c>
      <c r="P68" s="23" t="s">
        <v>832</v>
      </c>
      <c r="Q68" s="23">
        <v>23</v>
      </c>
      <c r="R68" s="23" t="s">
        <v>1151</v>
      </c>
      <c r="S68" s="23">
        <v>7</v>
      </c>
      <c r="T68" s="7">
        <v>2160</v>
      </c>
      <c r="U68" s="7" t="s">
        <v>1264</v>
      </c>
      <c r="V68" s="7">
        <v>960</v>
      </c>
      <c r="W68" s="7" t="s">
        <v>1251</v>
      </c>
      <c r="X68" s="18"/>
      <c r="Y68" s="17"/>
      <c r="Z68" s="17"/>
      <c r="AA68" s="17"/>
      <c r="AB68" s="7" t="s">
        <v>1069</v>
      </c>
      <c r="AC68" s="8"/>
      <c r="AD68" s="8"/>
      <c r="AE68" s="8"/>
      <c r="AF68" s="8" t="s">
        <v>726</v>
      </c>
      <c r="AG68" s="8" t="s">
        <v>726</v>
      </c>
      <c r="AH68" s="8"/>
      <c r="AI68" s="8" t="s">
        <v>726</v>
      </c>
      <c r="AJ68" s="8"/>
      <c r="AK68" s="8" t="s">
        <v>726</v>
      </c>
      <c r="AL68" s="8"/>
      <c r="AM68" s="8"/>
      <c r="AN68" s="8"/>
      <c r="AO68" s="8"/>
      <c r="AP68" s="8"/>
      <c r="AQ68" s="8"/>
      <c r="AR68" s="8"/>
      <c r="AS68" s="8"/>
      <c r="AT68" s="8"/>
      <c r="AU68" s="8"/>
      <c r="AV68" s="8"/>
      <c r="AX68" s="142">
        <v>21</v>
      </c>
    </row>
    <row r="69" spans="2:50" ht="45">
      <c r="B69" s="48" t="s">
        <v>1112</v>
      </c>
      <c r="C69" s="31">
        <v>214</v>
      </c>
      <c r="D69" s="31">
        <v>49</v>
      </c>
      <c r="E69" s="42">
        <v>0.60902777777777783</v>
      </c>
      <c r="F69" s="42">
        <v>0.62361111111111112</v>
      </c>
      <c r="G69" s="31" t="s">
        <v>327</v>
      </c>
      <c r="H69" s="43" t="s">
        <v>1116</v>
      </c>
      <c r="I69" s="33">
        <v>10.5</v>
      </c>
      <c r="J69" s="34" t="s">
        <v>98</v>
      </c>
      <c r="K69" s="46">
        <v>68</v>
      </c>
      <c r="L69" s="36">
        <f>+K69*I69</f>
        <v>714</v>
      </c>
      <c r="M69" s="37" t="s">
        <v>746</v>
      </c>
      <c r="N69" s="23" t="s">
        <v>1114</v>
      </c>
      <c r="O69" s="23">
        <v>9</v>
      </c>
      <c r="P69" s="23" t="s">
        <v>1152</v>
      </c>
      <c r="Q69" s="23">
        <v>9</v>
      </c>
      <c r="R69" s="23"/>
      <c r="S69" s="23"/>
      <c r="T69" s="7">
        <v>2160</v>
      </c>
      <c r="U69" s="7" t="s">
        <v>1264</v>
      </c>
      <c r="V69" s="7">
        <v>960</v>
      </c>
      <c r="W69" s="7" t="s">
        <v>1251</v>
      </c>
      <c r="X69" s="18"/>
      <c r="Y69" s="17"/>
      <c r="Z69" s="17"/>
      <c r="AA69" s="17"/>
      <c r="AB69" s="7" t="s">
        <v>1061</v>
      </c>
      <c r="AC69" s="8"/>
      <c r="AD69" s="8"/>
      <c r="AE69" s="8"/>
      <c r="AF69" s="8" t="s">
        <v>726</v>
      </c>
      <c r="AG69" s="8"/>
      <c r="AH69" s="8" t="s">
        <v>726</v>
      </c>
      <c r="AI69" s="8"/>
      <c r="AJ69" s="8" t="s">
        <v>726</v>
      </c>
      <c r="AK69" s="8"/>
      <c r="AL69" s="8"/>
      <c r="AM69" s="8"/>
      <c r="AN69" s="8"/>
      <c r="AO69" s="8"/>
      <c r="AP69" s="8"/>
      <c r="AQ69" s="8"/>
      <c r="AR69" s="8"/>
      <c r="AS69" s="8"/>
      <c r="AT69" s="8"/>
      <c r="AU69" s="8"/>
      <c r="AV69" s="8"/>
      <c r="AX69" s="142">
        <v>21</v>
      </c>
    </row>
    <row r="70" spans="2:50" ht="25.5">
      <c r="B70" s="27">
        <v>67</v>
      </c>
      <c r="C70" s="31">
        <v>214</v>
      </c>
      <c r="D70" s="31">
        <v>680</v>
      </c>
      <c r="E70" s="32">
        <v>0.60416666666666663</v>
      </c>
      <c r="F70" s="32">
        <v>0.6069444444444444</v>
      </c>
      <c r="G70" s="31" t="s">
        <v>483</v>
      </c>
      <c r="H70" s="43" t="s">
        <v>1115</v>
      </c>
      <c r="I70" s="33">
        <v>3.1</v>
      </c>
      <c r="J70" s="34" t="s">
        <v>98</v>
      </c>
      <c r="K70" s="46">
        <f>174-K71</f>
        <v>106</v>
      </c>
      <c r="L70" s="36">
        <f>+K70*I70</f>
        <v>328.6</v>
      </c>
      <c r="M70" s="37" t="s">
        <v>1117</v>
      </c>
      <c r="N70" s="23" t="s">
        <v>831</v>
      </c>
      <c r="O70" s="23">
        <v>9</v>
      </c>
      <c r="P70" s="23" t="s">
        <v>832</v>
      </c>
      <c r="Q70" s="23">
        <v>23</v>
      </c>
      <c r="R70" s="23" t="s">
        <v>1151</v>
      </c>
      <c r="S70" s="23">
        <v>7</v>
      </c>
      <c r="T70" s="7">
        <v>2163</v>
      </c>
      <c r="U70" s="7" t="s">
        <v>1265</v>
      </c>
      <c r="V70" s="7">
        <v>2160</v>
      </c>
      <c r="W70" s="7" t="s">
        <v>1264</v>
      </c>
      <c r="X70" s="18"/>
      <c r="Y70" s="17"/>
      <c r="Z70" s="17"/>
      <c r="AA70" s="17"/>
      <c r="AB70" s="7" t="s">
        <v>1069</v>
      </c>
      <c r="AC70" s="8"/>
      <c r="AD70" s="8"/>
      <c r="AE70" s="8"/>
      <c r="AF70" s="8" t="s">
        <v>726</v>
      </c>
      <c r="AG70" s="8" t="s">
        <v>726</v>
      </c>
      <c r="AH70" s="8"/>
      <c r="AI70" s="8" t="s">
        <v>726</v>
      </c>
      <c r="AJ70" s="8"/>
      <c r="AK70" s="8" t="s">
        <v>726</v>
      </c>
      <c r="AL70" s="8"/>
      <c r="AM70" s="8"/>
      <c r="AN70" s="8"/>
      <c r="AO70" s="8"/>
      <c r="AP70" s="8"/>
      <c r="AQ70" s="8"/>
      <c r="AR70" s="8"/>
      <c r="AS70" s="8"/>
      <c r="AT70" s="8"/>
      <c r="AU70" s="8"/>
      <c r="AV70" s="8"/>
      <c r="AX70" s="142">
        <v>18.899999999999999</v>
      </c>
    </row>
    <row r="71" spans="2:50" ht="45">
      <c r="B71" s="48" t="s">
        <v>1113</v>
      </c>
      <c r="C71" s="31">
        <v>214</v>
      </c>
      <c r="D71" s="31">
        <v>680</v>
      </c>
      <c r="E71" s="32">
        <v>0.60416666666666663</v>
      </c>
      <c r="F71" s="32">
        <v>0.6069444444444444</v>
      </c>
      <c r="G71" s="31" t="s">
        <v>483</v>
      </c>
      <c r="H71" s="43" t="s">
        <v>1116</v>
      </c>
      <c r="I71" s="33">
        <v>3.1</v>
      </c>
      <c r="J71" s="34" t="s">
        <v>98</v>
      </c>
      <c r="K71" s="46">
        <v>68</v>
      </c>
      <c r="L71" s="36">
        <f>+K71*I71</f>
        <v>210.8</v>
      </c>
      <c r="M71" s="37" t="s">
        <v>746</v>
      </c>
      <c r="N71" s="23" t="s">
        <v>1114</v>
      </c>
      <c r="O71" s="23">
        <v>9</v>
      </c>
      <c r="P71" s="23" t="s">
        <v>1152</v>
      </c>
      <c r="Q71" s="23">
        <v>9</v>
      </c>
      <c r="R71" s="23"/>
      <c r="S71" s="23"/>
      <c r="T71" s="7">
        <v>2163</v>
      </c>
      <c r="U71" s="7" t="s">
        <v>1265</v>
      </c>
      <c r="V71" s="7">
        <v>2160</v>
      </c>
      <c r="W71" s="7" t="s">
        <v>1264</v>
      </c>
      <c r="X71" s="18"/>
      <c r="Y71" s="17"/>
      <c r="Z71" s="17"/>
      <c r="AA71" s="17"/>
      <c r="AB71" s="7" t="s">
        <v>1061</v>
      </c>
      <c r="AC71" s="8"/>
      <c r="AD71" s="8"/>
      <c r="AE71" s="8"/>
      <c r="AF71" s="8" t="s">
        <v>726</v>
      </c>
      <c r="AG71" s="8"/>
      <c r="AH71" s="8" t="s">
        <v>726</v>
      </c>
      <c r="AI71" s="8"/>
      <c r="AJ71" s="8" t="s">
        <v>726</v>
      </c>
      <c r="AK71" s="8"/>
      <c r="AL71" s="8"/>
      <c r="AM71" s="8"/>
      <c r="AN71" s="8"/>
      <c r="AO71" s="8"/>
      <c r="AP71" s="8"/>
      <c r="AQ71" s="8"/>
      <c r="AR71" s="8"/>
      <c r="AS71" s="8"/>
      <c r="AT71" s="8"/>
      <c r="AU71" s="8"/>
      <c r="AV71" s="8"/>
      <c r="AX71" s="142">
        <v>18.899999999999999</v>
      </c>
    </row>
    <row r="72" spans="2:50" ht="25.5">
      <c r="B72" s="27">
        <v>68</v>
      </c>
      <c r="C72" s="31">
        <v>312</v>
      </c>
      <c r="D72" s="43">
        <v>730</v>
      </c>
      <c r="E72" s="32">
        <v>0.35416666666666669</v>
      </c>
      <c r="F72" s="32">
        <v>0.41250000000000003</v>
      </c>
      <c r="G72" s="40" t="s">
        <v>514</v>
      </c>
      <c r="H72" s="31" t="s">
        <v>517</v>
      </c>
      <c r="I72" s="33">
        <v>41</v>
      </c>
      <c r="J72" s="34" t="s">
        <v>188</v>
      </c>
      <c r="K72" s="35">
        <v>58</v>
      </c>
      <c r="L72" s="36">
        <f>+K72*I72</f>
        <v>2378</v>
      </c>
      <c r="M72" s="37" t="s">
        <v>758</v>
      </c>
      <c r="N72" s="23" t="s">
        <v>954</v>
      </c>
      <c r="O72" s="23">
        <v>16</v>
      </c>
      <c r="P72" s="23" t="s">
        <v>1153</v>
      </c>
      <c r="Q72" s="23">
        <v>21</v>
      </c>
      <c r="R72" s="23" t="s">
        <v>1154</v>
      </c>
      <c r="S72" s="23">
        <v>15</v>
      </c>
      <c r="T72" s="7" t="s">
        <v>1266</v>
      </c>
      <c r="U72" s="7" t="s">
        <v>1267</v>
      </c>
      <c r="V72" s="7">
        <v>3169</v>
      </c>
      <c r="W72" s="7" t="s">
        <v>1268</v>
      </c>
      <c r="X72" s="17"/>
      <c r="Y72" s="17"/>
      <c r="Z72" s="17"/>
      <c r="AA72" s="17"/>
      <c r="AB72" s="7" t="s">
        <v>1055</v>
      </c>
      <c r="AC72" s="8" t="s">
        <v>726</v>
      </c>
      <c r="AD72" s="8" t="s">
        <v>726</v>
      </c>
      <c r="AE72" s="8"/>
      <c r="AF72" s="8"/>
      <c r="AG72" s="8"/>
      <c r="AH72" s="8"/>
      <c r="AI72" s="8"/>
      <c r="AJ72" s="8"/>
      <c r="AK72" s="8"/>
      <c r="AL72" s="8"/>
      <c r="AM72" s="8" t="s">
        <v>726</v>
      </c>
      <c r="AN72" s="8"/>
      <c r="AO72" s="8"/>
      <c r="AP72" s="8"/>
      <c r="AQ72" s="8"/>
      <c r="AR72" s="8"/>
      <c r="AS72" s="8"/>
      <c r="AT72" s="8"/>
      <c r="AU72" s="8"/>
      <c r="AV72" s="8"/>
      <c r="AX72" s="142">
        <v>123</v>
      </c>
    </row>
    <row r="73" spans="2:50" ht="25.5">
      <c r="B73" s="27">
        <v>69</v>
      </c>
      <c r="C73" s="31">
        <v>312</v>
      </c>
      <c r="D73" s="43">
        <v>731</v>
      </c>
      <c r="E73" s="32">
        <v>0.41666666666666669</v>
      </c>
      <c r="F73" s="32">
        <v>0.46388888888888885</v>
      </c>
      <c r="G73" s="40" t="s">
        <v>515</v>
      </c>
      <c r="H73" s="31" t="s">
        <v>517</v>
      </c>
      <c r="I73" s="33">
        <v>32</v>
      </c>
      <c r="J73" s="34" t="s">
        <v>188</v>
      </c>
      <c r="K73" s="35">
        <v>58</v>
      </c>
      <c r="L73" s="36">
        <f>+K73*I73</f>
        <v>1856</v>
      </c>
      <c r="M73" s="37" t="s">
        <v>758</v>
      </c>
      <c r="N73" s="23" t="s">
        <v>954</v>
      </c>
      <c r="O73" s="23">
        <v>16</v>
      </c>
      <c r="P73" s="23" t="s">
        <v>1153</v>
      </c>
      <c r="Q73" s="23">
        <v>21</v>
      </c>
      <c r="R73" s="23" t="s">
        <v>1154</v>
      </c>
      <c r="S73" s="23">
        <v>15</v>
      </c>
      <c r="T73" s="7">
        <v>3169</v>
      </c>
      <c r="U73" s="7" t="s">
        <v>1268</v>
      </c>
      <c r="V73" s="7">
        <v>3100</v>
      </c>
      <c r="W73" s="7" t="s">
        <v>1269</v>
      </c>
      <c r="X73" s="17"/>
      <c r="Y73" s="17"/>
      <c r="Z73" s="17"/>
      <c r="AA73" s="17"/>
      <c r="AB73" s="7" t="s">
        <v>1055</v>
      </c>
      <c r="AC73" s="8" t="s">
        <v>726</v>
      </c>
      <c r="AD73" s="8" t="s">
        <v>726</v>
      </c>
      <c r="AE73" s="8"/>
      <c r="AF73" s="8"/>
      <c r="AG73" s="8"/>
      <c r="AH73" s="8"/>
      <c r="AI73" s="8"/>
      <c r="AJ73" s="8"/>
      <c r="AK73" s="8"/>
      <c r="AL73" s="8"/>
      <c r="AM73" s="8" t="s">
        <v>726</v>
      </c>
      <c r="AN73" s="8"/>
      <c r="AO73" s="8"/>
      <c r="AP73" s="8"/>
      <c r="AQ73" s="8"/>
      <c r="AR73" s="8"/>
      <c r="AS73" s="8"/>
      <c r="AT73" s="8"/>
      <c r="AU73" s="8"/>
      <c r="AV73" s="8"/>
      <c r="AX73" s="142">
        <v>96</v>
      </c>
    </row>
    <row r="74" spans="2:50" ht="25.5">
      <c r="B74" s="27">
        <v>70</v>
      </c>
      <c r="C74" s="31">
        <v>312</v>
      </c>
      <c r="D74" s="43">
        <v>732</v>
      </c>
      <c r="E74" s="32">
        <v>0.67361111111111116</v>
      </c>
      <c r="F74" s="32">
        <v>0.7319444444444444</v>
      </c>
      <c r="G74" s="40" t="s">
        <v>514</v>
      </c>
      <c r="H74" s="31" t="s">
        <v>517</v>
      </c>
      <c r="I74" s="33">
        <v>41</v>
      </c>
      <c r="J74" s="34" t="s">
        <v>188</v>
      </c>
      <c r="K74" s="35">
        <v>58</v>
      </c>
      <c r="L74" s="36">
        <f>+K74*I74</f>
        <v>2378</v>
      </c>
      <c r="M74" s="37" t="s">
        <v>758</v>
      </c>
      <c r="N74" s="23" t="s">
        <v>954</v>
      </c>
      <c r="O74" s="23">
        <v>16</v>
      </c>
      <c r="P74" s="23" t="s">
        <v>1153</v>
      </c>
      <c r="Q74" s="23">
        <v>21</v>
      </c>
      <c r="R74" s="23" t="s">
        <v>1154</v>
      </c>
      <c r="S74" s="23">
        <v>15</v>
      </c>
      <c r="T74" s="7" t="s">
        <v>1266</v>
      </c>
      <c r="U74" s="7" t="s">
        <v>1267</v>
      </c>
      <c r="V74" s="7">
        <v>3169</v>
      </c>
      <c r="W74" s="7" t="s">
        <v>1268</v>
      </c>
      <c r="X74" s="17"/>
      <c r="Y74" s="17"/>
      <c r="Z74" s="17"/>
      <c r="AA74" s="17"/>
      <c r="AB74" s="7" t="s">
        <v>1055</v>
      </c>
      <c r="AC74" s="8" t="s">
        <v>726</v>
      </c>
      <c r="AD74" s="8" t="s">
        <v>726</v>
      </c>
      <c r="AE74" s="8"/>
      <c r="AF74" s="8"/>
      <c r="AG74" s="8"/>
      <c r="AH74" s="8"/>
      <c r="AI74" s="8"/>
      <c r="AJ74" s="8"/>
      <c r="AK74" s="8"/>
      <c r="AL74" s="8"/>
      <c r="AM74" s="8" t="s">
        <v>726</v>
      </c>
      <c r="AN74" s="8"/>
      <c r="AO74" s="8"/>
      <c r="AP74" s="8"/>
      <c r="AQ74" s="8"/>
      <c r="AR74" s="8"/>
      <c r="AS74" s="8"/>
      <c r="AT74" s="8"/>
      <c r="AU74" s="8"/>
      <c r="AV74" s="8"/>
      <c r="AX74" s="142">
        <v>123</v>
      </c>
    </row>
    <row r="75" spans="2:50" ht="25.5">
      <c r="B75" s="27">
        <v>71</v>
      </c>
      <c r="C75" s="31">
        <v>312</v>
      </c>
      <c r="D75" s="43">
        <v>733</v>
      </c>
      <c r="E75" s="32">
        <v>0.73611111111111116</v>
      </c>
      <c r="F75" s="32">
        <v>0.78333333333333333</v>
      </c>
      <c r="G75" s="40" t="s">
        <v>515</v>
      </c>
      <c r="H75" s="31" t="s">
        <v>517</v>
      </c>
      <c r="I75" s="33">
        <v>32</v>
      </c>
      <c r="J75" s="34" t="s">
        <v>188</v>
      </c>
      <c r="K75" s="35">
        <v>58</v>
      </c>
      <c r="L75" s="36">
        <f>+K75*I75</f>
        <v>1856</v>
      </c>
      <c r="M75" s="37" t="s">
        <v>758</v>
      </c>
      <c r="N75" s="23" t="s">
        <v>954</v>
      </c>
      <c r="O75" s="23">
        <v>16</v>
      </c>
      <c r="P75" s="23" t="s">
        <v>1153</v>
      </c>
      <c r="Q75" s="23">
        <v>21</v>
      </c>
      <c r="R75" s="23" t="s">
        <v>1154</v>
      </c>
      <c r="S75" s="23">
        <v>15</v>
      </c>
      <c r="T75" s="7">
        <v>3169</v>
      </c>
      <c r="U75" s="7" t="s">
        <v>1268</v>
      </c>
      <c r="V75" s="7">
        <v>3100</v>
      </c>
      <c r="W75" s="7" t="s">
        <v>1269</v>
      </c>
      <c r="X75" s="17"/>
      <c r="Y75" s="17"/>
      <c r="Z75" s="17"/>
      <c r="AA75" s="17"/>
      <c r="AB75" s="7" t="s">
        <v>1055</v>
      </c>
      <c r="AC75" s="8" t="s">
        <v>726</v>
      </c>
      <c r="AD75" s="8" t="s">
        <v>726</v>
      </c>
      <c r="AE75" s="8"/>
      <c r="AF75" s="8"/>
      <c r="AG75" s="8"/>
      <c r="AH75" s="8"/>
      <c r="AI75" s="8"/>
      <c r="AJ75" s="8"/>
      <c r="AK75" s="8"/>
      <c r="AL75" s="8"/>
      <c r="AM75" s="8" t="s">
        <v>726</v>
      </c>
      <c r="AN75" s="8"/>
      <c r="AO75" s="8"/>
      <c r="AP75" s="8"/>
      <c r="AQ75" s="8"/>
      <c r="AR75" s="8"/>
      <c r="AS75" s="8"/>
      <c r="AT75" s="8"/>
      <c r="AU75" s="8"/>
      <c r="AV75" s="8"/>
      <c r="AX75" s="142">
        <v>96</v>
      </c>
    </row>
    <row r="76" spans="2:50" ht="25.5">
      <c r="B76" s="27">
        <v>72</v>
      </c>
      <c r="C76" s="31">
        <v>413</v>
      </c>
      <c r="D76" s="31">
        <v>11</v>
      </c>
      <c r="E76" s="32">
        <v>0.2673611111111111</v>
      </c>
      <c r="F76" s="32">
        <v>0.27291666666666664</v>
      </c>
      <c r="G76" s="31" t="s">
        <v>172</v>
      </c>
      <c r="H76" s="31" t="s">
        <v>97</v>
      </c>
      <c r="I76" s="33">
        <v>3</v>
      </c>
      <c r="J76" s="34" t="s">
        <v>93</v>
      </c>
      <c r="K76" s="35">
        <v>208</v>
      </c>
      <c r="L76" s="36">
        <f>+K76*I76</f>
        <v>624</v>
      </c>
      <c r="M76" s="37" t="s">
        <v>765</v>
      </c>
      <c r="N76" s="79" t="s">
        <v>1772</v>
      </c>
      <c r="O76" s="79">
        <v>17</v>
      </c>
      <c r="P76" s="23" t="s">
        <v>922</v>
      </c>
      <c r="Q76" s="23">
        <v>9</v>
      </c>
      <c r="S76" s="23"/>
      <c r="T76" s="7">
        <v>1121</v>
      </c>
      <c r="U76" s="7" t="s">
        <v>1270</v>
      </c>
      <c r="V76" s="7">
        <v>4060</v>
      </c>
      <c r="W76" s="7" t="s">
        <v>1271</v>
      </c>
      <c r="X76" s="18"/>
      <c r="Y76" s="17"/>
      <c r="Z76" s="17"/>
      <c r="AA76" s="17"/>
      <c r="AB76" s="7" t="s">
        <v>1046</v>
      </c>
      <c r="AC76" s="8"/>
      <c r="AD76" s="8"/>
      <c r="AE76" s="8"/>
      <c r="AF76" s="8" t="s">
        <v>726</v>
      </c>
      <c r="AG76" s="8" t="s">
        <v>726</v>
      </c>
      <c r="AH76" s="8" t="s">
        <v>726</v>
      </c>
      <c r="AI76" s="8" t="s">
        <v>726</v>
      </c>
      <c r="AJ76" s="8" t="s">
        <v>726</v>
      </c>
      <c r="AK76" s="8" t="s">
        <v>726</v>
      </c>
      <c r="AL76" s="8" t="s">
        <v>726</v>
      </c>
      <c r="AM76" s="8"/>
      <c r="AN76" s="8"/>
      <c r="AO76" s="8"/>
      <c r="AP76" s="8"/>
      <c r="AQ76" s="8"/>
      <c r="AR76" s="8"/>
      <c r="AS76" s="8"/>
      <c r="AT76" s="8"/>
      <c r="AU76" s="8"/>
      <c r="AV76" s="8"/>
      <c r="AX76" s="142">
        <v>20</v>
      </c>
    </row>
    <row r="77" spans="2:50" ht="25.5">
      <c r="B77" s="27">
        <v>73</v>
      </c>
      <c r="C77" s="31">
        <v>428</v>
      </c>
      <c r="D77" s="31">
        <v>5</v>
      </c>
      <c r="E77" s="32">
        <v>0.27777777777777779</v>
      </c>
      <c r="F77" s="32">
        <v>0.28125</v>
      </c>
      <c r="G77" s="31" t="s">
        <v>171</v>
      </c>
      <c r="H77" s="31" t="s">
        <v>97</v>
      </c>
      <c r="I77" s="33">
        <v>2</v>
      </c>
      <c r="J77" s="34" t="s">
        <v>93</v>
      </c>
      <c r="K77" s="35">
        <v>208</v>
      </c>
      <c r="L77" s="36">
        <f>+K77*I77</f>
        <v>416</v>
      </c>
      <c r="M77" s="37" t="s">
        <v>765</v>
      </c>
      <c r="N77" s="79" t="s">
        <v>1772</v>
      </c>
      <c r="O77" s="79">
        <v>17</v>
      </c>
      <c r="P77" s="23" t="s">
        <v>922</v>
      </c>
      <c r="Q77" s="23">
        <v>9</v>
      </c>
      <c r="S77" s="23"/>
      <c r="T77" s="7">
        <v>4061</v>
      </c>
      <c r="U77" s="7" t="s">
        <v>1272</v>
      </c>
      <c r="V77" s="7">
        <v>4050</v>
      </c>
      <c r="W77" s="7" t="s">
        <v>1273</v>
      </c>
      <c r="X77" s="18"/>
      <c r="Y77" s="17"/>
      <c r="Z77" s="17"/>
      <c r="AA77" s="17"/>
      <c r="AB77" s="7" t="s">
        <v>1046</v>
      </c>
      <c r="AC77" s="8"/>
      <c r="AD77" s="8"/>
      <c r="AE77" s="8"/>
      <c r="AF77" s="8" t="s">
        <v>726</v>
      </c>
      <c r="AG77" s="8" t="s">
        <v>726</v>
      </c>
      <c r="AH77" s="8" t="s">
        <v>726</v>
      </c>
      <c r="AI77" s="8" t="s">
        <v>726</v>
      </c>
      <c r="AJ77" s="8" t="s">
        <v>726</v>
      </c>
      <c r="AK77" s="8" t="s">
        <v>726</v>
      </c>
      <c r="AL77" s="8" t="s">
        <v>726</v>
      </c>
      <c r="AM77" s="8"/>
      <c r="AN77" s="8"/>
      <c r="AO77" s="8"/>
      <c r="AP77" s="8"/>
      <c r="AQ77" s="8"/>
      <c r="AR77" s="8"/>
      <c r="AS77" s="8"/>
      <c r="AT77" s="8"/>
      <c r="AU77" s="8"/>
      <c r="AV77" s="8"/>
      <c r="AX77" s="142">
        <v>20</v>
      </c>
    </row>
    <row r="78" spans="2:50" ht="25.5">
      <c r="B78" s="27">
        <v>74</v>
      </c>
      <c r="C78" s="31">
        <v>428</v>
      </c>
      <c r="D78" s="31">
        <v>7</v>
      </c>
      <c r="E78" s="32">
        <v>0.30416666666666664</v>
      </c>
      <c r="F78" s="32">
        <v>0.30625000000000002</v>
      </c>
      <c r="G78" s="31" t="s">
        <v>171</v>
      </c>
      <c r="H78" s="31" t="s">
        <v>97</v>
      </c>
      <c r="I78" s="33">
        <v>2</v>
      </c>
      <c r="J78" s="34" t="s">
        <v>93</v>
      </c>
      <c r="K78" s="35">
        <v>208</v>
      </c>
      <c r="L78" s="36">
        <f>+K78*I78</f>
        <v>416</v>
      </c>
      <c r="M78" s="37" t="s">
        <v>765</v>
      </c>
      <c r="N78" s="79" t="s">
        <v>1772</v>
      </c>
      <c r="O78" s="79">
        <v>17</v>
      </c>
      <c r="P78" s="23" t="s">
        <v>922</v>
      </c>
      <c r="Q78" s="23">
        <v>9</v>
      </c>
      <c r="S78" s="23"/>
      <c r="T78" s="7">
        <v>4061</v>
      </c>
      <c r="U78" s="7" t="s">
        <v>1272</v>
      </c>
      <c r="V78" s="7">
        <v>4050</v>
      </c>
      <c r="W78" s="7" t="s">
        <v>1273</v>
      </c>
      <c r="X78" s="18"/>
      <c r="Y78" s="17"/>
      <c r="Z78" s="17"/>
      <c r="AA78" s="17"/>
      <c r="AB78" s="7" t="s">
        <v>1046</v>
      </c>
      <c r="AC78" s="8"/>
      <c r="AD78" s="8"/>
      <c r="AE78" s="8"/>
      <c r="AF78" s="8" t="s">
        <v>726</v>
      </c>
      <c r="AG78" s="8" t="s">
        <v>726</v>
      </c>
      <c r="AH78" s="8" t="s">
        <v>726</v>
      </c>
      <c r="AI78" s="8" t="s">
        <v>726</v>
      </c>
      <c r="AJ78" s="8" t="s">
        <v>726</v>
      </c>
      <c r="AK78" s="8" t="s">
        <v>726</v>
      </c>
      <c r="AL78" s="8" t="s">
        <v>726</v>
      </c>
      <c r="AM78" s="8"/>
      <c r="AN78" s="8"/>
      <c r="AO78" s="8"/>
      <c r="AP78" s="8"/>
      <c r="AQ78" s="8"/>
      <c r="AR78" s="8"/>
      <c r="AS78" s="8"/>
      <c r="AT78" s="8"/>
      <c r="AU78" s="8"/>
      <c r="AV78" s="8"/>
      <c r="AX78" s="142">
        <v>11.41</v>
      </c>
    </row>
    <row r="79" spans="2:50" ht="25.5">
      <c r="B79" s="27">
        <v>75</v>
      </c>
      <c r="C79" s="31">
        <v>428</v>
      </c>
      <c r="D79" s="31">
        <v>6</v>
      </c>
      <c r="E79" s="32">
        <v>0.55902777777777779</v>
      </c>
      <c r="F79" s="32">
        <v>0.56180555555555556</v>
      </c>
      <c r="G79" s="31" t="s">
        <v>170</v>
      </c>
      <c r="H79" s="31" t="s">
        <v>97</v>
      </c>
      <c r="I79" s="33">
        <v>2</v>
      </c>
      <c r="J79" s="34" t="s">
        <v>93</v>
      </c>
      <c r="K79" s="35">
        <v>208</v>
      </c>
      <c r="L79" s="36">
        <f>+K79*I79</f>
        <v>416</v>
      </c>
      <c r="M79" s="37" t="s">
        <v>765</v>
      </c>
      <c r="N79" s="79" t="s">
        <v>1772</v>
      </c>
      <c r="O79" s="79">
        <v>17</v>
      </c>
      <c r="P79" s="23" t="s">
        <v>922</v>
      </c>
      <c r="Q79" s="23">
        <v>9</v>
      </c>
      <c r="S79" s="23"/>
      <c r="T79" s="7">
        <v>4050</v>
      </c>
      <c r="U79" s="7" t="s">
        <v>1273</v>
      </c>
      <c r="V79" s="7">
        <v>4061</v>
      </c>
      <c r="W79" s="7" t="s">
        <v>1272</v>
      </c>
      <c r="X79" s="18"/>
      <c r="Y79" s="17"/>
      <c r="Z79" s="17"/>
      <c r="AA79" s="17"/>
      <c r="AB79" s="7" t="s">
        <v>1046</v>
      </c>
      <c r="AC79" s="8"/>
      <c r="AD79" s="8"/>
      <c r="AE79" s="8"/>
      <c r="AF79" s="8" t="s">
        <v>726</v>
      </c>
      <c r="AG79" s="8" t="s">
        <v>726</v>
      </c>
      <c r="AH79" s="8" t="s">
        <v>726</v>
      </c>
      <c r="AI79" s="8" t="s">
        <v>726</v>
      </c>
      <c r="AJ79" s="8" t="s">
        <v>726</v>
      </c>
      <c r="AK79" s="8" t="s">
        <v>726</v>
      </c>
      <c r="AL79" s="8" t="s">
        <v>726</v>
      </c>
      <c r="AM79" s="8"/>
      <c r="AN79" s="8"/>
      <c r="AO79" s="8"/>
      <c r="AP79" s="8"/>
      <c r="AQ79" s="8"/>
      <c r="AR79" s="8"/>
      <c r="AS79" s="8"/>
      <c r="AT79" s="8"/>
      <c r="AU79" s="8"/>
      <c r="AV79" s="8"/>
      <c r="AX79" s="142">
        <v>11.41</v>
      </c>
    </row>
    <row r="80" spans="2:50" ht="25.5">
      <c r="B80" s="27">
        <v>76</v>
      </c>
      <c r="C80" s="31">
        <v>428</v>
      </c>
      <c r="D80" s="31">
        <v>8</v>
      </c>
      <c r="E80" s="32">
        <v>0.59722222222222221</v>
      </c>
      <c r="F80" s="32">
        <v>0.6</v>
      </c>
      <c r="G80" s="31" t="s">
        <v>170</v>
      </c>
      <c r="H80" s="31" t="s">
        <v>97</v>
      </c>
      <c r="I80" s="33">
        <v>2</v>
      </c>
      <c r="J80" s="34" t="s">
        <v>93</v>
      </c>
      <c r="K80" s="35">
        <v>208</v>
      </c>
      <c r="L80" s="36">
        <f>+K80*I80</f>
        <v>416</v>
      </c>
      <c r="M80" s="37" t="s">
        <v>765</v>
      </c>
      <c r="N80" s="79" t="s">
        <v>1772</v>
      </c>
      <c r="O80" s="79">
        <v>17</v>
      </c>
      <c r="P80" s="23" t="s">
        <v>922</v>
      </c>
      <c r="Q80" s="23">
        <v>9</v>
      </c>
      <c r="S80" s="23"/>
      <c r="T80" s="7">
        <v>4050</v>
      </c>
      <c r="U80" s="7" t="s">
        <v>1273</v>
      </c>
      <c r="V80" s="7">
        <v>4061</v>
      </c>
      <c r="W80" s="7" t="s">
        <v>1272</v>
      </c>
      <c r="X80" s="18"/>
      <c r="Y80" s="17"/>
      <c r="Z80" s="17"/>
      <c r="AA80" s="17"/>
      <c r="AB80" s="7" t="s">
        <v>1046</v>
      </c>
      <c r="AC80" s="8"/>
      <c r="AD80" s="8"/>
      <c r="AE80" s="8"/>
      <c r="AF80" s="8" t="s">
        <v>726</v>
      </c>
      <c r="AG80" s="8" t="s">
        <v>726</v>
      </c>
      <c r="AH80" s="8" t="s">
        <v>726</v>
      </c>
      <c r="AI80" s="8" t="s">
        <v>726</v>
      </c>
      <c r="AJ80" s="8" t="s">
        <v>726</v>
      </c>
      <c r="AK80" s="8" t="s">
        <v>726</v>
      </c>
      <c r="AL80" s="8" t="s">
        <v>726</v>
      </c>
      <c r="AM80" s="8"/>
      <c r="AN80" s="8"/>
      <c r="AO80" s="8"/>
      <c r="AP80" s="8"/>
      <c r="AQ80" s="8"/>
      <c r="AR80" s="8"/>
      <c r="AS80" s="8"/>
      <c r="AT80" s="8"/>
      <c r="AU80" s="8"/>
      <c r="AV80" s="8"/>
      <c r="AX80" s="142">
        <v>11.41</v>
      </c>
    </row>
    <row r="81" spans="2:50" ht="25.5">
      <c r="B81" s="27">
        <v>77</v>
      </c>
      <c r="C81" s="31">
        <v>428</v>
      </c>
      <c r="D81" s="31">
        <v>10</v>
      </c>
      <c r="E81" s="32">
        <v>0.77430555555555547</v>
      </c>
      <c r="F81" s="32">
        <v>0.77708333333333324</v>
      </c>
      <c r="G81" s="31" t="s">
        <v>170</v>
      </c>
      <c r="H81" s="31" t="s">
        <v>103</v>
      </c>
      <c r="I81" s="33">
        <v>2</v>
      </c>
      <c r="J81" s="34" t="s">
        <v>93</v>
      </c>
      <c r="K81" s="35">
        <v>174</v>
      </c>
      <c r="L81" s="36">
        <f>+K81*I81</f>
        <v>348</v>
      </c>
      <c r="M81" s="37" t="s">
        <v>765</v>
      </c>
      <c r="N81" s="79" t="s">
        <v>1772</v>
      </c>
      <c r="O81" s="79">
        <v>17</v>
      </c>
      <c r="P81" s="23" t="s">
        <v>922</v>
      </c>
      <c r="Q81" s="23">
        <v>9</v>
      </c>
      <c r="S81" s="23"/>
      <c r="T81" s="7">
        <v>4050</v>
      </c>
      <c r="U81" s="7" t="s">
        <v>1273</v>
      </c>
      <c r="V81" s="7">
        <v>4061</v>
      </c>
      <c r="W81" s="7" t="s">
        <v>1272</v>
      </c>
      <c r="X81" s="18"/>
      <c r="Y81" s="17"/>
      <c r="Z81" s="17"/>
      <c r="AA81" s="17"/>
      <c r="AB81" s="7" t="s">
        <v>1042</v>
      </c>
      <c r="AC81" s="8"/>
      <c r="AD81" s="8"/>
      <c r="AE81" s="8"/>
      <c r="AF81" s="8" t="s">
        <v>726</v>
      </c>
      <c r="AG81" s="8" t="s">
        <v>726</v>
      </c>
      <c r="AH81" s="8" t="s">
        <v>726</v>
      </c>
      <c r="AI81" s="8" t="s">
        <v>726</v>
      </c>
      <c r="AJ81" s="8" t="s">
        <v>726</v>
      </c>
      <c r="AK81" s="8" t="s">
        <v>726</v>
      </c>
      <c r="AL81" s="8"/>
      <c r="AM81" s="8"/>
      <c r="AN81" s="8"/>
      <c r="AO81" s="8"/>
      <c r="AP81" s="8"/>
      <c r="AQ81" s="8"/>
      <c r="AR81" s="8"/>
      <c r="AS81" s="8"/>
      <c r="AT81" s="8"/>
      <c r="AU81" s="8"/>
      <c r="AV81" s="8"/>
      <c r="AX81" s="142">
        <v>10</v>
      </c>
    </row>
    <row r="82" spans="2:50" ht="38.25">
      <c r="B82" s="27">
        <v>78</v>
      </c>
      <c r="C82" s="31">
        <v>601</v>
      </c>
      <c r="D82" s="43">
        <v>696</v>
      </c>
      <c r="E82" s="32">
        <v>0.86458333333333337</v>
      </c>
      <c r="F82" s="32">
        <v>0.88680555555555562</v>
      </c>
      <c r="G82" s="31" t="s">
        <v>408</v>
      </c>
      <c r="H82" s="31" t="s">
        <v>477</v>
      </c>
      <c r="I82" s="33">
        <v>22</v>
      </c>
      <c r="J82" s="34" t="s">
        <v>93</v>
      </c>
      <c r="K82" s="35">
        <v>240</v>
      </c>
      <c r="L82" s="36">
        <f>+K82*I82</f>
        <v>5280</v>
      </c>
      <c r="M82" s="37" t="s">
        <v>1915</v>
      </c>
      <c r="N82" s="112" t="s">
        <v>1914</v>
      </c>
      <c r="O82" s="112">
        <v>23</v>
      </c>
      <c r="P82" s="79" t="s">
        <v>2097</v>
      </c>
      <c r="Q82" s="79">
        <v>19</v>
      </c>
      <c r="R82" s="23" t="s">
        <v>2098</v>
      </c>
      <c r="S82" s="2" t="s">
        <v>2099</v>
      </c>
      <c r="T82" s="7" t="s">
        <v>1226</v>
      </c>
      <c r="U82" s="7" t="s">
        <v>1227</v>
      </c>
      <c r="V82" s="7">
        <v>6120</v>
      </c>
      <c r="W82" s="7" t="s">
        <v>1238</v>
      </c>
      <c r="X82" s="18"/>
      <c r="Y82" s="17"/>
      <c r="Z82" s="18"/>
      <c r="AA82" s="18"/>
      <c r="AB82" s="7" t="s">
        <v>1052</v>
      </c>
      <c r="AC82" s="8" t="s">
        <v>726</v>
      </c>
      <c r="AD82" s="8"/>
      <c r="AE82" s="8" t="s">
        <v>726</v>
      </c>
      <c r="AF82" s="8"/>
      <c r="AG82" s="8" t="s">
        <v>726</v>
      </c>
      <c r="AH82" s="8" t="s">
        <v>726</v>
      </c>
      <c r="AI82" s="8" t="s">
        <v>726</v>
      </c>
      <c r="AJ82" s="8" t="s">
        <v>726</v>
      </c>
      <c r="AK82" s="8" t="s">
        <v>726</v>
      </c>
      <c r="AL82" s="8" t="s">
        <v>726</v>
      </c>
      <c r="AM82" s="8"/>
      <c r="AN82" s="8"/>
      <c r="AO82" s="8"/>
      <c r="AP82" s="8"/>
      <c r="AQ82" s="8"/>
      <c r="AR82" s="8"/>
      <c r="AS82" s="8"/>
      <c r="AT82" s="8"/>
      <c r="AU82" s="8"/>
      <c r="AV82" s="8"/>
      <c r="AX82" s="142">
        <v>55</v>
      </c>
    </row>
    <row r="83" spans="2:50" ht="33.75">
      <c r="B83" s="27">
        <v>79</v>
      </c>
      <c r="C83" s="31">
        <v>611</v>
      </c>
      <c r="D83" s="31">
        <v>67</v>
      </c>
      <c r="E83" s="42">
        <v>0.2722222222222222</v>
      </c>
      <c r="F83" s="32">
        <v>0.30208333333333331</v>
      </c>
      <c r="G83" s="81" t="s">
        <v>1820</v>
      </c>
      <c r="H83" s="31" t="s">
        <v>97</v>
      </c>
      <c r="I83" s="33">
        <v>33</v>
      </c>
      <c r="J83" s="34" t="s">
        <v>188</v>
      </c>
      <c r="K83" s="35">
        <v>208</v>
      </c>
      <c r="L83" s="36">
        <f>+K83*I83</f>
        <v>6864</v>
      </c>
      <c r="M83" s="37" t="s">
        <v>729</v>
      </c>
      <c r="N83" s="79" t="s">
        <v>1906</v>
      </c>
      <c r="O83" s="79">
        <v>42</v>
      </c>
      <c r="P83" s="23" t="s">
        <v>1833</v>
      </c>
      <c r="Q83" s="23">
        <v>31</v>
      </c>
      <c r="S83" s="23"/>
      <c r="T83" s="16" t="s">
        <v>1821</v>
      </c>
      <c r="U83" s="16" t="s">
        <v>1822</v>
      </c>
      <c r="V83" s="7" t="s">
        <v>1226</v>
      </c>
      <c r="W83" s="7" t="s">
        <v>1227</v>
      </c>
      <c r="X83" s="18"/>
      <c r="Y83" s="17"/>
      <c r="Z83" s="17"/>
      <c r="AA83" s="17"/>
      <c r="AB83" s="7" t="s">
        <v>1046</v>
      </c>
      <c r="AC83" s="8"/>
      <c r="AD83" s="8"/>
      <c r="AE83" s="8"/>
      <c r="AF83" s="8" t="s">
        <v>726</v>
      </c>
      <c r="AG83" s="8" t="s">
        <v>726</v>
      </c>
      <c r="AH83" s="8" t="s">
        <v>726</v>
      </c>
      <c r="AI83" s="8" t="s">
        <v>726</v>
      </c>
      <c r="AJ83" s="8" t="s">
        <v>726</v>
      </c>
      <c r="AK83" s="8" t="s">
        <v>726</v>
      </c>
      <c r="AL83" s="8" t="s">
        <v>726</v>
      </c>
      <c r="AM83" s="8"/>
      <c r="AN83" s="8"/>
      <c r="AO83" s="8"/>
      <c r="AP83" s="8"/>
      <c r="AQ83" s="8"/>
      <c r="AR83" s="8"/>
      <c r="AS83" s="8"/>
      <c r="AT83" s="8"/>
      <c r="AU83" s="8"/>
      <c r="AV83" s="8"/>
      <c r="AX83" s="142">
        <v>79.5</v>
      </c>
    </row>
    <row r="84" spans="2:50" ht="25.5">
      <c r="B84" s="27">
        <v>80</v>
      </c>
      <c r="C84" s="31">
        <v>621</v>
      </c>
      <c r="D84" s="31">
        <v>239</v>
      </c>
      <c r="E84" s="42">
        <v>0.28680555555555554</v>
      </c>
      <c r="F84" s="32">
        <v>0.30972222222222223</v>
      </c>
      <c r="G84" s="31" t="s">
        <v>650</v>
      </c>
      <c r="H84" s="31" t="s">
        <v>123</v>
      </c>
      <c r="I84" s="33">
        <v>21</v>
      </c>
      <c r="J84" s="34" t="s">
        <v>165</v>
      </c>
      <c r="K84" s="35">
        <v>34</v>
      </c>
      <c r="L84" s="36">
        <f>+K84*I84</f>
        <v>714</v>
      </c>
      <c r="M84" s="37" t="s">
        <v>1009</v>
      </c>
      <c r="N84" s="79" t="s">
        <v>1934</v>
      </c>
      <c r="O84" s="79" t="s">
        <v>1935</v>
      </c>
      <c r="P84" s="23" t="s">
        <v>1145</v>
      </c>
      <c r="Q84" s="23">
        <v>48</v>
      </c>
      <c r="R84" s="23" t="s">
        <v>1146</v>
      </c>
      <c r="S84" s="24">
        <v>45</v>
      </c>
      <c r="T84" s="7" t="s">
        <v>1274</v>
      </c>
      <c r="U84" s="7" t="s">
        <v>1275</v>
      </c>
      <c r="V84" s="7">
        <v>1</v>
      </c>
      <c r="W84" s="7" t="s">
        <v>1236</v>
      </c>
      <c r="X84" s="18"/>
      <c r="Y84" s="17"/>
      <c r="Z84" s="17"/>
      <c r="AA84" s="17"/>
      <c r="AB84" s="7" t="s">
        <v>1051</v>
      </c>
      <c r="AC84" s="8"/>
      <c r="AD84" s="8"/>
      <c r="AE84" s="8"/>
      <c r="AF84" s="8" t="s">
        <v>726</v>
      </c>
      <c r="AG84" s="8"/>
      <c r="AH84" s="8"/>
      <c r="AI84" s="8"/>
      <c r="AJ84" s="8"/>
      <c r="AK84" s="8"/>
      <c r="AL84" s="8" t="s">
        <v>726</v>
      </c>
      <c r="AM84" s="8"/>
      <c r="AN84" s="8"/>
      <c r="AO84" s="8"/>
      <c r="AP84" s="8"/>
      <c r="AQ84" s="8"/>
      <c r="AR84" s="8"/>
      <c r="AS84" s="8"/>
      <c r="AT84" s="8"/>
      <c r="AU84" s="8"/>
      <c r="AV84" s="8"/>
      <c r="AX84" s="142">
        <v>63</v>
      </c>
    </row>
    <row r="85" spans="2:50" ht="38.25">
      <c r="B85" s="27">
        <v>81</v>
      </c>
      <c r="C85" s="31">
        <v>621</v>
      </c>
      <c r="D85" s="31">
        <v>966</v>
      </c>
      <c r="E85" s="32">
        <v>0.35416666666666669</v>
      </c>
      <c r="F85" s="32">
        <v>0.37083333333333335</v>
      </c>
      <c r="G85" s="31" t="s">
        <v>475</v>
      </c>
      <c r="H85" s="31" t="s">
        <v>499</v>
      </c>
      <c r="I85" s="33">
        <v>13.2</v>
      </c>
      <c r="J85" s="34" t="s">
        <v>93</v>
      </c>
      <c r="K85" s="35">
        <v>67</v>
      </c>
      <c r="L85" s="36">
        <f>+K85*I85</f>
        <v>884.4</v>
      </c>
      <c r="M85" s="37" t="s">
        <v>729</v>
      </c>
      <c r="N85" s="79" t="s">
        <v>1906</v>
      </c>
      <c r="O85" s="79">
        <v>42</v>
      </c>
      <c r="P85" s="2" t="s">
        <v>896</v>
      </c>
      <c r="Q85" s="2">
        <v>21</v>
      </c>
      <c r="R85" s="23" t="s">
        <v>895</v>
      </c>
      <c r="S85" s="24">
        <v>24</v>
      </c>
      <c r="T85" s="7" t="s">
        <v>1276</v>
      </c>
      <c r="U85" s="7" t="s">
        <v>1277</v>
      </c>
      <c r="V85" s="7">
        <v>6120</v>
      </c>
      <c r="W85" s="7" t="s">
        <v>1238</v>
      </c>
      <c r="X85" s="17"/>
      <c r="Y85" s="18"/>
      <c r="Z85" s="18"/>
      <c r="AA85" s="18"/>
      <c r="AB85" s="8" t="s">
        <v>1047</v>
      </c>
      <c r="AC85" s="8"/>
      <c r="AD85" s="8" t="s">
        <v>726</v>
      </c>
      <c r="AE85" s="8" t="s">
        <v>726</v>
      </c>
      <c r="AF85" s="8"/>
      <c r="AG85" s="8" t="s">
        <v>726</v>
      </c>
      <c r="AH85" s="8" t="s">
        <v>726</v>
      </c>
      <c r="AI85" s="8" t="s">
        <v>726</v>
      </c>
      <c r="AJ85" s="8" t="s">
        <v>726</v>
      </c>
      <c r="AK85" s="8" t="s">
        <v>726</v>
      </c>
      <c r="AL85" s="8" t="s">
        <v>726</v>
      </c>
      <c r="AM85" s="8"/>
      <c r="AN85" s="8"/>
      <c r="AO85" s="8"/>
      <c r="AP85" s="8"/>
      <c r="AQ85" s="8"/>
      <c r="AR85" s="8"/>
      <c r="AS85" s="8"/>
      <c r="AT85" s="8"/>
      <c r="AU85" s="8"/>
      <c r="AV85" s="8"/>
      <c r="AX85" s="142">
        <v>39.6</v>
      </c>
    </row>
    <row r="86" spans="2:50" ht="38.25">
      <c r="B86" s="27">
        <v>82</v>
      </c>
      <c r="C86" s="31">
        <v>621</v>
      </c>
      <c r="D86" s="31">
        <v>966</v>
      </c>
      <c r="E86" s="32">
        <v>0.35416666666666669</v>
      </c>
      <c r="F86" s="42">
        <v>0.37083333333333335</v>
      </c>
      <c r="G86" s="31" t="s">
        <v>475</v>
      </c>
      <c r="H86" s="31" t="s">
        <v>477</v>
      </c>
      <c r="I86" s="33">
        <v>13.2</v>
      </c>
      <c r="J86" s="34" t="s">
        <v>93</v>
      </c>
      <c r="K86" s="35">
        <v>240</v>
      </c>
      <c r="L86" s="36">
        <f>+K86*I86</f>
        <v>3168</v>
      </c>
      <c r="M86" s="37" t="s">
        <v>729</v>
      </c>
      <c r="N86" s="79" t="s">
        <v>1906</v>
      </c>
      <c r="O86" s="79">
        <v>42</v>
      </c>
      <c r="P86" s="23" t="s">
        <v>896</v>
      </c>
      <c r="Q86" s="23">
        <v>21</v>
      </c>
      <c r="R86" s="23" t="s">
        <v>895</v>
      </c>
      <c r="S86" s="24">
        <v>24</v>
      </c>
      <c r="T86" s="7" t="s">
        <v>1276</v>
      </c>
      <c r="U86" s="7" t="s">
        <v>1277</v>
      </c>
      <c r="V86" s="7">
        <v>6120</v>
      </c>
      <c r="W86" s="7" t="s">
        <v>1238</v>
      </c>
      <c r="X86" s="18"/>
      <c r="Y86" s="17"/>
      <c r="Z86" s="18"/>
      <c r="AA86" s="18"/>
      <c r="AB86" s="7" t="s">
        <v>1052</v>
      </c>
      <c r="AC86" s="8" t="s">
        <v>726</v>
      </c>
      <c r="AD86" s="8"/>
      <c r="AE86" s="8" t="s">
        <v>726</v>
      </c>
      <c r="AF86" s="8"/>
      <c r="AG86" s="8" t="s">
        <v>726</v>
      </c>
      <c r="AH86" s="8" t="s">
        <v>726</v>
      </c>
      <c r="AI86" s="8" t="s">
        <v>726</v>
      </c>
      <c r="AJ86" s="8" t="s">
        <v>726</v>
      </c>
      <c r="AK86" s="8" t="s">
        <v>726</v>
      </c>
      <c r="AL86" s="8" t="s">
        <v>726</v>
      </c>
      <c r="AM86" s="8"/>
      <c r="AN86" s="8"/>
      <c r="AO86" s="8"/>
      <c r="AP86" s="8"/>
      <c r="AQ86" s="8"/>
      <c r="AR86" s="8"/>
      <c r="AS86" s="8"/>
      <c r="AT86" s="8"/>
      <c r="AU86" s="8"/>
      <c r="AV86" s="8"/>
      <c r="AX86" s="142">
        <v>39.6</v>
      </c>
    </row>
    <row r="87" spans="2:50" ht="38.25">
      <c r="B87" s="27">
        <v>83</v>
      </c>
      <c r="C87" s="31">
        <v>621</v>
      </c>
      <c r="D87" s="31">
        <v>241</v>
      </c>
      <c r="E87" s="32">
        <v>0.36458333333333331</v>
      </c>
      <c r="F87" s="32">
        <v>0.38958333333333334</v>
      </c>
      <c r="G87" s="31" t="s">
        <v>545</v>
      </c>
      <c r="H87" s="31" t="s">
        <v>544</v>
      </c>
      <c r="I87" s="33">
        <v>22</v>
      </c>
      <c r="J87" s="34" t="s">
        <v>406</v>
      </c>
      <c r="K87" s="35">
        <v>45</v>
      </c>
      <c r="L87" s="36">
        <f>+K87*I87</f>
        <v>990</v>
      </c>
      <c r="M87" s="37" t="s">
        <v>718</v>
      </c>
      <c r="N87" s="23" t="s">
        <v>989</v>
      </c>
      <c r="O87" s="23">
        <v>45</v>
      </c>
      <c r="P87" s="23" t="s">
        <v>927</v>
      </c>
      <c r="Q87" s="23">
        <v>48</v>
      </c>
      <c r="R87" s="79" t="s">
        <v>1902</v>
      </c>
      <c r="S87" s="111">
        <v>45</v>
      </c>
      <c r="T87" s="7">
        <v>6120</v>
      </c>
      <c r="U87" s="7" t="s">
        <v>1238</v>
      </c>
      <c r="V87" s="7">
        <v>1</v>
      </c>
      <c r="W87" s="7" t="s">
        <v>1236</v>
      </c>
      <c r="X87" s="18"/>
      <c r="Y87" s="17"/>
      <c r="Z87" s="18"/>
      <c r="AA87" s="18"/>
      <c r="AB87" s="7" t="s">
        <v>1043</v>
      </c>
      <c r="AC87" s="8" t="s">
        <v>726</v>
      </c>
      <c r="AD87" s="8"/>
      <c r="AE87" s="8"/>
      <c r="AF87" s="8"/>
      <c r="AG87" s="8"/>
      <c r="AH87" s="8"/>
      <c r="AI87" s="8"/>
      <c r="AJ87" s="8"/>
      <c r="AK87" s="8"/>
      <c r="AL87" s="8"/>
      <c r="AM87" s="8" t="s">
        <v>726</v>
      </c>
      <c r="AN87" s="8"/>
      <c r="AO87" s="8"/>
      <c r="AP87" s="8"/>
      <c r="AQ87" s="8"/>
      <c r="AR87" s="8"/>
      <c r="AS87" s="8"/>
      <c r="AT87" s="8"/>
      <c r="AU87" s="8"/>
      <c r="AV87" s="8"/>
      <c r="AX87" s="142">
        <v>66</v>
      </c>
    </row>
    <row r="88" spans="2:50" ht="33.75">
      <c r="B88" s="27">
        <v>84</v>
      </c>
      <c r="C88" s="31">
        <v>621</v>
      </c>
      <c r="D88" s="31">
        <v>987</v>
      </c>
      <c r="E88" s="32">
        <v>0.3743055555555555</v>
      </c>
      <c r="F88" s="42">
        <v>0.3888888888888889</v>
      </c>
      <c r="G88" s="31" t="s">
        <v>476</v>
      </c>
      <c r="H88" s="31" t="s">
        <v>477</v>
      </c>
      <c r="I88" s="33">
        <v>11.3</v>
      </c>
      <c r="J88" s="34" t="s">
        <v>93</v>
      </c>
      <c r="K88" s="35">
        <v>240</v>
      </c>
      <c r="L88" s="36">
        <f>+K88*I88</f>
        <v>2712</v>
      </c>
      <c r="M88" s="37" t="s">
        <v>729</v>
      </c>
      <c r="N88" s="79" t="s">
        <v>1906</v>
      </c>
      <c r="O88" s="79">
        <v>42</v>
      </c>
      <c r="P88" s="23" t="s">
        <v>896</v>
      </c>
      <c r="Q88" s="23">
        <v>21</v>
      </c>
      <c r="R88" s="23" t="s">
        <v>895</v>
      </c>
      <c r="S88" s="24">
        <v>24</v>
      </c>
      <c r="T88" s="7">
        <v>6120</v>
      </c>
      <c r="U88" s="7" t="s">
        <v>1238</v>
      </c>
      <c r="V88" s="7" t="s">
        <v>1278</v>
      </c>
      <c r="W88" s="7" t="s">
        <v>1279</v>
      </c>
      <c r="X88" s="18"/>
      <c r="Y88" s="17"/>
      <c r="Z88" s="18"/>
      <c r="AA88" s="18"/>
      <c r="AB88" s="7" t="s">
        <v>1052</v>
      </c>
      <c r="AC88" s="8" t="s">
        <v>726</v>
      </c>
      <c r="AD88" s="8"/>
      <c r="AE88" s="8" t="s">
        <v>726</v>
      </c>
      <c r="AF88" s="8"/>
      <c r="AG88" s="8" t="s">
        <v>726</v>
      </c>
      <c r="AH88" s="8" t="s">
        <v>726</v>
      </c>
      <c r="AI88" s="8" t="s">
        <v>726</v>
      </c>
      <c r="AJ88" s="8" t="s">
        <v>726</v>
      </c>
      <c r="AK88" s="8" t="s">
        <v>726</v>
      </c>
      <c r="AL88" s="8" t="s">
        <v>726</v>
      </c>
      <c r="AM88" s="8"/>
      <c r="AN88" s="8"/>
      <c r="AO88" s="8"/>
      <c r="AP88" s="8"/>
      <c r="AQ88" s="8"/>
      <c r="AR88" s="8"/>
      <c r="AS88" s="8"/>
      <c r="AT88" s="8"/>
      <c r="AU88" s="8"/>
      <c r="AV88" s="8"/>
      <c r="AX88" s="142">
        <v>33.9</v>
      </c>
    </row>
    <row r="89" spans="2:50" ht="33.75">
      <c r="B89" s="27">
        <v>85</v>
      </c>
      <c r="C89" s="31">
        <v>621</v>
      </c>
      <c r="D89" s="31">
        <v>987</v>
      </c>
      <c r="E89" s="32">
        <v>0.3743055555555555</v>
      </c>
      <c r="F89" s="32">
        <v>0.3888888888888889</v>
      </c>
      <c r="G89" s="31" t="s">
        <v>476</v>
      </c>
      <c r="H89" s="31" t="s">
        <v>499</v>
      </c>
      <c r="I89" s="33">
        <v>11.3</v>
      </c>
      <c r="J89" s="34" t="s">
        <v>93</v>
      </c>
      <c r="K89" s="35">
        <v>67</v>
      </c>
      <c r="L89" s="36">
        <f>+K89*I89</f>
        <v>757.1</v>
      </c>
      <c r="M89" s="37" t="s">
        <v>729</v>
      </c>
      <c r="N89" s="79" t="s">
        <v>1906</v>
      </c>
      <c r="O89" s="79">
        <v>42</v>
      </c>
      <c r="P89" s="23" t="s">
        <v>896</v>
      </c>
      <c r="Q89" s="23">
        <v>21</v>
      </c>
      <c r="R89" s="23" t="s">
        <v>895</v>
      </c>
      <c r="S89" s="24">
        <v>24</v>
      </c>
      <c r="T89" s="7">
        <v>6120</v>
      </c>
      <c r="U89" s="7" t="s">
        <v>1238</v>
      </c>
      <c r="V89" s="7" t="s">
        <v>1278</v>
      </c>
      <c r="W89" s="7" t="s">
        <v>1279</v>
      </c>
      <c r="X89" s="17"/>
      <c r="Y89" s="18"/>
      <c r="Z89" s="18"/>
      <c r="AA89" s="18"/>
      <c r="AB89" s="8" t="s">
        <v>1047</v>
      </c>
      <c r="AC89" s="8"/>
      <c r="AD89" s="8" t="s">
        <v>726</v>
      </c>
      <c r="AE89" s="8" t="s">
        <v>726</v>
      </c>
      <c r="AF89" s="8"/>
      <c r="AG89" s="8" t="s">
        <v>726</v>
      </c>
      <c r="AH89" s="8" t="s">
        <v>726</v>
      </c>
      <c r="AI89" s="8" t="s">
        <v>726</v>
      </c>
      <c r="AJ89" s="8" t="s">
        <v>726</v>
      </c>
      <c r="AK89" s="8" t="s">
        <v>726</v>
      </c>
      <c r="AL89" s="8" t="s">
        <v>726</v>
      </c>
      <c r="AM89" s="8"/>
      <c r="AN89" s="8"/>
      <c r="AO89" s="8"/>
      <c r="AP89" s="8"/>
      <c r="AQ89" s="8"/>
      <c r="AR89" s="8"/>
      <c r="AS89" s="8"/>
      <c r="AT89" s="8"/>
      <c r="AU89" s="8"/>
      <c r="AV89" s="8"/>
      <c r="AX89" s="142">
        <v>33.9</v>
      </c>
    </row>
    <row r="90" spans="2:50" ht="38.25">
      <c r="B90" s="27">
        <v>86</v>
      </c>
      <c r="C90" s="31">
        <v>621</v>
      </c>
      <c r="D90" s="31">
        <v>968</v>
      </c>
      <c r="E90" s="32">
        <v>0.39305555555555555</v>
      </c>
      <c r="F90" s="32">
        <v>0.40972222222222227</v>
      </c>
      <c r="G90" s="31" t="s">
        <v>475</v>
      </c>
      <c r="H90" s="31" t="s">
        <v>499</v>
      </c>
      <c r="I90" s="33">
        <v>13.2</v>
      </c>
      <c r="J90" s="34" t="s">
        <v>93</v>
      </c>
      <c r="K90" s="35">
        <v>67</v>
      </c>
      <c r="L90" s="36">
        <f>+K90*I90</f>
        <v>884.4</v>
      </c>
      <c r="M90" s="37" t="s">
        <v>729</v>
      </c>
      <c r="N90" s="79" t="s">
        <v>1906</v>
      </c>
      <c r="O90" s="79">
        <v>42</v>
      </c>
      <c r="P90" s="23" t="s">
        <v>896</v>
      </c>
      <c r="Q90" s="23">
        <v>21</v>
      </c>
      <c r="R90" s="23" t="s">
        <v>895</v>
      </c>
      <c r="S90" s="24">
        <v>24</v>
      </c>
      <c r="T90" s="7" t="s">
        <v>1276</v>
      </c>
      <c r="U90" s="7" t="s">
        <v>1277</v>
      </c>
      <c r="V90" s="7">
        <v>6120</v>
      </c>
      <c r="W90" s="7" t="s">
        <v>1238</v>
      </c>
      <c r="X90" s="17"/>
      <c r="Y90" s="18"/>
      <c r="Z90" s="18"/>
      <c r="AA90" s="18"/>
      <c r="AB90" s="8" t="s">
        <v>1047</v>
      </c>
      <c r="AC90" s="8"/>
      <c r="AD90" s="8" t="s">
        <v>726</v>
      </c>
      <c r="AE90" s="8" t="s">
        <v>726</v>
      </c>
      <c r="AF90" s="8"/>
      <c r="AG90" s="8" t="s">
        <v>726</v>
      </c>
      <c r="AH90" s="8" t="s">
        <v>726</v>
      </c>
      <c r="AI90" s="8" t="s">
        <v>726</v>
      </c>
      <c r="AJ90" s="8" t="s">
        <v>726</v>
      </c>
      <c r="AK90" s="8" t="s">
        <v>726</v>
      </c>
      <c r="AL90" s="8" t="s">
        <v>726</v>
      </c>
      <c r="AM90" s="8"/>
      <c r="AN90" s="8"/>
      <c r="AO90" s="8"/>
      <c r="AP90" s="8"/>
      <c r="AQ90" s="8"/>
      <c r="AR90" s="8"/>
      <c r="AS90" s="8"/>
      <c r="AT90" s="8"/>
      <c r="AU90" s="8"/>
      <c r="AV90" s="8"/>
      <c r="AX90" s="142">
        <v>39.6</v>
      </c>
    </row>
    <row r="91" spans="2:50" ht="33.75">
      <c r="B91" s="27">
        <v>87</v>
      </c>
      <c r="C91" s="31">
        <v>621</v>
      </c>
      <c r="D91" s="31">
        <v>989</v>
      </c>
      <c r="E91" s="32">
        <v>0.49305555555555558</v>
      </c>
      <c r="F91" s="32">
        <v>0.50624999999999998</v>
      </c>
      <c r="G91" s="31" t="s">
        <v>476</v>
      </c>
      <c r="H91" s="31" t="s">
        <v>499</v>
      </c>
      <c r="I91" s="33">
        <v>11.3</v>
      </c>
      <c r="J91" s="34" t="s">
        <v>93</v>
      </c>
      <c r="K91" s="35">
        <v>67</v>
      </c>
      <c r="L91" s="36">
        <f>+K91*I91</f>
        <v>757.1</v>
      </c>
      <c r="M91" s="37" t="s">
        <v>729</v>
      </c>
      <c r="N91" s="79" t="s">
        <v>1906</v>
      </c>
      <c r="O91" s="79">
        <v>42</v>
      </c>
      <c r="P91" s="23" t="s">
        <v>896</v>
      </c>
      <c r="Q91" s="23">
        <v>21</v>
      </c>
      <c r="R91" s="23" t="s">
        <v>895</v>
      </c>
      <c r="S91" s="24">
        <v>24</v>
      </c>
      <c r="T91" s="7">
        <v>6120</v>
      </c>
      <c r="U91" s="7" t="s">
        <v>1238</v>
      </c>
      <c r="V91" s="7" t="s">
        <v>1276</v>
      </c>
      <c r="W91" s="7" t="s">
        <v>1277</v>
      </c>
      <c r="X91" s="17"/>
      <c r="Y91" s="18"/>
      <c r="Z91" s="18"/>
      <c r="AA91" s="18"/>
      <c r="AB91" s="8" t="s">
        <v>1047</v>
      </c>
      <c r="AC91" s="8"/>
      <c r="AD91" s="8" t="s">
        <v>726</v>
      </c>
      <c r="AE91" s="8" t="s">
        <v>726</v>
      </c>
      <c r="AF91" s="8"/>
      <c r="AG91" s="8" t="s">
        <v>726</v>
      </c>
      <c r="AH91" s="8" t="s">
        <v>726</v>
      </c>
      <c r="AI91" s="8" t="s">
        <v>726</v>
      </c>
      <c r="AJ91" s="8" t="s">
        <v>726</v>
      </c>
      <c r="AK91" s="8" t="s">
        <v>726</v>
      </c>
      <c r="AL91" s="8" t="s">
        <v>726</v>
      </c>
      <c r="AM91" s="8"/>
      <c r="AN91" s="8"/>
      <c r="AO91" s="8"/>
      <c r="AP91" s="8"/>
      <c r="AQ91" s="8"/>
      <c r="AR91" s="8"/>
      <c r="AS91" s="8"/>
      <c r="AT91" s="8"/>
      <c r="AU91" s="8"/>
      <c r="AV91" s="8"/>
      <c r="AX91" s="142">
        <v>33.9</v>
      </c>
    </row>
    <row r="92" spans="2:50" ht="38.25">
      <c r="B92" s="27">
        <v>88</v>
      </c>
      <c r="C92" s="31">
        <v>621</v>
      </c>
      <c r="D92" s="31">
        <v>970</v>
      </c>
      <c r="E92" s="32">
        <v>0.70138888888888884</v>
      </c>
      <c r="F92" s="42">
        <v>0.71805555555555556</v>
      </c>
      <c r="G92" s="31" t="s">
        <v>475</v>
      </c>
      <c r="H92" s="31" t="s">
        <v>477</v>
      </c>
      <c r="I92" s="33">
        <v>13.2</v>
      </c>
      <c r="J92" s="34" t="s">
        <v>93</v>
      </c>
      <c r="K92" s="35">
        <v>240</v>
      </c>
      <c r="L92" s="36">
        <f>+K92*I92</f>
        <v>3168</v>
      </c>
      <c r="M92" s="37" t="s">
        <v>729</v>
      </c>
      <c r="N92" s="79" t="s">
        <v>1906</v>
      </c>
      <c r="O92" s="79">
        <v>42</v>
      </c>
      <c r="P92" s="23" t="s">
        <v>1838</v>
      </c>
      <c r="Q92" s="23">
        <v>24</v>
      </c>
      <c r="S92" s="23"/>
      <c r="T92" s="7" t="s">
        <v>1276</v>
      </c>
      <c r="U92" s="7" t="s">
        <v>1277</v>
      </c>
      <c r="V92" s="7">
        <v>6120</v>
      </c>
      <c r="W92" s="7" t="s">
        <v>1238</v>
      </c>
      <c r="X92" s="18"/>
      <c r="Y92" s="17"/>
      <c r="Z92" s="18"/>
      <c r="AA92" s="18"/>
      <c r="AB92" s="7" t="s">
        <v>1052</v>
      </c>
      <c r="AC92" s="8" t="s">
        <v>726</v>
      </c>
      <c r="AD92" s="8"/>
      <c r="AE92" s="8" t="s">
        <v>726</v>
      </c>
      <c r="AF92" s="8"/>
      <c r="AG92" s="8" t="s">
        <v>726</v>
      </c>
      <c r="AH92" s="8" t="s">
        <v>726</v>
      </c>
      <c r="AI92" s="8" t="s">
        <v>726</v>
      </c>
      <c r="AJ92" s="8" t="s">
        <v>726</v>
      </c>
      <c r="AK92" s="8" t="s">
        <v>726</v>
      </c>
      <c r="AL92" s="8" t="s">
        <v>726</v>
      </c>
      <c r="AM92" s="8"/>
      <c r="AN92" s="8"/>
      <c r="AO92" s="8"/>
      <c r="AP92" s="8"/>
      <c r="AQ92" s="8"/>
      <c r="AR92" s="8"/>
      <c r="AS92" s="8"/>
      <c r="AT92" s="8"/>
      <c r="AU92" s="8"/>
      <c r="AV92" s="8"/>
      <c r="AX92" s="142">
        <v>39.6</v>
      </c>
    </row>
    <row r="93" spans="2:50" ht="38.25">
      <c r="B93" s="27">
        <v>89</v>
      </c>
      <c r="C93" s="31">
        <v>621</v>
      </c>
      <c r="D93" s="43">
        <v>970</v>
      </c>
      <c r="E93" s="42">
        <v>0.70208333333333339</v>
      </c>
      <c r="F93" s="42">
        <v>0.71875</v>
      </c>
      <c r="G93" s="31" t="s">
        <v>475</v>
      </c>
      <c r="H93" s="31" t="s">
        <v>499</v>
      </c>
      <c r="I93" s="33">
        <v>13.2</v>
      </c>
      <c r="J93" s="34" t="s">
        <v>93</v>
      </c>
      <c r="K93" s="35">
        <v>67</v>
      </c>
      <c r="L93" s="36">
        <f>+K93*I93</f>
        <v>884.4</v>
      </c>
      <c r="M93" s="37" t="s">
        <v>729</v>
      </c>
      <c r="N93" s="79" t="s">
        <v>1906</v>
      </c>
      <c r="O93" s="79">
        <v>42</v>
      </c>
      <c r="P93" s="23" t="s">
        <v>896</v>
      </c>
      <c r="Q93" s="23">
        <v>21</v>
      </c>
      <c r="R93" s="23" t="s">
        <v>895</v>
      </c>
      <c r="S93" s="24">
        <v>24</v>
      </c>
      <c r="T93" s="7" t="s">
        <v>1276</v>
      </c>
      <c r="U93" s="7" t="s">
        <v>1277</v>
      </c>
      <c r="V93" s="7">
        <v>6120</v>
      </c>
      <c r="W93" s="7" t="s">
        <v>1238</v>
      </c>
      <c r="X93" s="17"/>
      <c r="Y93" s="18"/>
      <c r="Z93" s="18"/>
      <c r="AA93" s="18"/>
      <c r="AB93" s="8" t="s">
        <v>1047</v>
      </c>
      <c r="AC93" s="8"/>
      <c r="AD93" s="8" t="s">
        <v>726</v>
      </c>
      <c r="AE93" s="8" t="s">
        <v>726</v>
      </c>
      <c r="AF93" s="8"/>
      <c r="AG93" s="8" t="s">
        <v>726</v>
      </c>
      <c r="AH93" s="8" t="s">
        <v>726</v>
      </c>
      <c r="AI93" s="8" t="s">
        <v>726</v>
      </c>
      <c r="AJ93" s="8" t="s">
        <v>726</v>
      </c>
      <c r="AK93" s="8" t="s">
        <v>726</v>
      </c>
      <c r="AL93" s="8" t="s">
        <v>726</v>
      </c>
      <c r="AM93" s="8"/>
      <c r="AN93" s="8"/>
      <c r="AO93" s="8"/>
      <c r="AP93" s="8"/>
      <c r="AQ93" s="8"/>
      <c r="AR93" s="8"/>
      <c r="AS93" s="8"/>
      <c r="AT93" s="8"/>
      <c r="AU93" s="8"/>
      <c r="AV93" s="8"/>
      <c r="AX93" s="142">
        <v>39.6</v>
      </c>
    </row>
    <row r="94" spans="2:50" ht="33.75">
      <c r="B94" s="27">
        <v>90</v>
      </c>
      <c r="C94" s="31">
        <v>621</v>
      </c>
      <c r="D94" s="31">
        <v>991</v>
      </c>
      <c r="E94" s="32">
        <v>0.72916666666666663</v>
      </c>
      <c r="F94" s="42">
        <v>0.74236111111111114</v>
      </c>
      <c r="G94" s="31" t="s">
        <v>476</v>
      </c>
      <c r="H94" s="31" t="s">
        <v>477</v>
      </c>
      <c r="I94" s="33">
        <v>11.3</v>
      </c>
      <c r="J94" s="34" t="s">
        <v>93</v>
      </c>
      <c r="K94" s="35">
        <v>240</v>
      </c>
      <c r="L94" s="36">
        <f>+K94*I94</f>
        <v>2712</v>
      </c>
      <c r="M94" s="37" t="s">
        <v>729</v>
      </c>
      <c r="N94" s="79" t="s">
        <v>1906</v>
      </c>
      <c r="O94" s="79">
        <v>42</v>
      </c>
      <c r="P94" s="23" t="s">
        <v>896</v>
      </c>
      <c r="Q94" s="23">
        <v>21</v>
      </c>
      <c r="S94" s="23"/>
      <c r="T94" s="7">
        <v>6120</v>
      </c>
      <c r="U94" s="7" t="s">
        <v>1238</v>
      </c>
      <c r="V94" s="7" t="s">
        <v>1276</v>
      </c>
      <c r="W94" s="7" t="s">
        <v>1277</v>
      </c>
      <c r="X94" s="18"/>
      <c r="Y94" s="17"/>
      <c r="Z94" s="18"/>
      <c r="AA94" s="18"/>
      <c r="AB94" s="7" t="s">
        <v>1052</v>
      </c>
      <c r="AC94" s="8" t="s">
        <v>726</v>
      </c>
      <c r="AD94" s="8"/>
      <c r="AE94" s="8" t="s">
        <v>726</v>
      </c>
      <c r="AF94" s="8"/>
      <c r="AG94" s="8" t="s">
        <v>726</v>
      </c>
      <c r="AH94" s="8" t="s">
        <v>726</v>
      </c>
      <c r="AI94" s="8" t="s">
        <v>726</v>
      </c>
      <c r="AJ94" s="8" t="s">
        <v>726</v>
      </c>
      <c r="AK94" s="8" t="s">
        <v>726</v>
      </c>
      <c r="AL94" s="8" t="s">
        <v>726</v>
      </c>
      <c r="AM94" s="8"/>
      <c r="AN94" s="8"/>
      <c r="AO94" s="8"/>
      <c r="AP94" s="8"/>
      <c r="AQ94" s="8"/>
      <c r="AR94" s="8"/>
      <c r="AS94" s="8"/>
      <c r="AT94" s="8"/>
      <c r="AU94" s="8"/>
      <c r="AV94" s="8"/>
      <c r="AX94" s="142">
        <v>33.9</v>
      </c>
    </row>
    <row r="95" spans="2:50" ht="33.75">
      <c r="B95" s="27">
        <v>91</v>
      </c>
      <c r="C95" s="38">
        <v>634</v>
      </c>
      <c r="D95" s="38">
        <v>537</v>
      </c>
      <c r="E95" s="39">
        <v>0.3611111111111111</v>
      </c>
      <c r="F95" s="39">
        <v>0.38472222222222219</v>
      </c>
      <c r="G95" s="40" t="s">
        <v>65</v>
      </c>
      <c r="H95" s="31" t="s">
        <v>442</v>
      </c>
      <c r="I95" s="38">
        <v>20</v>
      </c>
      <c r="J95" s="41">
        <v>19</v>
      </c>
      <c r="K95" s="35">
        <v>47</v>
      </c>
      <c r="L95" s="36">
        <f>+K95*I95</f>
        <v>940</v>
      </c>
      <c r="M95" s="37" t="s">
        <v>777</v>
      </c>
      <c r="N95" s="23" t="s">
        <v>917</v>
      </c>
      <c r="O95" s="23">
        <v>21</v>
      </c>
      <c r="P95" s="23" t="s">
        <v>1773</v>
      </c>
      <c r="Q95" s="23">
        <v>31</v>
      </c>
      <c r="R95" s="23"/>
      <c r="S95" s="23"/>
      <c r="T95" s="7">
        <v>6755</v>
      </c>
      <c r="U95" s="7" t="s">
        <v>1280</v>
      </c>
      <c r="V95" s="7">
        <v>6220</v>
      </c>
      <c r="W95" s="7" t="s">
        <v>1281</v>
      </c>
      <c r="X95" s="18"/>
      <c r="Y95" s="17"/>
      <c r="Z95" s="18"/>
      <c r="AA95" s="18"/>
      <c r="AB95" s="7" t="s">
        <v>1043</v>
      </c>
      <c r="AC95" s="8" t="s">
        <v>726</v>
      </c>
      <c r="AD95" s="8"/>
      <c r="AE95" s="8"/>
      <c r="AF95" s="8"/>
      <c r="AG95" s="8"/>
      <c r="AH95" s="8"/>
      <c r="AI95" s="8"/>
      <c r="AJ95" s="8"/>
      <c r="AK95" s="8"/>
      <c r="AL95" s="8"/>
      <c r="AM95" s="8" t="s">
        <v>726</v>
      </c>
      <c r="AN95" s="3"/>
      <c r="AO95" s="3"/>
      <c r="AP95" s="3"/>
      <c r="AQ95" s="8"/>
      <c r="AR95" s="8"/>
      <c r="AS95" s="8"/>
      <c r="AT95" s="8"/>
      <c r="AU95" s="8"/>
      <c r="AV95" s="8"/>
      <c r="AX95" s="142">
        <v>49.261083743842363</v>
      </c>
    </row>
    <row r="96" spans="2:50" ht="33.75">
      <c r="B96" s="27">
        <v>92</v>
      </c>
      <c r="C96" s="38">
        <v>634</v>
      </c>
      <c r="D96" s="38">
        <v>535</v>
      </c>
      <c r="E96" s="39">
        <v>0.3611111111111111</v>
      </c>
      <c r="F96" s="39">
        <v>0.38472222222222219</v>
      </c>
      <c r="G96" s="40" t="s">
        <v>65</v>
      </c>
      <c r="H96" s="31" t="s">
        <v>546</v>
      </c>
      <c r="I96" s="38">
        <v>20</v>
      </c>
      <c r="J96" s="41">
        <v>19</v>
      </c>
      <c r="K96" s="35">
        <v>13</v>
      </c>
      <c r="L96" s="36">
        <f>+K96*I96</f>
        <v>260</v>
      </c>
      <c r="M96" s="37" t="s">
        <v>777</v>
      </c>
      <c r="N96" s="23" t="s">
        <v>917</v>
      </c>
      <c r="O96" s="23">
        <v>21</v>
      </c>
      <c r="P96" s="23" t="s">
        <v>1773</v>
      </c>
      <c r="Q96" s="23">
        <v>31</v>
      </c>
      <c r="R96" s="23"/>
      <c r="S96" s="23"/>
      <c r="T96" s="7">
        <v>6755</v>
      </c>
      <c r="U96" s="7" t="s">
        <v>1280</v>
      </c>
      <c r="V96" s="7">
        <v>6220</v>
      </c>
      <c r="W96" s="7" t="s">
        <v>1281</v>
      </c>
      <c r="X96" s="17"/>
      <c r="Y96" s="18"/>
      <c r="Z96" s="18"/>
      <c r="AA96" s="18"/>
      <c r="AB96" s="7" t="s">
        <v>1044</v>
      </c>
      <c r="AC96" s="3"/>
      <c r="AD96" s="8" t="s">
        <v>726</v>
      </c>
      <c r="AE96" s="8"/>
      <c r="AF96" s="8"/>
      <c r="AG96" s="8"/>
      <c r="AH96" s="8"/>
      <c r="AI96" s="8"/>
      <c r="AJ96" s="8"/>
      <c r="AK96" s="8"/>
      <c r="AL96" s="8"/>
      <c r="AM96" s="8" t="s">
        <v>726</v>
      </c>
      <c r="AN96" s="3"/>
      <c r="AO96" s="3"/>
      <c r="AP96" s="3"/>
      <c r="AQ96" s="8"/>
      <c r="AR96" s="8"/>
      <c r="AS96" s="8"/>
      <c r="AT96" s="8"/>
      <c r="AU96" s="8"/>
      <c r="AV96" s="8"/>
      <c r="AX96" s="142">
        <v>49.261083743842363</v>
      </c>
    </row>
    <row r="97" spans="1:50" ht="33.75">
      <c r="B97" s="27">
        <v>93</v>
      </c>
      <c r="C97" s="38">
        <v>634</v>
      </c>
      <c r="D97" s="38">
        <v>532</v>
      </c>
      <c r="E97" s="39">
        <v>0.40277777777777773</v>
      </c>
      <c r="F97" s="39">
        <v>0.44444444444444442</v>
      </c>
      <c r="G97" s="40" t="s">
        <v>67</v>
      </c>
      <c r="H97" s="31" t="s">
        <v>546</v>
      </c>
      <c r="I97" s="38">
        <v>28</v>
      </c>
      <c r="J97" s="41">
        <v>19</v>
      </c>
      <c r="K97" s="35">
        <v>13</v>
      </c>
      <c r="L97" s="36">
        <f>+K97*I97</f>
        <v>364</v>
      </c>
      <c r="M97" s="37" t="s">
        <v>777</v>
      </c>
      <c r="N97" s="23" t="s">
        <v>917</v>
      </c>
      <c r="O97" s="23">
        <v>21</v>
      </c>
      <c r="P97" s="23" t="s">
        <v>1773</v>
      </c>
      <c r="Q97" s="23">
        <v>31</v>
      </c>
      <c r="R97" s="23"/>
      <c r="S97" s="23"/>
      <c r="T97" s="7">
        <v>6220</v>
      </c>
      <c r="U97" s="7" t="s">
        <v>1281</v>
      </c>
      <c r="V97" s="7">
        <v>6755</v>
      </c>
      <c r="W97" s="7" t="s">
        <v>1280</v>
      </c>
      <c r="X97" s="17"/>
      <c r="Y97" s="18"/>
      <c r="Z97" s="18"/>
      <c r="AA97" s="18"/>
      <c r="AB97" s="7" t="s">
        <v>1044</v>
      </c>
      <c r="AC97" s="3"/>
      <c r="AD97" s="8" t="s">
        <v>726</v>
      </c>
      <c r="AE97" s="8"/>
      <c r="AF97" s="8"/>
      <c r="AG97" s="8"/>
      <c r="AH97" s="8"/>
      <c r="AI97" s="8"/>
      <c r="AJ97" s="8"/>
      <c r="AK97" s="8"/>
      <c r="AL97" s="8"/>
      <c r="AM97" s="8" t="s">
        <v>726</v>
      </c>
      <c r="AN97" s="3"/>
      <c r="AO97" s="3"/>
      <c r="AP97" s="3"/>
      <c r="AQ97" s="8"/>
      <c r="AR97" s="8"/>
      <c r="AS97" s="8"/>
      <c r="AT97" s="8"/>
      <c r="AU97" s="8"/>
      <c r="AV97" s="8"/>
      <c r="AX97" s="142">
        <v>68.965517241379317</v>
      </c>
    </row>
    <row r="98" spans="1:50" ht="33.75">
      <c r="B98" s="27">
        <v>94</v>
      </c>
      <c r="C98" s="38">
        <v>634</v>
      </c>
      <c r="D98" s="38">
        <v>530</v>
      </c>
      <c r="E98" s="39">
        <v>0.40277777777777773</v>
      </c>
      <c r="F98" s="39">
        <v>0.44444444444444442</v>
      </c>
      <c r="G98" s="40" t="s">
        <v>67</v>
      </c>
      <c r="H98" s="31" t="s">
        <v>442</v>
      </c>
      <c r="I98" s="38">
        <v>28</v>
      </c>
      <c r="J98" s="41">
        <v>19</v>
      </c>
      <c r="K98" s="35">
        <v>47</v>
      </c>
      <c r="L98" s="36">
        <f>+K98*I98</f>
        <v>1316</v>
      </c>
      <c r="M98" s="37" t="s">
        <v>777</v>
      </c>
      <c r="N98" s="23" t="s">
        <v>917</v>
      </c>
      <c r="O98" s="23">
        <v>21</v>
      </c>
      <c r="P98" s="23" t="s">
        <v>1773</v>
      </c>
      <c r="Q98" s="23">
        <v>31</v>
      </c>
      <c r="R98" s="23"/>
      <c r="S98" s="23"/>
      <c r="T98" s="7">
        <v>6220</v>
      </c>
      <c r="U98" s="7" t="s">
        <v>1281</v>
      </c>
      <c r="V98" s="7">
        <v>6755</v>
      </c>
      <c r="W98" s="7" t="s">
        <v>1280</v>
      </c>
      <c r="X98" s="18"/>
      <c r="Y98" s="17"/>
      <c r="Z98" s="18"/>
      <c r="AA98" s="18"/>
      <c r="AB98" s="7" t="s">
        <v>1043</v>
      </c>
      <c r="AC98" s="8" t="s">
        <v>726</v>
      </c>
      <c r="AD98" s="8"/>
      <c r="AE98" s="8"/>
      <c r="AF98" s="8"/>
      <c r="AG98" s="8"/>
      <c r="AH98" s="8"/>
      <c r="AI98" s="8"/>
      <c r="AJ98" s="8"/>
      <c r="AK98" s="8"/>
      <c r="AL98" s="8"/>
      <c r="AM98" s="8" t="s">
        <v>726</v>
      </c>
      <c r="AN98" s="3"/>
      <c r="AO98" s="3"/>
      <c r="AP98" s="3"/>
      <c r="AQ98" s="8"/>
      <c r="AR98" s="8"/>
      <c r="AS98" s="8"/>
      <c r="AT98" s="8"/>
      <c r="AU98" s="8"/>
      <c r="AV98" s="8"/>
      <c r="AX98" s="142">
        <v>68.965517241379317</v>
      </c>
    </row>
    <row r="99" spans="1:50" ht="33.75">
      <c r="B99" s="27">
        <v>95</v>
      </c>
      <c r="C99" s="38">
        <v>634</v>
      </c>
      <c r="D99" s="38">
        <v>539</v>
      </c>
      <c r="E99" s="39">
        <v>0.51388888888888895</v>
      </c>
      <c r="F99" s="39">
        <v>0.55138888888888882</v>
      </c>
      <c r="G99" s="40" t="s">
        <v>69</v>
      </c>
      <c r="H99" s="31" t="s">
        <v>442</v>
      </c>
      <c r="I99" s="38">
        <v>28</v>
      </c>
      <c r="J99" s="41">
        <v>19</v>
      </c>
      <c r="K99" s="35">
        <v>47</v>
      </c>
      <c r="L99" s="36">
        <f>+K99*I99</f>
        <v>1316</v>
      </c>
      <c r="M99" s="37" t="s">
        <v>777</v>
      </c>
      <c r="N99" s="23" t="s">
        <v>917</v>
      </c>
      <c r="O99" s="23">
        <v>21</v>
      </c>
      <c r="P99" s="23" t="s">
        <v>1773</v>
      </c>
      <c r="Q99" s="23">
        <v>31</v>
      </c>
      <c r="R99" s="23"/>
      <c r="S99" s="23"/>
      <c r="T99" s="7">
        <v>6755</v>
      </c>
      <c r="U99" s="7" t="s">
        <v>1280</v>
      </c>
      <c r="V99" s="7">
        <v>6220</v>
      </c>
      <c r="W99" s="7" t="s">
        <v>1281</v>
      </c>
      <c r="X99" s="18"/>
      <c r="Y99" s="17"/>
      <c r="Z99" s="18"/>
      <c r="AA99" s="18"/>
      <c r="AB99" s="7" t="s">
        <v>1043</v>
      </c>
      <c r="AC99" s="8" t="s">
        <v>726</v>
      </c>
      <c r="AD99" s="8"/>
      <c r="AE99" s="8"/>
      <c r="AF99" s="8"/>
      <c r="AG99" s="8"/>
      <c r="AH99" s="8"/>
      <c r="AI99" s="8"/>
      <c r="AJ99" s="8"/>
      <c r="AK99" s="8"/>
      <c r="AL99" s="8"/>
      <c r="AM99" s="8" t="s">
        <v>726</v>
      </c>
      <c r="AN99" s="3"/>
      <c r="AO99" s="3"/>
      <c r="AP99" s="3"/>
      <c r="AQ99" s="8"/>
      <c r="AR99" s="8"/>
      <c r="AS99" s="8"/>
      <c r="AT99" s="8"/>
      <c r="AU99" s="8"/>
      <c r="AV99" s="8"/>
      <c r="AX99" s="142">
        <v>68.965517241379317</v>
      </c>
    </row>
    <row r="100" spans="1:50" ht="33.75">
      <c r="B100" s="27">
        <v>96</v>
      </c>
      <c r="C100" s="38">
        <v>634</v>
      </c>
      <c r="D100" s="38">
        <v>539</v>
      </c>
      <c r="E100" s="39">
        <v>0.51736111111111105</v>
      </c>
      <c r="F100" s="39">
        <v>0.55486111111111114</v>
      </c>
      <c r="G100" s="40" t="s">
        <v>69</v>
      </c>
      <c r="H100" s="31" t="s">
        <v>546</v>
      </c>
      <c r="I100" s="38">
        <v>28</v>
      </c>
      <c r="J100" s="41">
        <v>19</v>
      </c>
      <c r="K100" s="35">
        <v>13</v>
      </c>
      <c r="L100" s="36">
        <f>+K100*I100</f>
        <v>364</v>
      </c>
      <c r="M100" s="37" t="s">
        <v>777</v>
      </c>
      <c r="N100" s="23" t="s">
        <v>917</v>
      </c>
      <c r="O100" s="23">
        <v>21</v>
      </c>
      <c r="P100" s="23" t="s">
        <v>1773</v>
      </c>
      <c r="Q100" s="23">
        <v>31</v>
      </c>
      <c r="R100" s="23"/>
      <c r="S100" s="23"/>
      <c r="T100" s="7">
        <v>6755</v>
      </c>
      <c r="U100" s="7" t="s">
        <v>1280</v>
      </c>
      <c r="V100" s="7">
        <v>6220</v>
      </c>
      <c r="W100" s="7" t="s">
        <v>1281</v>
      </c>
      <c r="X100" s="17"/>
      <c r="Y100" s="18"/>
      <c r="Z100" s="18"/>
      <c r="AA100" s="18"/>
      <c r="AB100" s="7" t="s">
        <v>1044</v>
      </c>
      <c r="AC100" s="3"/>
      <c r="AD100" s="8" t="s">
        <v>726</v>
      </c>
      <c r="AE100" s="8"/>
      <c r="AF100" s="8"/>
      <c r="AG100" s="8"/>
      <c r="AH100" s="8"/>
      <c r="AI100" s="8"/>
      <c r="AJ100" s="8"/>
      <c r="AK100" s="8"/>
      <c r="AL100" s="8"/>
      <c r="AM100" s="8" t="s">
        <v>726</v>
      </c>
      <c r="AN100" s="3"/>
      <c r="AO100" s="3"/>
      <c r="AP100" s="3"/>
      <c r="AQ100" s="8"/>
      <c r="AR100" s="8"/>
      <c r="AS100" s="8"/>
      <c r="AT100" s="8"/>
      <c r="AU100" s="8"/>
      <c r="AV100" s="8"/>
      <c r="AX100" s="142">
        <v>68.965517241379317</v>
      </c>
    </row>
    <row r="101" spans="1:50" ht="33.75">
      <c r="B101" s="27">
        <v>97</v>
      </c>
      <c r="C101" s="38">
        <v>634</v>
      </c>
      <c r="D101" s="38">
        <v>538</v>
      </c>
      <c r="E101" s="39">
        <v>0.65277777777777779</v>
      </c>
      <c r="F101" s="39">
        <v>0.69097222222222221</v>
      </c>
      <c r="G101" s="40" t="s">
        <v>67</v>
      </c>
      <c r="H101" s="31" t="s">
        <v>442</v>
      </c>
      <c r="I101" s="38">
        <v>28</v>
      </c>
      <c r="J101" s="41">
        <v>19</v>
      </c>
      <c r="K101" s="35">
        <v>47</v>
      </c>
      <c r="L101" s="36">
        <f>+K101*I101</f>
        <v>1316</v>
      </c>
      <c r="M101" s="37" t="s">
        <v>777</v>
      </c>
      <c r="N101" s="23" t="s">
        <v>917</v>
      </c>
      <c r="O101" s="23">
        <v>21</v>
      </c>
      <c r="P101" s="23" t="s">
        <v>1773</v>
      </c>
      <c r="Q101" s="23">
        <v>31</v>
      </c>
      <c r="R101" s="23"/>
      <c r="S101" s="23"/>
      <c r="T101" s="7">
        <v>6220</v>
      </c>
      <c r="U101" s="7" t="s">
        <v>1281</v>
      </c>
      <c r="V101" s="7">
        <v>6755</v>
      </c>
      <c r="W101" s="7" t="s">
        <v>1280</v>
      </c>
      <c r="X101" s="18"/>
      <c r="Y101" s="17"/>
      <c r="Z101" s="18"/>
      <c r="AA101" s="18"/>
      <c r="AB101" s="7" t="s">
        <v>1043</v>
      </c>
      <c r="AC101" s="8" t="s">
        <v>726</v>
      </c>
      <c r="AD101" s="8"/>
      <c r="AE101" s="8"/>
      <c r="AF101" s="8"/>
      <c r="AG101" s="8"/>
      <c r="AH101" s="8"/>
      <c r="AI101" s="8"/>
      <c r="AJ101" s="8"/>
      <c r="AK101" s="8"/>
      <c r="AL101" s="8"/>
      <c r="AM101" s="8" t="s">
        <v>726</v>
      </c>
      <c r="AN101" s="3"/>
      <c r="AO101" s="3"/>
      <c r="AP101" s="3"/>
      <c r="AQ101" s="8"/>
      <c r="AR101" s="8"/>
      <c r="AS101" s="8"/>
      <c r="AT101" s="8"/>
      <c r="AU101" s="8"/>
      <c r="AV101" s="8"/>
      <c r="AX101" s="142">
        <v>68.965517241379317</v>
      </c>
    </row>
    <row r="102" spans="1:50" ht="33.75">
      <c r="B102" s="27">
        <v>98</v>
      </c>
      <c r="C102" s="38">
        <v>634</v>
      </c>
      <c r="D102" s="38">
        <v>543</v>
      </c>
      <c r="E102" s="39">
        <v>0.69444444444444453</v>
      </c>
      <c r="F102" s="39">
        <v>0.71805555555555556</v>
      </c>
      <c r="G102" s="40" t="s">
        <v>65</v>
      </c>
      <c r="H102" s="31" t="s">
        <v>442</v>
      </c>
      <c r="I102" s="38">
        <v>20</v>
      </c>
      <c r="J102" s="41">
        <v>19</v>
      </c>
      <c r="K102" s="35">
        <v>47</v>
      </c>
      <c r="L102" s="36">
        <f>+K102*I102</f>
        <v>940</v>
      </c>
      <c r="M102" s="37" t="s">
        <v>777</v>
      </c>
      <c r="N102" s="23" t="s">
        <v>917</v>
      </c>
      <c r="O102" s="23">
        <v>21</v>
      </c>
      <c r="P102" s="23" t="s">
        <v>1773</v>
      </c>
      <c r="Q102" s="23">
        <v>31</v>
      </c>
      <c r="R102" s="23"/>
      <c r="S102" s="23"/>
      <c r="T102" s="7">
        <v>6755</v>
      </c>
      <c r="U102" s="7" t="s">
        <v>1280</v>
      </c>
      <c r="V102" s="7">
        <v>6220</v>
      </c>
      <c r="W102" s="7" t="s">
        <v>1281</v>
      </c>
      <c r="X102" s="18"/>
      <c r="Y102" s="17"/>
      <c r="Z102" s="18"/>
      <c r="AA102" s="18"/>
      <c r="AB102" s="7" t="s">
        <v>1043</v>
      </c>
      <c r="AC102" s="8" t="s">
        <v>726</v>
      </c>
      <c r="AD102" s="8"/>
      <c r="AE102" s="8"/>
      <c r="AF102" s="8"/>
      <c r="AG102" s="8"/>
      <c r="AH102" s="8"/>
      <c r="AI102" s="8"/>
      <c r="AJ102" s="8"/>
      <c r="AK102" s="8"/>
      <c r="AL102" s="8"/>
      <c r="AM102" s="8" t="s">
        <v>726</v>
      </c>
      <c r="AN102" s="3"/>
      <c r="AO102" s="3"/>
      <c r="AP102" s="3"/>
      <c r="AQ102" s="8"/>
      <c r="AR102" s="8"/>
      <c r="AS102" s="8"/>
      <c r="AT102" s="8"/>
      <c r="AU102" s="8"/>
      <c r="AV102" s="8"/>
      <c r="AX102" s="142">
        <v>49.261083743842363</v>
      </c>
    </row>
    <row r="103" spans="1:50" ht="33.75">
      <c r="B103" s="27">
        <v>99</v>
      </c>
      <c r="C103" s="38">
        <v>634</v>
      </c>
      <c r="D103" s="38">
        <v>536</v>
      </c>
      <c r="E103" s="39">
        <v>0.72569444444444453</v>
      </c>
      <c r="F103" s="39">
        <v>0.76388888888888884</v>
      </c>
      <c r="G103" s="40" t="s">
        <v>67</v>
      </c>
      <c r="H103" s="31" t="s">
        <v>546</v>
      </c>
      <c r="I103" s="38">
        <v>28</v>
      </c>
      <c r="J103" s="41">
        <v>19</v>
      </c>
      <c r="K103" s="35">
        <v>13</v>
      </c>
      <c r="L103" s="36">
        <f>+K103*I103</f>
        <v>364</v>
      </c>
      <c r="M103" s="37" t="s">
        <v>777</v>
      </c>
      <c r="N103" s="23" t="s">
        <v>917</v>
      </c>
      <c r="O103" s="23">
        <v>21</v>
      </c>
      <c r="P103" s="23" t="s">
        <v>1773</v>
      </c>
      <c r="Q103" s="23">
        <v>31</v>
      </c>
      <c r="R103" s="23"/>
      <c r="S103" s="23"/>
      <c r="T103" s="7">
        <v>6220</v>
      </c>
      <c r="U103" s="7" t="s">
        <v>1281</v>
      </c>
      <c r="V103" s="7">
        <v>6755</v>
      </c>
      <c r="W103" s="7" t="s">
        <v>1280</v>
      </c>
      <c r="X103" s="17"/>
      <c r="Y103" s="18"/>
      <c r="Z103" s="18"/>
      <c r="AA103" s="18"/>
      <c r="AB103" s="7" t="s">
        <v>1044</v>
      </c>
      <c r="AC103" s="3"/>
      <c r="AD103" s="8" t="s">
        <v>726</v>
      </c>
      <c r="AE103" s="8"/>
      <c r="AF103" s="8"/>
      <c r="AG103" s="8"/>
      <c r="AH103" s="8"/>
      <c r="AI103" s="8"/>
      <c r="AJ103" s="8"/>
      <c r="AK103" s="8"/>
      <c r="AL103" s="8"/>
      <c r="AM103" s="8" t="s">
        <v>726</v>
      </c>
      <c r="AN103" s="3"/>
      <c r="AO103" s="3"/>
      <c r="AP103" s="3"/>
      <c r="AQ103" s="8"/>
      <c r="AR103" s="8"/>
      <c r="AS103" s="8"/>
      <c r="AT103" s="8"/>
      <c r="AU103" s="8"/>
      <c r="AV103" s="8"/>
      <c r="AX103" s="142">
        <v>68.965517241379317</v>
      </c>
    </row>
    <row r="104" spans="1:50" ht="33.75">
      <c r="B104" s="27">
        <v>100</v>
      </c>
      <c r="C104" s="38">
        <v>634</v>
      </c>
      <c r="D104" s="38">
        <v>544</v>
      </c>
      <c r="E104" s="39">
        <v>0.74305555555555547</v>
      </c>
      <c r="F104" s="44">
        <v>0.76666666666666661</v>
      </c>
      <c r="G104" s="40" t="s">
        <v>64</v>
      </c>
      <c r="H104" s="31" t="s">
        <v>442</v>
      </c>
      <c r="I104" s="38">
        <v>20</v>
      </c>
      <c r="J104" s="41">
        <v>19</v>
      </c>
      <c r="K104" s="35">
        <v>47</v>
      </c>
      <c r="L104" s="36">
        <f>+K104*I104</f>
        <v>940</v>
      </c>
      <c r="M104" s="37" t="s">
        <v>777</v>
      </c>
      <c r="N104" s="23" t="s">
        <v>917</v>
      </c>
      <c r="O104" s="23">
        <v>21</v>
      </c>
      <c r="P104" s="23" t="s">
        <v>1773</v>
      </c>
      <c r="Q104" s="23">
        <v>31</v>
      </c>
      <c r="R104" s="23"/>
      <c r="S104" s="23"/>
      <c r="T104" s="7">
        <v>6220</v>
      </c>
      <c r="U104" s="7" t="s">
        <v>1281</v>
      </c>
      <c r="V104" s="7">
        <v>6755</v>
      </c>
      <c r="W104" s="7" t="s">
        <v>1280</v>
      </c>
      <c r="X104" s="18"/>
      <c r="Y104" s="17"/>
      <c r="Z104" s="18"/>
      <c r="AA104" s="18"/>
      <c r="AB104" s="7" t="s">
        <v>1043</v>
      </c>
      <c r="AC104" s="8" t="s">
        <v>726</v>
      </c>
      <c r="AD104" s="8"/>
      <c r="AE104" s="8"/>
      <c r="AF104" s="8"/>
      <c r="AG104" s="8"/>
      <c r="AH104" s="8"/>
      <c r="AI104" s="8"/>
      <c r="AJ104" s="8"/>
      <c r="AK104" s="8"/>
      <c r="AL104" s="8"/>
      <c r="AM104" s="8" t="s">
        <v>726</v>
      </c>
      <c r="AN104" s="3"/>
      <c r="AO104" s="3"/>
      <c r="AP104" s="3"/>
      <c r="AQ104" s="8"/>
      <c r="AR104" s="8"/>
      <c r="AS104" s="8"/>
      <c r="AT104" s="8"/>
      <c r="AU104" s="8"/>
      <c r="AV104" s="8"/>
      <c r="AX104" s="142">
        <v>49.261083743842363</v>
      </c>
    </row>
    <row r="105" spans="1:50" ht="25.5">
      <c r="B105" s="27">
        <v>101</v>
      </c>
      <c r="C105" s="31">
        <v>640</v>
      </c>
      <c r="D105" s="31">
        <v>659</v>
      </c>
      <c r="E105" s="32">
        <v>0.76041666666666663</v>
      </c>
      <c r="F105" s="32">
        <v>0.77986111111111101</v>
      </c>
      <c r="G105" s="31" t="s">
        <v>120</v>
      </c>
      <c r="H105" s="31" t="s">
        <v>103</v>
      </c>
      <c r="I105" s="33">
        <v>16</v>
      </c>
      <c r="J105" s="34" t="s">
        <v>188</v>
      </c>
      <c r="K105" s="35">
        <v>174</v>
      </c>
      <c r="L105" s="36">
        <f>+K105*I105</f>
        <v>2784</v>
      </c>
      <c r="M105" s="37" t="s">
        <v>773</v>
      </c>
      <c r="N105" s="23" t="s">
        <v>965</v>
      </c>
      <c r="O105" s="23">
        <v>45</v>
      </c>
      <c r="P105" s="2" t="s">
        <v>1827</v>
      </c>
      <c r="Q105" s="2">
        <v>21</v>
      </c>
      <c r="R105" s="2" t="s">
        <v>1155</v>
      </c>
      <c r="S105" s="24">
        <v>9</v>
      </c>
      <c r="T105" s="7">
        <v>6300</v>
      </c>
      <c r="U105" s="7" t="s">
        <v>1282</v>
      </c>
      <c r="V105" s="7">
        <v>6328</v>
      </c>
      <c r="W105" s="7" t="s">
        <v>1283</v>
      </c>
      <c r="X105" s="18"/>
      <c r="Y105" s="17"/>
      <c r="Z105" s="17"/>
      <c r="AA105" s="17"/>
      <c r="AB105" s="7" t="s">
        <v>1042</v>
      </c>
      <c r="AC105" s="3"/>
      <c r="AD105" s="3"/>
      <c r="AE105" s="3"/>
      <c r="AF105" s="8" t="s">
        <v>726</v>
      </c>
      <c r="AG105" s="8" t="s">
        <v>726</v>
      </c>
      <c r="AH105" s="8" t="s">
        <v>726</v>
      </c>
      <c r="AI105" s="8" t="s">
        <v>726</v>
      </c>
      <c r="AJ105" s="8" t="s">
        <v>726</v>
      </c>
      <c r="AK105" s="8" t="s">
        <v>726</v>
      </c>
      <c r="AL105" s="3"/>
      <c r="AM105" s="3"/>
      <c r="AN105" s="3"/>
      <c r="AO105" s="3"/>
      <c r="AP105" s="3"/>
      <c r="AQ105" s="8"/>
      <c r="AR105" s="8"/>
      <c r="AS105" s="8"/>
      <c r="AT105" s="8"/>
      <c r="AU105" s="8"/>
      <c r="AV105" s="3"/>
      <c r="AX105" s="142">
        <v>48</v>
      </c>
    </row>
    <row r="106" spans="1:50" ht="22.5">
      <c r="B106" s="27">
        <v>102</v>
      </c>
      <c r="C106" s="30">
        <v>91</v>
      </c>
      <c r="D106" s="53">
        <v>490</v>
      </c>
      <c r="E106" s="39">
        <v>0.19791666666666666</v>
      </c>
      <c r="F106" s="39">
        <v>0.23958333333333334</v>
      </c>
      <c r="G106" s="40" t="s">
        <v>45</v>
      </c>
      <c r="H106" s="40" t="s">
        <v>18</v>
      </c>
      <c r="I106" s="38">
        <v>50</v>
      </c>
      <c r="J106" s="41">
        <v>50</v>
      </c>
      <c r="K106" s="35">
        <v>296</v>
      </c>
      <c r="L106" s="36">
        <f>+K106*I106</f>
        <v>14800</v>
      </c>
      <c r="M106" s="37" t="s">
        <v>713</v>
      </c>
      <c r="N106" s="23" t="s">
        <v>884</v>
      </c>
      <c r="O106" s="23">
        <v>53</v>
      </c>
      <c r="P106" s="23" t="s">
        <v>1156</v>
      </c>
      <c r="Q106" s="23">
        <v>54</v>
      </c>
      <c r="R106" s="112" t="s">
        <v>2026</v>
      </c>
      <c r="S106" s="130">
        <v>59</v>
      </c>
      <c r="T106" s="7" t="s">
        <v>1226</v>
      </c>
      <c r="U106" s="7" t="s">
        <v>1227</v>
      </c>
      <c r="V106" s="7" t="s">
        <v>1228</v>
      </c>
      <c r="W106" s="7" t="s">
        <v>1229</v>
      </c>
      <c r="X106" s="17"/>
      <c r="Y106" s="17"/>
      <c r="Z106" s="17"/>
      <c r="AA106" s="17"/>
      <c r="AB106" s="8" t="s">
        <v>1053</v>
      </c>
      <c r="AC106" s="8" t="s">
        <v>726</v>
      </c>
      <c r="AD106" s="8" t="s">
        <v>726</v>
      </c>
      <c r="AE106" s="8" t="s">
        <v>726</v>
      </c>
      <c r="AF106" s="8"/>
      <c r="AG106" s="8" t="s">
        <v>726</v>
      </c>
      <c r="AH106" s="8" t="s">
        <v>726</v>
      </c>
      <c r="AI106" s="8" t="s">
        <v>726</v>
      </c>
      <c r="AJ106" s="8" t="s">
        <v>726</v>
      </c>
      <c r="AK106" s="8" t="s">
        <v>726</v>
      </c>
      <c r="AL106" s="8" t="s">
        <v>726</v>
      </c>
      <c r="AM106" s="8"/>
      <c r="AN106" s="8"/>
      <c r="AO106" s="8"/>
      <c r="AP106" s="8"/>
      <c r="AQ106" s="8"/>
      <c r="AR106" s="8"/>
      <c r="AS106" s="8"/>
      <c r="AT106" s="8"/>
      <c r="AU106" s="8"/>
      <c r="AV106" s="8"/>
      <c r="AX106" s="142">
        <v>114.54906858519939</v>
      </c>
    </row>
    <row r="107" spans="1:50" ht="54.75" customHeight="1">
      <c r="B107" s="27">
        <v>103</v>
      </c>
      <c r="C107" s="30">
        <v>91</v>
      </c>
      <c r="D107" s="53">
        <v>491</v>
      </c>
      <c r="E107" s="39">
        <v>0.25694444444444448</v>
      </c>
      <c r="F107" s="39">
        <v>0.2986111111111111</v>
      </c>
      <c r="G107" s="40" t="s">
        <v>44</v>
      </c>
      <c r="H107" s="40" t="s">
        <v>709</v>
      </c>
      <c r="I107" s="38">
        <v>50</v>
      </c>
      <c r="J107" s="41">
        <v>50</v>
      </c>
      <c r="K107" s="35">
        <v>255</v>
      </c>
      <c r="L107" s="36">
        <f>+K107*I107</f>
        <v>12750</v>
      </c>
      <c r="M107" s="37" t="s">
        <v>713</v>
      </c>
      <c r="N107" s="23" t="s">
        <v>884</v>
      </c>
      <c r="O107" s="23">
        <v>53</v>
      </c>
      <c r="P107" s="23" t="s">
        <v>1156</v>
      </c>
      <c r="Q107" s="23">
        <v>54</v>
      </c>
      <c r="R107" s="112" t="s">
        <v>2026</v>
      </c>
      <c r="S107" s="130">
        <v>59</v>
      </c>
      <c r="T107" s="7" t="s">
        <v>1228</v>
      </c>
      <c r="U107" s="7" t="s">
        <v>1229</v>
      </c>
      <c r="V107" s="7" t="s">
        <v>1226</v>
      </c>
      <c r="W107" s="7" t="s">
        <v>1227</v>
      </c>
      <c r="X107" s="17"/>
      <c r="Y107" s="17"/>
      <c r="Z107" s="17"/>
      <c r="AA107" s="17"/>
      <c r="AB107" s="8" t="s">
        <v>1054</v>
      </c>
      <c r="AC107" s="8" t="s">
        <v>726</v>
      </c>
      <c r="AD107" s="8" t="s">
        <v>726</v>
      </c>
      <c r="AE107" s="8" t="s">
        <v>726</v>
      </c>
      <c r="AF107" s="8"/>
      <c r="AG107" s="8"/>
      <c r="AH107" s="8" t="s">
        <v>726</v>
      </c>
      <c r="AI107" s="8" t="s">
        <v>726</v>
      </c>
      <c r="AJ107" s="8" t="s">
        <v>726</v>
      </c>
      <c r="AK107" s="8" t="s">
        <v>726</v>
      </c>
      <c r="AL107" s="8" t="s">
        <v>726</v>
      </c>
      <c r="AM107" s="8"/>
      <c r="AN107" s="8"/>
      <c r="AO107" s="8"/>
      <c r="AP107" s="8"/>
      <c r="AQ107" s="8"/>
      <c r="AR107" s="8"/>
      <c r="AS107" s="8"/>
      <c r="AT107" s="8"/>
      <c r="AU107" s="8"/>
      <c r="AV107" s="8"/>
      <c r="AX107" s="142">
        <v>114.54906858519939</v>
      </c>
    </row>
    <row r="108" spans="1:50" ht="51">
      <c r="B108" s="27">
        <v>104</v>
      </c>
      <c r="C108" s="31">
        <v>101</v>
      </c>
      <c r="D108" s="31">
        <v>656</v>
      </c>
      <c r="E108" s="82">
        <v>0.29375000000000001</v>
      </c>
      <c r="F108" s="80">
        <v>0.30902777777777779</v>
      </c>
      <c r="G108" s="81" t="s">
        <v>1823</v>
      </c>
      <c r="H108" s="31" t="s">
        <v>97</v>
      </c>
      <c r="I108" s="33">
        <v>15</v>
      </c>
      <c r="J108" s="34" t="s">
        <v>125</v>
      </c>
      <c r="K108" s="35">
        <v>208</v>
      </c>
      <c r="L108" s="36">
        <f>+K108*I108</f>
        <v>3120</v>
      </c>
      <c r="M108" s="37" t="s">
        <v>714</v>
      </c>
      <c r="N108" s="23" t="s">
        <v>1010</v>
      </c>
      <c r="O108" s="23">
        <v>17</v>
      </c>
      <c r="P108" s="23" t="s">
        <v>1832</v>
      </c>
      <c r="Q108" s="23">
        <v>24</v>
      </c>
      <c r="R108" s="23" t="s">
        <v>1853</v>
      </c>
      <c r="S108" s="24">
        <v>9</v>
      </c>
      <c r="T108" s="9" t="s">
        <v>1824</v>
      </c>
      <c r="U108" s="16" t="s">
        <v>1771</v>
      </c>
      <c r="V108" s="7">
        <v>1070</v>
      </c>
      <c r="W108" s="7" t="s">
        <v>1234</v>
      </c>
      <c r="X108" s="18"/>
      <c r="Y108" s="17"/>
      <c r="Z108" s="17"/>
      <c r="AA108" s="17"/>
      <c r="AB108" s="7" t="s">
        <v>1046</v>
      </c>
      <c r="AC108" s="8"/>
      <c r="AD108" s="8"/>
      <c r="AE108" s="8"/>
      <c r="AF108" s="8" t="s">
        <v>726</v>
      </c>
      <c r="AG108" s="8" t="s">
        <v>726</v>
      </c>
      <c r="AH108" s="8" t="s">
        <v>726</v>
      </c>
      <c r="AI108" s="8" t="s">
        <v>726</v>
      </c>
      <c r="AJ108" s="8" t="s">
        <v>726</v>
      </c>
      <c r="AK108" s="8" t="s">
        <v>726</v>
      </c>
      <c r="AL108" s="8" t="s">
        <v>726</v>
      </c>
      <c r="AM108" s="8"/>
      <c r="AN108" s="8"/>
      <c r="AO108" s="8"/>
      <c r="AP108" s="8"/>
      <c r="AQ108" s="8"/>
      <c r="AR108" s="8"/>
      <c r="AS108" s="8"/>
      <c r="AT108" s="8"/>
      <c r="AU108" s="8"/>
      <c r="AV108" s="8"/>
      <c r="AX108" s="142">
        <v>38.54</v>
      </c>
    </row>
    <row r="109" spans="1:50" ht="38.25">
      <c r="B109" s="27">
        <v>105</v>
      </c>
      <c r="C109" s="31">
        <v>101</v>
      </c>
      <c r="D109" s="31">
        <v>661</v>
      </c>
      <c r="E109" s="32">
        <v>0.57638888888888895</v>
      </c>
      <c r="F109" s="32">
        <v>0.58680555555555558</v>
      </c>
      <c r="G109" s="31" t="s">
        <v>292</v>
      </c>
      <c r="H109" s="31" t="s">
        <v>97</v>
      </c>
      <c r="I109" s="33">
        <v>15</v>
      </c>
      <c r="J109" s="34" t="s">
        <v>116</v>
      </c>
      <c r="K109" s="35">
        <v>208</v>
      </c>
      <c r="L109" s="36">
        <f>+K109*I109</f>
        <v>3120</v>
      </c>
      <c r="M109" s="37" t="s">
        <v>715</v>
      </c>
      <c r="N109" s="23" t="s">
        <v>876</v>
      </c>
      <c r="O109" s="23">
        <v>9</v>
      </c>
      <c r="P109" s="23" t="s">
        <v>1831</v>
      </c>
      <c r="Q109" s="23">
        <v>17</v>
      </c>
      <c r="S109" s="23"/>
      <c r="T109" s="7">
        <v>1070</v>
      </c>
      <c r="U109" s="7" t="s">
        <v>1234</v>
      </c>
      <c r="V109" s="7" t="s">
        <v>1284</v>
      </c>
      <c r="W109" s="7" t="s">
        <v>1285</v>
      </c>
      <c r="X109" s="18"/>
      <c r="Y109" s="17"/>
      <c r="Z109" s="17"/>
      <c r="AA109" s="17"/>
      <c r="AB109" s="7" t="s">
        <v>1046</v>
      </c>
      <c r="AC109" s="8"/>
      <c r="AD109" s="8"/>
      <c r="AE109" s="8"/>
      <c r="AF109" s="8" t="s">
        <v>726</v>
      </c>
      <c r="AG109" s="8" t="s">
        <v>726</v>
      </c>
      <c r="AH109" s="8" t="s">
        <v>726</v>
      </c>
      <c r="AI109" s="8" t="s">
        <v>726</v>
      </c>
      <c r="AJ109" s="8" t="s">
        <v>726</v>
      </c>
      <c r="AK109" s="8" t="s">
        <v>726</v>
      </c>
      <c r="AL109" s="8" t="s">
        <v>726</v>
      </c>
      <c r="AM109" s="8"/>
      <c r="AN109" s="8"/>
      <c r="AO109" s="8"/>
      <c r="AP109" s="8"/>
      <c r="AQ109" s="8"/>
      <c r="AR109" s="8"/>
      <c r="AS109" s="8"/>
      <c r="AT109" s="8"/>
      <c r="AU109" s="8"/>
      <c r="AV109" s="8"/>
      <c r="AX109" s="142">
        <v>30</v>
      </c>
    </row>
    <row r="110" spans="1:50" ht="38.25">
      <c r="B110" s="27">
        <v>106</v>
      </c>
      <c r="C110" s="31">
        <v>101</v>
      </c>
      <c r="D110" s="31">
        <v>662</v>
      </c>
      <c r="E110" s="32">
        <v>0.59027777777777779</v>
      </c>
      <c r="F110" s="32">
        <v>0.60069444444444442</v>
      </c>
      <c r="G110" s="31" t="s">
        <v>291</v>
      </c>
      <c r="H110" s="31" t="s">
        <v>97</v>
      </c>
      <c r="I110" s="33">
        <v>15</v>
      </c>
      <c r="J110" s="34" t="s">
        <v>116</v>
      </c>
      <c r="K110" s="35">
        <v>208</v>
      </c>
      <c r="L110" s="36">
        <f>+K110*I110</f>
        <v>3120</v>
      </c>
      <c r="M110" s="37" t="s">
        <v>715</v>
      </c>
      <c r="N110" s="23" t="s">
        <v>876</v>
      </c>
      <c r="O110" s="23">
        <v>9</v>
      </c>
      <c r="P110" s="23" t="s">
        <v>1831</v>
      </c>
      <c r="Q110" s="23">
        <v>17</v>
      </c>
      <c r="S110" s="23"/>
      <c r="T110" s="7" t="s">
        <v>1284</v>
      </c>
      <c r="U110" s="7" t="s">
        <v>1285</v>
      </c>
      <c r="V110" s="7">
        <v>1070</v>
      </c>
      <c r="W110" s="7" t="s">
        <v>1234</v>
      </c>
      <c r="X110" s="18"/>
      <c r="Y110" s="17"/>
      <c r="Z110" s="17"/>
      <c r="AA110" s="17"/>
      <c r="AB110" s="7" t="s">
        <v>1046</v>
      </c>
      <c r="AC110" s="8"/>
      <c r="AD110" s="8"/>
      <c r="AE110" s="8"/>
      <c r="AF110" s="8" t="s">
        <v>726</v>
      </c>
      <c r="AG110" s="8" t="s">
        <v>726</v>
      </c>
      <c r="AH110" s="8" t="s">
        <v>726</v>
      </c>
      <c r="AI110" s="8" t="s">
        <v>726</v>
      </c>
      <c r="AJ110" s="8" t="s">
        <v>726</v>
      </c>
      <c r="AK110" s="8" t="s">
        <v>726</v>
      </c>
      <c r="AL110" s="8" t="s">
        <v>726</v>
      </c>
      <c r="AM110" s="8"/>
      <c r="AN110" s="8"/>
      <c r="AO110" s="8"/>
      <c r="AP110" s="8"/>
      <c r="AQ110" s="8"/>
      <c r="AR110" s="8"/>
      <c r="AS110" s="8"/>
      <c r="AT110" s="8"/>
      <c r="AU110" s="8"/>
      <c r="AV110" s="8"/>
      <c r="AX110" s="142">
        <v>30</v>
      </c>
    </row>
    <row r="111" spans="1:50" ht="25.5">
      <c r="B111" s="27">
        <v>107</v>
      </c>
      <c r="C111" s="31">
        <v>102</v>
      </c>
      <c r="D111" s="31">
        <v>664</v>
      </c>
      <c r="E111" s="32">
        <v>0.25694444444444448</v>
      </c>
      <c r="F111" s="32">
        <v>0.2638888888888889</v>
      </c>
      <c r="G111" s="31" t="s">
        <v>326</v>
      </c>
      <c r="H111" s="31" t="s">
        <v>97</v>
      </c>
      <c r="I111" s="33">
        <v>5.3</v>
      </c>
      <c r="J111" s="34" t="s">
        <v>116</v>
      </c>
      <c r="K111" s="35">
        <v>208</v>
      </c>
      <c r="L111" s="36">
        <f>+K111*I111</f>
        <v>1102.3999999999999</v>
      </c>
      <c r="M111" s="37" t="s">
        <v>716</v>
      </c>
      <c r="N111" s="23" t="s">
        <v>854</v>
      </c>
      <c r="O111" s="23">
        <v>17</v>
      </c>
      <c r="P111" s="23" t="s">
        <v>1774</v>
      </c>
      <c r="Q111" s="23">
        <v>9</v>
      </c>
      <c r="S111" s="23"/>
      <c r="T111" s="7" t="s">
        <v>1286</v>
      </c>
      <c r="U111" s="7" t="s">
        <v>1287</v>
      </c>
      <c r="V111" s="7" t="s">
        <v>1288</v>
      </c>
      <c r="W111" s="7" t="s">
        <v>1289</v>
      </c>
      <c r="X111" s="18"/>
      <c r="Y111" s="17"/>
      <c r="Z111" s="17"/>
      <c r="AA111" s="17"/>
      <c r="AB111" s="7" t="s">
        <v>1046</v>
      </c>
      <c r="AC111" s="8"/>
      <c r="AD111" s="8"/>
      <c r="AE111" s="8"/>
      <c r="AF111" s="8" t="s">
        <v>726</v>
      </c>
      <c r="AG111" s="8" t="s">
        <v>726</v>
      </c>
      <c r="AH111" s="8" t="s">
        <v>726</v>
      </c>
      <c r="AI111" s="8" t="s">
        <v>726</v>
      </c>
      <c r="AJ111" s="8" t="s">
        <v>726</v>
      </c>
      <c r="AK111" s="8" t="s">
        <v>726</v>
      </c>
      <c r="AL111" s="8" t="s">
        <v>726</v>
      </c>
      <c r="AM111" s="8"/>
      <c r="AN111" s="8"/>
      <c r="AO111" s="8"/>
      <c r="AP111" s="8"/>
      <c r="AQ111" s="8"/>
      <c r="AR111" s="8"/>
      <c r="AS111" s="8"/>
      <c r="AT111" s="8"/>
      <c r="AU111" s="8"/>
      <c r="AV111" s="8"/>
      <c r="AX111" s="142">
        <v>20.27</v>
      </c>
    </row>
    <row r="112" spans="1:50" ht="38.25">
      <c r="A112" s="45"/>
      <c r="B112" s="27">
        <v>108</v>
      </c>
      <c r="C112" s="31">
        <v>102</v>
      </c>
      <c r="D112" s="54">
        <v>131</v>
      </c>
      <c r="E112" s="42">
        <v>0.2638888888888889</v>
      </c>
      <c r="F112" s="42">
        <v>0.27083333333333331</v>
      </c>
      <c r="G112" s="31" t="s">
        <v>434</v>
      </c>
      <c r="H112" s="31" t="s">
        <v>97</v>
      </c>
      <c r="I112" s="33">
        <v>5</v>
      </c>
      <c r="J112" s="34" t="s">
        <v>116</v>
      </c>
      <c r="K112" s="35">
        <v>208</v>
      </c>
      <c r="L112" s="36">
        <f>+K112*I112</f>
        <v>1040</v>
      </c>
      <c r="M112" s="37" t="s">
        <v>717</v>
      </c>
      <c r="N112" s="23" t="s">
        <v>886</v>
      </c>
      <c r="O112" s="23">
        <v>9</v>
      </c>
      <c r="P112" s="23" t="s">
        <v>889</v>
      </c>
      <c r="Q112" s="23">
        <v>9</v>
      </c>
      <c r="S112" s="23"/>
      <c r="T112" s="7" t="s">
        <v>1290</v>
      </c>
      <c r="U112" s="7" t="s">
        <v>1291</v>
      </c>
      <c r="V112" s="7" t="s">
        <v>1292</v>
      </c>
      <c r="W112" s="7" t="s">
        <v>1293</v>
      </c>
      <c r="X112" s="18"/>
      <c r="Y112" s="17"/>
      <c r="Z112" s="17"/>
      <c r="AA112" s="17"/>
      <c r="AB112" s="7" t="s">
        <v>1046</v>
      </c>
      <c r="AC112" s="8"/>
      <c r="AD112" s="8"/>
      <c r="AE112" s="8"/>
      <c r="AF112" s="8" t="s">
        <v>726</v>
      </c>
      <c r="AG112" s="8" t="s">
        <v>726</v>
      </c>
      <c r="AH112" s="8" t="s">
        <v>726</v>
      </c>
      <c r="AI112" s="8" t="s">
        <v>726</v>
      </c>
      <c r="AJ112" s="8" t="s">
        <v>726</v>
      </c>
      <c r="AK112" s="8" t="s">
        <v>726</v>
      </c>
      <c r="AL112" s="8" t="s">
        <v>726</v>
      </c>
      <c r="AM112" s="8"/>
      <c r="AN112" s="8"/>
      <c r="AO112" s="8"/>
      <c r="AP112" s="8"/>
      <c r="AQ112" s="8"/>
      <c r="AR112" s="8"/>
      <c r="AS112" s="8"/>
      <c r="AT112" s="8"/>
      <c r="AU112" s="8"/>
      <c r="AV112" s="8"/>
      <c r="AX112" s="142">
        <v>20</v>
      </c>
    </row>
    <row r="113" spans="1:50" ht="33.75">
      <c r="B113" s="27">
        <v>109</v>
      </c>
      <c r="C113" s="43">
        <v>102</v>
      </c>
      <c r="D113" s="34">
        <v>639</v>
      </c>
      <c r="E113" s="42">
        <v>0.27083333333333331</v>
      </c>
      <c r="F113" s="42">
        <v>0.29375000000000001</v>
      </c>
      <c r="G113" s="31" t="s">
        <v>266</v>
      </c>
      <c r="H113" s="31" t="s">
        <v>103</v>
      </c>
      <c r="I113" s="33">
        <v>22</v>
      </c>
      <c r="J113" s="34" t="s">
        <v>254</v>
      </c>
      <c r="K113" s="35">
        <v>174</v>
      </c>
      <c r="L113" s="36">
        <f>+K113*I113</f>
        <v>3828</v>
      </c>
      <c r="M113" s="37" t="s">
        <v>717</v>
      </c>
      <c r="N113" s="23" t="s">
        <v>968</v>
      </c>
      <c r="O113" s="49">
        <v>46</v>
      </c>
      <c r="P113" s="23" t="s">
        <v>1829</v>
      </c>
      <c r="Q113" s="49">
        <v>45</v>
      </c>
      <c r="S113" s="49"/>
      <c r="T113" s="7" t="s">
        <v>1292</v>
      </c>
      <c r="U113" s="7" t="s">
        <v>1294</v>
      </c>
      <c r="V113" s="7">
        <v>1084</v>
      </c>
      <c r="W113" s="7" t="s">
        <v>1295</v>
      </c>
      <c r="X113" s="18"/>
      <c r="Y113" s="17"/>
      <c r="Z113" s="17"/>
      <c r="AA113" s="17"/>
      <c r="AB113" s="7" t="s">
        <v>1042</v>
      </c>
      <c r="AC113" s="8"/>
      <c r="AD113" s="8"/>
      <c r="AE113" s="8"/>
      <c r="AF113" s="8" t="s">
        <v>726</v>
      </c>
      <c r="AG113" s="8" t="s">
        <v>726</v>
      </c>
      <c r="AH113" s="8" t="s">
        <v>726</v>
      </c>
      <c r="AI113" s="8" t="s">
        <v>726</v>
      </c>
      <c r="AJ113" s="8" t="s">
        <v>726</v>
      </c>
      <c r="AK113" s="8" t="s">
        <v>726</v>
      </c>
      <c r="AL113" s="8"/>
      <c r="AM113" s="8"/>
      <c r="AN113" s="8"/>
      <c r="AO113" s="8"/>
      <c r="AP113" s="8"/>
      <c r="AQ113" s="8"/>
      <c r="AR113" s="8"/>
      <c r="AS113" s="8"/>
      <c r="AT113" s="8"/>
      <c r="AU113" s="8"/>
      <c r="AV113" s="8"/>
      <c r="AX113" s="142">
        <v>83.965117663736891</v>
      </c>
    </row>
    <row r="114" spans="1:50" ht="33.75">
      <c r="B114" s="27">
        <v>110</v>
      </c>
      <c r="C114" s="31">
        <v>102</v>
      </c>
      <c r="D114" s="34">
        <v>131</v>
      </c>
      <c r="E114" s="32">
        <v>0.27986111111111112</v>
      </c>
      <c r="F114" s="32">
        <v>0.30624999999999997</v>
      </c>
      <c r="G114" s="31" t="s">
        <v>265</v>
      </c>
      <c r="H114" s="31" t="s">
        <v>103</v>
      </c>
      <c r="I114" s="33">
        <v>24</v>
      </c>
      <c r="J114" s="34" t="s">
        <v>264</v>
      </c>
      <c r="K114" s="35">
        <v>174</v>
      </c>
      <c r="L114" s="36">
        <f>+K114*I114</f>
        <v>4176</v>
      </c>
      <c r="M114" s="37" t="s">
        <v>717</v>
      </c>
      <c r="N114" s="23" t="s">
        <v>887</v>
      </c>
      <c r="O114" s="23">
        <v>47</v>
      </c>
      <c r="P114" s="23" t="s">
        <v>1146</v>
      </c>
      <c r="Q114" s="23">
        <v>45</v>
      </c>
      <c r="S114" s="23"/>
      <c r="T114" s="7" t="s">
        <v>1292</v>
      </c>
      <c r="U114" s="7" t="s">
        <v>1294</v>
      </c>
      <c r="V114" s="7">
        <v>1</v>
      </c>
      <c r="W114" s="7" t="s">
        <v>1236</v>
      </c>
      <c r="X114" s="18"/>
      <c r="Y114" s="17"/>
      <c r="Z114" s="17"/>
      <c r="AA114" s="17"/>
      <c r="AB114" s="7" t="s">
        <v>1042</v>
      </c>
      <c r="AC114" s="8"/>
      <c r="AD114" s="8"/>
      <c r="AE114" s="8"/>
      <c r="AF114" s="8" t="s">
        <v>726</v>
      </c>
      <c r="AG114" s="8" t="s">
        <v>726</v>
      </c>
      <c r="AH114" s="8" t="s">
        <v>726</v>
      </c>
      <c r="AI114" s="8" t="s">
        <v>726</v>
      </c>
      <c r="AJ114" s="8" t="s">
        <v>726</v>
      </c>
      <c r="AK114" s="8" t="s">
        <v>726</v>
      </c>
      <c r="AL114" s="8"/>
      <c r="AM114" s="8"/>
      <c r="AN114" s="8"/>
      <c r="AO114" s="8"/>
      <c r="AP114" s="8"/>
      <c r="AQ114" s="8"/>
      <c r="AR114" s="8"/>
      <c r="AS114" s="8"/>
      <c r="AT114" s="8"/>
      <c r="AU114" s="8"/>
      <c r="AV114" s="8"/>
      <c r="AX114" s="142">
        <v>161.41999999999999</v>
      </c>
    </row>
    <row r="115" spans="1:50" ht="42.75" customHeight="1">
      <c r="A115" s="83" t="s">
        <v>1970</v>
      </c>
      <c r="B115" s="84">
        <v>111</v>
      </c>
      <c r="C115" s="85">
        <v>102</v>
      </c>
      <c r="D115" s="85">
        <v>131</v>
      </c>
      <c r="E115" s="86">
        <v>0.28541666666666665</v>
      </c>
      <c r="F115" s="86">
        <v>0.3125</v>
      </c>
      <c r="G115" s="85" t="s">
        <v>1887</v>
      </c>
      <c r="H115" s="85" t="s">
        <v>103</v>
      </c>
      <c r="I115" s="87">
        <v>21</v>
      </c>
      <c r="J115" s="88">
        <v>55</v>
      </c>
      <c r="K115" s="94">
        <v>174</v>
      </c>
      <c r="L115" s="90">
        <f>+K115*I115</f>
        <v>3654</v>
      </c>
      <c r="M115" s="91" t="s">
        <v>1915</v>
      </c>
      <c r="N115" s="92" t="s">
        <v>892</v>
      </c>
      <c r="O115" s="117">
        <v>57</v>
      </c>
      <c r="P115" s="92" t="s">
        <v>1885</v>
      </c>
      <c r="Q115" s="92">
        <v>57</v>
      </c>
      <c r="R115" s="83"/>
      <c r="S115" s="104"/>
      <c r="T115" s="95">
        <v>6136</v>
      </c>
      <c r="U115" s="95" t="s">
        <v>1889</v>
      </c>
      <c r="V115" s="95">
        <v>6120</v>
      </c>
      <c r="W115" s="95" t="s">
        <v>1238</v>
      </c>
      <c r="X115" s="107"/>
      <c r="Y115" s="105">
        <v>44865</v>
      </c>
      <c r="Z115" s="105"/>
      <c r="AA115" s="105"/>
      <c r="AB115" s="95" t="s">
        <v>1042</v>
      </c>
      <c r="AC115" s="106"/>
      <c r="AD115" s="106"/>
      <c r="AE115" s="106"/>
      <c r="AF115" s="106" t="s">
        <v>726</v>
      </c>
      <c r="AG115" s="106" t="s">
        <v>726</v>
      </c>
      <c r="AH115" s="106" t="s">
        <v>726</v>
      </c>
      <c r="AI115" s="106" t="s">
        <v>726</v>
      </c>
      <c r="AJ115" s="106" t="s">
        <v>726</v>
      </c>
      <c r="AK115" s="106" t="s">
        <v>726</v>
      </c>
      <c r="AL115" s="106"/>
      <c r="AM115" s="106"/>
      <c r="AN115" s="106"/>
      <c r="AO115" s="106"/>
      <c r="AP115" s="106"/>
      <c r="AQ115" s="106"/>
      <c r="AR115" s="106"/>
      <c r="AS115" s="106"/>
      <c r="AT115" s="106"/>
      <c r="AU115" s="106"/>
      <c r="AV115" s="106"/>
    </row>
    <row r="116" spans="1:50" ht="33.75">
      <c r="B116" s="27">
        <v>112</v>
      </c>
      <c r="C116" s="43">
        <v>102</v>
      </c>
      <c r="D116" s="34">
        <v>640</v>
      </c>
      <c r="E116" s="32">
        <v>0.3125</v>
      </c>
      <c r="F116" s="32">
        <v>0.34375</v>
      </c>
      <c r="G116" s="31" t="s">
        <v>258</v>
      </c>
      <c r="H116" s="31" t="s">
        <v>97</v>
      </c>
      <c r="I116" s="33">
        <v>26</v>
      </c>
      <c r="J116" s="34" t="s">
        <v>254</v>
      </c>
      <c r="K116" s="35">
        <v>208</v>
      </c>
      <c r="L116" s="36">
        <f>+K116*I116</f>
        <v>5408</v>
      </c>
      <c r="M116" s="37" t="s">
        <v>717</v>
      </c>
      <c r="N116" s="23" t="s">
        <v>968</v>
      </c>
      <c r="O116" s="49">
        <v>46</v>
      </c>
      <c r="P116" s="23" t="s">
        <v>1829</v>
      </c>
      <c r="Q116" s="49">
        <v>45</v>
      </c>
      <c r="S116" s="49"/>
      <c r="T116" s="7">
        <v>1080</v>
      </c>
      <c r="U116" s="7" t="s">
        <v>1296</v>
      </c>
      <c r="V116" s="7">
        <v>954</v>
      </c>
      <c r="W116" s="7" t="s">
        <v>1297</v>
      </c>
      <c r="X116" s="18"/>
      <c r="Y116" s="17"/>
      <c r="Z116" s="17"/>
      <c r="AA116" s="17"/>
      <c r="AB116" s="7" t="s">
        <v>1046</v>
      </c>
      <c r="AC116" s="8"/>
      <c r="AD116" s="8"/>
      <c r="AE116" s="8"/>
      <c r="AF116" s="8" t="s">
        <v>726</v>
      </c>
      <c r="AG116" s="8" t="s">
        <v>726</v>
      </c>
      <c r="AH116" s="8" t="s">
        <v>726</v>
      </c>
      <c r="AI116" s="8" t="s">
        <v>726</v>
      </c>
      <c r="AJ116" s="8" t="s">
        <v>726</v>
      </c>
      <c r="AK116" s="8" t="s">
        <v>726</v>
      </c>
      <c r="AL116" s="8" t="s">
        <v>726</v>
      </c>
      <c r="AM116" s="8"/>
      <c r="AN116" s="8"/>
      <c r="AO116" s="8"/>
      <c r="AP116" s="8"/>
      <c r="AQ116" s="8"/>
      <c r="AR116" s="8"/>
      <c r="AS116" s="8"/>
      <c r="AT116" s="8"/>
      <c r="AU116" s="8"/>
      <c r="AV116" s="8"/>
      <c r="AX116" s="142">
        <v>99.231502693507238</v>
      </c>
    </row>
    <row r="117" spans="1:50" ht="33.75">
      <c r="B117" s="27">
        <v>113</v>
      </c>
      <c r="C117" s="31">
        <v>102</v>
      </c>
      <c r="D117" s="34">
        <v>137</v>
      </c>
      <c r="E117" s="32">
        <v>0.35833333333333334</v>
      </c>
      <c r="F117" s="32">
        <v>0.40763888888888888</v>
      </c>
      <c r="G117" s="31" t="s">
        <v>263</v>
      </c>
      <c r="H117" s="31" t="s">
        <v>157</v>
      </c>
      <c r="I117" s="33">
        <v>37</v>
      </c>
      <c r="J117" s="34" t="s">
        <v>99</v>
      </c>
      <c r="K117" s="35">
        <v>58</v>
      </c>
      <c r="L117" s="36">
        <f>+K117*I117</f>
        <v>2146</v>
      </c>
      <c r="M117" s="37" t="s">
        <v>717</v>
      </c>
      <c r="N117" s="23" t="s">
        <v>887</v>
      </c>
      <c r="O117" s="23">
        <v>47</v>
      </c>
      <c r="P117" s="23" t="s">
        <v>888</v>
      </c>
      <c r="Q117" s="23">
        <v>24</v>
      </c>
      <c r="S117" s="23"/>
      <c r="T117" s="7">
        <v>1082</v>
      </c>
      <c r="U117" s="7" t="s">
        <v>1298</v>
      </c>
      <c r="V117" s="7">
        <v>1</v>
      </c>
      <c r="W117" s="7" t="s">
        <v>1236</v>
      </c>
      <c r="X117" s="17"/>
      <c r="Y117" s="17"/>
      <c r="Z117" s="17"/>
      <c r="AA117" s="17"/>
      <c r="AB117" s="8" t="s">
        <v>1055</v>
      </c>
      <c r="AC117" s="8" t="s">
        <v>726</v>
      </c>
      <c r="AD117" s="8" t="s">
        <v>726</v>
      </c>
      <c r="AE117" s="8"/>
      <c r="AF117" s="8"/>
      <c r="AG117" s="8"/>
      <c r="AH117" s="8"/>
      <c r="AI117" s="8"/>
      <c r="AJ117" s="8"/>
      <c r="AK117" s="8"/>
      <c r="AL117" s="8"/>
      <c r="AM117" s="8" t="s">
        <v>726</v>
      </c>
      <c r="AN117" s="8"/>
      <c r="AO117" s="8"/>
      <c r="AP117" s="8"/>
      <c r="AQ117" s="8"/>
      <c r="AR117" s="8"/>
      <c r="AS117" s="8"/>
      <c r="AT117" s="8"/>
      <c r="AU117" s="8"/>
      <c r="AV117" s="8"/>
      <c r="AX117" s="142">
        <v>123.79448275862069</v>
      </c>
    </row>
    <row r="118" spans="1:50" ht="25.5">
      <c r="B118" s="27">
        <v>114</v>
      </c>
      <c r="C118" s="38">
        <v>102</v>
      </c>
      <c r="D118" s="38">
        <v>142</v>
      </c>
      <c r="E118" s="39">
        <v>0.51388888888888895</v>
      </c>
      <c r="F118" s="39">
        <v>0.59722222222222221</v>
      </c>
      <c r="G118" s="50" t="s">
        <v>930</v>
      </c>
      <c r="H118" s="31" t="s">
        <v>546</v>
      </c>
      <c r="I118" s="38">
        <v>62</v>
      </c>
      <c r="J118" s="41">
        <v>30</v>
      </c>
      <c r="K118" s="35">
        <v>13</v>
      </c>
      <c r="L118" s="36">
        <f>+K118*I118</f>
        <v>806</v>
      </c>
      <c r="M118" s="37" t="s">
        <v>718</v>
      </c>
      <c r="N118" s="23" t="s">
        <v>989</v>
      </c>
      <c r="O118" s="23">
        <v>45</v>
      </c>
      <c r="P118" s="23" t="s">
        <v>927</v>
      </c>
      <c r="Q118" s="23">
        <v>48</v>
      </c>
      <c r="R118" s="79" t="s">
        <v>1902</v>
      </c>
      <c r="S118" s="111">
        <v>45</v>
      </c>
      <c r="T118" s="7">
        <v>1</v>
      </c>
      <c r="U118" s="7" t="s">
        <v>1233</v>
      </c>
      <c r="V118" s="7">
        <v>1070</v>
      </c>
      <c r="W118" s="7" t="s">
        <v>1234</v>
      </c>
      <c r="X118" s="17"/>
      <c r="Y118" s="18"/>
      <c r="Z118" s="18"/>
      <c r="AA118" s="18"/>
      <c r="AB118" s="7" t="s">
        <v>1044</v>
      </c>
      <c r="AC118" s="8"/>
      <c r="AD118" s="8" t="s">
        <v>726</v>
      </c>
      <c r="AE118" s="8"/>
      <c r="AF118" s="8"/>
      <c r="AG118" s="8"/>
      <c r="AH118" s="8"/>
      <c r="AI118" s="8"/>
      <c r="AJ118" s="8"/>
      <c r="AK118" s="8"/>
      <c r="AL118" s="8"/>
      <c r="AM118" s="8" t="s">
        <v>726</v>
      </c>
      <c r="AN118" s="8"/>
      <c r="AO118" s="8"/>
      <c r="AP118" s="8"/>
      <c r="AQ118" s="8"/>
      <c r="AR118" s="8"/>
      <c r="AS118" s="8"/>
      <c r="AT118" s="8"/>
      <c r="AU118" s="8"/>
      <c r="AV118" s="8"/>
      <c r="AX118" s="142">
        <v>175</v>
      </c>
    </row>
    <row r="119" spans="1:50" ht="45">
      <c r="B119" s="27">
        <v>115</v>
      </c>
      <c r="C119" s="31">
        <v>102</v>
      </c>
      <c r="D119" s="31">
        <v>145</v>
      </c>
      <c r="E119" s="32">
        <v>0.59097222222222223</v>
      </c>
      <c r="F119" s="32">
        <v>0.60277777777777775</v>
      </c>
      <c r="G119" s="31" t="s">
        <v>663</v>
      </c>
      <c r="H119" s="31" t="s">
        <v>664</v>
      </c>
      <c r="I119" s="33">
        <v>8</v>
      </c>
      <c r="J119" s="34" t="s">
        <v>167</v>
      </c>
      <c r="K119" s="35">
        <v>70</v>
      </c>
      <c r="L119" s="36">
        <f>+K119*I119</f>
        <v>560</v>
      </c>
      <c r="M119" s="37" t="s">
        <v>719</v>
      </c>
      <c r="N119" s="23" t="s">
        <v>829</v>
      </c>
      <c r="O119" s="23">
        <v>9</v>
      </c>
      <c r="P119" s="23" t="s">
        <v>1157</v>
      </c>
      <c r="Q119" s="23">
        <v>9</v>
      </c>
      <c r="R119" s="23"/>
      <c r="S119" s="23"/>
      <c r="T119" s="7">
        <v>1084</v>
      </c>
      <c r="U119" s="7" t="s">
        <v>1295</v>
      </c>
      <c r="V119" s="7">
        <v>1082</v>
      </c>
      <c r="W119" s="7" t="s">
        <v>1298</v>
      </c>
      <c r="X119" s="18"/>
      <c r="Y119" s="17"/>
      <c r="Z119" s="17"/>
      <c r="AA119" s="17"/>
      <c r="AB119" s="7" t="s">
        <v>1056</v>
      </c>
      <c r="AC119" s="8"/>
      <c r="AD119" s="8"/>
      <c r="AE119" s="8"/>
      <c r="AF119" s="8" t="s">
        <v>726</v>
      </c>
      <c r="AG119" s="8"/>
      <c r="AH119" s="8" t="s">
        <v>726</v>
      </c>
      <c r="AI119" s="8" t="s">
        <v>726</v>
      </c>
      <c r="AJ119" s="8"/>
      <c r="AK119" s="8"/>
      <c r="AL119" s="8"/>
      <c r="AM119" s="8"/>
      <c r="AN119" s="8"/>
      <c r="AO119" s="8"/>
      <c r="AP119" s="8"/>
      <c r="AQ119" s="8"/>
      <c r="AR119" s="8"/>
      <c r="AS119" s="8"/>
      <c r="AT119" s="8"/>
      <c r="AU119" s="8"/>
      <c r="AV119" s="8"/>
      <c r="AX119" s="142">
        <v>45</v>
      </c>
    </row>
    <row r="120" spans="1:50" ht="25.5">
      <c r="B120" s="27">
        <v>116</v>
      </c>
      <c r="C120" s="31">
        <v>102</v>
      </c>
      <c r="D120" s="31">
        <v>665</v>
      </c>
      <c r="E120" s="32">
        <v>0.60555555555555551</v>
      </c>
      <c r="F120" s="42">
        <v>0.61875000000000002</v>
      </c>
      <c r="G120" s="31" t="s">
        <v>326</v>
      </c>
      <c r="H120" s="31" t="s">
        <v>103</v>
      </c>
      <c r="I120" s="33">
        <v>7.3</v>
      </c>
      <c r="J120" s="34" t="s">
        <v>116</v>
      </c>
      <c r="K120" s="35">
        <v>174</v>
      </c>
      <c r="L120" s="36">
        <f>+K120*I120</f>
        <v>1270.2</v>
      </c>
      <c r="M120" s="37" t="s">
        <v>716</v>
      </c>
      <c r="N120" s="23" t="s">
        <v>854</v>
      </c>
      <c r="O120" s="23">
        <v>17</v>
      </c>
      <c r="P120" s="23" t="s">
        <v>1774</v>
      </c>
      <c r="Q120" s="23">
        <v>9</v>
      </c>
      <c r="S120" s="23"/>
      <c r="T120" s="7">
        <v>1081</v>
      </c>
      <c r="U120" s="7" t="s">
        <v>1289</v>
      </c>
      <c r="V120" s="7" t="s">
        <v>1299</v>
      </c>
      <c r="W120" s="7" t="s">
        <v>1300</v>
      </c>
      <c r="X120" s="18"/>
      <c r="Y120" s="17"/>
      <c r="Z120" s="17"/>
      <c r="AA120" s="17"/>
      <c r="AB120" s="7" t="s">
        <v>1042</v>
      </c>
      <c r="AC120" s="8"/>
      <c r="AD120" s="8"/>
      <c r="AE120" s="8"/>
      <c r="AF120" s="8" t="s">
        <v>726</v>
      </c>
      <c r="AG120" s="8" t="s">
        <v>726</v>
      </c>
      <c r="AH120" s="8" t="s">
        <v>726</v>
      </c>
      <c r="AI120" s="8" t="s">
        <v>726</v>
      </c>
      <c r="AJ120" s="8" t="s">
        <v>726</v>
      </c>
      <c r="AK120" s="8" t="s">
        <v>726</v>
      </c>
      <c r="AL120" s="8"/>
      <c r="AM120" s="8"/>
      <c r="AN120" s="8"/>
      <c r="AO120" s="8"/>
      <c r="AP120" s="8"/>
      <c r="AQ120" s="8"/>
      <c r="AR120" s="8"/>
      <c r="AS120" s="8"/>
      <c r="AT120" s="8"/>
      <c r="AU120" s="8"/>
      <c r="AV120" s="8"/>
      <c r="AX120" s="142">
        <v>14.6</v>
      </c>
    </row>
    <row r="121" spans="1:50" ht="33.75">
      <c r="B121" s="27">
        <v>117</v>
      </c>
      <c r="C121" s="31">
        <v>102</v>
      </c>
      <c r="D121" s="34">
        <v>176</v>
      </c>
      <c r="E121" s="32">
        <v>0.60555555555555551</v>
      </c>
      <c r="F121" s="32">
        <v>0.61805555555555558</v>
      </c>
      <c r="G121" s="31" t="s">
        <v>420</v>
      </c>
      <c r="H121" s="31" t="s">
        <v>103</v>
      </c>
      <c r="I121" s="33">
        <v>10</v>
      </c>
      <c r="J121" s="34" t="s">
        <v>167</v>
      </c>
      <c r="K121" s="35">
        <v>174</v>
      </c>
      <c r="L121" s="36">
        <f>+K121*I121</f>
        <v>1740</v>
      </c>
      <c r="M121" s="37" t="s">
        <v>717</v>
      </c>
      <c r="N121" s="23" t="s">
        <v>968</v>
      </c>
      <c r="O121" s="49">
        <v>46</v>
      </c>
      <c r="P121" s="23" t="s">
        <v>887</v>
      </c>
      <c r="Q121" s="49">
        <v>47</v>
      </c>
      <c r="R121" s="23" t="s">
        <v>888</v>
      </c>
      <c r="S121" s="24">
        <v>24</v>
      </c>
      <c r="T121" s="7">
        <v>1081</v>
      </c>
      <c r="U121" s="7" t="s">
        <v>1289</v>
      </c>
      <c r="V121" s="7">
        <v>1084</v>
      </c>
      <c r="W121" s="7" t="s">
        <v>1295</v>
      </c>
      <c r="X121" s="18"/>
      <c r="Y121" s="17"/>
      <c r="Z121" s="17"/>
      <c r="AA121" s="17"/>
      <c r="AB121" s="7" t="s">
        <v>1042</v>
      </c>
      <c r="AC121" s="8"/>
      <c r="AD121" s="8"/>
      <c r="AE121" s="8"/>
      <c r="AF121" s="8" t="s">
        <v>726</v>
      </c>
      <c r="AG121" s="8" t="s">
        <v>726</v>
      </c>
      <c r="AH121" s="8" t="s">
        <v>726</v>
      </c>
      <c r="AI121" s="8" t="s">
        <v>726</v>
      </c>
      <c r="AJ121" s="8" t="s">
        <v>726</v>
      </c>
      <c r="AK121" s="8" t="s">
        <v>726</v>
      </c>
      <c r="AL121" s="8"/>
      <c r="AM121" s="8"/>
      <c r="AN121" s="8"/>
      <c r="AO121" s="8"/>
      <c r="AP121" s="8"/>
      <c r="AQ121" s="8"/>
      <c r="AR121" s="8"/>
      <c r="AS121" s="8"/>
      <c r="AT121" s="8"/>
      <c r="AU121" s="8"/>
      <c r="AV121" s="8"/>
      <c r="AX121" s="142">
        <v>20</v>
      </c>
    </row>
    <row r="122" spans="1:50" ht="33.75">
      <c r="B122" s="27">
        <v>118</v>
      </c>
      <c r="C122" s="38">
        <v>102</v>
      </c>
      <c r="D122" s="38">
        <v>538</v>
      </c>
      <c r="E122" s="39">
        <v>0.64374999999999993</v>
      </c>
      <c r="F122" s="39">
        <v>0.69236111111111109</v>
      </c>
      <c r="G122" s="40" t="s">
        <v>22</v>
      </c>
      <c r="H122" s="40" t="s">
        <v>267</v>
      </c>
      <c r="I122" s="38">
        <v>35</v>
      </c>
      <c r="J122" s="41">
        <v>19</v>
      </c>
      <c r="K122" s="35">
        <v>55</v>
      </c>
      <c r="L122" s="36">
        <f>+K122*I122</f>
        <v>1925</v>
      </c>
      <c r="M122" s="37" t="s">
        <v>717</v>
      </c>
      <c r="N122" s="23" t="s">
        <v>888</v>
      </c>
      <c r="O122" s="23">
        <v>24</v>
      </c>
      <c r="P122" s="23" t="s">
        <v>1775</v>
      </c>
      <c r="Q122" s="23">
        <v>21</v>
      </c>
      <c r="R122" s="23" t="s">
        <v>887</v>
      </c>
      <c r="S122" s="24">
        <v>47</v>
      </c>
      <c r="T122" s="7">
        <v>1</v>
      </c>
      <c r="U122" s="7" t="s">
        <v>1233</v>
      </c>
      <c r="V122" s="7">
        <v>1082</v>
      </c>
      <c r="W122" s="7" t="s">
        <v>1298</v>
      </c>
      <c r="X122" s="17"/>
      <c r="Y122" s="18"/>
      <c r="Z122" s="18"/>
      <c r="AA122" s="18"/>
      <c r="AB122" s="7" t="s">
        <v>1049</v>
      </c>
      <c r="AC122" s="8"/>
      <c r="AD122" s="8" t="s">
        <v>726</v>
      </c>
      <c r="AE122" s="8" t="s">
        <v>726</v>
      </c>
      <c r="AF122" s="8"/>
      <c r="AG122" s="8" t="s">
        <v>726</v>
      </c>
      <c r="AH122" s="8" t="s">
        <v>726</v>
      </c>
      <c r="AI122" s="8" t="s">
        <v>726</v>
      </c>
      <c r="AJ122" s="8" t="s">
        <v>726</v>
      </c>
      <c r="AK122" s="8" t="s">
        <v>726</v>
      </c>
      <c r="AL122" s="8"/>
      <c r="AM122" s="8"/>
      <c r="AN122" s="8"/>
      <c r="AO122" s="8"/>
      <c r="AP122" s="8"/>
      <c r="AQ122" s="8"/>
      <c r="AR122" s="8"/>
      <c r="AS122" s="8"/>
      <c r="AT122" s="8"/>
      <c r="AU122" s="8"/>
      <c r="AV122" s="8"/>
      <c r="AX122" s="142">
        <v>70</v>
      </c>
    </row>
    <row r="123" spans="1:50" ht="33.75">
      <c r="B123" s="27">
        <v>119</v>
      </c>
      <c r="C123" s="31">
        <v>102</v>
      </c>
      <c r="D123" s="34">
        <v>185</v>
      </c>
      <c r="E123" s="42">
        <v>0.65625</v>
      </c>
      <c r="F123" s="42">
        <v>0.71458333333333324</v>
      </c>
      <c r="G123" s="31" t="s">
        <v>255</v>
      </c>
      <c r="H123" s="31" t="s">
        <v>194</v>
      </c>
      <c r="I123" s="33">
        <v>51</v>
      </c>
      <c r="J123" s="34" t="s">
        <v>254</v>
      </c>
      <c r="K123" s="35">
        <f>34+34+36+33</f>
        <v>137</v>
      </c>
      <c r="L123" s="36">
        <f>+K123*I123</f>
        <v>6987</v>
      </c>
      <c r="M123" s="37" t="s">
        <v>717</v>
      </c>
      <c r="N123" s="23" t="s">
        <v>968</v>
      </c>
      <c r="O123" s="49">
        <v>46</v>
      </c>
      <c r="P123" s="23" t="s">
        <v>887</v>
      </c>
      <c r="Q123" s="49">
        <v>47</v>
      </c>
      <c r="S123" s="49"/>
      <c r="T123" s="7">
        <v>1190</v>
      </c>
      <c r="U123" s="7" t="s">
        <v>1301</v>
      </c>
      <c r="V123" s="7" t="s">
        <v>1302</v>
      </c>
      <c r="W123" s="7" t="s">
        <v>1303</v>
      </c>
      <c r="X123" s="18"/>
      <c r="Y123" s="17"/>
      <c r="Z123" s="17"/>
      <c r="AA123" s="17"/>
      <c r="AB123" s="7" t="s">
        <v>1045</v>
      </c>
      <c r="AC123" s="8"/>
      <c r="AD123" s="8"/>
      <c r="AE123" s="8"/>
      <c r="AF123" s="8" t="s">
        <v>726</v>
      </c>
      <c r="AG123" s="8" t="s">
        <v>726</v>
      </c>
      <c r="AH123" s="8" t="s">
        <v>726</v>
      </c>
      <c r="AI123" s="8" t="s">
        <v>726</v>
      </c>
      <c r="AJ123" s="8" t="s">
        <v>726</v>
      </c>
      <c r="AK123" s="8"/>
      <c r="AL123" s="8"/>
      <c r="AM123" s="8"/>
      <c r="AN123" s="8"/>
      <c r="AO123" s="8"/>
      <c r="AP123" s="8"/>
      <c r="AQ123" s="8"/>
      <c r="AR123" s="8"/>
      <c r="AS123" s="8"/>
      <c r="AT123" s="8"/>
      <c r="AU123" s="8"/>
      <c r="AV123" s="8"/>
      <c r="AX123" s="142">
        <v>153</v>
      </c>
    </row>
    <row r="124" spans="1:50" ht="25.5">
      <c r="B124" s="27">
        <v>120</v>
      </c>
      <c r="C124" s="38">
        <v>102</v>
      </c>
      <c r="D124" s="38">
        <v>147</v>
      </c>
      <c r="E124" s="39">
        <v>0.70833333333333337</v>
      </c>
      <c r="F124" s="39">
        <v>0.79861111111111116</v>
      </c>
      <c r="G124" s="40" t="s">
        <v>23</v>
      </c>
      <c r="H124" s="31" t="s">
        <v>546</v>
      </c>
      <c r="I124" s="38">
        <v>62</v>
      </c>
      <c r="J124" s="41">
        <v>30</v>
      </c>
      <c r="K124" s="35">
        <v>13</v>
      </c>
      <c r="L124" s="36">
        <f>+K124*I124</f>
        <v>806</v>
      </c>
      <c r="M124" s="37" t="s">
        <v>718</v>
      </c>
      <c r="N124" s="23" t="s">
        <v>989</v>
      </c>
      <c r="O124" s="23">
        <v>45</v>
      </c>
      <c r="P124" s="23" t="s">
        <v>927</v>
      </c>
      <c r="Q124" s="23">
        <v>48</v>
      </c>
      <c r="R124" s="79" t="s">
        <v>1902</v>
      </c>
      <c r="S124" s="111">
        <v>45</v>
      </c>
      <c r="T124" s="7">
        <v>1070</v>
      </c>
      <c r="U124" s="7" t="s">
        <v>1234</v>
      </c>
      <c r="V124" s="7">
        <v>1</v>
      </c>
      <c r="W124" s="7" t="s">
        <v>1236</v>
      </c>
      <c r="X124" s="17"/>
      <c r="Y124" s="18"/>
      <c r="Z124" s="18"/>
      <c r="AA124" s="18"/>
      <c r="AB124" s="7" t="s">
        <v>1044</v>
      </c>
      <c r="AC124" s="8"/>
      <c r="AD124" s="8" t="s">
        <v>726</v>
      </c>
      <c r="AE124" s="8"/>
      <c r="AF124" s="8"/>
      <c r="AG124" s="8"/>
      <c r="AH124" s="8"/>
      <c r="AI124" s="8"/>
      <c r="AJ124" s="8"/>
      <c r="AK124" s="8"/>
      <c r="AL124" s="8"/>
      <c r="AM124" s="8" t="s">
        <v>726</v>
      </c>
      <c r="AN124" s="8"/>
      <c r="AO124" s="8"/>
      <c r="AP124" s="8"/>
      <c r="AQ124" s="8"/>
      <c r="AR124" s="8"/>
      <c r="AS124" s="8"/>
      <c r="AT124" s="8"/>
      <c r="AU124" s="8"/>
      <c r="AV124" s="8"/>
      <c r="AX124" s="142">
        <v>175</v>
      </c>
    </row>
    <row r="125" spans="1:50" ht="25.5">
      <c r="B125" s="27">
        <v>121</v>
      </c>
      <c r="C125" s="31">
        <v>103</v>
      </c>
      <c r="D125" s="31">
        <v>928</v>
      </c>
      <c r="E125" s="32">
        <v>0.2590277777777778</v>
      </c>
      <c r="F125" s="32">
        <v>0.27083333333333331</v>
      </c>
      <c r="G125" s="31" t="s">
        <v>632</v>
      </c>
      <c r="H125" s="31" t="s">
        <v>103</v>
      </c>
      <c r="I125" s="33">
        <v>13.3</v>
      </c>
      <c r="J125" s="34" t="s">
        <v>183</v>
      </c>
      <c r="K125" s="35">
        <v>174</v>
      </c>
      <c r="L125" s="36">
        <f>+K125*I125</f>
        <v>2314.2000000000003</v>
      </c>
      <c r="M125" s="37" t="s">
        <v>720</v>
      </c>
      <c r="N125" s="23" t="s">
        <v>921</v>
      </c>
      <c r="O125" s="49">
        <v>57</v>
      </c>
      <c r="P125" s="49" t="s">
        <v>1776</v>
      </c>
      <c r="Q125" s="49">
        <v>54</v>
      </c>
      <c r="R125" s="23" t="s">
        <v>1855</v>
      </c>
      <c r="S125" s="24">
        <v>55</v>
      </c>
      <c r="T125" s="7" t="s">
        <v>1304</v>
      </c>
      <c r="U125" s="7" t="s">
        <v>1305</v>
      </c>
      <c r="V125" s="7" t="s">
        <v>1306</v>
      </c>
      <c r="W125" s="7" t="s">
        <v>1307</v>
      </c>
      <c r="X125" s="18"/>
      <c r="Y125" s="17"/>
      <c r="Z125" s="17"/>
      <c r="AA125" s="17"/>
      <c r="AB125" s="7" t="s">
        <v>1042</v>
      </c>
      <c r="AC125" s="8"/>
      <c r="AD125" s="8"/>
      <c r="AE125" s="8"/>
      <c r="AF125" s="8" t="s">
        <v>726</v>
      </c>
      <c r="AG125" s="8" t="s">
        <v>726</v>
      </c>
      <c r="AH125" s="8" t="s">
        <v>726</v>
      </c>
      <c r="AI125" s="8" t="s">
        <v>726</v>
      </c>
      <c r="AJ125" s="8" t="s">
        <v>726</v>
      </c>
      <c r="AK125" s="8" t="s">
        <v>726</v>
      </c>
      <c r="AL125" s="8"/>
      <c r="AM125" s="8"/>
      <c r="AN125" s="8"/>
      <c r="AO125" s="8"/>
      <c r="AP125" s="8"/>
      <c r="AQ125" s="8"/>
      <c r="AR125" s="8"/>
      <c r="AS125" s="8"/>
      <c r="AT125" s="8"/>
      <c r="AU125" s="8"/>
      <c r="AV125" s="8"/>
      <c r="AX125" s="142">
        <v>39.9</v>
      </c>
    </row>
    <row r="126" spans="1:50" ht="25.5">
      <c r="B126" s="27">
        <v>122</v>
      </c>
      <c r="C126" s="31">
        <v>103</v>
      </c>
      <c r="D126" s="31">
        <v>101</v>
      </c>
      <c r="E126" s="32">
        <v>0.2638888888888889</v>
      </c>
      <c r="F126" s="32">
        <v>0.2673611111111111</v>
      </c>
      <c r="G126" s="31" t="s">
        <v>303</v>
      </c>
      <c r="H126" s="31" t="s">
        <v>477</v>
      </c>
      <c r="I126" s="33">
        <v>2.5</v>
      </c>
      <c r="J126" s="34" t="s">
        <v>269</v>
      </c>
      <c r="K126" s="35">
        <v>240</v>
      </c>
      <c r="L126" s="36">
        <f>+K126*I126</f>
        <v>600</v>
      </c>
      <c r="M126" s="37" t="s">
        <v>721</v>
      </c>
      <c r="N126" s="23" t="s">
        <v>872</v>
      </c>
      <c r="O126" s="23">
        <v>9</v>
      </c>
      <c r="P126" s="23" t="s">
        <v>967</v>
      </c>
      <c r="Q126" s="23">
        <v>18</v>
      </c>
      <c r="S126" s="23"/>
      <c r="T126" s="7">
        <v>1126</v>
      </c>
      <c r="U126" s="7" t="s">
        <v>1308</v>
      </c>
      <c r="V126" s="7">
        <v>1122</v>
      </c>
      <c r="W126" s="7" t="s">
        <v>1237</v>
      </c>
      <c r="X126" s="18"/>
      <c r="Y126" s="17"/>
      <c r="Z126" s="18"/>
      <c r="AA126" s="18"/>
      <c r="AB126" s="7" t="s">
        <v>1052</v>
      </c>
      <c r="AC126" s="8" t="s">
        <v>726</v>
      </c>
      <c r="AD126" s="8"/>
      <c r="AE126" s="8" t="s">
        <v>726</v>
      </c>
      <c r="AF126" s="8"/>
      <c r="AG126" s="8" t="s">
        <v>726</v>
      </c>
      <c r="AH126" s="8" t="s">
        <v>726</v>
      </c>
      <c r="AI126" s="8" t="s">
        <v>726</v>
      </c>
      <c r="AJ126" s="8" t="s">
        <v>726</v>
      </c>
      <c r="AK126" s="8" t="s">
        <v>726</v>
      </c>
      <c r="AL126" s="8" t="s">
        <v>726</v>
      </c>
      <c r="AM126" s="8"/>
      <c r="AN126" s="8"/>
      <c r="AO126" s="8"/>
      <c r="AP126" s="8"/>
      <c r="AQ126" s="8"/>
      <c r="AR126" s="8"/>
      <c r="AS126" s="8"/>
      <c r="AT126" s="8"/>
      <c r="AU126" s="8"/>
      <c r="AV126" s="8"/>
      <c r="AX126" s="142">
        <v>20.68</v>
      </c>
    </row>
    <row r="127" spans="1:50" ht="38.25">
      <c r="B127" s="27">
        <v>123</v>
      </c>
      <c r="C127" s="31">
        <v>103</v>
      </c>
      <c r="D127" s="31">
        <v>101</v>
      </c>
      <c r="E127" s="42">
        <v>0.27916666666666667</v>
      </c>
      <c r="F127" s="32">
        <v>0.32083333333333336</v>
      </c>
      <c r="G127" s="31" t="s">
        <v>184</v>
      </c>
      <c r="H127" s="31" t="s">
        <v>103</v>
      </c>
      <c r="I127" s="33">
        <v>31</v>
      </c>
      <c r="J127" s="34" t="s">
        <v>183</v>
      </c>
      <c r="K127" s="35">
        <v>174</v>
      </c>
      <c r="L127" s="36">
        <f>+K127*I127</f>
        <v>5394</v>
      </c>
      <c r="M127" s="37" t="s">
        <v>720</v>
      </c>
      <c r="N127" s="23" t="s">
        <v>921</v>
      </c>
      <c r="O127" s="49">
        <v>57</v>
      </c>
      <c r="P127" s="49" t="s">
        <v>1776</v>
      </c>
      <c r="Q127" s="49">
        <v>54</v>
      </c>
      <c r="R127" s="23" t="s">
        <v>1855</v>
      </c>
      <c r="S127" s="24">
        <v>55</v>
      </c>
      <c r="T127" s="7" t="s">
        <v>1309</v>
      </c>
      <c r="U127" s="7" t="s">
        <v>1310</v>
      </c>
      <c r="V127" s="7">
        <v>1</v>
      </c>
      <c r="W127" s="7" t="s">
        <v>1236</v>
      </c>
      <c r="X127" s="18"/>
      <c r="Y127" s="17"/>
      <c r="Z127" s="17"/>
      <c r="AA127" s="17"/>
      <c r="AB127" s="7" t="s">
        <v>1042</v>
      </c>
      <c r="AC127" s="8"/>
      <c r="AD127" s="8"/>
      <c r="AE127" s="8"/>
      <c r="AF127" s="8" t="s">
        <v>726</v>
      </c>
      <c r="AG127" s="8" t="s">
        <v>726</v>
      </c>
      <c r="AH127" s="8" t="s">
        <v>726</v>
      </c>
      <c r="AI127" s="8" t="s">
        <v>726</v>
      </c>
      <c r="AJ127" s="8" t="s">
        <v>726</v>
      </c>
      <c r="AK127" s="8" t="s">
        <v>726</v>
      </c>
      <c r="AL127" s="8"/>
      <c r="AM127" s="8"/>
      <c r="AN127" s="8"/>
      <c r="AO127" s="8"/>
      <c r="AP127" s="8"/>
      <c r="AQ127" s="8"/>
      <c r="AR127" s="8"/>
      <c r="AS127" s="8"/>
      <c r="AT127" s="8"/>
      <c r="AU127" s="8"/>
      <c r="AV127" s="8"/>
      <c r="AX127" s="142">
        <v>161.41999999999999</v>
      </c>
    </row>
    <row r="128" spans="1:50" ht="25.5">
      <c r="B128" s="27">
        <v>124</v>
      </c>
      <c r="C128" s="31">
        <v>103</v>
      </c>
      <c r="D128" s="34">
        <v>99</v>
      </c>
      <c r="E128" s="32">
        <v>0.28819444444444448</v>
      </c>
      <c r="F128" s="32">
        <v>0.30833333333333335</v>
      </c>
      <c r="G128" s="31" t="s">
        <v>305</v>
      </c>
      <c r="H128" s="31" t="s">
        <v>103</v>
      </c>
      <c r="I128" s="33">
        <v>18</v>
      </c>
      <c r="J128" s="34" t="s">
        <v>99</v>
      </c>
      <c r="K128" s="35">
        <v>174</v>
      </c>
      <c r="L128" s="36">
        <f>+K128*I128</f>
        <v>3132</v>
      </c>
      <c r="M128" s="37" t="s">
        <v>722</v>
      </c>
      <c r="N128" s="23" t="s">
        <v>871</v>
      </c>
      <c r="O128" s="23">
        <v>21</v>
      </c>
      <c r="P128" s="23" t="s">
        <v>1158</v>
      </c>
      <c r="Q128" s="23">
        <v>21</v>
      </c>
      <c r="S128" s="23"/>
      <c r="T128" s="7" t="s">
        <v>1311</v>
      </c>
      <c r="U128" s="7" t="s">
        <v>1312</v>
      </c>
      <c r="V128" s="7" t="s">
        <v>1313</v>
      </c>
      <c r="W128" s="7" t="s">
        <v>1314</v>
      </c>
      <c r="X128" s="18"/>
      <c r="Y128" s="17"/>
      <c r="Z128" s="17"/>
      <c r="AA128" s="17"/>
      <c r="AB128" s="7" t="s">
        <v>1042</v>
      </c>
      <c r="AC128" s="8"/>
      <c r="AD128" s="8"/>
      <c r="AE128" s="8"/>
      <c r="AF128" s="8" t="s">
        <v>726</v>
      </c>
      <c r="AG128" s="8" t="s">
        <v>726</v>
      </c>
      <c r="AH128" s="8" t="s">
        <v>726</v>
      </c>
      <c r="AI128" s="8" t="s">
        <v>726</v>
      </c>
      <c r="AJ128" s="8" t="s">
        <v>726</v>
      </c>
      <c r="AK128" s="8" t="s">
        <v>726</v>
      </c>
      <c r="AL128" s="8"/>
      <c r="AM128" s="8"/>
      <c r="AN128" s="8"/>
      <c r="AO128" s="8"/>
      <c r="AP128" s="8"/>
      <c r="AQ128" s="8"/>
      <c r="AR128" s="8"/>
      <c r="AS128" s="8"/>
      <c r="AT128" s="8"/>
      <c r="AU128" s="8"/>
      <c r="AV128" s="8"/>
      <c r="AX128" s="142">
        <v>172.02</v>
      </c>
    </row>
    <row r="129" spans="1:50" ht="25.5">
      <c r="B129" s="27">
        <v>125</v>
      </c>
      <c r="C129" s="43">
        <v>103</v>
      </c>
      <c r="D129" s="34">
        <v>183</v>
      </c>
      <c r="E129" s="32">
        <v>0.2951388888888889</v>
      </c>
      <c r="F129" s="32">
        <v>0.31666666666666665</v>
      </c>
      <c r="G129" s="31" t="s">
        <v>100</v>
      </c>
      <c r="H129" s="31" t="s">
        <v>97</v>
      </c>
      <c r="I129" s="33">
        <v>16</v>
      </c>
      <c r="J129" s="34" t="s">
        <v>99</v>
      </c>
      <c r="K129" s="35">
        <v>208</v>
      </c>
      <c r="L129" s="36">
        <f>+K129*I129</f>
        <v>3328</v>
      </c>
      <c r="M129" s="37" t="s">
        <v>725</v>
      </c>
      <c r="N129" s="23" t="s">
        <v>867</v>
      </c>
      <c r="O129" s="23">
        <v>17</v>
      </c>
      <c r="P129" s="23" t="s">
        <v>1777</v>
      </c>
      <c r="Q129" s="23">
        <v>18</v>
      </c>
      <c r="R129" s="23"/>
      <c r="S129" s="24"/>
      <c r="T129" s="7">
        <v>1122</v>
      </c>
      <c r="U129" s="7" t="s">
        <v>1237</v>
      </c>
      <c r="V129" s="7" t="s">
        <v>1315</v>
      </c>
      <c r="W129" s="7" t="s">
        <v>1316</v>
      </c>
      <c r="X129" s="18"/>
      <c r="Y129" s="17"/>
      <c r="Z129" s="17"/>
      <c r="AA129" s="17"/>
      <c r="AB129" s="7" t="s">
        <v>1046</v>
      </c>
      <c r="AC129" s="8"/>
      <c r="AD129" s="8"/>
      <c r="AE129" s="8"/>
      <c r="AF129" s="8" t="s">
        <v>726</v>
      </c>
      <c r="AG129" s="8" t="s">
        <v>726</v>
      </c>
      <c r="AH129" s="8" t="s">
        <v>726</v>
      </c>
      <c r="AI129" s="8" t="s">
        <v>726</v>
      </c>
      <c r="AJ129" s="8" t="s">
        <v>726</v>
      </c>
      <c r="AK129" s="8" t="s">
        <v>726</v>
      </c>
      <c r="AL129" s="8" t="s">
        <v>726</v>
      </c>
      <c r="AM129" s="8"/>
      <c r="AN129" s="8"/>
      <c r="AO129" s="8"/>
      <c r="AP129" s="8"/>
      <c r="AQ129" s="8"/>
      <c r="AR129" s="8"/>
      <c r="AS129" s="8"/>
      <c r="AT129" s="8"/>
      <c r="AU129" s="8"/>
      <c r="AV129" s="8"/>
      <c r="AX129" s="142">
        <v>107.24371343789741</v>
      </c>
    </row>
    <row r="130" spans="1:50" ht="45">
      <c r="B130" s="27">
        <v>126</v>
      </c>
      <c r="C130" s="38">
        <v>103</v>
      </c>
      <c r="D130" s="38">
        <v>224</v>
      </c>
      <c r="E130" s="39">
        <v>0.43055555555555558</v>
      </c>
      <c r="F130" s="39">
        <v>0.44444444444444442</v>
      </c>
      <c r="G130" s="40" t="s">
        <v>19</v>
      </c>
      <c r="H130" s="40" t="s">
        <v>1</v>
      </c>
      <c r="I130" s="38">
        <v>11</v>
      </c>
      <c r="J130" s="41">
        <v>30</v>
      </c>
      <c r="K130" s="35">
        <v>67</v>
      </c>
      <c r="L130" s="36">
        <f>+K130*I130</f>
        <v>737</v>
      </c>
      <c r="M130" s="37" t="s">
        <v>723</v>
      </c>
      <c r="N130" s="23" t="s">
        <v>785</v>
      </c>
      <c r="O130" s="23">
        <v>35</v>
      </c>
      <c r="P130" s="23" t="s">
        <v>1159</v>
      </c>
      <c r="Q130" s="23">
        <v>23</v>
      </c>
      <c r="R130" s="23" t="s">
        <v>1160</v>
      </c>
      <c r="S130" s="24">
        <v>21</v>
      </c>
      <c r="T130" s="7">
        <v>1</v>
      </c>
      <c r="U130" s="7" t="s">
        <v>1233</v>
      </c>
      <c r="V130" s="7">
        <v>1100</v>
      </c>
      <c r="W130" s="7" t="s">
        <v>1317</v>
      </c>
      <c r="X130" s="17"/>
      <c r="Y130" s="18"/>
      <c r="Z130" s="18"/>
      <c r="AA130" s="18"/>
      <c r="AB130" s="8" t="s">
        <v>1047</v>
      </c>
      <c r="AC130" s="8"/>
      <c r="AD130" s="8" t="s">
        <v>726</v>
      </c>
      <c r="AE130" s="8" t="s">
        <v>726</v>
      </c>
      <c r="AF130" s="8"/>
      <c r="AG130" s="8" t="s">
        <v>726</v>
      </c>
      <c r="AH130" s="8" t="s">
        <v>726</v>
      </c>
      <c r="AI130" s="8" t="s">
        <v>726</v>
      </c>
      <c r="AJ130" s="8" t="s">
        <v>726</v>
      </c>
      <c r="AK130" s="8" t="s">
        <v>726</v>
      </c>
      <c r="AL130" s="8" t="s">
        <v>726</v>
      </c>
      <c r="AM130" s="8"/>
      <c r="AN130" s="8"/>
      <c r="AO130" s="8"/>
      <c r="AP130" s="8"/>
      <c r="AQ130" s="8"/>
      <c r="AR130" s="8"/>
      <c r="AS130" s="8"/>
      <c r="AT130" s="8"/>
      <c r="AU130" s="8"/>
      <c r="AV130" s="8"/>
      <c r="AX130" s="142">
        <v>24.200000000000003</v>
      </c>
    </row>
    <row r="131" spans="1:50" ht="45">
      <c r="B131" s="27">
        <v>127</v>
      </c>
      <c r="C131" s="31">
        <v>103</v>
      </c>
      <c r="D131" s="31">
        <v>442</v>
      </c>
      <c r="E131" s="42">
        <v>0.58124999999999993</v>
      </c>
      <c r="F131" s="42">
        <v>0.58958333333333335</v>
      </c>
      <c r="G131" s="31" t="s">
        <v>990</v>
      </c>
      <c r="H131" s="31" t="s">
        <v>97</v>
      </c>
      <c r="I131" s="33">
        <v>2</v>
      </c>
      <c r="J131" s="34">
        <v>19</v>
      </c>
      <c r="K131" s="35">
        <v>208</v>
      </c>
      <c r="L131" s="36">
        <f>+K131*I131</f>
        <v>416</v>
      </c>
      <c r="M131" s="37" t="s">
        <v>723</v>
      </c>
      <c r="N131" s="23" t="s">
        <v>828</v>
      </c>
      <c r="O131" s="23">
        <v>30</v>
      </c>
      <c r="P131" s="23" t="s">
        <v>1778</v>
      </c>
      <c r="Q131" s="23">
        <v>20</v>
      </c>
      <c r="S131" s="23"/>
      <c r="T131" s="7">
        <v>1111</v>
      </c>
      <c r="U131" s="7" t="s">
        <v>1318</v>
      </c>
      <c r="V131" s="7" t="s">
        <v>1319</v>
      </c>
      <c r="W131" s="7" t="s">
        <v>1320</v>
      </c>
      <c r="X131" s="18"/>
      <c r="Y131" s="17"/>
      <c r="Z131" s="17"/>
      <c r="AA131" s="17"/>
      <c r="AB131" s="7" t="s">
        <v>1046</v>
      </c>
      <c r="AC131" s="8"/>
      <c r="AD131" s="8"/>
      <c r="AE131" s="8"/>
      <c r="AF131" s="8" t="s">
        <v>726</v>
      </c>
      <c r="AG131" s="8" t="s">
        <v>726</v>
      </c>
      <c r="AH131" s="8" t="s">
        <v>726</v>
      </c>
      <c r="AI131" s="8" t="s">
        <v>726</v>
      </c>
      <c r="AJ131" s="8" t="s">
        <v>726</v>
      </c>
      <c r="AK131" s="8" t="s">
        <v>726</v>
      </c>
      <c r="AL131" s="8" t="s">
        <v>726</v>
      </c>
      <c r="AM131" s="8"/>
      <c r="AN131" s="8"/>
      <c r="AO131" s="8"/>
      <c r="AP131" s="8"/>
      <c r="AQ131" s="8"/>
      <c r="AR131" s="8"/>
      <c r="AS131" s="8"/>
      <c r="AT131" s="8"/>
      <c r="AU131" s="8"/>
      <c r="AV131" s="8"/>
      <c r="AX131" s="142">
        <v>31.98</v>
      </c>
    </row>
    <row r="132" spans="1:50" ht="25.5">
      <c r="B132" s="27">
        <v>128</v>
      </c>
      <c r="C132" s="31">
        <v>103</v>
      </c>
      <c r="D132" s="31">
        <v>203</v>
      </c>
      <c r="E132" s="32">
        <v>0.58333333333333337</v>
      </c>
      <c r="F132" s="32">
        <v>0.58888888888888891</v>
      </c>
      <c r="G132" s="31" t="s">
        <v>516</v>
      </c>
      <c r="H132" s="31" t="s">
        <v>97</v>
      </c>
      <c r="I132" s="33">
        <v>6.5</v>
      </c>
      <c r="J132" s="34" t="s">
        <v>146</v>
      </c>
      <c r="K132" s="35">
        <v>208</v>
      </c>
      <c r="L132" s="36">
        <f>+K132*I132</f>
        <v>1352</v>
      </c>
      <c r="M132" s="37" t="s">
        <v>716</v>
      </c>
      <c r="N132" s="23" t="s">
        <v>855</v>
      </c>
      <c r="O132" s="23">
        <v>21</v>
      </c>
      <c r="P132" s="23" t="s">
        <v>1779</v>
      </c>
      <c r="Q132" s="23">
        <v>21</v>
      </c>
      <c r="S132" s="23"/>
      <c r="T132" s="7" t="s">
        <v>1321</v>
      </c>
      <c r="U132" s="7" t="s">
        <v>1322</v>
      </c>
      <c r="V132" s="7">
        <v>1127</v>
      </c>
      <c r="W132" s="7" t="s">
        <v>1323</v>
      </c>
      <c r="X132" s="18"/>
      <c r="Y132" s="17"/>
      <c r="Z132" s="17"/>
      <c r="AA132" s="17"/>
      <c r="AB132" s="7" t="s">
        <v>1046</v>
      </c>
      <c r="AC132" s="8"/>
      <c r="AD132" s="8"/>
      <c r="AE132" s="8"/>
      <c r="AF132" s="8" t="s">
        <v>726</v>
      </c>
      <c r="AG132" s="8" t="s">
        <v>726</v>
      </c>
      <c r="AH132" s="8" t="s">
        <v>726</v>
      </c>
      <c r="AI132" s="8" t="s">
        <v>726</v>
      </c>
      <c r="AJ132" s="8" t="s">
        <v>726</v>
      </c>
      <c r="AK132" s="8" t="s">
        <v>726</v>
      </c>
      <c r="AL132" s="8" t="s">
        <v>726</v>
      </c>
      <c r="AM132" s="8"/>
      <c r="AN132" s="8"/>
      <c r="AO132" s="8"/>
      <c r="AP132" s="8"/>
      <c r="AQ132" s="8"/>
      <c r="AR132" s="8"/>
      <c r="AS132" s="8"/>
      <c r="AT132" s="8"/>
      <c r="AU132" s="8"/>
      <c r="AV132" s="8"/>
      <c r="AX132" s="142">
        <v>49.38</v>
      </c>
    </row>
    <row r="133" spans="1:50" ht="25.5">
      <c r="B133" s="27">
        <v>129</v>
      </c>
      <c r="C133" s="31">
        <v>103</v>
      </c>
      <c r="D133" s="31">
        <v>203</v>
      </c>
      <c r="E133" s="32">
        <v>0.58888888888888891</v>
      </c>
      <c r="F133" s="32">
        <v>0.59583333333333333</v>
      </c>
      <c r="G133" s="31" t="s">
        <v>302</v>
      </c>
      <c r="H133" s="31" t="s">
        <v>97</v>
      </c>
      <c r="I133" s="33">
        <v>6</v>
      </c>
      <c r="J133" s="34" t="s">
        <v>269</v>
      </c>
      <c r="K133" s="35">
        <v>208</v>
      </c>
      <c r="L133" s="36">
        <f>+K133*I133</f>
        <v>1248</v>
      </c>
      <c r="M133" s="37" t="s">
        <v>721</v>
      </c>
      <c r="N133" s="23" t="s">
        <v>967</v>
      </c>
      <c r="O133" s="23">
        <v>18</v>
      </c>
      <c r="P133" s="23" t="s">
        <v>872</v>
      </c>
      <c r="Q133" s="23">
        <v>9</v>
      </c>
      <c r="S133" s="23"/>
      <c r="T133" s="7">
        <v>1127</v>
      </c>
      <c r="U133" s="7" t="s">
        <v>1323</v>
      </c>
      <c r="V133" s="7">
        <v>1122</v>
      </c>
      <c r="W133" s="7" t="s">
        <v>1237</v>
      </c>
      <c r="X133" s="18"/>
      <c r="Y133" s="17"/>
      <c r="Z133" s="17"/>
      <c r="AA133" s="17"/>
      <c r="AB133" s="7" t="s">
        <v>1046</v>
      </c>
      <c r="AC133" s="8"/>
      <c r="AD133" s="8"/>
      <c r="AE133" s="8"/>
      <c r="AF133" s="8" t="s">
        <v>726</v>
      </c>
      <c r="AG133" s="8" t="s">
        <v>726</v>
      </c>
      <c r="AH133" s="8" t="s">
        <v>726</v>
      </c>
      <c r="AI133" s="8" t="s">
        <v>726</v>
      </c>
      <c r="AJ133" s="8" t="s">
        <v>726</v>
      </c>
      <c r="AK133" s="8" t="s">
        <v>726</v>
      </c>
      <c r="AL133" s="8" t="s">
        <v>726</v>
      </c>
      <c r="AM133" s="8"/>
      <c r="AN133" s="8"/>
      <c r="AO133" s="8"/>
      <c r="AP133" s="8"/>
      <c r="AQ133" s="8"/>
      <c r="AR133" s="8"/>
      <c r="AS133" s="8"/>
      <c r="AT133" s="8"/>
      <c r="AU133" s="8"/>
      <c r="AV133" s="8"/>
      <c r="AX133" s="142">
        <v>40.119999999999997</v>
      </c>
    </row>
    <row r="134" spans="1:50" ht="45">
      <c r="B134" s="27">
        <v>130</v>
      </c>
      <c r="C134" s="31">
        <v>103</v>
      </c>
      <c r="D134" s="31">
        <v>232</v>
      </c>
      <c r="E134" s="32">
        <v>0.60763888888888895</v>
      </c>
      <c r="F134" s="32">
        <v>0.61805555555555558</v>
      </c>
      <c r="G134" s="31" t="s">
        <v>387</v>
      </c>
      <c r="H134" s="31" t="s">
        <v>103</v>
      </c>
      <c r="I134" s="33">
        <v>8</v>
      </c>
      <c r="J134" s="34" t="s">
        <v>99</v>
      </c>
      <c r="K134" s="35">
        <v>174</v>
      </c>
      <c r="L134" s="36">
        <f>+K134*I134</f>
        <v>1392</v>
      </c>
      <c r="M134" s="37" t="s">
        <v>723</v>
      </c>
      <c r="N134" s="23" t="s">
        <v>828</v>
      </c>
      <c r="O134" s="23">
        <v>30</v>
      </c>
      <c r="P134" s="23" t="s">
        <v>1778</v>
      </c>
      <c r="Q134" s="23">
        <v>20</v>
      </c>
      <c r="R134" s="23" t="s">
        <v>785</v>
      </c>
      <c r="S134" s="24">
        <v>35</v>
      </c>
      <c r="T134" s="7">
        <v>1100</v>
      </c>
      <c r="U134" s="7" t="s">
        <v>1317</v>
      </c>
      <c r="V134" s="7">
        <v>1111</v>
      </c>
      <c r="W134" s="7" t="s">
        <v>1318</v>
      </c>
      <c r="X134" s="18"/>
      <c r="Y134" s="17"/>
      <c r="Z134" s="17"/>
      <c r="AA134" s="17"/>
      <c r="AB134" s="7" t="s">
        <v>1042</v>
      </c>
      <c r="AC134" s="8"/>
      <c r="AD134" s="8"/>
      <c r="AE134" s="8"/>
      <c r="AF134" s="8" t="s">
        <v>726</v>
      </c>
      <c r="AG134" s="8" t="s">
        <v>726</v>
      </c>
      <c r="AH134" s="8" t="s">
        <v>726</v>
      </c>
      <c r="AI134" s="8" t="s">
        <v>726</v>
      </c>
      <c r="AJ134" s="8" t="s">
        <v>726</v>
      </c>
      <c r="AK134" s="8" t="s">
        <v>726</v>
      </c>
      <c r="AL134" s="8"/>
      <c r="AM134" s="8"/>
      <c r="AN134" s="8"/>
      <c r="AO134" s="8"/>
      <c r="AP134" s="8"/>
      <c r="AQ134" s="8"/>
      <c r="AR134" s="8"/>
      <c r="AS134" s="8"/>
      <c r="AT134" s="8"/>
      <c r="AU134" s="8"/>
      <c r="AV134" s="8"/>
      <c r="AX134" s="142">
        <v>17.517241379310345</v>
      </c>
    </row>
    <row r="135" spans="1:50" ht="25.5">
      <c r="B135" s="27">
        <v>131</v>
      </c>
      <c r="C135" s="31">
        <v>103</v>
      </c>
      <c r="D135" s="31">
        <v>185</v>
      </c>
      <c r="E135" s="32">
        <v>0.67986111111111114</v>
      </c>
      <c r="F135" s="32">
        <v>0.68819444444444444</v>
      </c>
      <c r="G135" s="31" t="s">
        <v>417</v>
      </c>
      <c r="H135" s="31" t="s">
        <v>194</v>
      </c>
      <c r="I135" s="33">
        <v>8.8000000000000007</v>
      </c>
      <c r="J135" s="34" t="s">
        <v>254</v>
      </c>
      <c r="K135" s="35">
        <f>34+34+36+33</f>
        <v>137</v>
      </c>
      <c r="L135" s="36">
        <f>+K135*I135</f>
        <v>1205.6000000000001</v>
      </c>
      <c r="M135" s="37" t="s">
        <v>716</v>
      </c>
      <c r="N135" s="23" t="s">
        <v>855</v>
      </c>
      <c r="O135" s="23">
        <v>21</v>
      </c>
      <c r="P135" s="23" t="s">
        <v>1779</v>
      </c>
      <c r="Q135" s="23">
        <v>21</v>
      </c>
      <c r="S135" s="23"/>
      <c r="T135" s="7">
        <v>1122</v>
      </c>
      <c r="U135" s="7" t="s">
        <v>1237</v>
      </c>
      <c r="V135" s="7">
        <v>1118</v>
      </c>
      <c r="W135" s="7" t="s">
        <v>1324</v>
      </c>
      <c r="X135" s="18"/>
      <c r="Y135" s="17"/>
      <c r="Z135" s="17"/>
      <c r="AA135" s="17"/>
      <c r="AB135" s="7" t="s">
        <v>1045</v>
      </c>
      <c r="AC135" s="8"/>
      <c r="AD135" s="8"/>
      <c r="AE135" s="8"/>
      <c r="AF135" s="8" t="s">
        <v>726</v>
      </c>
      <c r="AG135" s="8" t="s">
        <v>726</v>
      </c>
      <c r="AH135" s="8" t="s">
        <v>726</v>
      </c>
      <c r="AI135" s="8" t="s">
        <v>726</v>
      </c>
      <c r="AJ135" s="8" t="s">
        <v>726</v>
      </c>
      <c r="AK135" s="8"/>
      <c r="AL135" s="8"/>
      <c r="AM135" s="8"/>
      <c r="AN135" s="8"/>
      <c r="AO135" s="8"/>
      <c r="AP135" s="8"/>
      <c r="AQ135" s="8"/>
      <c r="AR135" s="8"/>
      <c r="AS135" s="8"/>
      <c r="AT135" s="8"/>
      <c r="AU135" s="8"/>
      <c r="AV135" s="8"/>
      <c r="AX135" s="142">
        <v>55.8</v>
      </c>
    </row>
    <row r="136" spans="1:50" ht="51">
      <c r="A136" s="2" t="s">
        <v>1105</v>
      </c>
      <c r="B136" s="27">
        <v>132</v>
      </c>
      <c r="C136" s="31">
        <v>103</v>
      </c>
      <c r="D136" s="31">
        <v>191</v>
      </c>
      <c r="E136" s="32">
        <v>0.68958333333333333</v>
      </c>
      <c r="F136" s="32">
        <v>0.6972222222222223</v>
      </c>
      <c r="G136" s="31" t="s">
        <v>415</v>
      </c>
      <c r="H136" s="31" t="s">
        <v>416</v>
      </c>
      <c r="I136" s="52">
        <v>7.5</v>
      </c>
      <c r="J136" s="34" t="s">
        <v>188</v>
      </c>
      <c r="K136" s="35">
        <v>34</v>
      </c>
      <c r="L136" s="36">
        <f>+K136*I136</f>
        <v>255</v>
      </c>
      <c r="M136" s="37" t="s">
        <v>723</v>
      </c>
      <c r="N136" s="23" t="s">
        <v>828</v>
      </c>
      <c r="O136" s="23">
        <v>30</v>
      </c>
      <c r="P136" s="23" t="s">
        <v>1778</v>
      </c>
      <c r="Q136" s="23">
        <v>20</v>
      </c>
      <c r="R136" s="23" t="s">
        <v>1160</v>
      </c>
      <c r="S136" s="24">
        <v>21</v>
      </c>
      <c r="T136" s="7">
        <v>1118</v>
      </c>
      <c r="U136" s="7" t="s">
        <v>1324</v>
      </c>
      <c r="V136" s="7" t="s">
        <v>1311</v>
      </c>
      <c r="W136" s="7" t="s">
        <v>1325</v>
      </c>
      <c r="X136" s="18"/>
      <c r="Y136" s="17"/>
      <c r="Z136" s="17"/>
      <c r="AA136" s="17"/>
      <c r="AB136" s="7" t="s">
        <v>1057</v>
      </c>
      <c r="AC136" s="8"/>
      <c r="AD136" s="8"/>
      <c r="AE136" s="8"/>
      <c r="AF136" s="8" t="s">
        <v>726</v>
      </c>
      <c r="AG136" s="8"/>
      <c r="AH136" s="8" t="s">
        <v>726</v>
      </c>
      <c r="AI136" s="8"/>
      <c r="AJ136" s="8"/>
      <c r="AK136" s="8"/>
      <c r="AL136" s="8"/>
      <c r="AM136" s="8"/>
      <c r="AN136" s="8"/>
      <c r="AO136" s="8"/>
      <c r="AP136" s="8"/>
      <c r="AQ136" s="8"/>
      <c r="AR136" s="8"/>
      <c r="AS136" s="8"/>
      <c r="AT136" s="8"/>
      <c r="AU136" s="8"/>
      <c r="AV136" s="8"/>
      <c r="AX136" s="142">
        <v>15</v>
      </c>
    </row>
    <row r="137" spans="1:50" ht="45">
      <c r="B137" s="27">
        <v>133</v>
      </c>
      <c r="C137" s="38">
        <v>103</v>
      </c>
      <c r="D137" s="53">
        <v>123</v>
      </c>
      <c r="E137" s="39">
        <v>0.78819444444444453</v>
      </c>
      <c r="F137" s="39">
        <v>0.80208333333333337</v>
      </c>
      <c r="G137" s="40" t="s">
        <v>21</v>
      </c>
      <c r="H137" s="31" t="s">
        <v>203</v>
      </c>
      <c r="I137" s="38">
        <v>11</v>
      </c>
      <c r="J137" s="41">
        <v>30</v>
      </c>
      <c r="K137" s="35">
        <v>202</v>
      </c>
      <c r="L137" s="36">
        <f>+K137*I137</f>
        <v>2222</v>
      </c>
      <c r="M137" s="37" t="s">
        <v>723</v>
      </c>
      <c r="N137" s="23" t="s">
        <v>828</v>
      </c>
      <c r="O137" s="23">
        <v>30</v>
      </c>
      <c r="P137" s="23" t="s">
        <v>1160</v>
      </c>
      <c r="Q137" s="23">
        <v>21</v>
      </c>
      <c r="R137" s="23" t="s">
        <v>785</v>
      </c>
      <c r="S137" s="24">
        <v>35</v>
      </c>
      <c r="T137" s="7">
        <v>1100</v>
      </c>
      <c r="U137" s="7" t="s">
        <v>1326</v>
      </c>
      <c r="V137" s="7">
        <v>1</v>
      </c>
      <c r="W137" s="7" t="s">
        <v>1327</v>
      </c>
      <c r="X137" s="18"/>
      <c r="Y137" s="17"/>
      <c r="Z137" s="18"/>
      <c r="AA137" s="18"/>
      <c r="AB137" s="7" t="s">
        <v>1048</v>
      </c>
      <c r="AC137" s="7" t="s">
        <v>726</v>
      </c>
      <c r="AD137" s="7"/>
      <c r="AE137" s="7" t="s">
        <v>726</v>
      </c>
      <c r="AF137" s="7"/>
      <c r="AG137" s="7" t="s">
        <v>726</v>
      </c>
      <c r="AH137" s="7" t="s">
        <v>726</v>
      </c>
      <c r="AI137" s="7" t="s">
        <v>726</v>
      </c>
      <c r="AJ137" s="7" t="s">
        <v>726</v>
      </c>
      <c r="AK137" s="7" t="s">
        <v>726</v>
      </c>
      <c r="AL137" s="7"/>
      <c r="AM137" s="7"/>
      <c r="AN137" s="7"/>
      <c r="AO137" s="7"/>
      <c r="AP137" s="7"/>
      <c r="AQ137" s="7"/>
      <c r="AR137" s="7"/>
      <c r="AS137" s="7"/>
      <c r="AT137" s="7"/>
      <c r="AU137" s="7"/>
      <c r="AV137" s="7"/>
      <c r="AX137" s="142">
        <v>24.200000000000003</v>
      </c>
    </row>
    <row r="138" spans="1:50" ht="45">
      <c r="B138" s="27">
        <v>134</v>
      </c>
      <c r="C138" s="38">
        <v>103</v>
      </c>
      <c r="D138" s="53">
        <v>123</v>
      </c>
      <c r="E138" s="39">
        <v>0.78819444444444453</v>
      </c>
      <c r="F138" s="39">
        <v>0.80208333333333337</v>
      </c>
      <c r="G138" s="40" t="s">
        <v>21</v>
      </c>
      <c r="H138" s="40" t="s">
        <v>612</v>
      </c>
      <c r="I138" s="38">
        <v>11</v>
      </c>
      <c r="J138" s="41">
        <v>19</v>
      </c>
      <c r="K138" s="35">
        <v>55</v>
      </c>
      <c r="L138" s="36">
        <f>+K138*I138</f>
        <v>605</v>
      </c>
      <c r="M138" s="37" t="s">
        <v>724</v>
      </c>
      <c r="N138" s="23" t="s">
        <v>787</v>
      </c>
      <c r="O138" s="23">
        <v>21</v>
      </c>
      <c r="P138" s="23" t="s">
        <v>1780</v>
      </c>
      <c r="Q138" s="23">
        <v>23</v>
      </c>
      <c r="S138" s="23"/>
      <c r="T138" s="7">
        <v>1100</v>
      </c>
      <c r="U138" s="7" t="s">
        <v>1317</v>
      </c>
      <c r="V138" s="7">
        <v>1</v>
      </c>
      <c r="W138" s="7" t="s">
        <v>1236</v>
      </c>
      <c r="X138" s="17"/>
      <c r="Y138" s="18"/>
      <c r="Z138" s="18"/>
      <c r="AA138" s="18"/>
      <c r="AB138" s="8" t="s">
        <v>1049</v>
      </c>
      <c r="AC138" s="8"/>
      <c r="AD138" s="8" t="s">
        <v>726</v>
      </c>
      <c r="AE138" s="8" t="s">
        <v>726</v>
      </c>
      <c r="AF138" s="8"/>
      <c r="AG138" s="8" t="s">
        <v>726</v>
      </c>
      <c r="AH138" s="8" t="s">
        <v>726</v>
      </c>
      <c r="AI138" s="8" t="s">
        <v>726</v>
      </c>
      <c r="AJ138" s="8" t="s">
        <v>726</v>
      </c>
      <c r="AK138" s="8" t="s">
        <v>726</v>
      </c>
      <c r="AL138" s="8"/>
      <c r="AM138" s="8"/>
      <c r="AN138" s="8"/>
      <c r="AO138" s="8"/>
      <c r="AP138" s="8"/>
      <c r="AQ138" s="8"/>
      <c r="AR138" s="8"/>
      <c r="AS138" s="8"/>
      <c r="AT138" s="8"/>
      <c r="AU138" s="8"/>
      <c r="AV138" s="8"/>
      <c r="AX138" s="142">
        <v>26.042615188490256</v>
      </c>
    </row>
    <row r="139" spans="1:50" ht="45">
      <c r="B139" s="27">
        <v>135</v>
      </c>
      <c r="C139" s="38">
        <v>103</v>
      </c>
      <c r="D139" s="53">
        <v>126</v>
      </c>
      <c r="E139" s="39">
        <v>0.8125</v>
      </c>
      <c r="F139" s="39">
        <v>0.82638888888888884</v>
      </c>
      <c r="G139" s="40" t="s">
        <v>19</v>
      </c>
      <c r="H139" s="40" t="s">
        <v>18</v>
      </c>
      <c r="I139" s="38">
        <v>11</v>
      </c>
      <c r="J139" s="41">
        <v>30</v>
      </c>
      <c r="K139" s="35">
        <v>304</v>
      </c>
      <c r="L139" s="36">
        <f>+K139*I139</f>
        <v>3344</v>
      </c>
      <c r="M139" s="37" t="s">
        <v>723</v>
      </c>
      <c r="N139" s="23" t="s">
        <v>828</v>
      </c>
      <c r="O139" s="23">
        <v>30</v>
      </c>
      <c r="P139" s="23" t="s">
        <v>1160</v>
      </c>
      <c r="Q139" s="23">
        <v>21</v>
      </c>
      <c r="R139" s="23" t="s">
        <v>1159</v>
      </c>
      <c r="S139" s="23">
        <v>23</v>
      </c>
      <c r="T139" s="7">
        <v>1</v>
      </c>
      <c r="U139" s="7" t="s">
        <v>1233</v>
      </c>
      <c r="V139" s="7">
        <v>1100</v>
      </c>
      <c r="W139" s="7" t="s">
        <v>1317</v>
      </c>
      <c r="X139" s="17"/>
      <c r="Y139" s="17"/>
      <c r="Z139" s="17"/>
      <c r="AA139" s="17"/>
      <c r="AB139" s="8" t="s">
        <v>1053</v>
      </c>
      <c r="AC139" s="8" t="s">
        <v>726</v>
      </c>
      <c r="AD139" s="8" t="s">
        <v>726</v>
      </c>
      <c r="AE139" s="8" t="s">
        <v>726</v>
      </c>
      <c r="AF139" s="8"/>
      <c r="AG139" s="8" t="s">
        <v>726</v>
      </c>
      <c r="AH139" s="8" t="s">
        <v>726</v>
      </c>
      <c r="AI139" s="8" t="s">
        <v>726</v>
      </c>
      <c r="AJ139" s="8" t="s">
        <v>726</v>
      </c>
      <c r="AK139" s="8" t="s">
        <v>726</v>
      </c>
      <c r="AL139" s="8" t="s">
        <v>726</v>
      </c>
      <c r="AM139" s="8"/>
      <c r="AN139" s="8"/>
      <c r="AO139" s="8"/>
      <c r="AP139" s="8"/>
      <c r="AQ139" s="8"/>
      <c r="AR139" s="8"/>
      <c r="AS139" s="8"/>
      <c r="AT139" s="8"/>
      <c r="AU139" s="8"/>
      <c r="AV139" s="8"/>
      <c r="AX139" s="142">
        <v>24.200000000000003</v>
      </c>
    </row>
    <row r="140" spans="1:50" ht="33.75">
      <c r="B140" s="27">
        <v>136</v>
      </c>
      <c r="C140" s="31">
        <v>105</v>
      </c>
      <c r="D140" s="34">
        <v>639</v>
      </c>
      <c r="E140" s="32">
        <v>0.25138888888888888</v>
      </c>
      <c r="F140" s="32">
        <v>0.27083333333333331</v>
      </c>
      <c r="G140" s="31" t="s">
        <v>900</v>
      </c>
      <c r="H140" s="31" t="s">
        <v>103</v>
      </c>
      <c r="I140" s="33">
        <v>13.5</v>
      </c>
      <c r="J140" s="34" t="s">
        <v>254</v>
      </c>
      <c r="K140" s="35">
        <v>174</v>
      </c>
      <c r="L140" s="36">
        <f>+K140*I140</f>
        <v>2349</v>
      </c>
      <c r="M140" s="37" t="s">
        <v>717</v>
      </c>
      <c r="N140" s="23" t="s">
        <v>968</v>
      </c>
      <c r="O140" s="49">
        <v>46</v>
      </c>
      <c r="P140" s="23" t="s">
        <v>1829</v>
      </c>
      <c r="Q140" s="49">
        <v>45</v>
      </c>
      <c r="S140" s="49"/>
      <c r="T140" s="7">
        <v>1074</v>
      </c>
      <c r="U140" s="7" t="s">
        <v>1328</v>
      </c>
      <c r="V140" s="7" t="s">
        <v>1292</v>
      </c>
      <c r="W140" s="7" t="s">
        <v>1293</v>
      </c>
      <c r="X140" s="18"/>
      <c r="Y140" s="17"/>
      <c r="Z140" s="17"/>
      <c r="AA140" s="17"/>
      <c r="AB140" s="7" t="s">
        <v>1042</v>
      </c>
      <c r="AC140" s="8"/>
      <c r="AD140" s="8"/>
      <c r="AE140" s="8"/>
      <c r="AF140" s="8" t="s">
        <v>726</v>
      </c>
      <c r="AG140" s="8" t="s">
        <v>726</v>
      </c>
      <c r="AH140" s="8" t="s">
        <v>726</v>
      </c>
      <c r="AI140" s="8" t="s">
        <v>726</v>
      </c>
      <c r="AJ140" s="8" t="s">
        <v>726</v>
      </c>
      <c r="AK140" s="8" t="s">
        <v>726</v>
      </c>
      <c r="AL140" s="8"/>
      <c r="AM140" s="8"/>
      <c r="AN140" s="8"/>
      <c r="AO140" s="8"/>
      <c r="AP140" s="8"/>
      <c r="AQ140" s="8"/>
      <c r="AR140" s="8"/>
      <c r="AS140" s="8"/>
      <c r="AT140" s="8"/>
      <c r="AU140" s="8"/>
      <c r="AV140" s="8"/>
      <c r="AX140" s="142">
        <v>51.524049475474911</v>
      </c>
    </row>
    <row r="141" spans="1:50" ht="33.75">
      <c r="B141" s="27">
        <v>137</v>
      </c>
      <c r="C141" s="31">
        <v>105</v>
      </c>
      <c r="D141" s="34">
        <v>233</v>
      </c>
      <c r="E141" s="32">
        <v>0.29583333333333334</v>
      </c>
      <c r="F141" s="32">
        <v>0.30486111111111108</v>
      </c>
      <c r="G141" s="31" t="s">
        <v>262</v>
      </c>
      <c r="H141" s="31" t="s">
        <v>103</v>
      </c>
      <c r="I141" s="33">
        <v>6</v>
      </c>
      <c r="J141" s="34" t="s">
        <v>99</v>
      </c>
      <c r="K141" s="35">
        <v>174</v>
      </c>
      <c r="L141" s="36">
        <f>+K141*I141</f>
        <v>1044</v>
      </c>
      <c r="M141" s="37" t="s">
        <v>717</v>
      </c>
      <c r="N141" s="23" t="s">
        <v>888</v>
      </c>
      <c r="O141" s="23">
        <v>24</v>
      </c>
      <c r="P141" s="23" t="s">
        <v>1775</v>
      </c>
      <c r="Q141" s="23">
        <v>21</v>
      </c>
      <c r="S141" s="23"/>
      <c r="T141" s="7">
        <v>1075</v>
      </c>
      <c r="U141" s="7" t="s">
        <v>1329</v>
      </c>
      <c r="V141" s="7">
        <v>1072</v>
      </c>
      <c r="W141" s="7" t="s">
        <v>1232</v>
      </c>
      <c r="X141" s="18"/>
      <c r="Y141" s="17"/>
      <c r="Z141" s="17"/>
      <c r="AA141" s="17"/>
      <c r="AB141" s="7" t="s">
        <v>1042</v>
      </c>
      <c r="AC141" s="8"/>
      <c r="AD141" s="8"/>
      <c r="AE141" s="8"/>
      <c r="AF141" s="8" t="s">
        <v>726</v>
      </c>
      <c r="AG141" s="8" t="s">
        <v>726</v>
      </c>
      <c r="AH141" s="8" t="s">
        <v>726</v>
      </c>
      <c r="AI141" s="8" t="s">
        <v>726</v>
      </c>
      <c r="AJ141" s="8" t="s">
        <v>726</v>
      </c>
      <c r="AK141" s="8" t="s">
        <v>726</v>
      </c>
      <c r="AL141" s="8"/>
      <c r="AM141" s="8"/>
      <c r="AN141" s="8"/>
      <c r="AO141" s="8"/>
      <c r="AP141" s="8"/>
      <c r="AQ141" s="8"/>
      <c r="AR141" s="8"/>
      <c r="AS141" s="8"/>
      <c r="AT141" s="8"/>
      <c r="AU141" s="8"/>
      <c r="AV141" s="8"/>
      <c r="AX141" s="142">
        <v>18.87</v>
      </c>
    </row>
    <row r="142" spans="1:50" ht="33.75">
      <c r="A142" s="83" t="s">
        <v>2010</v>
      </c>
      <c r="B142" s="84">
        <v>138</v>
      </c>
      <c r="C142" s="85">
        <v>105</v>
      </c>
      <c r="D142" s="88">
        <v>234</v>
      </c>
      <c r="E142" s="86">
        <v>0.32013888888888892</v>
      </c>
      <c r="F142" s="86">
        <v>0.33055555555555555</v>
      </c>
      <c r="G142" s="85" t="s">
        <v>261</v>
      </c>
      <c r="H142" s="85" t="s">
        <v>97</v>
      </c>
      <c r="I142" s="87">
        <v>5.5</v>
      </c>
      <c r="J142" s="88" t="s">
        <v>99</v>
      </c>
      <c r="K142" s="94">
        <v>208</v>
      </c>
      <c r="L142" s="90">
        <f>+K142*I142</f>
        <v>1144</v>
      </c>
      <c r="M142" s="91" t="s">
        <v>717</v>
      </c>
      <c r="N142" s="104" t="s">
        <v>888</v>
      </c>
      <c r="O142" s="104">
        <v>24</v>
      </c>
      <c r="P142" s="104" t="s">
        <v>1775</v>
      </c>
      <c r="Q142" s="104">
        <v>21</v>
      </c>
      <c r="R142" s="83"/>
      <c r="S142" s="104"/>
      <c r="T142" s="95">
        <v>1072</v>
      </c>
      <c r="U142" s="95" t="s">
        <v>1232</v>
      </c>
      <c r="V142" s="95">
        <v>1075</v>
      </c>
      <c r="W142" s="95" t="s">
        <v>1329</v>
      </c>
      <c r="X142" s="107"/>
      <c r="Y142" s="105">
        <v>45011</v>
      </c>
      <c r="Z142" s="105"/>
      <c r="AA142" s="105"/>
      <c r="AB142" s="95" t="s">
        <v>1046</v>
      </c>
      <c r="AC142" s="106"/>
      <c r="AD142" s="106"/>
      <c r="AE142" s="106"/>
      <c r="AF142" s="106" t="s">
        <v>726</v>
      </c>
      <c r="AG142" s="106" t="s">
        <v>726</v>
      </c>
      <c r="AH142" s="106" t="s">
        <v>726</v>
      </c>
      <c r="AI142" s="106" t="s">
        <v>726</v>
      </c>
      <c r="AJ142" s="106" t="s">
        <v>726</v>
      </c>
      <c r="AK142" s="106" t="s">
        <v>726</v>
      </c>
      <c r="AL142" s="106" t="s">
        <v>726</v>
      </c>
      <c r="AM142" s="106"/>
      <c r="AN142" s="106"/>
      <c r="AO142" s="106"/>
      <c r="AP142" s="106"/>
      <c r="AQ142" s="106"/>
      <c r="AR142" s="106"/>
      <c r="AS142" s="106"/>
      <c r="AT142" s="106"/>
      <c r="AU142" s="106"/>
      <c r="AV142" s="106"/>
    </row>
    <row r="143" spans="1:50" ht="33.75">
      <c r="B143" s="27">
        <v>139</v>
      </c>
      <c r="C143" s="31">
        <v>105</v>
      </c>
      <c r="D143" s="34">
        <v>151</v>
      </c>
      <c r="E143" s="32">
        <v>0.33055555555555555</v>
      </c>
      <c r="F143" s="32">
        <v>0.33958333333333335</v>
      </c>
      <c r="G143" s="31" t="s">
        <v>262</v>
      </c>
      <c r="H143" s="31" t="s">
        <v>97</v>
      </c>
      <c r="I143" s="33">
        <v>5.5</v>
      </c>
      <c r="J143" s="34" t="s">
        <v>99</v>
      </c>
      <c r="K143" s="35">
        <v>208</v>
      </c>
      <c r="L143" s="36">
        <f>+K143*I143</f>
        <v>1144</v>
      </c>
      <c r="M143" s="37" t="s">
        <v>717</v>
      </c>
      <c r="N143" s="23" t="s">
        <v>888</v>
      </c>
      <c r="O143" s="23">
        <v>24</v>
      </c>
      <c r="P143" s="23" t="s">
        <v>1775</v>
      </c>
      <c r="Q143" s="23">
        <v>21</v>
      </c>
      <c r="S143" s="23"/>
      <c r="T143" s="7">
        <v>1075</v>
      </c>
      <c r="U143" s="7" t="s">
        <v>1329</v>
      </c>
      <c r="V143" s="7">
        <v>1072</v>
      </c>
      <c r="W143" s="7" t="s">
        <v>1232</v>
      </c>
      <c r="X143" s="18"/>
      <c r="Y143" s="17"/>
      <c r="Z143" s="17"/>
      <c r="AA143" s="17"/>
      <c r="AB143" s="7" t="s">
        <v>1046</v>
      </c>
      <c r="AC143" s="8"/>
      <c r="AD143" s="8"/>
      <c r="AE143" s="8"/>
      <c r="AF143" s="8" t="s">
        <v>726</v>
      </c>
      <c r="AG143" s="8" t="s">
        <v>726</v>
      </c>
      <c r="AH143" s="8" t="s">
        <v>726</v>
      </c>
      <c r="AI143" s="8" t="s">
        <v>726</v>
      </c>
      <c r="AJ143" s="8" t="s">
        <v>726</v>
      </c>
      <c r="AK143" s="8" t="s">
        <v>726</v>
      </c>
      <c r="AL143" s="8" t="s">
        <v>726</v>
      </c>
      <c r="AM143" s="8"/>
      <c r="AN143" s="8"/>
      <c r="AO143" s="8"/>
      <c r="AP143" s="8"/>
      <c r="AQ143" s="8"/>
      <c r="AR143" s="8"/>
      <c r="AS143" s="8"/>
      <c r="AT143" s="8"/>
      <c r="AU143" s="8"/>
      <c r="AV143" s="8"/>
      <c r="AX143" s="142">
        <v>33.94</v>
      </c>
    </row>
    <row r="144" spans="1:50" ht="33.75">
      <c r="B144" s="27">
        <v>140</v>
      </c>
      <c r="C144" s="31">
        <v>105</v>
      </c>
      <c r="D144" s="34">
        <v>216</v>
      </c>
      <c r="E144" s="32">
        <v>0.49375000000000002</v>
      </c>
      <c r="F144" s="32">
        <v>0.50416666666666665</v>
      </c>
      <c r="G144" s="31" t="s">
        <v>261</v>
      </c>
      <c r="H144" s="31" t="s">
        <v>103</v>
      </c>
      <c r="I144" s="33">
        <v>5.5</v>
      </c>
      <c r="J144" s="34" t="s">
        <v>99</v>
      </c>
      <c r="K144" s="35">
        <v>174</v>
      </c>
      <c r="L144" s="36">
        <f>+K144*I144</f>
        <v>957</v>
      </c>
      <c r="M144" s="37" t="s">
        <v>717</v>
      </c>
      <c r="N144" s="23" t="s">
        <v>888</v>
      </c>
      <c r="O144" s="23">
        <v>24</v>
      </c>
      <c r="P144" s="23" t="s">
        <v>1775</v>
      </c>
      <c r="Q144" s="23">
        <v>21</v>
      </c>
      <c r="S144" s="23"/>
      <c r="T144" s="7">
        <v>1072</v>
      </c>
      <c r="U144" s="7" t="s">
        <v>1232</v>
      </c>
      <c r="V144" s="7">
        <v>1075</v>
      </c>
      <c r="W144" s="7" t="s">
        <v>1329</v>
      </c>
      <c r="X144" s="18"/>
      <c r="Y144" s="17"/>
      <c r="Z144" s="17"/>
      <c r="AA144" s="17"/>
      <c r="AB144" s="7" t="s">
        <v>1042</v>
      </c>
      <c r="AC144" s="8"/>
      <c r="AD144" s="8"/>
      <c r="AE144" s="8"/>
      <c r="AF144" s="8" t="s">
        <v>726</v>
      </c>
      <c r="AG144" s="8" t="s">
        <v>726</v>
      </c>
      <c r="AH144" s="8" t="s">
        <v>726</v>
      </c>
      <c r="AI144" s="8" t="s">
        <v>726</v>
      </c>
      <c r="AJ144" s="8" t="s">
        <v>726</v>
      </c>
      <c r="AK144" s="8" t="s">
        <v>726</v>
      </c>
      <c r="AL144" s="8"/>
      <c r="AM144" s="8"/>
      <c r="AN144" s="8"/>
      <c r="AO144" s="8"/>
      <c r="AP144" s="8"/>
      <c r="AQ144" s="8"/>
      <c r="AR144" s="8"/>
      <c r="AS144" s="8"/>
      <c r="AT144" s="8"/>
      <c r="AU144" s="8"/>
      <c r="AV144" s="8"/>
      <c r="AX144" s="142">
        <v>33.94</v>
      </c>
    </row>
    <row r="145" spans="2:50" ht="51">
      <c r="B145" s="27">
        <v>141</v>
      </c>
      <c r="C145" s="43">
        <v>105</v>
      </c>
      <c r="D145" s="54">
        <v>500</v>
      </c>
      <c r="E145" s="123">
        <v>0.66527777777777775</v>
      </c>
      <c r="F145" s="123">
        <v>0.67083333333333339</v>
      </c>
      <c r="G145" s="31" t="s">
        <v>260</v>
      </c>
      <c r="H145" s="43" t="s">
        <v>1985</v>
      </c>
      <c r="I145" s="33">
        <v>5.5</v>
      </c>
      <c r="J145" s="34" t="s">
        <v>116</v>
      </c>
      <c r="K145" s="35">
        <f>55+26</f>
        <v>81</v>
      </c>
      <c r="L145" s="36">
        <f>+K145*I145</f>
        <v>445.5</v>
      </c>
      <c r="M145" s="37" t="s">
        <v>717</v>
      </c>
      <c r="N145" s="79" t="s">
        <v>888</v>
      </c>
      <c r="O145" s="79">
        <v>24</v>
      </c>
      <c r="P145" s="79" t="s">
        <v>1775</v>
      </c>
      <c r="Q145" s="79">
        <v>21</v>
      </c>
      <c r="S145" s="23"/>
      <c r="T145" s="7">
        <v>1072</v>
      </c>
      <c r="U145" s="7" t="s">
        <v>1232</v>
      </c>
      <c r="V145" s="7">
        <v>1075</v>
      </c>
      <c r="W145" s="7" t="s">
        <v>1329</v>
      </c>
      <c r="X145" s="17"/>
      <c r="Y145" s="18"/>
      <c r="Z145" s="18"/>
      <c r="AA145" s="18"/>
      <c r="AB145" s="8" t="s">
        <v>1986</v>
      </c>
      <c r="AC145" s="8"/>
      <c r="AD145" s="8" t="s">
        <v>726</v>
      </c>
      <c r="AE145" s="8" t="s">
        <v>726</v>
      </c>
      <c r="AF145" s="8"/>
      <c r="AG145" s="8" t="s">
        <v>726</v>
      </c>
      <c r="AH145" s="8" t="s">
        <v>726</v>
      </c>
      <c r="AI145" s="8" t="s">
        <v>726</v>
      </c>
      <c r="AJ145" s="8" t="s">
        <v>726</v>
      </c>
      <c r="AK145" s="8" t="s">
        <v>726</v>
      </c>
      <c r="AL145" s="8"/>
      <c r="AM145" s="8"/>
      <c r="AN145" s="8"/>
      <c r="AO145" s="8"/>
      <c r="AP145" s="8"/>
      <c r="AQ145" s="8" t="s">
        <v>726</v>
      </c>
      <c r="AR145" s="8" t="s">
        <v>726</v>
      </c>
      <c r="AS145" s="8" t="s">
        <v>726</v>
      </c>
      <c r="AT145" s="8" t="s">
        <v>726</v>
      </c>
      <c r="AU145" s="8" t="s">
        <v>726</v>
      </c>
      <c r="AV145" s="8"/>
      <c r="AX145" s="142">
        <v>44.62</v>
      </c>
    </row>
    <row r="146" spans="2:50" ht="33.75">
      <c r="B146" s="27">
        <v>142</v>
      </c>
      <c r="C146" s="31">
        <v>105</v>
      </c>
      <c r="D146" s="34">
        <v>628</v>
      </c>
      <c r="E146" s="32">
        <v>0.66597222222222219</v>
      </c>
      <c r="F146" s="42">
        <v>0.66736111111111107</v>
      </c>
      <c r="G146" s="31" t="s">
        <v>533</v>
      </c>
      <c r="H146" s="31" t="s">
        <v>103</v>
      </c>
      <c r="I146" s="33">
        <v>2</v>
      </c>
      <c r="J146" s="34" t="s">
        <v>116</v>
      </c>
      <c r="K146" s="35">
        <v>174</v>
      </c>
      <c r="L146" s="36">
        <f>+K146*I146</f>
        <v>348</v>
      </c>
      <c r="M146" s="37" t="s">
        <v>717</v>
      </c>
      <c r="N146" s="23" t="s">
        <v>888</v>
      </c>
      <c r="O146" s="23">
        <v>24</v>
      </c>
      <c r="P146" s="23" t="s">
        <v>889</v>
      </c>
      <c r="Q146" s="23">
        <v>9</v>
      </c>
      <c r="R146" s="23" t="s">
        <v>886</v>
      </c>
      <c r="S146" s="24">
        <v>9</v>
      </c>
      <c r="T146" s="7">
        <v>1072</v>
      </c>
      <c r="U146" s="7" t="s">
        <v>1232</v>
      </c>
      <c r="V146" s="7">
        <v>1075</v>
      </c>
      <c r="W146" s="7" t="s">
        <v>1329</v>
      </c>
      <c r="X146" s="18"/>
      <c r="Y146" s="17"/>
      <c r="Z146" s="17"/>
      <c r="AA146" s="17"/>
      <c r="AB146" s="7" t="s">
        <v>1042</v>
      </c>
      <c r="AC146" s="8"/>
      <c r="AD146" s="8"/>
      <c r="AE146" s="8"/>
      <c r="AF146" s="8" t="s">
        <v>726</v>
      </c>
      <c r="AG146" s="8" t="s">
        <v>726</v>
      </c>
      <c r="AH146" s="8" t="s">
        <v>726</v>
      </c>
      <c r="AI146" s="8" t="s">
        <v>726</v>
      </c>
      <c r="AJ146" s="8" t="s">
        <v>726</v>
      </c>
      <c r="AK146" s="8" t="s">
        <v>726</v>
      </c>
      <c r="AL146" s="8"/>
      <c r="AM146" s="8"/>
      <c r="AN146" s="8"/>
      <c r="AO146" s="8"/>
      <c r="AP146" s="8"/>
      <c r="AQ146" s="8"/>
      <c r="AR146" s="8"/>
      <c r="AS146" s="8"/>
      <c r="AT146" s="8"/>
      <c r="AU146" s="8"/>
      <c r="AV146" s="8"/>
      <c r="AX146" s="142">
        <v>14.538666666666666</v>
      </c>
    </row>
    <row r="147" spans="2:50" ht="33.75">
      <c r="B147" s="27">
        <v>143</v>
      </c>
      <c r="C147" s="31">
        <v>105</v>
      </c>
      <c r="D147" s="34">
        <v>181</v>
      </c>
      <c r="E147" s="32">
        <v>0.66736111111111107</v>
      </c>
      <c r="F147" s="32">
        <v>0.67638888888888893</v>
      </c>
      <c r="G147" s="31" t="s">
        <v>259</v>
      </c>
      <c r="H147" s="31" t="s">
        <v>103</v>
      </c>
      <c r="I147" s="33">
        <v>5.5</v>
      </c>
      <c r="J147" s="34" t="s">
        <v>116</v>
      </c>
      <c r="K147" s="35">
        <v>174</v>
      </c>
      <c r="L147" s="36">
        <f>+K147*I147</f>
        <v>957</v>
      </c>
      <c r="M147" s="37" t="s">
        <v>717</v>
      </c>
      <c r="N147" s="23" t="s">
        <v>888</v>
      </c>
      <c r="O147" s="23">
        <v>24</v>
      </c>
      <c r="P147" s="23" t="s">
        <v>889</v>
      </c>
      <c r="Q147" s="23">
        <v>9</v>
      </c>
      <c r="R147" s="23" t="s">
        <v>886</v>
      </c>
      <c r="S147" s="24">
        <v>9</v>
      </c>
      <c r="T147" s="7">
        <v>1075</v>
      </c>
      <c r="U147" s="7" t="s">
        <v>1329</v>
      </c>
      <c r="V147" s="7">
        <v>1072</v>
      </c>
      <c r="W147" s="7" t="s">
        <v>1232</v>
      </c>
      <c r="X147" s="18"/>
      <c r="Y147" s="17"/>
      <c r="Z147" s="17"/>
      <c r="AA147" s="17"/>
      <c r="AB147" s="7" t="s">
        <v>1042</v>
      </c>
      <c r="AC147" s="8"/>
      <c r="AD147" s="8"/>
      <c r="AE147" s="8"/>
      <c r="AF147" s="8" t="s">
        <v>726</v>
      </c>
      <c r="AG147" s="8" t="s">
        <v>726</v>
      </c>
      <c r="AH147" s="8" t="s">
        <v>726</v>
      </c>
      <c r="AI147" s="8" t="s">
        <v>726</v>
      </c>
      <c r="AJ147" s="8" t="s">
        <v>726</v>
      </c>
      <c r="AK147" s="8" t="s">
        <v>726</v>
      </c>
      <c r="AL147" s="8"/>
      <c r="AM147" s="8"/>
      <c r="AN147" s="8"/>
      <c r="AO147" s="8"/>
      <c r="AP147" s="8"/>
      <c r="AQ147" s="8"/>
      <c r="AR147" s="8"/>
      <c r="AS147" s="8"/>
      <c r="AT147" s="8"/>
      <c r="AU147" s="8"/>
      <c r="AV147" s="8"/>
      <c r="AX147" s="142">
        <v>39.981333333333332</v>
      </c>
    </row>
    <row r="148" spans="2:50" ht="33.75">
      <c r="B148" s="27">
        <v>144</v>
      </c>
      <c r="C148" s="31">
        <v>105</v>
      </c>
      <c r="D148" s="54">
        <v>150</v>
      </c>
      <c r="E148" s="32">
        <v>0.74375000000000002</v>
      </c>
      <c r="F148" s="32">
        <v>0.75416666666666676</v>
      </c>
      <c r="G148" s="31" t="s">
        <v>261</v>
      </c>
      <c r="H148" s="31" t="s">
        <v>203</v>
      </c>
      <c r="I148" s="33">
        <v>5.5</v>
      </c>
      <c r="J148" s="34" t="s">
        <v>116</v>
      </c>
      <c r="K148" s="35">
        <v>202</v>
      </c>
      <c r="L148" s="36">
        <f>+K148*I148</f>
        <v>1111</v>
      </c>
      <c r="M148" s="37" t="s">
        <v>717</v>
      </c>
      <c r="N148" s="23" t="s">
        <v>888</v>
      </c>
      <c r="O148" s="23">
        <v>24</v>
      </c>
      <c r="P148" s="23" t="s">
        <v>889</v>
      </c>
      <c r="Q148" s="23">
        <v>9</v>
      </c>
      <c r="R148" s="23" t="s">
        <v>886</v>
      </c>
      <c r="S148" s="24">
        <v>9</v>
      </c>
      <c r="T148" s="7">
        <v>1072</v>
      </c>
      <c r="U148" s="7" t="s">
        <v>1232</v>
      </c>
      <c r="V148" s="7">
        <v>1075</v>
      </c>
      <c r="W148" s="7" t="s">
        <v>1329</v>
      </c>
      <c r="X148" s="18"/>
      <c r="Y148" s="17"/>
      <c r="Z148" s="18"/>
      <c r="AA148" s="18"/>
      <c r="AB148" s="7" t="s">
        <v>1048</v>
      </c>
      <c r="AC148" s="8" t="s">
        <v>726</v>
      </c>
      <c r="AD148" s="8"/>
      <c r="AE148" s="8" t="s">
        <v>726</v>
      </c>
      <c r="AF148" s="8"/>
      <c r="AG148" s="8" t="s">
        <v>726</v>
      </c>
      <c r="AH148" s="8" t="s">
        <v>726</v>
      </c>
      <c r="AI148" s="8" t="s">
        <v>726</v>
      </c>
      <c r="AJ148" s="8" t="s">
        <v>726</v>
      </c>
      <c r="AK148" s="8" t="s">
        <v>726</v>
      </c>
      <c r="AL148" s="8"/>
      <c r="AM148" s="8"/>
      <c r="AN148" s="8"/>
      <c r="AO148" s="8"/>
      <c r="AP148" s="8"/>
      <c r="AQ148" s="8"/>
      <c r="AR148" s="8"/>
      <c r="AS148" s="8"/>
      <c r="AT148" s="8"/>
      <c r="AU148" s="8"/>
      <c r="AV148" s="8"/>
      <c r="AX148" s="142">
        <v>11</v>
      </c>
    </row>
    <row r="149" spans="2:50" ht="33.75">
      <c r="B149" s="27">
        <v>145</v>
      </c>
      <c r="C149" s="31">
        <v>105</v>
      </c>
      <c r="D149" s="34">
        <v>150</v>
      </c>
      <c r="E149" s="123">
        <v>0.74375000000000002</v>
      </c>
      <c r="F149" s="123">
        <v>0.75416666666666676</v>
      </c>
      <c r="G149" s="31" t="s">
        <v>261</v>
      </c>
      <c r="H149" s="31" t="s">
        <v>424</v>
      </c>
      <c r="I149" s="33">
        <v>5.5</v>
      </c>
      <c r="J149" s="34" t="s">
        <v>116</v>
      </c>
      <c r="K149" s="35">
        <v>55</v>
      </c>
      <c r="L149" s="36">
        <f>+K149*I149</f>
        <v>302.5</v>
      </c>
      <c r="M149" s="37" t="s">
        <v>717</v>
      </c>
      <c r="N149" s="23" t="s">
        <v>888</v>
      </c>
      <c r="O149" s="23">
        <v>24</v>
      </c>
      <c r="P149" s="23" t="s">
        <v>1775</v>
      </c>
      <c r="Q149" s="23">
        <v>21</v>
      </c>
      <c r="S149" s="23"/>
      <c r="T149" s="7">
        <v>1072</v>
      </c>
      <c r="U149" s="7" t="s">
        <v>1232</v>
      </c>
      <c r="V149" s="7">
        <v>1075</v>
      </c>
      <c r="W149" s="7" t="s">
        <v>1329</v>
      </c>
      <c r="X149" s="17"/>
      <c r="Y149" s="18"/>
      <c r="Z149" s="18"/>
      <c r="AA149" s="18"/>
      <c r="AB149" s="7" t="s">
        <v>1049</v>
      </c>
      <c r="AC149" s="8"/>
      <c r="AD149" s="8" t="s">
        <v>726</v>
      </c>
      <c r="AE149" s="8" t="s">
        <v>726</v>
      </c>
      <c r="AF149" s="8"/>
      <c r="AG149" s="8" t="s">
        <v>726</v>
      </c>
      <c r="AH149" s="8" t="s">
        <v>726</v>
      </c>
      <c r="AI149" s="8" t="s">
        <v>726</v>
      </c>
      <c r="AJ149" s="8" t="s">
        <v>726</v>
      </c>
      <c r="AK149" s="8" t="s">
        <v>726</v>
      </c>
      <c r="AL149" s="8"/>
      <c r="AM149" s="8"/>
      <c r="AN149" s="8"/>
      <c r="AO149" s="8"/>
      <c r="AP149" s="8"/>
      <c r="AQ149" s="8"/>
      <c r="AR149" s="8"/>
      <c r="AS149" s="8"/>
      <c r="AT149" s="8"/>
      <c r="AU149" s="8"/>
      <c r="AV149" s="8"/>
      <c r="AX149" s="142">
        <v>13.75</v>
      </c>
    </row>
    <row r="150" spans="2:50" ht="33.75">
      <c r="B150" s="27">
        <v>146</v>
      </c>
      <c r="C150" s="31">
        <v>105</v>
      </c>
      <c r="D150" s="34">
        <v>218</v>
      </c>
      <c r="E150" s="32">
        <v>0.76111111111111107</v>
      </c>
      <c r="F150" s="32">
        <v>0.7715277777777777</v>
      </c>
      <c r="G150" s="31" t="s">
        <v>261</v>
      </c>
      <c r="H150" s="31" t="s">
        <v>203</v>
      </c>
      <c r="I150" s="33">
        <v>5.5</v>
      </c>
      <c r="J150" s="34" t="s">
        <v>93</v>
      </c>
      <c r="K150" s="35">
        <v>202</v>
      </c>
      <c r="L150" s="36">
        <f>+K150*I150</f>
        <v>1111</v>
      </c>
      <c r="M150" s="37" t="s">
        <v>717</v>
      </c>
      <c r="N150" s="23" t="s">
        <v>888</v>
      </c>
      <c r="O150" s="23">
        <v>24</v>
      </c>
      <c r="P150" s="23" t="s">
        <v>1775</v>
      </c>
      <c r="Q150" s="23">
        <v>21</v>
      </c>
      <c r="S150" s="23"/>
      <c r="T150" s="7">
        <v>1072</v>
      </c>
      <c r="U150" s="7" t="s">
        <v>1232</v>
      </c>
      <c r="V150" s="7">
        <v>1075</v>
      </c>
      <c r="W150" s="7" t="s">
        <v>1329</v>
      </c>
      <c r="X150" s="18"/>
      <c r="Y150" s="17"/>
      <c r="Z150" s="18"/>
      <c r="AA150" s="18"/>
      <c r="AB150" s="7" t="s">
        <v>1048</v>
      </c>
      <c r="AC150" s="8" t="s">
        <v>726</v>
      </c>
      <c r="AD150" s="8"/>
      <c r="AE150" s="8" t="s">
        <v>726</v>
      </c>
      <c r="AF150" s="8"/>
      <c r="AG150" s="8" t="s">
        <v>726</v>
      </c>
      <c r="AH150" s="8" t="s">
        <v>726</v>
      </c>
      <c r="AI150" s="8" t="s">
        <v>726</v>
      </c>
      <c r="AJ150" s="8" t="s">
        <v>726</v>
      </c>
      <c r="AK150" s="8" t="s">
        <v>726</v>
      </c>
      <c r="AL150" s="8"/>
      <c r="AM150" s="8"/>
      <c r="AN150" s="8"/>
      <c r="AO150" s="8"/>
      <c r="AP150" s="8"/>
      <c r="AQ150" s="8"/>
      <c r="AR150" s="8"/>
      <c r="AS150" s="8"/>
      <c r="AT150" s="8"/>
      <c r="AU150" s="8"/>
      <c r="AV150" s="8"/>
      <c r="AX150" s="142">
        <v>12.5</v>
      </c>
    </row>
    <row r="151" spans="2:50" ht="33.75">
      <c r="B151" s="27">
        <v>147</v>
      </c>
      <c r="C151" s="31">
        <v>105</v>
      </c>
      <c r="D151" s="34">
        <v>218</v>
      </c>
      <c r="E151" s="32">
        <v>0.76111111111111107</v>
      </c>
      <c r="F151" s="32">
        <v>0.7715277777777777</v>
      </c>
      <c r="G151" s="31" t="s">
        <v>261</v>
      </c>
      <c r="H151" s="31" t="s">
        <v>424</v>
      </c>
      <c r="I151" s="33">
        <v>5.5</v>
      </c>
      <c r="J151" s="34" t="s">
        <v>93</v>
      </c>
      <c r="K151" s="35">
        <v>55</v>
      </c>
      <c r="L151" s="36">
        <f>+K151*I151</f>
        <v>302.5</v>
      </c>
      <c r="M151" s="37" t="s">
        <v>717</v>
      </c>
      <c r="N151" s="23" t="s">
        <v>888</v>
      </c>
      <c r="O151" s="23">
        <v>24</v>
      </c>
      <c r="P151" s="23" t="s">
        <v>1775</v>
      </c>
      <c r="Q151" s="23">
        <v>21</v>
      </c>
      <c r="S151" s="23"/>
      <c r="T151" s="7">
        <v>1072</v>
      </c>
      <c r="U151" s="7" t="s">
        <v>1232</v>
      </c>
      <c r="V151" s="7">
        <v>1075</v>
      </c>
      <c r="W151" s="7" t="s">
        <v>1329</v>
      </c>
      <c r="X151" s="17"/>
      <c r="Y151" s="18"/>
      <c r="Z151" s="18"/>
      <c r="AA151" s="18"/>
      <c r="AB151" s="7" t="s">
        <v>1049</v>
      </c>
      <c r="AC151" s="8"/>
      <c r="AD151" s="8" t="s">
        <v>726</v>
      </c>
      <c r="AE151" s="8" t="s">
        <v>726</v>
      </c>
      <c r="AF151" s="8"/>
      <c r="AG151" s="8" t="s">
        <v>726</v>
      </c>
      <c r="AH151" s="8" t="s">
        <v>726</v>
      </c>
      <c r="AI151" s="8" t="s">
        <v>726</v>
      </c>
      <c r="AJ151" s="8" t="s">
        <v>726</v>
      </c>
      <c r="AK151" s="8" t="s">
        <v>726</v>
      </c>
      <c r="AL151" s="8"/>
      <c r="AM151" s="8"/>
      <c r="AN151" s="8"/>
      <c r="AO151" s="8"/>
      <c r="AP151" s="8"/>
      <c r="AQ151" s="8"/>
      <c r="AR151" s="8"/>
      <c r="AS151" s="8"/>
      <c r="AT151" s="8"/>
      <c r="AU151" s="8"/>
      <c r="AV151" s="8"/>
      <c r="AX151" s="142">
        <v>13.75</v>
      </c>
    </row>
    <row r="152" spans="2:50" ht="33.75">
      <c r="B152" s="27">
        <v>148</v>
      </c>
      <c r="C152" s="31">
        <v>105</v>
      </c>
      <c r="D152" s="34">
        <v>158</v>
      </c>
      <c r="E152" s="32">
        <v>0.8027777777777777</v>
      </c>
      <c r="F152" s="32">
        <v>0.81319444444444444</v>
      </c>
      <c r="G152" s="31" t="s">
        <v>261</v>
      </c>
      <c r="H152" s="31" t="s">
        <v>203</v>
      </c>
      <c r="I152" s="33">
        <v>5.5</v>
      </c>
      <c r="J152" s="34" t="s">
        <v>93</v>
      </c>
      <c r="K152" s="35">
        <v>202</v>
      </c>
      <c r="L152" s="36">
        <f>+K152*I152</f>
        <v>1111</v>
      </c>
      <c r="M152" s="37" t="s">
        <v>717</v>
      </c>
      <c r="N152" s="23" t="s">
        <v>888</v>
      </c>
      <c r="O152" s="23">
        <v>24</v>
      </c>
      <c r="P152" s="23" t="s">
        <v>1775</v>
      </c>
      <c r="Q152" s="23">
        <v>21</v>
      </c>
      <c r="S152" s="23"/>
      <c r="T152" s="7">
        <v>1072</v>
      </c>
      <c r="U152" s="7" t="s">
        <v>1232</v>
      </c>
      <c r="V152" s="7">
        <v>1075</v>
      </c>
      <c r="W152" s="7" t="s">
        <v>1329</v>
      </c>
      <c r="X152" s="18"/>
      <c r="Y152" s="17"/>
      <c r="Z152" s="18"/>
      <c r="AA152" s="18"/>
      <c r="AB152" s="7" t="s">
        <v>1048</v>
      </c>
      <c r="AC152" s="8" t="s">
        <v>726</v>
      </c>
      <c r="AD152" s="8"/>
      <c r="AE152" s="8" t="s">
        <v>726</v>
      </c>
      <c r="AF152" s="8"/>
      <c r="AG152" s="8" t="s">
        <v>726</v>
      </c>
      <c r="AH152" s="8" t="s">
        <v>726</v>
      </c>
      <c r="AI152" s="8" t="s">
        <v>726</v>
      </c>
      <c r="AJ152" s="8" t="s">
        <v>726</v>
      </c>
      <c r="AK152" s="8" t="s">
        <v>726</v>
      </c>
      <c r="AL152" s="8"/>
      <c r="AM152" s="8"/>
      <c r="AN152" s="8"/>
      <c r="AO152" s="8"/>
      <c r="AP152" s="8"/>
      <c r="AQ152" s="8"/>
      <c r="AR152" s="8"/>
      <c r="AS152" s="8"/>
      <c r="AT152" s="8"/>
      <c r="AU152" s="8"/>
      <c r="AV152" s="8"/>
      <c r="AX152" s="142">
        <v>12.5</v>
      </c>
    </row>
    <row r="153" spans="2:50" ht="33.75">
      <c r="B153" s="27">
        <v>149</v>
      </c>
      <c r="C153" s="31">
        <v>105</v>
      </c>
      <c r="D153" s="34">
        <v>158</v>
      </c>
      <c r="E153" s="32">
        <v>0.8027777777777777</v>
      </c>
      <c r="F153" s="32">
        <v>0.81319444444444444</v>
      </c>
      <c r="G153" s="31" t="s">
        <v>261</v>
      </c>
      <c r="H153" s="31" t="s">
        <v>424</v>
      </c>
      <c r="I153" s="33">
        <v>5.5</v>
      </c>
      <c r="J153" s="34" t="s">
        <v>93</v>
      </c>
      <c r="K153" s="35">
        <v>55</v>
      </c>
      <c r="L153" s="36">
        <f>+K153*I153</f>
        <v>302.5</v>
      </c>
      <c r="M153" s="37" t="s">
        <v>717</v>
      </c>
      <c r="N153" s="23" t="s">
        <v>888</v>
      </c>
      <c r="O153" s="23">
        <v>24</v>
      </c>
      <c r="P153" s="23" t="s">
        <v>1775</v>
      </c>
      <c r="Q153" s="23">
        <v>21</v>
      </c>
      <c r="S153" s="23"/>
      <c r="T153" s="7">
        <v>1072</v>
      </c>
      <c r="U153" s="7" t="s">
        <v>1232</v>
      </c>
      <c r="V153" s="7">
        <v>1075</v>
      </c>
      <c r="W153" s="7" t="s">
        <v>1329</v>
      </c>
      <c r="X153" s="17"/>
      <c r="Y153" s="18"/>
      <c r="Z153" s="18"/>
      <c r="AA153" s="18"/>
      <c r="AB153" s="7" t="s">
        <v>1049</v>
      </c>
      <c r="AC153" s="8"/>
      <c r="AD153" s="8" t="s">
        <v>726</v>
      </c>
      <c r="AE153" s="8" t="s">
        <v>726</v>
      </c>
      <c r="AF153" s="8"/>
      <c r="AG153" s="8" t="s">
        <v>726</v>
      </c>
      <c r="AH153" s="8" t="s">
        <v>726</v>
      </c>
      <c r="AI153" s="8" t="s">
        <v>726</v>
      </c>
      <c r="AJ153" s="8" t="s">
        <v>726</v>
      </c>
      <c r="AK153" s="8" t="s">
        <v>726</v>
      </c>
      <c r="AL153" s="8"/>
      <c r="AM153" s="8"/>
      <c r="AN153" s="8"/>
      <c r="AO153" s="8"/>
      <c r="AP153" s="8"/>
      <c r="AQ153" s="8"/>
      <c r="AR153" s="8"/>
      <c r="AS153" s="8"/>
      <c r="AT153" s="8"/>
      <c r="AU153" s="8"/>
      <c r="AV153" s="8"/>
      <c r="AX153" s="142">
        <v>13.75</v>
      </c>
    </row>
    <row r="154" spans="2:50" ht="22.5">
      <c r="B154" s="27">
        <v>150</v>
      </c>
      <c r="C154" s="38">
        <v>106</v>
      </c>
      <c r="D154" s="38">
        <v>295</v>
      </c>
      <c r="E154" s="39">
        <v>0.25416666666666665</v>
      </c>
      <c r="F154" s="39">
        <v>0.2673611111111111</v>
      </c>
      <c r="G154" s="40" t="s">
        <v>52</v>
      </c>
      <c r="H154" s="40" t="s">
        <v>1</v>
      </c>
      <c r="I154" s="38">
        <v>8</v>
      </c>
      <c r="J154" s="41">
        <v>19</v>
      </c>
      <c r="K154" s="35">
        <v>67</v>
      </c>
      <c r="L154" s="36">
        <f>+K154*I154</f>
        <v>536</v>
      </c>
      <c r="M154" s="37" t="s">
        <v>729</v>
      </c>
      <c r="N154" s="23" t="s">
        <v>1011</v>
      </c>
      <c r="O154" s="23">
        <v>25</v>
      </c>
      <c r="P154" s="23" t="s">
        <v>1781</v>
      </c>
      <c r="Q154" s="23">
        <v>23</v>
      </c>
      <c r="R154" s="2" t="s">
        <v>1846</v>
      </c>
      <c r="S154" s="24">
        <v>23</v>
      </c>
      <c r="T154" s="7">
        <v>6096</v>
      </c>
      <c r="U154" s="7" t="s">
        <v>1330</v>
      </c>
      <c r="V154" s="7">
        <v>6100</v>
      </c>
      <c r="W154" s="7" t="s">
        <v>1331</v>
      </c>
      <c r="X154" s="17"/>
      <c r="Y154" s="18"/>
      <c r="Z154" s="18"/>
      <c r="AA154" s="18"/>
      <c r="AB154" s="8" t="s">
        <v>1047</v>
      </c>
      <c r="AC154" s="8"/>
      <c r="AD154" s="8" t="s">
        <v>726</v>
      </c>
      <c r="AE154" s="8" t="s">
        <v>726</v>
      </c>
      <c r="AF154" s="8"/>
      <c r="AG154" s="8" t="s">
        <v>726</v>
      </c>
      <c r="AH154" s="8" t="s">
        <v>726</v>
      </c>
      <c r="AI154" s="8" t="s">
        <v>726</v>
      </c>
      <c r="AJ154" s="8" t="s">
        <v>726</v>
      </c>
      <c r="AK154" s="8" t="s">
        <v>726</v>
      </c>
      <c r="AL154" s="8" t="s">
        <v>726</v>
      </c>
      <c r="AM154" s="8"/>
      <c r="AN154" s="8"/>
      <c r="AO154" s="8"/>
      <c r="AP154" s="8"/>
      <c r="AQ154" s="8"/>
      <c r="AR154" s="8"/>
      <c r="AS154" s="8"/>
      <c r="AT154" s="8"/>
      <c r="AU154" s="8"/>
      <c r="AV154" s="8"/>
      <c r="AX154" s="142">
        <v>18.441935483870967</v>
      </c>
    </row>
    <row r="155" spans="2:50" ht="25.5">
      <c r="B155" s="27">
        <v>151</v>
      </c>
      <c r="C155" s="31">
        <v>106</v>
      </c>
      <c r="D155" s="34">
        <v>281</v>
      </c>
      <c r="E155" s="32">
        <v>0.27083333333333331</v>
      </c>
      <c r="F155" s="32">
        <v>0.28402777777777777</v>
      </c>
      <c r="G155" s="31" t="s">
        <v>727</v>
      </c>
      <c r="H155" s="31" t="s">
        <v>97</v>
      </c>
      <c r="I155" s="33">
        <v>8</v>
      </c>
      <c r="J155" s="34" t="s">
        <v>93</v>
      </c>
      <c r="K155" s="35">
        <v>208</v>
      </c>
      <c r="L155" s="36">
        <f>+K155*I155</f>
        <v>1664</v>
      </c>
      <c r="M155" s="37" t="s">
        <v>729</v>
      </c>
      <c r="N155" s="23" t="s">
        <v>1011</v>
      </c>
      <c r="O155" s="23">
        <v>25</v>
      </c>
      <c r="P155" s="23" t="s">
        <v>1781</v>
      </c>
      <c r="Q155" s="23">
        <v>23</v>
      </c>
      <c r="R155" s="2" t="s">
        <v>1846</v>
      </c>
      <c r="S155" s="24">
        <v>23</v>
      </c>
      <c r="T155" s="7">
        <v>6096</v>
      </c>
      <c r="U155" s="7" t="s">
        <v>1330</v>
      </c>
      <c r="V155" s="7">
        <v>6100</v>
      </c>
      <c r="W155" s="7" t="s">
        <v>1331</v>
      </c>
      <c r="X155" s="18"/>
      <c r="Y155" s="17"/>
      <c r="Z155" s="17"/>
      <c r="AA155" s="17"/>
      <c r="AB155" s="7" t="s">
        <v>1046</v>
      </c>
      <c r="AC155" s="8"/>
      <c r="AD155" s="8"/>
      <c r="AE155" s="8"/>
      <c r="AF155" s="8" t="s">
        <v>726</v>
      </c>
      <c r="AG155" s="8" t="s">
        <v>726</v>
      </c>
      <c r="AH155" s="8" t="s">
        <v>726</v>
      </c>
      <c r="AI155" s="8" t="s">
        <v>726</v>
      </c>
      <c r="AJ155" s="8" t="s">
        <v>726</v>
      </c>
      <c r="AK155" s="8" t="s">
        <v>726</v>
      </c>
      <c r="AL155" s="8" t="s">
        <v>726</v>
      </c>
      <c r="AM155" s="8"/>
      <c r="AN155" s="8"/>
      <c r="AO155" s="8"/>
      <c r="AP155" s="8"/>
      <c r="AQ155" s="8"/>
      <c r="AR155" s="8"/>
      <c r="AS155" s="8"/>
      <c r="AT155" s="8"/>
      <c r="AU155" s="8"/>
      <c r="AV155" s="8"/>
      <c r="AX155" s="142">
        <v>18.441935483870967</v>
      </c>
    </row>
    <row r="156" spans="2:50" ht="33.75">
      <c r="B156" s="27">
        <v>152</v>
      </c>
      <c r="C156" s="38">
        <v>106</v>
      </c>
      <c r="D156" s="38">
        <v>290</v>
      </c>
      <c r="E156" s="39">
        <v>0.27986111111111112</v>
      </c>
      <c r="F156" s="39">
        <v>0.29444444444444445</v>
      </c>
      <c r="G156" s="40" t="s">
        <v>51</v>
      </c>
      <c r="H156" s="40" t="s">
        <v>267</v>
      </c>
      <c r="I156" s="38">
        <v>9</v>
      </c>
      <c r="J156" s="41">
        <v>19</v>
      </c>
      <c r="K156" s="35">
        <v>55</v>
      </c>
      <c r="L156" s="36">
        <f>+K156*I156</f>
        <v>495</v>
      </c>
      <c r="M156" s="37" t="s">
        <v>729</v>
      </c>
      <c r="N156" s="23" t="s">
        <v>1011</v>
      </c>
      <c r="O156" s="23">
        <v>25</v>
      </c>
      <c r="P156" s="23" t="s">
        <v>1781</v>
      </c>
      <c r="Q156" s="23">
        <v>23</v>
      </c>
      <c r="R156" s="2" t="s">
        <v>1846</v>
      </c>
      <c r="S156" s="24">
        <v>23</v>
      </c>
      <c r="T156" s="7" t="s">
        <v>1332</v>
      </c>
      <c r="U156" s="7" t="s">
        <v>1333</v>
      </c>
      <c r="V156" s="7">
        <v>6096</v>
      </c>
      <c r="W156" s="7" t="s">
        <v>1330</v>
      </c>
      <c r="X156" s="17"/>
      <c r="Y156" s="18"/>
      <c r="Z156" s="18"/>
      <c r="AA156" s="18"/>
      <c r="AB156" s="7" t="s">
        <v>1049</v>
      </c>
      <c r="AC156" s="8"/>
      <c r="AD156" s="8" t="s">
        <v>726</v>
      </c>
      <c r="AE156" s="8" t="s">
        <v>726</v>
      </c>
      <c r="AF156" s="8"/>
      <c r="AG156" s="8" t="s">
        <v>726</v>
      </c>
      <c r="AH156" s="8" t="s">
        <v>726</v>
      </c>
      <c r="AI156" s="8" t="s">
        <v>726</v>
      </c>
      <c r="AJ156" s="8" t="s">
        <v>726</v>
      </c>
      <c r="AK156" s="8" t="s">
        <v>726</v>
      </c>
      <c r="AL156" s="8"/>
      <c r="AM156" s="8"/>
      <c r="AN156" s="8"/>
      <c r="AO156" s="8"/>
      <c r="AP156" s="8"/>
      <c r="AQ156" s="8"/>
      <c r="AR156" s="8"/>
      <c r="AS156" s="8"/>
      <c r="AT156" s="8"/>
      <c r="AU156" s="8"/>
      <c r="AV156" s="8"/>
      <c r="AX156" s="142">
        <v>20.747177419354838</v>
      </c>
    </row>
    <row r="157" spans="2:50" ht="25.5">
      <c r="B157" s="27">
        <v>153</v>
      </c>
      <c r="C157" s="38">
        <v>106</v>
      </c>
      <c r="D157" s="38">
        <v>285</v>
      </c>
      <c r="E157" s="39">
        <v>0.29375000000000001</v>
      </c>
      <c r="F157" s="39">
        <v>0.30694444444444441</v>
      </c>
      <c r="G157" s="40" t="s">
        <v>52</v>
      </c>
      <c r="H157" s="40" t="s">
        <v>267</v>
      </c>
      <c r="I157" s="38">
        <v>8</v>
      </c>
      <c r="J157" s="41">
        <v>19</v>
      </c>
      <c r="K157" s="35">
        <v>55</v>
      </c>
      <c r="L157" s="36">
        <f>+K157*I157</f>
        <v>440</v>
      </c>
      <c r="M157" s="37" t="s">
        <v>729</v>
      </c>
      <c r="N157" s="23" t="s">
        <v>1011</v>
      </c>
      <c r="O157" s="23">
        <v>25</v>
      </c>
      <c r="P157" s="23" t="s">
        <v>1781</v>
      </c>
      <c r="Q157" s="23">
        <v>23</v>
      </c>
      <c r="R157" s="2" t="s">
        <v>1846</v>
      </c>
      <c r="S157" s="24">
        <v>23</v>
      </c>
      <c r="T157" s="7">
        <v>6096</v>
      </c>
      <c r="U157" s="7" t="s">
        <v>1330</v>
      </c>
      <c r="V157" s="7">
        <v>6100</v>
      </c>
      <c r="W157" s="7" t="s">
        <v>1331</v>
      </c>
      <c r="X157" s="17"/>
      <c r="Y157" s="18"/>
      <c r="Z157" s="18"/>
      <c r="AA157" s="18"/>
      <c r="AB157" s="7" t="s">
        <v>1049</v>
      </c>
      <c r="AC157" s="8"/>
      <c r="AD157" s="8" t="s">
        <v>726</v>
      </c>
      <c r="AE157" s="8" t="s">
        <v>726</v>
      </c>
      <c r="AF157" s="8"/>
      <c r="AG157" s="8" t="s">
        <v>726</v>
      </c>
      <c r="AH157" s="8" t="s">
        <v>726</v>
      </c>
      <c r="AI157" s="8" t="s">
        <v>726</v>
      </c>
      <c r="AJ157" s="8" t="s">
        <v>726</v>
      </c>
      <c r="AK157" s="8" t="s">
        <v>726</v>
      </c>
      <c r="AL157" s="8"/>
      <c r="AM157" s="8"/>
      <c r="AN157" s="8"/>
      <c r="AO157" s="8"/>
      <c r="AP157" s="8"/>
      <c r="AQ157" s="8"/>
      <c r="AR157" s="8"/>
      <c r="AS157" s="8"/>
      <c r="AT157" s="8"/>
      <c r="AU157" s="8"/>
      <c r="AV157" s="8"/>
      <c r="AX157" s="142">
        <v>18.441935483870967</v>
      </c>
    </row>
    <row r="158" spans="2:50" ht="33.75">
      <c r="B158" s="27">
        <v>154</v>
      </c>
      <c r="C158" s="38">
        <v>106</v>
      </c>
      <c r="D158" s="38">
        <v>302</v>
      </c>
      <c r="E158" s="39">
        <v>0.34027777777777773</v>
      </c>
      <c r="F158" s="39">
        <v>0.35347222222222219</v>
      </c>
      <c r="G158" s="40" t="s">
        <v>51</v>
      </c>
      <c r="H158" s="40" t="s">
        <v>267</v>
      </c>
      <c r="I158" s="38">
        <v>9</v>
      </c>
      <c r="J158" s="41">
        <v>19</v>
      </c>
      <c r="K158" s="35">
        <v>55</v>
      </c>
      <c r="L158" s="36">
        <f>+K158*I158</f>
        <v>495</v>
      </c>
      <c r="M158" s="37" t="s">
        <v>729</v>
      </c>
      <c r="N158" s="23" t="s">
        <v>1011</v>
      </c>
      <c r="O158" s="23">
        <v>25</v>
      </c>
      <c r="P158" s="23" t="s">
        <v>1781</v>
      </c>
      <c r="Q158" s="23">
        <v>23</v>
      </c>
      <c r="R158" s="2" t="s">
        <v>1846</v>
      </c>
      <c r="S158" s="24">
        <v>23</v>
      </c>
      <c r="T158" s="7" t="s">
        <v>1332</v>
      </c>
      <c r="U158" s="7" t="s">
        <v>1333</v>
      </c>
      <c r="V158" s="7">
        <v>6096</v>
      </c>
      <c r="W158" s="7" t="s">
        <v>1330</v>
      </c>
      <c r="X158" s="17"/>
      <c r="Y158" s="18"/>
      <c r="Z158" s="18"/>
      <c r="AA158" s="18"/>
      <c r="AB158" s="7" t="s">
        <v>1049</v>
      </c>
      <c r="AC158" s="8"/>
      <c r="AD158" s="8" t="s">
        <v>726</v>
      </c>
      <c r="AE158" s="8" t="s">
        <v>726</v>
      </c>
      <c r="AF158" s="8"/>
      <c r="AG158" s="8" t="s">
        <v>726</v>
      </c>
      <c r="AH158" s="8" t="s">
        <v>726</v>
      </c>
      <c r="AI158" s="8" t="s">
        <v>726</v>
      </c>
      <c r="AJ158" s="8" t="s">
        <v>726</v>
      </c>
      <c r="AK158" s="8" t="s">
        <v>726</v>
      </c>
      <c r="AL158" s="8"/>
      <c r="AM158" s="8"/>
      <c r="AN158" s="8"/>
      <c r="AO158" s="8"/>
      <c r="AP158" s="8"/>
      <c r="AQ158" s="8"/>
      <c r="AR158" s="8"/>
      <c r="AS158" s="8"/>
      <c r="AT158" s="8"/>
      <c r="AU158" s="8"/>
      <c r="AV158" s="8"/>
      <c r="AX158" s="142">
        <v>20.747177419354838</v>
      </c>
    </row>
    <row r="159" spans="2:50" ht="25.5">
      <c r="B159" s="27">
        <v>155</v>
      </c>
      <c r="C159" s="38">
        <v>106</v>
      </c>
      <c r="D159" s="53">
        <v>303</v>
      </c>
      <c r="E159" s="44">
        <v>0.37152777777777773</v>
      </c>
      <c r="F159" s="44">
        <v>0.38472222222222219</v>
      </c>
      <c r="G159" s="40" t="s">
        <v>52</v>
      </c>
      <c r="H159" s="40" t="s">
        <v>267</v>
      </c>
      <c r="I159" s="38">
        <v>8</v>
      </c>
      <c r="J159" s="41">
        <v>19</v>
      </c>
      <c r="K159" s="35">
        <v>55</v>
      </c>
      <c r="L159" s="36">
        <f>+K159*I159</f>
        <v>440</v>
      </c>
      <c r="M159" s="37" t="s">
        <v>729</v>
      </c>
      <c r="N159" s="23" t="s">
        <v>1011</v>
      </c>
      <c r="O159" s="23">
        <v>25</v>
      </c>
      <c r="P159" s="23" t="s">
        <v>1781</v>
      </c>
      <c r="Q159" s="23">
        <v>23</v>
      </c>
      <c r="R159" s="2" t="s">
        <v>1846</v>
      </c>
      <c r="S159" s="24">
        <v>23</v>
      </c>
      <c r="T159" s="7">
        <v>6096</v>
      </c>
      <c r="U159" s="7" t="s">
        <v>1330</v>
      </c>
      <c r="V159" s="7">
        <v>6100</v>
      </c>
      <c r="W159" s="7" t="s">
        <v>1331</v>
      </c>
      <c r="X159" s="17"/>
      <c r="Y159" s="18"/>
      <c r="Z159" s="18"/>
      <c r="AA159" s="18"/>
      <c r="AB159" s="7" t="s">
        <v>1049</v>
      </c>
      <c r="AC159" s="8"/>
      <c r="AD159" s="8" t="s">
        <v>726</v>
      </c>
      <c r="AE159" s="8" t="s">
        <v>726</v>
      </c>
      <c r="AF159" s="8"/>
      <c r="AG159" s="8" t="s">
        <v>726</v>
      </c>
      <c r="AH159" s="8" t="s">
        <v>726</v>
      </c>
      <c r="AI159" s="8" t="s">
        <v>726</v>
      </c>
      <c r="AJ159" s="8" t="s">
        <v>726</v>
      </c>
      <c r="AK159" s="8" t="s">
        <v>726</v>
      </c>
      <c r="AL159" s="8"/>
      <c r="AM159" s="8"/>
      <c r="AN159" s="8"/>
      <c r="AO159" s="8"/>
      <c r="AP159" s="8"/>
      <c r="AQ159" s="8"/>
      <c r="AR159" s="8"/>
      <c r="AS159" s="8"/>
      <c r="AT159" s="8"/>
      <c r="AU159" s="8"/>
      <c r="AV159" s="8"/>
      <c r="AX159" s="142">
        <v>18.441935483870967</v>
      </c>
    </row>
    <row r="160" spans="2:50" ht="33.75">
      <c r="B160" s="27">
        <v>156</v>
      </c>
      <c r="C160" s="38">
        <v>106</v>
      </c>
      <c r="D160" s="53">
        <v>286</v>
      </c>
      <c r="E160" s="44">
        <v>0.59375</v>
      </c>
      <c r="F160" s="44">
        <v>0.6069444444444444</v>
      </c>
      <c r="G160" s="40" t="s">
        <v>51</v>
      </c>
      <c r="H160" s="40" t="s">
        <v>1</v>
      </c>
      <c r="I160" s="38">
        <v>9</v>
      </c>
      <c r="J160" s="41">
        <v>19</v>
      </c>
      <c r="K160" s="35">
        <v>67</v>
      </c>
      <c r="L160" s="36">
        <f>+K160*I160</f>
        <v>603</v>
      </c>
      <c r="M160" s="37" t="s">
        <v>729</v>
      </c>
      <c r="N160" s="23" t="s">
        <v>1011</v>
      </c>
      <c r="O160" s="23">
        <v>25</v>
      </c>
      <c r="P160" s="23" t="s">
        <v>1781</v>
      </c>
      <c r="Q160" s="23">
        <v>23</v>
      </c>
      <c r="R160" s="2" t="s">
        <v>1846</v>
      </c>
      <c r="S160" s="24">
        <v>23</v>
      </c>
      <c r="T160" s="7" t="s">
        <v>1332</v>
      </c>
      <c r="U160" s="7" t="s">
        <v>1333</v>
      </c>
      <c r="V160" s="7">
        <v>6096</v>
      </c>
      <c r="W160" s="7" t="s">
        <v>1330</v>
      </c>
      <c r="X160" s="17"/>
      <c r="Y160" s="18"/>
      <c r="Z160" s="18"/>
      <c r="AA160" s="18"/>
      <c r="AB160" s="8" t="s">
        <v>1047</v>
      </c>
      <c r="AC160" s="8"/>
      <c r="AD160" s="8" t="s">
        <v>726</v>
      </c>
      <c r="AE160" s="8" t="s">
        <v>726</v>
      </c>
      <c r="AF160" s="8"/>
      <c r="AG160" s="8" t="s">
        <v>726</v>
      </c>
      <c r="AH160" s="8" t="s">
        <v>726</v>
      </c>
      <c r="AI160" s="8" t="s">
        <v>726</v>
      </c>
      <c r="AJ160" s="8" t="s">
        <v>726</v>
      </c>
      <c r="AK160" s="8" t="s">
        <v>726</v>
      </c>
      <c r="AL160" s="8" t="s">
        <v>726</v>
      </c>
      <c r="AM160" s="8"/>
      <c r="AN160" s="8"/>
      <c r="AO160" s="8"/>
      <c r="AP160" s="8"/>
      <c r="AQ160" s="8"/>
      <c r="AR160" s="8"/>
      <c r="AS160" s="8"/>
      <c r="AT160" s="8"/>
      <c r="AU160" s="8"/>
      <c r="AV160" s="8"/>
      <c r="AX160" s="142">
        <v>20.747177419354838</v>
      </c>
    </row>
    <row r="161" spans="1:50" ht="22.5">
      <c r="B161" s="27">
        <v>157</v>
      </c>
      <c r="C161" s="38">
        <v>106</v>
      </c>
      <c r="D161" s="38">
        <v>287</v>
      </c>
      <c r="E161" s="39">
        <v>0.64236111111111105</v>
      </c>
      <c r="F161" s="39">
        <v>0.65555555555555556</v>
      </c>
      <c r="G161" s="40" t="s">
        <v>52</v>
      </c>
      <c r="H161" s="40" t="s">
        <v>1</v>
      </c>
      <c r="I161" s="38">
        <v>8</v>
      </c>
      <c r="J161" s="41">
        <v>19</v>
      </c>
      <c r="K161" s="35">
        <v>67</v>
      </c>
      <c r="L161" s="36">
        <f>+K161*I161</f>
        <v>536</v>
      </c>
      <c r="M161" s="37" t="s">
        <v>729</v>
      </c>
      <c r="N161" s="23" t="s">
        <v>1011</v>
      </c>
      <c r="O161" s="23">
        <v>25</v>
      </c>
      <c r="P161" s="23" t="s">
        <v>1781</v>
      </c>
      <c r="Q161" s="23">
        <v>23</v>
      </c>
      <c r="R161" s="2" t="s">
        <v>1846</v>
      </c>
      <c r="S161" s="24">
        <v>23</v>
      </c>
      <c r="T161" s="7">
        <v>6096</v>
      </c>
      <c r="U161" s="7" t="s">
        <v>1330</v>
      </c>
      <c r="V161" s="7">
        <v>6100</v>
      </c>
      <c r="W161" s="7" t="s">
        <v>1331</v>
      </c>
      <c r="X161" s="17"/>
      <c r="Y161" s="18"/>
      <c r="Z161" s="18"/>
      <c r="AA161" s="18"/>
      <c r="AB161" s="8" t="s">
        <v>1047</v>
      </c>
      <c r="AC161" s="8"/>
      <c r="AD161" s="8" t="s">
        <v>726</v>
      </c>
      <c r="AE161" s="8" t="s">
        <v>726</v>
      </c>
      <c r="AF161" s="8"/>
      <c r="AG161" s="8" t="s">
        <v>726</v>
      </c>
      <c r="AH161" s="8" t="s">
        <v>726</v>
      </c>
      <c r="AI161" s="8" t="s">
        <v>726</v>
      </c>
      <c r="AJ161" s="8" t="s">
        <v>726</v>
      </c>
      <c r="AK161" s="8" t="s">
        <v>726</v>
      </c>
      <c r="AL161" s="8" t="s">
        <v>726</v>
      </c>
      <c r="AM161" s="8"/>
      <c r="AN161" s="8"/>
      <c r="AO161" s="8"/>
      <c r="AP161" s="8"/>
      <c r="AQ161" s="8"/>
      <c r="AR161" s="8"/>
      <c r="AS161" s="8"/>
      <c r="AT161" s="8"/>
      <c r="AU161" s="8"/>
      <c r="AV161" s="8"/>
      <c r="AX161" s="142">
        <v>18.441935483870967</v>
      </c>
    </row>
    <row r="162" spans="1:50" ht="33.75">
      <c r="B162" s="27">
        <v>158</v>
      </c>
      <c r="C162" s="31">
        <v>106</v>
      </c>
      <c r="D162" s="31">
        <v>288</v>
      </c>
      <c r="E162" s="32">
        <v>0.74722222222222223</v>
      </c>
      <c r="F162" s="32">
        <v>0.76041666666666663</v>
      </c>
      <c r="G162" s="31" t="s">
        <v>413</v>
      </c>
      <c r="H162" s="31" t="s">
        <v>477</v>
      </c>
      <c r="I162" s="33">
        <v>9</v>
      </c>
      <c r="J162" s="34" t="s">
        <v>146</v>
      </c>
      <c r="K162" s="35">
        <v>240</v>
      </c>
      <c r="L162" s="36">
        <f>+K162*I162</f>
        <v>2160</v>
      </c>
      <c r="M162" s="37" t="s">
        <v>728</v>
      </c>
      <c r="N162" s="23" t="s">
        <v>898</v>
      </c>
      <c r="O162" s="23">
        <v>24</v>
      </c>
      <c r="P162" s="23" t="s">
        <v>899</v>
      </c>
      <c r="Q162" s="23">
        <v>21</v>
      </c>
      <c r="S162" s="23"/>
      <c r="T162" s="7" t="s">
        <v>1332</v>
      </c>
      <c r="U162" s="7" t="s">
        <v>1333</v>
      </c>
      <c r="V162" s="7">
        <v>6096</v>
      </c>
      <c r="W162" s="7" t="s">
        <v>1330</v>
      </c>
      <c r="X162" s="18"/>
      <c r="Y162" s="17"/>
      <c r="Z162" s="18"/>
      <c r="AA162" s="18"/>
      <c r="AB162" s="7" t="s">
        <v>1052</v>
      </c>
      <c r="AC162" s="8" t="s">
        <v>726</v>
      </c>
      <c r="AD162" s="8"/>
      <c r="AE162" s="8" t="s">
        <v>726</v>
      </c>
      <c r="AF162" s="8"/>
      <c r="AG162" s="8" t="s">
        <v>726</v>
      </c>
      <c r="AH162" s="8" t="s">
        <v>726</v>
      </c>
      <c r="AI162" s="8" t="s">
        <v>726</v>
      </c>
      <c r="AJ162" s="8" t="s">
        <v>726</v>
      </c>
      <c r="AK162" s="8" t="s">
        <v>726</v>
      </c>
      <c r="AL162" s="8" t="s">
        <v>726</v>
      </c>
      <c r="AM162" s="8"/>
      <c r="AN162" s="8"/>
      <c r="AO162" s="8"/>
      <c r="AP162" s="8"/>
      <c r="AQ162" s="8"/>
      <c r="AR162" s="8"/>
      <c r="AS162" s="8"/>
      <c r="AT162" s="8"/>
      <c r="AU162" s="8"/>
      <c r="AV162" s="8"/>
      <c r="AX162" s="142">
        <v>22.5</v>
      </c>
    </row>
    <row r="163" spans="1:50" ht="25.5">
      <c r="B163" s="27">
        <v>159</v>
      </c>
      <c r="C163" s="31">
        <v>106</v>
      </c>
      <c r="D163" s="31">
        <v>289</v>
      </c>
      <c r="E163" s="32">
        <v>0.76111111111111107</v>
      </c>
      <c r="F163" s="32">
        <v>0.77430555555555547</v>
      </c>
      <c r="G163" s="31" t="s">
        <v>414</v>
      </c>
      <c r="H163" s="31" t="s">
        <v>477</v>
      </c>
      <c r="I163" s="33">
        <v>8</v>
      </c>
      <c r="J163" s="34" t="s">
        <v>146</v>
      </c>
      <c r="K163" s="35">
        <v>240</v>
      </c>
      <c r="L163" s="36">
        <f>+K163*I163</f>
        <v>1920</v>
      </c>
      <c r="M163" s="37" t="s">
        <v>728</v>
      </c>
      <c r="N163" s="23" t="s">
        <v>898</v>
      </c>
      <c r="O163" s="23">
        <v>24</v>
      </c>
      <c r="P163" s="23" t="s">
        <v>899</v>
      </c>
      <c r="Q163" s="23">
        <v>21</v>
      </c>
      <c r="S163" s="23"/>
      <c r="T163" s="7">
        <v>6096</v>
      </c>
      <c r="U163" s="7" t="s">
        <v>1330</v>
      </c>
      <c r="V163" s="7">
        <v>6100</v>
      </c>
      <c r="W163" s="7" t="s">
        <v>1331</v>
      </c>
      <c r="X163" s="18"/>
      <c r="Y163" s="17"/>
      <c r="Z163" s="18"/>
      <c r="AA163" s="18"/>
      <c r="AB163" s="7" t="s">
        <v>1052</v>
      </c>
      <c r="AC163" s="8" t="s">
        <v>726</v>
      </c>
      <c r="AD163" s="8"/>
      <c r="AE163" s="8" t="s">
        <v>726</v>
      </c>
      <c r="AF163" s="8"/>
      <c r="AG163" s="8" t="s">
        <v>726</v>
      </c>
      <c r="AH163" s="8" t="s">
        <v>726</v>
      </c>
      <c r="AI163" s="8" t="s">
        <v>726</v>
      </c>
      <c r="AJ163" s="8" t="s">
        <v>726</v>
      </c>
      <c r="AK163" s="8" t="s">
        <v>726</v>
      </c>
      <c r="AL163" s="8" t="s">
        <v>726</v>
      </c>
      <c r="AM163" s="8"/>
      <c r="AN163" s="8"/>
      <c r="AO163" s="8"/>
      <c r="AP163" s="8"/>
      <c r="AQ163" s="8"/>
      <c r="AR163" s="8"/>
      <c r="AS163" s="8"/>
      <c r="AT163" s="8"/>
      <c r="AU163" s="8"/>
      <c r="AV163" s="8"/>
      <c r="AX163" s="142">
        <v>20</v>
      </c>
    </row>
    <row r="164" spans="1:50" ht="33.75">
      <c r="B164" s="27">
        <v>160</v>
      </c>
      <c r="C164" s="31">
        <v>106</v>
      </c>
      <c r="D164" s="31">
        <v>304</v>
      </c>
      <c r="E164" s="32">
        <v>0.78472222222222221</v>
      </c>
      <c r="F164" s="32">
        <v>0.79791666666666661</v>
      </c>
      <c r="G164" s="31" t="s">
        <v>413</v>
      </c>
      <c r="H164" s="31" t="s">
        <v>203</v>
      </c>
      <c r="I164" s="33">
        <v>9</v>
      </c>
      <c r="J164" s="34" t="s">
        <v>146</v>
      </c>
      <c r="K164" s="35">
        <v>202</v>
      </c>
      <c r="L164" s="36">
        <f>+K164*I164</f>
        <v>1818</v>
      </c>
      <c r="M164" s="37" t="s">
        <v>728</v>
      </c>
      <c r="N164" s="23" t="s">
        <v>898</v>
      </c>
      <c r="O164" s="23">
        <v>24</v>
      </c>
      <c r="P164" s="23" t="s">
        <v>899</v>
      </c>
      <c r="Q164" s="23">
        <v>21</v>
      </c>
      <c r="S164" s="23"/>
      <c r="T164" s="7" t="s">
        <v>1332</v>
      </c>
      <c r="U164" s="7" t="s">
        <v>1333</v>
      </c>
      <c r="V164" s="7">
        <v>6096</v>
      </c>
      <c r="W164" s="7" t="s">
        <v>1330</v>
      </c>
      <c r="X164" s="18"/>
      <c r="Y164" s="17"/>
      <c r="Z164" s="18"/>
      <c r="AA164" s="18"/>
      <c r="AB164" s="7" t="s">
        <v>1048</v>
      </c>
      <c r="AC164" s="8" t="s">
        <v>726</v>
      </c>
      <c r="AD164" s="8"/>
      <c r="AE164" s="8" t="s">
        <v>726</v>
      </c>
      <c r="AF164" s="8"/>
      <c r="AG164" s="8" t="s">
        <v>726</v>
      </c>
      <c r="AH164" s="8" t="s">
        <v>726</v>
      </c>
      <c r="AI164" s="8" t="s">
        <v>726</v>
      </c>
      <c r="AJ164" s="8" t="s">
        <v>726</v>
      </c>
      <c r="AK164" s="8" t="s">
        <v>726</v>
      </c>
      <c r="AL164" s="8"/>
      <c r="AM164" s="8"/>
      <c r="AN164" s="8"/>
      <c r="AO164" s="8"/>
      <c r="AP164" s="8"/>
      <c r="AQ164" s="8"/>
      <c r="AR164" s="8"/>
      <c r="AS164" s="8"/>
      <c r="AT164" s="8"/>
      <c r="AU164" s="8"/>
      <c r="AV164" s="8"/>
      <c r="AX164" s="142">
        <v>22.5</v>
      </c>
    </row>
    <row r="165" spans="1:50" ht="33.75">
      <c r="B165" s="27">
        <v>161</v>
      </c>
      <c r="C165" s="38">
        <v>106</v>
      </c>
      <c r="D165" s="38">
        <v>288</v>
      </c>
      <c r="E165" s="39">
        <v>0.79861111111111116</v>
      </c>
      <c r="F165" s="39">
        <v>0.81180555555555556</v>
      </c>
      <c r="G165" s="40" t="s">
        <v>51</v>
      </c>
      <c r="H165" s="40" t="s">
        <v>267</v>
      </c>
      <c r="I165" s="38">
        <v>9</v>
      </c>
      <c r="J165" s="41">
        <v>19</v>
      </c>
      <c r="K165" s="35">
        <v>55</v>
      </c>
      <c r="L165" s="36">
        <f>+K165*I165</f>
        <v>495</v>
      </c>
      <c r="M165" s="37" t="s">
        <v>729</v>
      </c>
      <c r="N165" s="23" t="s">
        <v>1011</v>
      </c>
      <c r="O165" s="23">
        <v>25</v>
      </c>
      <c r="P165" s="23" t="s">
        <v>1781</v>
      </c>
      <c r="Q165" s="23">
        <v>23</v>
      </c>
      <c r="R165" s="2" t="s">
        <v>1846</v>
      </c>
      <c r="S165" s="24">
        <v>23</v>
      </c>
      <c r="T165" s="7" t="s">
        <v>1332</v>
      </c>
      <c r="U165" s="7" t="s">
        <v>1333</v>
      </c>
      <c r="V165" s="7">
        <v>6096</v>
      </c>
      <c r="W165" s="7" t="s">
        <v>1330</v>
      </c>
      <c r="X165" s="17"/>
      <c r="Y165" s="18"/>
      <c r="Z165" s="18"/>
      <c r="AA165" s="18"/>
      <c r="AB165" s="7" t="s">
        <v>1049</v>
      </c>
      <c r="AC165" s="8"/>
      <c r="AD165" s="8" t="s">
        <v>726</v>
      </c>
      <c r="AE165" s="8" t="s">
        <v>726</v>
      </c>
      <c r="AF165" s="8"/>
      <c r="AG165" s="8" t="s">
        <v>726</v>
      </c>
      <c r="AH165" s="8" t="s">
        <v>726</v>
      </c>
      <c r="AI165" s="8" t="s">
        <v>726</v>
      </c>
      <c r="AJ165" s="8" t="s">
        <v>726</v>
      </c>
      <c r="AK165" s="8" t="s">
        <v>726</v>
      </c>
      <c r="AL165" s="8"/>
      <c r="AM165" s="8"/>
      <c r="AN165" s="8"/>
      <c r="AO165" s="8"/>
      <c r="AP165" s="8"/>
      <c r="AQ165" s="8"/>
      <c r="AR165" s="8"/>
      <c r="AS165" s="8"/>
      <c r="AT165" s="8"/>
      <c r="AU165" s="8"/>
      <c r="AV165" s="8"/>
      <c r="AX165" s="142">
        <v>20.747177419354838</v>
      </c>
    </row>
    <row r="166" spans="1:50" ht="33.75">
      <c r="B166" s="27">
        <v>162</v>
      </c>
      <c r="C166" s="31">
        <v>107</v>
      </c>
      <c r="D166" s="31">
        <v>566</v>
      </c>
      <c r="E166" s="32">
        <v>0.54999999999999993</v>
      </c>
      <c r="F166" s="32">
        <v>0.55833333333333335</v>
      </c>
      <c r="G166" s="31" t="s">
        <v>550</v>
      </c>
      <c r="H166" s="31" t="s">
        <v>103</v>
      </c>
      <c r="I166" s="33">
        <v>3</v>
      </c>
      <c r="J166" s="34" t="s">
        <v>264</v>
      </c>
      <c r="K166" s="35">
        <v>174</v>
      </c>
      <c r="L166" s="36">
        <f>+K166*I166</f>
        <v>522</v>
      </c>
      <c r="M166" s="37" t="s">
        <v>717</v>
      </c>
      <c r="N166" s="23" t="s">
        <v>968</v>
      </c>
      <c r="O166" s="49">
        <v>46</v>
      </c>
      <c r="P166" s="23" t="s">
        <v>887</v>
      </c>
      <c r="Q166" s="49">
        <v>47</v>
      </c>
      <c r="S166" s="49"/>
      <c r="T166" s="7" t="s">
        <v>1334</v>
      </c>
      <c r="U166" s="7" t="s">
        <v>1335</v>
      </c>
      <c r="V166" s="7" t="s">
        <v>1332</v>
      </c>
      <c r="W166" s="7" t="s">
        <v>1333</v>
      </c>
      <c r="X166" s="18"/>
      <c r="Y166" s="17"/>
      <c r="Z166" s="17"/>
      <c r="AA166" s="17"/>
      <c r="AB166" s="7" t="s">
        <v>1042</v>
      </c>
      <c r="AC166" s="8"/>
      <c r="AD166" s="8"/>
      <c r="AE166" s="8"/>
      <c r="AF166" s="8" t="s">
        <v>726</v>
      </c>
      <c r="AG166" s="8" t="s">
        <v>726</v>
      </c>
      <c r="AH166" s="8" t="s">
        <v>726</v>
      </c>
      <c r="AI166" s="8" t="s">
        <v>726</v>
      </c>
      <c r="AJ166" s="8" t="s">
        <v>726</v>
      </c>
      <c r="AK166" s="8" t="s">
        <v>726</v>
      </c>
      <c r="AL166" s="8"/>
      <c r="AM166" s="8"/>
      <c r="AN166" s="8"/>
      <c r="AO166" s="8"/>
      <c r="AP166" s="8"/>
      <c r="AQ166" s="8"/>
      <c r="AR166" s="8"/>
      <c r="AS166" s="8"/>
      <c r="AT166" s="8"/>
      <c r="AU166" s="8"/>
      <c r="AV166" s="8"/>
      <c r="AX166" s="142">
        <v>15.85975888324873</v>
      </c>
    </row>
    <row r="167" spans="1:50" ht="33.75">
      <c r="B167" s="27">
        <v>163</v>
      </c>
      <c r="C167" s="31">
        <v>107</v>
      </c>
      <c r="D167" s="43">
        <v>570</v>
      </c>
      <c r="E167" s="42">
        <v>0.61805555555555558</v>
      </c>
      <c r="F167" s="42">
        <v>0.63263888888888886</v>
      </c>
      <c r="G167" s="31" t="s">
        <v>50</v>
      </c>
      <c r="H167" s="31" t="s">
        <v>505</v>
      </c>
      <c r="I167" s="33">
        <v>15</v>
      </c>
      <c r="J167" s="34" t="s">
        <v>93</v>
      </c>
      <c r="K167" s="35">
        <v>12</v>
      </c>
      <c r="L167" s="36">
        <f>+K167*I167</f>
        <v>180</v>
      </c>
      <c r="M167" s="37" t="s">
        <v>729</v>
      </c>
      <c r="N167" s="23" t="s">
        <v>895</v>
      </c>
      <c r="O167" s="23">
        <v>24</v>
      </c>
      <c r="P167" s="79" t="s">
        <v>1906</v>
      </c>
      <c r="Q167" s="79">
        <v>42</v>
      </c>
      <c r="R167" s="23" t="s">
        <v>896</v>
      </c>
      <c r="S167" s="24">
        <v>21</v>
      </c>
      <c r="T167" s="7">
        <v>6120</v>
      </c>
      <c r="U167" s="7" t="s">
        <v>1238</v>
      </c>
      <c r="V167" s="7" t="s">
        <v>1239</v>
      </c>
      <c r="W167" s="7" t="s">
        <v>1240</v>
      </c>
      <c r="X167" s="17"/>
      <c r="Y167" s="18"/>
      <c r="Z167" s="18"/>
      <c r="AA167" s="18"/>
      <c r="AB167" s="7" t="s">
        <v>1058</v>
      </c>
      <c r="AC167" s="8"/>
      <c r="AD167" s="8" t="s">
        <v>726</v>
      </c>
      <c r="AE167" s="8" t="s">
        <v>726</v>
      </c>
      <c r="AF167" s="8"/>
      <c r="AG167" s="8"/>
      <c r="AH167" s="8"/>
      <c r="AI167" s="8"/>
      <c r="AJ167" s="8"/>
      <c r="AK167" s="8"/>
      <c r="AL167" s="8" t="s">
        <v>726</v>
      </c>
      <c r="AM167" s="8"/>
      <c r="AN167" s="8"/>
      <c r="AO167" s="8"/>
      <c r="AP167" s="8"/>
      <c r="AQ167" s="8"/>
      <c r="AR167" s="8"/>
      <c r="AS167" s="8"/>
      <c r="AT167" s="8"/>
      <c r="AU167" s="8"/>
      <c r="AV167" s="8"/>
      <c r="AX167" s="142">
        <v>45</v>
      </c>
    </row>
    <row r="168" spans="1:50" ht="25.5">
      <c r="B168" s="27">
        <v>164</v>
      </c>
      <c r="C168" s="31">
        <v>107</v>
      </c>
      <c r="D168" s="43">
        <v>571</v>
      </c>
      <c r="E168" s="42">
        <v>0.63611111111111118</v>
      </c>
      <c r="F168" s="42">
        <v>0.65069444444444446</v>
      </c>
      <c r="G168" s="31" t="s">
        <v>49</v>
      </c>
      <c r="H168" s="31" t="s">
        <v>505</v>
      </c>
      <c r="I168" s="33">
        <v>15</v>
      </c>
      <c r="J168" s="34" t="s">
        <v>93</v>
      </c>
      <c r="K168" s="35">
        <v>12</v>
      </c>
      <c r="L168" s="36">
        <f>+K168*I168</f>
        <v>180</v>
      </c>
      <c r="M168" s="37" t="s">
        <v>729</v>
      </c>
      <c r="N168" s="23" t="s">
        <v>895</v>
      </c>
      <c r="O168" s="23">
        <v>24</v>
      </c>
      <c r="P168" s="79" t="s">
        <v>1906</v>
      </c>
      <c r="Q168" s="79">
        <v>42</v>
      </c>
      <c r="R168" s="23" t="s">
        <v>896</v>
      </c>
      <c r="S168" s="24">
        <v>21</v>
      </c>
      <c r="T168" s="7" t="s">
        <v>1239</v>
      </c>
      <c r="U168" s="7" t="s">
        <v>1240</v>
      </c>
      <c r="V168" s="7">
        <v>6120</v>
      </c>
      <c r="W168" s="7" t="s">
        <v>1238</v>
      </c>
      <c r="X168" s="17"/>
      <c r="Y168" s="18"/>
      <c r="Z168" s="18"/>
      <c r="AA168" s="18"/>
      <c r="AB168" s="7" t="s">
        <v>1058</v>
      </c>
      <c r="AC168" s="8"/>
      <c r="AD168" s="8" t="s">
        <v>726</v>
      </c>
      <c r="AE168" s="8" t="s">
        <v>726</v>
      </c>
      <c r="AF168" s="8"/>
      <c r="AG168" s="8"/>
      <c r="AH168" s="8"/>
      <c r="AI168" s="8"/>
      <c r="AJ168" s="8"/>
      <c r="AK168" s="8"/>
      <c r="AL168" s="8" t="s">
        <v>726</v>
      </c>
      <c r="AM168" s="8"/>
      <c r="AN168" s="8"/>
      <c r="AO168" s="8"/>
      <c r="AP168" s="8"/>
      <c r="AQ168" s="8"/>
      <c r="AR168" s="8"/>
      <c r="AS168" s="8"/>
      <c r="AT168" s="8"/>
      <c r="AU168" s="8"/>
      <c r="AV168" s="8"/>
      <c r="AX168" s="142">
        <v>45</v>
      </c>
    </row>
    <row r="169" spans="1:50" ht="33.75">
      <c r="B169" s="27">
        <v>165</v>
      </c>
      <c r="C169" s="38">
        <v>107</v>
      </c>
      <c r="D169" s="38">
        <v>570</v>
      </c>
      <c r="E169" s="39">
        <v>0.71180555555555547</v>
      </c>
      <c r="F169" s="39">
        <v>0.72638888888888886</v>
      </c>
      <c r="G169" s="40" t="s">
        <v>50</v>
      </c>
      <c r="H169" s="40" t="s">
        <v>39</v>
      </c>
      <c r="I169" s="38">
        <v>15</v>
      </c>
      <c r="J169" s="41">
        <v>19</v>
      </c>
      <c r="K169" s="35">
        <v>29</v>
      </c>
      <c r="L169" s="36">
        <f>+K169*I169</f>
        <v>435</v>
      </c>
      <c r="M169" s="37" t="s">
        <v>729</v>
      </c>
      <c r="N169" s="23" t="s">
        <v>895</v>
      </c>
      <c r="O169" s="23">
        <v>24</v>
      </c>
      <c r="P169" s="79" t="s">
        <v>1906</v>
      </c>
      <c r="Q169" s="79">
        <v>42</v>
      </c>
      <c r="S169" s="23"/>
      <c r="T169" s="7">
        <v>6120</v>
      </c>
      <c r="U169" s="7" t="s">
        <v>1238</v>
      </c>
      <c r="V169" s="7" t="s">
        <v>1239</v>
      </c>
      <c r="W169" s="7" t="s">
        <v>1240</v>
      </c>
      <c r="X169" s="18"/>
      <c r="Y169" s="17"/>
      <c r="Z169" s="18"/>
      <c r="AA169" s="18"/>
      <c r="AB169" s="7" t="s">
        <v>1050</v>
      </c>
      <c r="AC169" s="8" t="s">
        <v>726</v>
      </c>
      <c r="AD169" s="8"/>
      <c r="AE169" s="8" t="s">
        <v>726</v>
      </c>
      <c r="AF169" s="8"/>
      <c r="AG169" s="8"/>
      <c r="AH169" s="8"/>
      <c r="AI169" s="8"/>
      <c r="AJ169" s="8"/>
      <c r="AK169" s="8"/>
      <c r="AL169" s="8"/>
      <c r="AM169" s="8"/>
      <c r="AN169" s="8"/>
      <c r="AO169" s="8"/>
      <c r="AP169" s="8"/>
      <c r="AQ169" s="8" t="s">
        <v>726</v>
      </c>
      <c r="AR169" s="8" t="s">
        <v>726</v>
      </c>
      <c r="AS169" s="8" t="s">
        <v>726</v>
      </c>
      <c r="AT169" s="8" t="s">
        <v>726</v>
      </c>
      <c r="AU169" s="8" t="s">
        <v>726</v>
      </c>
      <c r="AV169" s="8" t="s">
        <v>726</v>
      </c>
      <c r="AX169" s="142">
        <v>36.023054755043226</v>
      </c>
    </row>
    <row r="170" spans="1:50" ht="38.25">
      <c r="B170" s="27">
        <v>166</v>
      </c>
      <c r="C170" s="38">
        <v>107</v>
      </c>
      <c r="D170" s="38">
        <v>571</v>
      </c>
      <c r="E170" s="39">
        <v>0.72638888888888886</v>
      </c>
      <c r="F170" s="39">
        <v>0.7402777777777777</v>
      </c>
      <c r="G170" s="40" t="s">
        <v>49</v>
      </c>
      <c r="H170" s="40" t="s">
        <v>613</v>
      </c>
      <c r="I170" s="38">
        <v>15</v>
      </c>
      <c r="J170" s="41">
        <v>19</v>
      </c>
      <c r="K170" s="35">
        <v>29</v>
      </c>
      <c r="L170" s="36">
        <f>+K170*I170</f>
        <v>435</v>
      </c>
      <c r="M170" s="37" t="s">
        <v>729</v>
      </c>
      <c r="N170" s="23" t="s">
        <v>895</v>
      </c>
      <c r="O170" s="23">
        <v>24</v>
      </c>
      <c r="P170" s="79" t="s">
        <v>1906</v>
      </c>
      <c r="Q170" s="79">
        <v>42</v>
      </c>
      <c r="S170" s="23"/>
      <c r="T170" s="7" t="s">
        <v>1239</v>
      </c>
      <c r="U170" s="7" t="s">
        <v>1240</v>
      </c>
      <c r="V170" s="7">
        <v>6120</v>
      </c>
      <c r="W170" s="7" t="s">
        <v>1238</v>
      </c>
      <c r="X170" s="18"/>
      <c r="Y170" s="17"/>
      <c r="Z170" s="18"/>
      <c r="AA170" s="18"/>
      <c r="AB170" s="7" t="s">
        <v>1050</v>
      </c>
      <c r="AC170" s="8" t="s">
        <v>726</v>
      </c>
      <c r="AD170" s="8"/>
      <c r="AE170" s="8" t="s">
        <v>726</v>
      </c>
      <c r="AF170" s="8"/>
      <c r="AG170" s="8"/>
      <c r="AH170" s="8"/>
      <c r="AI170" s="8"/>
      <c r="AJ170" s="8"/>
      <c r="AK170" s="8"/>
      <c r="AL170" s="8"/>
      <c r="AM170" s="8"/>
      <c r="AN170" s="8"/>
      <c r="AO170" s="8"/>
      <c r="AP170" s="8"/>
      <c r="AQ170" s="8" t="s">
        <v>726</v>
      </c>
      <c r="AR170" s="8" t="s">
        <v>726</v>
      </c>
      <c r="AS170" s="8" t="s">
        <v>726</v>
      </c>
      <c r="AT170" s="8" t="s">
        <v>726</v>
      </c>
      <c r="AU170" s="8" t="s">
        <v>726</v>
      </c>
      <c r="AV170" s="8" t="s">
        <v>726</v>
      </c>
      <c r="AX170" s="142">
        <v>36.023054755043226</v>
      </c>
    </row>
    <row r="171" spans="1:50" ht="25.5">
      <c r="B171" s="27">
        <v>167</v>
      </c>
      <c r="C171" s="31">
        <v>109</v>
      </c>
      <c r="D171" s="31">
        <v>60</v>
      </c>
      <c r="E171" s="32">
        <v>0.79166666666666663</v>
      </c>
      <c r="F171" s="32">
        <v>0.79791666666666661</v>
      </c>
      <c r="G171" s="31" t="s">
        <v>148</v>
      </c>
      <c r="H171" s="31" t="s">
        <v>477</v>
      </c>
      <c r="I171" s="33">
        <v>4</v>
      </c>
      <c r="J171" s="34" t="s">
        <v>146</v>
      </c>
      <c r="K171" s="35">
        <v>240</v>
      </c>
      <c r="L171" s="36">
        <f>+K171*I171</f>
        <v>960</v>
      </c>
      <c r="M171" s="37" t="s">
        <v>730</v>
      </c>
      <c r="N171" s="23" t="s">
        <v>1012</v>
      </c>
      <c r="O171" s="23">
        <v>17</v>
      </c>
      <c r="P171" s="23" t="s">
        <v>1830</v>
      </c>
      <c r="Q171" s="23">
        <v>17</v>
      </c>
      <c r="R171" s="79" t="s">
        <v>1999</v>
      </c>
      <c r="S171" s="79">
        <v>24</v>
      </c>
      <c r="T171" s="7">
        <v>1070</v>
      </c>
      <c r="U171" s="7" t="s">
        <v>1234</v>
      </c>
      <c r="V171" s="7">
        <v>1151</v>
      </c>
      <c r="W171" s="7" t="s">
        <v>1336</v>
      </c>
      <c r="X171" s="18"/>
      <c r="Y171" s="17"/>
      <c r="Z171" s="18"/>
      <c r="AA171" s="18"/>
      <c r="AB171" s="7" t="s">
        <v>1052</v>
      </c>
      <c r="AC171" s="8" t="s">
        <v>726</v>
      </c>
      <c r="AD171" s="8"/>
      <c r="AE171" s="8" t="s">
        <v>726</v>
      </c>
      <c r="AF171" s="8"/>
      <c r="AG171" s="8" t="s">
        <v>726</v>
      </c>
      <c r="AH171" s="8" t="s">
        <v>726</v>
      </c>
      <c r="AI171" s="8" t="s">
        <v>726</v>
      </c>
      <c r="AJ171" s="8" t="s">
        <v>726</v>
      </c>
      <c r="AK171" s="8" t="s">
        <v>726</v>
      </c>
      <c r="AL171" s="8" t="s">
        <v>726</v>
      </c>
      <c r="AM171" s="8"/>
      <c r="AN171" s="8"/>
      <c r="AO171" s="8"/>
      <c r="AP171" s="8"/>
      <c r="AQ171" s="8"/>
      <c r="AR171" s="8"/>
      <c r="AS171" s="8"/>
      <c r="AT171" s="8"/>
      <c r="AU171" s="8"/>
      <c r="AV171" s="8"/>
      <c r="AX171" s="142">
        <v>9.5299999999999994</v>
      </c>
    </row>
    <row r="172" spans="1:50" ht="25.5">
      <c r="B172" s="27">
        <v>168</v>
      </c>
      <c r="C172" s="31">
        <v>109</v>
      </c>
      <c r="D172" s="31">
        <v>63</v>
      </c>
      <c r="E172" s="32">
        <v>0.8</v>
      </c>
      <c r="F172" s="32">
        <v>0.80486111111111114</v>
      </c>
      <c r="G172" s="31" t="s">
        <v>147</v>
      </c>
      <c r="H172" s="31" t="s">
        <v>477</v>
      </c>
      <c r="I172" s="33">
        <v>4</v>
      </c>
      <c r="J172" s="34" t="s">
        <v>146</v>
      </c>
      <c r="K172" s="35">
        <v>240</v>
      </c>
      <c r="L172" s="36">
        <f>+K172*I172</f>
        <v>960</v>
      </c>
      <c r="M172" s="37" t="s">
        <v>730</v>
      </c>
      <c r="N172" s="23" t="s">
        <v>1012</v>
      </c>
      <c r="O172" s="23">
        <v>17</v>
      </c>
      <c r="P172" s="23" t="s">
        <v>1830</v>
      </c>
      <c r="Q172" s="23">
        <v>17</v>
      </c>
      <c r="R172" s="79" t="s">
        <v>1999</v>
      </c>
      <c r="S172" s="79">
        <v>24</v>
      </c>
      <c r="T172" s="7">
        <v>1151</v>
      </c>
      <c r="U172" s="7" t="s">
        <v>1336</v>
      </c>
      <c r="V172" s="7">
        <v>1070</v>
      </c>
      <c r="W172" s="7" t="s">
        <v>1234</v>
      </c>
      <c r="X172" s="18"/>
      <c r="Y172" s="17"/>
      <c r="Z172" s="18"/>
      <c r="AA172" s="18"/>
      <c r="AB172" s="7" t="s">
        <v>1052</v>
      </c>
      <c r="AC172" s="8" t="s">
        <v>726</v>
      </c>
      <c r="AD172" s="8"/>
      <c r="AE172" s="8" t="s">
        <v>726</v>
      </c>
      <c r="AF172" s="8"/>
      <c r="AG172" s="8" t="s">
        <v>726</v>
      </c>
      <c r="AH172" s="8" t="s">
        <v>726</v>
      </c>
      <c r="AI172" s="8" t="s">
        <v>726</v>
      </c>
      <c r="AJ172" s="8" t="s">
        <v>726</v>
      </c>
      <c r="AK172" s="8" t="s">
        <v>726</v>
      </c>
      <c r="AL172" s="8" t="s">
        <v>726</v>
      </c>
      <c r="AM172" s="8"/>
      <c r="AN172" s="8"/>
      <c r="AO172" s="8"/>
      <c r="AP172" s="8"/>
      <c r="AQ172" s="8"/>
      <c r="AR172" s="8"/>
      <c r="AS172" s="8"/>
      <c r="AT172" s="8"/>
      <c r="AU172" s="8"/>
      <c r="AV172" s="8"/>
      <c r="AX172" s="142">
        <v>9.5299999999999994</v>
      </c>
    </row>
    <row r="173" spans="1:50" ht="22.5">
      <c r="B173" s="27">
        <v>169</v>
      </c>
      <c r="C173" s="31">
        <v>111</v>
      </c>
      <c r="D173" s="34">
        <v>20</v>
      </c>
      <c r="E173" s="32">
        <v>0.34027777777777773</v>
      </c>
      <c r="F173" s="42">
        <v>0.35833333333333334</v>
      </c>
      <c r="G173" s="31" t="s">
        <v>422</v>
      </c>
      <c r="H173" s="43" t="s">
        <v>2102</v>
      </c>
      <c r="I173" s="33">
        <v>5.3</v>
      </c>
      <c r="J173" s="34" t="s">
        <v>93</v>
      </c>
      <c r="K173" s="46">
        <v>67</v>
      </c>
      <c r="L173" s="36">
        <f>+K173*I173</f>
        <v>355.09999999999997</v>
      </c>
      <c r="M173" s="121" t="s">
        <v>730</v>
      </c>
      <c r="N173" s="23" t="s">
        <v>1012</v>
      </c>
      <c r="O173" s="23">
        <v>17</v>
      </c>
      <c r="P173" s="23" t="s">
        <v>1830</v>
      </c>
      <c r="Q173" s="23">
        <v>17</v>
      </c>
      <c r="R173" s="23" t="s">
        <v>2103</v>
      </c>
      <c r="S173" s="23">
        <v>20</v>
      </c>
      <c r="T173" s="7">
        <v>1070</v>
      </c>
      <c r="U173" s="7" t="s">
        <v>1234</v>
      </c>
      <c r="V173" s="7" t="s">
        <v>1337</v>
      </c>
      <c r="W173" s="7" t="s">
        <v>1338</v>
      </c>
      <c r="X173" s="17"/>
      <c r="Y173" s="17"/>
      <c r="Z173" s="18"/>
      <c r="AB173" s="8" t="s">
        <v>1047</v>
      </c>
      <c r="AC173" s="8"/>
      <c r="AD173" s="8" t="s">
        <v>726</v>
      </c>
      <c r="AE173" s="8" t="s">
        <v>726</v>
      </c>
      <c r="AF173" s="8"/>
      <c r="AG173" s="8" t="s">
        <v>726</v>
      </c>
      <c r="AH173" s="8" t="s">
        <v>726</v>
      </c>
      <c r="AI173" s="8" t="s">
        <v>726</v>
      </c>
      <c r="AJ173" s="8" t="s">
        <v>726</v>
      </c>
      <c r="AK173" s="8" t="s">
        <v>726</v>
      </c>
      <c r="AL173" s="8" t="s">
        <v>726</v>
      </c>
      <c r="AM173" s="8"/>
      <c r="AN173" s="8"/>
      <c r="AO173" s="8"/>
      <c r="AP173" s="8"/>
      <c r="AQ173" s="8"/>
      <c r="AR173" s="8"/>
      <c r="AS173" s="8"/>
      <c r="AT173" s="8"/>
      <c r="AU173" s="8"/>
      <c r="AV173" s="8"/>
      <c r="AX173" s="142">
        <v>15.9</v>
      </c>
    </row>
    <row r="174" spans="1:50" ht="25.5">
      <c r="B174" s="27">
        <v>170</v>
      </c>
      <c r="C174" s="31">
        <v>111</v>
      </c>
      <c r="D174" s="34">
        <v>21</v>
      </c>
      <c r="E174" s="32">
        <v>0.35138888888888892</v>
      </c>
      <c r="F174" s="32">
        <v>0.36805555555555558</v>
      </c>
      <c r="G174" s="43" t="s">
        <v>976</v>
      </c>
      <c r="H174" s="43" t="s">
        <v>2102</v>
      </c>
      <c r="I174" s="33">
        <v>10.199999999999999</v>
      </c>
      <c r="J174" s="34" t="s">
        <v>93</v>
      </c>
      <c r="K174" s="46">
        <v>67</v>
      </c>
      <c r="L174" s="36">
        <f>+K174*I174</f>
        <v>683.4</v>
      </c>
      <c r="M174" s="121" t="s">
        <v>730</v>
      </c>
      <c r="N174" s="23" t="s">
        <v>1012</v>
      </c>
      <c r="O174" s="23">
        <v>17</v>
      </c>
      <c r="P174" s="23" t="s">
        <v>1830</v>
      </c>
      <c r="Q174" s="23">
        <v>17</v>
      </c>
      <c r="R174" s="23" t="s">
        <v>2103</v>
      </c>
      <c r="S174" s="23">
        <v>20</v>
      </c>
      <c r="T174" s="7" t="s">
        <v>1337</v>
      </c>
      <c r="U174" s="7" t="s">
        <v>1338</v>
      </c>
      <c r="V174" s="7">
        <v>1070</v>
      </c>
      <c r="W174" s="7" t="s">
        <v>1234</v>
      </c>
      <c r="X174" s="17"/>
      <c r="Y174" s="17"/>
      <c r="Z174" s="18"/>
      <c r="AB174" s="8" t="s">
        <v>1047</v>
      </c>
      <c r="AC174" s="8"/>
      <c r="AD174" s="8" t="s">
        <v>726</v>
      </c>
      <c r="AE174" s="8" t="s">
        <v>726</v>
      </c>
      <c r="AF174" s="8"/>
      <c r="AG174" s="8" t="s">
        <v>726</v>
      </c>
      <c r="AH174" s="8" t="s">
        <v>726</v>
      </c>
      <c r="AI174" s="8" t="s">
        <v>726</v>
      </c>
      <c r="AJ174" s="8" t="s">
        <v>726</v>
      </c>
      <c r="AK174" s="8" t="s">
        <v>726</v>
      </c>
      <c r="AL174" s="8" t="s">
        <v>726</v>
      </c>
      <c r="AM174" s="8"/>
      <c r="AN174" s="8"/>
      <c r="AO174" s="8"/>
      <c r="AP174" s="8"/>
      <c r="AQ174" s="8"/>
      <c r="AR174" s="8"/>
      <c r="AS174" s="8"/>
      <c r="AT174" s="8"/>
      <c r="AU174" s="8"/>
      <c r="AV174" s="8"/>
      <c r="AX174" s="142">
        <v>30.6</v>
      </c>
    </row>
    <row r="175" spans="1:50" ht="25.5">
      <c r="B175" s="27">
        <v>171</v>
      </c>
      <c r="C175" s="43">
        <v>112</v>
      </c>
      <c r="D175" s="31">
        <v>64</v>
      </c>
      <c r="E175" s="42">
        <v>0.72569444444444453</v>
      </c>
      <c r="F175" s="42">
        <v>0.74652777777777779</v>
      </c>
      <c r="G175" s="31" t="s">
        <v>149</v>
      </c>
      <c r="H175" s="31" t="s">
        <v>477</v>
      </c>
      <c r="I175" s="33">
        <v>13</v>
      </c>
      <c r="J175" s="34" t="s">
        <v>146</v>
      </c>
      <c r="K175" s="35">
        <v>240</v>
      </c>
      <c r="L175" s="36">
        <f>+K175*I175</f>
        <v>3120</v>
      </c>
      <c r="M175" s="37" t="s">
        <v>730</v>
      </c>
      <c r="N175" s="23" t="s">
        <v>1012</v>
      </c>
      <c r="O175" s="23">
        <v>17</v>
      </c>
      <c r="P175" s="23" t="s">
        <v>1830</v>
      </c>
      <c r="Q175" s="23">
        <v>17</v>
      </c>
      <c r="R175" s="79" t="s">
        <v>1999</v>
      </c>
      <c r="S175" s="79">
        <v>24</v>
      </c>
      <c r="T175" s="7">
        <v>1070</v>
      </c>
      <c r="U175" s="7" t="s">
        <v>1234</v>
      </c>
      <c r="V175" s="7">
        <v>1070</v>
      </c>
      <c r="W175" s="7" t="s">
        <v>1234</v>
      </c>
      <c r="X175" s="18"/>
      <c r="Y175" s="17"/>
      <c r="Z175" s="18"/>
      <c r="AA175" s="18"/>
      <c r="AB175" s="7" t="s">
        <v>1052</v>
      </c>
      <c r="AC175" s="8" t="s">
        <v>726</v>
      </c>
      <c r="AD175" s="8"/>
      <c r="AE175" s="8" t="s">
        <v>726</v>
      </c>
      <c r="AF175" s="8"/>
      <c r="AG175" s="8" t="s">
        <v>726</v>
      </c>
      <c r="AH175" s="8" t="s">
        <v>726</v>
      </c>
      <c r="AI175" s="8" t="s">
        <v>726</v>
      </c>
      <c r="AJ175" s="8" t="s">
        <v>726</v>
      </c>
      <c r="AK175" s="8" t="s">
        <v>726</v>
      </c>
      <c r="AL175" s="8" t="s">
        <v>726</v>
      </c>
      <c r="AM175" s="8"/>
      <c r="AN175" s="8"/>
      <c r="AO175" s="8"/>
      <c r="AP175" s="8"/>
      <c r="AQ175" s="8"/>
      <c r="AR175" s="8"/>
      <c r="AS175" s="8"/>
      <c r="AT175" s="8"/>
      <c r="AU175" s="8"/>
      <c r="AV175" s="8"/>
      <c r="AX175" s="142">
        <v>30.97</v>
      </c>
    </row>
    <row r="176" spans="1:50" ht="45">
      <c r="A176" s="2" t="s">
        <v>1995</v>
      </c>
      <c r="B176" s="27">
        <v>172</v>
      </c>
      <c r="C176" s="43">
        <v>110</v>
      </c>
      <c r="D176" s="34">
        <v>440</v>
      </c>
      <c r="E176" s="32">
        <v>0.27361111111111108</v>
      </c>
      <c r="F176" s="32">
        <v>0.27847222222222223</v>
      </c>
      <c r="G176" s="31" t="s">
        <v>487</v>
      </c>
      <c r="H176" s="43" t="s">
        <v>1993</v>
      </c>
      <c r="I176" s="33">
        <v>4</v>
      </c>
      <c r="J176" s="34" t="s">
        <v>167</v>
      </c>
      <c r="K176" s="35">
        <v>208</v>
      </c>
      <c r="L176" s="36">
        <f>+K176*I176</f>
        <v>832</v>
      </c>
      <c r="M176" s="37" t="s">
        <v>719</v>
      </c>
      <c r="N176" s="23" t="s">
        <v>1013</v>
      </c>
      <c r="O176" s="23">
        <v>9</v>
      </c>
      <c r="P176" s="23" t="s">
        <v>829</v>
      </c>
      <c r="Q176" s="23">
        <v>9</v>
      </c>
      <c r="R176" s="23" t="s">
        <v>1157</v>
      </c>
      <c r="S176" s="24">
        <v>9</v>
      </c>
      <c r="T176" s="7">
        <v>1190</v>
      </c>
      <c r="U176" s="7" t="s">
        <v>1301</v>
      </c>
      <c r="V176" s="7">
        <v>1182</v>
      </c>
      <c r="W176" s="7" t="s">
        <v>1339</v>
      </c>
      <c r="X176" s="18"/>
      <c r="Y176" s="17"/>
      <c r="Z176" s="17"/>
      <c r="AA176" s="17"/>
      <c r="AB176" s="7" t="s">
        <v>1042</v>
      </c>
      <c r="AC176" s="8"/>
      <c r="AD176" s="8"/>
      <c r="AE176" s="8"/>
      <c r="AF176" s="8" t="s">
        <v>726</v>
      </c>
      <c r="AG176" s="8" t="s">
        <v>726</v>
      </c>
      <c r="AH176" s="8" t="s">
        <v>726</v>
      </c>
      <c r="AI176" s="8" t="s">
        <v>726</v>
      </c>
      <c r="AJ176" s="8" t="s">
        <v>726</v>
      </c>
      <c r="AK176" s="8" t="s">
        <v>726</v>
      </c>
      <c r="AL176" s="8" t="s">
        <v>726</v>
      </c>
      <c r="AM176" s="8"/>
      <c r="AN176" s="8"/>
      <c r="AO176" s="8"/>
      <c r="AP176" s="8"/>
      <c r="AQ176" s="8"/>
      <c r="AR176" s="8"/>
      <c r="AS176" s="8"/>
      <c r="AT176" s="8"/>
      <c r="AU176" s="8"/>
      <c r="AV176" s="8"/>
      <c r="AX176" s="142">
        <v>20</v>
      </c>
    </row>
    <row r="177" spans="1:50" ht="45">
      <c r="A177" s="2" t="s">
        <v>1995</v>
      </c>
      <c r="B177" s="27">
        <v>173</v>
      </c>
      <c r="C177" s="43">
        <v>110</v>
      </c>
      <c r="D177" s="54">
        <v>449</v>
      </c>
      <c r="E177" s="32">
        <v>0.27916666666666667</v>
      </c>
      <c r="F177" s="32">
        <v>0.2902777777777778</v>
      </c>
      <c r="G177" s="31" t="s">
        <v>488</v>
      </c>
      <c r="H177" s="43" t="s">
        <v>1993</v>
      </c>
      <c r="I177" s="33">
        <v>9</v>
      </c>
      <c r="J177" s="34" t="s">
        <v>167</v>
      </c>
      <c r="K177" s="35">
        <v>208</v>
      </c>
      <c r="L177" s="36">
        <f>+K177*I177</f>
        <v>1872</v>
      </c>
      <c r="M177" s="37" t="s">
        <v>719</v>
      </c>
      <c r="N177" s="23" t="s">
        <v>1013</v>
      </c>
      <c r="O177" s="23">
        <v>9</v>
      </c>
      <c r="P177" s="23" t="s">
        <v>829</v>
      </c>
      <c r="Q177" s="23">
        <v>9</v>
      </c>
      <c r="R177" s="23" t="s">
        <v>1157</v>
      </c>
      <c r="S177" s="24">
        <v>9</v>
      </c>
      <c r="T177" s="7">
        <v>1182</v>
      </c>
      <c r="U177" s="7" t="s">
        <v>1339</v>
      </c>
      <c r="V177" s="7" t="s">
        <v>1340</v>
      </c>
      <c r="W177" s="7" t="s">
        <v>1234</v>
      </c>
      <c r="X177" s="18"/>
      <c r="Y177" s="17"/>
      <c r="Z177" s="17"/>
      <c r="AA177" s="17"/>
      <c r="AB177" s="7" t="s">
        <v>1042</v>
      </c>
      <c r="AC177" s="8"/>
      <c r="AD177" s="8"/>
      <c r="AE177" s="8"/>
      <c r="AF177" s="8" t="s">
        <v>726</v>
      </c>
      <c r="AG177" s="8" t="s">
        <v>726</v>
      </c>
      <c r="AH177" s="8" t="s">
        <v>726</v>
      </c>
      <c r="AI177" s="8" t="s">
        <v>726</v>
      </c>
      <c r="AJ177" s="8" t="s">
        <v>726</v>
      </c>
      <c r="AK177" s="8" t="s">
        <v>726</v>
      </c>
      <c r="AL177" s="8" t="s">
        <v>726</v>
      </c>
      <c r="AM177" s="8"/>
      <c r="AN177" s="8"/>
      <c r="AO177" s="8"/>
      <c r="AP177" s="8"/>
      <c r="AQ177" s="8"/>
      <c r="AR177" s="8"/>
      <c r="AS177" s="8"/>
      <c r="AT177" s="8"/>
      <c r="AU177" s="8"/>
      <c r="AV177" s="8"/>
      <c r="AX177" s="142">
        <v>27</v>
      </c>
    </row>
    <row r="178" spans="1:50" ht="25.5">
      <c r="B178" s="27">
        <v>174</v>
      </c>
      <c r="C178" s="43">
        <v>110</v>
      </c>
      <c r="D178" s="31">
        <v>445</v>
      </c>
      <c r="E178" s="32">
        <v>0.30555555555555552</v>
      </c>
      <c r="F178" s="32">
        <v>0.31041666666666667</v>
      </c>
      <c r="G178" s="31" t="s">
        <v>151</v>
      </c>
      <c r="H178" s="31" t="s">
        <v>97</v>
      </c>
      <c r="I178" s="33">
        <v>4</v>
      </c>
      <c r="J178" s="34" t="s">
        <v>146</v>
      </c>
      <c r="K178" s="35">
        <v>208</v>
      </c>
      <c r="L178" s="36">
        <f>+K178*I178</f>
        <v>832</v>
      </c>
      <c r="M178" s="37" t="s">
        <v>730</v>
      </c>
      <c r="N178" s="23" t="s">
        <v>1012</v>
      </c>
      <c r="O178" s="23">
        <v>17</v>
      </c>
      <c r="P178" s="23" t="s">
        <v>1830</v>
      </c>
      <c r="Q178" s="23">
        <v>17</v>
      </c>
      <c r="R178" s="79" t="s">
        <v>1999</v>
      </c>
      <c r="S178" s="79">
        <v>24</v>
      </c>
      <c r="T178" s="7">
        <v>1182</v>
      </c>
      <c r="U178" s="7" t="s">
        <v>1339</v>
      </c>
      <c r="V178" s="7">
        <v>1190</v>
      </c>
      <c r="W178" s="7" t="s">
        <v>1301</v>
      </c>
      <c r="X178" s="18"/>
      <c r="Y178" s="17"/>
      <c r="Z178" s="17"/>
      <c r="AA178" s="17"/>
      <c r="AB178" s="7" t="s">
        <v>1046</v>
      </c>
      <c r="AC178" s="8"/>
      <c r="AD178" s="8"/>
      <c r="AE178" s="8"/>
      <c r="AF178" s="8" t="s">
        <v>726</v>
      </c>
      <c r="AG178" s="8" t="s">
        <v>726</v>
      </c>
      <c r="AH178" s="8" t="s">
        <v>726</v>
      </c>
      <c r="AI178" s="8" t="s">
        <v>726</v>
      </c>
      <c r="AJ178" s="8" t="s">
        <v>726</v>
      </c>
      <c r="AK178" s="8" t="s">
        <v>726</v>
      </c>
      <c r="AL178" s="8" t="s">
        <v>726</v>
      </c>
      <c r="AM178" s="8"/>
      <c r="AN178" s="8"/>
      <c r="AO178" s="8"/>
      <c r="AP178" s="8"/>
      <c r="AQ178" s="8"/>
      <c r="AR178" s="8"/>
      <c r="AS178" s="8"/>
      <c r="AT178" s="8"/>
      <c r="AU178" s="8"/>
      <c r="AV178" s="8"/>
      <c r="AX178" s="142">
        <v>24.02</v>
      </c>
    </row>
    <row r="179" spans="1:50" ht="25.5">
      <c r="B179" s="27">
        <v>175</v>
      </c>
      <c r="C179" s="43">
        <v>110</v>
      </c>
      <c r="D179" s="31">
        <v>448</v>
      </c>
      <c r="E179" s="32">
        <v>0.58680555555555558</v>
      </c>
      <c r="F179" s="32">
        <v>0.59166666666666667</v>
      </c>
      <c r="G179" s="31" t="s">
        <v>150</v>
      </c>
      <c r="H179" s="31" t="s">
        <v>103</v>
      </c>
      <c r="I179" s="33">
        <v>4</v>
      </c>
      <c r="J179" s="34" t="s">
        <v>146</v>
      </c>
      <c r="K179" s="35">
        <v>174</v>
      </c>
      <c r="L179" s="36">
        <f>+K179*I179</f>
        <v>696</v>
      </c>
      <c r="M179" s="37" t="s">
        <v>730</v>
      </c>
      <c r="N179" s="23" t="s">
        <v>1012</v>
      </c>
      <c r="O179" s="23">
        <v>17</v>
      </c>
      <c r="P179" s="23" t="s">
        <v>1830</v>
      </c>
      <c r="Q179" s="23">
        <v>17</v>
      </c>
      <c r="R179" s="79" t="s">
        <v>1999</v>
      </c>
      <c r="S179" s="79">
        <v>24</v>
      </c>
      <c r="T179" s="7">
        <v>1190</v>
      </c>
      <c r="U179" s="7" t="s">
        <v>1301</v>
      </c>
      <c r="V179" s="7">
        <v>1182</v>
      </c>
      <c r="W179" s="7" t="s">
        <v>1339</v>
      </c>
      <c r="X179" s="18"/>
      <c r="Y179" s="17"/>
      <c r="Z179" s="17"/>
      <c r="AA179" s="17"/>
      <c r="AB179" s="7" t="s">
        <v>1042</v>
      </c>
      <c r="AC179" s="8"/>
      <c r="AD179" s="8"/>
      <c r="AE179" s="8"/>
      <c r="AF179" s="8" t="s">
        <v>726</v>
      </c>
      <c r="AG179" s="8" t="s">
        <v>726</v>
      </c>
      <c r="AH179" s="8" t="s">
        <v>726</v>
      </c>
      <c r="AI179" s="8" t="s">
        <v>726</v>
      </c>
      <c r="AJ179" s="8" t="s">
        <v>726</v>
      </c>
      <c r="AK179" s="8" t="s">
        <v>726</v>
      </c>
      <c r="AL179" s="8"/>
      <c r="AM179" s="8"/>
      <c r="AN179" s="8"/>
      <c r="AO179" s="8"/>
      <c r="AP179" s="8"/>
      <c r="AQ179" s="8"/>
      <c r="AR179" s="8"/>
      <c r="AS179" s="8"/>
      <c r="AT179" s="8"/>
      <c r="AU179" s="8"/>
      <c r="AV179" s="8"/>
      <c r="AX179" s="142">
        <v>24.02</v>
      </c>
    </row>
    <row r="180" spans="1:50" ht="25.5">
      <c r="B180" s="27">
        <v>176</v>
      </c>
      <c r="C180" s="43">
        <v>110</v>
      </c>
      <c r="D180" s="31">
        <v>448</v>
      </c>
      <c r="E180" s="32">
        <v>0.71527777777777779</v>
      </c>
      <c r="F180" s="32">
        <v>0.72013888888888899</v>
      </c>
      <c r="G180" s="31" t="s">
        <v>150</v>
      </c>
      <c r="H180" s="31" t="s">
        <v>665</v>
      </c>
      <c r="I180" s="33">
        <v>4</v>
      </c>
      <c r="J180" s="34" t="s">
        <v>146</v>
      </c>
      <c r="K180" s="35">
        <v>33</v>
      </c>
      <c r="L180" s="36">
        <f>+K180*I180</f>
        <v>132</v>
      </c>
      <c r="M180" s="37" t="s">
        <v>730</v>
      </c>
      <c r="N180" s="23" t="s">
        <v>1012</v>
      </c>
      <c r="O180" s="23">
        <v>17</v>
      </c>
      <c r="P180" s="23" t="s">
        <v>1830</v>
      </c>
      <c r="Q180" s="23">
        <v>17</v>
      </c>
      <c r="R180" s="79" t="s">
        <v>1999</v>
      </c>
      <c r="S180" s="79">
        <v>24</v>
      </c>
      <c r="T180" s="7">
        <v>1190</v>
      </c>
      <c r="U180" s="7" t="s">
        <v>1301</v>
      </c>
      <c r="V180" s="7">
        <v>1182</v>
      </c>
      <c r="W180" s="7" t="s">
        <v>1339</v>
      </c>
      <c r="X180" s="18"/>
      <c r="Y180" s="17"/>
      <c r="Z180" s="17"/>
      <c r="AA180" s="17"/>
      <c r="AB180" s="7" t="s">
        <v>1059</v>
      </c>
      <c r="AC180" s="8"/>
      <c r="AD180" s="8"/>
      <c r="AE180" s="8"/>
      <c r="AF180" s="8" t="s">
        <v>726</v>
      </c>
      <c r="AG180" s="8" t="s">
        <v>726</v>
      </c>
      <c r="AH180" s="8"/>
      <c r="AI180" s="8"/>
      <c r="AJ180" s="8"/>
      <c r="AK180" s="8"/>
      <c r="AL180" s="8"/>
      <c r="AM180" s="8"/>
      <c r="AN180" s="8"/>
      <c r="AO180" s="8"/>
      <c r="AP180" s="8"/>
      <c r="AQ180" s="8"/>
      <c r="AR180" s="8"/>
      <c r="AS180" s="8"/>
      <c r="AT180" s="8"/>
      <c r="AU180" s="8"/>
      <c r="AV180" s="8"/>
      <c r="AX180" s="142">
        <v>24.02</v>
      </c>
    </row>
    <row r="181" spans="1:50" ht="38.25">
      <c r="B181" s="27">
        <v>177</v>
      </c>
      <c r="C181" s="31">
        <v>113</v>
      </c>
      <c r="D181" s="31">
        <v>64</v>
      </c>
      <c r="E181" s="42">
        <v>0.74652777777777779</v>
      </c>
      <c r="F181" s="42">
        <v>0.77361111111111114</v>
      </c>
      <c r="G181" s="31" t="s">
        <v>633</v>
      </c>
      <c r="H181" s="31" t="s">
        <v>477</v>
      </c>
      <c r="I181" s="33">
        <v>16</v>
      </c>
      <c r="J181" s="34" t="s">
        <v>146</v>
      </c>
      <c r="K181" s="35">
        <v>240</v>
      </c>
      <c r="L181" s="36">
        <f>+K181*I181</f>
        <v>3840</v>
      </c>
      <c r="M181" s="37" t="s">
        <v>730</v>
      </c>
      <c r="N181" s="23" t="s">
        <v>1012</v>
      </c>
      <c r="O181" s="23">
        <v>17</v>
      </c>
      <c r="P181" s="23" t="s">
        <v>1830</v>
      </c>
      <c r="Q181" s="23">
        <v>17</v>
      </c>
      <c r="R181" s="79" t="s">
        <v>1999</v>
      </c>
      <c r="S181" s="79">
        <v>24</v>
      </c>
      <c r="T181" s="7">
        <v>1070</v>
      </c>
      <c r="U181" s="7" t="s">
        <v>1234</v>
      </c>
      <c r="V181" s="7">
        <v>1070</v>
      </c>
      <c r="W181" s="7" t="s">
        <v>1234</v>
      </c>
      <c r="X181" s="18"/>
      <c r="Y181" s="17"/>
      <c r="Z181" s="18"/>
      <c r="AA181" s="18"/>
      <c r="AB181" s="7" t="s">
        <v>1052</v>
      </c>
      <c r="AC181" s="8" t="s">
        <v>726</v>
      </c>
      <c r="AD181" s="8"/>
      <c r="AE181" s="8" t="s">
        <v>726</v>
      </c>
      <c r="AF181" s="8"/>
      <c r="AG181" s="8" t="s">
        <v>726</v>
      </c>
      <c r="AH181" s="8" t="s">
        <v>726</v>
      </c>
      <c r="AI181" s="8" t="s">
        <v>726</v>
      </c>
      <c r="AJ181" s="8" t="s">
        <v>726</v>
      </c>
      <c r="AK181" s="8" t="s">
        <v>726</v>
      </c>
      <c r="AL181" s="8" t="s">
        <v>726</v>
      </c>
      <c r="AM181" s="8"/>
      <c r="AN181" s="8"/>
      <c r="AO181" s="8"/>
      <c r="AP181" s="8"/>
      <c r="AQ181" s="8"/>
      <c r="AR181" s="8"/>
      <c r="AS181" s="8"/>
      <c r="AT181" s="8"/>
      <c r="AU181" s="8"/>
      <c r="AV181" s="8"/>
      <c r="AX181" s="142">
        <v>70.94</v>
      </c>
    </row>
    <row r="182" spans="1:50" ht="25.5">
      <c r="B182" s="27">
        <v>178</v>
      </c>
      <c r="C182" s="31">
        <v>114</v>
      </c>
      <c r="D182" s="31">
        <v>8</v>
      </c>
      <c r="E182" s="32">
        <v>0.25694444444444448</v>
      </c>
      <c r="F182" s="32">
        <v>0.27777777777777779</v>
      </c>
      <c r="G182" s="31" t="s">
        <v>323</v>
      </c>
      <c r="H182" s="31" t="s">
        <v>477</v>
      </c>
      <c r="I182" s="33">
        <v>8</v>
      </c>
      <c r="J182" s="34" t="s">
        <v>146</v>
      </c>
      <c r="K182" s="35">
        <v>240</v>
      </c>
      <c r="L182" s="36">
        <f>+K182*I182</f>
        <v>1920</v>
      </c>
      <c r="M182" s="37" t="s">
        <v>716</v>
      </c>
      <c r="N182" s="23" t="s">
        <v>855</v>
      </c>
      <c r="O182" s="23">
        <v>21</v>
      </c>
      <c r="P182" s="23" t="s">
        <v>854</v>
      </c>
      <c r="Q182" s="23">
        <v>17</v>
      </c>
      <c r="S182" s="23"/>
      <c r="T182" s="7">
        <v>1127</v>
      </c>
      <c r="U182" s="7" t="s">
        <v>1323</v>
      </c>
      <c r="V182" s="7">
        <v>1135</v>
      </c>
      <c r="W182" s="7" t="s">
        <v>1341</v>
      </c>
      <c r="X182" s="18"/>
      <c r="Y182" s="17"/>
      <c r="Z182" s="18"/>
      <c r="AA182" s="18"/>
      <c r="AB182" s="7" t="s">
        <v>1052</v>
      </c>
      <c r="AC182" s="8" t="s">
        <v>726</v>
      </c>
      <c r="AD182" s="8"/>
      <c r="AE182" s="8" t="s">
        <v>726</v>
      </c>
      <c r="AF182" s="8"/>
      <c r="AG182" s="8" t="s">
        <v>726</v>
      </c>
      <c r="AH182" s="8" t="s">
        <v>726</v>
      </c>
      <c r="AI182" s="8" t="s">
        <v>726</v>
      </c>
      <c r="AJ182" s="8" t="s">
        <v>726</v>
      </c>
      <c r="AK182" s="8" t="s">
        <v>726</v>
      </c>
      <c r="AL182" s="8" t="s">
        <v>726</v>
      </c>
      <c r="AM182" s="8"/>
      <c r="AN182" s="8"/>
      <c r="AO182" s="8"/>
      <c r="AP182" s="8"/>
      <c r="AQ182" s="8"/>
      <c r="AR182" s="8"/>
      <c r="AS182" s="8"/>
      <c r="AT182" s="8"/>
      <c r="AU182" s="8"/>
      <c r="AV182" s="8"/>
      <c r="AX182" s="142">
        <v>20.8</v>
      </c>
    </row>
    <row r="183" spans="1:50" ht="22.5">
      <c r="B183" s="27">
        <v>179</v>
      </c>
      <c r="C183" s="31">
        <v>114</v>
      </c>
      <c r="D183" s="31">
        <v>8</v>
      </c>
      <c r="E183" s="32">
        <v>0.26041666666666669</v>
      </c>
      <c r="F183" s="32">
        <v>0.28125</v>
      </c>
      <c r="G183" s="31" t="s">
        <v>323</v>
      </c>
      <c r="H183" s="31" t="s">
        <v>1</v>
      </c>
      <c r="I183" s="33">
        <v>8</v>
      </c>
      <c r="J183" s="34" t="s">
        <v>146</v>
      </c>
      <c r="K183" s="35">
        <v>67</v>
      </c>
      <c r="L183" s="36">
        <f>+K183*I183</f>
        <v>536</v>
      </c>
      <c r="M183" s="37" t="s">
        <v>716</v>
      </c>
      <c r="N183" s="23" t="s">
        <v>855</v>
      </c>
      <c r="O183" s="23">
        <v>21</v>
      </c>
      <c r="P183" s="23" t="s">
        <v>1779</v>
      </c>
      <c r="Q183" s="23">
        <v>21</v>
      </c>
      <c r="S183" s="23"/>
      <c r="T183" s="7">
        <v>1127</v>
      </c>
      <c r="U183" s="7" t="s">
        <v>1323</v>
      </c>
      <c r="V183" s="7">
        <v>1135</v>
      </c>
      <c r="W183" s="7" t="s">
        <v>1341</v>
      </c>
      <c r="X183" s="17"/>
      <c r="Y183" s="18"/>
      <c r="Z183" s="18"/>
      <c r="AA183" s="18"/>
      <c r="AB183" s="8" t="s">
        <v>1047</v>
      </c>
      <c r="AC183" s="8"/>
      <c r="AD183" s="8" t="s">
        <v>726</v>
      </c>
      <c r="AE183" s="8" t="s">
        <v>726</v>
      </c>
      <c r="AF183" s="8"/>
      <c r="AG183" s="8" t="s">
        <v>726</v>
      </c>
      <c r="AH183" s="8" t="s">
        <v>726</v>
      </c>
      <c r="AI183" s="8" t="s">
        <v>726</v>
      </c>
      <c r="AJ183" s="8" t="s">
        <v>726</v>
      </c>
      <c r="AK183" s="8" t="s">
        <v>726</v>
      </c>
      <c r="AL183" s="8" t="s">
        <v>726</v>
      </c>
      <c r="AM183" s="8"/>
      <c r="AN183" s="8"/>
      <c r="AO183" s="8"/>
      <c r="AP183" s="8"/>
      <c r="AQ183" s="8"/>
      <c r="AR183" s="8"/>
      <c r="AS183" s="8"/>
      <c r="AT183" s="8"/>
      <c r="AU183" s="8"/>
      <c r="AV183" s="8"/>
      <c r="AX183" s="142">
        <v>20.8</v>
      </c>
    </row>
    <row r="184" spans="1:50" ht="25.5">
      <c r="B184" s="27">
        <v>180</v>
      </c>
      <c r="C184" s="31">
        <v>114</v>
      </c>
      <c r="D184" s="31">
        <v>7</v>
      </c>
      <c r="E184" s="32">
        <v>0.28125</v>
      </c>
      <c r="F184" s="32">
        <v>0.29166666666666669</v>
      </c>
      <c r="G184" s="31" t="s">
        <v>322</v>
      </c>
      <c r="H184" s="31" t="s">
        <v>477</v>
      </c>
      <c r="I184" s="33">
        <v>8</v>
      </c>
      <c r="J184" s="34" t="s">
        <v>146</v>
      </c>
      <c r="K184" s="35">
        <v>240</v>
      </c>
      <c r="L184" s="36">
        <f>+K184*I184</f>
        <v>1920</v>
      </c>
      <c r="M184" s="37" t="s">
        <v>716</v>
      </c>
      <c r="N184" s="23" t="s">
        <v>855</v>
      </c>
      <c r="O184" s="23">
        <v>21</v>
      </c>
      <c r="P184" s="23" t="s">
        <v>1779</v>
      </c>
      <c r="Q184" s="23">
        <v>21</v>
      </c>
      <c r="S184" s="23"/>
      <c r="T184" s="7">
        <v>1135</v>
      </c>
      <c r="U184" s="7" t="s">
        <v>1341</v>
      </c>
      <c r="V184" s="7">
        <v>1127</v>
      </c>
      <c r="W184" s="7" t="s">
        <v>1323</v>
      </c>
      <c r="X184" s="18"/>
      <c r="Y184" s="17"/>
      <c r="Z184" s="18"/>
      <c r="AA184" s="18"/>
      <c r="AB184" s="7" t="s">
        <v>1052</v>
      </c>
      <c r="AC184" s="8" t="s">
        <v>726</v>
      </c>
      <c r="AD184" s="8"/>
      <c r="AE184" s="8" t="s">
        <v>726</v>
      </c>
      <c r="AF184" s="8"/>
      <c r="AG184" s="8" t="s">
        <v>726</v>
      </c>
      <c r="AH184" s="8" t="s">
        <v>726</v>
      </c>
      <c r="AI184" s="8" t="s">
        <v>726</v>
      </c>
      <c r="AJ184" s="8" t="s">
        <v>726</v>
      </c>
      <c r="AK184" s="8" t="s">
        <v>726</v>
      </c>
      <c r="AL184" s="8" t="s">
        <v>726</v>
      </c>
      <c r="AM184" s="8"/>
      <c r="AN184" s="8"/>
      <c r="AO184" s="8"/>
      <c r="AP184" s="8"/>
      <c r="AQ184" s="8"/>
      <c r="AR184" s="8"/>
      <c r="AS184" s="8"/>
      <c r="AT184" s="8"/>
      <c r="AU184" s="8"/>
      <c r="AV184" s="8"/>
      <c r="AX184" s="142">
        <v>20.8</v>
      </c>
    </row>
    <row r="185" spans="1:50" ht="22.5">
      <c r="B185" s="27">
        <v>181</v>
      </c>
      <c r="C185" s="31">
        <v>114</v>
      </c>
      <c r="D185" s="31">
        <v>7</v>
      </c>
      <c r="E185" s="32">
        <v>0.28472222222222221</v>
      </c>
      <c r="F185" s="32">
        <v>0.2951388888888889</v>
      </c>
      <c r="G185" s="31" t="s">
        <v>322</v>
      </c>
      <c r="H185" s="31" t="s">
        <v>1</v>
      </c>
      <c r="I185" s="33">
        <v>8</v>
      </c>
      <c r="J185" s="34" t="s">
        <v>146</v>
      </c>
      <c r="K185" s="35">
        <v>67</v>
      </c>
      <c r="L185" s="36">
        <f>+K185*I185</f>
        <v>536</v>
      </c>
      <c r="M185" s="37" t="s">
        <v>716</v>
      </c>
      <c r="N185" s="23" t="s">
        <v>855</v>
      </c>
      <c r="O185" s="23">
        <v>21</v>
      </c>
      <c r="P185" s="23" t="s">
        <v>1779</v>
      </c>
      <c r="Q185" s="23">
        <v>21</v>
      </c>
      <c r="S185" s="23"/>
      <c r="T185" s="7">
        <v>1135</v>
      </c>
      <c r="U185" s="7" t="s">
        <v>1341</v>
      </c>
      <c r="V185" s="7">
        <v>1127</v>
      </c>
      <c r="W185" s="7" t="s">
        <v>1323</v>
      </c>
      <c r="X185" s="17"/>
      <c r="Y185" s="18"/>
      <c r="Z185" s="18"/>
      <c r="AA185" s="18"/>
      <c r="AB185" s="8" t="s">
        <v>1047</v>
      </c>
      <c r="AC185" s="8"/>
      <c r="AD185" s="8" t="s">
        <v>726</v>
      </c>
      <c r="AE185" s="8" t="s">
        <v>726</v>
      </c>
      <c r="AF185" s="8"/>
      <c r="AG185" s="8" t="s">
        <v>726</v>
      </c>
      <c r="AH185" s="8" t="s">
        <v>726</v>
      </c>
      <c r="AI185" s="8" t="s">
        <v>726</v>
      </c>
      <c r="AJ185" s="8" t="s">
        <v>726</v>
      </c>
      <c r="AK185" s="8" t="s">
        <v>726</v>
      </c>
      <c r="AL185" s="8" t="s">
        <v>726</v>
      </c>
      <c r="AM185" s="8"/>
      <c r="AN185" s="8"/>
      <c r="AO185" s="8"/>
      <c r="AP185" s="8"/>
      <c r="AQ185" s="8"/>
      <c r="AR185" s="8"/>
      <c r="AS185" s="8"/>
      <c r="AT185" s="8"/>
      <c r="AU185" s="8"/>
      <c r="AV185" s="8"/>
      <c r="AX185" s="142">
        <v>20.8</v>
      </c>
    </row>
    <row r="186" spans="1:50" ht="25.5">
      <c r="B186" s="27">
        <v>182</v>
      </c>
      <c r="C186" s="31">
        <v>114</v>
      </c>
      <c r="D186" s="31">
        <v>10</v>
      </c>
      <c r="E186" s="32">
        <v>0.30555555555555552</v>
      </c>
      <c r="F186" s="42">
        <v>0.31597222222222221</v>
      </c>
      <c r="G186" s="31" t="s">
        <v>323</v>
      </c>
      <c r="H186" s="31" t="s">
        <v>477</v>
      </c>
      <c r="I186" s="33">
        <v>8</v>
      </c>
      <c r="J186" s="34" t="s">
        <v>146</v>
      </c>
      <c r="K186" s="35">
        <v>240</v>
      </c>
      <c r="L186" s="36">
        <f>+K186*I186</f>
        <v>1920</v>
      </c>
      <c r="M186" s="37" t="s">
        <v>716</v>
      </c>
      <c r="N186" s="23" t="s">
        <v>855</v>
      </c>
      <c r="O186" s="23">
        <v>21</v>
      </c>
      <c r="P186" s="23" t="s">
        <v>1779</v>
      </c>
      <c r="Q186" s="23">
        <v>21</v>
      </c>
      <c r="S186" s="23"/>
      <c r="T186" s="7">
        <v>1127</v>
      </c>
      <c r="U186" s="7" t="s">
        <v>1323</v>
      </c>
      <c r="V186" s="7">
        <v>1135</v>
      </c>
      <c r="W186" s="7" t="s">
        <v>1341</v>
      </c>
      <c r="X186" s="18"/>
      <c r="Y186" s="17"/>
      <c r="Z186" s="18"/>
      <c r="AA186" s="18"/>
      <c r="AB186" s="7" t="s">
        <v>1052</v>
      </c>
      <c r="AC186" s="8" t="s">
        <v>726</v>
      </c>
      <c r="AD186" s="8"/>
      <c r="AE186" s="8" t="s">
        <v>726</v>
      </c>
      <c r="AF186" s="8"/>
      <c r="AG186" s="8" t="s">
        <v>726</v>
      </c>
      <c r="AH186" s="8" t="s">
        <v>726</v>
      </c>
      <c r="AI186" s="8" t="s">
        <v>726</v>
      </c>
      <c r="AJ186" s="8" t="s">
        <v>726</v>
      </c>
      <c r="AK186" s="8" t="s">
        <v>726</v>
      </c>
      <c r="AL186" s="8" t="s">
        <v>726</v>
      </c>
      <c r="AM186" s="8"/>
      <c r="AN186" s="8"/>
      <c r="AO186" s="8"/>
      <c r="AP186" s="8"/>
      <c r="AQ186" s="8"/>
      <c r="AR186" s="8"/>
      <c r="AS186" s="8"/>
      <c r="AT186" s="8"/>
      <c r="AU186" s="8"/>
      <c r="AV186" s="8"/>
      <c r="AX186" s="142">
        <v>16</v>
      </c>
    </row>
    <row r="187" spans="1:50" ht="22.5">
      <c r="B187" s="27">
        <v>183</v>
      </c>
      <c r="C187" s="31">
        <v>114</v>
      </c>
      <c r="D187" s="31">
        <v>10</v>
      </c>
      <c r="E187" s="32">
        <v>0.31319444444444444</v>
      </c>
      <c r="F187" s="32">
        <v>0.32361111111111113</v>
      </c>
      <c r="G187" s="31" t="s">
        <v>323</v>
      </c>
      <c r="H187" s="31" t="s">
        <v>1</v>
      </c>
      <c r="I187" s="33">
        <v>8</v>
      </c>
      <c r="J187" s="34" t="s">
        <v>146</v>
      </c>
      <c r="K187" s="35">
        <v>67</v>
      </c>
      <c r="L187" s="36">
        <f>+K187*I187</f>
        <v>536</v>
      </c>
      <c r="M187" s="37" t="s">
        <v>716</v>
      </c>
      <c r="N187" s="23" t="s">
        <v>855</v>
      </c>
      <c r="O187" s="23">
        <v>21</v>
      </c>
      <c r="P187" s="23" t="s">
        <v>1779</v>
      </c>
      <c r="Q187" s="23">
        <v>21</v>
      </c>
      <c r="S187" s="23"/>
      <c r="T187" s="7">
        <v>1127</v>
      </c>
      <c r="U187" s="7" t="s">
        <v>1323</v>
      </c>
      <c r="V187" s="7">
        <v>1135</v>
      </c>
      <c r="W187" s="7" t="s">
        <v>1341</v>
      </c>
      <c r="X187" s="17"/>
      <c r="Y187" s="18"/>
      <c r="Z187" s="18"/>
      <c r="AA187" s="18"/>
      <c r="AB187" s="8" t="s">
        <v>1047</v>
      </c>
      <c r="AC187" s="8"/>
      <c r="AD187" s="8" t="s">
        <v>726</v>
      </c>
      <c r="AE187" s="8" t="s">
        <v>726</v>
      </c>
      <c r="AF187" s="8"/>
      <c r="AG187" s="8" t="s">
        <v>726</v>
      </c>
      <c r="AH187" s="8" t="s">
        <v>726</v>
      </c>
      <c r="AI187" s="8" t="s">
        <v>726</v>
      </c>
      <c r="AJ187" s="8" t="s">
        <v>726</v>
      </c>
      <c r="AK187" s="8" t="s">
        <v>726</v>
      </c>
      <c r="AL187" s="8" t="s">
        <v>726</v>
      </c>
      <c r="AM187" s="8"/>
      <c r="AN187" s="8"/>
      <c r="AO187" s="8"/>
      <c r="AP187" s="8"/>
      <c r="AQ187" s="8"/>
      <c r="AR187" s="8"/>
      <c r="AS187" s="8"/>
      <c r="AT187" s="8"/>
      <c r="AU187" s="8"/>
      <c r="AV187" s="8"/>
      <c r="AX187" s="142">
        <v>16</v>
      </c>
    </row>
    <row r="188" spans="1:50" ht="25.5">
      <c r="B188" s="27">
        <v>184</v>
      </c>
      <c r="C188" s="31">
        <v>114</v>
      </c>
      <c r="D188" s="31">
        <v>9</v>
      </c>
      <c r="E188" s="32">
        <v>0.31944444444444448</v>
      </c>
      <c r="F188" s="32">
        <v>0.34027777777777773</v>
      </c>
      <c r="G188" s="31" t="s">
        <v>322</v>
      </c>
      <c r="H188" s="31" t="s">
        <v>477</v>
      </c>
      <c r="I188" s="33">
        <v>8</v>
      </c>
      <c r="J188" s="34" t="s">
        <v>146</v>
      </c>
      <c r="K188" s="35">
        <v>240</v>
      </c>
      <c r="L188" s="36">
        <f>+K188*I188</f>
        <v>1920</v>
      </c>
      <c r="M188" s="37" t="s">
        <v>716</v>
      </c>
      <c r="N188" s="23" t="s">
        <v>855</v>
      </c>
      <c r="O188" s="23">
        <v>21</v>
      </c>
      <c r="P188" s="23" t="s">
        <v>1779</v>
      </c>
      <c r="Q188" s="23">
        <v>21</v>
      </c>
      <c r="S188" s="23"/>
      <c r="T188" s="7">
        <v>1135</v>
      </c>
      <c r="U188" s="7" t="s">
        <v>1341</v>
      </c>
      <c r="V188" s="7">
        <v>1127</v>
      </c>
      <c r="W188" s="7" t="s">
        <v>1323</v>
      </c>
      <c r="X188" s="18"/>
      <c r="Y188" s="17"/>
      <c r="Z188" s="18"/>
      <c r="AA188" s="18"/>
      <c r="AB188" s="7" t="s">
        <v>1052</v>
      </c>
      <c r="AC188" s="8" t="s">
        <v>726</v>
      </c>
      <c r="AD188" s="8"/>
      <c r="AE188" s="8" t="s">
        <v>726</v>
      </c>
      <c r="AF188" s="8"/>
      <c r="AG188" s="8" t="s">
        <v>726</v>
      </c>
      <c r="AH188" s="8" t="s">
        <v>726</v>
      </c>
      <c r="AI188" s="8" t="s">
        <v>726</v>
      </c>
      <c r="AJ188" s="8" t="s">
        <v>726</v>
      </c>
      <c r="AK188" s="8" t="s">
        <v>726</v>
      </c>
      <c r="AL188" s="8" t="s">
        <v>726</v>
      </c>
      <c r="AM188" s="8"/>
      <c r="AN188" s="8"/>
      <c r="AO188" s="8"/>
      <c r="AP188" s="8"/>
      <c r="AQ188" s="8"/>
      <c r="AR188" s="8"/>
      <c r="AS188" s="8"/>
      <c r="AT188" s="8"/>
      <c r="AU188" s="8"/>
      <c r="AV188" s="8"/>
      <c r="AX188" s="142">
        <v>16</v>
      </c>
    </row>
    <row r="189" spans="1:50" ht="22.5">
      <c r="B189" s="27">
        <v>185</v>
      </c>
      <c r="C189" s="31">
        <v>114</v>
      </c>
      <c r="D189" s="31">
        <v>9</v>
      </c>
      <c r="E189" s="32">
        <v>0.32361111111111113</v>
      </c>
      <c r="F189" s="32">
        <v>0.3444444444444445</v>
      </c>
      <c r="G189" s="31" t="s">
        <v>322</v>
      </c>
      <c r="H189" s="31" t="s">
        <v>1</v>
      </c>
      <c r="I189" s="33">
        <v>8</v>
      </c>
      <c r="J189" s="34" t="s">
        <v>146</v>
      </c>
      <c r="K189" s="35">
        <v>67</v>
      </c>
      <c r="L189" s="36">
        <f>+K189*I189</f>
        <v>536</v>
      </c>
      <c r="M189" s="37" t="s">
        <v>716</v>
      </c>
      <c r="N189" s="23" t="s">
        <v>855</v>
      </c>
      <c r="O189" s="23">
        <v>21</v>
      </c>
      <c r="P189" s="23" t="s">
        <v>1779</v>
      </c>
      <c r="Q189" s="23">
        <v>21</v>
      </c>
      <c r="S189" s="23"/>
      <c r="T189" s="7">
        <v>1135</v>
      </c>
      <c r="U189" s="7" t="s">
        <v>1341</v>
      </c>
      <c r="V189" s="7">
        <v>1127</v>
      </c>
      <c r="W189" s="7" t="s">
        <v>1323</v>
      </c>
      <c r="X189" s="17"/>
      <c r="Y189" s="18"/>
      <c r="Z189" s="18"/>
      <c r="AA189" s="18"/>
      <c r="AB189" s="8" t="s">
        <v>1047</v>
      </c>
      <c r="AC189" s="8"/>
      <c r="AD189" s="8" t="s">
        <v>726</v>
      </c>
      <c r="AE189" s="8" t="s">
        <v>726</v>
      </c>
      <c r="AF189" s="8"/>
      <c r="AG189" s="8" t="s">
        <v>726</v>
      </c>
      <c r="AH189" s="8" t="s">
        <v>726</v>
      </c>
      <c r="AI189" s="8" t="s">
        <v>726</v>
      </c>
      <c r="AJ189" s="8" t="s">
        <v>726</v>
      </c>
      <c r="AK189" s="8" t="s">
        <v>726</v>
      </c>
      <c r="AL189" s="8" t="s">
        <v>726</v>
      </c>
      <c r="AM189" s="8"/>
      <c r="AN189" s="8"/>
      <c r="AO189" s="8"/>
      <c r="AP189" s="8"/>
      <c r="AQ189" s="8"/>
      <c r="AR189" s="8"/>
      <c r="AS189" s="8"/>
      <c r="AT189" s="8"/>
      <c r="AU189" s="8"/>
      <c r="AV189" s="8"/>
      <c r="AX189" s="142">
        <v>16</v>
      </c>
    </row>
    <row r="190" spans="1:50" ht="25.5">
      <c r="B190" s="27">
        <v>186</v>
      </c>
      <c r="C190" s="31">
        <v>114</v>
      </c>
      <c r="D190" s="31">
        <v>12</v>
      </c>
      <c r="E190" s="32">
        <v>0.4861111111111111</v>
      </c>
      <c r="F190" s="32">
        <v>0.49652777777777773</v>
      </c>
      <c r="G190" s="31" t="s">
        <v>323</v>
      </c>
      <c r="H190" s="31" t="s">
        <v>267</v>
      </c>
      <c r="I190" s="33">
        <v>8</v>
      </c>
      <c r="J190" s="34" t="s">
        <v>146</v>
      </c>
      <c r="K190" s="35">
        <v>55</v>
      </c>
      <c r="L190" s="36">
        <f>+K190*I190</f>
        <v>440</v>
      </c>
      <c r="M190" s="37" t="s">
        <v>716</v>
      </c>
      <c r="N190" s="23" t="s">
        <v>855</v>
      </c>
      <c r="O190" s="23">
        <v>21</v>
      </c>
      <c r="P190" s="23" t="s">
        <v>1779</v>
      </c>
      <c r="Q190" s="23">
        <v>21</v>
      </c>
      <c r="S190" s="23"/>
      <c r="T190" s="7">
        <v>1127</v>
      </c>
      <c r="U190" s="7" t="s">
        <v>1323</v>
      </c>
      <c r="V190" s="7">
        <v>1135</v>
      </c>
      <c r="W190" s="7" t="s">
        <v>1341</v>
      </c>
      <c r="X190" s="17"/>
      <c r="Y190" s="18"/>
      <c r="Z190" s="18"/>
      <c r="AA190" s="18"/>
      <c r="AB190" s="7" t="s">
        <v>1049</v>
      </c>
      <c r="AC190" s="8"/>
      <c r="AD190" s="8" t="s">
        <v>726</v>
      </c>
      <c r="AE190" s="8" t="s">
        <v>726</v>
      </c>
      <c r="AF190" s="8"/>
      <c r="AG190" s="8" t="s">
        <v>726</v>
      </c>
      <c r="AH190" s="8" t="s">
        <v>726</v>
      </c>
      <c r="AI190" s="8" t="s">
        <v>726</v>
      </c>
      <c r="AJ190" s="8" t="s">
        <v>726</v>
      </c>
      <c r="AK190" s="8" t="s">
        <v>726</v>
      </c>
      <c r="AL190" s="8"/>
      <c r="AM190" s="8"/>
      <c r="AN190" s="8"/>
      <c r="AO190" s="8"/>
      <c r="AP190" s="8"/>
      <c r="AQ190" s="8"/>
      <c r="AR190" s="8"/>
      <c r="AS190" s="8"/>
      <c r="AT190" s="8"/>
      <c r="AU190" s="8"/>
      <c r="AV190" s="8"/>
      <c r="AX190" s="142">
        <v>16</v>
      </c>
    </row>
    <row r="191" spans="1:50" ht="25.5">
      <c r="B191" s="27">
        <v>187</v>
      </c>
      <c r="C191" s="31">
        <v>114</v>
      </c>
      <c r="D191" s="31">
        <v>12</v>
      </c>
      <c r="E191" s="32">
        <v>0.48958333333333331</v>
      </c>
      <c r="F191" s="32">
        <v>0.5</v>
      </c>
      <c r="G191" s="31" t="s">
        <v>323</v>
      </c>
      <c r="H191" s="31" t="s">
        <v>477</v>
      </c>
      <c r="I191" s="33">
        <v>8</v>
      </c>
      <c r="J191" s="34" t="s">
        <v>146</v>
      </c>
      <c r="K191" s="35">
        <v>240</v>
      </c>
      <c r="L191" s="36">
        <f>+K191*I191</f>
        <v>1920</v>
      </c>
      <c r="M191" s="37" t="s">
        <v>716</v>
      </c>
      <c r="N191" s="23" t="s">
        <v>855</v>
      </c>
      <c r="O191" s="23">
        <v>21</v>
      </c>
      <c r="P191" s="23" t="s">
        <v>1779</v>
      </c>
      <c r="Q191" s="23">
        <v>21</v>
      </c>
      <c r="S191" s="23"/>
      <c r="T191" s="7">
        <v>1127</v>
      </c>
      <c r="U191" s="7" t="s">
        <v>1323</v>
      </c>
      <c r="V191" s="7">
        <v>1135</v>
      </c>
      <c r="W191" s="7" t="s">
        <v>1341</v>
      </c>
      <c r="X191" s="18"/>
      <c r="Y191" s="17"/>
      <c r="Z191" s="18"/>
      <c r="AA191" s="18"/>
      <c r="AB191" s="7" t="s">
        <v>1052</v>
      </c>
      <c r="AC191" s="8" t="s">
        <v>726</v>
      </c>
      <c r="AD191" s="8"/>
      <c r="AE191" s="8" t="s">
        <v>726</v>
      </c>
      <c r="AF191" s="8"/>
      <c r="AG191" s="8" t="s">
        <v>726</v>
      </c>
      <c r="AH191" s="8" t="s">
        <v>726</v>
      </c>
      <c r="AI191" s="8" t="s">
        <v>726</v>
      </c>
      <c r="AJ191" s="8" t="s">
        <v>726</v>
      </c>
      <c r="AK191" s="8" t="s">
        <v>726</v>
      </c>
      <c r="AL191" s="8" t="s">
        <v>726</v>
      </c>
      <c r="AM191" s="8"/>
      <c r="AN191" s="8"/>
      <c r="AO191" s="8"/>
      <c r="AP191" s="8"/>
      <c r="AQ191" s="8"/>
      <c r="AR191" s="8"/>
      <c r="AS191" s="8"/>
      <c r="AT191" s="8"/>
      <c r="AU191" s="8"/>
      <c r="AV191" s="8"/>
      <c r="AX191" s="142">
        <v>16</v>
      </c>
    </row>
    <row r="192" spans="1:50" ht="25.5">
      <c r="B192" s="27">
        <v>188</v>
      </c>
      <c r="C192" s="31">
        <v>114</v>
      </c>
      <c r="D192" s="31">
        <v>11</v>
      </c>
      <c r="E192" s="32">
        <v>0.50347222222222221</v>
      </c>
      <c r="F192" s="32">
        <v>0.52083333333333337</v>
      </c>
      <c r="G192" s="31" t="s">
        <v>322</v>
      </c>
      <c r="H192" s="31" t="s">
        <v>477</v>
      </c>
      <c r="I192" s="33">
        <v>8</v>
      </c>
      <c r="J192" s="34" t="s">
        <v>146</v>
      </c>
      <c r="K192" s="35">
        <v>240</v>
      </c>
      <c r="L192" s="36">
        <f>+K192*I192</f>
        <v>1920</v>
      </c>
      <c r="M192" s="37" t="s">
        <v>716</v>
      </c>
      <c r="N192" s="23" t="s">
        <v>855</v>
      </c>
      <c r="O192" s="23">
        <v>21</v>
      </c>
      <c r="P192" s="23" t="s">
        <v>1779</v>
      </c>
      <c r="Q192" s="23">
        <v>21</v>
      </c>
      <c r="S192" s="23"/>
      <c r="T192" s="7">
        <v>1135</v>
      </c>
      <c r="U192" s="7" t="s">
        <v>1341</v>
      </c>
      <c r="V192" s="7">
        <v>1127</v>
      </c>
      <c r="W192" s="7" t="s">
        <v>1323</v>
      </c>
      <c r="X192" s="18"/>
      <c r="Y192" s="17"/>
      <c r="Z192" s="18"/>
      <c r="AA192" s="18"/>
      <c r="AB192" s="7" t="s">
        <v>1052</v>
      </c>
      <c r="AC192" s="8" t="s">
        <v>726</v>
      </c>
      <c r="AD192" s="8"/>
      <c r="AE192" s="8" t="s">
        <v>726</v>
      </c>
      <c r="AF192" s="8"/>
      <c r="AG192" s="8" t="s">
        <v>726</v>
      </c>
      <c r="AH192" s="8" t="s">
        <v>726</v>
      </c>
      <c r="AI192" s="8" t="s">
        <v>726</v>
      </c>
      <c r="AJ192" s="8" t="s">
        <v>726</v>
      </c>
      <c r="AK192" s="8" t="s">
        <v>726</v>
      </c>
      <c r="AL192" s="8" t="s">
        <v>726</v>
      </c>
      <c r="AM192" s="8"/>
      <c r="AN192" s="8"/>
      <c r="AO192" s="8"/>
      <c r="AP192" s="8"/>
      <c r="AQ192" s="8"/>
      <c r="AR192" s="8"/>
      <c r="AS192" s="8"/>
      <c r="AT192" s="8"/>
      <c r="AU192" s="8"/>
      <c r="AV192" s="8"/>
      <c r="AX192" s="142">
        <v>16</v>
      </c>
    </row>
    <row r="193" spans="2:50" ht="25.5">
      <c r="B193" s="27">
        <v>189</v>
      </c>
      <c r="C193" s="31">
        <v>114</v>
      </c>
      <c r="D193" s="31">
        <v>11</v>
      </c>
      <c r="E193" s="32">
        <v>0.50347222222222221</v>
      </c>
      <c r="F193" s="32">
        <v>0.52430555555555558</v>
      </c>
      <c r="G193" s="31" t="s">
        <v>322</v>
      </c>
      <c r="H193" s="31" t="s">
        <v>267</v>
      </c>
      <c r="I193" s="33">
        <v>8</v>
      </c>
      <c r="J193" s="34" t="s">
        <v>146</v>
      </c>
      <c r="K193" s="35">
        <v>55</v>
      </c>
      <c r="L193" s="36">
        <f>+K193*I193</f>
        <v>440</v>
      </c>
      <c r="M193" s="37" t="s">
        <v>716</v>
      </c>
      <c r="N193" s="23" t="s">
        <v>855</v>
      </c>
      <c r="O193" s="23">
        <v>21</v>
      </c>
      <c r="P193" s="23" t="s">
        <v>1779</v>
      </c>
      <c r="Q193" s="23">
        <v>21</v>
      </c>
      <c r="S193" s="23"/>
      <c r="T193" s="7">
        <v>1135</v>
      </c>
      <c r="U193" s="7" t="s">
        <v>1341</v>
      </c>
      <c r="V193" s="7">
        <v>1127</v>
      </c>
      <c r="W193" s="7" t="s">
        <v>1323</v>
      </c>
      <c r="X193" s="17"/>
      <c r="Y193" s="18"/>
      <c r="Z193" s="18"/>
      <c r="AA193" s="18"/>
      <c r="AB193" s="7" t="s">
        <v>1049</v>
      </c>
      <c r="AC193" s="8"/>
      <c r="AD193" s="8" t="s">
        <v>726</v>
      </c>
      <c r="AE193" s="8" t="s">
        <v>726</v>
      </c>
      <c r="AF193" s="8"/>
      <c r="AG193" s="8" t="s">
        <v>726</v>
      </c>
      <c r="AH193" s="8" t="s">
        <v>726</v>
      </c>
      <c r="AI193" s="8" t="s">
        <v>726</v>
      </c>
      <c r="AJ193" s="8" t="s">
        <v>726</v>
      </c>
      <c r="AK193" s="8" t="s">
        <v>726</v>
      </c>
      <c r="AL193" s="8"/>
      <c r="AM193" s="8"/>
      <c r="AN193" s="8"/>
      <c r="AO193" s="8"/>
      <c r="AP193" s="8"/>
      <c r="AQ193" s="8"/>
      <c r="AR193" s="8"/>
      <c r="AS193" s="8"/>
      <c r="AT193" s="8"/>
      <c r="AU193" s="8"/>
      <c r="AV193" s="8"/>
      <c r="AX193" s="142">
        <v>16</v>
      </c>
    </row>
    <row r="194" spans="2:50" ht="22.5">
      <c r="B194" s="27">
        <v>190</v>
      </c>
      <c r="C194" s="31">
        <v>114</v>
      </c>
      <c r="D194" s="31">
        <v>14</v>
      </c>
      <c r="E194" s="32">
        <v>0.54999999999999993</v>
      </c>
      <c r="F194" s="32">
        <v>0.56458333333333333</v>
      </c>
      <c r="G194" s="31" t="s">
        <v>323</v>
      </c>
      <c r="H194" s="31" t="s">
        <v>1</v>
      </c>
      <c r="I194" s="33">
        <v>8</v>
      </c>
      <c r="J194" s="34" t="s">
        <v>146</v>
      </c>
      <c r="K194" s="35">
        <v>67</v>
      </c>
      <c r="L194" s="36">
        <f>+K194*I194</f>
        <v>536</v>
      </c>
      <c r="M194" s="37" t="s">
        <v>716</v>
      </c>
      <c r="N194" s="23" t="s">
        <v>855</v>
      </c>
      <c r="O194" s="23">
        <v>21</v>
      </c>
      <c r="P194" s="23" t="s">
        <v>1779</v>
      </c>
      <c r="Q194" s="23">
        <v>21</v>
      </c>
      <c r="S194" s="23"/>
      <c r="T194" s="7">
        <v>1127</v>
      </c>
      <c r="U194" s="7" t="s">
        <v>1323</v>
      </c>
      <c r="V194" s="7">
        <v>1135</v>
      </c>
      <c r="W194" s="7" t="s">
        <v>1341</v>
      </c>
      <c r="X194" s="17"/>
      <c r="Y194" s="18"/>
      <c r="Z194" s="18"/>
      <c r="AA194" s="18"/>
      <c r="AB194" s="8" t="s">
        <v>1047</v>
      </c>
      <c r="AC194" s="8"/>
      <c r="AD194" s="8" t="s">
        <v>726</v>
      </c>
      <c r="AE194" s="8" t="s">
        <v>726</v>
      </c>
      <c r="AF194" s="8"/>
      <c r="AG194" s="8" t="s">
        <v>726</v>
      </c>
      <c r="AH194" s="8" t="s">
        <v>726</v>
      </c>
      <c r="AI194" s="8" t="s">
        <v>726</v>
      </c>
      <c r="AJ194" s="8" t="s">
        <v>726</v>
      </c>
      <c r="AK194" s="8" t="s">
        <v>726</v>
      </c>
      <c r="AL194" s="8" t="s">
        <v>726</v>
      </c>
      <c r="AM194" s="8"/>
      <c r="AN194" s="8"/>
      <c r="AO194" s="8"/>
      <c r="AP194" s="8"/>
      <c r="AQ194" s="8"/>
      <c r="AR194" s="8"/>
      <c r="AS194" s="8"/>
      <c r="AT194" s="8"/>
      <c r="AU194" s="8"/>
      <c r="AV194" s="8"/>
      <c r="AX194" s="142">
        <v>16</v>
      </c>
    </row>
    <row r="195" spans="2:50" ht="25.5">
      <c r="B195" s="27">
        <v>191</v>
      </c>
      <c r="C195" s="31">
        <v>114</v>
      </c>
      <c r="D195" s="31">
        <v>14</v>
      </c>
      <c r="E195" s="32">
        <v>0.54999999999999993</v>
      </c>
      <c r="F195" s="32">
        <v>0.56458333333333333</v>
      </c>
      <c r="G195" s="31" t="s">
        <v>323</v>
      </c>
      <c r="H195" s="31" t="s">
        <v>477</v>
      </c>
      <c r="I195" s="33">
        <v>8</v>
      </c>
      <c r="J195" s="34" t="s">
        <v>146</v>
      </c>
      <c r="K195" s="35">
        <v>240</v>
      </c>
      <c r="L195" s="36">
        <f>+K195*I195</f>
        <v>1920</v>
      </c>
      <c r="M195" s="37" t="s">
        <v>716</v>
      </c>
      <c r="N195" s="23" t="s">
        <v>855</v>
      </c>
      <c r="O195" s="23">
        <v>21</v>
      </c>
      <c r="P195" s="23" t="s">
        <v>1779</v>
      </c>
      <c r="Q195" s="23">
        <v>21</v>
      </c>
      <c r="S195" s="23"/>
      <c r="T195" s="7">
        <v>1127</v>
      </c>
      <c r="U195" s="7" t="s">
        <v>1323</v>
      </c>
      <c r="V195" s="7">
        <v>1135</v>
      </c>
      <c r="W195" s="7" t="s">
        <v>1341</v>
      </c>
      <c r="X195" s="18"/>
      <c r="Y195" s="17"/>
      <c r="Z195" s="18"/>
      <c r="AA195" s="18"/>
      <c r="AB195" s="7" t="s">
        <v>1052</v>
      </c>
      <c r="AC195" s="8" t="s">
        <v>726</v>
      </c>
      <c r="AD195" s="8"/>
      <c r="AE195" s="8" t="s">
        <v>726</v>
      </c>
      <c r="AF195" s="8"/>
      <c r="AG195" s="8" t="s">
        <v>726</v>
      </c>
      <c r="AH195" s="8" t="s">
        <v>726</v>
      </c>
      <c r="AI195" s="8" t="s">
        <v>726</v>
      </c>
      <c r="AJ195" s="8" t="s">
        <v>726</v>
      </c>
      <c r="AK195" s="8" t="s">
        <v>726</v>
      </c>
      <c r="AL195" s="8" t="s">
        <v>726</v>
      </c>
      <c r="AM195" s="8"/>
      <c r="AN195" s="8"/>
      <c r="AO195" s="8"/>
      <c r="AP195" s="8"/>
      <c r="AQ195" s="8"/>
      <c r="AR195" s="8"/>
      <c r="AS195" s="8"/>
      <c r="AT195" s="8"/>
      <c r="AU195" s="8"/>
      <c r="AV195" s="8"/>
      <c r="AX195" s="142">
        <v>16</v>
      </c>
    </row>
    <row r="196" spans="2:50" ht="22.5">
      <c r="B196" s="27">
        <v>192</v>
      </c>
      <c r="C196" s="31">
        <v>114</v>
      </c>
      <c r="D196" s="31">
        <v>13</v>
      </c>
      <c r="E196" s="32">
        <v>0.56458333333333333</v>
      </c>
      <c r="F196" s="42">
        <v>0.57291666666666663</v>
      </c>
      <c r="G196" s="31" t="s">
        <v>322</v>
      </c>
      <c r="H196" s="31" t="s">
        <v>325</v>
      </c>
      <c r="I196" s="33">
        <v>8</v>
      </c>
      <c r="J196" s="34" t="s">
        <v>146</v>
      </c>
      <c r="K196" s="35">
        <v>67</v>
      </c>
      <c r="L196" s="36">
        <f>+K196*I196</f>
        <v>536</v>
      </c>
      <c r="M196" s="37" t="s">
        <v>716</v>
      </c>
      <c r="N196" s="23" t="s">
        <v>855</v>
      </c>
      <c r="O196" s="23">
        <v>21</v>
      </c>
      <c r="P196" s="23" t="s">
        <v>1779</v>
      </c>
      <c r="Q196" s="23">
        <v>21</v>
      </c>
      <c r="S196" s="23"/>
      <c r="T196" s="7">
        <v>1135</v>
      </c>
      <c r="U196" s="7" t="s">
        <v>1341</v>
      </c>
      <c r="V196" s="7">
        <v>1127</v>
      </c>
      <c r="W196" s="7" t="s">
        <v>1323</v>
      </c>
      <c r="X196" s="17"/>
      <c r="Y196" s="18"/>
      <c r="Z196" s="18"/>
      <c r="AA196" s="18"/>
      <c r="AB196" s="8" t="s">
        <v>1047</v>
      </c>
      <c r="AC196" s="8"/>
      <c r="AD196" s="8" t="s">
        <v>726</v>
      </c>
      <c r="AE196" s="8" t="s">
        <v>726</v>
      </c>
      <c r="AF196" s="8"/>
      <c r="AG196" s="8" t="s">
        <v>726</v>
      </c>
      <c r="AH196" s="8" t="s">
        <v>726</v>
      </c>
      <c r="AI196" s="8" t="s">
        <v>726</v>
      </c>
      <c r="AJ196" s="8" t="s">
        <v>726</v>
      </c>
      <c r="AK196" s="8" t="s">
        <v>726</v>
      </c>
      <c r="AL196" s="8" t="s">
        <v>726</v>
      </c>
      <c r="AM196" s="8"/>
      <c r="AN196" s="8"/>
      <c r="AO196" s="8"/>
      <c r="AP196" s="8"/>
      <c r="AQ196" s="8"/>
      <c r="AR196" s="8"/>
      <c r="AS196" s="8"/>
      <c r="AT196" s="8"/>
      <c r="AU196" s="8"/>
      <c r="AV196" s="8"/>
      <c r="AX196" s="142">
        <v>16</v>
      </c>
    </row>
    <row r="197" spans="2:50" ht="25.5">
      <c r="B197" s="27">
        <v>193</v>
      </c>
      <c r="C197" s="31">
        <v>114</v>
      </c>
      <c r="D197" s="31">
        <v>13</v>
      </c>
      <c r="E197" s="32">
        <v>0.56458333333333333</v>
      </c>
      <c r="F197" s="32">
        <v>0.57499999999999996</v>
      </c>
      <c r="G197" s="31" t="s">
        <v>324</v>
      </c>
      <c r="H197" s="31" t="s">
        <v>477</v>
      </c>
      <c r="I197" s="33">
        <v>10</v>
      </c>
      <c r="J197" s="34" t="s">
        <v>146</v>
      </c>
      <c r="K197" s="35">
        <v>240</v>
      </c>
      <c r="L197" s="36">
        <f>+K197*I197</f>
        <v>2400</v>
      </c>
      <c r="M197" s="37" t="s">
        <v>716</v>
      </c>
      <c r="N197" s="23" t="s">
        <v>855</v>
      </c>
      <c r="O197" s="23">
        <v>21</v>
      </c>
      <c r="P197" s="23" t="s">
        <v>1779</v>
      </c>
      <c r="Q197" s="23">
        <v>21</v>
      </c>
      <c r="S197" s="23"/>
      <c r="T197" s="7">
        <v>1135</v>
      </c>
      <c r="U197" s="7" t="s">
        <v>1341</v>
      </c>
      <c r="V197" s="7">
        <v>1136</v>
      </c>
      <c r="W197" s="7" t="s">
        <v>1342</v>
      </c>
      <c r="X197" s="18"/>
      <c r="Y197" s="17"/>
      <c r="Z197" s="18"/>
      <c r="AA197" s="18"/>
      <c r="AB197" s="7" t="s">
        <v>1052</v>
      </c>
      <c r="AC197" s="8" t="s">
        <v>726</v>
      </c>
      <c r="AD197" s="8"/>
      <c r="AE197" s="8" t="s">
        <v>726</v>
      </c>
      <c r="AF197" s="8"/>
      <c r="AG197" s="8" t="s">
        <v>726</v>
      </c>
      <c r="AH197" s="8" t="s">
        <v>726</v>
      </c>
      <c r="AI197" s="8" t="s">
        <v>726</v>
      </c>
      <c r="AJ197" s="8" t="s">
        <v>726</v>
      </c>
      <c r="AK197" s="8" t="s">
        <v>726</v>
      </c>
      <c r="AL197" s="8" t="s">
        <v>726</v>
      </c>
      <c r="AM197" s="8"/>
      <c r="AN197" s="8"/>
      <c r="AO197" s="8"/>
      <c r="AP197" s="8"/>
      <c r="AQ197" s="8"/>
      <c r="AR197" s="8"/>
      <c r="AS197" s="8"/>
      <c r="AT197" s="8"/>
      <c r="AU197" s="8"/>
      <c r="AV197" s="8"/>
      <c r="AX197" s="142">
        <v>20</v>
      </c>
    </row>
    <row r="198" spans="2:50" ht="25.5">
      <c r="B198" s="27">
        <v>194</v>
      </c>
      <c r="C198" s="43">
        <v>114</v>
      </c>
      <c r="D198" s="43">
        <v>16</v>
      </c>
      <c r="E198" s="32">
        <v>0.58888888888888891</v>
      </c>
      <c r="F198" s="42">
        <v>0.59930555555555554</v>
      </c>
      <c r="G198" s="31" t="s">
        <v>323</v>
      </c>
      <c r="H198" s="31" t="s">
        <v>103</v>
      </c>
      <c r="I198" s="33">
        <v>8</v>
      </c>
      <c r="J198" s="34" t="s">
        <v>146</v>
      </c>
      <c r="K198" s="35">
        <v>174</v>
      </c>
      <c r="L198" s="36">
        <f>+K198*I198</f>
        <v>1392</v>
      </c>
      <c r="M198" s="37" t="s">
        <v>716</v>
      </c>
      <c r="N198" s="23" t="s">
        <v>855</v>
      </c>
      <c r="O198" s="23">
        <v>21</v>
      </c>
      <c r="P198" s="23" t="s">
        <v>1779</v>
      </c>
      <c r="Q198" s="23">
        <v>21</v>
      </c>
      <c r="S198" s="23"/>
      <c r="T198" s="7">
        <v>1127</v>
      </c>
      <c r="U198" s="7" t="s">
        <v>1323</v>
      </c>
      <c r="V198" s="7">
        <v>1135</v>
      </c>
      <c r="W198" s="7" t="s">
        <v>1341</v>
      </c>
      <c r="X198" s="18"/>
      <c r="Y198" s="17"/>
      <c r="Z198" s="17"/>
      <c r="AA198" s="17"/>
      <c r="AB198" s="7" t="s">
        <v>1042</v>
      </c>
      <c r="AC198" s="8"/>
      <c r="AD198" s="8"/>
      <c r="AE198" s="8"/>
      <c r="AF198" s="8" t="s">
        <v>726</v>
      </c>
      <c r="AG198" s="8" t="s">
        <v>726</v>
      </c>
      <c r="AH198" s="8" t="s">
        <v>726</v>
      </c>
      <c r="AI198" s="8" t="s">
        <v>726</v>
      </c>
      <c r="AJ198" s="8" t="s">
        <v>726</v>
      </c>
      <c r="AK198" s="8" t="s">
        <v>726</v>
      </c>
      <c r="AL198" s="8"/>
      <c r="AM198" s="8"/>
      <c r="AN198" s="8"/>
      <c r="AO198" s="8"/>
      <c r="AP198" s="8"/>
      <c r="AQ198" s="8"/>
      <c r="AR198" s="8"/>
      <c r="AS198" s="8"/>
      <c r="AT198" s="8"/>
      <c r="AU198" s="8"/>
      <c r="AV198" s="8"/>
      <c r="AX198" s="142">
        <v>16</v>
      </c>
    </row>
    <row r="199" spans="2:50" ht="25.5">
      <c r="B199" s="27">
        <v>195</v>
      </c>
      <c r="C199" s="31">
        <v>114</v>
      </c>
      <c r="D199" s="31">
        <v>18</v>
      </c>
      <c r="E199" s="32">
        <v>0.7270833333333333</v>
      </c>
      <c r="F199" s="32">
        <v>0.74791666666666667</v>
      </c>
      <c r="G199" s="31" t="s">
        <v>323</v>
      </c>
      <c r="H199" s="31" t="s">
        <v>477</v>
      </c>
      <c r="I199" s="33">
        <v>8</v>
      </c>
      <c r="J199" s="34" t="s">
        <v>146</v>
      </c>
      <c r="K199" s="35">
        <v>240</v>
      </c>
      <c r="L199" s="36">
        <f>+K199*I199</f>
        <v>1920</v>
      </c>
      <c r="M199" s="37" t="s">
        <v>716</v>
      </c>
      <c r="N199" s="23" t="s">
        <v>855</v>
      </c>
      <c r="O199" s="23">
        <v>21</v>
      </c>
      <c r="P199" s="23" t="s">
        <v>1779</v>
      </c>
      <c r="Q199" s="23">
        <v>21</v>
      </c>
      <c r="S199" s="23"/>
      <c r="T199" s="7">
        <v>1127</v>
      </c>
      <c r="U199" s="7" t="s">
        <v>1323</v>
      </c>
      <c r="V199" s="7">
        <v>1135</v>
      </c>
      <c r="W199" s="7" t="s">
        <v>1341</v>
      </c>
      <c r="X199" s="18"/>
      <c r="Y199" s="17"/>
      <c r="Z199" s="18"/>
      <c r="AA199" s="18"/>
      <c r="AB199" s="7" t="s">
        <v>1052</v>
      </c>
      <c r="AC199" s="8" t="s">
        <v>726</v>
      </c>
      <c r="AD199" s="8"/>
      <c r="AE199" s="8" t="s">
        <v>726</v>
      </c>
      <c r="AF199" s="8"/>
      <c r="AG199" s="8" t="s">
        <v>726</v>
      </c>
      <c r="AH199" s="8" t="s">
        <v>726</v>
      </c>
      <c r="AI199" s="8" t="s">
        <v>726</v>
      </c>
      <c r="AJ199" s="8" t="s">
        <v>726</v>
      </c>
      <c r="AK199" s="8" t="s">
        <v>726</v>
      </c>
      <c r="AL199" s="8" t="s">
        <v>726</v>
      </c>
      <c r="AM199" s="8"/>
      <c r="AN199" s="8"/>
      <c r="AO199" s="8"/>
      <c r="AP199" s="8"/>
      <c r="AQ199" s="8"/>
      <c r="AR199" s="8"/>
      <c r="AS199" s="8"/>
      <c r="AT199" s="8"/>
      <c r="AU199" s="8"/>
      <c r="AV199" s="8"/>
      <c r="AX199" s="142">
        <v>16</v>
      </c>
    </row>
    <row r="200" spans="2:50" ht="22.5">
      <c r="B200" s="27">
        <v>196</v>
      </c>
      <c r="C200" s="31">
        <v>114</v>
      </c>
      <c r="D200" s="31">
        <v>18</v>
      </c>
      <c r="E200" s="32">
        <v>0.7270833333333333</v>
      </c>
      <c r="F200" s="32">
        <v>0.74791666666666667</v>
      </c>
      <c r="G200" s="31" t="s">
        <v>323</v>
      </c>
      <c r="H200" s="31" t="s">
        <v>1</v>
      </c>
      <c r="I200" s="33">
        <v>8</v>
      </c>
      <c r="J200" s="34" t="s">
        <v>146</v>
      </c>
      <c r="K200" s="35">
        <v>67</v>
      </c>
      <c r="L200" s="36">
        <f>+K200*I200</f>
        <v>536</v>
      </c>
      <c r="M200" s="37" t="s">
        <v>716</v>
      </c>
      <c r="N200" s="23" t="s">
        <v>855</v>
      </c>
      <c r="O200" s="23">
        <v>21</v>
      </c>
      <c r="P200" s="23" t="s">
        <v>1779</v>
      </c>
      <c r="Q200" s="23">
        <v>21</v>
      </c>
      <c r="S200" s="23"/>
      <c r="T200" s="7">
        <v>1127</v>
      </c>
      <c r="U200" s="7" t="s">
        <v>1323</v>
      </c>
      <c r="V200" s="7">
        <v>1135</v>
      </c>
      <c r="W200" s="7" t="s">
        <v>1341</v>
      </c>
      <c r="X200" s="17"/>
      <c r="Y200" s="18"/>
      <c r="Z200" s="18"/>
      <c r="AA200" s="18"/>
      <c r="AB200" s="8" t="s">
        <v>1047</v>
      </c>
      <c r="AC200" s="8"/>
      <c r="AD200" s="8" t="s">
        <v>726</v>
      </c>
      <c r="AE200" s="8" t="s">
        <v>726</v>
      </c>
      <c r="AF200" s="8"/>
      <c r="AG200" s="8" t="s">
        <v>726</v>
      </c>
      <c r="AH200" s="8" t="s">
        <v>726</v>
      </c>
      <c r="AI200" s="8" t="s">
        <v>726</v>
      </c>
      <c r="AJ200" s="8" t="s">
        <v>726</v>
      </c>
      <c r="AK200" s="8" t="s">
        <v>726</v>
      </c>
      <c r="AL200" s="8" t="s">
        <v>726</v>
      </c>
      <c r="AM200" s="8"/>
      <c r="AN200" s="8"/>
      <c r="AO200" s="8"/>
      <c r="AP200" s="8"/>
      <c r="AQ200" s="8"/>
      <c r="AR200" s="8"/>
      <c r="AS200" s="8"/>
      <c r="AT200" s="8"/>
      <c r="AU200" s="8"/>
      <c r="AV200" s="8"/>
      <c r="AX200" s="142">
        <v>16</v>
      </c>
    </row>
    <row r="201" spans="2:50" ht="25.5">
      <c r="B201" s="27">
        <v>197</v>
      </c>
      <c r="C201" s="31">
        <v>114</v>
      </c>
      <c r="D201" s="31">
        <v>17</v>
      </c>
      <c r="E201" s="32">
        <v>0.75</v>
      </c>
      <c r="F201" s="32">
        <v>0.76041666666666663</v>
      </c>
      <c r="G201" s="31" t="s">
        <v>322</v>
      </c>
      <c r="H201" s="31" t="s">
        <v>477</v>
      </c>
      <c r="I201" s="33">
        <v>8</v>
      </c>
      <c r="J201" s="34" t="s">
        <v>146</v>
      </c>
      <c r="K201" s="35">
        <v>240</v>
      </c>
      <c r="L201" s="36">
        <f>+K201*I201</f>
        <v>1920</v>
      </c>
      <c r="M201" s="37" t="s">
        <v>716</v>
      </c>
      <c r="N201" s="23" t="s">
        <v>855</v>
      </c>
      <c r="O201" s="23">
        <v>21</v>
      </c>
      <c r="P201" s="23" t="s">
        <v>1779</v>
      </c>
      <c r="Q201" s="23">
        <v>21</v>
      </c>
      <c r="S201" s="23"/>
      <c r="T201" s="7">
        <v>1135</v>
      </c>
      <c r="U201" s="7" t="s">
        <v>1341</v>
      </c>
      <c r="V201" s="7">
        <v>1127</v>
      </c>
      <c r="W201" s="7" t="s">
        <v>1323</v>
      </c>
      <c r="X201" s="18"/>
      <c r="Y201" s="17"/>
      <c r="Z201" s="18"/>
      <c r="AA201" s="18"/>
      <c r="AB201" s="7" t="s">
        <v>1052</v>
      </c>
      <c r="AC201" s="8" t="s">
        <v>726</v>
      </c>
      <c r="AD201" s="8"/>
      <c r="AE201" s="8" t="s">
        <v>726</v>
      </c>
      <c r="AF201" s="8"/>
      <c r="AG201" s="8" t="s">
        <v>726</v>
      </c>
      <c r="AH201" s="8" t="s">
        <v>726</v>
      </c>
      <c r="AI201" s="8" t="s">
        <v>726</v>
      </c>
      <c r="AJ201" s="8" t="s">
        <v>726</v>
      </c>
      <c r="AK201" s="8" t="s">
        <v>726</v>
      </c>
      <c r="AL201" s="8" t="s">
        <v>726</v>
      </c>
      <c r="AM201" s="8"/>
      <c r="AN201" s="8"/>
      <c r="AO201" s="8"/>
      <c r="AP201" s="8"/>
      <c r="AQ201" s="8"/>
      <c r="AR201" s="8"/>
      <c r="AS201" s="8"/>
      <c r="AT201" s="8"/>
      <c r="AU201" s="8"/>
      <c r="AV201" s="8"/>
      <c r="AX201" s="142">
        <v>16</v>
      </c>
    </row>
    <row r="202" spans="2:50" ht="22.5">
      <c r="B202" s="27">
        <v>198</v>
      </c>
      <c r="C202" s="31">
        <v>114</v>
      </c>
      <c r="D202" s="31">
        <v>17</v>
      </c>
      <c r="E202" s="32">
        <v>0.75</v>
      </c>
      <c r="F202" s="42">
        <v>0.76041666666666663</v>
      </c>
      <c r="G202" s="31" t="s">
        <v>322</v>
      </c>
      <c r="H202" s="31" t="s">
        <v>1</v>
      </c>
      <c r="I202" s="33">
        <v>8</v>
      </c>
      <c r="J202" s="34" t="s">
        <v>146</v>
      </c>
      <c r="K202" s="35">
        <v>67</v>
      </c>
      <c r="L202" s="36">
        <f>+K202*I202</f>
        <v>536</v>
      </c>
      <c r="M202" s="37" t="s">
        <v>716</v>
      </c>
      <c r="N202" s="23" t="s">
        <v>855</v>
      </c>
      <c r="O202" s="23">
        <v>21</v>
      </c>
      <c r="P202" s="23" t="s">
        <v>1779</v>
      </c>
      <c r="Q202" s="23">
        <v>21</v>
      </c>
      <c r="S202" s="23"/>
      <c r="T202" s="7">
        <v>1135</v>
      </c>
      <c r="U202" s="7" t="s">
        <v>1341</v>
      </c>
      <c r="V202" s="7">
        <v>1127</v>
      </c>
      <c r="W202" s="7" t="s">
        <v>1323</v>
      </c>
      <c r="X202" s="17"/>
      <c r="Y202" s="18"/>
      <c r="Z202" s="18"/>
      <c r="AA202" s="18"/>
      <c r="AB202" s="8" t="s">
        <v>1047</v>
      </c>
      <c r="AC202" s="8"/>
      <c r="AD202" s="8" t="s">
        <v>726</v>
      </c>
      <c r="AE202" s="8" t="s">
        <v>726</v>
      </c>
      <c r="AF202" s="8"/>
      <c r="AG202" s="8" t="s">
        <v>726</v>
      </c>
      <c r="AH202" s="8" t="s">
        <v>726</v>
      </c>
      <c r="AI202" s="8" t="s">
        <v>726</v>
      </c>
      <c r="AJ202" s="8" t="s">
        <v>726</v>
      </c>
      <c r="AK202" s="8" t="s">
        <v>726</v>
      </c>
      <c r="AL202" s="8" t="s">
        <v>726</v>
      </c>
      <c r="AM202" s="8"/>
      <c r="AN202" s="8"/>
      <c r="AO202" s="8"/>
      <c r="AP202" s="8"/>
      <c r="AQ202" s="8"/>
      <c r="AR202" s="8"/>
      <c r="AS202" s="8"/>
      <c r="AT202" s="8"/>
      <c r="AU202" s="8"/>
      <c r="AV202" s="8"/>
      <c r="AX202" s="142">
        <v>16</v>
      </c>
    </row>
    <row r="203" spans="2:50" ht="45">
      <c r="B203" s="27">
        <v>199</v>
      </c>
      <c r="C203" s="31">
        <v>115</v>
      </c>
      <c r="D203" s="31">
        <v>381</v>
      </c>
      <c r="E203" s="32">
        <v>0.28819444444444448</v>
      </c>
      <c r="F203" s="32">
        <v>0.30902777777777779</v>
      </c>
      <c r="G203" s="40" t="s">
        <v>386</v>
      </c>
      <c r="H203" s="31" t="s">
        <v>97</v>
      </c>
      <c r="I203" s="33">
        <v>15</v>
      </c>
      <c r="J203" s="34" t="s">
        <v>101</v>
      </c>
      <c r="K203" s="35">
        <v>208</v>
      </c>
      <c r="L203" s="36">
        <f>+K203*I203</f>
        <v>3120</v>
      </c>
      <c r="M203" s="37" t="s">
        <v>723</v>
      </c>
      <c r="N203" s="23" t="s">
        <v>828</v>
      </c>
      <c r="O203" s="23">
        <v>30</v>
      </c>
      <c r="P203" s="23" t="s">
        <v>1778</v>
      </c>
      <c r="Q203" s="23">
        <v>20</v>
      </c>
      <c r="R203" s="23" t="s">
        <v>1159</v>
      </c>
      <c r="S203" s="23">
        <v>23</v>
      </c>
      <c r="T203" s="7">
        <v>1111</v>
      </c>
      <c r="U203" s="7" t="s">
        <v>1318</v>
      </c>
      <c r="V203" s="7" t="s">
        <v>1343</v>
      </c>
      <c r="W203" s="7" t="s">
        <v>1344</v>
      </c>
      <c r="X203" s="18"/>
      <c r="Y203" s="17"/>
      <c r="Z203" s="17"/>
      <c r="AA203" s="17"/>
      <c r="AB203" s="7" t="s">
        <v>1046</v>
      </c>
      <c r="AC203" s="8"/>
      <c r="AD203" s="8"/>
      <c r="AE203" s="8"/>
      <c r="AF203" s="8" t="s">
        <v>726</v>
      </c>
      <c r="AG203" s="8" t="s">
        <v>726</v>
      </c>
      <c r="AH203" s="8" t="s">
        <v>726</v>
      </c>
      <c r="AI203" s="8" t="s">
        <v>726</v>
      </c>
      <c r="AJ203" s="8" t="s">
        <v>726</v>
      </c>
      <c r="AK203" s="8" t="s">
        <v>726</v>
      </c>
      <c r="AL203" s="8" t="s">
        <v>726</v>
      </c>
      <c r="AM203" s="8"/>
      <c r="AN203" s="8"/>
      <c r="AO203" s="8"/>
      <c r="AP203" s="8"/>
      <c r="AQ203" s="8"/>
      <c r="AR203" s="8"/>
      <c r="AS203" s="8"/>
      <c r="AT203" s="8"/>
      <c r="AU203" s="8"/>
      <c r="AV203" s="8"/>
      <c r="AX203" s="142">
        <v>104.8</v>
      </c>
    </row>
    <row r="204" spans="2:50" ht="45">
      <c r="B204" s="27">
        <v>200</v>
      </c>
      <c r="C204" s="31">
        <v>115</v>
      </c>
      <c r="D204" s="31">
        <v>436</v>
      </c>
      <c r="E204" s="42">
        <v>0.2951388888888889</v>
      </c>
      <c r="F204" s="32">
        <v>0.31111111111111112</v>
      </c>
      <c r="G204" s="40" t="s">
        <v>991</v>
      </c>
      <c r="H204" s="31" t="s">
        <v>103</v>
      </c>
      <c r="I204" s="33">
        <v>7</v>
      </c>
      <c r="J204" s="34">
        <v>29</v>
      </c>
      <c r="K204" s="35">
        <v>174</v>
      </c>
      <c r="L204" s="36">
        <f>+K204*I204</f>
        <v>1218</v>
      </c>
      <c r="M204" s="37" t="s">
        <v>723</v>
      </c>
      <c r="N204" s="23" t="s">
        <v>785</v>
      </c>
      <c r="O204" s="23">
        <v>35</v>
      </c>
      <c r="P204" s="23" t="s">
        <v>1778</v>
      </c>
      <c r="Q204" s="23">
        <v>20</v>
      </c>
      <c r="R204" s="23" t="s">
        <v>1159</v>
      </c>
      <c r="S204" s="23">
        <v>23</v>
      </c>
      <c r="T204" s="7" t="s">
        <v>1345</v>
      </c>
      <c r="U204" s="7" t="s">
        <v>1346</v>
      </c>
      <c r="V204" s="7" t="s">
        <v>1347</v>
      </c>
      <c r="W204" s="7" t="s">
        <v>1348</v>
      </c>
      <c r="X204" s="18"/>
      <c r="Y204" s="17"/>
      <c r="Z204" s="17"/>
      <c r="AA204" s="17"/>
      <c r="AB204" s="7" t="s">
        <v>1042</v>
      </c>
      <c r="AC204" s="8"/>
      <c r="AD204" s="8"/>
      <c r="AE204" s="8"/>
      <c r="AF204" s="8" t="s">
        <v>726</v>
      </c>
      <c r="AG204" s="8" t="s">
        <v>726</v>
      </c>
      <c r="AH204" s="8" t="s">
        <v>726</v>
      </c>
      <c r="AI204" s="8" t="s">
        <v>726</v>
      </c>
      <c r="AJ204" s="8" t="s">
        <v>726</v>
      </c>
      <c r="AK204" s="8" t="s">
        <v>726</v>
      </c>
      <c r="AL204" s="8"/>
      <c r="AM204" s="8"/>
      <c r="AN204" s="8"/>
      <c r="AO204" s="8"/>
      <c r="AP204" s="8"/>
      <c r="AQ204" s="8"/>
      <c r="AR204" s="8"/>
      <c r="AS204" s="8"/>
      <c r="AT204" s="8"/>
      <c r="AU204" s="8"/>
      <c r="AV204" s="8"/>
      <c r="AX204" s="142">
        <v>57.129999999999995</v>
      </c>
    </row>
    <row r="205" spans="2:50" ht="45">
      <c r="B205" s="27">
        <v>201</v>
      </c>
      <c r="C205" s="38">
        <v>115</v>
      </c>
      <c r="D205" s="38">
        <v>434</v>
      </c>
      <c r="E205" s="39">
        <v>0.35625000000000001</v>
      </c>
      <c r="F205" s="39">
        <v>0.37291666666666662</v>
      </c>
      <c r="G205" s="40" t="s">
        <v>681</v>
      </c>
      <c r="H205" s="31" t="s">
        <v>477</v>
      </c>
      <c r="I205" s="38">
        <v>9</v>
      </c>
      <c r="J205" s="41">
        <v>19</v>
      </c>
      <c r="K205" s="35">
        <v>240</v>
      </c>
      <c r="L205" s="36">
        <f>+K205*I205</f>
        <v>2160</v>
      </c>
      <c r="M205" s="37" t="s">
        <v>723</v>
      </c>
      <c r="N205" s="23" t="s">
        <v>785</v>
      </c>
      <c r="O205" s="23">
        <v>35</v>
      </c>
      <c r="P205" s="23" t="s">
        <v>1778</v>
      </c>
      <c r="Q205" s="23">
        <v>20</v>
      </c>
      <c r="R205" s="23" t="s">
        <v>1159</v>
      </c>
      <c r="S205" s="23">
        <v>23</v>
      </c>
      <c r="T205" s="7" t="s">
        <v>1349</v>
      </c>
      <c r="U205" s="7" t="s">
        <v>1350</v>
      </c>
      <c r="V205" s="7" t="s">
        <v>1351</v>
      </c>
      <c r="W205" s="7" t="s">
        <v>1352</v>
      </c>
      <c r="X205" s="18"/>
      <c r="Y205" s="17"/>
      <c r="Z205" s="18"/>
      <c r="AA205" s="18"/>
      <c r="AB205" s="7" t="s">
        <v>1052</v>
      </c>
      <c r="AC205" s="7" t="s">
        <v>726</v>
      </c>
      <c r="AD205" s="7"/>
      <c r="AE205" s="7" t="s">
        <v>726</v>
      </c>
      <c r="AF205" s="7"/>
      <c r="AG205" s="7" t="s">
        <v>726</v>
      </c>
      <c r="AH205" s="7" t="s">
        <v>726</v>
      </c>
      <c r="AI205" s="7" t="s">
        <v>726</v>
      </c>
      <c r="AJ205" s="7" t="s">
        <v>726</v>
      </c>
      <c r="AK205" s="7" t="s">
        <v>726</v>
      </c>
      <c r="AL205" s="7" t="s">
        <v>726</v>
      </c>
      <c r="AM205" s="7"/>
      <c r="AN205" s="7"/>
      <c r="AO205" s="7"/>
      <c r="AP205" s="7"/>
      <c r="AQ205" s="7"/>
      <c r="AR205" s="7"/>
      <c r="AS205" s="7"/>
      <c r="AT205" s="7"/>
      <c r="AU205" s="7"/>
      <c r="AV205" s="7"/>
      <c r="AX205" s="142">
        <v>19.8</v>
      </c>
    </row>
    <row r="206" spans="2:50" ht="45">
      <c r="B206" s="27">
        <v>202</v>
      </c>
      <c r="C206" s="38">
        <v>115</v>
      </c>
      <c r="D206" s="38">
        <v>431</v>
      </c>
      <c r="E206" s="39">
        <v>0.47222222222222227</v>
      </c>
      <c r="F206" s="44">
        <v>0.50347222222222221</v>
      </c>
      <c r="G206" s="40" t="s">
        <v>79</v>
      </c>
      <c r="H206" s="31" t="s">
        <v>477</v>
      </c>
      <c r="I206" s="38">
        <f>8+11</f>
        <v>19</v>
      </c>
      <c r="J206" s="41">
        <v>19</v>
      </c>
      <c r="K206" s="35">
        <v>240</v>
      </c>
      <c r="L206" s="36">
        <f>+K206*I206</f>
        <v>4560</v>
      </c>
      <c r="M206" s="37" t="s">
        <v>724</v>
      </c>
      <c r="N206" s="23" t="s">
        <v>787</v>
      </c>
      <c r="O206" s="23">
        <v>21</v>
      </c>
      <c r="P206" s="23" t="s">
        <v>1780</v>
      </c>
      <c r="Q206" s="23">
        <v>23</v>
      </c>
      <c r="S206" s="23"/>
      <c r="T206" s="7" t="s">
        <v>1343</v>
      </c>
      <c r="U206" s="7" t="s">
        <v>1344</v>
      </c>
      <c r="V206" s="7">
        <v>1106</v>
      </c>
      <c r="W206" s="7" t="s">
        <v>1353</v>
      </c>
      <c r="X206" s="18"/>
      <c r="Y206" s="17"/>
      <c r="Z206" s="18"/>
      <c r="AA206" s="18"/>
      <c r="AB206" s="7" t="s">
        <v>1052</v>
      </c>
      <c r="AC206" s="8" t="s">
        <v>726</v>
      </c>
      <c r="AD206" s="8"/>
      <c r="AE206" s="8" t="s">
        <v>726</v>
      </c>
      <c r="AF206" s="8"/>
      <c r="AG206" s="8" t="s">
        <v>726</v>
      </c>
      <c r="AH206" s="8" t="s">
        <v>726</v>
      </c>
      <c r="AI206" s="8" t="s">
        <v>726</v>
      </c>
      <c r="AJ206" s="8" t="s">
        <v>726</v>
      </c>
      <c r="AK206" s="8" t="s">
        <v>726</v>
      </c>
      <c r="AL206" s="8" t="s">
        <v>726</v>
      </c>
      <c r="AM206" s="8"/>
      <c r="AN206" s="8"/>
      <c r="AO206" s="8"/>
      <c r="AP206" s="8"/>
      <c r="AQ206" s="8"/>
      <c r="AR206" s="8"/>
      <c r="AS206" s="8"/>
      <c r="AT206" s="8"/>
      <c r="AU206" s="8"/>
      <c r="AV206" s="8"/>
      <c r="AX206" s="142">
        <v>44.982698961937714</v>
      </c>
    </row>
    <row r="207" spans="2:50" ht="45">
      <c r="B207" s="27">
        <v>203</v>
      </c>
      <c r="C207" s="31">
        <v>115</v>
      </c>
      <c r="D207" s="31">
        <v>489</v>
      </c>
      <c r="E207" s="32">
        <v>0.52222222222222225</v>
      </c>
      <c r="F207" s="32">
        <v>0.53263888888888888</v>
      </c>
      <c r="G207" s="40" t="s">
        <v>385</v>
      </c>
      <c r="H207" s="31" t="s">
        <v>253</v>
      </c>
      <c r="I207" s="33">
        <v>7</v>
      </c>
      <c r="J207" s="34" t="s">
        <v>101</v>
      </c>
      <c r="K207" s="35">
        <v>34</v>
      </c>
      <c r="L207" s="36">
        <f>+K207*I207</f>
        <v>238</v>
      </c>
      <c r="M207" s="37" t="s">
        <v>723</v>
      </c>
      <c r="N207" s="23" t="s">
        <v>1014</v>
      </c>
      <c r="O207" s="23" t="s">
        <v>1015</v>
      </c>
      <c r="P207" s="23" t="s">
        <v>785</v>
      </c>
      <c r="Q207" s="23">
        <v>35</v>
      </c>
      <c r="R207" s="23" t="s">
        <v>1159</v>
      </c>
      <c r="S207" s="23">
        <v>23</v>
      </c>
      <c r="T207" s="7" t="s">
        <v>1343</v>
      </c>
      <c r="U207" s="7" t="s">
        <v>1344</v>
      </c>
      <c r="V207" s="7">
        <v>1100</v>
      </c>
      <c r="W207" s="7" t="s">
        <v>1317</v>
      </c>
      <c r="X207" s="18"/>
      <c r="Y207" s="17"/>
      <c r="Z207" s="17"/>
      <c r="AA207" s="17"/>
      <c r="AB207" s="8" t="s">
        <v>1051</v>
      </c>
      <c r="AC207" s="8"/>
      <c r="AD207" s="8"/>
      <c r="AE207" s="8"/>
      <c r="AF207" s="8" t="s">
        <v>726</v>
      </c>
      <c r="AG207" s="8"/>
      <c r="AH207" s="8"/>
      <c r="AI207" s="8"/>
      <c r="AJ207" s="8"/>
      <c r="AK207" s="8"/>
      <c r="AL207" s="8" t="s">
        <v>726</v>
      </c>
      <c r="AM207" s="8"/>
      <c r="AN207" s="8"/>
      <c r="AO207" s="8"/>
      <c r="AP207" s="8"/>
      <c r="AQ207" s="8"/>
      <c r="AR207" s="8"/>
      <c r="AS207" s="8"/>
      <c r="AT207" s="8"/>
      <c r="AU207" s="8"/>
      <c r="AV207" s="8"/>
      <c r="AX207" s="142">
        <v>64.010000000000005</v>
      </c>
    </row>
    <row r="208" spans="2:50" ht="45">
      <c r="B208" s="27">
        <v>204</v>
      </c>
      <c r="C208" s="31">
        <v>115</v>
      </c>
      <c r="D208" s="31">
        <v>435</v>
      </c>
      <c r="E208" s="32">
        <v>0.55555555555555558</v>
      </c>
      <c r="F208" s="32">
        <v>0.56597222222222221</v>
      </c>
      <c r="G208" s="40" t="s">
        <v>385</v>
      </c>
      <c r="H208" s="31" t="s">
        <v>103</v>
      </c>
      <c r="I208" s="33">
        <v>7</v>
      </c>
      <c r="J208" s="34" t="s">
        <v>101</v>
      </c>
      <c r="K208" s="35">
        <v>174</v>
      </c>
      <c r="L208" s="36">
        <f>+K208*I208</f>
        <v>1218</v>
      </c>
      <c r="M208" s="37" t="s">
        <v>723</v>
      </c>
      <c r="N208" s="23" t="s">
        <v>1014</v>
      </c>
      <c r="O208" s="23" t="s">
        <v>1015</v>
      </c>
      <c r="P208" s="23" t="s">
        <v>785</v>
      </c>
      <c r="Q208" s="23">
        <v>35</v>
      </c>
      <c r="R208" s="23" t="s">
        <v>1159</v>
      </c>
      <c r="S208" s="23">
        <v>23</v>
      </c>
      <c r="T208" s="7" t="s">
        <v>1343</v>
      </c>
      <c r="U208" s="7" t="s">
        <v>1344</v>
      </c>
      <c r="V208" s="7">
        <v>1100</v>
      </c>
      <c r="W208" s="7" t="s">
        <v>1317</v>
      </c>
      <c r="X208" s="18"/>
      <c r="Y208" s="17"/>
      <c r="Z208" s="17"/>
      <c r="AA208" s="17"/>
      <c r="AB208" s="7" t="s">
        <v>1042</v>
      </c>
      <c r="AC208" s="8"/>
      <c r="AD208" s="8"/>
      <c r="AE208" s="8"/>
      <c r="AF208" s="8" t="s">
        <v>726</v>
      </c>
      <c r="AG208" s="8" t="s">
        <v>726</v>
      </c>
      <c r="AH208" s="8" t="s">
        <v>726</v>
      </c>
      <c r="AI208" s="8" t="s">
        <v>726</v>
      </c>
      <c r="AJ208" s="8" t="s">
        <v>726</v>
      </c>
      <c r="AK208" s="8" t="s">
        <v>726</v>
      </c>
      <c r="AL208" s="8"/>
      <c r="AM208" s="8"/>
      <c r="AN208" s="8"/>
      <c r="AO208" s="8"/>
      <c r="AP208" s="8"/>
      <c r="AQ208" s="8"/>
      <c r="AR208" s="8"/>
      <c r="AS208" s="8"/>
      <c r="AT208" s="8"/>
      <c r="AU208" s="8"/>
      <c r="AV208" s="8"/>
      <c r="AX208" s="142">
        <v>64.010000000000005</v>
      </c>
    </row>
    <row r="209" spans="2:50" ht="45">
      <c r="B209" s="27">
        <v>205</v>
      </c>
      <c r="C209" s="31">
        <v>116</v>
      </c>
      <c r="D209" s="31">
        <v>215</v>
      </c>
      <c r="E209" s="32">
        <v>0.28402777777777777</v>
      </c>
      <c r="F209" s="32">
        <v>0.29444444444444445</v>
      </c>
      <c r="G209" s="31" t="s">
        <v>549</v>
      </c>
      <c r="H209" s="31" t="s">
        <v>103</v>
      </c>
      <c r="I209" s="33">
        <v>5</v>
      </c>
      <c r="J209" s="34">
        <v>29</v>
      </c>
      <c r="K209" s="35">
        <v>174</v>
      </c>
      <c r="L209" s="36">
        <f>+K209*I209</f>
        <v>870</v>
      </c>
      <c r="M209" s="37" t="s">
        <v>723</v>
      </c>
      <c r="N209" s="23" t="s">
        <v>785</v>
      </c>
      <c r="O209" s="23">
        <v>35</v>
      </c>
      <c r="P209" s="23" t="s">
        <v>1778</v>
      </c>
      <c r="Q209" s="23">
        <v>20</v>
      </c>
      <c r="R209" s="23" t="s">
        <v>1159</v>
      </c>
      <c r="S209" s="23">
        <v>23</v>
      </c>
      <c r="T209" s="7">
        <v>1105</v>
      </c>
      <c r="U209" s="7" t="s">
        <v>1354</v>
      </c>
      <c r="V209" s="7" t="s">
        <v>1355</v>
      </c>
      <c r="W209" s="7" t="s">
        <v>1356</v>
      </c>
      <c r="X209" s="18"/>
      <c r="Y209" s="17"/>
      <c r="Z209" s="17"/>
      <c r="AA209" s="17"/>
      <c r="AB209" s="7" t="s">
        <v>1042</v>
      </c>
      <c r="AC209" s="8"/>
      <c r="AD209" s="8"/>
      <c r="AE209" s="8"/>
      <c r="AF209" s="8" t="s">
        <v>726</v>
      </c>
      <c r="AG209" s="8" t="s">
        <v>726</v>
      </c>
      <c r="AH209" s="8" t="s">
        <v>726</v>
      </c>
      <c r="AI209" s="8" t="s">
        <v>726</v>
      </c>
      <c r="AJ209" s="8" t="s">
        <v>726</v>
      </c>
      <c r="AK209" s="8" t="s">
        <v>726</v>
      </c>
      <c r="AL209" s="8"/>
      <c r="AM209" s="8"/>
      <c r="AN209" s="8"/>
      <c r="AO209" s="8"/>
      <c r="AP209" s="8"/>
      <c r="AQ209" s="8"/>
      <c r="AR209" s="8"/>
      <c r="AS209" s="8"/>
      <c r="AT209" s="8"/>
      <c r="AU209" s="8"/>
      <c r="AV209" s="8"/>
      <c r="AX209" s="142">
        <v>30</v>
      </c>
    </row>
    <row r="210" spans="2:50" ht="45">
      <c r="B210" s="27">
        <v>206</v>
      </c>
      <c r="C210" s="38">
        <v>116</v>
      </c>
      <c r="D210" s="38">
        <v>217</v>
      </c>
      <c r="E210" s="39">
        <v>0.375</v>
      </c>
      <c r="F210" s="44">
        <v>0.40972222222222227</v>
      </c>
      <c r="G210" s="50" t="s">
        <v>977</v>
      </c>
      <c r="H210" s="40" t="s">
        <v>267</v>
      </c>
      <c r="I210" s="38">
        <v>22</v>
      </c>
      <c r="J210" s="41">
        <v>19</v>
      </c>
      <c r="K210" s="35">
        <v>55</v>
      </c>
      <c r="L210" s="36">
        <f>+K210*I210</f>
        <v>1210</v>
      </c>
      <c r="M210" s="37" t="s">
        <v>724</v>
      </c>
      <c r="N210" s="23" t="s">
        <v>787</v>
      </c>
      <c r="O210" s="23">
        <v>21</v>
      </c>
      <c r="P210" s="23" t="s">
        <v>1780</v>
      </c>
      <c r="Q210" s="23">
        <v>23</v>
      </c>
      <c r="S210" s="23"/>
      <c r="T210" s="7">
        <v>1106</v>
      </c>
      <c r="U210" s="7" t="s">
        <v>1353</v>
      </c>
      <c r="V210" s="7">
        <v>1</v>
      </c>
      <c r="W210" s="7" t="s">
        <v>1236</v>
      </c>
      <c r="X210" s="17"/>
      <c r="Y210" s="18"/>
      <c r="Z210" s="18"/>
      <c r="AA210" s="18"/>
      <c r="AB210" s="7" t="s">
        <v>1049</v>
      </c>
      <c r="AC210" s="8"/>
      <c r="AD210" s="8" t="s">
        <v>726</v>
      </c>
      <c r="AE210" s="8" t="s">
        <v>726</v>
      </c>
      <c r="AF210" s="8"/>
      <c r="AG210" s="8" t="s">
        <v>726</v>
      </c>
      <c r="AH210" s="8" t="s">
        <v>726</v>
      </c>
      <c r="AI210" s="8" t="s">
        <v>726</v>
      </c>
      <c r="AJ210" s="8" t="s">
        <v>726</v>
      </c>
      <c r="AK210" s="8" t="s">
        <v>726</v>
      </c>
      <c r="AL210" s="8"/>
      <c r="AM210" s="8"/>
      <c r="AN210" s="8"/>
      <c r="AO210" s="8"/>
      <c r="AP210" s="8"/>
      <c r="AQ210" s="8"/>
      <c r="AR210" s="8"/>
      <c r="AS210" s="8"/>
      <c r="AT210" s="8"/>
      <c r="AU210" s="8"/>
      <c r="AV210" s="8"/>
      <c r="AX210" s="142">
        <v>52.085230376980512</v>
      </c>
    </row>
    <row r="211" spans="2:50" ht="45">
      <c r="B211" s="27">
        <v>207</v>
      </c>
      <c r="C211" s="31">
        <v>116</v>
      </c>
      <c r="D211" s="43">
        <v>224</v>
      </c>
      <c r="E211" s="32">
        <v>0.44444444444444442</v>
      </c>
      <c r="F211" s="32">
        <v>0.46527777777777773</v>
      </c>
      <c r="G211" s="31" t="s">
        <v>77</v>
      </c>
      <c r="H211" s="31" t="s">
        <v>423</v>
      </c>
      <c r="I211" s="33">
        <v>11</v>
      </c>
      <c r="J211" s="34" t="s">
        <v>188</v>
      </c>
      <c r="K211" s="35">
        <v>67</v>
      </c>
      <c r="L211" s="36">
        <f>+K211*I211</f>
        <v>737</v>
      </c>
      <c r="M211" s="37" t="s">
        <v>723</v>
      </c>
      <c r="N211" s="23" t="s">
        <v>785</v>
      </c>
      <c r="O211" s="23">
        <v>35</v>
      </c>
      <c r="P211" s="23" t="s">
        <v>1159</v>
      </c>
      <c r="Q211" s="23">
        <v>23</v>
      </c>
      <c r="R211" s="23" t="s">
        <v>1160</v>
      </c>
      <c r="S211" s="24">
        <v>21</v>
      </c>
      <c r="T211" s="7">
        <v>1100</v>
      </c>
      <c r="U211" s="7" t="s">
        <v>1317</v>
      </c>
      <c r="V211" s="7">
        <v>1106</v>
      </c>
      <c r="W211" s="7" t="s">
        <v>1353</v>
      </c>
      <c r="X211" s="17"/>
      <c r="Y211" s="18"/>
      <c r="Z211" s="18"/>
      <c r="AA211" s="18"/>
      <c r="AB211" s="8" t="s">
        <v>1047</v>
      </c>
      <c r="AC211" s="8"/>
      <c r="AD211" s="8" t="s">
        <v>726</v>
      </c>
      <c r="AE211" s="8" t="s">
        <v>726</v>
      </c>
      <c r="AF211" s="8"/>
      <c r="AG211" s="8" t="s">
        <v>726</v>
      </c>
      <c r="AH211" s="8" t="s">
        <v>726</v>
      </c>
      <c r="AI211" s="8" t="s">
        <v>726</v>
      </c>
      <c r="AJ211" s="8" t="s">
        <v>726</v>
      </c>
      <c r="AK211" s="8" t="s">
        <v>726</v>
      </c>
      <c r="AL211" s="8" t="s">
        <v>726</v>
      </c>
      <c r="AM211" s="8"/>
      <c r="AN211" s="8"/>
      <c r="AO211" s="8"/>
      <c r="AP211" s="8"/>
      <c r="AQ211" s="8"/>
      <c r="AR211" s="8"/>
      <c r="AS211" s="8"/>
      <c r="AT211" s="8"/>
      <c r="AU211" s="8"/>
      <c r="AV211" s="8"/>
      <c r="AX211" s="142">
        <v>24.2</v>
      </c>
    </row>
    <row r="212" spans="2:50" ht="45">
      <c r="B212" s="27">
        <v>208</v>
      </c>
      <c r="C212" s="31">
        <v>116</v>
      </c>
      <c r="D212" s="31">
        <v>327</v>
      </c>
      <c r="E212" s="32">
        <v>0.46875</v>
      </c>
      <c r="F212" s="32">
        <v>0.4826388888888889</v>
      </c>
      <c r="G212" s="31" t="s">
        <v>78</v>
      </c>
      <c r="H212" s="31" t="s">
        <v>423</v>
      </c>
      <c r="I212" s="33">
        <v>9</v>
      </c>
      <c r="J212" s="34" t="s">
        <v>188</v>
      </c>
      <c r="K212" s="35">
        <v>67</v>
      </c>
      <c r="L212" s="36">
        <f>+K212*I212</f>
        <v>603</v>
      </c>
      <c r="M212" s="37" t="s">
        <v>723</v>
      </c>
      <c r="N212" s="23" t="s">
        <v>785</v>
      </c>
      <c r="O212" s="23">
        <v>35</v>
      </c>
      <c r="P212" s="23" t="s">
        <v>1159</v>
      </c>
      <c r="Q212" s="23">
        <v>23</v>
      </c>
      <c r="R212" s="23" t="s">
        <v>1160</v>
      </c>
      <c r="S212" s="24">
        <v>21</v>
      </c>
      <c r="T212" s="7">
        <v>1106</v>
      </c>
      <c r="U212" s="7" t="s">
        <v>1353</v>
      </c>
      <c r="V212" s="7">
        <v>1100</v>
      </c>
      <c r="W212" s="7" t="s">
        <v>1317</v>
      </c>
      <c r="X212" s="17"/>
      <c r="Y212" s="18"/>
      <c r="Z212" s="18"/>
      <c r="AA212" s="18"/>
      <c r="AB212" s="8" t="s">
        <v>1047</v>
      </c>
      <c r="AC212" s="8"/>
      <c r="AD212" s="8" t="s">
        <v>726</v>
      </c>
      <c r="AE212" s="8" t="s">
        <v>726</v>
      </c>
      <c r="AF212" s="8"/>
      <c r="AG212" s="8" t="s">
        <v>726</v>
      </c>
      <c r="AH212" s="8" t="s">
        <v>726</v>
      </c>
      <c r="AI212" s="8" t="s">
        <v>726</v>
      </c>
      <c r="AJ212" s="8" t="s">
        <v>726</v>
      </c>
      <c r="AK212" s="8" t="s">
        <v>726</v>
      </c>
      <c r="AL212" s="8" t="s">
        <v>726</v>
      </c>
      <c r="AM212" s="8"/>
      <c r="AN212" s="8"/>
      <c r="AO212" s="8"/>
      <c r="AP212" s="8"/>
      <c r="AQ212" s="8"/>
      <c r="AR212" s="8"/>
      <c r="AS212" s="8"/>
      <c r="AT212" s="8"/>
      <c r="AU212" s="8"/>
      <c r="AV212" s="8"/>
      <c r="AX212" s="142">
        <v>19.8</v>
      </c>
    </row>
    <row r="213" spans="2:50" ht="45">
      <c r="B213" s="27">
        <v>209</v>
      </c>
      <c r="C213" s="38">
        <v>116</v>
      </c>
      <c r="D213" s="38">
        <v>242</v>
      </c>
      <c r="E213" s="39">
        <v>0.48333333333333334</v>
      </c>
      <c r="F213" s="39">
        <v>0.50347222222222221</v>
      </c>
      <c r="G213" s="40" t="s">
        <v>77</v>
      </c>
      <c r="H213" s="40" t="s">
        <v>1</v>
      </c>
      <c r="I213" s="38">
        <v>11</v>
      </c>
      <c r="J213" s="41">
        <v>30</v>
      </c>
      <c r="K213" s="35">
        <v>67</v>
      </c>
      <c r="L213" s="36">
        <f>+K213*I213</f>
        <v>737</v>
      </c>
      <c r="M213" s="37" t="s">
        <v>723</v>
      </c>
      <c r="N213" s="23" t="s">
        <v>785</v>
      </c>
      <c r="O213" s="23">
        <v>35</v>
      </c>
      <c r="P213" s="23" t="s">
        <v>1159</v>
      </c>
      <c r="Q213" s="23">
        <v>23</v>
      </c>
      <c r="R213" s="23" t="s">
        <v>1160</v>
      </c>
      <c r="S213" s="24">
        <v>21</v>
      </c>
      <c r="T213" s="7">
        <v>1100</v>
      </c>
      <c r="U213" s="7" t="s">
        <v>1317</v>
      </c>
      <c r="V213" s="7">
        <v>1106</v>
      </c>
      <c r="W213" s="7" t="s">
        <v>1353</v>
      </c>
      <c r="X213" s="17"/>
      <c r="Y213" s="18"/>
      <c r="Z213" s="18"/>
      <c r="AA213" s="18"/>
      <c r="AB213" s="8" t="s">
        <v>1047</v>
      </c>
      <c r="AC213" s="8"/>
      <c r="AD213" s="8" t="s">
        <v>726</v>
      </c>
      <c r="AE213" s="8" t="s">
        <v>726</v>
      </c>
      <c r="AF213" s="8"/>
      <c r="AG213" s="8" t="s">
        <v>726</v>
      </c>
      <c r="AH213" s="8" t="s">
        <v>726</v>
      </c>
      <c r="AI213" s="8" t="s">
        <v>726</v>
      </c>
      <c r="AJ213" s="8" t="s">
        <v>726</v>
      </c>
      <c r="AK213" s="8" t="s">
        <v>726</v>
      </c>
      <c r="AL213" s="8" t="s">
        <v>726</v>
      </c>
      <c r="AM213" s="8"/>
      <c r="AN213" s="8"/>
      <c r="AO213" s="8"/>
      <c r="AP213" s="8"/>
      <c r="AQ213" s="8"/>
      <c r="AR213" s="8"/>
      <c r="AS213" s="8"/>
      <c r="AT213" s="8"/>
      <c r="AU213" s="8"/>
      <c r="AV213" s="8"/>
      <c r="AX213" s="142">
        <v>22</v>
      </c>
    </row>
    <row r="214" spans="2:50" ht="45">
      <c r="B214" s="27">
        <v>210</v>
      </c>
      <c r="C214" s="38">
        <v>116</v>
      </c>
      <c r="D214" s="38">
        <v>117</v>
      </c>
      <c r="E214" s="39">
        <v>0.69444444444444453</v>
      </c>
      <c r="F214" s="39">
        <v>0.70833333333333337</v>
      </c>
      <c r="G214" s="40" t="s">
        <v>78</v>
      </c>
      <c r="H214" s="40" t="s">
        <v>267</v>
      </c>
      <c r="I214" s="38">
        <v>11</v>
      </c>
      <c r="J214" s="41">
        <v>19</v>
      </c>
      <c r="K214" s="35">
        <v>55</v>
      </c>
      <c r="L214" s="36">
        <f>+K214*I214</f>
        <v>605</v>
      </c>
      <c r="M214" s="37" t="s">
        <v>724</v>
      </c>
      <c r="N214" s="23" t="s">
        <v>787</v>
      </c>
      <c r="O214" s="23">
        <v>21</v>
      </c>
      <c r="P214" s="23" t="s">
        <v>1780</v>
      </c>
      <c r="Q214" s="23">
        <v>23</v>
      </c>
      <c r="S214" s="23"/>
      <c r="T214" s="7">
        <v>1106</v>
      </c>
      <c r="U214" s="7" t="s">
        <v>1353</v>
      </c>
      <c r="V214" s="7">
        <v>1100</v>
      </c>
      <c r="W214" s="7" t="s">
        <v>1317</v>
      </c>
      <c r="X214" s="17"/>
      <c r="Y214" s="18"/>
      <c r="Z214" s="18"/>
      <c r="AA214" s="18"/>
      <c r="AB214" s="7" t="s">
        <v>1049</v>
      </c>
      <c r="AC214" s="8"/>
      <c r="AD214" s="8" t="s">
        <v>726</v>
      </c>
      <c r="AE214" s="8" t="s">
        <v>726</v>
      </c>
      <c r="AF214" s="8"/>
      <c r="AG214" s="8" t="s">
        <v>726</v>
      </c>
      <c r="AH214" s="8" t="s">
        <v>726</v>
      </c>
      <c r="AI214" s="8" t="s">
        <v>726</v>
      </c>
      <c r="AJ214" s="8" t="s">
        <v>726</v>
      </c>
      <c r="AK214" s="8" t="s">
        <v>726</v>
      </c>
      <c r="AL214" s="8"/>
      <c r="AM214" s="8"/>
      <c r="AN214" s="8"/>
      <c r="AO214" s="8"/>
      <c r="AP214" s="8"/>
      <c r="AQ214" s="8"/>
      <c r="AR214" s="8"/>
      <c r="AS214" s="8"/>
      <c r="AT214" s="8"/>
      <c r="AU214" s="8"/>
      <c r="AV214" s="8"/>
      <c r="AX214" s="142">
        <v>26.042615188490256</v>
      </c>
    </row>
    <row r="215" spans="2:50" ht="45">
      <c r="B215" s="27">
        <v>211</v>
      </c>
      <c r="C215" s="38">
        <v>116</v>
      </c>
      <c r="D215" s="38">
        <v>246</v>
      </c>
      <c r="E215" s="134">
        <v>0.7090277777777777</v>
      </c>
      <c r="F215" s="134">
        <v>0.72916666666666663</v>
      </c>
      <c r="G215" s="40" t="s">
        <v>77</v>
      </c>
      <c r="H215" s="40" t="s">
        <v>267</v>
      </c>
      <c r="I215" s="38">
        <v>11</v>
      </c>
      <c r="J215" s="41">
        <v>19</v>
      </c>
      <c r="K215" s="35">
        <v>55</v>
      </c>
      <c r="L215" s="36">
        <f>+K215*I215</f>
        <v>605</v>
      </c>
      <c r="M215" s="37" t="s">
        <v>724</v>
      </c>
      <c r="N215" s="23" t="s">
        <v>787</v>
      </c>
      <c r="O215" s="23">
        <v>21</v>
      </c>
      <c r="P215" s="23" t="s">
        <v>1780</v>
      </c>
      <c r="Q215" s="23">
        <v>23</v>
      </c>
      <c r="S215" s="23"/>
      <c r="T215" s="7">
        <v>1100</v>
      </c>
      <c r="U215" s="7" t="s">
        <v>1317</v>
      </c>
      <c r="V215" s="7">
        <v>1106</v>
      </c>
      <c r="W215" s="7" t="s">
        <v>1353</v>
      </c>
      <c r="X215" s="17"/>
      <c r="Y215" s="18"/>
      <c r="Z215" s="18"/>
      <c r="AA215" s="18"/>
      <c r="AB215" s="7" t="s">
        <v>1049</v>
      </c>
      <c r="AC215" s="8"/>
      <c r="AD215" s="8" t="s">
        <v>726</v>
      </c>
      <c r="AE215" s="8" t="s">
        <v>726</v>
      </c>
      <c r="AF215" s="8"/>
      <c r="AG215" s="8" t="s">
        <v>726</v>
      </c>
      <c r="AH215" s="8" t="s">
        <v>726</v>
      </c>
      <c r="AI215" s="8" t="s">
        <v>726</v>
      </c>
      <c r="AJ215" s="8" t="s">
        <v>726</v>
      </c>
      <c r="AK215" s="8" t="s">
        <v>726</v>
      </c>
      <c r="AL215" s="8"/>
      <c r="AM215" s="8"/>
      <c r="AN215" s="8"/>
      <c r="AO215" s="8"/>
      <c r="AP215" s="8"/>
      <c r="AQ215" s="8"/>
      <c r="AR215" s="8"/>
      <c r="AS215" s="8"/>
      <c r="AT215" s="8"/>
      <c r="AU215" s="8"/>
      <c r="AV215" s="8"/>
      <c r="AX215" s="142">
        <v>26.042615188490256</v>
      </c>
    </row>
    <row r="216" spans="2:50" ht="45">
      <c r="B216" s="27">
        <v>212</v>
      </c>
      <c r="C216" s="38">
        <v>116</v>
      </c>
      <c r="D216" s="38">
        <v>236</v>
      </c>
      <c r="E216" s="44">
        <v>0.75069444444444444</v>
      </c>
      <c r="F216" s="39">
        <v>0.77083333333333337</v>
      </c>
      <c r="G216" s="40" t="s">
        <v>77</v>
      </c>
      <c r="H216" s="31" t="s">
        <v>155</v>
      </c>
      <c r="I216" s="38">
        <v>11</v>
      </c>
      <c r="J216" s="41">
        <v>19</v>
      </c>
      <c r="K216" s="35">
        <v>252</v>
      </c>
      <c r="L216" s="36">
        <f>+K216*I216</f>
        <v>2772</v>
      </c>
      <c r="M216" s="37" t="s">
        <v>724</v>
      </c>
      <c r="N216" s="23" t="s">
        <v>787</v>
      </c>
      <c r="O216" s="23">
        <v>21</v>
      </c>
      <c r="P216" s="23" t="s">
        <v>1780</v>
      </c>
      <c r="Q216" s="23">
        <v>23</v>
      </c>
      <c r="S216" s="23"/>
      <c r="T216" s="7">
        <v>1100</v>
      </c>
      <c r="U216" s="7" t="s">
        <v>1317</v>
      </c>
      <c r="V216" s="7">
        <v>1106</v>
      </c>
      <c r="W216" s="7" t="s">
        <v>1353</v>
      </c>
      <c r="X216" s="17"/>
      <c r="Y216" s="17"/>
      <c r="Z216" s="17"/>
      <c r="AA216" s="17"/>
      <c r="AB216" s="7" t="s">
        <v>1041</v>
      </c>
      <c r="AC216" s="8" t="s">
        <v>726</v>
      </c>
      <c r="AD216" s="8" t="s">
        <v>726</v>
      </c>
      <c r="AE216" s="8" t="s">
        <v>726</v>
      </c>
      <c r="AF216" s="8"/>
      <c r="AG216" s="8" t="s">
        <v>726</v>
      </c>
      <c r="AH216" s="8" t="s">
        <v>726</v>
      </c>
      <c r="AI216" s="8" t="s">
        <v>726</v>
      </c>
      <c r="AJ216" s="8" t="s">
        <v>726</v>
      </c>
      <c r="AK216" s="8" t="s">
        <v>726</v>
      </c>
      <c r="AL216" s="8"/>
      <c r="AM216" s="8"/>
      <c r="AN216" s="8"/>
      <c r="AO216" s="8"/>
      <c r="AP216" s="8"/>
      <c r="AQ216" s="8"/>
      <c r="AR216" s="8"/>
      <c r="AS216" s="8"/>
      <c r="AT216" s="8"/>
      <c r="AU216" s="8"/>
      <c r="AV216" s="8"/>
      <c r="AX216" s="142">
        <v>26.042615188490256</v>
      </c>
    </row>
    <row r="217" spans="2:50" ht="45">
      <c r="B217" s="27">
        <v>213</v>
      </c>
      <c r="C217" s="38">
        <v>116</v>
      </c>
      <c r="D217" s="38">
        <v>123</v>
      </c>
      <c r="E217" s="39">
        <v>0.77430555555555547</v>
      </c>
      <c r="F217" s="44">
        <v>0.78749999999999998</v>
      </c>
      <c r="G217" s="40" t="s">
        <v>78</v>
      </c>
      <c r="H217" s="31" t="s">
        <v>155</v>
      </c>
      <c r="I217" s="38">
        <v>11</v>
      </c>
      <c r="J217" s="41">
        <v>19</v>
      </c>
      <c r="K217" s="35">
        <v>252</v>
      </c>
      <c r="L217" s="36">
        <f>+K217*I217</f>
        <v>2772</v>
      </c>
      <c r="M217" s="37" t="s">
        <v>724</v>
      </c>
      <c r="N217" s="23" t="s">
        <v>787</v>
      </c>
      <c r="O217" s="23">
        <v>21</v>
      </c>
      <c r="P217" s="23" t="s">
        <v>1780</v>
      </c>
      <c r="Q217" s="23">
        <v>23</v>
      </c>
      <c r="S217" s="23"/>
      <c r="T217" s="7">
        <v>1106</v>
      </c>
      <c r="U217" s="7" t="s">
        <v>1353</v>
      </c>
      <c r="V217" s="7">
        <v>1100</v>
      </c>
      <c r="W217" s="7" t="s">
        <v>1317</v>
      </c>
      <c r="X217" s="17"/>
      <c r="Y217" s="17"/>
      <c r="Z217" s="17"/>
      <c r="AA217" s="17"/>
      <c r="AB217" s="7" t="s">
        <v>1041</v>
      </c>
      <c r="AC217" s="8" t="s">
        <v>726</v>
      </c>
      <c r="AD217" s="8" t="s">
        <v>726</v>
      </c>
      <c r="AE217" s="8" t="s">
        <v>726</v>
      </c>
      <c r="AF217" s="8"/>
      <c r="AG217" s="8" t="s">
        <v>726</v>
      </c>
      <c r="AH217" s="8" t="s">
        <v>726</v>
      </c>
      <c r="AI217" s="8" t="s">
        <v>726</v>
      </c>
      <c r="AJ217" s="8" t="s">
        <v>726</v>
      </c>
      <c r="AK217" s="8" t="s">
        <v>726</v>
      </c>
      <c r="AL217" s="8"/>
      <c r="AM217" s="8"/>
      <c r="AN217" s="8"/>
      <c r="AO217" s="8"/>
      <c r="AP217" s="8"/>
      <c r="AQ217" s="8"/>
      <c r="AR217" s="8"/>
      <c r="AS217" s="8"/>
      <c r="AT217" s="8"/>
      <c r="AU217" s="8"/>
      <c r="AV217" s="8"/>
      <c r="AX217" s="142">
        <v>26.042615188490256</v>
      </c>
    </row>
    <row r="218" spans="2:50" ht="45">
      <c r="B218" s="27">
        <v>214</v>
      </c>
      <c r="C218" s="38">
        <v>116</v>
      </c>
      <c r="D218" s="38">
        <v>248</v>
      </c>
      <c r="E218" s="44">
        <v>0.82708333333333339</v>
      </c>
      <c r="F218" s="39">
        <v>0.84722222222222221</v>
      </c>
      <c r="G218" s="40" t="s">
        <v>77</v>
      </c>
      <c r="H218" s="40" t="s">
        <v>18</v>
      </c>
      <c r="I218" s="38">
        <v>11</v>
      </c>
      <c r="J218" s="41">
        <v>19</v>
      </c>
      <c r="K218" s="35">
        <v>304</v>
      </c>
      <c r="L218" s="36">
        <f>+K218*I218</f>
        <v>3344</v>
      </c>
      <c r="M218" s="37" t="s">
        <v>724</v>
      </c>
      <c r="N218" s="23" t="s">
        <v>787</v>
      </c>
      <c r="O218" s="23">
        <v>21</v>
      </c>
      <c r="P218" s="23" t="s">
        <v>1780</v>
      </c>
      <c r="Q218" s="23">
        <v>23</v>
      </c>
      <c r="S218" s="23"/>
      <c r="T218" s="7">
        <v>1100</v>
      </c>
      <c r="U218" s="7" t="s">
        <v>1317</v>
      </c>
      <c r="V218" s="7">
        <v>1106</v>
      </c>
      <c r="W218" s="7" t="s">
        <v>1353</v>
      </c>
      <c r="X218" s="17"/>
      <c r="Y218" s="17"/>
      <c r="Z218" s="17"/>
      <c r="AA218" s="17"/>
      <c r="AB218" s="8" t="s">
        <v>1053</v>
      </c>
      <c r="AC218" s="8" t="s">
        <v>726</v>
      </c>
      <c r="AD218" s="8" t="s">
        <v>726</v>
      </c>
      <c r="AE218" s="8" t="s">
        <v>726</v>
      </c>
      <c r="AF218" s="8"/>
      <c r="AG218" s="8" t="s">
        <v>726</v>
      </c>
      <c r="AH218" s="8" t="s">
        <v>726</v>
      </c>
      <c r="AI218" s="8" t="s">
        <v>726</v>
      </c>
      <c r="AJ218" s="8" t="s">
        <v>726</v>
      </c>
      <c r="AK218" s="8" t="s">
        <v>726</v>
      </c>
      <c r="AL218" s="8" t="s">
        <v>726</v>
      </c>
      <c r="AM218" s="8"/>
      <c r="AN218" s="8"/>
      <c r="AO218" s="8"/>
      <c r="AP218" s="8"/>
      <c r="AQ218" s="8"/>
      <c r="AR218" s="8"/>
      <c r="AS218" s="8"/>
      <c r="AT218" s="8"/>
      <c r="AU218" s="8"/>
      <c r="AV218" s="8"/>
      <c r="AX218" s="142">
        <v>26.042615188490256</v>
      </c>
    </row>
    <row r="219" spans="2:50" ht="25.5">
      <c r="B219" s="27">
        <v>215</v>
      </c>
      <c r="C219" s="31">
        <v>121</v>
      </c>
      <c r="D219" s="31">
        <v>70</v>
      </c>
      <c r="E219" s="32">
        <v>0.25</v>
      </c>
      <c r="F219" s="32">
        <v>0.25694444444444448</v>
      </c>
      <c r="G219" s="31" t="s">
        <v>300</v>
      </c>
      <c r="H219" s="31" t="s">
        <v>477</v>
      </c>
      <c r="I219" s="33">
        <v>5.5</v>
      </c>
      <c r="J219" s="34" t="s">
        <v>269</v>
      </c>
      <c r="K219" s="35">
        <v>240</v>
      </c>
      <c r="L219" s="36">
        <f>+K219*I219</f>
        <v>1320</v>
      </c>
      <c r="M219" s="37" t="s">
        <v>721</v>
      </c>
      <c r="N219" s="23" t="s">
        <v>872</v>
      </c>
      <c r="O219" s="23">
        <v>9</v>
      </c>
      <c r="P219" s="23" t="s">
        <v>967</v>
      </c>
      <c r="Q219" s="23">
        <v>18</v>
      </c>
      <c r="S219" s="23"/>
      <c r="T219" s="7">
        <v>4070</v>
      </c>
      <c r="U219" s="7" t="s">
        <v>1357</v>
      </c>
      <c r="V219" s="7">
        <v>1122</v>
      </c>
      <c r="W219" s="7" t="s">
        <v>1237</v>
      </c>
      <c r="X219" s="18"/>
      <c r="Y219" s="17"/>
      <c r="Z219" s="18"/>
      <c r="AA219" s="18"/>
      <c r="AB219" s="7" t="s">
        <v>1052</v>
      </c>
      <c r="AC219" s="8" t="s">
        <v>726</v>
      </c>
      <c r="AD219" s="8"/>
      <c r="AE219" s="8" t="s">
        <v>726</v>
      </c>
      <c r="AF219" s="8"/>
      <c r="AG219" s="8" t="s">
        <v>726</v>
      </c>
      <c r="AH219" s="8" t="s">
        <v>726</v>
      </c>
      <c r="AI219" s="8" t="s">
        <v>726</v>
      </c>
      <c r="AJ219" s="8" t="s">
        <v>726</v>
      </c>
      <c r="AK219" s="8" t="s">
        <v>726</v>
      </c>
      <c r="AL219" s="8" t="s">
        <v>726</v>
      </c>
      <c r="AM219" s="8"/>
      <c r="AN219" s="8"/>
      <c r="AO219" s="8"/>
      <c r="AP219" s="8"/>
      <c r="AQ219" s="8"/>
      <c r="AR219" s="8"/>
      <c r="AS219" s="8"/>
      <c r="AT219" s="8"/>
      <c r="AU219" s="8"/>
      <c r="AV219" s="8"/>
      <c r="AX219" s="142">
        <v>28.38</v>
      </c>
    </row>
    <row r="220" spans="2:50" ht="22.5">
      <c r="B220" s="27">
        <v>216</v>
      </c>
      <c r="C220" s="31">
        <v>121</v>
      </c>
      <c r="D220" s="31">
        <v>72</v>
      </c>
      <c r="E220" s="32">
        <v>0.2638888888888889</v>
      </c>
      <c r="F220" s="42">
        <v>0.27083333333333331</v>
      </c>
      <c r="G220" s="31" t="s">
        <v>300</v>
      </c>
      <c r="H220" s="31" t="s">
        <v>1</v>
      </c>
      <c r="I220" s="33">
        <v>5.5</v>
      </c>
      <c r="J220" s="34" t="s">
        <v>269</v>
      </c>
      <c r="K220" s="35">
        <v>67</v>
      </c>
      <c r="L220" s="36">
        <f>+K220*I220</f>
        <v>368.5</v>
      </c>
      <c r="M220" s="37" t="s">
        <v>721</v>
      </c>
      <c r="N220" s="23" t="s">
        <v>872</v>
      </c>
      <c r="O220" s="23">
        <v>9</v>
      </c>
      <c r="P220" s="23" t="s">
        <v>967</v>
      </c>
      <c r="Q220" s="23">
        <v>18</v>
      </c>
      <c r="S220" s="23"/>
      <c r="T220" s="7">
        <v>4070</v>
      </c>
      <c r="U220" s="7" t="s">
        <v>1357</v>
      </c>
      <c r="V220" s="7">
        <v>1122</v>
      </c>
      <c r="W220" s="7" t="s">
        <v>1237</v>
      </c>
      <c r="X220" s="17"/>
      <c r="Y220" s="18"/>
      <c r="Z220" s="18"/>
      <c r="AA220" s="18"/>
      <c r="AB220" s="8" t="s">
        <v>1047</v>
      </c>
      <c r="AC220" s="8"/>
      <c r="AD220" s="8" t="s">
        <v>726</v>
      </c>
      <c r="AE220" s="8" t="s">
        <v>726</v>
      </c>
      <c r="AF220" s="8"/>
      <c r="AG220" s="8" t="s">
        <v>726</v>
      </c>
      <c r="AH220" s="8" t="s">
        <v>726</v>
      </c>
      <c r="AI220" s="8" t="s">
        <v>726</v>
      </c>
      <c r="AJ220" s="8" t="s">
        <v>726</v>
      </c>
      <c r="AK220" s="8" t="s">
        <v>726</v>
      </c>
      <c r="AL220" s="8" t="s">
        <v>726</v>
      </c>
      <c r="AM220" s="8"/>
      <c r="AN220" s="8"/>
      <c r="AO220" s="8"/>
      <c r="AP220" s="8"/>
      <c r="AQ220" s="8"/>
      <c r="AR220" s="8"/>
      <c r="AS220" s="8"/>
      <c r="AT220" s="8"/>
      <c r="AU220" s="8"/>
      <c r="AV220" s="8"/>
      <c r="AX220" s="142">
        <v>28.38</v>
      </c>
    </row>
    <row r="221" spans="2:50" ht="33.75">
      <c r="B221" s="27">
        <v>217</v>
      </c>
      <c r="C221" s="31">
        <v>121</v>
      </c>
      <c r="D221" s="31">
        <v>173</v>
      </c>
      <c r="E221" s="42">
        <v>0.26874999999999999</v>
      </c>
      <c r="F221" s="42">
        <v>0.27152777777777776</v>
      </c>
      <c r="G221" s="31" t="s">
        <v>301</v>
      </c>
      <c r="H221" s="31" t="s">
        <v>97</v>
      </c>
      <c r="I221" s="33">
        <v>1.5</v>
      </c>
      <c r="J221" s="34" t="s">
        <v>269</v>
      </c>
      <c r="K221" s="35">
        <v>208</v>
      </c>
      <c r="L221" s="36">
        <f>+K221*I221</f>
        <v>312</v>
      </c>
      <c r="M221" s="37" t="s">
        <v>721</v>
      </c>
      <c r="N221" s="23" t="s">
        <v>872</v>
      </c>
      <c r="O221" s="23">
        <v>9</v>
      </c>
      <c r="P221" s="23" t="s">
        <v>967</v>
      </c>
      <c r="Q221" s="23">
        <v>18</v>
      </c>
      <c r="S221" s="23"/>
      <c r="T221" s="7" t="s">
        <v>1358</v>
      </c>
      <c r="U221" s="7" t="s">
        <v>1359</v>
      </c>
      <c r="V221" s="7">
        <v>1125</v>
      </c>
      <c r="W221" s="7" t="s">
        <v>1360</v>
      </c>
      <c r="X221" s="18"/>
      <c r="Y221" s="17"/>
      <c r="Z221" s="17"/>
      <c r="AA221" s="17"/>
      <c r="AB221" s="7" t="s">
        <v>1046</v>
      </c>
      <c r="AC221" s="8"/>
      <c r="AD221" s="8"/>
      <c r="AE221" s="8"/>
      <c r="AF221" s="8" t="s">
        <v>726</v>
      </c>
      <c r="AG221" s="8" t="s">
        <v>726</v>
      </c>
      <c r="AH221" s="8" t="s">
        <v>726</v>
      </c>
      <c r="AI221" s="8" t="s">
        <v>726</v>
      </c>
      <c r="AJ221" s="8" t="s">
        <v>726</v>
      </c>
      <c r="AK221" s="8" t="s">
        <v>726</v>
      </c>
      <c r="AL221" s="8" t="s">
        <v>726</v>
      </c>
      <c r="AM221" s="8"/>
      <c r="AN221" s="8"/>
      <c r="AO221" s="8"/>
      <c r="AP221" s="8"/>
      <c r="AQ221" s="8"/>
      <c r="AR221" s="8"/>
      <c r="AS221" s="8"/>
      <c r="AT221" s="8"/>
      <c r="AU221" s="8"/>
      <c r="AV221" s="8"/>
      <c r="AX221" s="142">
        <v>20.3</v>
      </c>
    </row>
    <row r="222" spans="2:50" ht="25.5">
      <c r="B222" s="27">
        <v>218</v>
      </c>
      <c r="C222" s="31">
        <v>121</v>
      </c>
      <c r="D222" s="31">
        <v>72</v>
      </c>
      <c r="E222" s="32">
        <v>0.27777777777777779</v>
      </c>
      <c r="F222" s="32">
        <v>0.28472222222222221</v>
      </c>
      <c r="G222" s="31" t="s">
        <v>300</v>
      </c>
      <c r="H222" s="31" t="s">
        <v>477</v>
      </c>
      <c r="I222" s="33">
        <v>5.5</v>
      </c>
      <c r="J222" s="34" t="s">
        <v>269</v>
      </c>
      <c r="K222" s="35">
        <v>240</v>
      </c>
      <c r="L222" s="36">
        <f>+K222*I222</f>
        <v>1320</v>
      </c>
      <c r="M222" s="37" t="s">
        <v>721</v>
      </c>
      <c r="N222" s="23" t="s">
        <v>872</v>
      </c>
      <c r="O222" s="23">
        <v>9</v>
      </c>
      <c r="P222" s="23" t="s">
        <v>967</v>
      </c>
      <c r="Q222" s="23">
        <v>18</v>
      </c>
      <c r="S222" s="23"/>
      <c r="T222" s="7">
        <v>4070</v>
      </c>
      <c r="U222" s="7" t="s">
        <v>1357</v>
      </c>
      <c r="V222" s="7">
        <v>1122</v>
      </c>
      <c r="W222" s="7" t="s">
        <v>1237</v>
      </c>
      <c r="X222" s="18"/>
      <c r="Y222" s="17"/>
      <c r="Z222" s="18"/>
      <c r="AA222" s="18"/>
      <c r="AB222" s="7" t="s">
        <v>1052</v>
      </c>
      <c r="AC222" s="8" t="s">
        <v>726</v>
      </c>
      <c r="AD222" s="8"/>
      <c r="AE222" s="8" t="s">
        <v>726</v>
      </c>
      <c r="AF222" s="8"/>
      <c r="AG222" s="8" t="s">
        <v>726</v>
      </c>
      <c r="AH222" s="8" t="s">
        <v>726</v>
      </c>
      <c r="AI222" s="8" t="s">
        <v>726</v>
      </c>
      <c r="AJ222" s="8" t="s">
        <v>726</v>
      </c>
      <c r="AK222" s="8" t="s">
        <v>726</v>
      </c>
      <c r="AL222" s="8" t="s">
        <v>726</v>
      </c>
      <c r="AM222" s="8"/>
      <c r="AN222" s="8"/>
      <c r="AO222" s="8"/>
      <c r="AP222" s="8"/>
      <c r="AQ222" s="8"/>
      <c r="AR222" s="8"/>
      <c r="AS222" s="8"/>
      <c r="AT222" s="8"/>
      <c r="AU222" s="8"/>
      <c r="AV222" s="8"/>
      <c r="AX222" s="142">
        <v>28.38</v>
      </c>
    </row>
    <row r="223" spans="2:50" ht="22.5">
      <c r="B223" s="27">
        <v>219</v>
      </c>
      <c r="C223" s="31">
        <v>121</v>
      </c>
      <c r="D223" s="31">
        <v>65</v>
      </c>
      <c r="E223" s="32">
        <v>0.2951388888888889</v>
      </c>
      <c r="F223" s="32">
        <v>0.30208333333333331</v>
      </c>
      <c r="G223" s="31" t="s">
        <v>298</v>
      </c>
      <c r="H223" s="31" t="s">
        <v>18</v>
      </c>
      <c r="I223" s="33">
        <v>5.5</v>
      </c>
      <c r="J223" s="34" t="s">
        <v>269</v>
      </c>
      <c r="K223" s="35">
        <v>304</v>
      </c>
      <c r="L223" s="36">
        <f>+K223*I223</f>
        <v>1672</v>
      </c>
      <c r="M223" s="37" t="s">
        <v>721</v>
      </c>
      <c r="N223" s="23" t="s">
        <v>872</v>
      </c>
      <c r="O223" s="23">
        <v>9</v>
      </c>
      <c r="P223" s="23" t="s">
        <v>967</v>
      </c>
      <c r="Q223" s="23">
        <v>18</v>
      </c>
      <c r="S223" s="23"/>
      <c r="T223" s="7">
        <v>1122</v>
      </c>
      <c r="U223" s="7" t="s">
        <v>1237</v>
      </c>
      <c r="V223" s="7">
        <v>4070</v>
      </c>
      <c r="W223" s="7" t="s">
        <v>1357</v>
      </c>
      <c r="X223" s="17"/>
      <c r="Y223" s="17"/>
      <c r="Z223" s="17"/>
      <c r="AA223" s="17"/>
      <c r="AB223" s="8" t="s">
        <v>1053</v>
      </c>
      <c r="AC223" s="8" t="s">
        <v>726</v>
      </c>
      <c r="AD223" s="8" t="s">
        <v>726</v>
      </c>
      <c r="AE223" s="8" t="s">
        <v>726</v>
      </c>
      <c r="AF223" s="8"/>
      <c r="AG223" s="8" t="s">
        <v>726</v>
      </c>
      <c r="AH223" s="8" t="s">
        <v>726</v>
      </c>
      <c r="AI223" s="8" t="s">
        <v>726</v>
      </c>
      <c r="AJ223" s="8" t="s">
        <v>726</v>
      </c>
      <c r="AK223" s="8" t="s">
        <v>726</v>
      </c>
      <c r="AL223" s="8" t="s">
        <v>726</v>
      </c>
      <c r="AM223" s="8"/>
      <c r="AN223" s="8"/>
      <c r="AO223" s="8"/>
      <c r="AP223" s="8"/>
      <c r="AQ223" s="8"/>
      <c r="AR223" s="8"/>
      <c r="AS223" s="8"/>
      <c r="AT223" s="8"/>
      <c r="AU223" s="8"/>
      <c r="AV223" s="8"/>
      <c r="AX223" s="142">
        <v>28.38</v>
      </c>
    </row>
    <row r="224" spans="2:50" ht="25.5">
      <c r="B224" s="27">
        <v>220</v>
      </c>
      <c r="C224" s="31">
        <v>121</v>
      </c>
      <c r="D224" s="31">
        <v>74</v>
      </c>
      <c r="E224" s="32">
        <v>0.54861111111111105</v>
      </c>
      <c r="F224" s="32">
        <v>0.55555555555555558</v>
      </c>
      <c r="G224" s="31" t="s">
        <v>300</v>
      </c>
      <c r="H224" s="31" t="s">
        <v>477</v>
      </c>
      <c r="I224" s="33">
        <v>5.5</v>
      </c>
      <c r="J224" s="34" t="s">
        <v>269</v>
      </c>
      <c r="K224" s="35">
        <v>240</v>
      </c>
      <c r="L224" s="36">
        <f>+K224*I224</f>
        <v>1320</v>
      </c>
      <c r="M224" s="37" t="s">
        <v>721</v>
      </c>
      <c r="N224" s="23" t="s">
        <v>967</v>
      </c>
      <c r="O224" s="23">
        <v>18</v>
      </c>
      <c r="P224" s="23" t="s">
        <v>872</v>
      </c>
      <c r="Q224" s="23">
        <v>9</v>
      </c>
      <c r="S224" s="23"/>
      <c r="T224" s="7">
        <v>4070</v>
      </c>
      <c r="U224" s="7" t="s">
        <v>1357</v>
      </c>
      <c r="V224" s="7">
        <v>1122</v>
      </c>
      <c r="W224" s="7" t="s">
        <v>1237</v>
      </c>
      <c r="X224" s="18"/>
      <c r="Y224" s="17"/>
      <c r="Z224" s="18"/>
      <c r="AA224" s="18"/>
      <c r="AB224" s="7" t="s">
        <v>1052</v>
      </c>
      <c r="AC224" s="8" t="s">
        <v>726</v>
      </c>
      <c r="AD224" s="8"/>
      <c r="AE224" s="8" t="s">
        <v>726</v>
      </c>
      <c r="AF224" s="8"/>
      <c r="AG224" s="8" t="s">
        <v>726</v>
      </c>
      <c r="AH224" s="8" t="s">
        <v>726</v>
      </c>
      <c r="AI224" s="8" t="s">
        <v>726</v>
      </c>
      <c r="AJ224" s="8" t="s">
        <v>726</v>
      </c>
      <c r="AK224" s="8" t="s">
        <v>726</v>
      </c>
      <c r="AL224" s="8" t="s">
        <v>726</v>
      </c>
      <c r="AM224" s="8"/>
      <c r="AN224" s="8"/>
      <c r="AO224" s="8"/>
      <c r="AP224" s="8"/>
      <c r="AQ224" s="8"/>
      <c r="AR224" s="8"/>
      <c r="AS224" s="8"/>
      <c r="AT224" s="8"/>
      <c r="AU224" s="8"/>
      <c r="AV224" s="8"/>
      <c r="AX224" s="142">
        <v>28.38</v>
      </c>
    </row>
    <row r="225" spans="2:50" ht="22.5">
      <c r="B225" s="27">
        <v>221</v>
      </c>
      <c r="C225" s="31">
        <v>121</v>
      </c>
      <c r="D225" s="31">
        <v>74</v>
      </c>
      <c r="E225" s="32">
        <v>0.55555555555555558</v>
      </c>
      <c r="F225" s="32">
        <v>0.5625</v>
      </c>
      <c r="G225" s="31" t="s">
        <v>300</v>
      </c>
      <c r="H225" s="31" t="s">
        <v>1</v>
      </c>
      <c r="I225" s="33">
        <v>5.5</v>
      </c>
      <c r="J225" s="34" t="s">
        <v>269</v>
      </c>
      <c r="K225" s="35">
        <v>67</v>
      </c>
      <c r="L225" s="36">
        <f>+K225*I225</f>
        <v>368.5</v>
      </c>
      <c r="M225" s="37" t="s">
        <v>721</v>
      </c>
      <c r="N225" s="23" t="s">
        <v>967</v>
      </c>
      <c r="O225" s="23">
        <v>18</v>
      </c>
      <c r="P225" s="23" t="s">
        <v>872</v>
      </c>
      <c r="Q225" s="23">
        <v>9</v>
      </c>
      <c r="S225" s="23"/>
      <c r="T225" s="7">
        <v>4070</v>
      </c>
      <c r="U225" s="7" t="s">
        <v>1357</v>
      </c>
      <c r="V225" s="7">
        <v>1122</v>
      </c>
      <c r="W225" s="7" t="s">
        <v>1237</v>
      </c>
      <c r="X225" s="17"/>
      <c r="Y225" s="18"/>
      <c r="Z225" s="18"/>
      <c r="AA225" s="18"/>
      <c r="AB225" s="8" t="s">
        <v>1047</v>
      </c>
      <c r="AC225" s="8"/>
      <c r="AD225" s="8" t="s">
        <v>726</v>
      </c>
      <c r="AE225" s="8" t="s">
        <v>726</v>
      </c>
      <c r="AF225" s="8"/>
      <c r="AG225" s="8" t="s">
        <v>726</v>
      </c>
      <c r="AH225" s="8" t="s">
        <v>726</v>
      </c>
      <c r="AI225" s="8" t="s">
        <v>726</v>
      </c>
      <c r="AJ225" s="8" t="s">
        <v>726</v>
      </c>
      <c r="AK225" s="8" t="s">
        <v>726</v>
      </c>
      <c r="AL225" s="8" t="s">
        <v>726</v>
      </c>
      <c r="AM225" s="8"/>
      <c r="AN225" s="8"/>
      <c r="AO225" s="8"/>
      <c r="AP225" s="8"/>
      <c r="AQ225" s="8"/>
      <c r="AR225" s="8"/>
      <c r="AS225" s="8"/>
      <c r="AT225" s="8"/>
      <c r="AU225" s="8"/>
      <c r="AV225" s="8"/>
      <c r="AX225" s="142">
        <v>28.38</v>
      </c>
    </row>
    <row r="226" spans="2:50" ht="22.5">
      <c r="B226" s="27">
        <v>222</v>
      </c>
      <c r="C226" s="31">
        <v>121</v>
      </c>
      <c r="D226" s="31">
        <v>67</v>
      </c>
      <c r="E226" s="32">
        <v>0.56597222222222221</v>
      </c>
      <c r="F226" s="32">
        <v>0.57291666666666663</v>
      </c>
      <c r="G226" s="31" t="s">
        <v>298</v>
      </c>
      <c r="H226" s="31" t="s">
        <v>18</v>
      </c>
      <c r="I226" s="33">
        <v>5.5</v>
      </c>
      <c r="J226" s="34" t="s">
        <v>269</v>
      </c>
      <c r="K226" s="35">
        <v>304</v>
      </c>
      <c r="L226" s="36">
        <f>+K226*I226</f>
        <v>1672</v>
      </c>
      <c r="M226" s="37" t="s">
        <v>721</v>
      </c>
      <c r="N226" s="23" t="s">
        <v>967</v>
      </c>
      <c r="O226" s="23">
        <v>18</v>
      </c>
      <c r="P226" s="23" t="s">
        <v>872</v>
      </c>
      <c r="Q226" s="23">
        <v>9</v>
      </c>
      <c r="S226" s="23"/>
      <c r="T226" s="7">
        <v>1122</v>
      </c>
      <c r="U226" s="7" t="s">
        <v>1237</v>
      </c>
      <c r="V226" s="7">
        <v>4070</v>
      </c>
      <c r="W226" s="7" t="s">
        <v>1357</v>
      </c>
      <c r="X226" s="17"/>
      <c r="Y226" s="17"/>
      <c r="Z226" s="17"/>
      <c r="AA226" s="17"/>
      <c r="AB226" s="8" t="s">
        <v>1053</v>
      </c>
      <c r="AC226" s="8" t="s">
        <v>726</v>
      </c>
      <c r="AD226" s="8" t="s">
        <v>726</v>
      </c>
      <c r="AE226" s="8" t="s">
        <v>726</v>
      </c>
      <c r="AF226" s="8"/>
      <c r="AG226" s="8" t="s">
        <v>726</v>
      </c>
      <c r="AH226" s="8" t="s">
        <v>726</v>
      </c>
      <c r="AI226" s="8" t="s">
        <v>726</v>
      </c>
      <c r="AJ226" s="8" t="s">
        <v>726</v>
      </c>
      <c r="AK226" s="8" t="s">
        <v>726</v>
      </c>
      <c r="AL226" s="8" t="s">
        <v>726</v>
      </c>
      <c r="AM226" s="8"/>
      <c r="AN226" s="8"/>
      <c r="AO226" s="8"/>
      <c r="AP226" s="8"/>
      <c r="AQ226" s="8"/>
      <c r="AR226" s="8"/>
      <c r="AS226" s="8"/>
      <c r="AT226" s="8"/>
      <c r="AU226" s="8"/>
      <c r="AV226" s="8"/>
      <c r="AX226" s="142">
        <v>28.38</v>
      </c>
    </row>
    <row r="227" spans="2:50" ht="25.5">
      <c r="B227" s="27">
        <v>223</v>
      </c>
      <c r="C227" s="31">
        <v>121</v>
      </c>
      <c r="D227" s="31">
        <v>67</v>
      </c>
      <c r="E227" s="32">
        <v>0.57291666666666663</v>
      </c>
      <c r="F227" s="32">
        <v>0.57986111111111105</v>
      </c>
      <c r="G227" s="31" t="s">
        <v>299</v>
      </c>
      <c r="H227" s="31" t="s">
        <v>119</v>
      </c>
      <c r="I227" s="33">
        <v>4</v>
      </c>
      <c r="J227" s="34" t="s">
        <v>269</v>
      </c>
      <c r="K227" s="35">
        <v>36</v>
      </c>
      <c r="L227" s="36">
        <f>+K227*I227</f>
        <v>144</v>
      </c>
      <c r="M227" s="37" t="s">
        <v>721</v>
      </c>
      <c r="N227" s="23" t="s">
        <v>967</v>
      </c>
      <c r="O227" s="23">
        <v>18</v>
      </c>
      <c r="P227" s="23" t="s">
        <v>872</v>
      </c>
      <c r="Q227" s="23">
        <v>9</v>
      </c>
      <c r="S227" s="23"/>
      <c r="T227" s="7">
        <v>4070</v>
      </c>
      <c r="U227" s="7" t="s">
        <v>1357</v>
      </c>
      <c r="V227" s="7" t="s">
        <v>1361</v>
      </c>
      <c r="W227" s="7" t="s">
        <v>1362</v>
      </c>
      <c r="X227" s="18"/>
      <c r="Y227" s="17"/>
      <c r="Z227" s="17"/>
      <c r="AA227" s="17"/>
      <c r="AB227" s="8" t="s">
        <v>1060</v>
      </c>
      <c r="AC227" s="8"/>
      <c r="AD227" s="8"/>
      <c r="AE227" s="8"/>
      <c r="AF227" s="8" t="s">
        <v>726</v>
      </c>
      <c r="AG227" s="8"/>
      <c r="AH227" s="8"/>
      <c r="AI227" s="8"/>
      <c r="AJ227" s="8"/>
      <c r="AK227" s="8" t="s">
        <v>726</v>
      </c>
      <c r="AL227" s="8"/>
      <c r="AM227" s="8"/>
      <c r="AN227" s="8"/>
      <c r="AO227" s="8"/>
      <c r="AP227" s="8"/>
      <c r="AQ227" s="8"/>
      <c r="AR227" s="8"/>
      <c r="AS227" s="8"/>
      <c r="AT227" s="8"/>
      <c r="AU227" s="8"/>
      <c r="AV227" s="8"/>
      <c r="AX227" s="142">
        <v>10.33</v>
      </c>
    </row>
    <row r="228" spans="2:50" ht="25.5">
      <c r="B228" s="27">
        <v>224</v>
      </c>
      <c r="C228" s="43">
        <v>121</v>
      </c>
      <c r="D228" s="31">
        <v>67</v>
      </c>
      <c r="E228" s="32">
        <v>0.57986111111111105</v>
      </c>
      <c r="F228" s="32">
        <v>0.59236111111111112</v>
      </c>
      <c r="G228" s="31" t="s">
        <v>666</v>
      </c>
      <c r="H228" s="31" t="s">
        <v>404</v>
      </c>
      <c r="I228" s="33">
        <v>12.4</v>
      </c>
      <c r="J228" s="34" t="s">
        <v>167</v>
      </c>
      <c r="K228" s="35">
        <v>36</v>
      </c>
      <c r="L228" s="36">
        <f>+K228*I228</f>
        <v>446.40000000000003</v>
      </c>
      <c r="M228" s="37" t="s">
        <v>721</v>
      </c>
      <c r="N228" s="23" t="s">
        <v>967</v>
      </c>
      <c r="O228" s="23">
        <v>18</v>
      </c>
      <c r="P228" s="23" t="s">
        <v>872</v>
      </c>
      <c r="Q228" s="23">
        <v>9</v>
      </c>
      <c r="S228" s="23"/>
      <c r="T228" s="7" t="s">
        <v>1361</v>
      </c>
      <c r="U228" s="7" t="s">
        <v>1362</v>
      </c>
      <c r="V228" s="7" t="s">
        <v>1363</v>
      </c>
      <c r="W228" s="7" t="s">
        <v>1364</v>
      </c>
      <c r="X228" s="18"/>
      <c r="Y228" s="17"/>
      <c r="Z228" s="17"/>
      <c r="AA228" s="17"/>
      <c r="AB228" s="8" t="s">
        <v>1060</v>
      </c>
      <c r="AC228" s="8"/>
      <c r="AD228" s="8"/>
      <c r="AE228" s="8"/>
      <c r="AF228" s="8" t="s">
        <v>726</v>
      </c>
      <c r="AG228" s="8"/>
      <c r="AH228" s="8"/>
      <c r="AI228" s="8"/>
      <c r="AJ228" s="8"/>
      <c r="AK228" s="8" t="s">
        <v>726</v>
      </c>
      <c r="AL228" s="8"/>
      <c r="AM228" s="8"/>
      <c r="AN228" s="8"/>
      <c r="AO228" s="8"/>
      <c r="AP228" s="8"/>
      <c r="AQ228" s="8"/>
      <c r="AR228" s="8"/>
      <c r="AS228" s="8"/>
      <c r="AT228" s="8"/>
      <c r="AU228" s="8"/>
      <c r="AV228" s="8"/>
      <c r="AX228" s="142">
        <v>25.2</v>
      </c>
    </row>
    <row r="229" spans="2:50" ht="25.5">
      <c r="B229" s="27">
        <v>225</v>
      </c>
      <c r="C229" s="31">
        <v>121</v>
      </c>
      <c r="D229" s="31">
        <v>437</v>
      </c>
      <c r="E229" s="32">
        <v>0.60277777777777775</v>
      </c>
      <c r="F229" s="32">
        <v>0.60763888888888895</v>
      </c>
      <c r="G229" s="31" t="s">
        <v>298</v>
      </c>
      <c r="H229" s="31" t="s">
        <v>97</v>
      </c>
      <c r="I229" s="33">
        <v>5.5</v>
      </c>
      <c r="J229" s="34" t="s">
        <v>269</v>
      </c>
      <c r="K229" s="35">
        <v>208</v>
      </c>
      <c r="L229" s="36">
        <f>+K229*I229</f>
        <v>1144</v>
      </c>
      <c r="M229" s="37" t="s">
        <v>721</v>
      </c>
      <c r="N229" s="23" t="s">
        <v>967</v>
      </c>
      <c r="O229" s="23">
        <v>18</v>
      </c>
      <c r="P229" s="23" t="s">
        <v>872</v>
      </c>
      <c r="Q229" s="23">
        <v>9</v>
      </c>
      <c r="S229" s="23"/>
      <c r="T229" s="7">
        <v>1122</v>
      </c>
      <c r="U229" s="7" t="s">
        <v>1237</v>
      </c>
      <c r="V229" s="7">
        <v>4070</v>
      </c>
      <c r="W229" s="7" t="s">
        <v>1357</v>
      </c>
      <c r="X229" s="18"/>
      <c r="Y229" s="17"/>
      <c r="Z229" s="17"/>
      <c r="AA229" s="17"/>
      <c r="AB229" s="7" t="s">
        <v>1046</v>
      </c>
      <c r="AC229" s="8"/>
      <c r="AD229" s="8"/>
      <c r="AE229" s="8"/>
      <c r="AF229" s="8" t="s">
        <v>726</v>
      </c>
      <c r="AG229" s="8" t="s">
        <v>726</v>
      </c>
      <c r="AH229" s="8" t="s">
        <v>726</v>
      </c>
      <c r="AI229" s="8" t="s">
        <v>726</v>
      </c>
      <c r="AJ229" s="8" t="s">
        <v>726</v>
      </c>
      <c r="AK229" s="8" t="s">
        <v>726</v>
      </c>
      <c r="AL229" s="8" t="s">
        <v>726</v>
      </c>
      <c r="AM229" s="8"/>
      <c r="AN229" s="8"/>
      <c r="AO229" s="8"/>
      <c r="AP229" s="8"/>
      <c r="AQ229" s="8"/>
      <c r="AR229" s="8"/>
      <c r="AS229" s="8"/>
      <c r="AT229" s="8"/>
      <c r="AU229" s="8"/>
      <c r="AV229" s="8"/>
      <c r="AX229" s="142">
        <v>14.58</v>
      </c>
    </row>
    <row r="230" spans="2:50" ht="25.5">
      <c r="B230" s="27">
        <v>226</v>
      </c>
      <c r="C230" s="31">
        <v>121</v>
      </c>
      <c r="D230" s="31">
        <v>707</v>
      </c>
      <c r="E230" s="32">
        <v>0.68055555555555547</v>
      </c>
      <c r="F230" s="32">
        <v>0.6875</v>
      </c>
      <c r="G230" s="31" t="s">
        <v>297</v>
      </c>
      <c r="H230" s="31" t="s">
        <v>194</v>
      </c>
      <c r="I230" s="33">
        <v>5.5</v>
      </c>
      <c r="J230" s="34" t="s">
        <v>93</v>
      </c>
      <c r="K230" s="35">
        <f>34+34+36+33</f>
        <v>137</v>
      </c>
      <c r="L230" s="36">
        <f>+K230*I230</f>
        <v>753.5</v>
      </c>
      <c r="M230" s="37" t="s">
        <v>721</v>
      </c>
      <c r="N230" s="23" t="s">
        <v>967</v>
      </c>
      <c r="O230" s="23">
        <v>18</v>
      </c>
      <c r="P230" s="23" t="s">
        <v>872</v>
      </c>
      <c r="Q230" s="23">
        <v>9</v>
      </c>
      <c r="S230" s="23"/>
      <c r="T230" s="7">
        <v>1122</v>
      </c>
      <c r="U230" s="7" t="s">
        <v>1237</v>
      </c>
      <c r="V230" s="7">
        <v>4070</v>
      </c>
      <c r="W230" s="7" t="s">
        <v>1357</v>
      </c>
      <c r="X230" s="18"/>
      <c r="Y230" s="17"/>
      <c r="Z230" s="17"/>
      <c r="AA230" s="17"/>
      <c r="AB230" s="7" t="s">
        <v>1045</v>
      </c>
      <c r="AC230" s="8"/>
      <c r="AD230" s="8"/>
      <c r="AE230" s="8"/>
      <c r="AF230" s="8" t="s">
        <v>726</v>
      </c>
      <c r="AG230" s="8" t="s">
        <v>726</v>
      </c>
      <c r="AH230" s="8" t="s">
        <v>726</v>
      </c>
      <c r="AI230" s="8" t="s">
        <v>726</v>
      </c>
      <c r="AJ230" s="8" t="s">
        <v>726</v>
      </c>
      <c r="AK230" s="8"/>
      <c r="AL230" s="8"/>
      <c r="AM230" s="8"/>
      <c r="AN230" s="8"/>
      <c r="AO230" s="8"/>
      <c r="AP230" s="8"/>
      <c r="AQ230" s="8"/>
      <c r="AR230" s="8"/>
      <c r="AS230" s="8"/>
      <c r="AT230" s="8"/>
      <c r="AU230" s="8"/>
      <c r="AV230" s="8"/>
      <c r="AX230" s="142">
        <v>11</v>
      </c>
    </row>
    <row r="231" spans="2:50" ht="22.5">
      <c r="B231" s="27">
        <v>227</v>
      </c>
      <c r="C231" s="31">
        <v>121</v>
      </c>
      <c r="D231" s="31">
        <v>69</v>
      </c>
      <c r="E231" s="32">
        <v>0.73958333333333337</v>
      </c>
      <c r="F231" s="32">
        <v>0.74652777777777779</v>
      </c>
      <c r="G231" s="31" t="s">
        <v>298</v>
      </c>
      <c r="H231" s="31" t="s">
        <v>18</v>
      </c>
      <c r="I231" s="33">
        <v>5.5</v>
      </c>
      <c r="J231" s="34" t="s">
        <v>269</v>
      </c>
      <c r="K231" s="35">
        <v>304</v>
      </c>
      <c r="L231" s="36">
        <f>+K231*I231</f>
        <v>1672</v>
      </c>
      <c r="M231" s="37" t="s">
        <v>721</v>
      </c>
      <c r="N231" s="23" t="s">
        <v>967</v>
      </c>
      <c r="O231" s="23">
        <v>18</v>
      </c>
      <c r="P231" s="23" t="s">
        <v>872</v>
      </c>
      <c r="Q231" s="23">
        <v>9</v>
      </c>
      <c r="S231" s="23"/>
      <c r="T231" s="7">
        <v>1122</v>
      </c>
      <c r="U231" s="7" t="s">
        <v>1237</v>
      </c>
      <c r="V231" s="7">
        <v>4070</v>
      </c>
      <c r="W231" s="7" t="s">
        <v>1357</v>
      </c>
      <c r="X231" s="17"/>
      <c r="Y231" s="17"/>
      <c r="Z231" s="17"/>
      <c r="AA231" s="17"/>
      <c r="AB231" s="8" t="s">
        <v>1053</v>
      </c>
      <c r="AC231" s="8" t="s">
        <v>726</v>
      </c>
      <c r="AD231" s="8" t="s">
        <v>726</v>
      </c>
      <c r="AE231" s="8" t="s">
        <v>726</v>
      </c>
      <c r="AF231" s="8"/>
      <c r="AG231" s="8" t="s">
        <v>726</v>
      </c>
      <c r="AH231" s="8" t="s">
        <v>726</v>
      </c>
      <c r="AI231" s="8" t="s">
        <v>726</v>
      </c>
      <c r="AJ231" s="8" t="s">
        <v>726</v>
      </c>
      <c r="AK231" s="8" t="s">
        <v>726</v>
      </c>
      <c r="AL231" s="8" t="s">
        <v>726</v>
      </c>
      <c r="AM231" s="8"/>
      <c r="AN231" s="8"/>
      <c r="AO231" s="8"/>
      <c r="AP231" s="8"/>
      <c r="AQ231" s="8"/>
      <c r="AR231" s="8"/>
      <c r="AS231" s="8"/>
      <c r="AT231" s="8"/>
      <c r="AU231" s="8"/>
      <c r="AV231" s="8"/>
      <c r="AX231" s="142">
        <v>17.7</v>
      </c>
    </row>
    <row r="232" spans="2:50" ht="33.75">
      <c r="B232" s="27">
        <v>228</v>
      </c>
      <c r="C232" s="31">
        <v>121</v>
      </c>
      <c r="D232" s="31">
        <v>112</v>
      </c>
      <c r="E232" s="32">
        <v>0.76458333333333339</v>
      </c>
      <c r="F232" s="32">
        <v>0.76736111111111116</v>
      </c>
      <c r="G232" s="31" t="s">
        <v>296</v>
      </c>
      <c r="H232" s="31" t="s">
        <v>103</v>
      </c>
      <c r="I232" s="33">
        <v>1.5</v>
      </c>
      <c r="J232" s="34" t="s">
        <v>269</v>
      </c>
      <c r="K232" s="35">
        <v>174</v>
      </c>
      <c r="L232" s="36">
        <f>+K232*I232</f>
        <v>261</v>
      </c>
      <c r="M232" s="37" t="s">
        <v>721</v>
      </c>
      <c r="N232" s="23" t="s">
        <v>872</v>
      </c>
      <c r="O232" s="23">
        <v>9</v>
      </c>
      <c r="P232" s="23" t="s">
        <v>967</v>
      </c>
      <c r="Q232" s="23">
        <v>18</v>
      </c>
      <c r="S232" s="23"/>
      <c r="T232" s="7">
        <v>1125</v>
      </c>
      <c r="U232" s="7" t="s">
        <v>1360</v>
      </c>
      <c r="V232" s="7" t="s">
        <v>1358</v>
      </c>
      <c r="W232" s="7" t="s">
        <v>1359</v>
      </c>
      <c r="X232" s="18"/>
      <c r="Y232" s="17"/>
      <c r="Z232" s="17"/>
      <c r="AA232" s="17"/>
      <c r="AB232" s="7" t="s">
        <v>1042</v>
      </c>
      <c r="AC232" s="8"/>
      <c r="AD232" s="8"/>
      <c r="AE232" s="8"/>
      <c r="AF232" s="8" t="s">
        <v>726</v>
      </c>
      <c r="AG232" s="8" t="s">
        <v>726</v>
      </c>
      <c r="AH232" s="8" t="s">
        <v>726</v>
      </c>
      <c r="AI232" s="8" t="s">
        <v>726</v>
      </c>
      <c r="AJ232" s="8" t="s">
        <v>726</v>
      </c>
      <c r="AK232" s="8" t="s">
        <v>726</v>
      </c>
      <c r="AL232" s="8"/>
      <c r="AM232" s="8"/>
      <c r="AN232" s="8"/>
      <c r="AO232" s="8"/>
      <c r="AP232" s="8"/>
      <c r="AQ232" s="8"/>
      <c r="AR232" s="8"/>
      <c r="AS232" s="8"/>
      <c r="AT232" s="8"/>
      <c r="AU232" s="8"/>
      <c r="AV232" s="8"/>
      <c r="AX232" s="142">
        <v>10</v>
      </c>
    </row>
    <row r="233" spans="2:50" ht="33.75">
      <c r="B233" s="27">
        <v>229</v>
      </c>
      <c r="C233" s="31">
        <v>122</v>
      </c>
      <c r="D233" s="31">
        <v>23</v>
      </c>
      <c r="E233" s="32">
        <v>0.28472222222222221</v>
      </c>
      <c r="F233" s="32">
        <v>0.29375000000000001</v>
      </c>
      <c r="G233" s="43" t="s">
        <v>978</v>
      </c>
      <c r="H233" s="31" t="s">
        <v>97</v>
      </c>
      <c r="I233" s="33">
        <v>6.1</v>
      </c>
      <c r="J233" s="34" t="s">
        <v>116</v>
      </c>
      <c r="K233" s="35">
        <v>208</v>
      </c>
      <c r="L233" s="36">
        <f>+K233*I233</f>
        <v>1268.8</v>
      </c>
      <c r="M233" s="37" t="s">
        <v>1027</v>
      </c>
      <c r="N233" s="79" t="s">
        <v>848</v>
      </c>
      <c r="O233" s="79">
        <v>21</v>
      </c>
      <c r="P233" s="79" t="s">
        <v>847</v>
      </c>
      <c r="Q233" s="79">
        <v>24</v>
      </c>
      <c r="R233" s="23" t="s">
        <v>1832</v>
      </c>
      <c r="S233" s="24">
        <v>24</v>
      </c>
      <c r="T233" s="7" t="s">
        <v>1365</v>
      </c>
      <c r="U233" s="7" t="s">
        <v>1366</v>
      </c>
      <c r="V233" s="7">
        <v>1220</v>
      </c>
      <c r="W233" s="7" t="s">
        <v>1367</v>
      </c>
      <c r="X233" s="18"/>
      <c r="Y233" s="17"/>
      <c r="Z233" s="17"/>
      <c r="AA233" s="17"/>
      <c r="AB233" s="7" t="s">
        <v>1046</v>
      </c>
      <c r="AC233" s="8"/>
      <c r="AD233" s="8"/>
      <c r="AE233" s="8"/>
      <c r="AF233" s="8" t="s">
        <v>726</v>
      </c>
      <c r="AG233" s="8" t="s">
        <v>726</v>
      </c>
      <c r="AH233" s="8" t="s">
        <v>726</v>
      </c>
      <c r="AI233" s="8" t="s">
        <v>726</v>
      </c>
      <c r="AJ233" s="8" t="s">
        <v>726</v>
      </c>
      <c r="AK233" s="8" t="s">
        <v>726</v>
      </c>
      <c r="AL233" s="8" t="s">
        <v>726</v>
      </c>
      <c r="AM233" s="8"/>
      <c r="AN233" s="8"/>
      <c r="AO233" s="8"/>
      <c r="AP233" s="8"/>
      <c r="AQ233" s="8"/>
      <c r="AR233" s="8"/>
      <c r="AS233" s="8"/>
      <c r="AT233" s="8"/>
      <c r="AU233" s="8"/>
      <c r="AV233" s="8"/>
      <c r="AX233" s="142">
        <v>20</v>
      </c>
    </row>
    <row r="234" spans="2:50" ht="33.75">
      <c r="B234" s="27">
        <v>230</v>
      </c>
      <c r="C234" s="31">
        <v>122</v>
      </c>
      <c r="D234" s="34">
        <v>920</v>
      </c>
      <c r="E234" s="32">
        <v>0.30555555555555552</v>
      </c>
      <c r="F234" s="32">
        <v>0.3298611111111111</v>
      </c>
      <c r="G234" s="31" t="s">
        <v>679</v>
      </c>
      <c r="H234" s="31" t="s">
        <v>97</v>
      </c>
      <c r="I234" s="33">
        <v>10</v>
      </c>
      <c r="J234" s="34" t="s">
        <v>99</v>
      </c>
      <c r="K234" s="35">
        <v>208</v>
      </c>
      <c r="L234" s="36">
        <f>+K234*I234</f>
        <v>2080</v>
      </c>
      <c r="M234" s="37" t="s">
        <v>1027</v>
      </c>
      <c r="N234" s="79" t="s">
        <v>848</v>
      </c>
      <c r="O234" s="79">
        <v>21</v>
      </c>
      <c r="P234" s="79" t="s">
        <v>847</v>
      </c>
      <c r="Q234" s="79">
        <v>24</v>
      </c>
      <c r="R234" s="23" t="s">
        <v>1832</v>
      </c>
      <c r="S234" s="24">
        <v>24</v>
      </c>
      <c r="T234" s="7" t="s">
        <v>1368</v>
      </c>
      <c r="U234" s="7" t="s">
        <v>1369</v>
      </c>
      <c r="V234" s="7" t="s">
        <v>1370</v>
      </c>
      <c r="W234" s="7" t="s">
        <v>1371</v>
      </c>
      <c r="X234" s="18"/>
      <c r="Y234" s="17"/>
      <c r="Z234" s="17"/>
      <c r="AA234" s="17"/>
      <c r="AB234" s="7" t="s">
        <v>1046</v>
      </c>
      <c r="AC234" s="8"/>
      <c r="AD234" s="8"/>
      <c r="AE234" s="8"/>
      <c r="AF234" s="8" t="s">
        <v>726</v>
      </c>
      <c r="AG234" s="8" t="s">
        <v>726</v>
      </c>
      <c r="AH234" s="8" t="s">
        <v>726</v>
      </c>
      <c r="AI234" s="8" t="s">
        <v>726</v>
      </c>
      <c r="AJ234" s="8" t="s">
        <v>726</v>
      </c>
      <c r="AK234" s="8" t="s">
        <v>726</v>
      </c>
      <c r="AL234" s="8" t="s">
        <v>726</v>
      </c>
      <c r="AM234" s="8"/>
      <c r="AN234" s="8"/>
      <c r="AO234" s="8"/>
      <c r="AP234" s="8"/>
      <c r="AQ234" s="8"/>
      <c r="AR234" s="8"/>
      <c r="AS234" s="8"/>
      <c r="AT234" s="8"/>
      <c r="AU234" s="8"/>
      <c r="AV234" s="8"/>
      <c r="AX234" s="142">
        <v>45.81</v>
      </c>
    </row>
    <row r="235" spans="2:50" ht="33.75">
      <c r="B235" s="27">
        <v>231</v>
      </c>
      <c r="C235" s="31">
        <v>122</v>
      </c>
      <c r="D235" s="34">
        <v>924</v>
      </c>
      <c r="E235" s="32">
        <v>0.54513888888888895</v>
      </c>
      <c r="F235" s="32">
        <v>0.55902777777777779</v>
      </c>
      <c r="G235" s="31" t="s">
        <v>680</v>
      </c>
      <c r="H235" s="31" t="s">
        <v>97</v>
      </c>
      <c r="I235" s="33">
        <v>10</v>
      </c>
      <c r="J235" s="34" t="s">
        <v>99</v>
      </c>
      <c r="K235" s="35">
        <v>208</v>
      </c>
      <c r="L235" s="36">
        <f>+K235*I235</f>
        <v>2080</v>
      </c>
      <c r="M235" s="37" t="s">
        <v>1027</v>
      </c>
      <c r="N235" s="79" t="s">
        <v>848</v>
      </c>
      <c r="O235" s="79">
        <v>21</v>
      </c>
      <c r="P235" s="79" t="s">
        <v>847</v>
      </c>
      <c r="Q235" s="79">
        <v>24</v>
      </c>
      <c r="R235" s="23" t="s">
        <v>1832</v>
      </c>
      <c r="S235" s="24">
        <v>24</v>
      </c>
      <c r="T235" s="7" t="s">
        <v>1372</v>
      </c>
      <c r="U235" s="7" t="s">
        <v>1373</v>
      </c>
      <c r="V235" s="7" t="s">
        <v>1368</v>
      </c>
      <c r="W235" s="7" t="s">
        <v>1369</v>
      </c>
      <c r="X235" s="18"/>
      <c r="Y235" s="17"/>
      <c r="Z235" s="17"/>
      <c r="AA235" s="17"/>
      <c r="AB235" s="7" t="s">
        <v>1046</v>
      </c>
      <c r="AC235" s="8"/>
      <c r="AD235" s="8"/>
      <c r="AE235" s="8"/>
      <c r="AF235" s="8" t="s">
        <v>726</v>
      </c>
      <c r="AG235" s="8" t="s">
        <v>726</v>
      </c>
      <c r="AH235" s="8" t="s">
        <v>726</v>
      </c>
      <c r="AI235" s="8" t="s">
        <v>726</v>
      </c>
      <c r="AJ235" s="8" t="s">
        <v>726</v>
      </c>
      <c r="AK235" s="8" t="s">
        <v>726</v>
      </c>
      <c r="AL235" s="8" t="s">
        <v>726</v>
      </c>
      <c r="AM235" s="8"/>
      <c r="AN235" s="8"/>
      <c r="AO235" s="8"/>
      <c r="AP235" s="8"/>
      <c r="AQ235" s="8"/>
      <c r="AR235" s="8"/>
      <c r="AS235" s="8"/>
      <c r="AT235" s="8"/>
      <c r="AU235" s="8"/>
      <c r="AV235" s="8"/>
      <c r="AX235" s="142">
        <v>45.8</v>
      </c>
    </row>
    <row r="236" spans="2:50" ht="33.75">
      <c r="B236" s="27">
        <v>232</v>
      </c>
      <c r="C236" s="31">
        <v>122</v>
      </c>
      <c r="D236" s="31">
        <v>926</v>
      </c>
      <c r="E236" s="32">
        <v>0.58680555555555558</v>
      </c>
      <c r="F236" s="32">
        <v>0.60069444444444442</v>
      </c>
      <c r="G236" s="31" t="s">
        <v>313</v>
      </c>
      <c r="H236" s="31" t="s">
        <v>311</v>
      </c>
      <c r="I236" s="33">
        <v>10</v>
      </c>
      <c r="J236" s="34" t="s">
        <v>93</v>
      </c>
      <c r="K236" s="35">
        <v>68</v>
      </c>
      <c r="L236" s="36">
        <f>+K236*I236</f>
        <v>680</v>
      </c>
      <c r="M236" s="37" t="s">
        <v>1027</v>
      </c>
      <c r="N236" s="79" t="s">
        <v>848</v>
      </c>
      <c r="O236" s="79">
        <v>21</v>
      </c>
      <c r="P236" s="79" t="s">
        <v>847</v>
      </c>
      <c r="Q236" s="79">
        <v>24</v>
      </c>
      <c r="R236" s="23" t="s">
        <v>1832</v>
      </c>
      <c r="S236" s="24">
        <v>24</v>
      </c>
      <c r="T236" s="7" t="s">
        <v>1368</v>
      </c>
      <c r="U236" s="7" t="s">
        <v>1369</v>
      </c>
      <c r="V236" s="7" t="s">
        <v>1372</v>
      </c>
      <c r="W236" s="7" t="s">
        <v>1373</v>
      </c>
      <c r="X236" s="18"/>
      <c r="Y236" s="17"/>
      <c r="Z236" s="17"/>
      <c r="AA236" s="17"/>
      <c r="AB236" s="7" t="s">
        <v>1061</v>
      </c>
      <c r="AC236" s="8"/>
      <c r="AD236" s="8"/>
      <c r="AE236" s="8"/>
      <c r="AF236" s="8" t="s">
        <v>726</v>
      </c>
      <c r="AG236" s="8"/>
      <c r="AH236" s="8" t="s">
        <v>726</v>
      </c>
      <c r="AI236" s="8"/>
      <c r="AJ236" s="8" t="s">
        <v>726</v>
      </c>
      <c r="AK236" s="8"/>
      <c r="AL236" s="8"/>
      <c r="AM236" s="8"/>
      <c r="AN236" s="8"/>
      <c r="AO236" s="8"/>
      <c r="AP236" s="8"/>
      <c r="AQ236" s="8"/>
      <c r="AR236" s="8"/>
      <c r="AS236" s="8"/>
      <c r="AT236" s="8"/>
      <c r="AU236" s="8"/>
      <c r="AV236" s="8"/>
      <c r="AX236" s="142">
        <v>20</v>
      </c>
    </row>
    <row r="237" spans="2:50" ht="33.75">
      <c r="B237" s="27">
        <v>233</v>
      </c>
      <c r="C237" s="31">
        <v>122</v>
      </c>
      <c r="D237" s="31">
        <v>927</v>
      </c>
      <c r="E237" s="32">
        <v>0.69097222222222221</v>
      </c>
      <c r="F237" s="32">
        <v>0.70486111111111116</v>
      </c>
      <c r="G237" s="31" t="s">
        <v>312</v>
      </c>
      <c r="H237" s="31" t="s">
        <v>311</v>
      </c>
      <c r="I237" s="33">
        <v>10</v>
      </c>
      <c r="J237" s="34" t="s">
        <v>93</v>
      </c>
      <c r="K237" s="35">
        <v>68</v>
      </c>
      <c r="L237" s="36">
        <f>+K237*I237</f>
        <v>680</v>
      </c>
      <c r="M237" s="37" t="s">
        <v>1027</v>
      </c>
      <c r="N237" s="23" t="s">
        <v>847</v>
      </c>
      <c r="O237" s="23">
        <v>24</v>
      </c>
      <c r="P237" s="23" t="s">
        <v>848</v>
      </c>
      <c r="Q237" s="23">
        <v>21</v>
      </c>
      <c r="R237" s="23" t="s">
        <v>1832</v>
      </c>
      <c r="S237" s="24">
        <v>24</v>
      </c>
      <c r="T237" s="7" t="s">
        <v>1372</v>
      </c>
      <c r="U237" s="7" t="s">
        <v>1373</v>
      </c>
      <c r="V237" s="7" t="s">
        <v>1368</v>
      </c>
      <c r="W237" s="7" t="s">
        <v>1369</v>
      </c>
      <c r="X237" s="18"/>
      <c r="Y237" s="17"/>
      <c r="Z237" s="17"/>
      <c r="AA237" s="17"/>
      <c r="AB237" s="7" t="s">
        <v>1061</v>
      </c>
      <c r="AC237" s="8"/>
      <c r="AD237" s="8"/>
      <c r="AE237" s="8"/>
      <c r="AF237" s="8" t="s">
        <v>726</v>
      </c>
      <c r="AG237" s="8"/>
      <c r="AH237" s="8" t="s">
        <v>726</v>
      </c>
      <c r="AI237" s="8"/>
      <c r="AJ237" s="8" t="s">
        <v>726</v>
      </c>
      <c r="AK237" s="8"/>
      <c r="AL237" s="8"/>
      <c r="AM237" s="8"/>
      <c r="AN237" s="8"/>
      <c r="AO237" s="8"/>
      <c r="AP237" s="8"/>
      <c r="AQ237" s="8"/>
      <c r="AR237" s="8"/>
      <c r="AS237" s="8"/>
      <c r="AT237" s="8"/>
      <c r="AU237" s="8"/>
      <c r="AV237" s="8"/>
      <c r="AX237" s="142">
        <v>20</v>
      </c>
    </row>
    <row r="238" spans="2:50" ht="89.25">
      <c r="B238" s="27">
        <v>234</v>
      </c>
      <c r="C238" s="31">
        <v>123</v>
      </c>
      <c r="D238" s="31">
        <v>1</v>
      </c>
      <c r="E238" s="32">
        <v>0.31597222222222221</v>
      </c>
      <c r="F238" s="32">
        <v>0.34027777777777773</v>
      </c>
      <c r="G238" s="31" t="s">
        <v>338</v>
      </c>
      <c r="H238" s="31" t="s">
        <v>635</v>
      </c>
      <c r="I238" s="33">
        <v>22</v>
      </c>
      <c r="J238" s="34" t="s">
        <v>93</v>
      </c>
      <c r="K238" s="35">
        <v>25</v>
      </c>
      <c r="L238" s="36">
        <f>+K238*I238</f>
        <v>550</v>
      </c>
      <c r="M238" s="37" t="s">
        <v>731</v>
      </c>
      <c r="N238" s="23" t="s">
        <v>845</v>
      </c>
      <c r="O238" s="23">
        <v>20</v>
      </c>
      <c r="P238" s="23" t="s">
        <v>1839</v>
      </c>
      <c r="Q238" s="23" t="s">
        <v>1782</v>
      </c>
      <c r="S238" s="23"/>
      <c r="T238" s="7">
        <v>1255</v>
      </c>
      <c r="U238" s="7" t="s">
        <v>1245</v>
      </c>
      <c r="V238" s="7" t="s">
        <v>1243</v>
      </c>
      <c r="W238" s="7" t="s">
        <v>1244</v>
      </c>
      <c r="X238" s="18"/>
      <c r="Y238" s="18">
        <v>44911</v>
      </c>
      <c r="Z238" s="18">
        <v>45004</v>
      </c>
      <c r="AA238" s="18"/>
      <c r="AB238" s="8" t="s">
        <v>1741</v>
      </c>
      <c r="AC238" s="8" t="s">
        <v>726</v>
      </c>
      <c r="AD238" s="8"/>
      <c r="AE238" s="8" t="s">
        <v>726</v>
      </c>
      <c r="AF238" s="8"/>
      <c r="AG238" s="8" t="s">
        <v>726</v>
      </c>
      <c r="AH238" s="8"/>
      <c r="AI238" s="8"/>
      <c r="AJ238" s="8"/>
      <c r="AK238" s="8" t="s">
        <v>726</v>
      </c>
      <c r="AL238" s="8" t="s">
        <v>726</v>
      </c>
      <c r="AM238" s="8"/>
      <c r="AN238" s="8" t="s">
        <v>726</v>
      </c>
      <c r="AO238" s="8"/>
      <c r="AP238" s="8" t="s">
        <v>726</v>
      </c>
      <c r="AQ238" s="8"/>
      <c r="AR238" s="8"/>
      <c r="AS238" s="8"/>
      <c r="AT238" s="8"/>
      <c r="AU238" s="8"/>
      <c r="AV238" s="8"/>
      <c r="AX238" s="142">
        <v>61.98</v>
      </c>
    </row>
    <row r="239" spans="2:50" ht="76.5">
      <c r="B239" s="27">
        <v>235</v>
      </c>
      <c r="C239" s="31">
        <v>123</v>
      </c>
      <c r="D239" s="31">
        <v>1</v>
      </c>
      <c r="E239" s="32">
        <v>0.31597222222222221</v>
      </c>
      <c r="F239" s="32">
        <v>0.34027777777777773</v>
      </c>
      <c r="G239" s="31" t="s">
        <v>338</v>
      </c>
      <c r="H239" s="31" t="s">
        <v>634</v>
      </c>
      <c r="I239" s="33">
        <v>22</v>
      </c>
      <c r="J239" s="34" t="s">
        <v>234</v>
      </c>
      <c r="K239" s="35">
        <f>24+27+27+5</f>
        <v>83</v>
      </c>
      <c r="L239" s="36">
        <f>+K239*I239</f>
        <v>1826</v>
      </c>
      <c r="M239" s="37" t="s">
        <v>731</v>
      </c>
      <c r="N239" s="23" t="s">
        <v>844</v>
      </c>
      <c r="O239" s="23">
        <v>23</v>
      </c>
      <c r="P239" s="23" t="s">
        <v>1842</v>
      </c>
      <c r="Q239" s="23" t="s">
        <v>1783</v>
      </c>
      <c r="S239" s="23"/>
      <c r="T239" s="7">
        <v>1255</v>
      </c>
      <c r="U239" s="7" t="s">
        <v>1245</v>
      </c>
      <c r="V239" s="7" t="s">
        <v>1243</v>
      </c>
      <c r="W239" s="7" t="s">
        <v>1244</v>
      </c>
      <c r="X239" s="18">
        <v>44912</v>
      </c>
      <c r="Y239" s="18">
        <v>45003</v>
      </c>
      <c r="Z239" s="18"/>
      <c r="AA239" s="18"/>
      <c r="AB239" s="8" t="s">
        <v>1740</v>
      </c>
      <c r="AC239" s="8" t="s">
        <v>726</v>
      </c>
      <c r="AD239" s="8"/>
      <c r="AE239" s="8" t="s">
        <v>726</v>
      </c>
      <c r="AF239" s="8"/>
      <c r="AG239" s="8" t="s">
        <v>726</v>
      </c>
      <c r="AH239" s="8" t="s">
        <v>726</v>
      </c>
      <c r="AI239" s="8" t="s">
        <v>726</v>
      </c>
      <c r="AJ239" s="8" t="s">
        <v>726</v>
      </c>
      <c r="AK239" s="8" t="s">
        <v>726</v>
      </c>
      <c r="AL239" s="8" t="s">
        <v>726</v>
      </c>
      <c r="AM239" s="8"/>
      <c r="AN239" s="8"/>
      <c r="AO239" s="8"/>
      <c r="AP239" s="8"/>
      <c r="AQ239" s="8"/>
      <c r="AR239" s="8"/>
      <c r="AS239" s="8"/>
      <c r="AT239" s="8"/>
      <c r="AU239" s="8"/>
      <c r="AV239" s="8"/>
      <c r="AX239" s="142">
        <v>78.87</v>
      </c>
    </row>
    <row r="240" spans="2:50" ht="89.25">
      <c r="B240" s="27">
        <v>236</v>
      </c>
      <c r="C240" s="31">
        <v>123</v>
      </c>
      <c r="D240" s="31">
        <v>6</v>
      </c>
      <c r="E240" s="32">
        <v>0.70833333333333337</v>
      </c>
      <c r="F240" s="32">
        <v>0.73263888888888884</v>
      </c>
      <c r="G240" s="31" t="s">
        <v>337</v>
      </c>
      <c r="H240" s="31" t="s">
        <v>635</v>
      </c>
      <c r="I240" s="33">
        <v>22</v>
      </c>
      <c r="J240" s="34" t="s">
        <v>93</v>
      </c>
      <c r="K240" s="35">
        <v>25</v>
      </c>
      <c r="L240" s="36">
        <f>+K240*I240</f>
        <v>550</v>
      </c>
      <c r="M240" s="37" t="s">
        <v>731</v>
      </c>
      <c r="N240" s="23" t="s">
        <v>846</v>
      </c>
      <c r="O240" s="23">
        <v>20</v>
      </c>
      <c r="P240" s="23" t="s">
        <v>1839</v>
      </c>
      <c r="Q240" s="23" t="s">
        <v>1782</v>
      </c>
      <c r="S240" s="23"/>
      <c r="T240" s="7" t="s">
        <v>1243</v>
      </c>
      <c r="U240" s="7" t="s">
        <v>1244</v>
      </c>
      <c r="V240" s="7">
        <v>1255</v>
      </c>
      <c r="W240" s="7" t="s">
        <v>1245</v>
      </c>
      <c r="X240" s="18"/>
      <c r="Y240" s="18">
        <v>44911</v>
      </c>
      <c r="Z240" s="18">
        <v>45004</v>
      </c>
      <c r="AA240" s="18"/>
      <c r="AB240" s="8" t="s">
        <v>1741</v>
      </c>
      <c r="AC240" s="8" t="s">
        <v>726</v>
      </c>
      <c r="AD240" s="8"/>
      <c r="AE240" s="8" t="s">
        <v>726</v>
      </c>
      <c r="AF240" s="8"/>
      <c r="AG240" s="8" t="s">
        <v>726</v>
      </c>
      <c r="AH240" s="8"/>
      <c r="AI240" s="8"/>
      <c r="AJ240" s="8"/>
      <c r="AK240" s="8" t="s">
        <v>726</v>
      </c>
      <c r="AL240" s="8" t="s">
        <v>726</v>
      </c>
      <c r="AM240" s="8"/>
      <c r="AN240" s="8" t="s">
        <v>726</v>
      </c>
      <c r="AO240" s="8"/>
      <c r="AP240" s="8" t="s">
        <v>726</v>
      </c>
      <c r="AQ240" s="8"/>
      <c r="AR240" s="8"/>
      <c r="AS240" s="8"/>
      <c r="AT240" s="8"/>
      <c r="AU240" s="8"/>
      <c r="AV240" s="8"/>
      <c r="AX240" s="142">
        <v>61.98</v>
      </c>
    </row>
    <row r="241" spans="1:50" ht="76.5">
      <c r="B241" s="27">
        <v>237</v>
      </c>
      <c r="C241" s="31">
        <v>123</v>
      </c>
      <c r="D241" s="31">
        <v>6</v>
      </c>
      <c r="E241" s="32">
        <v>0.70833333333333337</v>
      </c>
      <c r="F241" s="32">
        <v>0.73263888888888884</v>
      </c>
      <c r="G241" s="31" t="s">
        <v>337</v>
      </c>
      <c r="H241" s="31" t="s">
        <v>634</v>
      </c>
      <c r="I241" s="33">
        <v>22</v>
      </c>
      <c r="J241" s="34" t="s">
        <v>234</v>
      </c>
      <c r="K241" s="35">
        <f>24+27+27+5</f>
        <v>83</v>
      </c>
      <c r="L241" s="36">
        <f>+K241*I241</f>
        <v>1826</v>
      </c>
      <c r="M241" s="37" t="s">
        <v>731</v>
      </c>
      <c r="N241" s="23" t="s">
        <v>844</v>
      </c>
      <c r="O241" s="23" t="s">
        <v>234</v>
      </c>
      <c r="P241" s="23" t="s">
        <v>1842</v>
      </c>
      <c r="Q241" s="23" t="s">
        <v>1783</v>
      </c>
      <c r="S241" s="23"/>
      <c r="T241" s="7" t="s">
        <v>1243</v>
      </c>
      <c r="U241" s="7" t="s">
        <v>1244</v>
      </c>
      <c r="V241" s="7">
        <v>1255</v>
      </c>
      <c r="W241" s="7" t="s">
        <v>1245</v>
      </c>
      <c r="X241" s="18">
        <v>44912</v>
      </c>
      <c r="Y241" s="18">
        <v>45003</v>
      </c>
      <c r="Z241" s="18"/>
      <c r="AA241" s="18"/>
      <c r="AB241" s="8" t="s">
        <v>1740</v>
      </c>
      <c r="AC241" s="8" t="s">
        <v>726</v>
      </c>
      <c r="AD241" s="8"/>
      <c r="AE241" s="8" t="s">
        <v>726</v>
      </c>
      <c r="AF241" s="8"/>
      <c r="AG241" s="8" t="s">
        <v>726</v>
      </c>
      <c r="AH241" s="8" t="s">
        <v>726</v>
      </c>
      <c r="AI241" s="8" t="s">
        <v>726</v>
      </c>
      <c r="AJ241" s="8" t="s">
        <v>726</v>
      </c>
      <c r="AK241" s="8" t="s">
        <v>726</v>
      </c>
      <c r="AL241" s="8" t="s">
        <v>726</v>
      </c>
      <c r="AM241" s="8"/>
      <c r="AN241" s="8"/>
      <c r="AO241" s="8"/>
      <c r="AP241" s="8"/>
      <c r="AQ241" s="8"/>
      <c r="AR241" s="8"/>
      <c r="AS241" s="8"/>
      <c r="AT241" s="8"/>
      <c r="AU241" s="8"/>
      <c r="AV241" s="8"/>
      <c r="AX241" s="142">
        <v>78.87</v>
      </c>
    </row>
    <row r="242" spans="1:50" ht="38.25">
      <c r="B242" s="27">
        <v>238</v>
      </c>
      <c r="C242" s="31">
        <v>124</v>
      </c>
      <c r="D242" s="31">
        <v>655</v>
      </c>
      <c r="E242" s="42">
        <v>0.25347222222222221</v>
      </c>
      <c r="F242" s="32">
        <v>0.3125</v>
      </c>
      <c r="G242" s="31" t="s">
        <v>401</v>
      </c>
      <c r="H242" s="31" t="s">
        <v>614</v>
      </c>
      <c r="I242" s="33">
        <v>65.5</v>
      </c>
      <c r="J242" s="34">
        <v>29</v>
      </c>
      <c r="K242" s="35">
        <v>36</v>
      </c>
      <c r="L242" s="36">
        <f>+K242*I242</f>
        <v>2358</v>
      </c>
      <c r="M242" s="37" t="s">
        <v>732</v>
      </c>
      <c r="N242" s="23" t="s">
        <v>873</v>
      </c>
      <c r="O242" s="23">
        <v>8</v>
      </c>
      <c r="P242" s="23" t="s">
        <v>874</v>
      </c>
      <c r="Q242" s="23">
        <v>21</v>
      </c>
      <c r="R242" s="23" t="s">
        <v>875</v>
      </c>
      <c r="S242" s="23">
        <v>8</v>
      </c>
      <c r="T242" s="7" t="s">
        <v>1374</v>
      </c>
      <c r="U242" s="7" t="s">
        <v>1375</v>
      </c>
      <c r="V242" s="7">
        <v>1300</v>
      </c>
      <c r="W242" s="7" t="s">
        <v>1376</v>
      </c>
      <c r="X242" s="18"/>
      <c r="Y242" s="17"/>
      <c r="Z242" s="17"/>
      <c r="AA242" s="17"/>
      <c r="AB242" s="7" t="s">
        <v>1062</v>
      </c>
      <c r="AC242" s="8"/>
      <c r="AD242" s="8"/>
      <c r="AE242" s="8"/>
      <c r="AF242" s="8" t="s">
        <v>726</v>
      </c>
      <c r="AG242" s="8" t="s">
        <v>726</v>
      </c>
      <c r="AH242" s="8"/>
      <c r="AI242" s="8"/>
      <c r="AJ242" s="8"/>
      <c r="AK242" s="8"/>
      <c r="AL242" s="8"/>
      <c r="AM242" s="8"/>
      <c r="AN242" s="8" t="s">
        <v>726</v>
      </c>
      <c r="AO242" s="8"/>
      <c r="AP242" s="8"/>
      <c r="AQ242" s="8"/>
      <c r="AR242" s="8"/>
      <c r="AS242" s="8"/>
      <c r="AT242" s="8"/>
      <c r="AU242" s="8"/>
      <c r="AV242" s="8"/>
      <c r="AX242" s="142">
        <v>205.87</v>
      </c>
    </row>
    <row r="243" spans="1:50" ht="38.25">
      <c r="B243" s="27">
        <v>239</v>
      </c>
      <c r="C243" s="31">
        <v>124</v>
      </c>
      <c r="D243" s="31">
        <v>654</v>
      </c>
      <c r="E243" s="32">
        <v>0.58333333333333337</v>
      </c>
      <c r="F243" s="32">
        <v>0.64930555555555558</v>
      </c>
      <c r="G243" s="31" t="s">
        <v>527</v>
      </c>
      <c r="H243" s="31" t="s">
        <v>615</v>
      </c>
      <c r="I243" s="33">
        <v>65.5</v>
      </c>
      <c r="J243" s="34">
        <v>29</v>
      </c>
      <c r="K243" s="35">
        <v>39</v>
      </c>
      <c r="L243" s="36">
        <f>+K243*I243</f>
        <v>2554.5</v>
      </c>
      <c r="M243" s="37" t="s">
        <v>732</v>
      </c>
      <c r="N243" s="23" t="s">
        <v>875</v>
      </c>
      <c r="O243" s="23">
        <v>8</v>
      </c>
      <c r="P243" s="23" t="s">
        <v>874</v>
      </c>
      <c r="Q243" s="23">
        <v>21</v>
      </c>
      <c r="R243" s="23" t="s">
        <v>873</v>
      </c>
      <c r="S243" s="24">
        <v>8</v>
      </c>
      <c r="T243" s="7">
        <v>1300</v>
      </c>
      <c r="U243" s="7" t="s">
        <v>1376</v>
      </c>
      <c r="V243" s="7">
        <v>5111</v>
      </c>
      <c r="W243" s="7" t="s">
        <v>1375</v>
      </c>
      <c r="X243" s="18"/>
      <c r="Y243" s="17"/>
      <c r="Z243" s="17"/>
      <c r="AA243" s="17"/>
      <c r="AB243" s="7" t="s">
        <v>2088</v>
      </c>
      <c r="AC243" s="8"/>
      <c r="AD243" s="8"/>
      <c r="AE243" s="8"/>
      <c r="AF243" s="8" t="s">
        <v>726</v>
      </c>
      <c r="AG243" s="8"/>
      <c r="AH243" s="8"/>
      <c r="AI243" s="8"/>
      <c r="AJ243" s="8"/>
      <c r="AK243" s="8" t="s">
        <v>726</v>
      </c>
      <c r="AL243" s="8"/>
      <c r="AM243" s="8"/>
      <c r="AN243" s="8"/>
      <c r="AO243" s="8"/>
      <c r="AP243" s="8" t="s">
        <v>726</v>
      </c>
      <c r="AQ243" s="8"/>
      <c r="AR243" s="8"/>
      <c r="AS243" s="8"/>
      <c r="AT243" s="8"/>
      <c r="AU243" s="8"/>
      <c r="AV243" s="8"/>
      <c r="AX243" s="142">
        <v>196.5</v>
      </c>
    </row>
    <row r="244" spans="1:50" ht="25.5">
      <c r="B244" s="27">
        <v>240</v>
      </c>
      <c r="C244" s="31">
        <v>132</v>
      </c>
      <c r="D244" s="31">
        <v>642</v>
      </c>
      <c r="E244" s="32">
        <v>0.40277777777777773</v>
      </c>
      <c r="F244" s="32">
        <v>0.4236111111111111</v>
      </c>
      <c r="G244" s="31" t="s">
        <v>110</v>
      </c>
      <c r="H244" s="31" t="s">
        <v>108</v>
      </c>
      <c r="I244" s="33">
        <v>17</v>
      </c>
      <c r="J244" s="34" t="s">
        <v>99</v>
      </c>
      <c r="K244" s="35">
        <v>52</v>
      </c>
      <c r="L244" s="36">
        <f>+K244*I244</f>
        <v>884</v>
      </c>
      <c r="M244" s="37" t="s">
        <v>733</v>
      </c>
      <c r="N244" s="23" t="s">
        <v>909</v>
      </c>
      <c r="O244" s="23">
        <v>21</v>
      </c>
      <c r="P244" s="23" t="s">
        <v>1784</v>
      </c>
      <c r="Q244" s="23">
        <v>21</v>
      </c>
      <c r="R244" s="79" t="s">
        <v>1911</v>
      </c>
      <c r="S244" s="79">
        <v>21</v>
      </c>
      <c r="T244" s="7">
        <v>1121</v>
      </c>
      <c r="U244" s="7" t="s">
        <v>1270</v>
      </c>
      <c r="V244" s="7" t="s">
        <v>1292</v>
      </c>
      <c r="W244" s="7" t="s">
        <v>1293</v>
      </c>
      <c r="X244" s="17"/>
      <c r="Y244" s="17"/>
      <c r="Z244" s="17"/>
      <c r="AA244" s="17"/>
      <c r="AB244" s="8" t="s">
        <v>1063</v>
      </c>
      <c r="AC244" s="8" t="s">
        <v>726</v>
      </c>
      <c r="AD244" s="8" t="s">
        <v>726</v>
      </c>
      <c r="AE244" s="8" t="s">
        <v>726</v>
      </c>
      <c r="AF244" s="8"/>
      <c r="AG244" s="8"/>
      <c r="AH244" s="8"/>
      <c r="AI244" s="8" t="s">
        <v>726</v>
      </c>
      <c r="AJ244" s="8"/>
      <c r="AK244" s="8"/>
      <c r="AL244" s="8"/>
      <c r="AM244" s="8"/>
      <c r="AN244" s="8"/>
      <c r="AO244" s="8"/>
      <c r="AP244" s="8"/>
      <c r="AQ244" s="8"/>
      <c r="AR244" s="8"/>
      <c r="AS244" s="8"/>
      <c r="AT244" s="8"/>
      <c r="AU244" s="8"/>
      <c r="AV244" s="8"/>
      <c r="AX244" s="142">
        <v>62.32</v>
      </c>
    </row>
    <row r="245" spans="1:50" ht="25.5">
      <c r="B245" s="27">
        <v>241</v>
      </c>
      <c r="C245" s="31">
        <v>132</v>
      </c>
      <c r="D245" s="31">
        <v>647</v>
      </c>
      <c r="E245" s="32">
        <v>0.49305555555555558</v>
      </c>
      <c r="F245" s="32">
        <v>0.51388888888888895</v>
      </c>
      <c r="G245" s="31" t="s">
        <v>109</v>
      </c>
      <c r="H245" s="31" t="s">
        <v>108</v>
      </c>
      <c r="I245" s="33">
        <v>17</v>
      </c>
      <c r="J245" s="34" t="s">
        <v>99</v>
      </c>
      <c r="K245" s="35">
        <v>52</v>
      </c>
      <c r="L245" s="36">
        <f>+K245*I245</f>
        <v>884</v>
      </c>
      <c r="M245" s="37" t="s">
        <v>733</v>
      </c>
      <c r="N245" s="23" t="s">
        <v>909</v>
      </c>
      <c r="O245" s="23">
        <v>21</v>
      </c>
      <c r="P245" s="23" t="s">
        <v>1784</v>
      </c>
      <c r="Q245" s="23">
        <v>21</v>
      </c>
      <c r="R245" s="79" t="s">
        <v>1911</v>
      </c>
      <c r="S245" s="79">
        <v>21</v>
      </c>
      <c r="T245" s="7" t="s">
        <v>1292</v>
      </c>
      <c r="U245" s="7" t="s">
        <v>1294</v>
      </c>
      <c r="V245" s="7">
        <v>1121</v>
      </c>
      <c r="W245" s="7" t="s">
        <v>1270</v>
      </c>
      <c r="X245" s="17"/>
      <c r="Y245" s="17"/>
      <c r="Z245" s="17"/>
      <c r="AA245" s="17"/>
      <c r="AB245" s="8" t="s">
        <v>1063</v>
      </c>
      <c r="AC245" s="8" t="s">
        <v>726</v>
      </c>
      <c r="AD245" s="8" t="s">
        <v>726</v>
      </c>
      <c r="AE245" s="8" t="s">
        <v>726</v>
      </c>
      <c r="AF245" s="8"/>
      <c r="AG245" s="8"/>
      <c r="AH245" s="8"/>
      <c r="AI245" s="8" t="s">
        <v>726</v>
      </c>
      <c r="AJ245" s="8"/>
      <c r="AK245" s="8"/>
      <c r="AL245" s="8"/>
      <c r="AM245" s="8"/>
      <c r="AN245" s="8"/>
      <c r="AO245" s="8"/>
      <c r="AP245" s="8"/>
      <c r="AQ245" s="8"/>
      <c r="AR245" s="8"/>
      <c r="AS245" s="8"/>
      <c r="AT245" s="8"/>
      <c r="AU245" s="8"/>
      <c r="AV245" s="8"/>
      <c r="AX245" s="142">
        <v>62.32</v>
      </c>
    </row>
    <row r="246" spans="1:50" ht="33.75">
      <c r="B246" s="27">
        <v>242</v>
      </c>
      <c r="C246" s="31">
        <v>132</v>
      </c>
      <c r="D246" s="34">
        <v>643</v>
      </c>
      <c r="E246" s="32">
        <v>0.52430555555555558</v>
      </c>
      <c r="F246" s="32">
        <v>0.54305555555555551</v>
      </c>
      <c r="G246" s="31" t="s">
        <v>257</v>
      </c>
      <c r="H246" s="31" t="s">
        <v>123</v>
      </c>
      <c r="I246" s="33">
        <v>20</v>
      </c>
      <c r="J246" s="34" t="s">
        <v>254</v>
      </c>
      <c r="K246" s="35">
        <v>34</v>
      </c>
      <c r="L246" s="36">
        <f>+K246*I246</f>
        <v>680</v>
      </c>
      <c r="M246" s="37" t="s">
        <v>717</v>
      </c>
      <c r="N246" s="23" t="s">
        <v>968</v>
      </c>
      <c r="O246" s="49">
        <v>46</v>
      </c>
      <c r="P246" s="23" t="s">
        <v>887</v>
      </c>
      <c r="Q246" s="49">
        <v>47</v>
      </c>
      <c r="R246" s="23" t="s">
        <v>1829</v>
      </c>
      <c r="S246" s="24">
        <v>45</v>
      </c>
      <c r="T246" s="7" t="s">
        <v>1377</v>
      </c>
      <c r="U246" s="7" t="s">
        <v>1378</v>
      </c>
      <c r="V246" s="7">
        <v>1078</v>
      </c>
      <c r="W246" s="7" t="s">
        <v>1293</v>
      </c>
      <c r="X246" s="18"/>
      <c r="Y246" s="17"/>
      <c r="Z246" s="17"/>
      <c r="AA246" s="17"/>
      <c r="AB246" s="7" t="s">
        <v>1051</v>
      </c>
      <c r="AC246" s="8"/>
      <c r="AD246" s="8"/>
      <c r="AE246" s="8"/>
      <c r="AF246" s="8" t="s">
        <v>726</v>
      </c>
      <c r="AG246" s="8"/>
      <c r="AH246" s="8"/>
      <c r="AI246" s="8"/>
      <c r="AJ246" s="8"/>
      <c r="AK246" s="8"/>
      <c r="AL246" s="8" t="s">
        <v>726</v>
      </c>
      <c r="AM246" s="8"/>
      <c r="AN246" s="8"/>
      <c r="AO246" s="8"/>
      <c r="AP246" s="8"/>
      <c r="AQ246" s="8"/>
      <c r="AR246" s="8"/>
      <c r="AS246" s="8"/>
      <c r="AT246" s="8"/>
      <c r="AU246" s="8"/>
      <c r="AV246" s="8"/>
      <c r="AX246" s="142">
        <v>105.73172588832486</v>
      </c>
    </row>
    <row r="247" spans="1:50" ht="33.75">
      <c r="B247" s="27">
        <v>243</v>
      </c>
      <c r="C247" s="31">
        <v>132</v>
      </c>
      <c r="D247" s="34">
        <v>643</v>
      </c>
      <c r="E247" s="32">
        <v>0.54305555555555551</v>
      </c>
      <c r="F247" s="32">
        <v>0.55347222222222225</v>
      </c>
      <c r="G247" s="31" t="s">
        <v>256</v>
      </c>
      <c r="H247" s="31" t="s">
        <v>253</v>
      </c>
      <c r="I247" s="33">
        <v>9</v>
      </c>
      <c r="J247" s="34" t="s">
        <v>254</v>
      </c>
      <c r="K247" s="35">
        <v>34</v>
      </c>
      <c r="L247" s="36">
        <f>+K247*I247</f>
        <v>306</v>
      </c>
      <c r="M247" s="37" t="s">
        <v>717</v>
      </c>
      <c r="N247" s="23" t="s">
        <v>968</v>
      </c>
      <c r="O247" s="49">
        <v>46</v>
      </c>
      <c r="P247" s="23" t="s">
        <v>887</v>
      </c>
      <c r="Q247" s="49">
        <v>47</v>
      </c>
      <c r="S247" s="49"/>
      <c r="T247" s="7" t="s">
        <v>1292</v>
      </c>
      <c r="U247" s="7" t="s">
        <v>1294</v>
      </c>
      <c r="V247" s="7">
        <v>1118</v>
      </c>
      <c r="W247" s="7" t="s">
        <v>1324</v>
      </c>
      <c r="X247" s="18"/>
      <c r="Y247" s="17"/>
      <c r="Z247" s="17"/>
      <c r="AA247" s="17"/>
      <c r="AB247" s="8" t="s">
        <v>1051</v>
      </c>
      <c r="AC247" s="8"/>
      <c r="AD247" s="8"/>
      <c r="AE247" s="8"/>
      <c r="AF247" s="8" t="s">
        <v>726</v>
      </c>
      <c r="AG247" s="8"/>
      <c r="AH247" s="8"/>
      <c r="AI247" s="8"/>
      <c r="AJ247" s="8"/>
      <c r="AK247" s="8"/>
      <c r="AL247" s="8" t="s">
        <v>726</v>
      </c>
      <c r="AM247" s="8"/>
      <c r="AN247" s="8"/>
      <c r="AO247" s="8"/>
      <c r="AP247" s="8"/>
      <c r="AQ247" s="8"/>
      <c r="AR247" s="8"/>
      <c r="AS247" s="8"/>
      <c r="AT247" s="8"/>
      <c r="AU247" s="8"/>
      <c r="AV247" s="8"/>
      <c r="AX247" s="142">
        <v>47.579276649746191</v>
      </c>
    </row>
    <row r="248" spans="1:50" ht="51">
      <c r="B248" s="27">
        <v>244</v>
      </c>
      <c r="C248" s="31">
        <v>132</v>
      </c>
      <c r="D248" s="34">
        <v>643</v>
      </c>
      <c r="E248" s="32">
        <v>0.55347222222222225</v>
      </c>
      <c r="F248" s="32">
        <v>0.55555555555555558</v>
      </c>
      <c r="G248" s="31" t="s">
        <v>531</v>
      </c>
      <c r="H248" s="31" t="s">
        <v>253</v>
      </c>
      <c r="I248" s="33">
        <v>2</v>
      </c>
      <c r="J248" s="34" t="s">
        <v>254</v>
      </c>
      <c r="K248" s="35">
        <v>34</v>
      </c>
      <c r="L248" s="36">
        <f>+K248*I248</f>
        <v>68</v>
      </c>
      <c r="M248" s="37" t="s">
        <v>717</v>
      </c>
      <c r="N248" s="23" t="s">
        <v>968</v>
      </c>
      <c r="O248" s="49">
        <v>46</v>
      </c>
      <c r="P248" s="23" t="s">
        <v>887</v>
      </c>
      <c r="Q248" s="49">
        <v>47</v>
      </c>
      <c r="S248" s="49"/>
      <c r="T248" s="7">
        <v>1118</v>
      </c>
      <c r="U248" s="7" t="s">
        <v>1324</v>
      </c>
      <c r="V248" s="7">
        <v>1115</v>
      </c>
      <c r="W248" s="7" t="s">
        <v>1379</v>
      </c>
      <c r="X248" s="18"/>
      <c r="Y248" s="17"/>
      <c r="Z248" s="17"/>
      <c r="AA248" s="17"/>
      <c r="AB248" s="8" t="s">
        <v>1051</v>
      </c>
      <c r="AC248" s="8"/>
      <c r="AD248" s="8"/>
      <c r="AE248" s="8"/>
      <c r="AF248" s="8" t="s">
        <v>726</v>
      </c>
      <c r="AG248" s="8"/>
      <c r="AH248" s="8"/>
      <c r="AI248" s="8"/>
      <c r="AJ248" s="8"/>
      <c r="AK248" s="8"/>
      <c r="AL248" s="8" t="s">
        <v>726</v>
      </c>
      <c r="AM248" s="8"/>
      <c r="AN248" s="8"/>
      <c r="AO248" s="8"/>
      <c r="AP248" s="8"/>
      <c r="AQ248" s="8"/>
      <c r="AR248" s="8"/>
      <c r="AS248" s="8"/>
      <c r="AT248" s="8"/>
      <c r="AU248" s="8"/>
      <c r="AV248" s="8"/>
      <c r="AX248" s="142">
        <v>10.573172588832486</v>
      </c>
    </row>
    <row r="249" spans="1:50" ht="33.75">
      <c r="B249" s="27">
        <v>245</v>
      </c>
      <c r="C249" s="31">
        <v>132</v>
      </c>
      <c r="D249" s="34">
        <v>641</v>
      </c>
      <c r="E249" s="32">
        <v>0.56597222222222221</v>
      </c>
      <c r="F249" s="32">
        <v>0.58472222222222225</v>
      </c>
      <c r="G249" s="31" t="s">
        <v>257</v>
      </c>
      <c r="H249" s="31" t="s">
        <v>103</v>
      </c>
      <c r="I249" s="33">
        <v>20</v>
      </c>
      <c r="J249" s="34" t="s">
        <v>254</v>
      </c>
      <c r="K249" s="35">
        <v>174</v>
      </c>
      <c r="L249" s="36">
        <f>+K249*I249</f>
        <v>3480</v>
      </c>
      <c r="M249" s="37" t="s">
        <v>717</v>
      </c>
      <c r="N249" s="23" t="s">
        <v>968</v>
      </c>
      <c r="O249" s="49">
        <v>46</v>
      </c>
      <c r="P249" s="23" t="s">
        <v>887</v>
      </c>
      <c r="Q249" s="49">
        <v>47</v>
      </c>
      <c r="R249" s="23" t="s">
        <v>1829</v>
      </c>
      <c r="S249" s="24">
        <v>45</v>
      </c>
      <c r="T249" s="7" t="s">
        <v>1377</v>
      </c>
      <c r="U249" s="7" t="s">
        <v>1378</v>
      </c>
      <c r="V249" s="7">
        <v>1078</v>
      </c>
      <c r="W249" s="7" t="s">
        <v>1293</v>
      </c>
      <c r="X249" s="18"/>
      <c r="Y249" s="17"/>
      <c r="Z249" s="17"/>
      <c r="AA249" s="17"/>
      <c r="AB249" s="7" t="s">
        <v>1042</v>
      </c>
      <c r="AC249" s="8"/>
      <c r="AD249" s="8"/>
      <c r="AE249" s="8"/>
      <c r="AF249" s="8" t="s">
        <v>726</v>
      </c>
      <c r="AG249" s="8" t="s">
        <v>726</v>
      </c>
      <c r="AH249" s="8" t="s">
        <v>726</v>
      </c>
      <c r="AI249" s="8" t="s">
        <v>726</v>
      </c>
      <c r="AJ249" s="8" t="s">
        <v>726</v>
      </c>
      <c r="AK249" s="8" t="s">
        <v>726</v>
      </c>
      <c r="AL249" s="8"/>
      <c r="AM249" s="8"/>
      <c r="AN249" s="8"/>
      <c r="AO249" s="8"/>
      <c r="AP249" s="8"/>
      <c r="AQ249" s="8"/>
      <c r="AR249" s="8"/>
      <c r="AS249" s="8"/>
      <c r="AT249" s="8"/>
      <c r="AU249" s="8"/>
      <c r="AV249" s="8"/>
      <c r="AX249" s="142">
        <v>165.99</v>
      </c>
    </row>
    <row r="250" spans="1:50" ht="33.75">
      <c r="B250" s="27">
        <v>246</v>
      </c>
      <c r="C250" s="31">
        <v>132</v>
      </c>
      <c r="D250" s="34">
        <v>641</v>
      </c>
      <c r="E250" s="32">
        <v>0.58472222222222225</v>
      </c>
      <c r="F250" s="32">
        <v>0.59444444444444444</v>
      </c>
      <c r="G250" s="31" t="s">
        <v>667</v>
      </c>
      <c r="H250" s="31" t="s">
        <v>103</v>
      </c>
      <c r="I250" s="33">
        <v>11</v>
      </c>
      <c r="J250" s="34" t="s">
        <v>254</v>
      </c>
      <c r="K250" s="35">
        <v>174</v>
      </c>
      <c r="L250" s="36">
        <f>+K250*I250</f>
        <v>1914</v>
      </c>
      <c r="M250" s="37" t="s">
        <v>717</v>
      </c>
      <c r="N250" s="23" t="s">
        <v>968</v>
      </c>
      <c r="O250" s="49">
        <v>46</v>
      </c>
      <c r="P250" s="23" t="s">
        <v>887</v>
      </c>
      <c r="Q250" s="49">
        <v>47</v>
      </c>
      <c r="R250" s="23" t="s">
        <v>886</v>
      </c>
      <c r="S250" s="24">
        <v>9</v>
      </c>
      <c r="T250" s="7" t="s">
        <v>1292</v>
      </c>
      <c r="U250" s="7" t="s">
        <v>1294</v>
      </c>
      <c r="V250" s="7">
        <v>1115</v>
      </c>
      <c r="W250" s="7" t="s">
        <v>1379</v>
      </c>
      <c r="X250" s="18"/>
      <c r="Y250" s="17"/>
      <c r="Z250" s="17"/>
      <c r="AA250" s="17"/>
      <c r="AB250" s="7" t="s">
        <v>1042</v>
      </c>
      <c r="AC250" s="8"/>
      <c r="AD250" s="8"/>
      <c r="AE250" s="8"/>
      <c r="AF250" s="8" t="s">
        <v>726</v>
      </c>
      <c r="AG250" s="8" t="s">
        <v>726</v>
      </c>
      <c r="AH250" s="8" t="s">
        <v>726</v>
      </c>
      <c r="AI250" s="8" t="s">
        <v>726</v>
      </c>
      <c r="AJ250" s="8" t="s">
        <v>726</v>
      </c>
      <c r="AK250" s="8" t="s">
        <v>726</v>
      </c>
      <c r="AL250" s="8"/>
      <c r="AM250" s="8"/>
      <c r="AN250" s="8"/>
      <c r="AO250" s="8"/>
      <c r="AP250" s="8"/>
      <c r="AQ250" s="8"/>
      <c r="AR250" s="8"/>
      <c r="AS250" s="8"/>
      <c r="AT250" s="8"/>
      <c r="AU250" s="8"/>
      <c r="AV250" s="8"/>
      <c r="AX250" s="142">
        <v>33</v>
      </c>
    </row>
    <row r="251" spans="1:50" ht="51">
      <c r="B251" s="27">
        <v>247</v>
      </c>
      <c r="C251" s="31">
        <v>135</v>
      </c>
      <c r="D251" s="34">
        <v>640</v>
      </c>
      <c r="E251" s="32">
        <v>0.2951388888888889</v>
      </c>
      <c r="F251" s="32">
        <v>0.31180555555555556</v>
      </c>
      <c r="G251" s="31" t="s">
        <v>669</v>
      </c>
      <c r="H251" s="31" t="s">
        <v>103</v>
      </c>
      <c r="I251" s="33">
        <v>14.5</v>
      </c>
      <c r="J251" s="34" t="s">
        <v>254</v>
      </c>
      <c r="K251" s="35">
        <v>174</v>
      </c>
      <c r="L251" s="36">
        <f>+K251*I251</f>
        <v>2523</v>
      </c>
      <c r="M251" s="37" t="s">
        <v>717</v>
      </c>
      <c r="N251" s="23" t="s">
        <v>968</v>
      </c>
      <c r="O251" s="49">
        <v>46</v>
      </c>
      <c r="P251" s="23" t="s">
        <v>1829</v>
      </c>
      <c r="Q251" s="49">
        <v>45</v>
      </c>
      <c r="S251" s="49"/>
      <c r="T251" s="7">
        <v>1084</v>
      </c>
      <c r="U251" s="7" t="s">
        <v>1295</v>
      </c>
      <c r="V251" s="7">
        <v>1080</v>
      </c>
      <c r="W251" s="7" t="s">
        <v>1296</v>
      </c>
      <c r="X251" s="18"/>
      <c r="Y251" s="17"/>
      <c r="Z251" s="17"/>
      <c r="AA251" s="17"/>
      <c r="AB251" s="7" t="s">
        <v>1042</v>
      </c>
      <c r="AC251" s="8"/>
      <c r="AD251" s="8"/>
      <c r="AE251" s="8"/>
      <c r="AF251" s="8" t="s">
        <v>726</v>
      </c>
      <c r="AG251" s="8" t="s">
        <v>726</v>
      </c>
      <c r="AH251" s="8" t="s">
        <v>726</v>
      </c>
      <c r="AI251" s="8" t="s">
        <v>726</v>
      </c>
      <c r="AJ251" s="8" t="s">
        <v>726</v>
      </c>
      <c r="AK251" s="8" t="s">
        <v>726</v>
      </c>
      <c r="AL251" s="8"/>
      <c r="AM251" s="8"/>
      <c r="AN251" s="8"/>
      <c r="AO251" s="8"/>
      <c r="AP251" s="8"/>
      <c r="AQ251" s="8"/>
      <c r="AR251" s="8"/>
      <c r="AS251" s="8"/>
      <c r="AT251" s="8"/>
      <c r="AU251" s="8"/>
      <c r="AV251" s="8"/>
      <c r="AX251" s="142">
        <v>55.340645732917494</v>
      </c>
    </row>
    <row r="252" spans="1:50" ht="38.25">
      <c r="B252" s="27">
        <v>248</v>
      </c>
      <c r="C252" s="31">
        <v>135</v>
      </c>
      <c r="D252" s="34">
        <v>640</v>
      </c>
      <c r="E252" s="32">
        <v>0.2951388888888889</v>
      </c>
      <c r="F252" s="32">
        <v>0.31180555555555556</v>
      </c>
      <c r="G252" s="31" t="s">
        <v>668</v>
      </c>
      <c r="H252" s="31" t="s">
        <v>530</v>
      </c>
      <c r="I252" s="33">
        <v>14.5</v>
      </c>
      <c r="J252" s="34" t="s">
        <v>93</v>
      </c>
      <c r="K252" s="35">
        <v>34</v>
      </c>
      <c r="L252" s="36">
        <f>+K252*I252</f>
        <v>493</v>
      </c>
      <c r="M252" s="37" t="s">
        <v>717</v>
      </c>
      <c r="N252" s="23" t="s">
        <v>968</v>
      </c>
      <c r="O252" s="49">
        <v>46</v>
      </c>
      <c r="P252" s="23" t="s">
        <v>1829</v>
      </c>
      <c r="Q252" s="49">
        <v>45</v>
      </c>
      <c r="S252" s="49"/>
      <c r="T252" s="7">
        <v>1084</v>
      </c>
      <c r="U252" s="7" t="s">
        <v>1295</v>
      </c>
      <c r="V252" s="7">
        <v>1080</v>
      </c>
      <c r="W252" s="7" t="s">
        <v>1296</v>
      </c>
      <c r="X252" s="18"/>
      <c r="Y252" s="17"/>
      <c r="Z252" s="17"/>
      <c r="AA252" s="17"/>
      <c r="AB252" s="8" t="s">
        <v>1051</v>
      </c>
      <c r="AC252" s="8"/>
      <c r="AD252" s="8"/>
      <c r="AE252" s="8"/>
      <c r="AF252" s="8" t="s">
        <v>726</v>
      </c>
      <c r="AG252" s="8"/>
      <c r="AH252" s="8"/>
      <c r="AI252" s="8"/>
      <c r="AJ252" s="8"/>
      <c r="AK252" s="8"/>
      <c r="AL252" s="8" t="s">
        <v>726</v>
      </c>
      <c r="AM252" s="8"/>
      <c r="AN252" s="8"/>
      <c r="AO252" s="8"/>
      <c r="AP252" s="8"/>
      <c r="AQ252" s="8"/>
      <c r="AR252" s="8"/>
      <c r="AS252" s="8"/>
      <c r="AT252" s="8"/>
      <c r="AU252" s="8"/>
      <c r="AV252" s="8"/>
      <c r="AX252" s="142">
        <v>36.6</v>
      </c>
    </row>
    <row r="253" spans="1:50" ht="38.25">
      <c r="B253" s="27">
        <v>249</v>
      </c>
      <c r="C253" s="31">
        <v>201</v>
      </c>
      <c r="D253" s="31">
        <v>59</v>
      </c>
      <c r="E253" s="32">
        <v>0.27499999999999997</v>
      </c>
      <c r="F253" s="32">
        <v>0.30694444444444441</v>
      </c>
      <c r="G253" s="31" t="s">
        <v>193</v>
      </c>
      <c r="H253" s="31" t="s">
        <v>630</v>
      </c>
      <c r="I253" s="33">
        <v>31</v>
      </c>
      <c r="J253" s="34" t="s">
        <v>191</v>
      </c>
      <c r="K253" s="35">
        <v>36</v>
      </c>
      <c r="L253" s="36">
        <f>+K253*I253</f>
        <v>1116</v>
      </c>
      <c r="M253" s="37" t="s">
        <v>1009</v>
      </c>
      <c r="N253" s="79" t="s">
        <v>1934</v>
      </c>
      <c r="O253" s="79" t="s">
        <v>1935</v>
      </c>
      <c r="P253" s="79" t="s">
        <v>1975</v>
      </c>
      <c r="Q253" s="79">
        <v>61</v>
      </c>
      <c r="R253" s="79" t="s">
        <v>1976</v>
      </c>
      <c r="S253" s="79">
        <v>55</v>
      </c>
      <c r="T253" s="7">
        <v>2180</v>
      </c>
      <c r="U253" s="7" t="s">
        <v>1380</v>
      </c>
      <c r="V253" s="7">
        <v>1</v>
      </c>
      <c r="W253" s="7" t="s">
        <v>1236</v>
      </c>
      <c r="X253" s="18"/>
      <c r="Y253" s="17"/>
      <c r="Z253" s="17"/>
      <c r="AA253" s="17"/>
      <c r="AB253" s="7" t="s">
        <v>1062</v>
      </c>
      <c r="AC253" s="8"/>
      <c r="AD253" s="8"/>
      <c r="AE253" s="8"/>
      <c r="AF253" s="8" t="s">
        <v>726</v>
      </c>
      <c r="AG253" s="8" t="s">
        <v>726</v>
      </c>
      <c r="AH253" s="8"/>
      <c r="AI253" s="8"/>
      <c r="AJ253" s="8"/>
      <c r="AK253" s="8"/>
      <c r="AL253" s="8"/>
      <c r="AM253" s="8"/>
      <c r="AN253" s="8" t="s">
        <v>726</v>
      </c>
      <c r="AO253" s="8"/>
      <c r="AP253" s="8"/>
      <c r="AQ253" s="8"/>
      <c r="AR253" s="8"/>
      <c r="AS253" s="8"/>
      <c r="AT253" s="8"/>
      <c r="AU253" s="8"/>
      <c r="AV253" s="8"/>
      <c r="AX253" s="142">
        <v>173.55</v>
      </c>
    </row>
    <row r="254" spans="1:50" ht="51">
      <c r="B254" s="27">
        <v>250</v>
      </c>
      <c r="C254" s="31">
        <v>201</v>
      </c>
      <c r="D254" s="31">
        <v>59</v>
      </c>
      <c r="E254" s="32">
        <v>0.27499999999999997</v>
      </c>
      <c r="F254" s="32">
        <v>0.30694444444444441</v>
      </c>
      <c r="G254" s="31" t="s">
        <v>405</v>
      </c>
      <c r="H254" s="31" t="s">
        <v>629</v>
      </c>
      <c r="I254" s="33">
        <v>30</v>
      </c>
      <c r="J254" s="34" t="s">
        <v>101</v>
      </c>
      <c r="K254" s="35">
        <f>174-33</f>
        <v>141</v>
      </c>
      <c r="L254" s="36">
        <f>+K254*I254</f>
        <v>4230</v>
      </c>
      <c r="M254" s="37" t="s">
        <v>1009</v>
      </c>
      <c r="N254" s="79" t="s">
        <v>1934</v>
      </c>
      <c r="O254" s="79" t="s">
        <v>1935</v>
      </c>
      <c r="P254" s="79" t="s">
        <v>1975</v>
      </c>
      <c r="Q254" s="79">
        <v>61</v>
      </c>
      <c r="R254" s="79" t="s">
        <v>1976</v>
      </c>
      <c r="S254" s="79">
        <v>55</v>
      </c>
      <c r="T254" s="7">
        <v>2180</v>
      </c>
      <c r="U254" s="7" t="s">
        <v>1380</v>
      </c>
      <c r="V254" s="7">
        <v>1</v>
      </c>
      <c r="W254" s="7" t="s">
        <v>1236</v>
      </c>
      <c r="X254" s="18"/>
      <c r="Y254" s="17"/>
      <c r="Z254" s="17"/>
      <c r="AA254" s="17"/>
      <c r="AB254" s="7" t="s">
        <v>1064</v>
      </c>
      <c r="AC254" s="8"/>
      <c r="AD254" s="8"/>
      <c r="AE254" s="8"/>
      <c r="AF254" s="8" t="s">
        <v>726</v>
      </c>
      <c r="AG254" s="8"/>
      <c r="AH254" s="8" t="s">
        <v>726</v>
      </c>
      <c r="AI254" s="8" t="s">
        <v>726</v>
      </c>
      <c r="AJ254" s="8" t="s">
        <v>726</v>
      </c>
      <c r="AK254" s="8" t="s">
        <v>726</v>
      </c>
      <c r="AL254" s="8"/>
      <c r="AM254" s="8"/>
      <c r="AN254" s="8"/>
      <c r="AO254" s="8" t="s">
        <v>726</v>
      </c>
      <c r="AP254" s="8"/>
      <c r="AQ254" s="8"/>
      <c r="AR254" s="8"/>
      <c r="AS254" s="8"/>
      <c r="AT254" s="8"/>
      <c r="AU254" s="8"/>
      <c r="AV254" s="8"/>
      <c r="AX254" s="142">
        <v>90</v>
      </c>
    </row>
    <row r="255" spans="1:50" ht="25.5">
      <c r="B255" s="27">
        <v>251</v>
      </c>
      <c r="C255" s="55">
        <v>201</v>
      </c>
      <c r="D255" s="55">
        <v>251</v>
      </c>
      <c r="E255" s="56">
        <v>0.29791666666666666</v>
      </c>
      <c r="F255" s="56">
        <v>0.34513888888888888</v>
      </c>
      <c r="G255" s="57" t="s">
        <v>539</v>
      </c>
      <c r="H255" s="31" t="s">
        <v>477</v>
      </c>
      <c r="I255" s="55">
        <v>44</v>
      </c>
      <c r="J255" s="58">
        <v>50</v>
      </c>
      <c r="K255" s="35">
        <v>240</v>
      </c>
      <c r="L255" s="36">
        <f>+K255*I255</f>
        <v>10560</v>
      </c>
      <c r="M255" s="51" t="s">
        <v>735</v>
      </c>
      <c r="N255" s="23" t="s">
        <v>961</v>
      </c>
      <c r="O255" s="23">
        <v>61</v>
      </c>
      <c r="P255" s="23" t="s">
        <v>1785</v>
      </c>
      <c r="Q255" s="23">
        <v>58</v>
      </c>
      <c r="R255" s="23" t="s">
        <v>1161</v>
      </c>
      <c r="S255" s="23">
        <v>65</v>
      </c>
      <c r="T255" s="7">
        <v>2290</v>
      </c>
      <c r="U255" s="7" t="s">
        <v>1381</v>
      </c>
      <c r="V255" s="7">
        <v>1</v>
      </c>
      <c r="W255" s="7" t="s">
        <v>1236</v>
      </c>
      <c r="X255" s="18"/>
      <c r="Y255" s="17"/>
      <c r="Z255" s="18"/>
      <c r="AA255" s="18"/>
      <c r="AB255" s="7" t="s">
        <v>1052</v>
      </c>
      <c r="AC255" s="8" t="s">
        <v>726</v>
      </c>
      <c r="AD255" s="8"/>
      <c r="AE255" s="8" t="s">
        <v>726</v>
      </c>
      <c r="AF255" s="8"/>
      <c r="AG255" s="8" t="s">
        <v>726</v>
      </c>
      <c r="AH255" s="8" t="s">
        <v>726</v>
      </c>
      <c r="AI255" s="8" t="s">
        <v>726</v>
      </c>
      <c r="AJ255" s="8" t="s">
        <v>726</v>
      </c>
      <c r="AK255" s="8" t="s">
        <v>726</v>
      </c>
      <c r="AL255" s="8" t="s">
        <v>726</v>
      </c>
      <c r="AM255" s="8"/>
      <c r="AN255" s="8"/>
      <c r="AO255" s="8"/>
      <c r="AP255" s="8"/>
      <c r="AQ255" s="8"/>
      <c r="AR255" s="8"/>
      <c r="AS255" s="8"/>
      <c r="AT255" s="8"/>
      <c r="AU255" s="8"/>
      <c r="AV255" s="8"/>
      <c r="AX255" s="142">
        <v>132</v>
      </c>
    </row>
    <row r="256" spans="1:50" ht="33.75">
      <c r="A256" s="2" t="s">
        <v>794</v>
      </c>
      <c r="B256" s="27">
        <v>252</v>
      </c>
      <c r="C256" s="55">
        <v>201</v>
      </c>
      <c r="D256" s="59">
        <v>279</v>
      </c>
      <c r="E256" s="60">
        <v>0.32361111111111113</v>
      </c>
      <c r="F256" s="60">
        <v>0.33611111111111108</v>
      </c>
      <c r="G256" s="57" t="s">
        <v>535</v>
      </c>
      <c r="H256" s="31" t="s">
        <v>442</v>
      </c>
      <c r="I256" s="55">
        <v>15</v>
      </c>
      <c r="J256" s="58">
        <v>50</v>
      </c>
      <c r="K256" s="61">
        <v>47</v>
      </c>
      <c r="L256" s="36">
        <f>+K256*I256</f>
        <v>705</v>
      </c>
      <c r="M256" s="37" t="s">
        <v>742</v>
      </c>
      <c r="N256" s="23" t="s">
        <v>827</v>
      </c>
      <c r="O256" s="23">
        <v>57</v>
      </c>
      <c r="P256" s="23" t="s">
        <v>826</v>
      </c>
      <c r="Q256" s="23">
        <v>57</v>
      </c>
      <c r="R256" s="79" t="s">
        <v>1909</v>
      </c>
      <c r="S256" s="79" t="s">
        <v>1910</v>
      </c>
      <c r="T256" s="7">
        <v>2290</v>
      </c>
      <c r="U256" s="7" t="s">
        <v>1381</v>
      </c>
      <c r="V256" s="7">
        <v>2180</v>
      </c>
      <c r="W256" s="7" t="s">
        <v>1380</v>
      </c>
      <c r="X256" s="18"/>
      <c r="Y256" s="17"/>
      <c r="Z256" s="18"/>
      <c r="AA256" s="18"/>
      <c r="AB256" s="7" t="s">
        <v>1043</v>
      </c>
      <c r="AC256" s="8" t="s">
        <v>726</v>
      </c>
      <c r="AD256" s="8"/>
      <c r="AE256" s="8"/>
      <c r="AF256" s="8"/>
      <c r="AG256" s="8"/>
      <c r="AH256" s="8"/>
      <c r="AI256" s="8"/>
      <c r="AJ256" s="8"/>
      <c r="AK256" s="8"/>
      <c r="AL256" s="8"/>
      <c r="AM256" s="8" t="s">
        <v>726</v>
      </c>
      <c r="AN256" s="8"/>
      <c r="AO256" s="8"/>
      <c r="AP256" s="8"/>
      <c r="AQ256" s="8"/>
      <c r="AR256" s="8"/>
      <c r="AS256" s="8"/>
      <c r="AT256" s="8"/>
      <c r="AU256" s="8"/>
      <c r="AV256" s="8"/>
      <c r="AX256" s="142">
        <v>45</v>
      </c>
    </row>
    <row r="257" spans="1:50" ht="33.75">
      <c r="A257" s="2" t="s">
        <v>794</v>
      </c>
      <c r="B257" s="27">
        <v>253</v>
      </c>
      <c r="C257" s="55">
        <v>201</v>
      </c>
      <c r="D257" s="59">
        <v>518</v>
      </c>
      <c r="E257" s="60">
        <v>0.35694444444444445</v>
      </c>
      <c r="F257" s="60">
        <v>0.36944444444444446</v>
      </c>
      <c r="G257" s="57" t="s">
        <v>536</v>
      </c>
      <c r="H257" s="31" t="s">
        <v>477</v>
      </c>
      <c r="I257" s="55">
        <v>15</v>
      </c>
      <c r="J257" s="58">
        <v>50</v>
      </c>
      <c r="K257" s="61">
        <v>240</v>
      </c>
      <c r="L257" s="36">
        <f>+K257*I257</f>
        <v>3600</v>
      </c>
      <c r="M257" s="37" t="s">
        <v>742</v>
      </c>
      <c r="N257" s="23" t="s">
        <v>827</v>
      </c>
      <c r="O257" s="23">
        <v>57</v>
      </c>
      <c r="P257" s="23" t="s">
        <v>826</v>
      </c>
      <c r="Q257" s="23">
        <v>57</v>
      </c>
      <c r="R257" s="79" t="s">
        <v>1909</v>
      </c>
      <c r="S257" s="79" t="s">
        <v>1910</v>
      </c>
      <c r="T257" s="7">
        <v>2180</v>
      </c>
      <c r="U257" s="7" t="s">
        <v>1380</v>
      </c>
      <c r="V257" s="7">
        <v>2290</v>
      </c>
      <c r="W257" s="7" t="s">
        <v>1381</v>
      </c>
      <c r="X257" s="18"/>
      <c r="Y257" s="17"/>
      <c r="Z257" s="18"/>
      <c r="AA257" s="18"/>
      <c r="AB257" s="7" t="s">
        <v>1052</v>
      </c>
      <c r="AC257" s="8" t="s">
        <v>726</v>
      </c>
      <c r="AD257" s="8"/>
      <c r="AE257" s="8" t="s">
        <v>726</v>
      </c>
      <c r="AF257" s="8"/>
      <c r="AG257" s="8" t="s">
        <v>726</v>
      </c>
      <c r="AH257" s="8" t="s">
        <v>726</v>
      </c>
      <c r="AI257" s="8" t="s">
        <v>726</v>
      </c>
      <c r="AJ257" s="8" t="s">
        <v>726</v>
      </c>
      <c r="AK257" s="8" t="s">
        <v>726</v>
      </c>
      <c r="AL257" s="8" t="s">
        <v>726</v>
      </c>
      <c r="AM257" s="8"/>
      <c r="AN257" s="8"/>
      <c r="AO257" s="8"/>
      <c r="AP257" s="8"/>
      <c r="AQ257" s="8"/>
      <c r="AR257" s="8"/>
      <c r="AS257" s="8"/>
      <c r="AT257" s="8"/>
      <c r="AU257" s="8"/>
      <c r="AV257" s="8"/>
      <c r="AX257" s="142">
        <v>45</v>
      </c>
    </row>
    <row r="258" spans="1:50" ht="33.75">
      <c r="A258" s="2" t="s">
        <v>794</v>
      </c>
      <c r="B258" s="27">
        <v>254</v>
      </c>
      <c r="C258" s="55">
        <v>201</v>
      </c>
      <c r="D258" s="59">
        <v>518</v>
      </c>
      <c r="E258" s="60">
        <v>0.35694444444444445</v>
      </c>
      <c r="F258" s="60">
        <v>0.36944444444444446</v>
      </c>
      <c r="G258" s="57" t="s">
        <v>536</v>
      </c>
      <c r="H258" s="31" t="s">
        <v>442</v>
      </c>
      <c r="I258" s="55">
        <v>15</v>
      </c>
      <c r="J258" s="58">
        <v>50</v>
      </c>
      <c r="K258" s="61">
        <v>47</v>
      </c>
      <c r="L258" s="36">
        <f>+K258*I258</f>
        <v>705</v>
      </c>
      <c r="M258" s="37" t="s">
        <v>742</v>
      </c>
      <c r="N258" s="23" t="s">
        <v>827</v>
      </c>
      <c r="O258" s="23">
        <v>57</v>
      </c>
      <c r="P258" s="23" t="s">
        <v>826</v>
      </c>
      <c r="Q258" s="23">
        <v>57</v>
      </c>
      <c r="R258" s="79" t="s">
        <v>1909</v>
      </c>
      <c r="S258" s="79" t="s">
        <v>1910</v>
      </c>
      <c r="T258" s="7">
        <v>2180</v>
      </c>
      <c r="U258" s="7" t="s">
        <v>1380</v>
      </c>
      <c r="V258" s="7">
        <v>2290</v>
      </c>
      <c r="W258" s="7" t="s">
        <v>1381</v>
      </c>
      <c r="X258" s="18"/>
      <c r="Y258" s="17"/>
      <c r="Z258" s="18"/>
      <c r="AA258" s="18"/>
      <c r="AB258" s="7" t="s">
        <v>1043</v>
      </c>
      <c r="AC258" s="8" t="s">
        <v>726</v>
      </c>
      <c r="AD258" s="8"/>
      <c r="AE258" s="8"/>
      <c r="AF258" s="8"/>
      <c r="AG258" s="8"/>
      <c r="AH258" s="8"/>
      <c r="AI258" s="8"/>
      <c r="AJ258" s="8"/>
      <c r="AK258" s="8"/>
      <c r="AL258" s="8"/>
      <c r="AM258" s="8" t="s">
        <v>726</v>
      </c>
      <c r="AN258" s="8"/>
      <c r="AO258" s="8"/>
      <c r="AP258" s="8"/>
      <c r="AQ258" s="8"/>
      <c r="AR258" s="8"/>
      <c r="AS258" s="8"/>
      <c r="AT258" s="8"/>
      <c r="AU258" s="8"/>
      <c r="AV258" s="8"/>
      <c r="AX258" s="142">
        <v>45</v>
      </c>
    </row>
    <row r="259" spans="1:50" ht="25.5">
      <c r="A259" s="2" t="s">
        <v>1105</v>
      </c>
      <c r="B259" s="27">
        <v>255</v>
      </c>
      <c r="C259" s="55">
        <v>201</v>
      </c>
      <c r="D259" s="59">
        <v>230</v>
      </c>
      <c r="E259" s="60">
        <v>0.36805555555555558</v>
      </c>
      <c r="F259" s="60">
        <v>0.41597222222222219</v>
      </c>
      <c r="G259" s="57" t="s">
        <v>540</v>
      </c>
      <c r="H259" s="31" t="s">
        <v>477</v>
      </c>
      <c r="I259" s="59">
        <v>44</v>
      </c>
      <c r="J259" s="58">
        <v>50</v>
      </c>
      <c r="K259" s="61">
        <v>240</v>
      </c>
      <c r="L259" s="36">
        <f>+K259*I259</f>
        <v>10560</v>
      </c>
      <c r="M259" s="51" t="s">
        <v>735</v>
      </c>
      <c r="N259" s="23" t="s">
        <v>961</v>
      </c>
      <c r="O259" s="23">
        <v>61</v>
      </c>
      <c r="P259" s="23" t="s">
        <v>1785</v>
      </c>
      <c r="Q259" s="23">
        <v>58</v>
      </c>
      <c r="R259" s="23" t="s">
        <v>1161</v>
      </c>
      <c r="S259" s="23">
        <v>65</v>
      </c>
      <c r="T259" s="7">
        <v>1</v>
      </c>
      <c r="U259" s="7" t="s">
        <v>1233</v>
      </c>
      <c r="V259" s="7">
        <v>2290</v>
      </c>
      <c r="W259" s="7" t="s">
        <v>1381</v>
      </c>
      <c r="X259" s="18"/>
      <c r="Y259" s="17"/>
      <c r="Z259" s="18"/>
      <c r="AA259" s="18"/>
      <c r="AB259" s="7" t="s">
        <v>1052</v>
      </c>
      <c r="AC259" s="8" t="s">
        <v>726</v>
      </c>
      <c r="AD259" s="8"/>
      <c r="AE259" s="8" t="s">
        <v>726</v>
      </c>
      <c r="AF259" s="8"/>
      <c r="AG259" s="8" t="s">
        <v>726</v>
      </c>
      <c r="AH259" s="8" t="s">
        <v>726</v>
      </c>
      <c r="AI259" s="8" t="s">
        <v>726</v>
      </c>
      <c r="AJ259" s="8" t="s">
        <v>726</v>
      </c>
      <c r="AK259" s="8" t="s">
        <v>726</v>
      </c>
      <c r="AL259" s="8" t="s">
        <v>726</v>
      </c>
      <c r="AM259" s="8"/>
      <c r="AN259" s="8"/>
      <c r="AO259" s="8"/>
      <c r="AP259" s="8"/>
      <c r="AQ259" s="8"/>
      <c r="AR259" s="8"/>
      <c r="AS259" s="8"/>
      <c r="AT259" s="8"/>
      <c r="AU259" s="8"/>
      <c r="AV259" s="8"/>
      <c r="AX259" s="142">
        <v>132</v>
      </c>
    </row>
    <row r="260" spans="1:50" ht="33.75">
      <c r="A260" s="2" t="s">
        <v>794</v>
      </c>
      <c r="B260" s="27">
        <v>256</v>
      </c>
      <c r="C260" s="55">
        <v>201</v>
      </c>
      <c r="D260" s="59">
        <v>351</v>
      </c>
      <c r="E260" s="60">
        <v>0.375</v>
      </c>
      <c r="F260" s="60">
        <v>0.38750000000000001</v>
      </c>
      <c r="G260" s="57" t="s">
        <v>535</v>
      </c>
      <c r="H260" s="31" t="s">
        <v>477</v>
      </c>
      <c r="I260" s="55">
        <v>15</v>
      </c>
      <c r="J260" s="58">
        <v>50</v>
      </c>
      <c r="K260" s="61">
        <v>240</v>
      </c>
      <c r="L260" s="36">
        <f>+K260*I260</f>
        <v>3600</v>
      </c>
      <c r="M260" s="37" t="s">
        <v>742</v>
      </c>
      <c r="N260" s="23" t="s">
        <v>827</v>
      </c>
      <c r="O260" s="23">
        <v>57</v>
      </c>
      <c r="P260" s="23" t="s">
        <v>826</v>
      </c>
      <c r="Q260" s="23">
        <v>57</v>
      </c>
      <c r="R260" s="79" t="s">
        <v>1909</v>
      </c>
      <c r="S260" s="79" t="s">
        <v>1910</v>
      </c>
      <c r="T260" s="7">
        <v>2290</v>
      </c>
      <c r="U260" s="7" t="s">
        <v>1381</v>
      </c>
      <c r="V260" s="7">
        <v>2180</v>
      </c>
      <c r="W260" s="7" t="s">
        <v>1380</v>
      </c>
      <c r="X260" s="18"/>
      <c r="Y260" s="17"/>
      <c r="Z260" s="18"/>
      <c r="AA260" s="18"/>
      <c r="AB260" s="7" t="s">
        <v>1052</v>
      </c>
      <c r="AC260" s="8" t="s">
        <v>726</v>
      </c>
      <c r="AD260" s="8"/>
      <c r="AE260" s="8" t="s">
        <v>726</v>
      </c>
      <c r="AF260" s="8"/>
      <c r="AG260" s="8" t="s">
        <v>726</v>
      </c>
      <c r="AH260" s="8" t="s">
        <v>726</v>
      </c>
      <c r="AI260" s="8" t="s">
        <v>726</v>
      </c>
      <c r="AJ260" s="8" t="s">
        <v>726</v>
      </c>
      <c r="AK260" s="8" t="s">
        <v>726</v>
      </c>
      <c r="AL260" s="8" t="s">
        <v>726</v>
      </c>
      <c r="AM260" s="8"/>
      <c r="AN260" s="8"/>
      <c r="AO260" s="8"/>
      <c r="AP260" s="8"/>
      <c r="AQ260" s="8"/>
      <c r="AR260" s="8"/>
      <c r="AS260" s="8"/>
      <c r="AT260" s="8"/>
      <c r="AU260" s="8"/>
      <c r="AV260" s="8"/>
      <c r="AX260" s="142">
        <v>45</v>
      </c>
    </row>
    <row r="261" spans="1:50" ht="33.75">
      <c r="A261" s="2" t="s">
        <v>794</v>
      </c>
      <c r="B261" s="27">
        <v>257</v>
      </c>
      <c r="C261" s="55">
        <v>201</v>
      </c>
      <c r="D261" s="59">
        <v>351</v>
      </c>
      <c r="E261" s="60">
        <v>0.375</v>
      </c>
      <c r="F261" s="60">
        <v>0.38750000000000001</v>
      </c>
      <c r="G261" s="57" t="s">
        <v>535</v>
      </c>
      <c r="H261" s="31" t="s">
        <v>442</v>
      </c>
      <c r="I261" s="55">
        <v>15</v>
      </c>
      <c r="J261" s="58">
        <v>50</v>
      </c>
      <c r="K261" s="61">
        <v>47</v>
      </c>
      <c r="L261" s="36">
        <f>+K261*I261</f>
        <v>705</v>
      </c>
      <c r="M261" s="37" t="s">
        <v>742</v>
      </c>
      <c r="N261" s="23" t="s">
        <v>827</v>
      </c>
      <c r="O261" s="23">
        <v>57</v>
      </c>
      <c r="P261" s="23" t="s">
        <v>826</v>
      </c>
      <c r="Q261" s="23">
        <v>57</v>
      </c>
      <c r="R261" s="79" t="s">
        <v>1909</v>
      </c>
      <c r="S261" s="79" t="s">
        <v>1910</v>
      </c>
      <c r="T261" s="7">
        <v>2290</v>
      </c>
      <c r="U261" s="7" t="s">
        <v>1381</v>
      </c>
      <c r="V261" s="7">
        <v>2180</v>
      </c>
      <c r="W261" s="7" t="s">
        <v>1380</v>
      </c>
      <c r="X261" s="18"/>
      <c r="Y261" s="17"/>
      <c r="Z261" s="18"/>
      <c r="AA261" s="18"/>
      <c r="AB261" s="7" t="s">
        <v>1043</v>
      </c>
      <c r="AC261" s="8" t="s">
        <v>726</v>
      </c>
      <c r="AD261" s="8"/>
      <c r="AE261" s="8"/>
      <c r="AF261" s="8"/>
      <c r="AG261" s="8"/>
      <c r="AH261" s="8"/>
      <c r="AI261" s="8"/>
      <c r="AJ261" s="8"/>
      <c r="AK261" s="8"/>
      <c r="AL261" s="8"/>
      <c r="AM261" s="8" t="s">
        <v>726</v>
      </c>
      <c r="AN261" s="8"/>
      <c r="AO261" s="8"/>
      <c r="AP261" s="8"/>
      <c r="AQ261" s="8"/>
      <c r="AR261" s="8"/>
      <c r="AS261" s="8"/>
      <c r="AT261" s="8"/>
      <c r="AU261" s="8"/>
      <c r="AV261" s="8"/>
      <c r="AX261" s="142">
        <v>45</v>
      </c>
    </row>
    <row r="262" spans="1:50" ht="33.75">
      <c r="A262" s="2" t="s">
        <v>794</v>
      </c>
      <c r="B262" s="27">
        <v>258</v>
      </c>
      <c r="C262" s="55">
        <v>201</v>
      </c>
      <c r="D262" s="59">
        <v>520</v>
      </c>
      <c r="E262" s="60">
        <v>0.39861111111111108</v>
      </c>
      <c r="F262" s="60">
        <v>0.41111111111111115</v>
      </c>
      <c r="G262" s="57" t="s">
        <v>536</v>
      </c>
      <c r="H262" s="31" t="s">
        <v>477</v>
      </c>
      <c r="I262" s="55">
        <v>15</v>
      </c>
      <c r="J262" s="58">
        <v>50</v>
      </c>
      <c r="K262" s="61">
        <v>240</v>
      </c>
      <c r="L262" s="36">
        <f>+K262*I262</f>
        <v>3600</v>
      </c>
      <c r="M262" s="37" t="s">
        <v>742</v>
      </c>
      <c r="N262" s="23" t="s">
        <v>827</v>
      </c>
      <c r="O262" s="23">
        <v>57</v>
      </c>
      <c r="P262" s="23" t="s">
        <v>826</v>
      </c>
      <c r="Q262" s="23">
        <v>57</v>
      </c>
      <c r="R262" s="79" t="s">
        <v>1909</v>
      </c>
      <c r="S262" s="79" t="s">
        <v>1910</v>
      </c>
      <c r="T262" s="7">
        <v>2180</v>
      </c>
      <c r="U262" s="7" t="s">
        <v>1380</v>
      </c>
      <c r="V262" s="7">
        <v>2290</v>
      </c>
      <c r="W262" s="7" t="s">
        <v>1381</v>
      </c>
      <c r="X262" s="18"/>
      <c r="Y262" s="17"/>
      <c r="Z262" s="18"/>
      <c r="AA262" s="18"/>
      <c r="AB262" s="7" t="s">
        <v>1052</v>
      </c>
      <c r="AC262" s="8" t="s">
        <v>726</v>
      </c>
      <c r="AD262" s="8"/>
      <c r="AE262" s="8" t="s">
        <v>726</v>
      </c>
      <c r="AF262" s="8"/>
      <c r="AG262" s="8" t="s">
        <v>726</v>
      </c>
      <c r="AH262" s="8" t="s">
        <v>726</v>
      </c>
      <c r="AI262" s="8" t="s">
        <v>726</v>
      </c>
      <c r="AJ262" s="8" t="s">
        <v>726</v>
      </c>
      <c r="AK262" s="8" t="s">
        <v>726</v>
      </c>
      <c r="AL262" s="8" t="s">
        <v>726</v>
      </c>
      <c r="AM262" s="8"/>
      <c r="AN262" s="8"/>
      <c r="AO262" s="8"/>
      <c r="AP262" s="8"/>
      <c r="AQ262" s="8"/>
      <c r="AR262" s="8"/>
      <c r="AS262" s="8"/>
      <c r="AT262" s="8"/>
      <c r="AU262" s="8"/>
      <c r="AV262" s="8"/>
      <c r="AX262" s="142">
        <v>45</v>
      </c>
    </row>
    <row r="263" spans="1:50" ht="25.5">
      <c r="A263" s="2" t="s">
        <v>793</v>
      </c>
      <c r="B263" s="27">
        <v>259</v>
      </c>
      <c r="C263" s="55">
        <v>201</v>
      </c>
      <c r="D263" s="55">
        <v>65</v>
      </c>
      <c r="E263" s="60">
        <v>0.41666666666666669</v>
      </c>
      <c r="F263" s="60">
        <v>0.4291666666666667</v>
      </c>
      <c r="G263" s="57" t="s">
        <v>535</v>
      </c>
      <c r="H263" s="31" t="s">
        <v>546</v>
      </c>
      <c r="I263" s="55">
        <v>16</v>
      </c>
      <c r="J263" s="58">
        <v>50</v>
      </c>
      <c r="K263" s="61">
        <v>13</v>
      </c>
      <c r="L263" s="36">
        <f>+K263*I263</f>
        <v>208</v>
      </c>
      <c r="M263" s="51" t="s">
        <v>736</v>
      </c>
      <c r="N263" s="2" t="s">
        <v>1162</v>
      </c>
      <c r="O263" s="24">
        <v>58</v>
      </c>
      <c r="P263" s="23" t="s">
        <v>1786</v>
      </c>
      <c r="Q263" s="23">
        <v>56</v>
      </c>
      <c r="T263" s="7">
        <v>2290</v>
      </c>
      <c r="U263" s="7" t="s">
        <v>1381</v>
      </c>
      <c r="V263" s="7">
        <v>2180</v>
      </c>
      <c r="W263" s="7" t="s">
        <v>1380</v>
      </c>
      <c r="X263" s="17"/>
      <c r="Y263" s="18"/>
      <c r="Z263" s="18"/>
      <c r="AA263" s="18"/>
      <c r="AB263" s="7" t="s">
        <v>1044</v>
      </c>
      <c r="AC263" s="8"/>
      <c r="AD263" s="8" t="s">
        <v>726</v>
      </c>
      <c r="AE263" s="8"/>
      <c r="AF263" s="8"/>
      <c r="AG263" s="8"/>
      <c r="AH263" s="8"/>
      <c r="AI263" s="8"/>
      <c r="AJ263" s="8"/>
      <c r="AK263" s="8"/>
      <c r="AL263" s="8"/>
      <c r="AM263" s="8" t="s">
        <v>726</v>
      </c>
      <c r="AN263" s="8"/>
      <c r="AO263" s="8"/>
      <c r="AP263" s="8"/>
      <c r="AQ263" s="8"/>
      <c r="AR263" s="8"/>
      <c r="AS263" s="8"/>
      <c r="AT263" s="8"/>
      <c r="AU263" s="8"/>
      <c r="AV263" s="8"/>
      <c r="AX263" s="142">
        <v>45.070422535211264</v>
      </c>
    </row>
    <row r="264" spans="1:50" ht="33.75">
      <c r="A264" s="2" t="s">
        <v>794</v>
      </c>
      <c r="B264" s="27">
        <v>260</v>
      </c>
      <c r="C264" s="55">
        <v>201</v>
      </c>
      <c r="D264" s="59">
        <v>65</v>
      </c>
      <c r="E264" s="60">
        <v>0.41666666666666669</v>
      </c>
      <c r="F264" s="60">
        <v>0.4291666666666667</v>
      </c>
      <c r="G264" s="57" t="s">
        <v>535</v>
      </c>
      <c r="H264" s="31" t="s">
        <v>477</v>
      </c>
      <c r="I264" s="55">
        <v>15</v>
      </c>
      <c r="J264" s="58">
        <v>50</v>
      </c>
      <c r="K264" s="61">
        <v>240</v>
      </c>
      <c r="L264" s="36">
        <f>+K264*I264</f>
        <v>3600</v>
      </c>
      <c r="M264" s="37" t="s">
        <v>742</v>
      </c>
      <c r="N264" s="23" t="s">
        <v>827</v>
      </c>
      <c r="O264" s="23">
        <v>57</v>
      </c>
      <c r="P264" s="23" t="s">
        <v>826</v>
      </c>
      <c r="Q264" s="23">
        <v>57</v>
      </c>
      <c r="R264" s="79" t="s">
        <v>1909</v>
      </c>
      <c r="S264" s="79" t="s">
        <v>1910</v>
      </c>
      <c r="T264" s="7">
        <v>2290</v>
      </c>
      <c r="U264" s="7" t="s">
        <v>1381</v>
      </c>
      <c r="V264" s="7">
        <v>2180</v>
      </c>
      <c r="W264" s="7" t="s">
        <v>1380</v>
      </c>
      <c r="X264" s="18"/>
      <c r="Y264" s="17"/>
      <c r="Z264" s="18"/>
      <c r="AA264" s="18"/>
      <c r="AB264" s="7" t="s">
        <v>1052</v>
      </c>
      <c r="AC264" s="8" t="s">
        <v>726</v>
      </c>
      <c r="AD264" s="8"/>
      <c r="AE264" s="8" t="s">
        <v>726</v>
      </c>
      <c r="AF264" s="8"/>
      <c r="AG264" s="8" t="s">
        <v>726</v>
      </c>
      <c r="AH264" s="8" t="s">
        <v>726</v>
      </c>
      <c r="AI264" s="8" t="s">
        <v>726</v>
      </c>
      <c r="AJ264" s="8" t="s">
        <v>726</v>
      </c>
      <c r="AK264" s="8" t="s">
        <v>726</v>
      </c>
      <c r="AL264" s="8" t="s">
        <v>726</v>
      </c>
      <c r="AM264" s="8"/>
      <c r="AN264" s="8"/>
      <c r="AO264" s="8"/>
      <c r="AP264" s="8"/>
      <c r="AQ264" s="8"/>
      <c r="AR264" s="8"/>
      <c r="AS264" s="8"/>
      <c r="AT264" s="8"/>
      <c r="AU264" s="8"/>
      <c r="AV264" s="8"/>
      <c r="AX264" s="142">
        <v>45</v>
      </c>
    </row>
    <row r="265" spans="1:50" ht="33.75">
      <c r="A265" s="2" t="s">
        <v>794</v>
      </c>
      <c r="B265" s="27">
        <v>261</v>
      </c>
      <c r="C265" s="55">
        <v>201</v>
      </c>
      <c r="D265" s="59">
        <v>65</v>
      </c>
      <c r="E265" s="60">
        <v>0.41666666666666669</v>
      </c>
      <c r="F265" s="60">
        <v>0.4291666666666667</v>
      </c>
      <c r="G265" s="57" t="s">
        <v>535</v>
      </c>
      <c r="H265" s="31" t="s">
        <v>442</v>
      </c>
      <c r="I265" s="55">
        <v>15</v>
      </c>
      <c r="J265" s="58">
        <v>50</v>
      </c>
      <c r="K265" s="61">
        <v>47</v>
      </c>
      <c r="L265" s="36">
        <f>+K265*I265</f>
        <v>705</v>
      </c>
      <c r="M265" s="37" t="s">
        <v>742</v>
      </c>
      <c r="N265" s="23" t="s">
        <v>827</v>
      </c>
      <c r="O265" s="23">
        <v>57</v>
      </c>
      <c r="P265" s="23" t="s">
        <v>826</v>
      </c>
      <c r="Q265" s="23">
        <v>57</v>
      </c>
      <c r="R265" s="79" t="s">
        <v>1909</v>
      </c>
      <c r="S265" s="79" t="s">
        <v>1910</v>
      </c>
      <c r="T265" s="7">
        <v>2290</v>
      </c>
      <c r="U265" s="7" t="s">
        <v>1381</v>
      </c>
      <c r="V265" s="7">
        <v>2180</v>
      </c>
      <c r="W265" s="7" t="s">
        <v>1380</v>
      </c>
      <c r="X265" s="18"/>
      <c r="Y265" s="17"/>
      <c r="Z265" s="18"/>
      <c r="AA265" s="18"/>
      <c r="AB265" s="7" t="s">
        <v>1043</v>
      </c>
      <c r="AC265" s="8" t="s">
        <v>726</v>
      </c>
      <c r="AD265" s="8"/>
      <c r="AE265" s="8"/>
      <c r="AF265" s="8"/>
      <c r="AG265" s="8"/>
      <c r="AH265" s="8"/>
      <c r="AI265" s="8"/>
      <c r="AJ265" s="8"/>
      <c r="AK265" s="8"/>
      <c r="AL265" s="8"/>
      <c r="AM265" s="8" t="s">
        <v>726</v>
      </c>
      <c r="AN265" s="8"/>
      <c r="AO265" s="8"/>
      <c r="AP265" s="8"/>
      <c r="AQ265" s="8"/>
      <c r="AR265" s="8"/>
      <c r="AS265" s="8"/>
      <c r="AT265" s="8"/>
      <c r="AU265" s="8"/>
      <c r="AV265" s="8"/>
      <c r="AX265" s="142">
        <v>45</v>
      </c>
    </row>
    <row r="266" spans="1:50" ht="33.75">
      <c r="A266" s="2" t="s">
        <v>794</v>
      </c>
      <c r="B266" s="27">
        <v>262</v>
      </c>
      <c r="C266" s="55">
        <v>201</v>
      </c>
      <c r="D266" s="59">
        <v>522</v>
      </c>
      <c r="E266" s="60">
        <v>0.44027777777777777</v>
      </c>
      <c r="F266" s="60">
        <v>0.45277777777777778</v>
      </c>
      <c r="G266" s="57" t="s">
        <v>536</v>
      </c>
      <c r="H266" s="31" t="s">
        <v>477</v>
      </c>
      <c r="I266" s="55">
        <v>15</v>
      </c>
      <c r="J266" s="58">
        <v>50</v>
      </c>
      <c r="K266" s="61">
        <v>240</v>
      </c>
      <c r="L266" s="36">
        <f>+K266*I266</f>
        <v>3600</v>
      </c>
      <c r="M266" s="37" t="s">
        <v>742</v>
      </c>
      <c r="N266" s="23" t="s">
        <v>827</v>
      </c>
      <c r="O266" s="23">
        <v>57</v>
      </c>
      <c r="P266" s="23" t="s">
        <v>826</v>
      </c>
      <c r="Q266" s="23">
        <v>57</v>
      </c>
      <c r="R266" s="79" t="s">
        <v>1909</v>
      </c>
      <c r="S266" s="79" t="s">
        <v>1910</v>
      </c>
      <c r="T266" s="7">
        <v>2180</v>
      </c>
      <c r="U266" s="7" t="s">
        <v>1380</v>
      </c>
      <c r="V266" s="7">
        <v>2290</v>
      </c>
      <c r="W266" s="7" t="s">
        <v>1381</v>
      </c>
      <c r="X266" s="18"/>
      <c r="Y266" s="17"/>
      <c r="Z266" s="18"/>
      <c r="AA266" s="18"/>
      <c r="AB266" s="7" t="s">
        <v>1052</v>
      </c>
      <c r="AC266" s="8" t="s">
        <v>726</v>
      </c>
      <c r="AD266" s="8"/>
      <c r="AE266" s="8" t="s">
        <v>726</v>
      </c>
      <c r="AF266" s="8"/>
      <c r="AG266" s="8" t="s">
        <v>726</v>
      </c>
      <c r="AH266" s="8" t="s">
        <v>726</v>
      </c>
      <c r="AI266" s="8" t="s">
        <v>726</v>
      </c>
      <c r="AJ266" s="8" t="s">
        <v>726</v>
      </c>
      <c r="AK266" s="8" t="s">
        <v>726</v>
      </c>
      <c r="AL266" s="8" t="s">
        <v>726</v>
      </c>
      <c r="AM266" s="8"/>
      <c r="AN266" s="8"/>
      <c r="AO266" s="8"/>
      <c r="AP266" s="8"/>
      <c r="AQ266" s="8"/>
      <c r="AR266" s="8"/>
      <c r="AS266" s="8"/>
      <c r="AT266" s="8"/>
      <c r="AU266" s="8"/>
      <c r="AV266" s="8"/>
      <c r="AX266" s="142">
        <v>45</v>
      </c>
    </row>
    <row r="267" spans="1:50" ht="33.75">
      <c r="A267" s="2" t="s">
        <v>794</v>
      </c>
      <c r="B267" s="27">
        <v>263</v>
      </c>
      <c r="C267" s="55">
        <v>201</v>
      </c>
      <c r="D267" s="59">
        <v>522</v>
      </c>
      <c r="E267" s="60">
        <v>0.45208333333333334</v>
      </c>
      <c r="F267" s="60">
        <v>0.46458333333333335</v>
      </c>
      <c r="G267" s="57" t="s">
        <v>536</v>
      </c>
      <c r="H267" s="31" t="s">
        <v>442</v>
      </c>
      <c r="I267" s="55">
        <v>15</v>
      </c>
      <c r="J267" s="58">
        <v>50</v>
      </c>
      <c r="K267" s="61">
        <v>47</v>
      </c>
      <c r="L267" s="36">
        <f>+K267*I267</f>
        <v>705</v>
      </c>
      <c r="M267" s="37" t="s">
        <v>742</v>
      </c>
      <c r="N267" s="23" t="s">
        <v>827</v>
      </c>
      <c r="O267" s="23">
        <v>57</v>
      </c>
      <c r="P267" s="23" t="s">
        <v>826</v>
      </c>
      <c r="Q267" s="23">
        <v>57</v>
      </c>
      <c r="R267" s="79" t="s">
        <v>1909</v>
      </c>
      <c r="S267" s="79" t="s">
        <v>1910</v>
      </c>
      <c r="T267" s="7">
        <v>2180</v>
      </c>
      <c r="U267" s="7" t="s">
        <v>1380</v>
      </c>
      <c r="V267" s="7">
        <v>2290</v>
      </c>
      <c r="W267" s="7" t="s">
        <v>1381</v>
      </c>
      <c r="X267" s="18"/>
      <c r="Y267" s="17"/>
      <c r="Z267" s="18"/>
      <c r="AA267" s="18"/>
      <c r="AB267" s="7" t="s">
        <v>1043</v>
      </c>
      <c r="AC267" s="8" t="s">
        <v>726</v>
      </c>
      <c r="AD267" s="8"/>
      <c r="AE267" s="8"/>
      <c r="AF267" s="8"/>
      <c r="AG267" s="8"/>
      <c r="AH267" s="8"/>
      <c r="AI267" s="8"/>
      <c r="AJ267" s="8"/>
      <c r="AK267" s="8"/>
      <c r="AL267" s="8"/>
      <c r="AM267" s="8" t="s">
        <v>726</v>
      </c>
      <c r="AN267" s="8"/>
      <c r="AO267" s="8"/>
      <c r="AP267" s="8"/>
      <c r="AQ267" s="8"/>
      <c r="AR267" s="8"/>
      <c r="AS267" s="8"/>
      <c r="AT267" s="8"/>
      <c r="AU267" s="8"/>
      <c r="AV267" s="8"/>
      <c r="AX267" s="142">
        <v>45</v>
      </c>
    </row>
    <row r="268" spans="1:50" ht="25.5">
      <c r="A268" s="2" t="s">
        <v>794</v>
      </c>
      <c r="B268" s="27">
        <v>264</v>
      </c>
      <c r="C268" s="55">
        <v>201</v>
      </c>
      <c r="D268" s="59">
        <v>353</v>
      </c>
      <c r="E268" s="60">
        <v>0.45763888888888887</v>
      </c>
      <c r="F268" s="60">
        <v>0.5395833333333333</v>
      </c>
      <c r="G268" s="57" t="s">
        <v>584</v>
      </c>
      <c r="H268" s="57" t="s">
        <v>583</v>
      </c>
      <c r="I268" s="55">
        <v>44</v>
      </c>
      <c r="J268" s="58">
        <v>50</v>
      </c>
      <c r="K268" s="61">
        <v>38</v>
      </c>
      <c r="L268" s="36">
        <f>+K268*I268</f>
        <v>1672</v>
      </c>
      <c r="M268" s="51" t="s">
        <v>735</v>
      </c>
      <c r="N268" s="23" t="s">
        <v>960</v>
      </c>
      <c r="O268" s="23">
        <v>54</v>
      </c>
      <c r="P268" s="23" t="s">
        <v>791</v>
      </c>
      <c r="Q268" s="23">
        <v>45</v>
      </c>
      <c r="R268" s="23" t="s">
        <v>790</v>
      </c>
      <c r="S268" s="23">
        <v>37</v>
      </c>
      <c r="T268" s="7">
        <v>2290</v>
      </c>
      <c r="U268" s="7" t="s">
        <v>1381</v>
      </c>
      <c r="V268" s="7">
        <v>1</v>
      </c>
      <c r="W268" s="7" t="s">
        <v>1236</v>
      </c>
      <c r="X268" s="18"/>
      <c r="Y268" s="17"/>
      <c r="Z268" s="18"/>
      <c r="AA268" s="18"/>
      <c r="AB268" s="7" t="s">
        <v>1065</v>
      </c>
      <c r="AC268" s="8" t="s">
        <v>726</v>
      </c>
      <c r="AD268" s="8"/>
      <c r="AE268" s="8" t="s">
        <v>726</v>
      </c>
      <c r="AF268" s="8"/>
      <c r="AG268" s="8"/>
      <c r="AH268" s="8"/>
      <c r="AI268" s="8"/>
      <c r="AJ268" s="8"/>
      <c r="AK268" s="8"/>
      <c r="AL268" s="8" t="s">
        <v>726</v>
      </c>
      <c r="AM268" s="8"/>
      <c r="AN268" s="8"/>
      <c r="AO268" s="8"/>
      <c r="AP268" s="8"/>
      <c r="AQ268" s="8"/>
      <c r="AR268" s="8"/>
      <c r="AS268" s="8"/>
      <c r="AT268" s="8"/>
      <c r="AU268" s="8"/>
      <c r="AV268" s="8"/>
      <c r="AX268" s="142">
        <v>132</v>
      </c>
    </row>
    <row r="269" spans="1:50" s="14" customFormat="1" ht="25.5">
      <c r="A269" s="2" t="s">
        <v>793</v>
      </c>
      <c r="B269" s="27">
        <v>265</v>
      </c>
      <c r="C269" s="55">
        <v>201</v>
      </c>
      <c r="D269" s="59">
        <v>516</v>
      </c>
      <c r="E269" s="60">
        <v>0.48194444444444445</v>
      </c>
      <c r="F269" s="60">
        <v>0.49444444444444446</v>
      </c>
      <c r="G269" s="57" t="s">
        <v>536</v>
      </c>
      <c r="H269" s="31" t="s">
        <v>424</v>
      </c>
      <c r="I269" s="55">
        <v>16</v>
      </c>
      <c r="J269" s="58">
        <v>50</v>
      </c>
      <c r="K269" s="61">
        <v>55</v>
      </c>
      <c r="L269" s="36">
        <f>+K269*I269</f>
        <v>880</v>
      </c>
      <c r="M269" s="37" t="s">
        <v>745</v>
      </c>
      <c r="N269" s="23" t="s">
        <v>877</v>
      </c>
      <c r="O269" s="23">
        <v>57</v>
      </c>
      <c r="P269" s="23" t="s">
        <v>1787</v>
      </c>
      <c r="Q269" s="23">
        <v>57</v>
      </c>
      <c r="R269" s="2"/>
      <c r="S269" s="23"/>
      <c r="T269" s="7">
        <v>2180</v>
      </c>
      <c r="U269" s="7" t="s">
        <v>1380</v>
      </c>
      <c r="V269" s="7">
        <v>2290</v>
      </c>
      <c r="W269" s="7" t="s">
        <v>1381</v>
      </c>
      <c r="X269" s="17"/>
      <c r="Y269" s="18"/>
      <c r="Z269" s="18"/>
      <c r="AA269" s="18"/>
      <c r="AB269" s="7" t="s">
        <v>1049</v>
      </c>
      <c r="AC269" s="8"/>
      <c r="AD269" s="8" t="s">
        <v>726</v>
      </c>
      <c r="AE269" s="8" t="s">
        <v>726</v>
      </c>
      <c r="AF269" s="8"/>
      <c r="AG269" s="8" t="s">
        <v>726</v>
      </c>
      <c r="AH269" s="8" t="s">
        <v>726</v>
      </c>
      <c r="AI269" s="8" t="s">
        <v>726</v>
      </c>
      <c r="AJ269" s="8" t="s">
        <v>726</v>
      </c>
      <c r="AK269" s="8" t="s">
        <v>726</v>
      </c>
      <c r="AL269" s="8"/>
      <c r="AM269" s="8"/>
      <c r="AN269" s="8"/>
      <c r="AO269" s="8"/>
      <c r="AP269" s="8"/>
      <c r="AQ269" s="8"/>
      <c r="AR269" s="8"/>
      <c r="AS269" s="8"/>
      <c r="AT269" s="8"/>
      <c r="AU269" s="8"/>
      <c r="AV269" s="8"/>
      <c r="AX269" s="143">
        <v>40.760456273764255</v>
      </c>
    </row>
    <row r="270" spans="1:50" ht="33.75">
      <c r="A270" s="2" t="s">
        <v>794</v>
      </c>
      <c r="B270" s="27">
        <v>266</v>
      </c>
      <c r="C270" s="55">
        <v>201</v>
      </c>
      <c r="D270" s="59">
        <v>516</v>
      </c>
      <c r="E270" s="60">
        <v>0.48194444444444445</v>
      </c>
      <c r="F270" s="60">
        <v>0.49444444444444446</v>
      </c>
      <c r="G270" s="57" t="s">
        <v>536</v>
      </c>
      <c r="H270" s="31" t="s">
        <v>477</v>
      </c>
      <c r="I270" s="55">
        <v>15</v>
      </c>
      <c r="J270" s="58">
        <v>50</v>
      </c>
      <c r="K270" s="61">
        <v>240</v>
      </c>
      <c r="L270" s="36">
        <f>+K270*I270</f>
        <v>3600</v>
      </c>
      <c r="M270" s="37" t="s">
        <v>742</v>
      </c>
      <c r="N270" s="23" t="s">
        <v>827</v>
      </c>
      <c r="O270" s="23">
        <v>57</v>
      </c>
      <c r="P270" s="23" t="s">
        <v>826</v>
      </c>
      <c r="Q270" s="23">
        <v>57</v>
      </c>
      <c r="R270" s="79" t="s">
        <v>1909</v>
      </c>
      <c r="S270" s="79" t="s">
        <v>1910</v>
      </c>
      <c r="T270" s="7">
        <v>2180</v>
      </c>
      <c r="U270" s="7" t="s">
        <v>1380</v>
      </c>
      <c r="V270" s="7">
        <v>2290</v>
      </c>
      <c r="W270" s="7" t="s">
        <v>1381</v>
      </c>
      <c r="X270" s="18"/>
      <c r="Y270" s="17"/>
      <c r="Z270" s="114"/>
      <c r="AA270" s="114"/>
      <c r="AB270" s="5" t="s">
        <v>1052</v>
      </c>
      <c r="AC270" s="8" t="s">
        <v>726</v>
      </c>
      <c r="AD270" s="8"/>
      <c r="AE270" s="8" t="s">
        <v>726</v>
      </c>
      <c r="AF270" s="8"/>
      <c r="AG270" s="8" t="s">
        <v>726</v>
      </c>
      <c r="AH270" s="8" t="s">
        <v>726</v>
      </c>
      <c r="AI270" s="8" t="s">
        <v>726</v>
      </c>
      <c r="AJ270" s="8" t="s">
        <v>726</v>
      </c>
      <c r="AK270" s="8" t="s">
        <v>726</v>
      </c>
      <c r="AL270" s="8" t="s">
        <v>726</v>
      </c>
      <c r="AM270" s="8"/>
      <c r="AN270" s="8"/>
      <c r="AO270" s="8"/>
      <c r="AP270" s="8"/>
      <c r="AQ270" s="8"/>
      <c r="AR270" s="8"/>
      <c r="AS270" s="8"/>
      <c r="AT270" s="8"/>
      <c r="AU270" s="8"/>
      <c r="AV270" s="8"/>
      <c r="AX270" s="142">
        <v>45</v>
      </c>
    </row>
    <row r="271" spans="1:50" ht="33.75">
      <c r="A271" s="2" t="s">
        <v>794</v>
      </c>
      <c r="B271" s="27">
        <v>267</v>
      </c>
      <c r="C271" s="55">
        <v>201</v>
      </c>
      <c r="D271" s="59">
        <v>524</v>
      </c>
      <c r="E271" s="60">
        <v>0.50416666666666665</v>
      </c>
      <c r="F271" s="60">
        <v>0.51666666666666672</v>
      </c>
      <c r="G271" s="57" t="s">
        <v>536</v>
      </c>
      <c r="H271" s="31" t="s">
        <v>442</v>
      </c>
      <c r="I271" s="55">
        <v>15</v>
      </c>
      <c r="J271" s="58">
        <v>50</v>
      </c>
      <c r="K271" s="35">
        <v>47</v>
      </c>
      <c r="L271" s="36">
        <f>+K271*I271</f>
        <v>705</v>
      </c>
      <c r="M271" s="37" t="s">
        <v>742</v>
      </c>
      <c r="N271" s="23" t="s">
        <v>827</v>
      </c>
      <c r="O271" s="23">
        <v>57</v>
      </c>
      <c r="P271" s="23" t="s">
        <v>826</v>
      </c>
      <c r="Q271" s="23">
        <v>57</v>
      </c>
      <c r="R271" s="79" t="s">
        <v>1909</v>
      </c>
      <c r="S271" s="79" t="s">
        <v>1910</v>
      </c>
      <c r="T271" s="7">
        <v>2180</v>
      </c>
      <c r="U271" s="7" t="s">
        <v>1380</v>
      </c>
      <c r="V271" s="7">
        <v>2290</v>
      </c>
      <c r="W271" s="7" t="s">
        <v>1381</v>
      </c>
      <c r="X271" s="18"/>
      <c r="Y271" s="17"/>
      <c r="Z271" s="18"/>
      <c r="AA271" s="18"/>
      <c r="AB271" s="7" t="s">
        <v>1043</v>
      </c>
      <c r="AC271" s="8" t="s">
        <v>726</v>
      </c>
      <c r="AD271" s="8"/>
      <c r="AE271" s="8"/>
      <c r="AF271" s="8"/>
      <c r="AG271" s="8"/>
      <c r="AH271" s="8"/>
      <c r="AI271" s="8"/>
      <c r="AJ271" s="8"/>
      <c r="AK271" s="8"/>
      <c r="AL271" s="8"/>
      <c r="AM271" s="8" t="s">
        <v>726</v>
      </c>
      <c r="AN271" s="8"/>
      <c r="AO271" s="8"/>
      <c r="AP271" s="8"/>
      <c r="AQ271" s="8"/>
      <c r="AR271" s="8"/>
      <c r="AS271" s="8"/>
      <c r="AT271" s="8"/>
      <c r="AU271" s="8"/>
      <c r="AV271" s="8"/>
      <c r="AX271" s="142">
        <v>45</v>
      </c>
    </row>
    <row r="272" spans="1:50" ht="33.75">
      <c r="A272" s="2" t="s">
        <v>794</v>
      </c>
      <c r="B272" s="27">
        <v>268</v>
      </c>
      <c r="C272" s="55">
        <v>201</v>
      </c>
      <c r="D272" s="59">
        <v>525</v>
      </c>
      <c r="E272" s="60">
        <v>0.52222222222222225</v>
      </c>
      <c r="F272" s="60">
        <v>0.53472222222222221</v>
      </c>
      <c r="G272" s="57" t="s">
        <v>535</v>
      </c>
      <c r="H272" s="31" t="s">
        <v>442</v>
      </c>
      <c r="I272" s="55">
        <v>15</v>
      </c>
      <c r="J272" s="58">
        <v>50</v>
      </c>
      <c r="K272" s="61">
        <v>47</v>
      </c>
      <c r="L272" s="36">
        <f>+K272*I272</f>
        <v>705</v>
      </c>
      <c r="M272" s="37" t="s">
        <v>742</v>
      </c>
      <c r="N272" s="23" t="s">
        <v>827</v>
      </c>
      <c r="O272" s="23">
        <v>57</v>
      </c>
      <c r="P272" s="23" t="s">
        <v>826</v>
      </c>
      <c r="Q272" s="23">
        <v>57</v>
      </c>
      <c r="R272" s="79" t="s">
        <v>1909</v>
      </c>
      <c r="S272" s="79" t="s">
        <v>1910</v>
      </c>
      <c r="T272" s="7">
        <v>2290</v>
      </c>
      <c r="U272" s="7" t="s">
        <v>1381</v>
      </c>
      <c r="V272" s="7">
        <v>2180</v>
      </c>
      <c r="W272" s="7" t="s">
        <v>1380</v>
      </c>
      <c r="X272" s="18"/>
      <c r="Y272" s="17"/>
      <c r="Z272" s="18"/>
      <c r="AA272" s="18"/>
      <c r="AB272" s="7" t="s">
        <v>1043</v>
      </c>
      <c r="AC272" s="8" t="s">
        <v>726</v>
      </c>
      <c r="AD272" s="8"/>
      <c r="AE272" s="8"/>
      <c r="AF272" s="8"/>
      <c r="AG272" s="8"/>
      <c r="AH272" s="8"/>
      <c r="AI272" s="8"/>
      <c r="AJ272" s="8"/>
      <c r="AK272" s="8"/>
      <c r="AL272" s="8"/>
      <c r="AM272" s="8" t="s">
        <v>726</v>
      </c>
      <c r="AN272" s="8"/>
      <c r="AO272" s="8"/>
      <c r="AP272" s="8"/>
      <c r="AQ272" s="8"/>
      <c r="AR272" s="8"/>
      <c r="AS272" s="8"/>
      <c r="AT272" s="8"/>
      <c r="AU272" s="8"/>
      <c r="AV272" s="8"/>
      <c r="AX272" s="142">
        <v>45</v>
      </c>
    </row>
    <row r="273" spans="1:50" ht="25.5">
      <c r="B273" s="27">
        <v>269</v>
      </c>
      <c r="C273" s="31">
        <v>201</v>
      </c>
      <c r="D273" s="31">
        <v>335</v>
      </c>
      <c r="E273" s="32">
        <v>0.55902777777777779</v>
      </c>
      <c r="F273" s="32">
        <v>0.57499999999999996</v>
      </c>
      <c r="G273" s="31" t="s">
        <v>182</v>
      </c>
      <c r="H273" s="31" t="s">
        <v>282</v>
      </c>
      <c r="I273" s="33">
        <v>15</v>
      </c>
      <c r="J273" s="34">
        <v>50</v>
      </c>
      <c r="K273" s="35">
        <v>36</v>
      </c>
      <c r="L273" s="36">
        <f>+K273*I273</f>
        <v>540</v>
      </c>
      <c r="M273" s="37" t="s">
        <v>736</v>
      </c>
      <c r="N273" s="2" t="s">
        <v>1162</v>
      </c>
      <c r="O273" s="24">
        <v>58</v>
      </c>
      <c r="P273" s="23" t="s">
        <v>1786</v>
      </c>
      <c r="Q273" s="23">
        <v>56</v>
      </c>
      <c r="R273" s="79" t="s">
        <v>2020</v>
      </c>
      <c r="S273" s="79">
        <v>57</v>
      </c>
      <c r="T273" s="7">
        <v>2290</v>
      </c>
      <c r="U273" s="7" t="s">
        <v>1381</v>
      </c>
      <c r="V273" s="7">
        <v>2180</v>
      </c>
      <c r="W273" s="7" t="s">
        <v>1380</v>
      </c>
      <c r="X273" s="18"/>
      <c r="Y273" s="17"/>
      <c r="Z273" s="17"/>
      <c r="AA273" s="17"/>
      <c r="AB273" s="8" t="s">
        <v>1060</v>
      </c>
      <c r="AC273" s="8"/>
      <c r="AD273" s="8"/>
      <c r="AE273" s="8"/>
      <c r="AF273" s="8" t="s">
        <v>726</v>
      </c>
      <c r="AG273" s="8"/>
      <c r="AH273" s="8"/>
      <c r="AI273" s="8"/>
      <c r="AJ273" s="8"/>
      <c r="AK273" s="8" t="s">
        <v>726</v>
      </c>
      <c r="AL273" s="8"/>
      <c r="AM273" s="8"/>
      <c r="AN273" s="8"/>
      <c r="AO273" s="8"/>
      <c r="AP273" s="8"/>
      <c r="AQ273" s="8"/>
      <c r="AR273" s="8"/>
      <c r="AS273" s="8"/>
      <c r="AT273" s="8"/>
      <c r="AU273" s="8"/>
      <c r="AV273" s="8"/>
      <c r="AX273" s="142">
        <v>27</v>
      </c>
    </row>
    <row r="274" spans="1:50" ht="33.75">
      <c r="A274" s="2" t="s">
        <v>794</v>
      </c>
      <c r="B274" s="27">
        <v>270</v>
      </c>
      <c r="C274" s="55">
        <v>201</v>
      </c>
      <c r="D274" s="59">
        <v>529</v>
      </c>
      <c r="E274" s="60">
        <v>0.56041666666666667</v>
      </c>
      <c r="F274" s="60">
        <v>0.57291666666666663</v>
      </c>
      <c r="G274" s="57" t="s">
        <v>535</v>
      </c>
      <c r="H274" s="31" t="s">
        <v>442</v>
      </c>
      <c r="I274" s="55">
        <v>15</v>
      </c>
      <c r="J274" s="58">
        <v>50</v>
      </c>
      <c r="K274" s="35">
        <v>47</v>
      </c>
      <c r="L274" s="36">
        <f>+K274*I274</f>
        <v>705</v>
      </c>
      <c r="M274" s="37" t="s">
        <v>742</v>
      </c>
      <c r="N274" s="23" t="s">
        <v>827</v>
      </c>
      <c r="O274" s="23">
        <v>57</v>
      </c>
      <c r="P274" s="23" t="s">
        <v>826</v>
      </c>
      <c r="Q274" s="23">
        <v>57</v>
      </c>
      <c r="R274" s="79" t="s">
        <v>1909</v>
      </c>
      <c r="S274" s="79" t="s">
        <v>1910</v>
      </c>
      <c r="T274" s="7">
        <v>2290</v>
      </c>
      <c r="U274" s="7" t="s">
        <v>1381</v>
      </c>
      <c r="V274" s="7">
        <v>2180</v>
      </c>
      <c r="W274" s="7" t="s">
        <v>1380</v>
      </c>
      <c r="X274" s="18"/>
      <c r="Y274" s="17"/>
      <c r="Z274" s="18"/>
      <c r="AA274" s="18"/>
      <c r="AB274" s="7" t="s">
        <v>1043</v>
      </c>
      <c r="AC274" s="8" t="s">
        <v>726</v>
      </c>
      <c r="AD274" s="8"/>
      <c r="AE274" s="8"/>
      <c r="AF274" s="8"/>
      <c r="AG274" s="8"/>
      <c r="AH274" s="8"/>
      <c r="AI274" s="8"/>
      <c r="AJ274" s="8"/>
      <c r="AK274" s="8"/>
      <c r="AL274" s="8"/>
      <c r="AM274" s="8" t="s">
        <v>726</v>
      </c>
      <c r="AN274" s="8"/>
      <c r="AO274" s="8"/>
      <c r="AP274" s="8"/>
      <c r="AQ274" s="8"/>
      <c r="AR274" s="8"/>
      <c r="AS274" s="8"/>
      <c r="AT274" s="8"/>
      <c r="AU274" s="8"/>
      <c r="AV274" s="8"/>
      <c r="AX274" s="142">
        <v>45</v>
      </c>
    </row>
    <row r="275" spans="1:50" ht="33.75">
      <c r="A275" s="2" t="s">
        <v>794</v>
      </c>
      <c r="B275" s="27">
        <v>271</v>
      </c>
      <c r="C275" s="55">
        <v>201</v>
      </c>
      <c r="D275" s="59">
        <v>526</v>
      </c>
      <c r="E275" s="56">
        <v>0.57291666666666663</v>
      </c>
      <c r="F275" s="56">
        <v>0.5854166666666667</v>
      </c>
      <c r="G275" s="57" t="s">
        <v>536</v>
      </c>
      <c r="H275" s="31" t="s">
        <v>442</v>
      </c>
      <c r="I275" s="55">
        <v>15</v>
      </c>
      <c r="J275" s="58">
        <v>50</v>
      </c>
      <c r="K275" s="61">
        <v>47</v>
      </c>
      <c r="L275" s="36">
        <f>+K275*I275</f>
        <v>705</v>
      </c>
      <c r="M275" s="37" t="s">
        <v>742</v>
      </c>
      <c r="N275" s="23" t="s">
        <v>827</v>
      </c>
      <c r="O275" s="23">
        <v>57</v>
      </c>
      <c r="P275" s="23" t="s">
        <v>826</v>
      </c>
      <c r="Q275" s="23">
        <v>57</v>
      </c>
      <c r="R275" s="79" t="s">
        <v>1909</v>
      </c>
      <c r="S275" s="79" t="s">
        <v>1910</v>
      </c>
      <c r="T275" s="7">
        <v>2180</v>
      </c>
      <c r="U275" s="7" t="s">
        <v>1380</v>
      </c>
      <c r="V275" s="7">
        <v>2290</v>
      </c>
      <c r="W275" s="7" t="s">
        <v>1381</v>
      </c>
      <c r="X275" s="18"/>
      <c r="Y275" s="17"/>
      <c r="Z275" s="18"/>
      <c r="AA275" s="18"/>
      <c r="AB275" s="7" t="s">
        <v>1043</v>
      </c>
      <c r="AC275" s="8" t="s">
        <v>726</v>
      </c>
      <c r="AD275" s="8"/>
      <c r="AE275" s="8"/>
      <c r="AF275" s="8"/>
      <c r="AG275" s="8"/>
      <c r="AH275" s="8"/>
      <c r="AI275" s="8"/>
      <c r="AJ275" s="8"/>
      <c r="AK275" s="8"/>
      <c r="AL275" s="8"/>
      <c r="AM275" s="8" t="s">
        <v>726</v>
      </c>
      <c r="AN275" s="8"/>
      <c r="AO275" s="8"/>
      <c r="AP275" s="8"/>
      <c r="AQ275" s="8"/>
      <c r="AR275" s="8"/>
      <c r="AS275" s="8"/>
      <c r="AT275" s="8"/>
      <c r="AU275" s="8"/>
      <c r="AV275" s="8"/>
      <c r="AX275" s="142">
        <v>45</v>
      </c>
    </row>
    <row r="276" spans="1:50" ht="25.5">
      <c r="B276" s="27">
        <v>272</v>
      </c>
      <c r="C276" s="31">
        <v>201</v>
      </c>
      <c r="D276" s="43">
        <v>528</v>
      </c>
      <c r="E276" s="42">
        <v>0.60138888888888886</v>
      </c>
      <c r="F276" s="32">
        <v>0.61388888888888882</v>
      </c>
      <c r="G276" s="31" t="s">
        <v>181</v>
      </c>
      <c r="H276" s="31" t="s">
        <v>282</v>
      </c>
      <c r="I276" s="33">
        <v>15</v>
      </c>
      <c r="J276" s="34">
        <v>55</v>
      </c>
      <c r="K276" s="35">
        <v>36</v>
      </c>
      <c r="L276" s="36">
        <f>+K276*I276</f>
        <v>540</v>
      </c>
      <c r="M276" s="37" t="s">
        <v>736</v>
      </c>
      <c r="N276" s="2" t="s">
        <v>1162</v>
      </c>
      <c r="O276" s="24">
        <v>58</v>
      </c>
      <c r="P276" s="23" t="s">
        <v>1786</v>
      </c>
      <c r="Q276" s="23">
        <v>56</v>
      </c>
      <c r="R276" s="79" t="s">
        <v>2020</v>
      </c>
      <c r="S276" s="79">
        <v>57</v>
      </c>
      <c r="T276" s="7">
        <v>2180</v>
      </c>
      <c r="U276" s="7" t="s">
        <v>1380</v>
      </c>
      <c r="V276" s="7">
        <v>2290</v>
      </c>
      <c r="W276" s="7" t="s">
        <v>1381</v>
      </c>
      <c r="X276" s="18"/>
      <c r="Y276" s="17"/>
      <c r="Z276" s="17"/>
      <c r="AA276" s="17"/>
      <c r="AB276" s="8" t="s">
        <v>1060</v>
      </c>
      <c r="AC276" s="8"/>
      <c r="AD276" s="8"/>
      <c r="AE276" s="8"/>
      <c r="AF276" s="8" t="s">
        <v>726</v>
      </c>
      <c r="AG276" s="8"/>
      <c r="AH276" s="8"/>
      <c r="AI276" s="8"/>
      <c r="AJ276" s="8"/>
      <c r="AK276" s="8" t="s">
        <v>726</v>
      </c>
      <c r="AL276" s="8"/>
      <c r="AM276" s="8"/>
      <c r="AN276" s="8"/>
      <c r="AO276" s="8"/>
      <c r="AP276" s="8"/>
      <c r="AQ276" s="8"/>
      <c r="AR276" s="8"/>
      <c r="AS276" s="8"/>
      <c r="AT276" s="8"/>
      <c r="AU276" s="8"/>
      <c r="AV276" s="8"/>
      <c r="AX276" s="142">
        <v>27</v>
      </c>
    </row>
    <row r="277" spans="1:50" ht="25.5">
      <c r="A277" s="2" t="s">
        <v>794</v>
      </c>
      <c r="B277" s="27">
        <v>273</v>
      </c>
      <c r="C277" s="55">
        <v>201</v>
      </c>
      <c r="D277" s="59">
        <v>71</v>
      </c>
      <c r="E277" s="60">
        <v>0.625</v>
      </c>
      <c r="F277" s="60">
        <v>0.63750000000000007</v>
      </c>
      <c r="G277" s="57" t="s">
        <v>535</v>
      </c>
      <c r="H277" s="31" t="s">
        <v>477</v>
      </c>
      <c r="I277" s="55">
        <v>15</v>
      </c>
      <c r="J277" s="58">
        <v>50</v>
      </c>
      <c r="K277" s="35">
        <v>240</v>
      </c>
      <c r="L277" s="36">
        <f>+K277*I277</f>
        <v>3600</v>
      </c>
      <c r="M277" s="37" t="s">
        <v>742</v>
      </c>
      <c r="N277" s="79" t="s">
        <v>1908</v>
      </c>
      <c r="O277" s="79">
        <v>37</v>
      </c>
      <c r="P277" s="23" t="s">
        <v>826</v>
      </c>
      <c r="Q277" s="23">
        <v>57</v>
      </c>
      <c r="R277" s="79" t="s">
        <v>1844</v>
      </c>
      <c r="S277" s="79">
        <v>57</v>
      </c>
      <c r="T277" s="7">
        <v>2290</v>
      </c>
      <c r="U277" s="7" t="s">
        <v>1381</v>
      </c>
      <c r="V277" s="7">
        <v>2180</v>
      </c>
      <c r="W277" s="7" t="s">
        <v>1380</v>
      </c>
      <c r="X277" s="18"/>
      <c r="Y277" s="17"/>
      <c r="Z277" s="18"/>
      <c r="AA277" s="18"/>
      <c r="AB277" s="7" t="s">
        <v>1052</v>
      </c>
      <c r="AC277" s="8" t="s">
        <v>726</v>
      </c>
      <c r="AD277" s="8"/>
      <c r="AE277" s="8" t="s">
        <v>726</v>
      </c>
      <c r="AF277" s="8"/>
      <c r="AG277" s="8" t="s">
        <v>726</v>
      </c>
      <c r="AH277" s="8" t="s">
        <v>726</v>
      </c>
      <c r="AI277" s="8" t="s">
        <v>726</v>
      </c>
      <c r="AJ277" s="8" t="s">
        <v>726</v>
      </c>
      <c r="AK277" s="8" t="s">
        <v>726</v>
      </c>
      <c r="AL277" s="8" t="s">
        <v>726</v>
      </c>
      <c r="AM277" s="8"/>
      <c r="AN277" s="8"/>
      <c r="AO277" s="8"/>
      <c r="AP277" s="8"/>
      <c r="AQ277" s="8"/>
      <c r="AR277" s="8"/>
      <c r="AS277" s="8"/>
      <c r="AT277" s="8"/>
      <c r="AU277" s="8"/>
      <c r="AV277" s="8"/>
      <c r="AX277" s="142">
        <v>45</v>
      </c>
    </row>
    <row r="278" spans="1:50" ht="25.5">
      <c r="A278" s="2" t="s">
        <v>794</v>
      </c>
      <c r="B278" s="27">
        <v>274</v>
      </c>
      <c r="C278" s="55">
        <v>201</v>
      </c>
      <c r="D278" s="59">
        <v>71</v>
      </c>
      <c r="E278" s="60">
        <v>0.625</v>
      </c>
      <c r="F278" s="60">
        <v>0.63750000000000007</v>
      </c>
      <c r="G278" s="57" t="s">
        <v>535</v>
      </c>
      <c r="H278" s="31" t="s">
        <v>442</v>
      </c>
      <c r="I278" s="55">
        <v>15</v>
      </c>
      <c r="J278" s="58">
        <v>50</v>
      </c>
      <c r="K278" s="61">
        <v>47</v>
      </c>
      <c r="L278" s="36">
        <f>+K278*I278</f>
        <v>705</v>
      </c>
      <c r="M278" s="37" t="s">
        <v>735</v>
      </c>
      <c r="N278" s="23" t="s">
        <v>960</v>
      </c>
      <c r="O278" s="23">
        <v>54</v>
      </c>
      <c r="P278" s="23" t="s">
        <v>791</v>
      </c>
      <c r="Q278" s="23">
        <v>45</v>
      </c>
      <c r="R278" s="23" t="s">
        <v>790</v>
      </c>
      <c r="S278" s="23">
        <v>37</v>
      </c>
      <c r="T278" s="7">
        <v>2290</v>
      </c>
      <c r="U278" s="7" t="s">
        <v>1381</v>
      </c>
      <c r="V278" s="7">
        <v>2180</v>
      </c>
      <c r="W278" s="7" t="s">
        <v>1380</v>
      </c>
      <c r="X278" s="18"/>
      <c r="Y278" s="17"/>
      <c r="Z278" s="18"/>
      <c r="AA278" s="18"/>
      <c r="AB278" s="7" t="s">
        <v>1043</v>
      </c>
      <c r="AC278" s="8" t="s">
        <v>726</v>
      </c>
      <c r="AD278" s="8"/>
      <c r="AE278" s="8"/>
      <c r="AF278" s="8"/>
      <c r="AG278" s="8"/>
      <c r="AH278" s="8"/>
      <c r="AI278" s="8"/>
      <c r="AJ278" s="8"/>
      <c r="AK278" s="8"/>
      <c r="AL278" s="8"/>
      <c r="AM278" s="8" t="s">
        <v>726</v>
      </c>
      <c r="AN278" s="8"/>
      <c r="AO278" s="8"/>
      <c r="AP278" s="8"/>
      <c r="AQ278" s="8"/>
      <c r="AR278" s="8"/>
      <c r="AS278" s="8"/>
      <c r="AT278" s="8"/>
      <c r="AU278" s="8"/>
      <c r="AV278" s="8"/>
      <c r="AX278" s="142">
        <v>45</v>
      </c>
    </row>
    <row r="279" spans="1:50" ht="25.5">
      <c r="A279" s="2" t="s">
        <v>793</v>
      </c>
      <c r="B279" s="27">
        <v>275</v>
      </c>
      <c r="C279" s="55">
        <v>201</v>
      </c>
      <c r="D279" s="55">
        <v>71</v>
      </c>
      <c r="E279" s="131">
        <v>0.62569444444444444</v>
      </c>
      <c r="F279" s="131">
        <v>0.67291666666666661</v>
      </c>
      <c r="G279" s="57" t="s">
        <v>539</v>
      </c>
      <c r="H279" s="31" t="s">
        <v>546</v>
      </c>
      <c r="I279" s="55">
        <v>44</v>
      </c>
      <c r="J279" s="58">
        <v>50</v>
      </c>
      <c r="K279" s="61">
        <v>13</v>
      </c>
      <c r="L279" s="36">
        <f>+K279*I279</f>
        <v>572</v>
      </c>
      <c r="M279" s="51" t="s">
        <v>736</v>
      </c>
      <c r="N279" s="23" t="s">
        <v>1786</v>
      </c>
      <c r="O279" s="23">
        <v>56</v>
      </c>
      <c r="T279" s="7">
        <v>2290</v>
      </c>
      <c r="U279" s="7" t="s">
        <v>1381</v>
      </c>
      <c r="V279" s="7">
        <v>1</v>
      </c>
      <c r="W279" s="7" t="s">
        <v>1236</v>
      </c>
      <c r="X279" s="17"/>
      <c r="Y279" s="18"/>
      <c r="Z279" s="18"/>
      <c r="AA279" s="18"/>
      <c r="AB279" s="7" t="s">
        <v>1044</v>
      </c>
      <c r="AC279" s="8"/>
      <c r="AD279" s="8" t="s">
        <v>726</v>
      </c>
      <c r="AE279" s="8"/>
      <c r="AF279" s="8"/>
      <c r="AG279" s="8"/>
      <c r="AH279" s="8"/>
      <c r="AI279" s="8"/>
      <c r="AJ279" s="8"/>
      <c r="AK279" s="8"/>
      <c r="AL279" s="8"/>
      <c r="AM279" s="8" t="s">
        <v>726</v>
      </c>
      <c r="AN279" s="8"/>
      <c r="AO279" s="8"/>
      <c r="AP279" s="8"/>
      <c r="AQ279" s="8"/>
      <c r="AR279" s="8"/>
      <c r="AS279" s="8"/>
      <c r="AT279" s="8"/>
      <c r="AU279" s="8"/>
      <c r="AV279" s="8"/>
      <c r="AX279" s="142">
        <v>123.94366197183098</v>
      </c>
    </row>
    <row r="280" spans="1:50" ht="25.5">
      <c r="A280" s="2" t="s">
        <v>794</v>
      </c>
      <c r="B280" s="27">
        <v>276</v>
      </c>
      <c r="C280" s="55">
        <v>201</v>
      </c>
      <c r="D280" s="59">
        <v>530</v>
      </c>
      <c r="E280" s="60">
        <v>0.64861111111111114</v>
      </c>
      <c r="F280" s="60">
        <v>0.66111111111111109</v>
      </c>
      <c r="G280" s="57" t="s">
        <v>536</v>
      </c>
      <c r="H280" s="31" t="s">
        <v>477</v>
      </c>
      <c r="I280" s="55">
        <v>15</v>
      </c>
      <c r="J280" s="58">
        <v>50</v>
      </c>
      <c r="K280" s="61">
        <v>240</v>
      </c>
      <c r="L280" s="36">
        <f>+K280*I280</f>
        <v>3600</v>
      </c>
      <c r="M280" s="37" t="s">
        <v>742</v>
      </c>
      <c r="N280" s="79" t="s">
        <v>1908</v>
      </c>
      <c r="O280" s="79">
        <v>37</v>
      </c>
      <c r="P280" s="23" t="s">
        <v>826</v>
      </c>
      <c r="Q280" s="23">
        <v>57</v>
      </c>
      <c r="R280" s="79" t="s">
        <v>1844</v>
      </c>
      <c r="S280" s="79">
        <v>57</v>
      </c>
      <c r="T280" s="7">
        <v>2180</v>
      </c>
      <c r="U280" s="7" t="s">
        <v>1380</v>
      </c>
      <c r="V280" s="7">
        <v>2290</v>
      </c>
      <c r="W280" s="7" t="s">
        <v>1381</v>
      </c>
      <c r="X280" s="18"/>
      <c r="Y280" s="17"/>
      <c r="Z280" s="18"/>
      <c r="AA280" s="18"/>
      <c r="AB280" s="7" t="s">
        <v>1052</v>
      </c>
      <c r="AC280" s="8" t="s">
        <v>726</v>
      </c>
      <c r="AD280" s="8"/>
      <c r="AE280" s="8" t="s">
        <v>726</v>
      </c>
      <c r="AF280" s="8"/>
      <c r="AG280" s="8" t="s">
        <v>726</v>
      </c>
      <c r="AH280" s="8" t="s">
        <v>726</v>
      </c>
      <c r="AI280" s="8" t="s">
        <v>726</v>
      </c>
      <c r="AJ280" s="8" t="s">
        <v>726</v>
      </c>
      <c r="AK280" s="8" t="s">
        <v>726</v>
      </c>
      <c r="AL280" s="8" t="s">
        <v>726</v>
      </c>
      <c r="AM280" s="8"/>
      <c r="AN280" s="8"/>
      <c r="AO280" s="8"/>
      <c r="AP280" s="8"/>
      <c r="AQ280" s="8"/>
      <c r="AR280" s="8"/>
      <c r="AS280" s="8"/>
      <c r="AT280" s="8"/>
      <c r="AU280" s="8"/>
      <c r="AV280" s="8"/>
      <c r="AX280" s="142">
        <v>45</v>
      </c>
    </row>
    <row r="281" spans="1:50" ht="25.5">
      <c r="A281" s="2" t="s">
        <v>794</v>
      </c>
      <c r="B281" s="27">
        <v>277</v>
      </c>
      <c r="C281" s="55">
        <v>201</v>
      </c>
      <c r="D281" s="59">
        <v>530</v>
      </c>
      <c r="E281" s="60">
        <v>0.64861111111111114</v>
      </c>
      <c r="F281" s="60">
        <v>0.66111111111111109</v>
      </c>
      <c r="G281" s="57" t="s">
        <v>536</v>
      </c>
      <c r="H281" s="31" t="s">
        <v>442</v>
      </c>
      <c r="I281" s="55">
        <v>15</v>
      </c>
      <c r="J281" s="58">
        <v>50</v>
      </c>
      <c r="K281" s="61">
        <v>47</v>
      </c>
      <c r="L281" s="36">
        <f>+K281*I281</f>
        <v>705</v>
      </c>
      <c r="M281" s="37" t="s">
        <v>735</v>
      </c>
      <c r="N281" s="23" t="s">
        <v>960</v>
      </c>
      <c r="O281" s="23">
        <v>54</v>
      </c>
      <c r="P281" s="23" t="s">
        <v>791</v>
      </c>
      <c r="Q281" s="23">
        <v>45</v>
      </c>
      <c r="R281" s="23" t="s">
        <v>790</v>
      </c>
      <c r="S281" s="23">
        <v>37</v>
      </c>
      <c r="T281" s="7">
        <v>2180</v>
      </c>
      <c r="U281" s="7" t="s">
        <v>1380</v>
      </c>
      <c r="V281" s="7">
        <v>2290</v>
      </c>
      <c r="W281" s="7" t="s">
        <v>1381</v>
      </c>
      <c r="X281" s="18"/>
      <c r="Y281" s="17"/>
      <c r="Z281" s="18"/>
      <c r="AA281" s="18"/>
      <c r="AB281" s="7" t="s">
        <v>1043</v>
      </c>
      <c r="AC281" s="8" t="s">
        <v>726</v>
      </c>
      <c r="AD281" s="8"/>
      <c r="AE281" s="8"/>
      <c r="AF281" s="8"/>
      <c r="AG281" s="8"/>
      <c r="AH281" s="8"/>
      <c r="AI281" s="8"/>
      <c r="AJ281" s="8"/>
      <c r="AK281" s="8"/>
      <c r="AL281" s="8"/>
      <c r="AM281" s="8" t="s">
        <v>726</v>
      </c>
      <c r="AN281" s="8"/>
      <c r="AO281" s="8"/>
      <c r="AP281" s="8"/>
      <c r="AQ281" s="8"/>
      <c r="AR281" s="8"/>
      <c r="AS281" s="8"/>
      <c r="AT281" s="8"/>
      <c r="AU281" s="8"/>
      <c r="AV281" s="8"/>
      <c r="AX281" s="142">
        <v>45</v>
      </c>
    </row>
    <row r="282" spans="1:50" ht="25.5">
      <c r="A282" s="2" t="s">
        <v>793</v>
      </c>
      <c r="B282" s="27">
        <v>278</v>
      </c>
      <c r="C282" s="55">
        <v>201</v>
      </c>
      <c r="D282" s="55">
        <v>73</v>
      </c>
      <c r="E282" s="60">
        <v>0.70833333333333337</v>
      </c>
      <c r="F282" s="60">
        <v>0.72083333333333333</v>
      </c>
      <c r="G282" s="57" t="s">
        <v>535</v>
      </c>
      <c r="H282" s="31" t="s">
        <v>423</v>
      </c>
      <c r="I282" s="55">
        <v>16</v>
      </c>
      <c r="J282" s="58">
        <v>50</v>
      </c>
      <c r="K282" s="61">
        <v>67</v>
      </c>
      <c r="L282" s="36">
        <f>+K282*I282</f>
        <v>1072</v>
      </c>
      <c r="M282" s="37" t="s">
        <v>735</v>
      </c>
      <c r="N282" s="23" t="s">
        <v>960</v>
      </c>
      <c r="O282" s="23">
        <v>54</v>
      </c>
      <c r="P282" s="23" t="s">
        <v>791</v>
      </c>
      <c r="Q282" s="23">
        <v>45</v>
      </c>
      <c r="R282" s="23" t="s">
        <v>792</v>
      </c>
      <c r="S282" s="24">
        <v>28</v>
      </c>
      <c r="T282" s="7">
        <v>2290</v>
      </c>
      <c r="U282" s="7" t="s">
        <v>1381</v>
      </c>
      <c r="V282" s="7">
        <v>2180</v>
      </c>
      <c r="W282" s="7" t="s">
        <v>1380</v>
      </c>
      <c r="X282" s="17"/>
      <c r="Y282" s="18"/>
      <c r="Z282" s="18"/>
      <c r="AA282" s="18"/>
      <c r="AB282" s="8" t="s">
        <v>1047</v>
      </c>
      <c r="AC282" s="8"/>
      <c r="AD282" s="8" t="s">
        <v>726</v>
      </c>
      <c r="AE282" s="8" t="s">
        <v>726</v>
      </c>
      <c r="AF282" s="8"/>
      <c r="AG282" s="8" t="s">
        <v>726</v>
      </c>
      <c r="AH282" s="8" t="s">
        <v>726</v>
      </c>
      <c r="AI282" s="8" t="s">
        <v>726</v>
      </c>
      <c r="AJ282" s="8" t="s">
        <v>726</v>
      </c>
      <c r="AK282" s="8" t="s">
        <v>726</v>
      </c>
      <c r="AL282" s="8" t="s">
        <v>726</v>
      </c>
      <c r="AM282" s="8"/>
      <c r="AN282" s="8"/>
      <c r="AO282" s="8"/>
      <c r="AP282" s="8"/>
      <c r="AQ282" s="8"/>
      <c r="AR282" s="8"/>
      <c r="AS282" s="8"/>
      <c r="AT282" s="8"/>
      <c r="AU282" s="8"/>
      <c r="AV282" s="8"/>
      <c r="AX282" s="142">
        <v>49.345696061024526</v>
      </c>
    </row>
    <row r="283" spans="1:50" ht="25.5">
      <c r="A283" s="2" t="s">
        <v>794</v>
      </c>
      <c r="B283" s="27">
        <v>279</v>
      </c>
      <c r="C283" s="55">
        <v>201</v>
      </c>
      <c r="D283" s="59">
        <v>73</v>
      </c>
      <c r="E283" s="60">
        <v>0.71180555555555547</v>
      </c>
      <c r="F283" s="60">
        <v>0.72430555555555554</v>
      </c>
      <c r="G283" s="57" t="s">
        <v>535</v>
      </c>
      <c r="H283" s="31" t="s">
        <v>477</v>
      </c>
      <c r="I283" s="55">
        <v>15</v>
      </c>
      <c r="J283" s="58">
        <v>50</v>
      </c>
      <c r="K283" s="61">
        <v>240</v>
      </c>
      <c r="L283" s="36">
        <f>+K283*I283</f>
        <v>3600</v>
      </c>
      <c r="M283" s="37" t="s">
        <v>745</v>
      </c>
      <c r="N283" s="23" t="s">
        <v>877</v>
      </c>
      <c r="O283" s="23">
        <v>57</v>
      </c>
      <c r="P283" s="23" t="s">
        <v>1787</v>
      </c>
      <c r="Q283" s="23">
        <v>57</v>
      </c>
      <c r="R283" s="23" t="s">
        <v>1163</v>
      </c>
      <c r="S283" s="23">
        <v>38</v>
      </c>
      <c r="T283" s="7">
        <v>2290</v>
      </c>
      <c r="U283" s="7" t="s">
        <v>1381</v>
      </c>
      <c r="V283" s="7">
        <v>2180</v>
      </c>
      <c r="W283" s="7" t="s">
        <v>1380</v>
      </c>
      <c r="X283" s="18"/>
      <c r="Y283" s="17"/>
      <c r="Z283" s="18"/>
      <c r="AA283" s="18"/>
      <c r="AB283" s="7" t="s">
        <v>1052</v>
      </c>
      <c r="AC283" s="8" t="s">
        <v>726</v>
      </c>
      <c r="AD283" s="8"/>
      <c r="AE283" s="8" t="s">
        <v>726</v>
      </c>
      <c r="AF283" s="8"/>
      <c r="AG283" s="8" t="s">
        <v>726</v>
      </c>
      <c r="AH283" s="8" t="s">
        <v>726</v>
      </c>
      <c r="AI283" s="8" t="s">
        <v>726</v>
      </c>
      <c r="AJ283" s="8" t="s">
        <v>726</v>
      </c>
      <c r="AK283" s="8" t="s">
        <v>726</v>
      </c>
      <c r="AL283" s="8" t="s">
        <v>726</v>
      </c>
      <c r="AM283" s="8"/>
      <c r="AN283" s="8"/>
      <c r="AO283" s="8"/>
      <c r="AP283" s="8"/>
      <c r="AQ283" s="8"/>
      <c r="AR283" s="8"/>
      <c r="AS283" s="8"/>
      <c r="AT283" s="8"/>
      <c r="AU283" s="8"/>
      <c r="AV283" s="8"/>
      <c r="AX283" s="142">
        <v>45</v>
      </c>
    </row>
    <row r="284" spans="1:50" ht="25.5">
      <c r="A284" s="2" t="s">
        <v>794</v>
      </c>
      <c r="B284" s="27">
        <v>280</v>
      </c>
      <c r="C284" s="55">
        <v>201</v>
      </c>
      <c r="D284" s="59">
        <v>73</v>
      </c>
      <c r="E284" s="60">
        <v>0.71180555555555547</v>
      </c>
      <c r="F284" s="60">
        <v>0.72430555555555554</v>
      </c>
      <c r="G284" s="57" t="s">
        <v>535</v>
      </c>
      <c r="H284" s="31" t="s">
        <v>442</v>
      </c>
      <c r="I284" s="55">
        <v>15</v>
      </c>
      <c r="J284" s="58">
        <v>50</v>
      </c>
      <c r="K284" s="61">
        <v>47</v>
      </c>
      <c r="L284" s="36">
        <f>+K284*I284</f>
        <v>705</v>
      </c>
      <c r="M284" s="37" t="s">
        <v>735</v>
      </c>
      <c r="N284" s="23" t="s">
        <v>960</v>
      </c>
      <c r="O284" s="23">
        <v>54</v>
      </c>
      <c r="P284" s="23" t="s">
        <v>791</v>
      </c>
      <c r="Q284" s="23">
        <v>45</v>
      </c>
      <c r="R284" s="23" t="s">
        <v>790</v>
      </c>
      <c r="S284" s="23">
        <v>37</v>
      </c>
      <c r="T284" s="7">
        <v>2290</v>
      </c>
      <c r="U284" s="7" t="s">
        <v>1381</v>
      </c>
      <c r="V284" s="7">
        <v>2180</v>
      </c>
      <c r="W284" s="7" t="s">
        <v>1380</v>
      </c>
      <c r="X284" s="18"/>
      <c r="Y284" s="17"/>
      <c r="Z284" s="18"/>
      <c r="AA284" s="18"/>
      <c r="AB284" s="7" t="s">
        <v>1043</v>
      </c>
      <c r="AC284" s="8" t="s">
        <v>726</v>
      </c>
      <c r="AD284" s="8"/>
      <c r="AE284" s="8"/>
      <c r="AF284" s="8"/>
      <c r="AG284" s="8"/>
      <c r="AH284" s="8"/>
      <c r="AI284" s="8"/>
      <c r="AJ284" s="8"/>
      <c r="AK284" s="8"/>
      <c r="AL284" s="8"/>
      <c r="AM284" s="8" t="s">
        <v>726</v>
      </c>
      <c r="AN284" s="8"/>
      <c r="AO284" s="8"/>
      <c r="AP284" s="8"/>
      <c r="AQ284" s="8"/>
      <c r="AR284" s="8"/>
      <c r="AS284" s="8"/>
      <c r="AT284" s="8"/>
      <c r="AU284" s="8"/>
      <c r="AV284" s="8"/>
      <c r="AX284" s="142">
        <v>45</v>
      </c>
    </row>
    <row r="285" spans="1:50" ht="25.5">
      <c r="A285" s="2" t="s">
        <v>793</v>
      </c>
      <c r="B285" s="27">
        <v>281</v>
      </c>
      <c r="C285" s="55">
        <v>201</v>
      </c>
      <c r="D285" s="55">
        <v>302</v>
      </c>
      <c r="E285" s="60">
        <v>0.7402777777777777</v>
      </c>
      <c r="F285" s="60">
        <v>0.75277777777777777</v>
      </c>
      <c r="G285" s="57" t="s">
        <v>536</v>
      </c>
      <c r="H285" s="31" t="s">
        <v>546</v>
      </c>
      <c r="I285" s="55">
        <v>16</v>
      </c>
      <c r="J285" s="58">
        <v>50</v>
      </c>
      <c r="K285" s="61">
        <v>13</v>
      </c>
      <c r="L285" s="36">
        <f>+K285*I285</f>
        <v>208</v>
      </c>
      <c r="M285" s="51" t="s">
        <v>736</v>
      </c>
      <c r="N285" s="2" t="s">
        <v>1162</v>
      </c>
      <c r="O285" s="24">
        <v>58</v>
      </c>
      <c r="P285" s="23" t="s">
        <v>1786</v>
      </c>
      <c r="Q285" s="23">
        <v>56</v>
      </c>
      <c r="T285" s="7">
        <v>2180</v>
      </c>
      <c r="U285" s="7" t="s">
        <v>1380</v>
      </c>
      <c r="V285" s="7">
        <v>2290</v>
      </c>
      <c r="W285" s="7" t="s">
        <v>1381</v>
      </c>
      <c r="X285" s="17"/>
      <c r="Y285" s="18"/>
      <c r="Z285" s="18"/>
      <c r="AA285" s="18"/>
      <c r="AB285" s="7" t="s">
        <v>1044</v>
      </c>
      <c r="AC285" s="8"/>
      <c r="AD285" s="8" t="s">
        <v>726</v>
      </c>
      <c r="AE285" s="8"/>
      <c r="AF285" s="8"/>
      <c r="AG285" s="8"/>
      <c r="AH285" s="8"/>
      <c r="AI285" s="8"/>
      <c r="AJ285" s="8"/>
      <c r="AK285" s="8"/>
      <c r="AL285" s="8"/>
      <c r="AM285" s="8" t="s">
        <v>726</v>
      </c>
      <c r="AN285" s="8"/>
      <c r="AO285" s="8"/>
      <c r="AP285" s="8"/>
      <c r="AQ285" s="8"/>
      <c r="AR285" s="8"/>
      <c r="AS285" s="8"/>
      <c r="AT285" s="8"/>
      <c r="AU285" s="8"/>
      <c r="AV285" s="8"/>
      <c r="AX285" s="142">
        <v>45.070422535211264</v>
      </c>
    </row>
    <row r="286" spans="1:50" ht="25.5">
      <c r="A286" s="2" t="s">
        <v>794</v>
      </c>
      <c r="B286" s="27">
        <v>282</v>
      </c>
      <c r="C286" s="55">
        <v>201</v>
      </c>
      <c r="D286" s="59">
        <v>302</v>
      </c>
      <c r="E286" s="60">
        <v>0.7402777777777777</v>
      </c>
      <c r="F286" s="60">
        <v>0.75277777777777777</v>
      </c>
      <c r="G286" s="57" t="s">
        <v>536</v>
      </c>
      <c r="H286" s="31" t="s">
        <v>442</v>
      </c>
      <c r="I286" s="55">
        <v>15</v>
      </c>
      <c r="J286" s="58">
        <v>50</v>
      </c>
      <c r="K286" s="61">
        <v>47</v>
      </c>
      <c r="L286" s="36">
        <f>+K286*I286</f>
        <v>705</v>
      </c>
      <c r="M286" s="37" t="s">
        <v>735</v>
      </c>
      <c r="N286" s="23" t="s">
        <v>960</v>
      </c>
      <c r="O286" s="23">
        <v>54</v>
      </c>
      <c r="P286" s="23" t="s">
        <v>791</v>
      </c>
      <c r="Q286" s="23">
        <v>45</v>
      </c>
      <c r="R286" s="23" t="s">
        <v>790</v>
      </c>
      <c r="S286" s="23">
        <v>37</v>
      </c>
      <c r="T286" s="7">
        <v>2180</v>
      </c>
      <c r="U286" s="7" t="s">
        <v>1380</v>
      </c>
      <c r="V286" s="7">
        <v>2290</v>
      </c>
      <c r="W286" s="7" t="s">
        <v>1381</v>
      </c>
      <c r="X286" s="18"/>
      <c r="Y286" s="17"/>
      <c r="Z286" s="18"/>
      <c r="AA286" s="18"/>
      <c r="AB286" s="7" t="s">
        <v>1043</v>
      </c>
      <c r="AC286" s="8" t="s">
        <v>726</v>
      </c>
      <c r="AD286" s="8"/>
      <c r="AE286" s="8"/>
      <c r="AF286" s="8"/>
      <c r="AG286" s="8"/>
      <c r="AH286" s="8"/>
      <c r="AI286" s="8"/>
      <c r="AJ286" s="8"/>
      <c r="AK286" s="8"/>
      <c r="AL286" s="8"/>
      <c r="AM286" s="8" t="s">
        <v>726</v>
      </c>
      <c r="AN286" s="8"/>
      <c r="AO286" s="8"/>
      <c r="AP286" s="8"/>
      <c r="AQ286" s="8"/>
      <c r="AR286" s="8"/>
      <c r="AS286" s="8"/>
      <c r="AT286" s="8"/>
      <c r="AU286" s="8"/>
      <c r="AV286" s="8"/>
      <c r="AX286" s="142">
        <v>45</v>
      </c>
    </row>
    <row r="287" spans="1:50" ht="25.5">
      <c r="A287" s="2" t="s">
        <v>794</v>
      </c>
      <c r="B287" s="27">
        <v>283</v>
      </c>
      <c r="C287" s="55">
        <v>201</v>
      </c>
      <c r="D287" s="59">
        <v>77</v>
      </c>
      <c r="E287" s="60">
        <v>0.74930555555555556</v>
      </c>
      <c r="F287" s="60">
        <v>0.76180555555555562</v>
      </c>
      <c r="G287" s="57" t="s">
        <v>535</v>
      </c>
      <c r="H287" s="31" t="s">
        <v>477</v>
      </c>
      <c r="I287" s="55">
        <v>15</v>
      </c>
      <c r="J287" s="58">
        <v>50</v>
      </c>
      <c r="K287" s="35">
        <v>240</v>
      </c>
      <c r="L287" s="36">
        <f>+K287*I287</f>
        <v>3600</v>
      </c>
      <c r="M287" s="37" t="s">
        <v>745</v>
      </c>
      <c r="N287" s="23" t="s">
        <v>877</v>
      </c>
      <c r="O287" s="23">
        <v>57</v>
      </c>
      <c r="P287" s="23" t="s">
        <v>1787</v>
      </c>
      <c r="Q287" s="23">
        <v>57</v>
      </c>
      <c r="R287" s="23" t="s">
        <v>1163</v>
      </c>
      <c r="S287" s="23">
        <v>38</v>
      </c>
      <c r="T287" s="7">
        <v>2290</v>
      </c>
      <c r="U287" s="7" t="s">
        <v>1381</v>
      </c>
      <c r="V287" s="7">
        <v>2180</v>
      </c>
      <c r="W287" s="7" t="s">
        <v>1380</v>
      </c>
      <c r="X287" s="18"/>
      <c r="Y287" s="17"/>
      <c r="Z287" s="18"/>
      <c r="AA287" s="18"/>
      <c r="AB287" s="7" t="s">
        <v>1052</v>
      </c>
      <c r="AC287" s="8" t="s">
        <v>726</v>
      </c>
      <c r="AD287" s="8"/>
      <c r="AE287" s="8" t="s">
        <v>726</v>
      </c>
      <c r="AF287" s="8"/>
      <c r="AG287" s="8" t="s">
        <v>726</v>
      </c>
      <c r="AH287" s="8" t="s">
        <v>726</v>
      </c>
      <c r="AI287" s="8" t="s">
        <v>726</v>
      </c>
      <c r="AJ287" s="8" t="s">
        <v>726</v>
      </c>
      <c r="AK287" s="8" t="s">
        <v>726</v>
      </c>
      <c r="AL287" s="8" t="s">
        <v>726</v>
      </c>
      <c r="AM287" s="8"/>
      <c r="AN287" s="8"/>
      <c r="AO287" s="8"/>
      <c r="AP287" s="8"/>
      <c r="AQ287" s="8"/>
      <c r="AR287" s="8"/>
      <c r="AS287" s="8"/>
      <c r="AT287" s="8"/>
      <c r="AU287" s="8"/>
      <c r="AV287" s="8"/>
      <c r="AX287" s="142">
        <v>45</v>
      </c>
    </row>
    <row r="288" spans="1:50" ht="25.5">
      <c r="A288" s="2" t="s">
        <v>794</v>
      </c>
      <c r="B288" s="27">
        <v>284</v>
      </c>
      <c r="C288" s="55">
        <v>201</v>
      </c>
      <c r="D288" s="59">
        <v>308</v>
      </c>
      <c r="E288" s="56">
        <v>0.77708333333333324</v>
      </c>
      <c r="F288" s="56">
        <v>0.7895833333333333</v>
      </c>
      <c r="G288" s="57" t="s">
        <v>536</v>
      </c>
      <c r="H288" s="31" t="s">
        <v>477</v>
      </c>
      <c r="I288" s="55">
        <v>15</v>
      </c>
      <c r="J288" s="58">
        <v>50</v>
      </c>
      <c r="K288" s="61">
        <v>240</v>
      </c>
      <c r="L288" s="36">
        <f>+K288*I288</f>
        <v>3600</v>
      </c>
      <c r="M288" s="37" t="s">
        <v>745</v>
      </c>
      <c r="N288" s="23" t="s">
        <v>877</v>
      </c>
      <c r="O288" s="23">
        <v>57</v>
      </c>
      <c r="P288" s="23" t="s">
        <v>1787</v>
      </c>
      <c r="Q288" s="23">
        <v>57</v>
      </c>
      <c r="R288" s="23" t="s">
        <v>1163</v>
      </c>
      <c r="S288" s="23">
        <v>38</v>
      </c>
      <c r="T288" s="7">
        <v>2180</v>
      </c>
      <c r="U288" s="7" t="s">
        <v>1380</v>
      </c>
      <c r="V288" s="7">
        <v>2290</v>
      </c>
      <c r="W288" s="7" t="s">
        <v>1381</v>
      </c>
      <c r="X288" s="18"/>
      <c r="Y288" s="17"/>
      <c r="Z288" s="18"/>
      <c r="AA288" s="18"/>
      <c r="AB288" s="7" t="s">
        <v>1052</v>
      </c>
      <c r="AC288" s="8" t="s">
        <v>726</v>
      </c>
      <c r="AD288" s="8"/>
      <c r="AE288" s="8" t="s">
        <v>726</v>
      </c>
      <c r="AF288" s="8"/>
      <c r="AG288" s="8" t="s">
        <v>726</v>
      </c>
      <c r="AH288" s="8" t="s">
        <v>726</v>
      </c>
      <c r="AI288" s="8" t="s">
        <v>726</v>
      </c>
      <c r="AJ288" s="8" t="s">
        <v>726</v>
      </c>
      <c r="AK288" s="8" t="s">
        <v>726</v>
      </c>
      <c r="AL288" s="8" t="s">
        <v>726</v>
      </c>
      <c r="AM288" s="8"/>
      <c r="AN288" s="8"/>
      <c r="AO288" s="8"/>
      <c r="AP288" s="8"/>
      <c r="AQ288" s="8"/>
      <c r="AR288" s="8"/>
      <c r="AS288" s="8"/>
      <c r="AT288" s="8"/>
      <c r="AU288" s="8"/>
      <c r="AV288" s="8"/>
      <c r="AX288" s="142">
        <v>45</v>
      </c>
    </row>
    <row r="289" spans="1:50" ht="25.5">
      <c r="A289" s="2" t="s">
        <v>794</v>
      </c>
      <c r="B289" s="27">
        <v>285</v>
      </c>
      <c r="C289" s="55">
        <v>201</v>
      </c>
      <c r="D289" s="59">
        <v>527</v>
      </c>
      <c r="E289" s="60">
        <v>0.7909722222222223</v>
      </c>
      <c r="F289" s="56">
        <v>0.80347222222222225</v>
      </c>
      <c r="G289" s="57" t="s">
        <v>535</v>
      </c>
      <c r="H289" s="31" t="s">
        <v>477</v>
      </c>
      <c r="I289" s="55">
        <v>15</v>
      </c>
      <c r="J289" s="58">
        <v>50</v>
      </c>
      <c r="K289" s="61">
        <v>240</v>
      </c>
      <c r="L289" s="36">
        <f>+K289*I289</f>
        <v>3600</v>
      </c>
      <c r="M289" s="37" t="s">
        <v>745</v>
      </c>
      <c r="N289" s="23" t="s">
        <v>877</v>
      </c>
      <c r="O289" s="23">
        <v>57</v>
      </c>
      <c r="P289" s="23" t="s">
        <v>1787</v>
      </c>
      <c r="Q289" s="23">
        <v>57</v>
      </c>
      <c r="R289" s="23" t="s">
        <v>1163</v>
      </c>
      <c r="S289" s="23">
        <v>38</v>
      </c>
      <c r="T289" s="7">
        <v>2290</v>
      </c>
      <c r="U289" s="7" t="s">
        <v>1381</v>
      </c>
      <c r="V289" s="7">
        <v>2180</v>
      </c>
      <c r="W289" s="7" t="s">
        <v>1380</v>
      </c>
      <c r="X289" s="18"/>
      <c r="Y289" s="17"/>
      <c r="Z289" s="18"/>
      <c r="AA289" s="18"/>
      <c r="AB289" s="7" t="s">
        <v>1052</v>
      </c>
      <c r="AC289" s="8" t="s">
        <v>726</v>
      </c>
      <c r="AD289" s="8"/>
      <c r="AE289" s="8" t="s">
        <v>726</v>
      </c>
      <c r="AF289" s="8"/>
      <c r="AG289" s="8" t="s">
        <v>726</v>
      </c>
      <c r="AH289" s="8" t="s">
        <v>726</v>
      </c>
      <c r="AI289" s="8" t="s">
        <v>726</v>
      </c>
      <c r="AJ289" s="8" t="s">
        <v>726</v>
      </c>
      <c r="AK289" s="8" t="s">
        <v>726</v>
      </c>
      <c r="AL289" s="8" t="s">
        <v>726</v>
      </c>
      <c r="AM289" s="8"/>
      <c r="AN289" s="8"/>
      <c r="AO289" s="8"/>
      <c r="AP289" s="8"/>
      <c r="AQ289" s="8"/>
      <c r="AR289" s="8"/>
      <c r="AS289" s="8"/>
      <c r="AT289" s="8"/>
      <c r="AU289" s="8"/>
      <c r="AV289" s="8"/>
      <c r="AX289" s="142">
        <v>45</v>
      </c>
    </row>
    <row r="290" spans="1:50" ht="25.5">
      <c r="A290" s="2" t="s">
        <v>794</v>
      </c>
      <c r="B290" s="27">
        <v>286</v>
      </c>
      <c r="C290" s="55">
        <v>201</v>
      </c>
      <c r="D290" s="55">
        <v>527</v>
      </c>
      <c r="E290" s="60">
        <v>0.7909722222222223</v>
      </c>
      <c r="F290" s="60">
        <v>0.72013888888888899</v>
      </c>
      <c r="G290" s="57" t="s">
        <v>535</v>
      </c>
      <c r="H290" s="31" t="s">
        <v>442</v>
      </c>
      <c r="I290" s="55">
        <v>15</v>
      </c>
      <c r="J290" s="58">
        <v>50</v>
      </c>
      <c r="K290" s="61">
        <v>47</v>
      </c>
      <c r="L290" s="36">
        <f>+K290*I290</f>
        <v>705</v>
      </c>
      <c r="M290" s="37" t="s">
        <v>735</v>
      </c>
      <c r="N290" s="23" t="s">
        <v>960</v>
      </c>
      <c r="O290" s="23">
        <v>54</v>
      </c>
      <c r="P290" s="23" t="s">
        <v>791</v>
      </c>
      <c r="Q290" s="23">
        <v>45</v>
      </c>
      <c r="R290" s="23" t="s">
        <v>790</v>
      </c>
      <c r="S290" s="23">
        <v>37</v>
      </c>
      <c r="T290" s="7">
        <v>2290</v>
      </c>
      <c r="U290" s="7" t="s">
        <v>1381</v>
      </c>
      <c r="V290" s="7">
        <v>2180</v>
      </c>
      <c r="W290" s="7" t="s">
        <v>1380</v>
      </c>
      <c r="X290" s="18"/>
      <c r="Y290" s="17"/>
      <c r="Z290" s="18"/>
      <c r="AA290" s="18"/>
      <c r="AB290" s="7" t="s">
        <v>1043</v>
      </c>
      <c r="AC290" s="8" t="s">
        <v>726</v>
      </c>
      <c r="AD290" s="8"/>
      <c r="AE290" s="8"/>
      <c r="AF290" s="8"/>
      <c r="AG290" s="8"/>
      <c r="AH290" s="8"/>
      <c r="AI290" s="8"/>
      <c r="AJ290" s="8"/>
      <c r="AK290" s="8"/>
      <c r="AL290" s="8"/>
      <c r="AM290" s="8" t="s">
        <v>726</v>
      </c>
      <c r="AN290" s="8"/>
      <c r="AO290" s="8"/>
      <c r="AP290" s="8"/>
      <c r="AQ290" s="8"/>
      <c r="AR290" s="8"/>
      <c r="AS290" s="8"/>
      <c r="AT290" s="8"/>
      <c r="AU290" s="8"/>
      <c r="AV290" s="8"/>
      <c r="AX290" s="142">
        <v>45</v>
      </c>
    </row>
    <row r="291" spans="1:50" ht="25.5">
      <c r="A291" s="83" t="s">
        <v>1964</v>
      </c>
      <c r="B291" s="84">
        <v>287</v>
      </c>
      <c r="C291" s="85">
        <v>201</v>
      </c>
      <c r="D291" s="85">
        <v>438</v>
      </c>
      <c r="E291" s="86">
        <v>0.82986111111111116</v>
      </c>
      <c r="F291" s="86">
        <v>0.85277777777777775</v>
      </c>
      <c r="G291" s="85" t="s">
        <v>192</v>
      </c>
      <c r="H291" s="85" t="s">
        <v>203</v>
      </c>
      <c r="I291" s="87">
        <v>27</v>
      </c>
      <c r="J291" s="88" t="s">
        <v>93</v>
      </c>
      <c r="K291" s="89"/>
      <c r="L291" s="90">
        <f>+K291*I291</f>
        <v>0</v>
      </c>
      <c r="M291" s="91" t="s">
        <v>1962</v>
      </c>
      <c r="N291" s="104"/>
      <c r="O291" s="104"/>
      <c r="P291" s="104"/>
      <c r="Q291" s="104"/>
      <c r="R291" s="104"/>
      <c r="S291" s="104"/>
      <c r="T291" s="95"/>
      <c r="U291" s="95"/>
      <c r="V291" s="95"/>
      <c r="W291" s="95"/>
      <c r="X291" s="92"/>
      <c r="Y291" s="92"/>
      <c r="Z291" s="92"/>
      <c r="AA291" s="92"/>
      <c r="AB291" s="92"/>
      <c r="AC291" s="95"/>
      <c r="AD291" s="95"/>
      <c r="AE291" s="95"/>
      <c r="AF291" s="95"/>
      <c r="AG291" s="95"/>
      <c r="AH291" s="95"/>
      <c r="AI291" s="95"/>
      <c r="AJ291" s="95"/>
      <c r="AK291" s="95"/>
      <c r="AL291" s="95"/>
      <c r="AM291" s="95"/>
      <c r="AN291" s="95"/>
      <c r="AO291" s="95"/>
      <c r="AP291" s="95"/>
      <c r="AQ291" s="95"/>
      <c r="AR291" s="95"/>
      <c r="AS291" s="95"/>
      <c r="AT291" s="95"/>
      <c r="AU291" s="95"/>
      <c r="AV291" s="95"/>
    </row>
    <row r="292" spans="1:50" ht="25.5">
      <c r="B292" s="27">
        <v>288</v>
      </c>
      <c r="C292" s="38">
        <v>202</v>
      </c>
      <c r="D292" s="38">
        <v>306</v>
      </c>
      <c r="E292" s="39">
        <v>0.35416666666666669</v>
      </c>
      <c r="F292" s="39">
        <v>0.40625</v>
      </c>
      <c r="G292" s="40" t="s">
        <v>9</v>
      </c>
      <c r="H292" s="31" t="s">
        <v>546</v>
      </c>
      <c r="I292" s="38">
        <v>35</v>
      </c>
      <c r="J292" s="41">
        <v>30</v>
      </c>
      <c r="K292" s="35">
        <v>13</v>
      </c>
      <c r="L292" s="36">
        <f>+K292*I292</f>
        <v>455</v>
      </c>
      <c r="M292" s="37" t="s">
        <v>718</v>
      </c>
      <c r="N292" s="23" t="s">
        <v>924</v>
      </c>
      <c r="O292" s="23">
        <v>37</v>
      </c>
      <c r="P292" s="23" t="s">
        <v>989</v>
      </c>
      <c r="Q292" s="23">
        <v>45</v>
      </c>
      <c r="R292" s="23" t="s">
        <v>925</v>
      </c>
      <c r="S292" s="24">
        <v>21</v>
      </c>
      <c r="T292" s="7">
        <v>1</v>
      </c>
      <c r="U292" s="7" t="s">
        <v>1233</v>
      </c>
      <c r="V292" s="7">
        <v>2670</v>
      </c>
      <c r="W292" s="7" t="s">
        <v>1382</v>
      </c>
      <c r="X292" s="17"/>
      <c r="Y292" s="18"/>
      <c r="Z292" s="18"/>
      <c r="AA292" s="18"/>
      <c r="AB292" s="7" t="s">
        <v>1044</v>
      </c>
      <c r="AC292" s="8"/>
      <c r="AD292" s="8" t="s">
        <v>726</v>
      </c>
      <c r="AE292" s="8"/>
      <c r="AF292" s="8"/>
      <c r="AG292" s="8"/>
      <c r="AH292" s="8"/>
      <c r="AI292" s="8"/>
      <c r="AJ292" s="8"/>
      <c r="AK292" s="8"/>
      <c r="AL292" s="8"/>
      <c r="AM292" s="8" t="s">
        <v>726</v>
      </c>
      <c r="AN292" s="8"/>
      <c r="AO292" s="8"/>
      <c r="AP292" s="8"/>
      <c r="AQ292" s="8"/>
      <c r="AR292" s="8"/>
      <c r="AS292" s="8"/>
      <c r="AT292" s="8"/>
      <c r="AU292" s="8"/>
      <c r="AV292" s="8"/>
      <c r="AX292" s="142">
        <v>86.267605633802816</v>
      </c>
    </row>
    <row r="293" spans="1:50" ht="25.5">
      <c r="B293" s="27">
        <v>289</v>
      </c>
      <c r="C293" s="62">
        <v>202</v>
      </c>
      <c r="D293" s="34">
        <v>210</v>
      </c>
      <c r="E293" s="32">
        <v>0.36458333333333331</v>
      </c>
      <c r="F293" s="32">
        <v>0.375</v>
      </c>
      <c r="G293" s="31" t="s">
        <v>496</v>
      </c>
      <c r="H293" s="31" t="s">
        <v>497</v>
      </c>
      <c r="I293" s="33">
        <v>10</v>
      </c>
      <c r="J293" s="34" t="s">
        <v>93</v>
      </c>
      <c r="K293" s="35">
        <v>33</v>
      </c>
      <c r="L293" s="36">
        <f>+K293*I293</f>
        <v>330</v>
      </c>
      <c r="M293" s="63" t="s">
        <v>737</v>
      </c>
      <c r="N293" s="49" t="s">
        <v>906</v>
      </c>
      <c r="O293" s="23">
        <v>21</v>
      </c>
      <c r="P293" s="23" t="s">
        <v>905</v>
      </c>
      <c r="Q293" s="23">
        <v>17</v>
      </c>
      <c r="S293" s="23"/>
      <c r="T293" s="7">
        <v>2049</v>
      </c>
      <c r="U293" s="7" t="s">
        <v>1383</v>
      </c>
      <c r="V293" s="7">
        <v>2670</v>
      </c>
      <c r="W293" s="7" t="s">
        <v>1382</v>
      </c>
      <c r="X293" s="17"/>
      <c r="Y293" s="18"/>
      <c r="Z293" s="18"/>
      <c r="AA293" s="18"/>
      <c r="AB293" s="8" t="s">
        <v>1066</v>
      </c>
      <c r="AC293" s="8"/>
      <c r="AD293" s="8" t="s">
        <v>726</v>
      </c>
      <c r="AE293" s="8" t="s">
        <v>726</v>
      </c>
      <c r="AF293" s="8"/>
      <c r="AG293" s="8" t="s">
        <v>726</v>
      </c>
      <c r="AH293" s="8"/>
      <c r="AI293" s="8" t="s">
        <v>726</v>
      </c>
      <c r="AJ293" s="8" t="s">
        <v>726</v>
      </c>
      <c r="AK293" s="8"/>
      <c r="AL293" s="8"/>
      <c r="AM293" s="8"/>
      <c r="AN293" s="8"/>
      <c r="AO293" s="8"/>
      <c r="AP293" s="8"/>
      <c r="AQ293" s="8"/>
      <c r="AR293" s="8"/>
      <c r="AS293" s="8"/>
      <c r="AT293" s="8"/>
      <c r="AU293" s="8"/>
      <c r="AV293" s="8"/>
      <c r="AX293" s="142">
        <v>30</v>
      </c>
    </row>
    <row r="294" spans="1:50" ht="25.5">
      <c r="B294" s="27">
        <v>290</v>
      </c>
      <c r="C294" s="62">
        <v>202</v>
      </c>
      <c r="D294" s="34">
        <v>211</v>
      </c>
      <c r="E294" s="32">
        <v>0.38541666666666669</v>
      </c>
      <c r="F294" s="32">
        <v>0.39583333333333331</v>
      </c>
      <c r="G294" s="31" t="s">
        <v>467</v>
      </c>
      <c r="H294" s="31" t="s">
        <v>497</v>
      </c>
      <c r="I294" s="33">
        <v>10</v>
      </c>
      <c r="J294" s="34" t="s">
        <v>93</v>
      </c>
      <c r="K294" s="35">
        <v>33</v>
      </c>
      <c r="L294" s="36">
        <f>+K294*I294</f>
        <v>330</v>
      </c>
      <c r="M294" s="63" t="s">
        <v>737</v>
      </c>
      <c r="N294" s="49" t="s">
        <v>906</v>
      </c>
      <c r="O294" s="23">
        <v>21</v>
      </c>
      <c r="P294" s="23" t="s">
        <v>905</v>
      </c>
      <c r="Q294" s="23">
        <v>17</v>
      </c>
      <c r="S294" s="23"/>
      <c r="T294" s="7">
        <v>2670</v>
      </c>
      <c r="U294" s="7" t="s">
        <v>1382</v>
      </c>
      <c r="V294" s="7">
        <v>2049</v>
      </c>
      <c r="W294" s="7" t="s">
        <v>1383</v>
      </c>
      <c r="X294" s="17"/>
      <c r="Y294" s="18"/>
      <c r="Z294" s="18"/>
      <c r="AA294" s="18"/>
      <c r="AB294" s="8" t="s">
        <v>1066</v>
      </c>
      <c r="AC294" s="8"/>
      <c r="AD294" s="8" t="s">
        <v>726</v>
      </c>
      <c r="AE294" s="8" t="s">
        <v>726</v>
      </c>
      <c r="AF294" s="8"/>
      <c r="AG294" s="8" t="s">
        <v>726</v>
      </c>
      <c r="AH294" s="8"/>
      <c r="AI294" s="8" t="s">
        <v>726</v>
      </c>
      <c r="AJ294" s="8" t="s">
        <v>726</v>
      </c>
      <c r="AK294" s="8"/>
      <c r="AL294" s="8"/>
      <c r="AM294" s="8"/>
      <c r="AN294" s="8"/>
      <c r="AO294" s="8"/>
      <c r="AP294" s="8"/>
      <c r="AQ294" s="8"/>
      <c r="AR294" s="8"/>
      <c r="AS294" s="8"/>
      <c r="AT294" s="8"/>
      <c r="AU294" s="8"/>
      <c r="AV294" s="8"/>
      <c r="AX294" s="142">
        <v>30</v>
      </c>
    </row>
    <row r="295" spans="1:50" ht="33.75">
      <c r="B295" s="27">
        <v>291</v>
      </c>
      <c r="C295" s="31">
        <v>202</v>
      </c>
      <c r="D295" s="31">
        <v>94</v>
      </c>
      <c r="E295" s="32">
        <v>0.42708333333333331</v>
      </c>
      <c r="F295" s="32">
        <v>0.43888888888888888</v>
      </c>
      <c r="G295" s="31" t="s">
        <v>226</v>
      </c>
      <c r="H295" s="31" t="s">
        <v>18</v>
      </c>
      <c r="I295" s="33">
        <v>6</v>
      </c>
      <c r="J295" s="34" t="s">
        <v>99</v>
      </c>
      <c r="K295" s="35">
        <v>304</v>
      </c>
      <c r="L295" s="36">
        <f>+K295*I295</f>
        <v>1824</v>
      </c>
      <c r="M295" s="37" t="s">
        <v>718</v>
      </c>
      <c r="N295" s="79" t="s">
        <v>1983</v>
      </c>
      <c r="O295" s="79">
        <v>21</v>
      </c>
      <c r="P295" s="23" t="s">
        <v>1788</v>
      </c>
      <c r="Q295" s="24">
        <v>23</v>
      </c>
      <c r="T295" s="7">
        <v>1</v>
      </c>
      <c r="U295" s="7" t="s">
        <v>1233</v>
      </c>
      <c r="V295" s="7" t="s">
        <v>1384</v>
      </c>
      <c r="W295" s="7" t="s">
        <v>1385</v>
      </c>
      <c r="X295" s="17"/>
      <c r="Y295" s="17"/>
      <c r="Z295" s="17"/>
      <c r="AA295" s="17"/>
      <c r="AB295" s="8" t="s">
        <v>1053</v>
      </c>
      <c r="AC295" s="8" t="s">
        <v>726</v>
      </c>
      <c r="AD295" s="8" t="s">
        <v>726</v>
      </c>
      <c r="AE295" s="8" t="s">
        <v>726</v>
      </c>
      <c r="AF295" s="8"/>
      <c r="AG295" s="8" t="s">
        <v>726</v>
      </c>
      <c r="AH295" s="8" t="s">
        <v>726</v>
      </c>
      <c r="AI295" s="8" t="s">
        <v>726</v>
      </c>
      <c r="AJ295" s="8" t="s">
        <v>726</v>
      </c>
      <c r="AK295" s="8" t="s">
        <v>726</v>
      </c>
      <c r="AL295" s="8" t="s">
        <v>726</v>
      </c>
      <c r="AM295" s="8"/>
      <c r="AN295" s="8"/>
      <c r="AO295" s="8"/>
      <c r="AP295" s="8"/>
      <c r="AQ295" s="8"/>
      <c r="AR295" s="8"/>
      <c r="AS295" s="8"/>
      <c r="AT295" s="8"/>
      <c r="AU295" s="8"/>
      <c r="AV295" s="8"/>
      <c r="AX295" s="142">
        <v>20.64</v>
      </c>
    </row>
    <row r="296" spans="1:50" ht="22.5">
      <c r="B296" s="27">
        <v>292</v>
      </c>
      <c r="C296" s="31">
        <v>202</v>
      </c>
      <c r="D296" s="31">
        <v>87</v>
      </c>
      <c r="E296" s="32">
        <v>0.44097222222222227</v>
      </c>
      <c r="F296" s="32">
        <v>0.45208333333333334</v>
      </c>
      <c r="G296" s="31" t="s">
        <v>225</v>
      </c>
      <c r="H296" s="31" t="s">
        <v>18</v>
      </c>
      <c r="I296" s="33">
        <v>6</v>
      </c>
      <c r="J296" s="34" t="s">
        <v>99</v>
      </c>
      <c r="K296" s="35">
        <v>304</v>
      </c>
      <c r="L296" s="36">
        <f>+K296*I296</f>
        <v>1824</v>
      </c>
      <c r="M296" s="37" t="s">
        <v>718</v>
      </c>
      <c r="N296" s="79" t="s">
        <v>1983</v>
      </c>
      <c r="O296" s="79">
        <v>21</v>
      </c>
      <c r="P296" s="23" t="s">
        <v>1789</v>
      </c>
      <c r="Q296" s="24">
        <v>23</v>
      </c>
      <c r="T296" s="7" t="s">
        <v>1384</v>
      </c>
      <c r="U296" s="7" t="s">
        <v>1385</v>
      </c>
      <c r="V296" s="7">
        <v>1</v>
      </c>
      <c r="W296" s="7" t="s">
        <v>1236</v>
      </c>
      <c r="X296" s="17"/>
      <c r="Y296" s="17"/>
      <c r="Z296" s="17"/>
      <c r="AA296" s="17"/>
      <c r="AB296" s="8" t="s">
        <v>1053</v>
      </c>
      <c r="AC296" s="8" t="s">
        <v>726</v>
      </c>
      <c r="AD296" s="8" t="s">
        <v>726</v>
      </c>
      <c r="AE296" s="8" t="s">
        <v>726</v>
      </c>
      <c r="AF296" s="8"/>
      <c r="AG296" s="8" t="s">
        <v>726</v>
      </c>
      <c r="AH296" s="8" t="s">
        <v>726</v>
      </c>
      <c r="AI296" s="8" t="s">
        <v>726</v>
      </c>
      <c r="AJ296" s="8" t="s">
        <v>726</v>
      </c>
      <c r="AK296" s="8" t="s">
        <v>726</v>
      </c>
      <c r="AL296" s="8" t="s">
        <v>726</v>
      </c>
      <c r="AM296" s="8"/>
      <c r="AN296" s="8"/>
      <c r="AO296" s="8"/>
      <c r="AP296" s="8"/>
      <c r="AQ296" s="8"/>
      <c r="AR296" s="8"/>
      <c r="AS296" s="8"/>
      <c r="AT296" s="8"/>
      <c r="AU296" s="8"/>
      <c r="AV296" s="8"/>
      <c r="AX296" s="142">
        <v>20.64</v>
      </c>
    </row>
    <row r="297" spans="1:50" ht="25.5">
      <c r="B297" s="27">
        <v>293</v>
      </c>
      <c r="C297" s="62">
        <v>202</v>
      </c>
      <c r="D297" s="34">
        <v>216</v>
      </c>
      <c r="E297" s="123">
        <v>0.49652777777777773</v>
      </c>
      <c r="F297" s="123">
        <v>0.50694444444444442</v>
      </c>
      <c r="G297" s="31" t="s">
        <v>496</v>
      </c>
      <c r="H297" s="31" t="s">
        <v>497</v>
      </c>
      <c r="I297" s="33">
        <v>10</v>
      </c>
      <c r="J297" s="34" t="s">
        <v>93</v>
      </c>
      <c r="K297" s="35">
        <v>33</v>
      </c>
      <c r="L297" s="36">
        <f>+K297*I297</f>
        <v>330</v>
      </c>
      <c r="M297" s="63" t="s">
        <v>737</v>
      </c>
      <c r="N297" s="49" t="s">
        <v>906</v>
      </c>
      <c r="O297" s="23">
        <v>21</v>
      </c>
      <c r="P297" s="23" t="s">
        <v>905</v>
      </c>
      <c r="Q297" s="23">
        <v>17</v>
      </c>
      <c r="S297" s="23"/>
      <c r="T297" s="7">
        <v>2049</v>
      </c>
      <c r="U297" s="7" t="s">
        <v>1383</v>
      </c>
      <c r="V297" s="7">
        <v>2670</v>
      </c>
      <c r="W297" s="7" t="s">
        <v>1382</v>
      </c>
      <c r="X297" s="17"/>
      <c r="Y297" s="18"/>
      <c r="Z297" s="18"/>
      <c r="AA297" s="18"/>
      <c r="AB297" s="8" t="s">
        <v>1066</v>
      </c>
      <c r="AC297" s="8"/>
      <c r="AD297" s="8" t="s">
        <v>726</v>
      </c>
      <c r="AE297" s="8" t="s">
        <v>726</v>
      </c>
      <c r="AF297" s="8"/>
      <c r="AG297" s="8" t="s">
        <v>726</v>
      </c>
      <c r="AH297" s="8"/>
      <c r="AI297" s="8" t="s">
        <v>726</v>
      </c>
      <c r="AJ297" s="8" t="s">
        <v>726</v>
      </c>
      <c r="AK297" s="8"/>
      <c r="AL297" s="8"/>
      <c r="AM297" s="8"/>
      <c r="AN297" s="8"/>
      <c r="AO297" s="8"/>
      <c r="AP297" s="8"/>
      <c r="AQ297" s="8"/>
      <c r="AR297" s="8"/>
      <c r="AS297" s="8"/>
      <c r="AT297" s="8"/>
      <c r="AU297" s="8"/>
      <c r="AV297" s="8"/>
      <c r="AX297" s="142">
        <v>30</v>
      </c>
    </row>
    <row r="298" spans="1:50" ht="25.5">
      <c r="B298" s="27">
        <v>294</v>
      </c>
      <c r="C298" s="31">
        <v>202</v>
      </c>
      <c r="D298" s="31">
        <v>100</v>
      </c>
      <c r="E298" s="32">
        <v>0.54166666666666663</v>
      </c>
      <c r="F298" s="32">
        <v>0.57986111111111105</v>
      </c>
      <c r="G298" s="31" t="s">
        <v>509</v>
      </c>
      <c r="H298" s="31" t="s">
        <v>546</v>
      </c>
      <c r="I298" s="33">
        <v>24</v>
      </c>
      <c r="J298" s="34" t="s">
        <v>406</v>
      </c>
      <c r="K298" s="35">
        <v>13</v>
      </c>
      <c r="L298" s="36">
        <f>+K298*I298</f>
        <v>312</v>
      </c>
      <c r="M298" s="37" t="s">
        <v>738</v>
      </c>
      <c r="N298" s="23" t="s">
        <v>841</v>
      </c>
      <c r="O298" s="23">
        <v>42</v>
      </c>
      <c r="P298" s="23" t="s">
        <v>1829</v>
      </c>
      <c r="Q298" s="23">
        <v>45</v>
      </c>
      <c r="R298" s="23" t="s">
        <v>1145</v>
      </c>
      <c r="S298" s="24">
        <v>48</v>
      </c>
      <c r="T298" s="7">
        <v>1</v>
      </c>
      <c r="U298" s="7" t="s">
        <v>1233</v>
      </c>
      <c r="V298" s="7">
        <v>2660</v>
      </c>
      <c r="W298" s="7" t="s">
        <v>1249</v>
      </c>
      <c r="X298" s="17"/>
      <c r="Y298" s="18"/>
      <c r="Z298" s="18"/>
      <c r="AA298" s="18"/>
      <c r="AB298" s="7" t="s">
        <v>1044</v>
      </c>
      <c r="AC298" s="8"/>
      <c r="AD298" s="8" t="s">
        <v>726</v>
      </c>
      <c r="AE298" s="8"/>
      <c r="AF298" s="8"/>
      <c r="AG298" s="8"/>
      <c r="AH298" s="8"/>
      <c r="AI298" s="8"/>
      <c r="AJ298" s="8"/>
      <c r="AK298" s="8"/>
      <c r="AL298" s="8"/>
      <c r="AM298" s="8" t="s">
        <v>726</v>
      </c>
      <c r="AN298" s="8"/>
      <c r="AO298" s="8"/>
      <c r="AP298" s="8"/>
      <c r="AQ298" s="8"/>
      <c r="AR298" s="8"/>
      <c r="AS298" s="8"/>
      <c r="AT298" s="8"/>
      <c r="AU298" s="8"/>
      <c r="AV298" s="8"/>
      <c r="AX298" s="142">
        <v>72</v>
      </c>
    </row>
    <row r="299" spans="1:50" ht="25.5">
      <c r="B299" s="27">
        <v>295</v>
      </c>
      <c r="C299" s="38">
        <v>202</v>
      </c>
      <c r="D299" s="38">
        <v>93</v>
      </c>
      <c r="E299" s="39">
        <v>0.55208333333333337</v>
      </c>
      <c r="F299" s="39">
        <v>0.59027777777777779</v>
      </c>
      <c r="G299" s="40" t="s">
        <v>6</v>
      </c>
      <c r="H299" s="31" t="s">
        <v>546</v>
      </c>
      <c r="I299" s="38">
        <v>24</v>
      </c>
      <c r="J299" s="41">
        <v>30</v>
      </c>
      <c r="K299" s="35">
        <v>13</v>
      </c>
      <c r="L299" s="36">
        <f>+K299*I299</f>
        <v>312</v>
      </c>
      <c r="M299" s="37" t="s">
        <v>718</v>
      </c>
      <c r="N299" s="23" t="s">
        <v>924</v>
      </c>
      <c r="O299" s="23">
        <v>37</v>
      </c>
      <c r="P299" s="23" t="s">
        <v>923</v>
      </c>
      <c r="Q299" s="23">
        <v>23</v>
      </c>
      <c r="R299" s="79" t="s">
        <v>1902</v>
      </c>
      <c r="S299" s="111">
        <v>45</v>
      </c>
      <c r="T299" s="7">
        <v>2660</v>
      </c>
      <c r="U299" s="7" t="s">
        <v>1249</v>
      </c>
      <c r="V299" s="7">
        <v>1</v>
      </c>
      <c r="W299" s="7" t="s">
        <v>1236</v>
      </c>
      <c r="X299" s="17"/>
      <c r="Y299" s="18"/>
      <c r="Z299" s="18"/>
      <c r="AA299" s="18"/>
      <c r="AB299" s="7" t="s">
        <v>1044</v>
      </c>
      <c r="AC299" s="8"/>
      <c r="AD299" s="8" t="s">
        <v>726</v>
      </c>
      <c r="AE299" s="8"/>
      <c r="AF299" s="8"/>
      <c r="AG299" s="8"/>
      <c r="AH299" s="8"/>
      <c r="AI299" s="8"/>
      <c r="AJ299" s="8"/>
      <c r="AK299" s="8"/>
      <c r="AL299" s="8"/>
      <c r="AM299" s="8" t="s">
        <v>726</v>
      </c>
      <c r="AN299" s="8"/>
      <c r="AO299" s="8"/>
      <c r="AP299" s="8"/>
      <c r="AQ299" s="8"/>
      <c r="AR299" s="8"/>
      <c r="AS299" s="8"/>
      <c r="AT299" s="8"/>
      <c r="AU299" s="8"/>
      <c r="AV299" s="8"/>
      <c r="AX299" s="142">
        <v>59.154929577464785</v>
      </c>
    </row>
    <row r="300" spans="1:50" ht="25.5">
      <c r="B300" s="27">
        <v>296</v>
      </c>
      <c r="C300" s="38">
        <v>202</v>
      </c>
      <c r="D300" s="38">
        <v>548</v>
      </c>
      <c r="E300" s="39">
        <v>0.70833333333333337</v>
      </c>
      <c r="F300" s="39">
        <v>0.76041666666666663</v>
      </c>
      <c r="G300" s="40" t="s">
        <v>9</v>
      </c>
      <c r="H300" s="31" t="s">
        <v>546</v>
      </c>
      <c r="I300" s="38">
        <v>35</v>
      </c>
      <c r="J300" s="41">
        <v>30</v>
      </c>
      <c r="K300" s="35">
        <v>13</v>
      </c>
      <c r="L300" s="36">
        <f>+K300*I300</f>
        <v>455</v>
      </c>
      <c r="M300" s="37" t="s">
        <v>718</v>
      </c>
      <c r="N300" s="23" t="s">
        <v>924</v>
      </c>
      <c r="O300" s="23">
        <v>37</v>
      </c>
      <c r="P300" s="23" t="s">
        <v>923</v>
      </c>
      <c r="Q300" s="23">
        <v>23</v>
      </c>
      <c r="R300" s="79" t="s">
        <v>1902</v>
      </c>
      <c r="S300" s="111">
        <v>45</v>
      </c>
      <c r="T300" s="7">
        <v>1</v>
      </c>
      <c r="U300" s="7" t="s">
        <v>1233</v>
      </c>
      <c r="V300" s="7">
        <v>2670</v>
      </c>
      <c r="W300" s="7" t="s">
        <v>1382</v>
      </c>
      <c r="X300" s="17"/>
      <c r="Y300" s="18"/>
      <c r="Z300" s="18"/>
      <c r="AA300" s="18"/>
      <c r="AB300" s="7" t="s">
        <v>1044</v>
      </c>
      <c r="AC300" s="8"/>
      <c r="AD300" s="8" t="s">
        <v>726</v>
      </c>
      <c r="AE300" s="8"/>
      <c r="AF300" s="8"/>
      <c r="AG300" s="8"/>
      <c r="AH300" s="8"/>
      <c r="AI300" s="8"/>
      <c r="AJ300" s="8"/>
      <c r="AK300" s="8"/>
      <c r="AL300" s="8"/>
      <c r="AM300" s="8" t="s">
        <v>726</v>
      </c>
      <c r="AN300" s="8"/>
      <c r="AO300" s="8"/>
      <c r="AP300" s="8"/>
      <c r="AQ300" s="8"/>
      <c r="AR300" s="8"/>
      <c r="AS300" s="8"/>
      <c r="AT300" s="8"/>
      <c r="AU300" s="8"/>
      <c r="AV300" s="8"/>
      <c r="AX300" s="142">
        <v>86.267605633802816</v>
      </c>
    </row>
    <row r="301" spans="1:50" ht="25.5">
      <c r="B301" s="27">
        <v>297</v>
      </c>
      <c r="C301" s="62">
        <v>202</v>
      </c>
      <c r="D301" s="34">
        <v>212</v>
      </c>
      <c r="E301" s="32">
        <v>0.71875</v>
      </c>
      <c r="F301" s="32">
        <v>0.72916666666666663</v>
      </c>
      <c r="G301" s="31" t="s">
        <v>496</v>
      </c>
      <c r="H301" s="31" t="s">
        <v>497</v>
      </c>
      <c r="I301" s="33">
        <v>10</v>
      </c>
      <c r="J301" s="34" t="s">
        <v>93</v>
      </c>
      <c r="K301" s="35">
        <v>33</v>
      </c>
      <c r="L301" s="36">
        <f>+K301*I301</f>
        <v>330</v>
      </c>
      <c r="M301" s="63" t="s">
        <v>737</v>
      </c>
      <c r="N301" s="49" t="s">
        <v>906</v>
      </c>
      <c r="O301" s="23">
        <v>21</v>
      </c>
      <c r="P301" s="23" t="s">
        <v>905</v>
      </c>
      <c r="Q301" s="23">
        <v>17</v>
      </c>
      <c r="S301" s="23"/>
      <c r="T301" s="7">
        <v>2049</v>
      </c>
      <c r="U301" s="7" t="s">
        <v>1383</v>
      </c>
      <c r="V301" s="7">
        <v>2670</v>
      </c>
      <c r="W301" s="7" t="s">
        <v>1382</v>
      </c>
      <c r="X301" s="17"/>
      <c r="Y301" s="18"/>
      <c r="Z301" s="18"/>
      <c r="AA301" s="18"/>
      <c r="AB301" s="8" t="s">
        <v>1066</v>
      </c>
      <c r="AC301" s="8"/>
      <c r="AD301" s="8" t="s">
        <v>726</v>
      </c>
      <c r="AE301" s="8" t="s">
        <v>726</v>
      </c>
      <c r="AF301" s="8"/>
      <c r="AG301" s="8" t="s">
        <v>726</v>
      </c>
      <c r="AH301" s="8"/>
      <c r="AI301" s="8" t="s">
        <v>726</v>
      </c>
      <c r="AJ301" s="8" t="s">
        <v>726</v>
      </c>
      <c r="AK301" s="8"/>
      <c r="AL301" s="8"/>
      <c r="AM301" s="8"/>
      <c r="AN301" s="8"/>
      <c r="AO301" s="8"/>
      <c r="AP301" s="8"/>
      <c r="AQ301" s="8"/>
      <c r="AR301" s="8"/>
      <c r="AS301" s="8"/>
      <c r="AT301" s="8"/>
      <c r="AU301" s="8"/>
      <c r="AV301" s="8"/>
      <c r="AX301" s="142">
        <v>30</v>
      </c>
    </row>
    <row r="302" spans="1:50" ht="25.5">
      <c r="B302" s="27">
        <v>298</v>
      </c>
      <c r="C302" s="31">
        <v>202</v>
      </c>
      <c r="D302" s="31">
        <v>97</v>
      </c>
      <c r="E302" s="32">
        <v>0.72569444444444453</v>
      </c>
      <c r="F302" s="42">
        <v>0.76388888888888884</v>
      </c>
      <c r="G302" s="31" t="s">
        <v>510</v>
      </c>
      <c r="H302" s="31" t="s">
        <v>546</v>
      </c>
      <c r="I302" s="33">
        <v>24</v>
      </c>
      <c r="J302" s="34" t="s">
        <v>406</v>
      </c>
      <c r="K302" s="35">
        <v>13</v>
      </c>
      <c r="L302" s="36">
        <f>+K302*I302</f>
        <v>312</v>
      </c>
      <c r="M302" s="37" t="s">
        <v>738</v>
      </c>
      <c r="N302" s="23" t="s">
        <v>841</v>
      </c>
      <c r="O302" s="23">
        <v>42</v>
      </c>
      <c r="P302" s="23" t="s">
        <v>1829</v>
      </c>
      <c r="Q302" s="23">
        <v>45</v>
      </c>
      <c r="R302" s="23" t="s">
        <v>1145</v>
      </c>
      <c r="S302" s="24">
        <v>48</v>
      </c>
      <c r="T302" s="7">
        <v>2660</v>
      </c>
      <c r="U302" s="7" t="s">
        <v>1249</v>
      </c>
      <c r="V302" s="7">
        <v>1</v>
      </c>
      <c r="W302" s="7" t="s">
        <v>1236</v>
      </c>
      <c r="X302" s="17"/>
      <c r="Y302" s="18"/>
      <c r="Z302" s="18"/>
      <c r="AA302" s="18"/>
      <c r="AB302" s="7" t="s">
        <v>1044</v>
      </c>
      <c r="AC302" s="8"/>
      <c r="AD302" s="8" t="s">
        <v>726</v>
      </c>
      <c r="AE302" s="8"/>
      <c r="AF302" s="8"/>
      <c r="AG302" s="8"/>
      <c r="AH302" s="8"/>
      <c r="AI302" s="8"/>
      <c r="AJ302" s="8"/>
      <c r="AK302" s="8"/>
      <c r="AL302" s="8"/>
      <c r="AM302" s="8" t="s">
        <v>726</v>
      </c>
      <c r="AN302" s="8"/>
      <c r="AO302" s="8"/>
      <c r="AP302" s="8"/>
      <c r="AQ302" s="8"/>
      <c r="AR302" s="8"/>
      <c r="AS302" s="8"/>
      <c r="AT302" s="8"/>
      <c r="AU302" s="8"/>
      <c r="AV302" s="8"/>
      <c r="AX302" s="142">
        <v>72</v>
      </c>
    </row>
    <row r="303" spans="1:50" ht="25.5">
      <c r="B303" s="27">
        <v>299</v>
      </c>
      <c r="C303" s="62">
        <v>202</v>
      </c>
      <c r="D303" s="34">
        <v>213</v>
      </c>
      <c r="E303" s="32">
        <v>0.74305555555555547</v>
      </c>
      <c r="F303" s="32">
        <v>0.76041666666666663</v>
      </c>
      <c r="G303" s="31" t="s">
        <v>498</v>
      </c>
      <c r="H303" s="31" t="s">
        <v>497</v>
      </c>
      <c r="I303" s="33">
        <v>17.5</v>
      </c>
      <c r="J303" s="34" t="s">
        <v>93</v>
      </c>
      <c r="K303" s="35">
        <v>33</v>
      </c>
      <c r="L303" s="36">
        <f>+K303*I303</f>
        <v>577.5</v>
      </c>
      <c r="M303" s="63" t="s">
        <v>737</v>
      </c>
      <c r="N303" s="49" t="s">
        <v>906</v>
      </c>
      <c r="O303" s="23">
        <v>21</v>
      </c>
      <c r="P303" s="23" t="s">
        <v>905</v>
      </c>
      <c r="Q303" s="23">
        <v>17</v>
      </c>
      <c r="S303" s="23"/>
      <c r="T303" s="7">
        <v>2670</v>
      </c>
      <c r="U303" s="7" t="s">
        <v>1382</v>
      </c>
      <c r="V303" s="7" t="s">
        <v>1253</v>
      </c>
      <c r="W303" s="7" t="s">
        <v>1254</v>
      </c>
      <c r="X303" s="17"/>
      <c r="Y303" s="18"/>
      <c r="Z303" s="18"/>
      <c r="AA303" s="18"/>
      <c r="AB303" s="8" t="s">
        <v>1066</v>
      </c>
      <c r="AC303" s="8"/>
      <c r="AD303" s="8" t="s">
        <v>726</v>
      </c>
      <c r="AE303" s="8" t="s">
        <v>726</v>
      </c>
      <c r="AF303" s="8"/>
      <c r="AG303" s="8" t="s">
        <v>726</v>
      </c>
      <c r="AH303" s="8"/>
      <c r="AI303" s="8" t="s">
        <v>726</v>
      </c>
      <c r="AJ303" s="8" t="s">
        <v>726</v>
      </c>
      <c r="AK303" s="8"/>
      <c r="AL303" s="8"/>
      <c r="AM303" s="8"/>
      <c r="AN303" s="8"/>
      <c r="AO303" s="8"/>
      <c r="AP303" s="8"/>
      <c r="AQ303" s="8"/>
      <c r="AR303" s="8"/>
      <c r="AS303" s="8"/>
      <c r="AT303" s="8"/>
      <c r="AU303" s="8"/>
      <c r="AV303" s="8"/>
      <c r="AX303" s="142">
        <v>52.5</v>
      </c>
    </row>
    <row r="304" spans="1:50" ht="22.5">
      <c r="B304" s="27">
        <v>300</v>
      </c>
      <c r="C304" s="38">
        <v>202</v>
      </c>
      <c r="D304" s="38">
        <v>104</v>
      </c>
      <c r="E304" s="39">
        <v>0.75</v>
      </c>
      <c r="F304" s="39">
        <v>0.78819444444444453</v>
      </c>
      <c r="G304" s="40" t="s">
        <v>7</v>
      </c>
      <c r="H304" s="40" t="s">
        <v>1</v>
      </c>
      <c r="I304" s="38">
        <v>24</v>
      </c>
      <c r="J304" s="41">
        <v>40</v>
      </c>
      <c r="K304" s="35">
        <v>67</v>
      </c>
      <c r="L304" s="36">
        <f>+K304*I304</f>
        <v>1608</v>
      </c>
      <c r="M304" s="37" t="s">
        <v>718</v>
      </c>
      <c r="N304" s="23" t="s">
        <v>989</v>
      </c>
      <c r="O304" s="23">
        <v>45</v>
      </c>
      <c r="P304" s="23" t="s">
        <v>927</v>
      </c>
      <c r="Q304" s="23">
        <v>48</v>
      </c>
      <c r="R304" s="79" t="s">
        <v>1902</v>
      </c>
      <c r="S304" s="111">
        <v>45</v>
      </c>
      <c r="T304" s="7">
        <v>1</v>
      </c>
      <c r="U304" s="7" t="s">
        <v>1233</v>
      </c>
      <c r="V304" s="7">
        <v>2660</v>
      </c>
      <c r="W304" s="7" t="s">
        <v>1249</v>
      </c>
      <c r="X304" s="17"/>
      <c r="Y304" s="18"/>
      <c r="Z304" s="18"/>
      <c r="AA304" s="18"/>
      <c r="AB304" s="8" t="s">
        <v>1047</v>
      </c>
      <c r="AC304" s="8"/>
      <c r="AD304" s="8" t="s">
        <v>726</v>
      </c>
      <c r="AE304" s="8" t="s">
        <v>726</v>
      </c>
      <c r="AF304" s="8"/>
      <c r="AG304" s="8" t="s">
        <v>726</v>
      </c>
      <c r="AH304" s="8" t="s">
        <v>726</v>
      </c>
      <c r="AI304" s="8" t="s">
        <v>726</v>
      </c>
      <c r="AJ304" s="8" t="s">
        <v>726</v>
      </c>
      <c r="AK304" s="8" t="s">
        <v>726</v>
      </c>
      <c r="AL304" s="8" t="s">
        <v>726</v>
      </c>
      <c r="AM304" s="8"/>
      <c r="AN304" s="8"/>
      <c r="AO304" s="8"/>
      <c r="AP304" s="8"/>
      <c r="AQ304" s="8"/>
      <c r="AR304" s="8"/>
      <c r="AS304" s="8"/>
      <c r="AT304" s="8"/>
      <c r="AU304" s="8"/>
      <c r="AV304" s="8"/>
      <c r="AX304" s="142">
        <v>110</v>
      </c>
    </row>
    <row r="305" spans="1:50" ht="25.5">
      <c r="B305" s="27">
        <v>301</v>
      </c>
      <c r="C305" s="38">
        <v>202</v>
      </c>
      <c r="D305" s="38">
        <v>104</v>
      </c>
      <c r="E305" s="39">
        <v>0.75</v>
      </c>
      <c r="F305" s="39">
        <v>0.78819444444444453</v>
      </c>
      <c r="G305" s="40" t="s">
        <v>7</v>
      </c>
      <c r="H305" s="31" t="s">
        <v>477</v>
      </c>
      <c r="I305" s="38">
        <v>24</v>
      </c>
      <c r="J305" s="41">
        <v>50</v>
      </c>
      <c r="K305" s="35">
        <v>240</v>
      </c>
      <c r="L305" s="36">
        <f>+K305*I305</f>
        <v>5760</v>
      </c>
      <c r="M305" s="37" t="s">
        <v>718</v>
      </c>
      <c r="N305" s="23" t="s">
        <v>989</v>
      </c>
      <c r="O305" s="23">
        <v>45</v>
      </c>
      <c r="P305" s="23" t="s">
        <v>927</v>
      </c>
      <c r="Q305" s="23">
        <v>48</v>
      </c>
      <c r="R305" s="79" t="s">
        <v>1902</v>
      </c>
      <c r="S305" s="111">
        <v>45</v>
      </c>
      <c r="T305" s="7">
        <v>1</v>
      </c>
      <c r="U305" s="7" t="s">
        <v>1233</v>
      </c>
      <c r="V305" s="7">
        <v>2660</v>
      </c>
      <c r="W305" s="7" t="s">
        <v>1249</v>
      </c>
      <c r="X305" s="18"/>
      <c r="Y305" s="17"/>
      <c r="Z305" s="18"/>
      <c r="AA305" s="18"/>
      <c r="AB305" s="7" t="s">
        <v>1052</v>
      </c>
      <c r="AC305" s="8" t="s">
        <v>726</v>
      </c>
      <c r="AD305" s="8"/>
      <c r="AE305" s="8" t="s">
        <v>726</v>
      </c>
      <c r="AF305" s="8"/>
      <c r="AG305" s="8" t="s">
        <v>726</v>
      </c>
      <c r="AH305" s="8" t="s">
        <v>726</v>
      </c>
      <c r="AI305" s="8" t="s">
        <v>726</v>
      </c>
      <c r="AJ305" s="8" t="s">
        <v>726</v>
      </c>
      <c r="AK305" s="8" t="s">
        <v>726</v>
      </c>
      <c r="AL305" s="8" t="s">
        <v>726</v>
      </c>
      <c r="AM305" s="8"/>
      <c r="AN305" s="8"/>
      <c r="AO305" s="8"/>
      <c r="AP305" s="8"/>
      <c r="AQ305" s="8"/>
      <c r="AR305" s="8"/>
      <c r="AS305" s="8"/>
      <c r="AT305" s="8"/>
      <c r="AU305" s="8"/>
      <c r="AV305" s="8"/>
      <c r="AX305" s="142">
        <v>62.400000000000006</v>
      </c>
    </row>
    <row r="306" spans="1:50" ht="25.5">
      <c r="B306" s="27">
        <v>302</v>
      </c>
      <c r="C306" s="38">
        <v>202</v>
      </c>
      <c r="D306" s="38">
        <v>247</v>
      </c>
      <c r="E306" s="39">
        <v>0.76388888888888884</v>
      </c>
      <c r="F306" s="39">
        <v>0.81597222222222221</v>
      </c>
      <c r="G306" s="40" t="s">
        <v>8</v>
      </c>
      <c r="H306" s="31" t="s">
        <v>546</v>
      </c>
      <c r="I306" s="38">
        <v>35</v>
      </c>
      <c r="J306" s="41">
        <v>30</v>
      </c>
      <c r="K306" s="35">
        <v>13</v>
      </c>
      <c r="L306" s="36">
        <f>+K306*I306</f>
        <v>455</v>
      </c>
      <c r="M306" s="37" t="s">
        <v>718</v>
      </c>
      <c r="N306" s="23" t="s">
        <v>924</v>
      </c>
      <c r="O306" s="23">
        <v>37</v>
      </c>
      <c r="P306" s="23" t="s">
        <v>923</v>
      </c>
      <c r="Q306" s="23">
        <v>23</v>
      </c>
      <c r="R306" s="79" t="s">
        <v>1902</v>
      </c>
      <c r="S306" s="111">
        <v>45</v>
      </c>
      <c r="T306" s="7">
        <v>2670</v>
      </c>
      <c r="U306" s="7" t="s">
        <v>1382</v>
      </c>
      <c r="V306" s="7">
        <v>1</v>
      </c>
      <c r="W306" s="7" t="s">
        <v>1236</v>
      </c>
      <c r="X306" s="17"/>
      <c r="Y306" s="18"/>
      <c r="Z306" s="18"/>
      <c r="AA306" s="18"/>
      <c r="AB306" s="7" t="s">
        <v>1044</v>
      </c>
      <c r="AC306" s="8"/>
      <c r="AD306" s="8" t="s">
        <v>726</v>
      </c>
      <c r="AE306" s="8"/>
      <c r="AF306" s="8"/>
      <c r="AG306" s="8"/>
      <c r="AH306" s="8"/>
      <c r="AI306" s="8"/>
      <c r="AJ306" s="8"/>
      <c r="AK306" s="8"/>
      <c r="AL306" s="8"/>
      <c r="AM306" s="8" t="s">
        <v>726</v>
      </c>
      <c r="AN306" s="8"/>
      <c r="AO306" s="8"/>
      <c r="AP306" s="8"/>
      <c r="AQ306" s="8"/>
      <c r="AR306" s="8"/>
      <c r="AS306" s="8"/>
      <c r="AT306" s="8"/>
      <c r="AU306" s="8"/>
      <c r="AV306" s="8"/>
      <c r="AX306" s="142">
        <v>192.5</v>
      </c>
    </row>
    <row r="307" spans="1:50" ht="12.75">
      <c r="B307" s="27">
        <v>303</v>
      </c>
      <c r="C307" s="38">
        <v>202</v>
      </c>
      <c r="D307" s="38">
        <v>99</v>
      </c>
      <c r="E307" s="39">
        <v>0.79166666666666663</v>
      </c>
      <c r="F307" s="39">
        <v>0.82986111111111116</v>
      </c>
      <c r="G307" s="40" t="s">
        <v>6</v>
      </c>
      <c r="H307" s="40" t="s">
        <v>1</v>
      </c>
      <c r="I307" s="38">
        <v>24</v>
      </c>
      <c r="J307" s="41">
        <v>40</v>
      </c>
      <c r="K307" s="35">
        <v>67</v>
      </c>
      <c r="L307" s="36">
        <f>+K307*I307</f>
        <v>1608</v>
      </c>
      <c r="M307" s="37" t="s">
        <v>718</v>
      </c>
      <c r="N307" s="23" t="s">
        <v>989</v>
      </c>
      <c r="O307" s="23">
        <v>45</v>
      </c>
      <c r="P307" s="23" t="s">
        <v>927</v>
      </c>
      <c r="Q307" s="23">
        <v>48</v>
      </c>
      <c r="R307" s="79" t="s">
        <v>1902</v>
      </c>
      <c r="S307" s="111">
        <v>45</v>
      </c>
      <c r="T307" s="7">
        <v>2660</v>
      </c>
      <c r="U307" s="7" t="s">
        <v>1249</v>
      </c>
      <c r="V307" s="7">
        <v>1</v>
      </c>
      <c r="W307" s="7" t="s">
        <v>1236</v>
      </c>
      <c r="X307" s="17"/>
      <c r="Y307" s="18"/>
      <c r="Z307" s="18"/>
      <c r="AA307" s="18"/>
      <c r="AB307" s="8" t="s">
        <v>1047</v>
      </c>
      <c r="AC307" s="8"/>
      <c r="AD307" s="8" t="s">
        <v>726</v>
      </c>
      <c r="AE307" s="8" t="s">
        <v>726</v>
      </c>
      <c r="AF307" s="8"/>
      <c r="AG307" s="8" t="s">
        <v>726</v>
      </c>
      <c r="AH307" s="8" t="s">
        <v>726</v>
      </c>
      <c r="AI307" s="8" t="s">
        <v>726</v>
      </c>
      <c r="AJ307" s="8" t="s">
        <v>726</v>
      </c>
      <c r="AK307" s="8" t="s">
        <v>726</v>
      </c>
      <c r="AL307" s="8" t="s">
        <v>726</v>
      </c>
      <c r="AM307" s="8"/>
      <c r="AN307" s="8"/>
      <c r="AO307" s="8"/>
      <c r="AP307" s="8"/>
      <c r="AQ307" s="8"/>
      <c r="AR307" s="8"/>
      <c r="AS307" s="8"/>
      <c r="AT307" s="8"/>
      <c r="AU307" s="8"/>
      <c r="AV307" s="8"/>
      <c r="AX307" s="142">
        <v>110</v>
      </c>
    </row>
    <row r="308" spans="1:50" ht="25.5">
      <c r="B308" s="27">
        <v>304</v>
      </c>
      <c r="C308" s="38">
        <v>202</v>
      </c>
      <c r="D308" s="38">
        <v>99</v>
      </c>
      <c r="E308" s="39">
        <v>0.79166666666666663</v>
      </c>
      <c r="F308" s="39">
        <v>0.82986111111111116</v>
      </c>
      <c r="G308" s="40" t="s">
        <v>6</v>
      </c>
      <c r="H308" s="31" t="s">
        <v>477</v>
      </c>
      <c r="I308" s="38">
        <v>24</v>
      </c>
      <c r="J308" s="41">
        <v>50</v>
      </c>
      <c r="K308" s="35">
        <v>240</v>
      </c>
      <c r="L308" s="36">
        <f>+K308*I308</f>
        <v>5760</v>
      </c>
      <c r="M308" s="37" t="s">
        <v>718</v>
      </c>
      <c r="N308" s="23" t="s">
        <v>989</v>
      </c>
      <c r="O308" s="23">
        <v>45</v>
      </c>
      <c r="P308" s="23" t="s">
        <v>927</v>
      </c>
      <c r="Q308" s="23">
        <v>48</v>
      </c>
      <c r="R308" s="79" t="s">
        <v>1902</v>
      </c>
      <c r="S308" s="111">
        <v>45</v>
      </c>
      <c r="T308" s="7">
        <v>2660</v>
      </c>
      <c r="U308" s="7" t="s">
        <v>1249</v>
      </c>
      <c r="V308" s="7">
        <v>1</v>
      </c>
      <c r="W308" s="7" t="s">
        <v>1236</v>
      </c>
      <c r="X308" s="18"/>
      <c r="Y308" s="17"/>
      <c r="Z308" s="18"/>
      <c r="AA308" s="18"/>
      <c r="AB308" s="7" t="s">
        <v>1052</v>
      </c>
      <c r="AC308" s="8" t="s">
        <v>726</v>
      </c>
      <c r="AD308" s="8"/>
      <c r="AE308" s="8" t="s">
        <v>726</v>
      </c>
      <c r="AF308" s="8"/>
      <c r="AG308" s="8" t="s">
        <v>726</v>
      </c>
      <c r="AH308" s="8" t="s">
        <v>726</v>
      </c>
      <c r="AI308" s="8" t="s">
        <v>726</v>
      </c>
      <c r="AJ308" s="8" t="s">
        <v>726</v>
      </c>
      <c r="AK308" s="8" t="s">
        <v>726</v>
      </c>
      <c r="AL308" s="8" t="s">
        <v>726</v>
      </c>
      <c r="AM308" s="8"/>
      <c r="AN308" s="8"/>
      <c r="AO308" s="8"/>
      <c r="AP308" s="8"/>
      <c r="AQ308" s="8"/>
      <c r="AR308" s="8"/>
      <c r="AS308" s="8"/>
      <c r="AT308" s="8"/>
      <c r="AU308" s="8"/>
      <c r="AV308" s="8"/>
      <c r="AX308" s="142">
        <v>62.400000000000006</v>
      </c>
    </row>
    <row r="309" spans="1:50" ht="25.5">
      <c r="B309" s="27">
        <v>305</v>
      </c>
      <c r="C309" s="31">
        <v>203</v>
      </c>
      <c r="D309" s="31">
        <v>383</v>
      </c>
      <c r="E309" s="32">
        <v>0.27430555555555552</v>
      </c>
      <c r="F309" s="32">
        <v>0.30069444444444443</v>
      </c>
      <c r="G309" s="31" t="s">
        <v>224</v>
      </c>
      <c r="H309" s="31" t="s">
        <v>203</v>
      </c>
      <c r="I309" s="33">
        <v>15.5</v>
      </c>
      <c r="J309" s="34" t="s">
        <v>93</v>
      </c>
      <c r="K309" s="35">
        <v>202</v>
      </c>
      <c r="L309" s="36">
        <f>+K309*I309</f>
        <v>3131</v>
      </c>
      <c r="M309" s="37" t="s">
        <v>718</v>
      </c>
      <c r="N309" s="23" t="s">
        <v>926</v>
      </c>
      <c r="O309" s="23">
        <v>24</v>
      </c>
      <c r="P309" s="23" t="s">
        <v>925</v>
      </c>
      <c r="Q309" s="23">
        <v>21</v>
      </c>
      <c r="R309" s="79" t="s">
        <v>1983</v>
      </c>
      <c r="S309" s="79">
        <v>21</v>
      </c>
      <c r="T309" s="7">
        <v>2046</v>
      </c>
      <c r="U309" s="7" t="s">
        <v>1386</v>
      </c>
      <c r="V309" s="7" t="s">
        <v>1387</v>
      </c>
      <c r="W309" s="7" t="s">
        <v>1388</v>
      </c>
      <c r="X309" s="18"/>
      <c r="Y309" s="17"/>
      <c r="Z309" s="18"/>
      <c r="AA309" s="18"/>
      <c r="AB309" s="7" t="s">
        <v>1048</v>
      </c>
      <c r="AC309" s="8" t="s">
        <v>726</v>
      </c>
      <c r="AD309" s="8"/>
      <c r="AE309" s="8" t="s">
        <v>726</v>
      </c>
      <c r="AF309" s="8"/>
      <c r="AG309" s="8" t="s">
        <v>726</v>
      </c>
      <c r="AH309" s="8" t="s">
        <v>726</v>
      </c>
      <c r="AI309" s="8" t="s">
        <v>726</v>
      </c>
      <c r="AJ309" s="8" t="s">
        <v>726</v>
      </c>
      <c r="AK309" s="8" t="s">
        <v>726</v>
      </c>
      <c r="AL309" s="8"/>
      <c r="AM309" s="8"/>
      <c r="AN309" s="8"/>
      <c r="AO309" s="8"/>
      <c r="AP309" s="8"/>
      <c r="AQ309" s="8"/>
      <c r="AR309" s="8"/>
      <c r="AS309" s="8"/>
      <c r="AT309" s="8"/>
      <c r="AU309" s="8"/>
      <c r="AV309" s="8"/>
      <c r="AX309" s="142">
        <v>36.049999999999997</v>
      </c>
    </row>
    <row r="310" spans="1:50" ht="25.5">
      <c r="B310" s="27">
        <v>306</v>
      </c>
      <c r="C310" s="31">
        <v>203</v>
      </c>
      <c r="D310" s="31">
        <v>174</v>
      </c>
      <c r="E310" s="32">
        <v>0.5541666666666667</v>
      </c>
      <c r="F310" s="42">
        <v>0.57013888888888886</v>
      </c>
      <c r="G310" s="31" t="s">
        <v>670</v>
      </c>
      <c r="H310" s="31" t="s">
        <v>97</v>
      </c>
      <c r="I310" s="33">
        <v>11.5</v>
      </c>
      <c r="J310" s="34" t="s">
        <v>127</v>
      </c>
      <c r="K310" s="35">
        <v>208</v>
      </c>
      <c r="L310" s="36">
        <f>+K310*I310</f>
        <v>2392</v>
      </c>
      <c r="M310" s="37" t="s">
        <v>718</v>
      </c>
      <c r="N310" s="23" t="s">
        <v>924</v>
      </c>
      <c r="O310" s="23">
        <v>37</v>
      </c>
      <c r="P310" s="23" t="s">
        <v>923</v>
      </c>
      <c r="Q310" s="23">
        <v>23</v>
      </c>
      <c r="R310" s="79" t="s">
        <v>1983</v>
      </c>
      <c r="S310" s="79">
        <v>21</v>
      </c>
      <c r="T310" s="7" t="s">
        <v>1389</v>
      </c>
      <c r="U310" s="7" t="s">
        <v>1390</v>
      </c>
      <c r="V310" s="7">
        <v>2046</v>
      </c>
      <c r="W310" s="7" t="s">
        <v>1386</v>
      </c>
      <c r="X310" s="18"/>
      <c r="Y310" s="17"/>
      <c r="Z310" s="17"/>
      <c r="AA310" s="17"/>
      <c r="AB310" s="7" t="s">
        <v>1046</v>
      </c>
      <c r="AC310" s="8"/>
      <c r="AD310" s="8"/>
      <c r="AE310" s="8"/>
      <c r="AF310" s="8" t="s">
        <v>726</v>
      </c>
      <c r="AG310" s="8" t="s">
        <v>726</v>
      </c>
      <c r="AH310" s="8" t="s">
        <v>726</v>
      </c>
      <c r="AI310" s="8" t="s">
        <v>726</v>
      </c>
      <c r="AJ310" s="8" t="s">
        <v>726</v>
      </c>
      <c r="AK310" s="8" t="s">
        <v>726</v>
      </c>
      <c r="AL310" s="8" t="s">
        <v>726</v>
      </c>
      <c r="AM310" s="8"/>
      <c r="AN310" s="8"/>
      <c r="AO310" s="8"/>
      <c r="AP310" s="8"/>
      <c r="AQ310" s="8"/>
      <c r="AR310" s="8"/>
      <c r="AS310" s="8"/>
      <c r="AT310" s="8"/>
      <c r="AU310" s="8"/>
      <c r="AV310" s="8"/>
      <c r="AX310" s="142">
        <v>52.32</v>
      </c>
    </row>
    <row r="311" spans="1:50" ht="38.25">
      <c r="B311" s="27">
        <v>307</v>
      </c>
      <c r="C311" s="31">
        <v>203</v>
      </c>
      <c r="D311" s="31">
        <v>176</v>
      </c>
      <c r="E311" s="32">
        <v>0.58402777777777781</v>
      </c>
      <c r="F311" s="32">
        <v>0.59236111111111112</v>
      </c>
      <c r="G311" s="31" t="s">
        <v>223</v>
      </c>
      <c r="H311" s="31" t="s">
        <v>222</v>
      </c>
      <c r="I311" s="33">
        <v>3.5</v>
      </c>
      <c r="J311" s="34" t="s">
        <v>93</v>
      </c>
      <c r="K311" s="35">
        <v>68</v>
      </c>
      <c r="L311" s="36">
        <f>+K311*I311</f>
        <v>238</v>
      </c>
      <c r="M311" s="37" t="s">
        <v>718</v>
      </c>
      <c r="N311" s="23" t="s">
        <v>926</v>
      </c>
      <c r="O311" s="23">
        <v>24</v>
      </c>
      <c r="P311" s="23" t="s">
        <v>925</v>
      </c>
      <c r="Q311" s="23">
        <v>21</v>
      </c>
      <c r="S311" s="23"/>
      <c r="T311" s="7" t="s">
        <v>1389</v>
      </c>
      <c r="U311" s="7" t="s">
        <v>1390</v>
      </c>
      <c r="V311" s="7">
        <v>2043</v>
      </c>
      <c r="W311" s="7" t="s">
        <v>1391</v>
      </c>
      <c r="X311" s="18"/>
      <c r="Y311" s="17"/>
      <c r="Z311" s="17"/>
      <c r="AA311" s="17"/>
      <c r="AB311" s="8" t="s">
        <v>1061</v>
      </c>
      <c r="AC311" s="8"/>
      <c r="AD311" s="8"/>
      <c r="AE311" s="8"/>
      <c r="AF311" s="8" t="s">
        <v>726</v>
      </c>
      <c r="AG311" s="8"/>
      <c r="AH311" s="8" t="s">
        <v>726</v>
      </c>
      <c r="AI311" s="8"/>
      <c r="AJ311" s="8" t="s">
        <v>726</v>
      </c>
      <c r="AK311" s="8"/>
      <c r="AL311" s="8"/>
      <c r="AM311" s="8"/>
      <c r="AN311" s="8"/>
      <c r="AO311" s="8"/>
      <c r="AP311" s="8"/>
      <c r="AQ311" s="8"/>
      <c r="AR311" s="8"/>
      <c r="AS311" s="8"/>
      <c r="AT311" s="8"/>
      <c r="AU311" s="8"/>
      <c r="AV311" s="8"/>
      <c r="AX311" s="142">
        <v>8.48</v>
      </c>
    </row>
    <row r="312" spans="1:50" ht="25.5">
      <c r="B312" s="27">
        <v>308</v>
      </c>
      <c r="C312" s="31">
        <v>203</v>
      </c>
      <c r="D312" s="31">
        <v>176</v>
      </c>
      <c r="E312" s="32">
        <v>0.58402777777777781</v>
      </c>
      <c r="F312" s="42">
        <v>0.61041666666666672</v>
      </c>
      <c r="G312" s="31" t="s">
        <v>221</v>
      </c>
      <c r="H312" s="31" t="s">
        <v>97</v>
      </c>
      <c r="I312" s="33">
        <v>15.5</v>
      </c>
      <c r="J312" s="34" t="s">
        <v>127</v>
      </c>
      <c r="K312" s="35">
        <v>208</v>
      </c>
      <c r="L312" s="36">
        <f>+K312*I312</f>
        <v>3224</v>
      </c>
      <c r="M312" s="37" t="s">
        <v>718</v>
      </c>
      <c r="N312" s="23" t="s">
        <v>924</v>
      </c>
      <c r="O312" s="23">
        <v>37</v>
      </c>
      <c r="P312" s="23" t="s">
        <v>923</v>
      </c>
      <c r="Q312" s="23">
        <v>23</v>
      </c>
      <c r="R312" s="79" t="s">
        <v>1983</v>
      </c>
      <c r="S312" s="79">
        <v>21</v>
      </c>
      <c r="T312" s="7" t="s">
        <v>1389</v>
      </c>
      <c r="U312" s="7" t="s">
        <v>1390</v>
      </c>
      <c r="V312" s="7">
        <v>2046</v>
      </c>
      <c r="W312" s="7" t="s">
        <v>1386</v>
      </c>
      <c r="X312" s="18"/>
      <c r="Y312" s="17"/>
      <c r="Z312" s="17"/>
      <c r="AA312" s="17"/>
      <c r="AB312" s="7" t="s">
        <v>1046</v>
      </c>
      <c r="AC312" s="8"/>
      <c r="AD312" s="8"/>
      <c r="AE312" s="8"/>
      <c r="AF312" s="8" t="s">
        <v>726</v>
      </c>
      <c r="AG312" s="8" t="s">
        <v>726</v>
      </c>
      <c r="AH312" s="8" t="s">
        <v>726</v>
      </c>
      <c r="AI312" s="8" t="s">
        <v>726</v>
      </c>
      <c r="AJ312" s="8" t="s">
        <v>726</v>
      </c>
      <c r="AK312" s="8" t="s">
        <v>726</v>
      </c>
      <c r="AL312" s="8" t="s">
        <v>726</v>
      </c>
      <c r="AM312" s="8"/>
      <c r="AN312" s="8"/>
      <c r="AO312" s="8"/>
      <c r="AP312" s="8"/>
      <c r="AQ312" s="8"/>
      <c r="AR312" s="8"/>
      <c r="AS312" s="8"/>
      <c r="AT312" s="8"/>
      <c r="AU312" s="8"/>
      <c r="AV312" s="8"/>
      <c r="AX312" s="142">
        <v>63.62</v>
      </c>
    </row>
    <row r="313" spans="1:50" ht="38.25">
      <c r="B313" s="27">
        <v>309</v>
      </c>
      <c r="C313" s="31">
        <v>203</v>
      </c>
      <c r="D313" s="31">
        <v>80</v>
      </c>
      <c r="E313" s="32">
        <v>0.62638888888888888</v>
      </c>
      <c r="F313" s="32">
        <v>0.64513888888888882</v>
      </c>
      <c r="G313" s="31" t="s">
        <v>220</v>
      </c>
      <c r="H313" s="31" t="s">
        <v>710</v>
      </c>
      <c r="I313" s="33">
        <v>10.5</v>
      </c>
      <c r="J313" s="34" t="s">
        <v>116</v>
      </c>
      <c r="K313" s="35">
        <v>16</v>
      </c>
      <c r="L313" s="36">
        <f>+K313*I313</f>
        <v>168</v>
      </c>
      <c r="M313" s="37" t="s">
        <v>718</v>
      </c>
      <c r="N313" s="2" t="s">
        <v>1790</v>
      </c>
      <c r="O313" s="2">
        <v>9</v>
      </c>
      <c r="P313" s="2" t="s">
        <v>1164</v>
      </c>
      <c r="Q313" s="1">
        <v>9</v>
      </c>
      <c r="T313" s="7">
        <v>2040</v>
      </c>
      <c r="U313" s="7" t="s">
        <v>1257</v>
      </c>
      <c r="V313" s="7">
        <v>2045</v>
      </c>
      <c r="W313" s="7" t="s">
        <v>1392</v>
      </c>
      <c r="X313" s="18"/>
      <c r="Y313" s="17"/>
      <c r="Z313" s="17"/>
      <c r="AA313" s="17"/>
      <c r="AB313" s="8" t="s">
        <v>1067</v>
      </c>
      <c r="AC313" s="8"/>
      <c r="AD313" s="8"/>
      <c r="AE313" s="8"/>
      <c r="AF313" s="8" t="s">
        <v>726</v>
      </c>
      <c r="AG313" s="8" t="s">
        <v>726</v>
      </c>
      <c r="AH313" s="8"/>
      <c r="AI313" s="8"/>
      <c r="AJ313" s="8"/>
      <c r="AK313" s="8"/>
      <c r="AL313" s="8"/>
      <c r="AM313" s="8"/>
      <c r="AN313" s="8"/>
      <c r="AO313" s="8"/>
      <c r="AP313" s="8"/>
      <c r="AQ313" s="8"/>
      <c r="AR313" s="8"/>
      <c r="AS313" s="8"/>
      <c r="AT313" s="8"/>
      <c r="AU313" s="8"/>
      <c r="AV313" s="8"/>
      <c r="AX313" s="142">
        <v>21</v>
      </c>
    </row>
    <row r="314" spans="1:50" ht="25.5">
      <c r="B314" s="27">
        <v>310</v>
      </c>
      <c r="C314" s="31">
        <v>204</v>
      </c>
      <c r="D314" s="34">
        <v>405</v>
      </c>
      <c r="E314" s="32">
        <v>0.27013888888888887</v>
      </c>
      <c r="F314" s="42">
        <v>0.27708333333333335</v>
      </c>
      <c r="G314" s="31" t="s">
        <v>682</v>
      </c>
      <c r="H314" s="31" t="s">
        <v>97</v>
      </c>
      <c r="I314" s="33">
        <v>7.5</v>
      </c>
      <c r="J314" s="34" t="s">
        <v>146</v>
      </c>
      <c r="K314" s="35">
        <v>208</v>
      </c>
      <c r="L314" s="36">
        <f>+K314*I314</f>
        <v>1560</v>
      </c>
      <c r="M314" s="63" t="s">
        <v>737</v>
      </c>
      <c r="N314" s="23" t="s">
        <v>905</v>
      </c>
      <c r="O314" s="23">
        <v>17</v>
      </c>
      <c r="P314" s="49" t="s">
        <v>906</v>
      </c>
      <c r="Q314" s="49">
        <v>21</v>
      </c>
      <c r="S314" s="23"/>
      <c r="T314" s="7">
        <v>2057</v>
      </c>
      <c r="U314" s="7" t="s">
        <v>1252</v>
      </c>
      <c r="V314" s="7">
        <v>2054</v>
      </c>
      <c r="W314" s="7" t="s">
        <v>1256</v>
      </c>
      <c r="X314" s="18"/>
      <c r="Y314" s="17"/>
      <c r="Z314" s="17"/>
      <c r="AA314" s="17"/>
      <c r="AB314" s="7" t="s">
        <v>1046</v>
      </c>
      <c r="AC314" s="8"/>
      <c r="AD314" s="8"/>
      <c r="AE314" s="8"/>
      <c r="AF314" s="8" t="s">
        <v>726</v>
      </c>
      <c r="AG314" s="8" t="s">
        <v>726</v>
      </c>
      <c r="AH314" s="8" t="s">
        <v>726</v>
      </c>
      <c r="AI314" s="8" t="s">
        <v>726</v>
      </c>
      <c r="AJ314" s="8" t="s">
        <v>726</v>
      </c>
      <c r="AK314" s="8" t="s">
        <v>726</v>
      </c>
      <c r="AL314" s="8" t="s">
        <v>726</v>
      </c>
      <c r="AM314" s="8"/>
      <c r="AN314" s="8"/>
      <c r="AO314" s="8"/>
      <c r="AP314" s="8"/>
      <c r="AQ314" s="8"/>
      <c r="AR314" s="8"/>
      <c r="AS314" s="8"/>
      <c r="AT314" s="8"/>
      <c r="AU314" s="8"/>
      <c r="AV314" s="8"/>
      <c r="AX314" s="142">
        <v>20</v>
      </c>
    </row>
    <row r="315" spans="1:50" ht="25.5">
      <c r="B315" s="27">
        <v>311</v>
      </c>
      <c r="C315" s="31">
        <v>204</v>
      </c>
      <c r="D315" s="31">
        <v>226</v>
      </c>
      <c r="E315" s="32">
        <v>0.27013888888888887</v>
      </c>
      <c r="F315" s="32">
        <v>0.28263888888888888</v>
      </c>
      <c r="G315" s="31" t="s">
        <v>460</v>
      </c>
      <c r="H315" s="31" t="s">
        <v>103</v>
      </c>
      <c r="I315" s="33">
        <v>10</v>
      </c>
      <c r="J315" s="34" t="s">
        <v>101</v>
      </c>
      <c r="K315" s="35">
        <v>174</v>
      </c>
      <c r="L315" s="36">
        <f>+K315*I315</f>
        <v>1740</v>
      </c>
      <c r="M315" s="37" t="s">
        <v>734</v>
      </c>
      <c r="N315" s="23" t="s">
        <v>933</v>
      </c>
      <c r="O315" s="23">
        <v>55</v>
      </c>
      <c r="P315" s="23" t="s">
        <v>1148</v>
      </c>
      <c r="Q315" s="23">
        <v>54</v>
      </c>
      <c r="R315" s="23" t="s">
        <v>936</v>
      </c>
      <c r="S315" s="23">
        <v>57</v>
      </c>
      <c r="T315" s="7">
        <v>2054</v>
      </c>
      <c r="U315" s="7" t="s">
        <v>1256</v>
      </c>
      <c r="V315" s="7">
        <v>2127</v>
      </c>
      <c r="W315" s="7" t="s">
        <v>1255</v>
      </c>
      <c r="X315" s="18"/>
      <c r="Y315" s="17"/>
      <c r="Z315" s="17"/>
      <c r="AA315" s="17"/>
      <c r="AB315" s="7" t="s">
        <v>1042</v>
      </c>
      <c r="AC315" s="8"/>
      <c r="AD315" s="8"/>
      <c r="AE315" s="8"/>
      <c r="AF315" s="8" t="s">
        <v>726</v>
      </c>
      <c r="AG315" s="8" t="s">
        <v>726</v>
      </c>
      <c r="AH315" s="8" t="s">
        <v>726</v>
      </c>
      <c r="AI315" s="8" t="s">
        <v>726</v>
      </c>
      <c r="AJ315" s="8" t="s">
        <v>726</v>
      </c>
      <c r="AK315" s="8" t="s">
        <v>726</v>
      </c>
      <c r="AL315" s="8"/>
      <c r="AM315" s="8"/>
      <c r="AN315" s="8"/>
      <c r="AO315" s="8"/>
      <c r="AP315" s="8"/>
      <c r="AQ315" s="8"/>
      <c r="AR315" s="8"/>
      <c r="AS315" s="8"/>
      <c r="AT315" s="8"/>
      <c r="AU315" s="8"/>
      <c r="AV315" s="8"/>
      <c r="AX315" s="142">
        <v>30</v>
      </c>
    </row>
    <row r="316" spans="1:50" ht="25.5">
      <c r="B316" s="27">
        <v>312</v>
      </c>
      <c r="C316" s="31">
        <v>204</v>
      </c>
      <c r="D316" s="34">
        <v>405</v>
      </c>
      <c r="E316" s="32">
        <v>0.2722222222222222</v>
      </c>
      <c r="F316" s="32">
        <v>0.27708333333333335</v>
      </c>
      <c r="G316" s="31" t="s">
        <v>106</v>
      </c>
      <c r="H316" s="31" t="s">
        <v>107</v>
      </c>
      <c r="I316" s="33">
        <v>4</v>
      </c>
      <c r="J316" s="34" t="s">
        <v>99</v>
      </c>
      <c r="K316" s="35">
        <v>29</v>
      </c>
      <c r="L316" s="36">
        <f>+K316*I316</f>
        <v>116</v>
      </c>
      <c r="M316" s="63" t="s">
        <v>737</v>
      </c>
      <c r="N316" s="23" t="s">
        <v>905</v>
      </c>
      <c r="O316" s="23">
        <v>17</v>
      </c>
      <c r="P316" s="49" t="s">
        <v>906</v>
      </c>
      <c r="Q316" s="49">
        <v>21</v>
      </c>
      <c r="S316" s="23"/>
      <c r="T316" s="7">
        <v>2057</v>
      </c>
      <c r="U316" s="7" t="s">
        <v>1252</v>
      </c>
      <c r="V316" s="7">
        <v>2054</v>
      </c>
      <c r="W316" s="7" t="s">
        <v>1256</v>
      </c>
      <c r="X316" s="18"/>
      <c r="Y316" s="17"/>
      <c r="Z316" s="18"/>
      <c r="AA316" s="18"/>
      <c r="AB316" s="7" t="s">
        <v>1050</v>
      </c>
      <c r="AC316" s="8" t="s">
        <v>726</v>
      </c>
      <c r="AD316" s="8"/>
      <c r="AE316" s="8" t="s">
        <v>726</v>
      </c>
      <c r="AF316" s="8"/>
      <c r="AG316" s="8"/>
      <c r="AH316" s="8"/>
      <c r="AI316" s="8"/>
      <c r="AJ316" s="8"/>
      <c r="AK316" s="8"/>
      <c r="AL316" s="8"/>
      <c r="AM316" s="8"/>
      <c r="AN316" s="8"/>
      <c r="AO316" s="8"/>
      <c r="AP316" s="8"/>
      <c r="AQ316" s="8" t="s">
        <v>726</v>
      </c>
      <c r="AR316" s="8" t="s">
        <v>726</v>
      </c>
      <c r="AS316" s="8" t="s">
        <v>726</v>
      </c>
      <c r="AT316" s="8" t="s">
        <v>726</v>
      </c>
      <c r="AU316" s="8" t="s">
        <v>726</v>
      </c>
      <c r="AV316" s="8" t="s">
        <v>726</v>
      </c>
      <c r="AX316" s="142">
        <v>25</v>
      </c>
    </row>
    <row r="317" spans="1:50" ht="25.5">
      <c r="B317" s="27">
        <v>313</v>
      </c>
      <c r="C317" s="31">
        <v>204</v>
      </c>
      <c r="D317" s="54">
        <v>139</v>
      </c>
      <c r="E317" s="32">
        <v>0.27291666666666664</v>
      </c>
      <c r="F317" s="42">
        <v>0.27777777777777779</v>
      </c>
      <c r="G317" s="31" t="s">
        <v>106</v>
      </c>
      <c r="H317" s="31" t="s">
        <v>105</v>
      </c>
      <c r="I317" s="33">
        <v>4</v>
      </c>
      <c r="J317" s="34" t="s">
        <v>99</v>
      </c>
      <c r="K317" s="35">
        <v>67</v>
      </c>
      <c r="L317" s="36">
        <f>+K317*I317</f>
        <v>268</v>
      </c>
      <c r="M317" s="63" t="s">
        <v>737</v>
      </c>
      <c r="N317" s="23" t="s">
        <v>905</v>
      </c>
      <c r="O317" s="23">
        <v>17</v>
      </c>
      <c r="P317" s="49" t="s">
        <v>906</v>
      </c>
      <c r="Q317" s="49">
        <v>21</v>
      </c>
      <c r="S317" s="23"/>
      <c r="T317" s="7">
        <v>2057</v>
      </c>
      <c r="U317" s="7" t="s">
        <v>1252</v>
      </c>
      <c r="V317" s="7">
        <v>2054</v>
      </c>
      <c r="W317" s="7" t="s">
        <v>1256</v>
      </c>
      <c r="X317" s="17"/>
      <c r="Y317" s="18"/>
      <c r="Z317" s="18"/>
      <c r="AA317" s="18"/>
      <c r="AB317" s="8" t="s">
        <v>1047</v>
      </c>
      <c r="AC317" s="8"/>
      <c r="AD317" s="8" t="s">
        <v>726</v>
      </c>
      <c r="AE317" s="8" t="s">
        <v>726</v>
      </c>
      <c r="AF317" s="8"/>
      <c r="AG317" s="8" t="s">
        <v>726</v>
      </c>
      <c r="AH317" s="8" t="s">
        <v>726</v>
      </c>
      <c r="AI317" s="8" t="s">
        <v>726</v>
      </c>
      <c r="AJ317" s="8" t="s">
        <v>726</v>
      </c>
      <c r="AK317" s="8" t="s">
        <v>726</v>
      </c>
      <c r="AL317" s="8" t="s">
        <v>726</v>
      </c>
      <c r="AM317" s="8"/>
      <c r="AN317" s="8"/>
      <c r="AO317" s="8"/>
      <c r="AP317" s="8"/>
      <c r="AQ317" s="8"/>
      <c r="AR317" s="8"/>
      <c r="AS317" s="8"/>
      <c r="AT317" s="8"/>
      <c r="AU317" s="8"/>
      <c r="AV317" s="8"/>
      <c r="AX317" s="142">
        <v>25</v>
      </c>
    </row>
    <row r="318" spans="1:50" ht="12.75">
      <c r="B318" s="27">
        <v>314</v>
      </c>
      <c r="C318" s="31">
        <v>204</v>
      </c>
      <c r="D318" s="31">
        <v>313</v>
      </c>
      <c r="E318" s="32">
        <v>0.2986111111111111</v>
      </c>
      <c r="F318" s="32">
        <v>0.33124999999999999</v>
      </c>
      <c r="G318" s="31" t="s">
        <v>205</v>
      </c>
      <c r="H318" s="31" t="s">
        <v>206</v>
      </c>
      <c r="I318" s="33">
        <v>27</v>
      </c>
      <c r="J318" s="34" t="s">
        <v>93</v>
      </c>
      <c r="K318" s="35">
        <v>45</v>
      </c>
      <c r="L318" s="36">
        <f>+K318*I318</f>
        <v>1215</v>
      </c>
      <c r="M318" s="37" t="s">
        <v>718</v>
      </c>
      <c r="N318" s="23" t="s">
        <v>926</v>
      </c>
      <c r="O318" s="23">
        <v>24</v>
      </c>
      <c r="P318" s="79" t="s">
        <v>1983</v>
      </c>
      <c r="Q318" s="79">
        <v>21</v>
      </c>
      <c r="R318" s="23" t="s">
        <v>923</v>
      </c>
      <c r="S318" s="24">
        <v>23</v>
      </c>
      <c r="T318" s="7">
        <v>2054</v>
      </c>
      <c r="U318" s="7" t="s">
        <v>1256</v>
      </c>
      <c r="V318" s="7">
        <v>1</v>
      </c>
      <c r="W318" s="7" t="s">
        <v>1236</v>
      </c>
      <c r="X318" s="18"/>
      <c r="Y318" s="17"/>
      <c r="Z318" s="18"/>
      <c r="AA318" s="18"/>
      <c r="AB318" s="7" t="s">
        <v>1043</v>
      </c>
      <c r="AC318" s="8" t="s">
        <v>726</v>
      </c>
      <c r="AD318" s="8"/>
      <c r="AE318" s="8"/>
      <c r="AF318" s="8"/>
      <c r="AG318" s="8"/>
      <c r="AH318" s="8"/>
      <c r="AI318" s="8"/>
      <c r="AJ318" s="8"/>
      <c r="AK318" s="8"/>
      <c r="AL318" s="8"/>
      <c r="AM318" s="8" t="s">
        <v>726</v>
      </c>
      <c r="AN318" s="8"/>
      <c r="AO318" s="8"/>
      <c r="AP318" s="8"/>
      <c r="AQ318" s="8"/>
      <c r="AR318" s="8"/>
      <c r="AS318" s="8"/>
      <c r="AT318" s="8"/>
      <c r="AU318" s="8"/>
      <c r="AV318" s="8"/>
      <c r="AX318" s="142">
        <v>54</v>
      </c>
    </row>
    <row r="319" spans="1:50" ht="25.5">
      <c r="B319" s="27">
        <v>315</v>
      </c>
      <c r="C319" s="31">
        <v>204</v>
      </c>
      <c r="D319" s="31">
        <v>313</v>
      </c>
      <c r="E319" s="32">
        <v>0.2986111111111111</v>
      </c>
      <c r="F319" s="32">
        <v>0.33124999999999999</v>
      </c>
      <c r="G319" s="31" t="s">
        <v>205</v>
      </c>
      <c r="H319" s="31" t="s">
        <v>546</v>
      </c>
      <c r="I319" s="33">
        <v>27</v>
      </c>
      <c r="J319" s="34" t="s">
        <v>93</v>
      </c>
      <c r="K319" s="35">
        <v>13</v>
      </c>
      <c r="L319" s="36">
        <f>+K319*I319</f>
        <v>351</v>
      </c>
      <c r="M319" s="37" t="s">
        <v>718</v>
      </c>
      <c r="N319" s="23" t="s">
        <v>926</v>
      </c>
      <c r="O319" s="23">
        <v>24</v>
      </c>
      <c r="P319" s="79" t="s">
        <v>1983</v>
      </c>
      <c r="Q319" s="79">
        <v>21</v>
      </c>
      <c r="R319" s="23" t="s">
        <v>923</v>
      </c>
      <c r="S319" s="24">
        <v>23</v>
      </c>
      <c r="T319" s="7">
        <v>2054</v>
      </c>
      <c r="U319" s="7" t="s">
        <v>1256</v>
      </c>
      <c r="V319" s="7">
        <v>1</v>
      </c>
      <c r="W319" s="7" t="s">
        <v>1236</v>
      </c>
      <c r="X319" s="17"/>
      <c r="Y319" s="18"/>
      <c r="Z319" s="18"/>
      <c r="AA319" s="18"/>
      <c r="AB319" s="7" t="s">
        <v>1044</v>
      </c>
      <c r="AC319" s="8"/>
      <c r="AD319" s="8" t="s">
        <v>726</v>
      </c>
      <c r="AE319" s="8"/>
      <c r="AF319" s="8"/>
      <c r="AG319" s="8"/>
      <c r="AH319" s="8"/>
      <c r="AI319" s="8"/>
      <c r="AJ319" s="8"/>
      <c r="AK319" s="8"/>
      <c r="AL319" s="8"/>
      <c r="AM319" s="8" t="s">
        <v>726</v>
      </c>
      <c r="AN319" s="8"/>
      <c r="AO319" s="8"/>
      <c r="AP319" s="8"/>
      <c r="AQ319" s="8"/>
      <c r="AR319" s="8"/>
      <c r="AS319" s="8"/>
      <c r="AT319" s="8"/>
      <c r="AU319" s="8"/>
      <c r="AV319" s="8"/>
      <c r="AX319" s="142">
        <v>54</v>
      </c>
    </row>
    <row r="320" spans="1:50" ht="25.5">
      <c r="A320" s="83" t="s">
        <v>1963</v>
      </c>
      <c r="B320" s="84">
        <v>316</v>
      </c>
      <c r="C320" s="85">
        <v>204</v>
      </c>
      <c r="D320" s="85">
        <v>281</v>
      </c>
      <c r="E320" s="86">
        <v>0.30416666666666664</v>
      </c>
      <c r="F320" s="86">
        <v>0.30902777777777779</v>
      </c>
      <c r="G320" s="85" t="s">
        <v>671</v>
      </c>
      <c r="H320" s="85" t="s">
        <v>424</v>
      </c>
      <c r="I320" s="87">
        <v>16.899999999999999</v>
      </c>
      <c r="J320" s="88" t="s">
        <v>165</v>
      </c>
      <c r="K320" s="89"/>
      <c r="L320" s="90">
        <f>+K320*I320</f>
        <v>0</v>
      </c>
      <c r="M320" s="91" t="s">
        <v>1962</v>
      </c>
      <c r="N320" s="104"/>
      <c r="O320" s="104"/>
      <c r="P320" s="104"/>
      <c r="Q320" s="104"/>
      <c r="R320" s="104"/>
      <c r="S320" s="104"/>
      <c r="T320" s="95"/>
      <c r="U320" s="95"/>
      <c r="V320" s="95"/>
      <c r="W320" s="95"/>
      <c r="X320" s="92"/>
      <c r="Y320" s="92"/>
      <c r="Z320" s="92"/>
      <c r="AA320" s="92"/>
      <c r="AB320" s="92"/>
      <c r="AC320" s="95"/>
      <c r="AD320" s="95"/>
      <c r="AE320" s="95"/>
      <c r="AF320" s="95"/>
      <c r="AG320" s="95"/>
      <c r="AH320" s="95"/>
      <c r="AI320" s="95"/>
      <c r="AJ320" s="95"/>
      <c r="AK320" s="95"/>
      <c r="AL320" s="95"/>
      <c r="AM320" s="95"/>
      <c r="AN320" s="95"/>
      <c r="AO320" s="95"/>
      <c r="AP320" s="95"/>
      <c r="AQ320" s="95"/>
      <c r="AR320" s="95"/>
      <c r="AS320" s="95"/>
      <c r="AT320" s="95"/>
      <c r="AU320" s="95"/>
      <c r="AV320" s="95"/>
    </row>
    <row r="321" spans="2:50" ht="25.5">
      <c r="B321" s="27">
        <v>317</v>
      </c>
      <c r="C321" s="31">
        <v>204</v>
      </c>
      <c r="D321" s="31">
        <v>468</v>
      </c>
      <c r="E321" s="42">
        <v>0.3611111111111111</v>
      </c>
      <c r="F321" s="42">
        <v>0.37777777777777777</v>
      </c>
      <c r="G321" s="31" t="s">
        <v>204</v>
      </c>
      <c r="H321" s="31" t="s">
        <v>203</v>
      </c>
      <c r="I321" s="33">
        <v>14</v>
      </c>
      <c r="J321" s="34" t="s">
        <v>93</v>
      </c>
      <c r="K321" s="35">
        <v>202</v>
      </c>
      <c r="L321" s="36">
        <f>+K321*I321</f>
        <v>2828</v>
      </c>
      <c r="M321" s="37" t="s">
        <v>718</v>
      </c>
      <c r="N321" s="23" t="s">
        <v>923</v>
      </c>
      <c r="O321" s="23">
        <v>23</v>
      </c>
      <c r="P321" s="23" t="s">
        <v>925</v>
      </c>
      <c r="Q321" s="23">
        <v>21</v>
      </c>
      <c r="R321" s="23" t="s">
        <v>926</v>
      </c>
      <c r="S321" s="24">
        <v>24</v>
      </c>
      <c r="T321" s="7" t="s">
        <v>1389</v>
      </c>
      <c r="U321" s="7" t="s">
        <v>1390</v>
      </c>
      <c r="V321" s="7">
        <v>2054</v>
      </c>
      <c r="W321" s="7" t="s">
        <v>1256</v>
      </c>
      <c r="X321" s="18"/>
      <c r="Y321" s="17"/>
      <c r="Z321" s="18"/>
      <c r="AA321" s="18"/>
      <c r="AB321" s="7" t="s">
        <v>1048</v>
      </c>
      <c r="AC321" s="8" t="s">
        <v>726</v>
      </c>
      <c r="AD321" s="8"/>
      <c r="AE321" s="8" t="s">
        <v>726</v>
      </c>
      <c r="AF321" s="8"/>
      <c r="AG321" s="8" t="s">
        <v>726</v>
      </c>
      <c r="AH321" s="8" t="s">
        <v>726</v>
      </c>
      <c r="AI321" s="8" t="s">
        <v>726</v>
      </c>
      <c r="AJ321" s="8" t="s">
        <v>726</v>
      </c>
      <c r="AK321" s="8" t="s">
        <v>726</v>
      </c>
      <c r="AL321" s="8"/>
      <c r="AM321" s="8"/>
      <c r="AN321" s="8"/>
      <c r="AO321" s="8"/>
      <c r="AP321" s="8"/>
      <c r="AQ321" s="8"/>
      <c r="AR321" s="8"/>
      <c r="AS321" s="8"/>
      <c r="AT321" s="8"/>
      <c r="AU321" s="8"/>
      <c r="AV321" s="8"/>
      <c r="AX321" s="142">
        <v>28</v>
      </c>
    </row>
    <row r="322" spans="2:50" ht="25.5">
      <c r="B322" s="27">
        <v>318</v>
      </c>
      <c r="C322" s="31">
        <v>204</v>
      </c>
      <c r="D322" s="34">
        <v>231</v>
      </c>
      <c r="E322" s="32">
        <v>0.3923611111111111</v>
      </c>
      <c r="F322" s="42">
        <v>0.42291666666666666</v>
      </c>
      <c r="G322" s="31" t="s">
        <v>672</v>
      </c>
      <c r="H322" s="31" t="s">
        <v>477</v>
      </c>
      <c r="I322" s="33">
        <v>29</v>
      </c>
      <c r="J322" s="34" t="s">
        <v>188</v>
      </c>
      <c r="K322" s="35">
        <v>240</v>
      </c>
      <c r="L322" s="36">
        <f>+K322*I322</f>
        <v>6960</v>
      </c>
      <c r="M322" s="37" t="s">
        <v>718</v>
      </c>
      <c r="N322" s="23" t="s">
        <v>923</v>
      </c>
      <c r="O322" s="23">
        <v>23</v>
      </c>
      <c r="P322" s="23"/>
      <c r="Q322" s="23"/>
      <c r="R322" s="23"/>
      <c r="S322" s="23"/>
      <c r="T322" s="7">
        <v>2054</v>
      </c>
      <c r="U322" s="7" t="s">
        <v>1256</v>
      </c>
      <c r="V322" s="7">
        <v>1</v>
      </c>
      <c r="W322" s="7" t="s">
        <v>1236</v>
      </c>
      <c r="X322" s="18"/>
      <c r="Y322" s="17"/>
      <c r="Z322" s="18"/>
      <c r="AA322" s="18"/>
      <c r="AB322" s="7" t="s">
        <v>1052</v>
      </c>
      <c r="AC322" s="8" t="s">
        <v>726</v>
      </c>
      <c r="AD322" s="8"/>
      <c r="AE322" s="8" t="s">
        <v>726</v>
      </c>
      <c r="AF322" s="8"/>
      <c r="AG322" s="8" t="s">
        <v>726</v>
      </c>
      <c r="AH322" s="8" t="s">
        <v>726</v>
      </c>
      <c r="AI322" s="8" t="s">
        <v>726</v>
      </c>
      <c r="AJ322" s="8" t="s">
        <v>726</v>
      </c>
      <c r="AK322" s="8" t="s">
        <v>726</v>
      </c>
      <c r="AL322" s="8" t="s">
        <v>726</v>
      </c>
      <c r="AM322" s="8"/>
      <c r="AN322" s="8"/>
      <c r="AO322" s="8"/>
      <c r="AP322" s="8"/>
      <c r="AQ322" s="8"/>
      <c r="AR322" s="8"/>
      <c r="AS322" s="8"/>
      <c r="AT322" s="8"/>
      <c r="AU322" s="8"/>
      <c r="AV322" s="8"/>
      <c r="AX322" s="142">
        <v>90.2</v>
      </c>
    </row>
    <row r="323" spans="2:50" ht="25.5">
      <c r="B323" s="27">
        <v>319</v>
      </c>
      <c r="C323" s="31">
        <v>204</v>
      </c>
      <c r="D323" s="31">
        <v>274</v>
      </c>
      <c r="E323" s="32">
        <v>0.42499999999999999</v>
      </c>
      <c r="F323" s="32">
        <v>0.4458333333333333</v>
      </c>
      <c r="G323" s="31" t="s">
        <v>543</v>
      </c>
      <c r="H323" s="31" t="s">
        <v>424</v>
      </c>
      <c r="I323" s="33">
        <v>17.899999999999999</v>
      </c>
      <c r="J323" s="34" t="s">
        <v>188</v>
      </c>
      <c r="K323" s="35">
        <v>55</v>
      </c>
      <c r="L323" s="36">
        <f>+K323*I323</f>
        <v>984.49999999999989</v>
      </c>
      <c r="M323" s="37" t="s">
        <v>718</v>
      </c>
      <c r="N323" s="23" t="s">
        <v>924</v>
      </c>
      <c r="O323" s="23">
        <v>37</v>
      </c>
      <c r="P323" s="23" t="s">
        <v>989</v>
      </c>
      <c r="Q323" s="23">
        <v>45</v>
      </c>
      <c r="R323" s="23"/>
      <c r="S323" s="23"/>
      <c r="T323" s="7" t="s">
        <v>1389</v>
      </c>
      <c r="U323" s="7" t="s">
        <v>1390</v>
      </c>
      <c r="V323" s="7">
        <v>2057</v>
      </c>
      <c r="W323" s="7" t="s">
        <v>1252</v>
      </c>
      <c r="X323" s="17"/>
      <c r="Y323" s="18"/>
      <c r="Z323" s="18"/>
      <c r="AA323" s="18"/>
      <c r="AB323" s="7" t="s">
        <v>1049</v>
      </c>
      <c r="AC323" s="8"/>
      <c r="AD323" s="8" t="s">
        <v>726</v>
      </c>
      <c r="AE323" s="8" t="s">
        <v>726</v>
      </c>
      <c r="AF323" s="8"/>
      <c r="AG323" s="8" t="s">
        <v>726</v>
      </c>
      <c r="AH323" s="8" t="s">
        <v>726</v>
      </c>
      <c r="AI323" s="8" t="s">
        <v>726</v>
      </c>
      <c r="AJ323" s="8" t="s">
        <v>726</v>
      </c>
      <c r="AK323" s="8" t="s">
        <v>726</v>
      </c>
      <c r="AL323" s="8"/>
      <c r="AM323" s="8"/>
      <c r="AN323" s="8"/>
      <c r="AO323" s="8"/>
      <c r="AP323" s="8"/>
      <c r="AQ323" s="8"/>
      <c r="AR323" s="8"/>
      <c r="AS323" s="8"/>
      <c r="AT323" s="8"/>
      <c r="AU323" s="8"/>
      <c r="AV323" s="8"/>
      <c r="AX323" s="142">
        <v>53.7</v>
      </c>
    </row>
    <row r="324" spans="2:50" ht="25.5">
      <c r="B324" s="27">
        <v>320</v>
      </c>
      <c r="C324" s="31">
        <v>204</v>
      </c>
      <c r="D324" s="43">
        <v>319</v>
      </c>
      <c r="E324" s="32">
        <v>0.45</v>
      </c>
      <c r="F324" s="32">
        <v>0.47083333333333338</v>
      </c>
      <c r="G324" s="31" t="s">
        <v>673</v>
      </c>
      <c r="H324" s="31" t="s">
        <v>423</v>
      </c>
      <c r="I324" s="33">
        <v>19.899999999999999</v>
      </c>
      <c r="J324" s="34" t="s">
        <v>188</v>
      </c>
      <c r="K324" s="35">
        <v>67</v>
      </c>
      <c r="L324" s="36">
        <f>+K324*I324</f>
        <v>1333.3</v>
      </c>
      <c r="M324" s="37" t="s">
        <v>718</v>
      </c>
      <c r="N324" s="23" t="s">
        <v>924</v>
      </c>
      <c r="O324" s="23">
        <v>37</v>
      </c>
      <c r="P324" s="23" t="s">
        <v>989</v>
      </c>
      <c r="Q324" s="23">
        <v>45</v>
      </c>
      <c r="R324" s="23"/>
      <c r="S324" s="23"/>
      <c r="T324" s="7">
        <v>2057</v>
      </c>
      <c r="U324" s="7" t="s">
        <v>1252</v>
      </c>
      <c r="V324" s="7" t="s">
        <v>1389</v>
      </c>
      <c r="W324" s="7" t="s">
        <v>1390</v>
      </c>
      <c r="X324" s="17"/>
      <c r="Y324" s="18"/>
      <c r="Z324" s="18"/>
      <c r="AA324" s="18"/>
      <c r="AB324" s="8" t="s">
        <v>1047</v>
      </c>
      <c r="AC324" s="8"/>
      <c r="AD324" s="8" t="s">
        <v>726</v>
      </c>
      <c r="AE324" s="8" t="s">
        <v>726</v>
      </c>
      <c r="AF324" s="8"/>
      <c r="AG324" s="8" t="s">
        <v>726</v>
      </c>
      <c r="AH324" s="8" t="s">
        <v>726</v>
      </c>
      <c r="AI324" s="8" t="s">
        <v>726</v>
      </c>
      <c r="AJ324" s="8" t="s">
        <v>726</v>
      </c>
      <c r="AK324" s="8" t="s">
        <v>726</v>
      </c>
      <c r="AL324" s="8" t="s">
        <v>726</v>
      </c>
      <c r="AM324" s="8"/>
      <c r="AN324" s="8"/>
      <c r="AO324" s="8"/>
      <c r="AP324" s="8"/>
      <c r="AQ324" s="8"/>
      <c r="AR324" s="8"/>
      <c r="AS324" s="8"/>
      <c r="AT324" s="8"/>
      <c r="AU324" s="8"/>
      <c r="AV324" s="8"/>
      <c r="AX324" s="142">
        <v>62.900000000000006</v>
      </c>
    </row>
    <row r="325" spans="2:50" ht="25.5">
      <c r="B325" s="27">
        <v>321</v>
      </c>
      <c r="C325" s="31">
        <v>204</v>
      </c>
      <c r="D325" s="34">
        <v>150</v>
      </c>
      <c r="E325" s="42">
        <v>0.49652777777777773</v>
      </c>
      <c r="F325" s="42">
        <v>0.50138888888888888</v>
      </c>
      <c r="G325" s="31" t="s">
        <v>711</v>
      </c>
      <c r="H325" s="31" t="s">
        <v>107</v>
      </c>
      <c r="I325" s="33">
        <v>4</v>
      </c>
      <c r="J325" s="34" t="s">
        <v>99</v>
      </c>
      <c r="K325" s="35">
        <v>29</v>
      </c>
      <c r="L325" s="36">
        <f>+K325*I325</f>
        <v>116</v>
      </c>
      <c r="M325" s="63" t="s">
        <v>737</v>
      </c>
      <c r="N325" s="23" t="s">
        <v>905</v>
      </c>
      <c r="O325" s="23">
        <v>17</v>
      </c>
      <c r="P325" s="49" t="s">
        <v>906</v>
      </c>
      <c r="Q325" s="49">
        <v>21</v>
      </c>
      <c r="S325" s="23"/>
      <c r="T325" s="7">
        <v>2054</v>
      </c>
      <c r="U325" s="7" t="s">
        <v>1256</v>
      </c>
      <c r="V325" s="7">
        <v>2057</v>
      </c>
      <c r="W325" s="7" t="s">
        <v>1252</v>
      </c>
      <c r="X325" s="18"/>
      <c r="Y325" s="17"/>
      <c r="Z325" s="18"/>
      <c r="AA325" s="18"/>
      <c r="AB325" s="7" t="s">
        <v>1050</v>
      </c>
      <c r="AC325" s="8" t="s">
        <v>726</v>
      </c>
      <c r="AD325" s="8"/>
      <c r="AE325" s="8" t="s">
        <v>726</v>
      </c>
      <c r="AF325" s="8"/>
      <c r="AG325" s="8"/>
      <c r="AH325" s="8"/>
      <c r="AI325" s="8"/>
      <c r="AJ325" s="8"/>
      <c r="AK325" s="8"/>
      <c r="AL325" s="8"/>
      <c r="AM325" s="8"/>
      <c r="AN325" s="8"/>
      <c r="AO325" s="8"/>
      <c r="AP325" s="8"/>
      <c r="AQ325" s="8" t="s">
        <v>726</v>
      </c>
      <c r="AR325" s="8" t="s">
        <v>726</v>
      </c>
      <c r="AS325" s="8" t="s">
        <v>726</v>
      </c>
      <c r="AT325" s="8" t="s">
        <v>726</v>
      </c>
      <c r="AU325" s="8" t="s">
        <v>726</v>
      </c>
      <c r="AV325" s="8" t="s">
        <v>726</v>
      </c>
      <c r="AX325" s="142">
        <v>18</v>
      </c>
    </row>
    <row r="326" spans="2:50" ht="25.5">
      <c r="B326" s="27">
        <v>322</v>
      </c>
      <c r="C326" s="31">
        <v>204</v>
      </c>
      <c r="D326" s="34">
        <v>150</v>
      </c>
      <c r="E326" s="32">
        <v>0.49652777777777773</v>
      </c>
      <c r="F326" s="42">
        <v>0.50138888888888888</v>
      </c>
      <c r="G326" s="31" t="s">
        <v>711</v>
      </c>
      <c r="H326" s="31" t="s">
        <v>97</v>
      </c>
      <c r="I326" s="33">
        <v>4</v>
      </c>
      <c r="J326" s="34" t="s">
        <v>99</v>
      </c>
      <c r="K326" s="35">
        <v>208</v>
      </c>
      <c r="L326" s="36">
        <f>+K326*I326</f>
        <v>832</v>
      </c>
      <c r="M326" s="63" t="s">
        <v>737</v>
      </c>
      <c r="N326" s="23" t="s">
        <v>905</v>
      </c>
      <c r="O326" s="23">
        <v>17</v>
      </c>
      <c r="P326" s="49" t="s">
        <v>906</v>
      </c>
      <c r="Q326" s="49">
        <v>21</v>
      </c>
      <c r="S326" s="23"/>
      <c r="T326" s="7">
        <v>2054</v>
      </c>
      <c r="U326" s="7" t="s">
        <v>1256</v>
      </c>
      <c r="V326" s="7">
        <v>2057</v>
      </c>
      <c r="W326" s="7" t="s">
        <v>1252</v>
      </c>
      <c r="X326" s="18"/>
      <c r="Y326" s="17"/>
      <c r="Z326" s="17"/>
      <c r="AA326" s="17"/>
      <c r="AB326" s="7" t="s">
        <v>1046</v>
      </c>
      <c r="AC326" s="8"/>
      <c r="AD326" s="8"/>
      <c r="AE326" s="8"/>
      <c r="AF326" s="8" t="s">
        <v>726</v>
      </c>
      <c r="AG326" s="8" t="s">
        <v>726</v>
      </c>
      <c r="AH326" s="8" t="s">
        <v>726</v>
      </c>
      <c r="AI326" s="8" t="s">
        <v>726</v>
      </c>
      <c r="AJ326" s="8" t="s">
        <v>726</v>
      </c>
      <c r="AK326" s="8" t="s">
        <v>726</v>
      </c>
      <c r="AL326" s="8" t="s">
        <v>726</v>
      </c>
      <c r="AM326" s="8"/>
      <c r="AN326" s="8"/>
      <c r="AO326" s="8"/>
      <c r="AP326" s="8"/>
      <c r="AQ326" s="8"/>
      <c r="AR326" s="8"/>
      <c r="AS326" s="8"/>
      <c r="AT326" s="8"/>
      <c r="AU326" s="8"/>
      <c r="AV326" s="8"/>
      <c r="AX326" s="142">
        <v>18</v>
      </c>
    </row>
    <row r="327" spans="2:50" ht="25.5">
      <c r="B327" s="27">
        <v>323</v>
      </c>
      <c r="C327" s="31">
        <v>204</v>
      </c>
      <c r="D327" s="54">
        <v>276</v>
      </c>
      <c r="E327" s="32">
        <v>0.50486111111111109</v>
      </c>
      <c r="F327" s="42">
        <v>0.50972222222222219</v>
      </c>
      <c r="G327" s="31" t="s">
        <v>711</v>
      </c>
      <c r="H327" s="31" t="s">
        <v>105</v>
      </c>
      <c r="I327" s="33">
        <v>4</v>
      </c>
      <c r="J327" s="34" t="s">
        <v>99</v>
      </c>
      <c r="K327" s="35">
        <v>67</v>
      </c>
      <c r="L327" s="36">
        <f>+K327*I327</f>
        <v>268</v>
      </c>
      <c r="M327" s="63" t="s">
        <v>737</v>
      </c>
      <c r="N327" s="23" t="s">
        <v>905</v>
      </c>
      <c r="O327" s="23">
        <v>17</v>
      </c>
      <c r="P327" s="49" t="s">
        <v>906</v>
      </c>
      <c r="Q327" s="49">
        <v>21</v>
      </c>
      <c r="S327" s="23"/>
      <c r="T327" s="7">
        <v>2054</v>
      </c>
      <c r="U327" s="7" t="s">
        <v>1256</v>
      </c>
      <c r="V327" s="7">
        <v>2057</v>
      </c>
      <c r="W327" s="7" t="s">
        <v>1252</v>
      </c>
      <c r="X327" s="17"/>
      <c r="Y327" s="18"/>
      <c r="Z327" s="18"/>
      <c r="AA327" s="18"/>
      <c r="AB327" s="8" t="s">
        <v>1047</v>
      </c>
      <c r="AC327" s="8"/>
      <c r="AD327" s="8" t="s">
        <v>726</v>
      </c>
      <c r="AE327" s="8" t="s">
        <v>726</v>
      </c>
      <c r="AF327" s="8"/>
      <c r="AG327" s="8" t="s">
        <v>726</v>
      </c>
      <c r="AH327" s="8" t="s">
        <v>726</v>
      </c>
      <c r="AI327" s="8" t="s">
        <v>726</v>
      </c>
      <c r="AJ327" s="8" t="s">
        <v>726</v>
      </c>
      <c r="AK327" s="8" t="s">
        <v>726</v>
      </c>
      <c r="AL327" s="8" t="s">
        <v>726</v>
      </c>
      <c r="AM327" s="8"/>
      <c r="AN327" s="8"/>
      <c r="AO327" s="8"/>
      <c r="AP327" s="8"/>
      <c r="AQ327" s="8"/>
      <c r="AR327" s="8"/>
      <c r="AS327" s="8"/>
      <c r="AT327" s="8"/>
      <c r="AU327" s="8"/>
      <c r="AV327" s="8"/>
      <c r="AX327" s="142">
        <v>25</v>
      </c>
    </row>
    <row r="328" spans="2:50" ht="25.5">
      <c r="B328" s="27">
        <v>324</v>
      </c>
      <c r="C328" s="31">
        <v>204</v>
      </c>
      <c r="D328" s="31">
        <v>427</v>
      </c>
      <c r="E328" s="42">
        <v>0.62361111111111112</v>
      </c>
      <c r="F328" s="42">
        <v>0.64583333333333337</v>
      </c>
      <c r="G328" s="31" t="s">
        <v>466</v>
      </c>
      <c r="H328" s="31" t="s">
        <v>103</v>
      </c>
      <c r="I328" s="33">
        <v>16</v>
      </c>
      <c r="J328" s="34" t="s">
        <v>93</v>
      </c>
      <c r="K328" s="35">
        <v>174</v>
      </c>
      <c r="L328" s="36">
        <f>+K328*I328</f>
        <v>2784</v>
      </c>
      <c r="M328" s="37" t="s">
        <v>734</v>
      </c>
      <c r="N328" s="23" t="s">
        <v>937</v>
      </c>
      <c r="O328" s="23">
        <v>17</v>
      </c>
      <c r="P328" s="23" t="s">
        <v>936</v>
      </c>
      <c r="Q328" s="23">
        <v>57</v>
      </c>
      <c r="R328" s="23"/>
      <c r="S328" s="23"/>
      <c r="T328" s="7">
        <v>2127</v>
      </c>
      <c r="U328" s="7" t="s">
        <v>1255</v>
      </c>
      <c r="V328" s="7">
        <v>2048</v>
      </c>
      <c r="W328" s="7" t="s">
        <v>1250</v>
      </c>
      <c r="X328" s="18"/>
      <c r="Y328" s="17"/>
      <c r="Z328" s="17"/>
      <c r="AA328" s="17"/>
      <c r="AB328" s="7" t="s">
        <v>1042</v>
      </c>
      <c r="AC328" s="8"/>
      <c r="AD328" s="8"/>
      <c r="AE328" s="8"/>
      <c r="AF328" s="8" t="s">
        <v>726</v>
      </c>
      <c r="AG328" s="8" t="s">
        <v>726</v>
      </c>
      <c r="AH328" s="8" t="s">
        <v>726</v>
      </c>
      <c r="AI328" s="8" t="s">
        <v>726</v>
      </c>
      <c r="AJ328" s="8" t="s">
        <v>726</v>
      </c>
      <c r="AK328" s="8" t="s">
        <v>726</v>
      </c>
      <c r="AL328" s="8"/>
      <c r="AM328" s="8"/>
      <c r="AN328" s="8"/>
      <c r="AO328" s="8"/>
      <c r="AP328" s="8"/>
      <c r="AQ328" s="8"/>
      <c r="AR328" s="8"/>
      <c r="AS328" s="8"/>
      <c r="AT328" s="8"/>
      <c r="AU328" s="8"/>
      <c r="AV328" s="8"/>
      <c r="AX328" s="142">
        <v>48</v>
      </c>
    </row>
    <row r="329" spans="2:50" ht="25.5">
      <c r="B329" s="27">
        <v>325</v>
      </c>
      <c r="C329" s="31">
        <v>204</v>
      </c>
      <c r="D329" s="31">
        <v>160</v>
      </c>
      <c r="E329" s="32">
        <v>0.71875</v>
      </c>
      <c r="F329" s="32">
        <v>0.74930555555555556</v>
      </c>
      <c r="G329" s="31" t="s">
        <v>439</v>
      </c>
      <c r="H329" s="31" t="s">
        <v>546</v>
      </c>
      <c r="I329" s="33">
        <v>27</v>
      </c>
      <c r="J329" s="34" t="s">
        <v>188</v>
      </c>
      <c r="K329" s="35">
        <v>13</v>
      </c>
      <c r="L329" s="36">
        <f>+K329*I329</f>
        <v>351</v>
      </c>
      <c r="M329" s="37" t="s">
        <v>738</v>
      </c>
      <c r="N329" s="23" t="s">
        <v>840</v>
      </c>
      <c r="O329" s="23">
        <v>31</v>
      </c>
      <c r="P329" s="23" t="s">
        <v>1165</v>
      </c>
      <c r="Q329" s="23">
        <v>57</v>
      </c>
      <c r="S329" s="23"/>
      <c r="T329" s="7">
        <v>1</v>
      </c>
      <c r="U329" s="7" t="s">
        <v>1233</v>
      </c>
      <c r="V329" s="7">
        <v>2054</v>
      </c>
      <c r="W329" s="7" t="s">
        <v>1256</v>
      </c>
      <c r="X329" s="17"/>
      <c r="Y329" s="18"/>
      <c r="Z329" s="18"/>
      <c r="AA329" s="18"/>
      <c r="AB329" s="7" t="s">
        <v>1044</v>
      </c>
      <c r="AC329" s="8"/>
      <c r="AD329" s="8" t="s">
        <v>726</v>
      </c>
      <c r="AE329" s="8"/>
      <c r="AF329" s="8"/>
      <c r="AG329" s="8"/>
      <c r="AH329" s="8"/>
      <c r="AI329" s="8"/>
      <c r="AJ329" s="8"/>
      <c r="AK329" s="8"/>
      <c r="AL329" s="8"/>
      <c r="AM329" s="8" t="s">
        <v>726</v>
      </c>
      <c r="AN329" s="8"/>
      <c r="AO329" s="8"/>
      <c r="AP329" s="8"/>
      <c r="AQ329" s="8"/>
      <c r="AR329" s="8"/>
      <c r="AS329" s="8"/>
      <c r="AT329" s="8"/>
      <c r="AU329" s="8"/>
      <c r="AV329" s="8"/>
      <c r="AX329" s="142">
        <v>81</v>
      </c>
    </row>
    <row r="330" spans="2:50" ht="25.5">
      <c r="B330" s="27">
        <v>326</v>
      </c>
      <c r="C330" s="31">
        <v>204</v>
      </c>
      <c r="D330" s="31">
        <v>162</v>
      </c>
      <c r="E330" s="32">
        <v>0.73611111111111116</v>
      </c>
      <c r="F330" s="32">
        <v>0.75138888888888899</v>
      </c>
      <c r="G330" s="31" t="s">
        <v>439</v>
      </c>
      <c r="H330" s="31" t="s">
        <v>103</v>
      </c>
      <c r="I330" s="33">
        <v>27.6</v>
      </c>
      <c r="J330" s="34" t="s">
        <v>101</v>
      </c>
      <c r="K330" s="35">
        <v>174</v>
      </c>
      <c r="L330" s="36">
        <f>+K330*I330</f>
        <v>4802.4000000000005</v>
      </c>
      <c r="M330" s="37" t="s">
        <v>734</v>
      </c>
      <c r="N330" s="23" t="s">
        <v>936</v>
      </c>
      <c r="O330" s="23">
        <v>57</v>
      </c>
      <c r="P330" s="23" t="s">
        <v>1148</v>
      </c>
      <c r="Q330" s="23">
        <v>54</v>
      </c>
      <c r="R330" s="23" t="s">
        <v>935</v>
      </c>
      <c r="S330" s="23">
        <v>55</v>
      </c>
      <c r="T330" s="7">
        <v>1</v>
      </c>
      <c r="U330" s="7" t="s">
        <v>1233</v>
      </c>
      <c r="V330" s="7">
        <v>2054</v>
      </c>
      <c r="W330" s="7" t="s">
        <v>1256</v>
      </c>
      <c r="X330" s="18"/>
      <c r="Y330" s="17"/>
      <c r="Z330" s="17"/>
      <c r="AA330" s="17"/>
      <c r="AB330" s="7" t="s">
        <v>1042</v>
      </c>
      <c r="AC330" s="8"/>
      <c r="AD330" s="8"/>
      <c r="AE330" s="8"/>
      <c r="AF330" s="8" t="s">
        <v>726</v>
      </c>
      <c r="AG330" s="8" t="s">
        <v>726</v>
      </c>
      <c r="AH330" s="8" t="s">
        <v>726</v>
      </c>
      <c r="AI330" s="8" t="s">
        <v>726</v>
      </c>
      <c r="AJ330" s="8" t="s">
        <v>726</v>
      </c>
      <c r="AK330" s="8" t="s">
        <v>726</v>
      </c>
      <c r="AL330" s="8"/>
      <c r="AM330" s="8"/>
      <c r="AN330" s="8"/>
      <c r="AO330" s="8"/>
      <c r="AP330" s="8"/>
      <c r="AQ330" s="8"/>
      <c r="AR330" s="8"/>
      <c r="AS330" s="8"/>
      <c r="AT330" s="8"/>
      <c r="AU330" s="8"/>
      <c r="AV330" s="8"/>
      <c r="AX330" s="142">
        <v>82.8</v>
      </c>
    </row>
    <row r="331" spans="2:50" ht="25.5">
      <c r="B331" s="27">
        <v>327</v>
      </c>
      <c r="C331" s="31">
        <v>204</v>
      </c>
      <c r="D331" s="34">
        <v>412</v>
      </c>
      <c r="E331" s="32">
        <v>0.75</v>
      </c>
      <c r="F331" s="32">
        <v>0.75486111111111109</v>
      </c>
      <c r="G331" s="31" t="s">
        <v>711</v>
      </c>
      <c r="H331" s="31" t="s">
        <v>107</v>
      </c>
      <c r="I331" s="33">
        <v>4</v>
      </c>
      <c r="J331" s="34" t="s">
        <v>99</v>
      </c>
      <c r="K331" s="35">
        <v>29</v>
      </c>
      <c r="L331" s="36">
        <f>+K331*I331</f>
        <v>116</v>
      </c>
      <c r="M331" s="63" t="s">
        <v>737</v>
      </c>
      <c r="N331" s="23" t="s">
        <v>905</v>
      </c>
      <c r="O331" s="23">
        <v>17</v>
      </c>
      <c r="P331" s="49" t="s">
        <v>906</v>
      </c>
      <c r="Q331" s="49">
        <v>21</v>
      </c>
      <c r="S331" s="23"/>
      <c r="T331" s="7">
        <v>2054</v>
      </c>
      <c r="U331" s="7" t="s">
        <v>1256</v>
      </c>
      <c r="V331" s="7">
        <v>2057</v>
      </c>
      <c r="W331" s="7" t="s">
        <v>1252</v>
      </c>
      <c r="X331" s="18"/>
      <c r="Y331" s="17"/>
      <c r="Z331" s="18"/>
      <c r="AA331" s="18"/>
      <c r="AB331" s="7" t="s">
        <v>1050</v>
      </c>
      <c r="AC331" s="8" t="s">
        <v>726</v>
      </c>
      <c r="AD331" s="8"/>
      <c r="AE331" s="8" t="s">
        <v>726</v>
      </c>
      <c r="AF331" s="8"/>
      <c r="AG331" s="8"/>
      <c r="AH331" s="8"/>
      <c r="AI331" s="8"/>
      <c r="AJ331" s="8"/>
      <c r="AK331" s="8"/>
      <c r="AL331" s="8"/>
      <c r="AM331" s="8"/>
      <c r="AN331" s="8"/>
      <c r="AO331" s="8"/>
      <c r="AP331" s="8"/>
      <c r="AQ331" s="8" t="s">
        <v>726</v>
      </c>
      <c r="AR331" s="8" t="s">
        <v>726</v>
      </c>
      <c r="AS331" s="8" t="s">
        <v>726</v>
      </c>
      <c r="AT331" s="8" t="s">
        <v>726</v>
      </c>
      <c r="AU331" s="8" t="s">
        <v>726</v>
      </c>
      <c r="AV331" s="8" t="s">
        <v>726</v>
      </c>
      <c r="AX331" s="142">
        <v>25</v>
      </c>
    </row>
    <row r="332" spans="2:50" ht="25.5">
      <c r="B332" s="27">
        <v>328</v>
      </c>
      <c r="C332" s="31">
        <v>204</v>
      </c>
      <c r="D332" s="34">
        <v>412</v>
      </c>
      <c r="E332" s="32">
        <v>0.75</v>
      </c>
      <c r="F332" s="32">
        <v>0.75763888888888886</v>
      </c>
      <c r="G332" s="31" t="s">
        <v>683</v>
      </c>
      <c r="H332" s="31" t="s">
        <v>97</v>
      </c>
      <c r="I332" s="33">
        <v>7.5</v>
      </c>
      <c r="J332" s="34" t="s">
        <v>146</v>
      </c>
      <c r="K332" s="35">
        <v>208</v>
      </c>
      <c r="L332" s="36">
        <f>+K332*I332</f>
        <v>1560</v>
      </c>
      <c r="M332" s="63" t="s">
        <v>737</v>
      </c>
      <c r="N332" s="23" t="s">
        <v>905</v>
      </c>
      <c r="O332" s="23">
        <v>17</v>
      </c>
      <c r="P332" s="49" t="s">
        <v>906</v>
      </c>
      <c r="Q332" s="49">
        <v>21</v>
      </c>
      <c r="S332" s="23"/>
      <c r="T332" s="7">
        <v>2054</v>
      </c>
      <c r="U332" s="7" t="s">
        <v>1256</v>
      </c>
      <c r="V332" s="7">
        <v>2057</v>
      </c>
      <c r="W332" s="7" t="s">
        <v>1252</v>
      </c>
      <c r="X332" s="18"/>
      <c r="Y332" s="17"/>
      <c r="Z332" s="17"/>
      <c r="AA332" s="17"/>
      <c r="AB332" s="7" t="s">
        <v>1046</v>
      </c>
      <c r="AC332" s="8"/>
      <c r="AD332" s="8"/>
      <c r="AE332" s="8"/>
      <c r="AF332" s="8" t="s">
        <v>726</v>
      </c>
      <c r="AG332" s="8" t="s">
        <v>726</v>
      </c>
      <c r="AH332" s="8" t="s">
        <v>726</v>
      </c>
      <c r="AI332" s="8" t="s">
        <v>726</v>
      </c>
      <c r="AJ332" s="8" t="s">
        <v>726</v>
      </c>
      <c r="AK332" s="8" t="s">
        <v>726</v>
      </c>
      <c r="AL332" s="8" t="s">
        <v>726</v>
      </c>
      <c r="AM332" s="8"/>
      <c r="AN332" s="8"/>
      <c r="AO332" s="8"/>
      <c r="AP332" s="8"/>
      <c r="AQ332" s="8"/>
      <c r="AR332" s="8"/>
      <c r="AS332" s="8"/>
      <c r="AT332" s="8"/>
      <c r="AU332" s="8"/>
      <c r="AV332" s="8"/>
      <c r="AX332" s="142">
        <v>19.07</v>
      </c>
    </row>
    <row r="333" spans="2:50" ht="22.5">
      <c r="B333" s="27">
        <v>329</v>
      </c>
      <c r="C333" s="38">
        <v>204</v>
      </c>
      <c r="D333" s="38">
        <v>164</v>
      </c>
      <c r="E333" s="39">
        <v>0.77777777777777779</v>
      </c>
      <c r="F333" s="39">
        <v>0.81319444444444444</v>
      </c>
      <c r="G333" s="40" t="s">
        <v>2</v>
      </c>
      <c r="H333" s="40" t="s">
        <v>1</v>
      </c>
      <c r="I333" s="38">
        <v>31</v>
      </c>
      <c r="J333" s="41">
        <v>50</v>
      </c>
      <c r="K333" s="35">
        <v>67</v>
      </c>
      <c r="L333" s="36">
        <f>+K333*I333</f>
        <v>2077</v>
      </c>
      <c r="M333" s="37" t="s">
        <v>734</v>
      </c>
      <c r="N333" s="23" t="s">
        <v>936</v>
      </c>
      <c r="O333" s="23">
        <v>57</v>
      </c>
      <c r="P333" s="23" t="s">
        <v>1148</v>
      </c>
      <c r="Q333" s="23">
        <v>54</v>
      </c>
      <c r="R333" s="23" t="s">
        <v>935</v>
      </c>
      <c r="S333" s="23">
        <v>55</v>
      </c>
      <c r="T333" s="7">
        <v>1</v>
      </c>
      <c r="U333" s="7" t="s">
        <v>1233</v>
      </c>
      <c r="V333" s="7">
        <v>2057</v>
      </c>
      <c r="W333" s="7" t="s">
        <v>1252</v>
      </c>
      <c r="X333" s="17"/>
      <c r="Y333" s="18"/>
      <c r="Z333" s="18"/>
      <c r="AA333" s="18"/>
      <c r="AB333" s="8" t="s">
        <v>1047</v>
      </c>
      <c r="AC333" s="8"/>
      <c r="AD333" s="8" t="s">
        <v>726</v>
      </c>
      <c r="AE333" s="8" t="s">
        <v>726</v>
      </c>
      <c r="AF333" s="8"/>
      <c r="AG333" s="8" t="s">
        <v>726</v>
      </c>
      <c r="AH333" s="8" t="s">
        <v>726</v>
      </c>
      <c r="AI333" s="8" t="s">
        <v>726</v>
      </c>
      <c r="AJ333" s="8" t="s">
        <v>726</v>
      </c>
      <c r="AK333" s="8" t="s">
        <v>726</v>
      </c>
      <c r="AL333" s="8" t="s">
        <v>726</v>
      </c>
      <c r="AM333" s="8"/>
      <c r="AN333" s="8"/>
      <c r="AO333" s="8"/>
      <c r="AP333" s="8"/>
      <c r="AQ333" s="8"/>
      <c r="AR333" s="8"/>
      <c r="AS333" s="8"/>
      <c r="AT333" s="8"/>
      <c r="AU333" s="8"/>
      <c r="AV333" s="8"/>
      <c r="AX333" s="142">
        <v>220</v>
      </c>
    </row>
    <row r="334" spans="2:50" ht="25.5">
      <c r="B334" s="27">
        <v>330</v>
      </c>
      <c r="C334" s="38">
        <v>204</v>
      </c>
      <c r="D334" s="38">
        <v>168</v>
      </c>
      <c r="E334" s="39">
        <v>0.8125</v>
      </c>
      <c r="F334" s="39">
        <v>0.84305555555555556</v>
      </c>
      <c r="G334" s="40" t="s">
        <v>0</v>
      </c>
      <c r="H334" s="31" t="s">
        <v>477</v>
      </c>
      <c r="I334" s="38">
        <v>27</v>
      </c>
      <c r="J334" s="41">
        <v>40</v>
      </c>
      <c r="K334" s="35">
        <v>240</v>
      </c>
      <c r="L334" s="36">
        <f>+K334*I334</f>
        <v>6480</v>
      </c>
      <c r="M334" s="37" t="s">
        <v>734</v>
      </c>
      <c r="N334" s="23" t="s">
        <v>936</v>
      </c>
      <c r="O334" s="23">
        <v>57</v>
      </c>
      <c r="P334" s="23" t="s">
        <v>1148</v>
      </c>
      <c r="Q334" s="23">
        <v>54</v>
      </c>
      <c r="R334" s="23" t="s">
        <v>935</v>
      </c>
      <c r="S334" s="23">
        <v>55</v>
      </c>
      <c r="T334" s="7">
        <v>1</v>
      </c>
      <c r="U334" s="7" t="s">
        <v>1233</v>
      </c>
      <c r="V334" s="7">
        <v>2054</v>
      </c>
      <c r="W334" s="7" t="s">
        <v>1256</v>
      </c>
      <c r="X334" s="18"/>
      <c r="Y334" s="17"/>
      <c r="Z334" s="18"/>
      <c r="AA334" s="18"/>
      <c r="AB334" s="7" t="s">
        <v>1052</v>
      </c>
      <c r="AC334" s="8" t="s">
        <v>726</v>
      </c>
      <c r="AD334" s="8"/>
      <c r="AE334" s="8" t="s">
        <v>726</v>
      </c>
      <c r="AF334" s="8"/>
      <c r="AG334" s="8" t="s">
        <v>726</v>
      </c>
      <c r="AH334" s="8" t="s">
        <v>726</v>
      </c>
      <c r="AI334" s="8" t="s">
        <v>726</v>
      </c>
      <c r="AJ334" s="8" t="s">
        <v>726</v>
      </c>
      <c r="AK334" s="8" t="s">
        <v>726</v>
      </c>
      <c r="AL334" s="8" t="s">
        <v>726</v>
      </c>
      <c r="AM334" s="8"/>
      <c r="AN334" s="8"/>
      <c r="AO334" s="8"/>
      <c r="AP334" s="8"/>
      <c r="AQ334" s="8"/>
      <c r="AR334" s="8"/>
      <c r="AS334" s="8"/>
      <c r="AT334" s="8"/>
      <c r="AU334" s="8"/>
      <c r="AV334" s="8"/>
      <c r="AX334" s="142">
        <v>81</v>
      </c>
    </row>
    <row r="335" spans="2:50" ht="38.25">
      <c r="B335" s="27">
        <v>331</v>
      </c>
      <c r="C335" s="31">
        <v>204</v>
      </c>
      <c r="D335" s="31">
        <v>232</v>
      </c>
      <c r="E335" s="32">
        <v>0.86111111111111116</v>
      </c>
      <c r="F335" s="32">
        <v>0.90347222222222223</v>
      </c>
      <c r="G335" s="31" t="s">
        <v>607</v>
      </c>
      <c r="H335" s="31" t="s">
        <v>424</v>
      </c>
      <c r="I335" s="33">
        <f>39+3.9</f>
        <v>42.9</v>
      </c>
      <c r="J335" s="34" t="s">
        <v>93</v>
      </c>
      <c r="K335" s="35">
        <v>55</v>
      </c>
      <c r="L335" s="36">
        <f>+K335*I335</f>
        <v>2359.5</v>
      </c>
      <c r="M335" s="37" t="s">
        <v>718</v>
      </c>
      <c r="N335" s="23" t="s">
        <v>925</v>
      </c>
      <c r="O335" s="23">
        <v>21</v>
      </c>
      <c r="P335" s="23" t="s">
        <v>923</v>
      </c>
      <c r="Q335" s="23">
        <v>23</v>
      </c>
      <c r="R335" s="23" t="s">
        <v>926</v>
      </c>
      <c r="S335" s="24">
        <v>24</v>
      </c>
      <c r="T335" s="7">
        <v>1</v>
      </c>
      <c r="U335" s="7" t="s">
        <v>1233</v>
      </c>
      <c r="V335" s="7">
        <v>2057</v>
      </c>
      <c r="W335" s="7" t="s">
        <v>1252</v>
      </c>
      <c r="X335" s="17"/>
      <c r="Y335" s="18"/>
      <c r="Z335" s="18"/>
      <c r="AA335" s="18"/>
      <c r="AB335" s="7" t="s">
        <v>1049</v>
      </c>
      <c r="AC335" s="8"/>
      <c r="AD335" s="8" t="s">
        <v>726</v>
      </c>
      <c r="AE335" s="8" t="s">
        <v>726</v>
      </c>
      <c r="AF335" s="8"/>
      <c r="AG335" s="8" t="s">
        <v>726</v>
      </c>
      <c r="AH335" s="8" t="s">
        <v>726</v>
      </c>
      <c r="AI335" s="8" t="s">
        <v>726</v>
      </c>
      <c r="AJ335" s="8" t="s">
        <v>726</v>
      </c>
      <c r="AK335" s="8" t="s">
        <v>726</v>
      </c>
      <c r="AL335" s="8"/>
      <c r="AM335" s="8"/>
      <c r="AN335" s="8"/>
      <c r="AO335" s="8"/>
      <c r="AP335" s="8"/>
      <c r="AQ335" s="8"/>
      <c r="AR335" s="8"/>
      <c r="AS335" s="8"/>
      <c r="AT335" s="8"/>
      <c r="AU335" s="8"/>
      <c r="AV335" s="8"/>
      <c r="AX335" s="142">
        <v>100.5</v>
      </c>
    </row>
    <row r="336" spans="2:50" ht="51">
      <c r="B336" s="27">
        <v>332</v>
      </c>
      <c r="C336" s="31">
        <v>205</v>
      </c>
      <c r="D336" s="31">
        <v>159</v>
      </c>
      <c r="E336" s="32">
        <v>0.27291666666666664</v>
      </c>
      <c r="F336" s="32">
        <v>0.30833333333333335</v>
      </c>
      <c r="G336" s="31" t="s">
        <v>602</v>
      </c>
      <c r="H336" s="31" t="s">
        <v>631</v>
      </c>
      <c r="I336" s="33">
        <f>31+1.5</f>
        <v>32.5</v>
      </c>
      <c r="J336" s="34" t="s">
        <v>191</v>
      </c>
      <c r="K336" s="35">
        <f>174-33</f>
        <v>141</v>
      </c>
      <c r="L336" s="36">
        <f>+K336*I336</f>
        <v>4582.5</v>
      </c>
      <c r="M336" s="37" t="s">
        <v>734</v>
      </c>
      <c r="N336" s="23" t="s">
        <v>934</v>
      </c>
      <c r="O336" s="23">
        <v>51</v>
      </c>
      <c r="P336" s="23" t="s">
        <v>935</v>
      </c>
      <c r="Q336" s="23">
        <v>55</v>
      </c>
      <c r="R336" s="23" t="s">
        <v>936</v>
      </c>
      <c r="S336" s="23">
        <v>57</v>
      </c>
      <c r="T336" s="7">
        <v>2128</v>
      </c>
      <c r="U336" s="7" t="s">
        <v>1393</v>
      </c>
      <c r="V336" s="7">
        <v>1</v>
      </c>
      <c r="W336" s="7" t="s">
        <v>1236</v>
      </c>
      <c r="X336" s="18"/>
      <c r="Y336" s="17"/>
      <c r="Z336" s="17"/>
      <c r="AA336" s="17"/>
      <c r="AB336" s="7" t="s">
        <v>1064</v>
      </c>
      <c r="AC336" s="8"/>
      <c r="AD336" s="8"/>
      <c r="AE336" s="8"/>
      <c r="AF336" s="8" t="s">
        <v>726</v>
      </c>
      <c r="AG336" s="8"/>
      <c r="AH336" s="8" t="s">
        <v>726</v>
      </c>
      <c r="AI336" s="8" t="s">
        <v>726</v>
      </c>
      <c r="AJ336" s="8" t="s">
        <v>726</v>
      </c>
      <c r="AK336" s="8" t="s">
        <v>726</v>
      </c>
      <c r="AL336" s="8"/>
      <c r="AM336" s="8"/>
      <c r="AN336" s="8"/>
      <c r="AO336" s="8" t="s">
        <v>726</v>
      </c>
      <c r="AP336" s="8"/>
      <c r="AQ336" s="8"/>
      <c r="AR336" s="8"/>
      <c r="AS336" s="8"/>
      <c r="AT336" s="8"/>
      <c r="AU336" s="8"/>
      <c r="AV336" s="8"/>
      <c r="AX336" s="142">
        <v>147.68</v>
      </c>
    </row>
    <row r="337" spans="1:50" ht="25.5">
      <c r="B337" s="27">
        <v>333</v>
      </c>
      <c r="C337" s="31">
        <v>205</v>
      </c>
      <c r="D337" s="31">
        <v>184</v>
      </c>
      <c r="E337" s="32">
        <v>0.29652777777777778</v>
      </c>
      <c r="F337" s="32">
        <v>0.31736111111111115</v>
      </c>
      <c r="G337" s="31" t="s">
        <v>461</v>
      </c>
      <c r="H337" s="31" t="s">
        <v>103</v>
      </c>
      <c r="I337" s="33">
        <v>11</v>
      </c>
      <c r="J337" s="34" t="s">
        <v>93</v>
      </c>
      <c r="K337" s="35">
        <v>174</v>
      </c>
      <c r="L337" s="36">
        <f>+K337*I337</f>
        <v>1914</v>
      </c>
      <c r="M337" s="37" t="s">
        <v>734</v>
      </c>
      <c r="N337" s="23" t="s">
        <v>933</v>
      </c>
      <c r="O337" s="23">
        <v>55</v>
      </c>
      <c r="P337" s="23" t="s">
        <v>1148</v>
      </c>
      <c r="Q337" s="23">
        <v>54</v>
      </c>
      <c r="R337" s="23" t="s">
        <v>936</v>
      </c>
      <c r="S337" s="23">
        <v>57</v>
      </c>
      <c r="T337" s="7">
        <v>2127</v>
      </c>
      <c r="U337" s="7" t="s">
        <v>1255</v>
      </c>
      <c r="V337" s="7">
        <v>960</v>
      </c>
      <c r="W337" s="7" t="s">
        <v>1251</v>
      </c>
      <c r="X337" s="18"/>
      <c r="Y337" s="17"/>
      <c r="Z337" s="17"/>
      <c r="AA337" s="17"/>
      <c r="AB337" s="7" t="s">
        <v>1042</v>
      </c>
      <c r="AC337" s="8"/>
      <c r="AD337" s="8"/>
      <c r="AE337" s="8"/>
      <c r="AF337" s="8" t="s">
        <v>726</v>
      </c>
      <c r="AG337" s="8" t="s">
        <v>726</v>
      </c>
      <c r="AH337" s="8" t="s">
        <v>726</v>
      </c>
      <c r="AI337" s="8" t="s">
        <v>726</v>
      </c>
      <c r="AJ337" s="8" t="s">
        <v>726</v>
      </c>
      <c r="AK337" s="8" t="s">
        <v>726</v>
      </c>
      <c r="AL337" s="8"/>
      <c r="AM337" s="8"/>
      <c r="AN337" s="8"/>
      <c r="AO337" s="8"/>
      <c r="AP337" s="8"/>
      <c r="AQ337" s="8"/>
      <c r="AR337" s="8"/>
      <c r="AS337" s="8"/>
      <c r="AT337" s="8"/>
      <c r="AU337" s="8"/>
      <c r="AV337" s="8"/>
      <c r="AX337" s="142">
        <v>120</v>
      </c>
    </row>
    <row r="338" spans="1:50" ht="25.5">
      <c r="B338" s="27">
        <v>334</v>
      </c>
      <c r="C338" s="31">
        <v>205</v>
      </c>
      <c r="D338" s="31">
        <v>409</v>
      </c>
      <c r="E338" s="32">
        <v>0.36458333333333331</v>
      </c>
      <c r="F338" s="32">
        <v>0.37708333333333338</v>
      </c>
      <c r="G338" s="31" t="s">
        <v>493</v>
      </c>
      <c r="H338" s="31" t="s">
        <v>477</v>
      </c>
      <c r="I338" s="33">
        <v>9</v>
      </c>
      <c r="J338" s="34" t="s">
        <v>93</v>
      </c>
      <c r="K338" s="35">
        <v>240</v>
      </c>
      <c r="L338" s="36">
        <f>+K338*I338</f>
        <v>2160</v>
      </c>
      <c r="M338" s="37" t="s">
        <v>734</v>
      </c>
      <c r="N338" s="23" t="s">
        <v>937</v>
      </c>
      <c r="O338" s="23">
        <v>17</v>
      </c>
      <c r="P338" s="23" t="s">
        <v>1791</v>
      </c>
      <c r="Q338" s="23">
        <v>37</v>
      </c>
      <c r="R338" s="23"/>
      <c r="S338" s="23"/>
      <c r="T338" s="7" t="s">
        <v>1394</v>
      </c>
      <c r="U338" s="7" t="s">
        <v>1395</v>
      </c>
      <c r="V338" s="7" t="s">
        <v>1396</v>
      </c>
      <c r="W338" s="7" t="s">
        <v>1397</v>
      </c>
      <c r="X338" s="18"/>
      <c r="Y338" s="17"/>
      <c r="Z338" s="18"/>
      <c r="AA338" s="18"/>
      <c r="AB338" s="7" t="s">
        <v>1052</v>
      </c>
      <c r="AC338" s="8" t="s">
        <v>726</v>
      </c>
      <c r="AD338" s="8"/>
      <c r="AE338" s="8" t="s">
        <v>726</v>
      </c>
      <c r="AF338" s="8"/>
      <c r="AG338" s="8" t="s">
        <v>726</v>
      </c>
      <c r="AH338" s="8" t="s">
        <v>726</v>
      </c>
      <c r="AI338" s="8" t="s">
        <v>726</v>
      </c>
      <c r="AJ338" s="8" t="s">
        <v>726</v>
      </c>
      <c r="AK338" s="8" t="s">
        <v>726</v>
      </c>
      <c r="AL338" s="8" t="s">
        <v>726</v>
      </c>
      <c r="AM338" s="8"/>
      <c r="AN338" s="8"/>
      <c r="AO338" s="8"/>
      <c r="AP338" s="8"/>
      <c r="AQ338" s="8"/>
      <c r="AR338" s="8"/>
      <c r="AS338" s="8"/>
      <c r="AT338" s="8"/>
      <c r="AU338" s="8"/>
      <c r="AV338" s="8"/>
      <c r="AX338" s="142">
        <v>27</v>
      </c>
    </row>
    <row r="339" spans="1:50" ht="25.5">
      <c r="B339" s="27">
        <v>335</v>
      </c>
      <c r="C339" s="31">
        <v>205</v>
      </c>
      <c r="D339" s="31">
        <v>409</v>
      </c>
      <c r="E339" s="32">
        <v>0.36458333333333331</v>
      </c>
      <c r="F339" s="32">
        <v>0.37708333333333338</v>
      </c>
      <c r="G339" s="31" t="s">
        <v>493</v>
      </c>
      <c r="H339" s="31" t="s">
        <v>499</v>
      </c>
      <c r="I339" s="33">
        <v>9</v>
      </c>
      <c r="J339" s="34" t="s">
        <v>93</v>
      </c>
      <c r="K339" s="35">
        <v>67</v>
      </c>
      <c r="L339" s="36">
        <f>+K339*I339</f>
        <v>603</v>
      </c>
      <c r="M339" s="37" t="s">
        <v>734</v>
      </c>
      <c r="N339" s="23" t="s">
        <v>937</v>
      </c>
      <c r="O339" s="23">
        <v>17</v>
      </c>
      <c r="P339" s="23" t="s">
        <v>1791</v>
      </c>
      <c r="Q339" s="23">
        <v>37</v>
      </c>
      <c r="R339" s="23"/>
      <c r="S339" s="23"/>
      <c r="T339" s="7" t="s">
        <v>1394</v>
      </c>
      <c r="U339" s="7" t="s">
        <v>1395</v>
      </c>
      <c r="V339" s="7" t="s">
        <v>1396</v>
      </c>
      <c r="W339" s="7" t="s">
        <v>1397</v>
      </c>
      <c r="X339" s="17"/>
      <c r="Y339" s="18"/>
      <c r="Z339" s="18"/>
      <c r="AA339" s="18"/>
      <c r="AB339" s="8" t="s">
        <v>1047</v>
      </c>
      <c r="AC339" s="8"/>
      <c r="AD339" s="8" t="s">
        <v>726</v>
      </c>
      <c r="AE339" s="8" t="s">
        <v>726</v>
      </c>
      <c r="AF339" s="8"/>
      <c r="AG339" s="8" t="s">
        <v>726</v>
      </c>
      <c r="AH339" s="8" t="s">
        <v>726</v>
      </c>
      <c r="AI339" s="8" t="s">
        <v>726</v>
      </c>
      <c r="AJ339" s="8" t="s">
        <v>726</v>
      </c>
      <c r="AK339" s="8" t="s">
        <v>726</v>
      </c>
      <c r="AL339" s="8" t="s">
        <v>726</v>
      </c>
      <c r="AM339" s="8"/>
      <c r="AN339" s="8"/>
      <c r="AO339" s="8"/>
      <c r="AP339" s="8"/>
      <c r="AQ339" s="8"/>
      <c r="AR339" s="8"/>
      <c r="AS339" s="8"/>
      <c r="AT339" s="8"/>
      <c r="AU339" s="8"/>
      <c r="AV339" s="8"/>
      <c r="AX339" s="142">
        <v>27</v>
      </c>
    </row>
    <row r="340" spans="1:50" ht="25.5">
      <c r="B340" s="27">
        <v>336</v>
      </c>
      <c r="C340" s="31">
        <v>205</v>
      </c>
      <c r="D340" s="31">
        <v>404</v>
      </c>
      <c r="E340" s="32">
        <v>0.59375</v>
      </c>
      <c r="F340" s="32">
        <v>0.60347222222222219</v>
      </c>
      <c r="G340" s="31" t="s">
        <v>352</v>
      </c>
      <c r="H340" s="31" t="s">
        <v>103</v>
      </c>
      <c r="I340" s="33">
        <v>9</v>
      </c>
      <c r="J340" s="34" t="s">
        <v>93</v>
      </c>
      <c r="K340" s="35">
        <v>174</v>
      </c>
      <c r="L340" s="36">
        <f>+K340*I340</f>
        <v>1566</v>
      </c>
      <c r="M340" s="37" t="s">
        <v>739</v>
      </c>
      <c r="N340" s="23" t="s">
        <v>891</v>
      </c>
      <c r="O340" s="23">
        <v>20</v>
      </c>
      <c r="P340" s="23" t="s">
        <v>894</v>
      </c>
      <c r="Q340" s="23">
        <v>24</v>
      </c>
      <c r="R340" s="23" t="s">
        <v>890</v>
      </c>
      <c r="S340" s="24">
        <v>23</v>
      </c>
      <c r="T340" s="7">
        <v>2120</v>
      </c>
      <c r="U340" s="7" t="s">
        <v>1398</v>
      </c>
      <c r="V340" s="7" t="s">
        <v>1399</v>
      </c>
      <c r="W340" s="7" t="s">
        <v>1400</v>
      </c>
      <c r="X340" s="18"/>
      <c r="Y340" s="17"/>
      <c r="Z340" s="17"/>
      <c r="AA340" s="17"/>
      <c r="AB340" s="7" t="s">
        <v>1042</v>
      </c>
      <c r="AC340" s="8"/>
      <c r="AD340" s="8"/>
      <c r="AE340" s="8"/>
      <c r="AF340" s="8" t="s">
        <v>726</v>
      </c>
      <c r="AG340" s="8" t="s">
        <v>726</v>
      </c>
      <c r="AH340" s="8" t="s">
        <v>726</v>
      </c>
      <c r="AI340" s="8" t="s">
        <v>726</v>
      </c>
      <c r="AJ340" s="8" t="s">
        <v>726</v>
      </c>
      <c r="AK340" s="8" t="s">
        <v>726</v>
      </c>
      <c r="AL340" s="8"/>
      <c r="AM340" s="8"/>
      <c r="AN340" s="8"/>
      <c r="AO340" s="8"/>
      <c r="AP340" s="8"/>
      <c r="AQ340" s="8"/>
      <c r="AR340" s="8"/>
      <c r="AS340" s="8"/>
      <c r="AT340" s="8"/>
      <c r="AU340" s="8"/>
      <c r="AV340" s="8"/>
      <c r="AX340" s="142">
        <v>46.89</v>
      </c>
    </row>
    <row r="341" spans="1:50" ht="25.5">
      <c r="A341" s="83" t="s">
        <v>1884</v>
      </c>
      <c r="B341" s="84">
        <v>337</v>
      </c>
      <c r="C341" s="85">
        <v>205</v>
      </c>
      <c r="D341" s="85">
        <v>171</v>
      </c>
      <c r="E341" s="86">
        <v>0.66666666666666663</v>
      </c>
      <c r="F341" s="86">
        <v>0.69861111111111107</v>
      </c>
      <c r="G341" s="85" t="s">
        <v>566</v>
      </c>
      <c r="H341" s="85" t="s">
        <v>103</v>
      </c>
      <c r="I341" s="87">
        <v>23</v>
      </c>
      <c r="J341" s="88" t="s">
        <v>101</v>
      </c>
      <c r="K341" s="94">
        <v>174</v>
      </c>
      <c r="L341" s="90">
        <f>+K341*I341</f>
        <v>4002</v>
      </c>
      <c r="M341" s="91" t="s">
        <v>734</v>
      </c>
      <c r="N341" s="104" t="s">
        <v>936</v>
      </c>
      <c r="O341" s="104">
        <v>57</v>
      </c>
      <c r="P341" s="104" t="s">
        <v>1148</v>
      </c>
      <c r="Q341" s="104">
        <v>54</v>
      </c>
      <c r="R341" s="104" t="s">
        <v>935</v>
      </c>
      <c r="S341" s="104">
        <v>55</v>
      </c>
      <c r="T341" s="95">
        <v>960</v>
      </c>
      <c r="U341" s="95" t="s">
        <v>1251</v>
      </c>
      <c r="V341" s="95" t="s">
        <v>1396</v>
      </c>
      <c r="W341" s="95" t="s">
        <v>1397</v>
      </c>
      <c r="X341" s="107"/>
      <c r="Y341" s="105">
        <v>44865</v>
      </c>
      <c r="Z341" s="105"/>
      <c r="AA341" s="105"/>
      <c r="AB341" s="95" t="s">
        <v>1042</v>
      </c>
      <c r="AC341" s="106"/>
      <c r="AD341" s="106"/>
      <c r="AE341" s="106"/>
      <c r="AF341" s="106" t="s">
        <v>726</v>
      </c>
      <c r="AG341" s="106" t="s">
        <v>726</v>
      </c>
      <c r="AH341" s="106" t="s">
        <v>726</v>
      </c>
      <c r="AI341" s="106" t="s">
        <v>726</v>
      </c>
      <c r="AJ341" s="106" t="s">
        <v>726</v>
      </c>
      <c r="AK341" s="106" t="s">
        <v>726</v>
      </c>
      <c r="AL341" s="106"/>
      <c r="AM341" s="106"/>
      <c r="AN341" s="106"/>
      <c r="AO341" s="106"/>
      <c r="AP341" s="106"/>
      <c r="AQ341" s="106"/>
      <c r="AR341" s="106"/>
      <c r="AS341" s="106"/>
      <c r="AT341" s="106"/>
      <c r="AU341" s="106"/>
      <c r="AV341" s="106"/>
    </row>
    <row r="342" spans="1:50" ht="27" customHeight="1">
      <c r="B342" s="27">
        <v>338</v>
      </c>
      <c r="C342" s="31">
        <v>205</v>
      </c>
      <c r="D342" s="31">
        <v>366</v>
      </c>
      <c r="E342" s="32">
        <v>0.70138888888888884</v>
      </c>
      <c r="F342" s="32">
        <v>0.71319444444444446</v>
      </c>
      <c r="G342" s="31" t="s">
        <v>494</v>
      </c>
      <c r="H342" s="31" t="s">
        <v>499</v>
      </c>
      <c r="I342" s="33">
        <v>9</v>
      </c>
      <c r="J342" s="34" t="s">
        <v>93</v>
      </c>
      <c r="K342" s="35">
        <v>67</v>
      </c>
      <c r="L342" s="36">
        <f>+K342*I342</f>
        <v>603</v>
      </c>
      <c r="M342" s="37" t="s">
        <v>734</v>
      </c>
      <c r="N342" s="23" t="s">
        <v>937</v>
      </c>
      <c r="O342" s="23">
        <v>17</v>
      </c>
      <c r="P342" s="23" t="s">
        <v>1791</v>
      </c>
      <c r="Q342" s="23">
        <v>37</v>
      </c>
      <c r="R342" s="23"/>
      <c r="S342" s="23"/>
      <c r="T342" s="7">
        <v>2120</v>
      </c>
      <c r="U342" s="7" t="s">
        <v>1398</v>
      </c>
      <c r="V342" s="7" t="s">
        <v>1394</v>
      </c>
      <c r="W342" s="7" t="s">
        <v>1395</v>
      </c>
      <c r="X342" s="17"/>
      <c r="Y342" s="18"/>
      <c r="Z342" s="18"/>
      <c r="AA342" s="18"/>
      <c r="AB342" s="8" t="s">
        <v>1047</v>
      </c>
      <c r="AC342" s="8"/>
      <c r="AD342" s="8" t="s">
        <v>726</v>
      </c>
      <c r="AE342" s="8" t="s">
        <v>726</v>
      </c>
      <c r="AF342" s="8"/>
      <c r="AG342" s="8" t="s">
        <v>726</v>
      </c>
      <c r="AH342" s="8" t="s">
        <v>726</v>
      </c>
      <c r="AI342" s="8" t="s">
        <v>726</v>
      </c>
      <c r="AJ342" s="8" t="s">
        <v>726</v>
      </c>
      <c r="AK342" s="8" t="s">
        <v>726</v>
      </c>
      <c r="AL342" s="8" t="s">
        <v>726</v>
      </c>
      <c r="AM342" s="8"/>
      <c r="AN342" s="8"/>
      <c r="AO342" s="8"/>
      <c r="AP342" s="8"/>
      <c r="AQ342" s="8"/>
      <c r="AR342" s="8"/>
      <c r="AS342" s="8"/>
      <c r="AT342" s="8"/>
      <c r="AU342" s="8"/>
      <c r="AV342" s="8"/>
      <c r="AX342" s="142">
        <v>27</v>
      </c>
    </row>
    <row r="343" spans="1:50" ht="25.5">
      <c r="A343" s="83" t="s">
        <v>1859</v>
      </c>
      <c r="B343" s="84">
        <v>339</v>
      </c>
      <c r="C343" s="85">
        <v>205</v>
      </c>
      <c r="D343" s="85">
        <v>366</v>
      </c>
      <c r="E343" s="86">
        <v>0.70277777777777783</v>
      </c>
      <c r="F343" s="86">
        <v>0.71458333333333324</v>
      </c>
      <c r="G343" s="85" t="s">
        <v>494</v>
      </c>
      <c r="H343" s="85" t="s">
        <v>1860</v>
      </c>
      <c r="I343" s="87">
        <v>9</v>
      </c>
      <c r="J343" s="88" t="s">
        <v>93</v>
      </c>
      <c r="K343" s="94">
        <v>240</v>
      </c>
      <c r="L343" s="90">
        <f>+K343*I343</f>
        <v>2160</v>
      </c>
      <c r="M343" s="91" t="s">
        <v>734</v>
      </c>
      <c r="N343" s="104" t="s">
        <v>937</v>
      </c>
      <c r="O343" s="104">
        <v>17</v>
      </c>
      <c r="P343" s="104" t="s">
        <v>1791</v>
      </c>
      <c r="Q343" s="104">
        <v>37</v>
      </c>
      <c r="R343" s="104"/>
      <c r="S343" s="104"/>
      <c r="T343" s="95">
        <v>2120</v>
      </c>
      <c r="U343" s="95" t="s">
        <v>1398</v>
      </c>
      <c r="V343" s="95" t="s">
        <v>1394</v>
      </c>
      <c r="W343" s="95" t="s">
        <v>1395</v>
      </c>
      <c r="X343" s="107"/>
      <c r="Y343" s="107">
        <v>44894</v>
      </c>
      <c r="Z343" s="107"/>
      <c r="AA343" s="107"/>
      <c r="AB343" s="95" t="s">
        <v>1052</v>
      </c>
      <c r="AC343" s="106" t="s">
        <v>726</v>
      </c>
      <c r="AD343" s="106"/>
      <c r="AE343" s="106" t="s">
        <v>726</v>
      </c>
      <c r="AF343" s="106"/>
      <c r="AG343" s="106" t="s">
        <v>726</v>
      </c>
      <c r="AH343" s="106" t="s">
        <v>726</v>
      </c>
      <c r="AI343" s="106" t="s">
        <v>726</v>
      </c>
      <c r="AJ343" s="106" t="s">
        <v>726</v>
      </c>
      <c r="AK343" s="106" t="s">
        <v>726</v>
      </c>
      <c r="AL343" s="106" t="s">
        <v>726</v>
      </c>
      <c r="AM343" s="106"/>
      <c r="AN343" s="106"/>
      <c r="AO343" s="106"/>
      <c r="AP343" s="106"/>
      <c r="AQ343" s="106"/>
      <c r="AR343" s="106"/>
      <c r="AS343" s="106"/>
      <c r="AT343" s="106"/>
      <c r="AU343" s="106"/>
      <c r="AV343" s="106"/>
    </row>
    <row r="344" spans="1:50" ht="25.5">
      <c r="B344" s="27">
        <v>340</v>
      </c>
      <c r="C344" s="31">
        <v>205</v>
      </c>
      <c r="D344" s="31">
        <v>402</v>
      </c>
      <c r="E344" s="42">
        <v>0.80555555555555547</v>
      </c>
      <c r="F344" s="42">
        <v>0.80833333333333324</v>
      </c>
      <c r="G344" s="31" t="s">
        <v>187</v>
      </c>
      <c r="H344" s="31" t="s">
        <v>103</v>
      </c>
      <c r="I344" s="33">
        <v>3</v>
      </c>
      <c r="J344" s="34" t="s">
        <v>93</v>
      </c>
      <c r="K344" s="35">
        <v>174</v>
      </c>
      <c r="L344" s="36">
        <f>+K344*I344</f>
        <v>522</v>
      </c>
      <c r="M344" s="37" t="s">
        <v>718</v>
      </c>
      <c r="N344" s="23" t="s">
        <v>1016</v>
      </c>
      <c r="O344" s="23">
        <v>23</v>
      </c>
      <c r="P344" s="23" t="s">
        <v>923</v>
      </c>
      <c r="Q344" s="23">
        <v>23</v>
      </c>
      <c r="R344" s="23" t="s">
        <v>925</v>
      </c>
      <c r="S344" s="24">
        <v>21</v>
      </c>
      <c r="T344" s="7">
        <v>2120</v>
      </c>
      <c r="U344" s="7" t="s">
        <v>1398</v>
      </c>
      <c r="V344" s="7">
        <v>2122</v>
      </c>
      <c r="W344" s="7" t="s">
        <v>1401</v>
      </c>
      <c r="X344" s="18"/>
      <c r="Y344" s="17"/>
      <c r="Z344" s="17"/>
      <c r="AA344" s="17"/>
      <c r="AB344" s="7" t="s">
        <v>1042</v>
      </c>
      <c r="AC344" s="8"/>
      <c r="AD344" s="8"/>
      <c r="AE344" s="8"/>
      <c r="AF344" s="8" t="s">
        <v>726</v>
      </c>
      <c r="AG344" s="8" t="s">
        <v>726</v>
      </c>
      <c r="AH344" s="8" t="s">
        <v>726</v>
      </c>
      <c r="AI344" s="8" t="s">
        <v>726</v>
      </c>
      <c r="AJ344" s="8" t="s">
        <v>726</v>
      </c>
      <c r="AK344" s="8" t="s">
        <v>726</v>
      </c>
      <c r="AL344" s="8"/>
      <c r="AM344" s="8"/>
      <c r="AN344" s="8"/>
      <c r="AO344" s="8"/>
      <c r="AP344" s="8"/>
      <c r="AQ344" s="8"/>
      <c r="AR344" s="8"/>
      <c r="AS344" s="8"/>
      <c r="AT344" s="8"/>
      <c r="AU344" s="8"/>
      <c r="AV344" s="8"/>
      <c r="AX344" s="142">
        <v>40</v>
      </c>
    </row>
    <row r="345" spans="1:50" ht="25.5">
      <c r="B345" s="27">
        <v>341</v>
      </c>
      <c r="C345" s="31">
        <v>206</v>
      </c>
      <c r="D345" s="31">
        <v>403</v>
      </c>
      <c r="E345" s="42">
        <v>0.25694444444444448</v>
      </c>
      <c r="F345" s="42">
        <v>0.2722222222222222</v>
      </c>
      <c r="G345" s="31" t="s">
        <v>207</v>
      </c>
      <c r="H345" s="31" t="s">
        <v>18</v>
      </c>
      <c r="I345" s="33">
        <v>12.5</v>
      </c>
      <c r="J345" s="34" t="s">
        <v>188</v>
      </c>
      <c r="K345" s="35">
        <v>304</v>
      </c>
      <c r="L345" s="36">
        <f>+K345*I345</f>
        <v>3800</v>
      </c>
      <c r="M345" s="37" t="s">
        <v>718</v>
      </c>
      <c r="N345" s="23" t="s">
        <v>923</v>
      </c>
      <c r="O345" s="23">
        <v>23</v>
      </c>
      <c r="P345" s="23" t="s">
        <v>924</v>
      </c>
      <c r="Q345" s="23">
        <v>37</v>
      </c>
      <c r="R345" s="23" t="s">
        <v>925</v>
      </c>
      <c r="S345" s="24">
        <v>21</v>
      </c>
      <c r="T345" s="7" t="s">
        <v>1260</v>
      </c>
      <c r="U345" s="7" t="s">
        <v>1261</v>
      </c>
      <c r="V345" s="7" t="s">
        <v>1402</v>
      </c>
      <c r="W345" s="7" t="s">
        <v>1403</v>
      </c>
      <c r="X345" s="17"/>
      <c r="Y345" s="17"/>
      <c r="Z345" s="17"/>
      <c r="AA345" s="17"/>
      <c r="AB345" s="8" t="s">
        <v>1053</v>
      </c>
      <c r="AC345" s="8" t="s">
        <v>726</v>
      </c>
      <c r="AD345" s="8" t="s">
        <v>726</v>
      </c>
      <c r="AE345" s="8" t="s">
        <v>726</v>
      </c>
      <c r="AF345" s="8"/>
      <c r="AG345" s="8" t="s">
        <v>726</v>
      </c>
      <c r="AH345" s="8" t="s">
        <v>726</v>
      </c>
      <c r="AI345" s="8" t="s">
        <v>726</v>
      </c>
      <c r="AJ345" s="8" t="s">
        <v>726</v>
      </c>
      <c r="AK345" s="8" t="s">
        <v>726</v>
      </c>
      <c r="AL345" s="8" t="s">
        <v>726</v>
      </c>
      <c r="AM345" s="8"/>
      <c r="AN345" s="8"/>
      <c r="AO345" s="8"/>
      <c r="AP345" s="8"/>
      <c r="AQ345" s="8"/>
      <c r="AR345" s="8"/>
      <c r="AS345" s="8"/>
      <c r="AT345" s="8"/>
      <c r="AU345" s="8"/>
      <c r="AV345" s="8"/>
      <c r="AX345" s="142">
        <v>50.66</v>
      </c>
    </row>
    <row r="346" spans="1:50" ht="25.5">
      <c r="A346" s="45" t="s">
        <v>1104</v>
      </c>
      <c r="B346" s="27">
        <v>342</v>
      </c>
      <c r="C346" s="31">
        <v>206</v>
      </c>
      <c r="D346" s="31">
        <v>107</v>
      </c>
      <c r="E346" s="32">
        <v>0.29305555555555557</v>
      </c>
      <c r="F346" s="42">
        <v>0.30555555555555552</v>
      </c>
      <c r="G346" s="31" t="s">
        <v>674</v>
      </c>
      <c r="H346" s="43" t="s">
        <v>979</v>
      </c>
      <c r="I346" s="33">
        <v>11</v>
      </c>
      <c r="J346" s="34" t="s">
        <v>99</v>
      </c>
      <c r="K346" s="46">
        <v>304</v>
      </c>
      <c r="L346" s="36">
        <f>+K346*I346</f>
        <v>3344</v>
      </c>
      <c r="M346" s="37" t="s">
        <v>718</v>
      </c>
      <c r="N346" s="23" t="s">
        <v>923</v>
      </c>
      <c r="O346" s="23">
        <v>23</v>
      </c>
      <c r="P346" s="23" t="s">
        <v>924</v>
      </c>
      <c r="Q346" s="23">
        <v>37</v>
      </c>
      <c r="R346" s="23" t="s">
        <v>925</v>
      </c>
      <c r="S346" s="24">
        <v>21</v>
      </c>
      <c r="T346" s="7" t="s">
        <v>1260</v>
      </c>
      <c r="U346" s="7" t="s">
        <v>1261</v>
      </c>
      <c r="V346" s="7" t="s">
        <v>1404</v>
      </c>
      <c r="W346" s="7" t="s">
        <v>1405</v>
      </c>
      <c r="X346" s="17"/>
      <c r="Y346" s="17"/>
      <c r="Z346" s="17"/>
      <c r="AA346" s="17"/>
      <c r="AB346" s="7" t="s">
        <v>1053</v>
      </c>
      <c r="AC346" s="8" t="s">
        <v>726</v>
      </c>
      <c r="AD346" s="8" t="s">
        <v>726</v>
      </c>
      <c r="AE346" s="8" t="s">
        <v>726</v>
      </c>
      <c r="AF346" s="8"/>
      <c r="AG346" s="8" t="s">
        <v>726</v>
      </c>
      <c r="AH346" s="8" t="s">
        <v>726</v>
      </c>
      <c r="AI346" s="8" t="s">
        <v>726</v>
      </c>
      <c r="AJ346" s="8" t="s">
        <v>726</v>
      </c>
      <c r="AK346" s="8" t="s">
        <v>726</v>
      </c>
      <c r="AL346" s="8" t="s">
        <v>726</v>
      </c>
      <c r="AM346" s="8"/>
      <c r="AN346" s="8"/>
      <c r="AO346" s="8"/>
      <c r="AP346" s="8"/>
      <c r="AQ346" s="8"/>
      <c r="AR346" s="8"/>
      <c r="AS346" s="8"/>
      <c r="AT346" s="8"/>
      <c r="AU346" s="8"/>
      <c r="AV346" s="8"/>
      <c r="AX346" s="142">
        <v>50.44</v>
      </c>
    </row>
    <row r="347" spans="1:50" ht="22.5">
      <c r="B347" s="27">
        <v>343</v>
      </c>
      <c r="C347" s="31">
        <v>206</v>
      </c>
      <c r="D347" s="31">
        <v>109</v>
      </c>
      <c r="E347" s="32">
        <v>0.31805555555555554</v>
      </c>
      <c r="F347" s="32">
        <v>0.34236111111111112</v>
      </c>
      <c r="G347" s="31" t="s">
        <v>152</v>
      </c>
      <c r="H347" s="31" t="s">
        <v>18</v>
      </c>
      <c r="I347" s="33">
        <v>16</v>
      </c>
      <c r="J347" s="34" t="s">
        <v>127</v>
      </c>
      <c r="K347" s="35">
        <v>304</v>
      </c>
      <c r="L347" s="36">
        <f>+K347*I347</f>
        <v>4864</v>
      </c>
      <c r="M347" s="37" t="s">
        <v>718</v>
      </c>
      <c r="N347" s="23" t="s">
        <v>924</v>
      </c>
      <c r="O347" s="23">
        <v>37</v>
      </c>
      <c r="P347" s="23" t="s">
        <v>927</v>
      </c>
      <c r="Q347" s="23">
        <v>48</v>
      </c>
      <c r="R347" s="79" t="s">
        <v>1902</v>
      </c>
      <c r="S347" s="111">
        <v>45</v>
      </c>
      <c r="T347" s="7" t="s">
        <v>1260</v>
      </c>
      <c r="U347" s="7" t="s">
        <v>1261</v>
      </c>
      <c r="V347" s="7">
        <v>1</v>
      </c>
      <c r="W347" s="7" t="s">
        <v>1236</v>
      </c>
      <c r="X347" s="17"/>
      <c r="Y347" s="17"/>
      <c r="Z347" s="17"/>
      <c r="AA347" s="17"/>
      <c r="AB347" s="8" t="s">
        <v>1053</v>
      </c>
      <c r="AC347" s="8" t="s">
        <v>726</v>
      </c>
      <c r="AD347" s="8" t="s">
        <v>726</v>
      </c>
      <c r="AE347" s="8" t="s">
        <v>726</v>
      </c>
      <c r="AF347" s="8"/>
      <c r="AG347" s="8" t="s">
        <v>726</v>
      </c>
      <c r="AH347" s="8" t="s">
        <v>726</v>
      </c>
      <c r="AI347" s="8" t="s">
        <v>726</v>
      </c>
      <c r="AJ347" s="8" t="s">
        <v>726</v>
      </c>
      <c r="AK347" s="8" t="s">
        <v>726</v>
      </c>
      <c r="AL347" s="8" t="s">
        <v>726</v>
      </c>
      <c r="AM347" s="8"/>
      <c r="AN347" s="8"/>
      <c r="AO347" s="8"/>
      <c r="AP347" s="8"/>
      <c r="AQ347" s="8"/>
      <c r="AR347" s="8"/>
      <c r="AS347" s="8"/>
      <c r="AT347" s="8"/>
      <c r="AU347" s="8"/>
      <c r="AV347" s="8"/>
      <c r="AX347" s="142">
        <v>73.349999999999994</v>
      </c>
    </row>
    <row r="348" spans="1:50" ht="25.5">
      <c r="B348" s="27">
        <v>344</v>
      </c>
      <c r="C348" s="31">
        <v>206</v>
      </c>
      <c r="D348" s="31">
        <v>110</v>
      </c>
      <c r="E348" s="42">
        <v>0.3527777777777778</v>
      </c>
      <c r="F348" s="42">
        <v>0.36805555555555558</v>
      </c>
      <c r="G348" s="31" t="s">
        <v>219</v>
      </c>
      <c r="H348" s="31" t="s">
        <v>157</v>
      </c>
      <c r="I348" s="33">
        <v>11</v>
      </c>
      <c r="J348" s="34" t="s">
        <v>93</v>
      </c>
      <c r="K348" s="35">
        <v>58</v>
      </c>
      <c r="L348" s="36">
        <f>+K348*I348</f>
        <v>638</v>
      </c>
      <c r="M348" s="63" t="s">
        <v>718</v>
      </c>
      <c r="N348" s="23" t="s">
        <v>923</v>
      </c>
      <c r="O348" s="23">
        <v>23</v>
      </c>
      <c r="P348" s="79" t="s">
        <v>1983</v>
      </c>
      <c r="Q348" s="79">
        <v>21</v>
      </c>
      <c r="R348" s="23" t="s">
        <v>925</v>
      </c>
      <c r="S348" s="24">
        <v>21</v>
      </c>
      <c r="T348" s="7">
        <v>2010</v>
      </c>
      <c r="U348" s="7" t="s">
        <v>1406</v>
      </c>
      <c r="V348" s="7" t="s">
        <v>1260</v>
      </c>
      <c r="W348" s="7" t="s">
        <v>1261</v>
      </c>
      <c r="X348" s="17"/>
      <c r="Y348" s="17"/>
      <c r="Z348" s="17"/>
      <c r="AA348" s="17"/>
      <c r="AB348" s="8" t="s">
        <v>1055</v>
      </c>
      <c r="AC348" s="8" t="s">
        <v>726</v>
      </c>
      <c r="AD348" s="8" t="s">
        <v>726</v>
      </c>
      <c r="AE348" s="8"/>
      <c r="AF348" s="8"/>
      <c r="AG348" s="8"/>
      <c r="AH348" s="8"/>
      <c r="AI348" s="8"/>
      <c r="AJ348" s="8"/>
      <c r="AK348" s="8"/>
      <c r="AL348" s="8"/>
      <c r="AM348" s="8" t="s">
        <v>726</v>
      </c>
      <c r="AN348" s="8"/>
      <c r="AO348" s="8"/>
      <c r="AP348" s="8"/>
      <c r="AQ348" s="8"/>
      <c r="AR348" s="8"/>
      <c r="AS348" s="8"/>
      <c r="AT348" s="8"/>
      <c r="AU348" s="8"/>
      <c r="AV348" s="8"/>
      <c r="AX348" s="142">
        <v>43.05</v>
      </c>
    </row>
    <row r="349" spans="1:50" ht="38.25">
      <c r="B349" s="27">
        <v>345</v>
      </c>
      <c r="C349" s="31">
        <v>206</v>
      </c>
      <c r="D349" s="31">
        <v>113</v>
      </c>
      <c r="E349" s="42">
        <v>0.375</v>
      </c>
      <c r="F349" s="32">
        <v>0.39930555555555558</v>
      </c>
      <c r="G349" s="118" t="s">
        <v>2086</v>
      </c>
      <c r="H349" s="31" t="s">
        <v>157</v>
      </c>
      <c r="I349" s="33">
        <v>16</v>
      </c>
      <c r="J349" s="34" t="s">
        <v>93</v>
      </c>
      <c r="K349" s="35">
        <v>58</v>
      </c>
      <c r="L349" s="36">
        <f>+K349*I349</f>
        <v>928</v>
      </c>
      <c r="M349" s="63" t="s">
        <v>718</v>
      </c>
      <c r="N349" s="23" t="s">
        <v>923</v>
      </c>
      <c r="O349" s="23">
        <v>23</v>
      </c>
      <c r="P349" s="79" t="s">
        <v>1983</v>
      </c>
      <c r="Q349" s="79">
        <v>21</v>
      </c>
      <c r="R349" s="23" t="s">
        <v>925</v>
      </c>
      <c r="S349" s="24">
        <v>21</v>
      </c>
      <c r="T349" s="7" t="s">
        <v>1260</v>
      </c>
      <c r="U349" s="7" t="s">
        <v>1261</v>
      </c>
      <c r="V349" s="7">
        <v>1</v>
      </c>
      <c r="W349" s="7" t="s">
        <v>1236</v>
      </c>
      <c r="X349" s="17"/>
      <c r="Y349" s="17"/>
      <c r="Z349" s="17"/>
      <c r="AA349" s="17"/>
      <c r="AB349" s="8" t="s">
        <v>1055</v>
      </c>
      <c r="AC349" s="8" t="s">
        <v>726</v>
      </c>
      <c r="AD349" s="8" t="s">
        <v>726</v>
      </c>
      <c r="AE349" s="8"/>
      <c r="AF349" s="8"/>
      <c r="AG349" s="8"/>
      <c r="AH349" s="8"/>
      <c r="AI349" s="8"/>
      <c r="AJ349" s="8"/>
      <c r="AK349" s="8"/>
      <c r="AL349" s="8"/>
      <c r="AM349" s="8" t="s">
        <v>726</v>
      </c>
      <c r="AN349" s="8"/>
      <c r="AO349" s="8"/>
      <c r="AP349" s="8"/>
      <c r="AQ349" s="8"/>
      <c r="AR349" s="8"/>
      <c r="AS349" s="8"/>
      <c r="AT349" s="8"/>
      <c r="AU349" s="8"/>
      <c r="AV349" s="8"/>
      <c r="AX349" s="142">
        <v>62.48</v>
      </c>
    </row>
    <row r="350" spans="1:50" ht="25.5">
      <c r="B350" s="27">
        <v>346</v>
      </c>
      <c r="C350" s="31">
        <v>206</v>
      </c>
      <c r="D350" s="31">
        <v>112</v>
      </c>
      <c r="E350" s="32">
        <v>0.4236111111111111</v>
      </c>
      <c r="F350" s="42">
        <v>0.4513888888888889</v>
      </c>
      <c r="G350" s="31" t="s">
        <v>438</v>
      </c>
      <c r="H350" s="31" t="s">
        <v>97</v>
      </c>
      <c r="I350" s="33">
        <v>18</v>
      </c>
      <c r="J350" s="34" t="s">
        <v>188</v>
      </c>
      <c r="K350" s="35">
        <v>208</v>
      </c>
      <c r="L350" s="36">
        <f>+K350*I350</f>
        <v>3744</v>
      </c>
      <c r="M350" s="37" t="s">
        <v>718</v>
      </c>
      <c r="N350" s="23" t="s">
        <v>923</v>
      </c>
      <c r="O350" s="23">
        <v>23</v>
      </c>
      <c r="P350" s="79" t="s">
        <v>1983</v>
      </c>
      <c r="Q350" s="79">
        <v>21</v>
      </c>
      <c r="R350" s="23" t="s">
        <v>926</v>
      </c>
      <c r="S350" s="24">
        <v>24</v>
      </c>
      <c r="T350" s="7">
        <v>1</v>
      </c>
      <c r="U350" s="7" t="s">
        <v>1233</v>
      </c>
      <c r="V350" s="7" t="s">
        <v>1260</v>
      </c>
      <c r="W350" s="7" t="s">
        <v>1261</v>
      </c>
      <c r="X350" s="18"/>
      <c r="Y350" s="17"/>
      <c r="Z350" s="17"/>
      <c r="AA350" s="17"/>
      <c r="AB350" s="7" t="s">
        <v>1046</v>
      </c>
      <c r="AC350" s="8"/>
      <c r="AD350" s="8"/>
      <c r="AE350" s="8"/>
      <c r="AF350" s="8" t="s">
        <v>726</v>
      </c>
      <c r="AG350" s="8" t="s">
        <v>726</v>
      </c>
      <c r="AH350" s="8" t="s">
        <v>726</v>
      </c>
      <c r="AI350" s="8" t="s">
        <v>726</v>
      </c>
      <c r="AJ350" s="8" t="s">
        <v>726</v>
      </c>
      <c r="AK350" s="8" t="s">
        <v>726</v>
      </c>
      <c r="AL350" s="8" t="s">
        <v>726</v>
      </c>
      <c r="AM350" s="8"/>
      <c r="AN350" s="8"/>
      <c r="AO350" s="8"/>
      <c r="AP350" s="8"/>
      <c r="AQ350" s="8"/>
      <c r="AR350" s="8"/>
      <c r="AS350" s="8"/>
      <c r="AT350" s="8"/>
      <c r="AU350" s="8"/>
      <c r="AV350" s="8"/>
      <c r="AX350" s="142">
        <v>36</v>
      </c>
    </row>
    <row r="351" spans="1:50" ht="25.5">
      <c r="B351" s="27">
        <v>347</v>
      </c>
      <c r="C351" s="31">
        <v>206</v>
      </c>
      <c r="D351" s="31">
        <v>116</v>
      </c>
      <c r="E351" s="32">
        <v>0.5229166666666667</v>
      </c>
      <c r="F351" s="32">
        <v>0.53819444444444442</v>
      </c>
      <c r="G351" s="31" t="s">
        <v>219</v>
      </c>
      <c r="H351" s="31" t="s">
        <v>157</v>
      </c>
      <c r="I351" s="33">
        <v>11</v>
      </c>
      <c r="J351" s="34" t="s">
        <v>93</v>
      </c>
      <c r="K351" s="35">
        <v>58</v>
      </c>
      <c r="L351" s="36">
        <f>+K351*I351</f>
        <v>638</v>
      </c>
      <c r="M351" s="37" t="s">
        <v>718</v>
      </c>
      <c r="N351" s="23" t="s">
        <v>923</v>
      </c>
      <c r="O351" s="23">
        <v>23</v>
      </c>
      <c r="P351" s="23" t="s">
        <v>925</v>
      </c>
      <c r="Q351" s="23">
        <v>21</v>
      </c>
      <c r="R351" s="79" t="s">
        <v>1983</v>
      </c>
      <c r="S351" s="79">
        <v>21</v>
      </c>
      <c r="T351" s="7">
        <v>2010</v>
      </c>
      <c r="U351" s="7" t="s">
        <v>1406</v>
      </c>
      <c r="V351" s="7" t="s">
        <v>1260</v>
      </c>
      <c r="W351" s="7" t="s">
        <v>1261</v>
      </c>
      <c r="X351" s="17"/>
      <c r="Y351" s="17"/>
      <c r="Z351" s="17"/>
      <c r="AA351" s="17"/>
      <c r="AB351" s="8" t="s">
        <v>1055</v>
      </c>
      <c r="AC351" s="8" t="s">
        <v>726</v>
      </c>
      <c r="AD351" s="8" t="s">
        <v>726</v>
      </c>
      <c r="AE351" s="8"/>
      <c r="AF351" s="8"/>
      <c r="AG351" s="8"/>
      <c r="AH351" s="8"/>
      <c r="AI351" s="8"/>
      <c r="AJ351" s="8"/>
      <c r="AK351" s="8"/>
      <c r="AL351" s="8"/>
      <c r="AM351" s="8" t="s">
        <v>726</v>
      </c>
      <c r="AN351" s="8"/>
      <c r="AO351" s="8"/>
      <c r="AP351" s="8"/>
      <c r="AQ351" s="8"/>
      <c r="AR351" s="8"/>
      <c r="AS351" s="8"/>
      <c r="AT351" s="8"/>
      <c r="AU351" s="8"/>
      <c r="AV351" s="8"/>
      <c r="AX351" s="142">
        <v>50.66</v>
      </c>
    </row>
    <row r="352" spans="1:50" ht="25.5">
      <c r="B352" s="27">
        <v>348</v>
      </c>
      <c r="C352" s="31">
        <v>206</v>
      </c>
      <c r="D352" s="31">
        <v>116</v>
      </c>
      <c r="E352" s="32">
        <v>0.53819444444444442</v>
      </c>
      <c r="F352" s="32">
        <v>0.5395833333333333</v>
      </c>
      <c r="G352" s="31" t="s">
        <v>218</v>
      </c>
      <c r="H352" s="31" t="s">
        <v>546</v>
      </c>
      <c r="I352" s="33">
        <v>2</v>
      </c>
      <c r="J352" s="34" t="s">
        <v>93</v>
      </c>
      <c r="K352" s="35">
        <v>13</v>
      </c>
      <c r="L352" s="36">
        <f>+K352*I352</f>
        <v>26</v>
      </c>
      <c r="M352" s="37" t="s">
        <v>718</v>
      </c>
      <c r="N352" s="23" t="s">
        <v>923</v>
      </c>
      <c r="O352" s="23">
        <v>23</v>
      </c>
      <c r="P352" s="23" t="s">
        <v>925</v>
      </c>
      <c r="Q352" s="23">
        <v>21</v>
      </c>
      <c r="R352" s="79" t="s">
        <v>1983</v>
      </c>
      <c r="S352" s="79">
        <v>21</v>
      </c>
      <c r="T352" s="7" t="s">
        <v>1260</v>
      </c>
      <c r="U352" s="7" t="s">
        <v>1261</v>
      </c>
      <c r="V352" s="7">
        <v>2024</v>
      </c>
      <c r="W352" s="7" t="s">
        <v>1407</v>
      </c>
      <c r="X352" s="17"/>
      <c r="Y352" s="18"/>
      <c r="Z352" s="18"/>
      <c r="AA352" s="18"/>
      <c r="AB352" s="7" t="s">
        <v>1044</v>
      </c>
      <c r="AC352" s="8"/>
      <c r="AD352" s="8" t="s">
        <v>726</v>
      </c>
      <c r="AE352" s="8"/>
      <c r="AF352" s="8"/>
      <c r="AG352" s="8"/>
      <c r="AH352" s="8"/>
      <c r="AI352" s="8"/>
      <c r="AJ352" s="8"/>
      <c r="AK352" s="8"/>
      <c r="AL352" s="8"/>
      <c r="AM352" s="8" t="s">
        <v>726</v>
      </c>
      <c r="AN352" s="8"/>
      <c r="AO352" s="8"/>
      <c r="AP352" s="8"/>
      <c r="AQ352" s="8"/>
      <c r="AR352" s="8"/>
      <c r="AS352" s="8"/>
      <c r="AT352" s="8"/>
      <c r="AU352" s="8"/>
      <c r="AV352" s="8"/>
      <c r="AX352" s="142">
        <v>4</v>
      </c>
    </row>
    <row r="353" spans="2:50" ht="25.5">
      <c r="B353" s="27">
        <v>349</v>
      </c>
      <c r="C353" s="31">
        <v>206</v>
      </c>
      <c r="D353" s="31">
        <v>382</v>
      </c>
      <c r="E353" s="32">
        <v>0.54861111111111105</v>
      </c>
      <c r="F353" s="32">
        <v>0.5625</v>
      </c>
      <c r="G353" s="31" t="s">
        <v>217</v>
      </c>
      <c r="H353" s="31" t="s">
        <v>97</v>
      </c>
      <c r="I353" s="33">
        <v>11</v>
      </c>
      <c r="J353" s="34" t="s">
        <v>99</v>
      </c>
      <c r="K353" s="35">
        <v>208</v>
      </c>
      <c r="L353" s="36">
        <f>+K353*I353</f>
        <v>2288</v>
      </c>
      <c r="M353" s="37" t="s">
        <v>718</v>
      </c>
      <c r="N353" s="23" t="s">
        <v>923</v>
      </c>
      <c r="O353" s="23">
        <v>23</v>
      </c>
      <c r="P353" s="23" t="s">
        <v>925</v>
      </c>
      <c r="Q353" s="23">
        <v>21</v>
      </c>
      <c r="R353" s="79" t="s">
        <v>1983</v>
      </c>
      <c r="S353" s="79">
        <v>21</v>
      </c>
      <c r="T353" s="7">
        <v>2020</v>
      </c>
      <c r="U353" s="7" t="s">
        <v>1408</v>
      </c>
      <c r="V353" s="7" t="s">
        <v>1260</v>
      </c>
      <c r="W353" s="7" t="s">
        <v>1261</v>
      </c>
      <c r="X353" s="18"/>
      <c r="Y353" s="17"/>
      <c r="Z353" s="17"/>
      <c r="AA353" s="17"/>
      <c r="AB353" s="7" t="s">
        <v>1046</v>
      </c>
      <c r="AC353" s="8"/>
      <c r="AD353" s="8"/>
      <c r="AE353" s="8"/>
      <c r="AF353" s="8" t="s">
        <v>726</v>
      </c>
      <c r="AG353" s="8" t="s">
        <v>726</v>
      </c>
      <c r="AH353" s="8" t="s">
        <v>726</v>
      </c>
      <c r="AI353" s="8" t="s">
        <v>726</v>
      </c>
      <c r="AJ353" s="8" t="s">
        <v>726</v>
      </c>
      <c r="AK353" s="8" t="s">
        <v>726</v>
      </c>
      <c r="AL353" s="8" t="s">
        <v>726</v>
      </c>
      <c r="AM353" s="8"/>
      <c r="AN353" s="8"/>
      <c r="AO353" s="8"/>
      <c r="AP353" s="8"/>
      <c r="AQ353" s="8"/>
      <c r="AR353" s="8"/>
      <c r="AS353" s="8"/>
      <c r="AT353" s="8"/>
      <c r="AU353" s="8"/>
      <c r="AV353" s="8"/>
      <c r="AX353" s="142">
        <v>38.869999999999997</v>
      </c>
    </row>
    <row r="354" spans="2:50" ht="22.5">
      <c r="B354" s="27">
        <v>350</v>
      </c>
      <c r="C354" s="31">
        <v>206</v>
      </c>
      <c r="D354" s="31">
        <v>117</v>
      </c>
      <c r="E354" s="32">
        <v>0.5854166666666667</v>
      </c>
      <c r="F354" s="32">
        <v>0.60972222222222217</v>
      </c>
      <c r="G354" s="31" t="s">
        <v>152</v>
      </c>
      <c r="H354" s="31" t="s">
        <v>157</v>
      </c>
      <c r="I354" s="33">
        <v>16</v>
      </c>
      <c r="J354" s="34" t="s">
        <v>93</v>
      </c>
      <c r="K354" s="35">
        <v>58</v>
      </c>
      <c r="L354" s="36">
        <f>+K354*I354</f>
        <v>928</v>
      </c>
      <c r="M354" s="37" t="s">
        <v>718</v>
      </c>
      <c r="N354" s="23" t="s">
        <v>925</v>
      </c>
      <c r="O354" s="23">
        <v>21</v>
      </c>
      <c r="P354" s="23" t="s">
        <v>923</v>
      </c>
      <c r="Q354" s="23">
        <v>23</v>
      </c>
      <c r="R354" s="79" t="s">
        <v>1983</v>
      </c>
      <c r="S354" s="79">
        <v>21</v>
      </c>
      <c r="T354" s="7" t="s">
        <v>1260</v>
      </c>
      <c r="U354" s="7" t="s">
        <v>1261</v>
      </c>
      <c r="V354" s="7">
        <v>1</v>
      </c>
      <c r="W354" s="7" t="s">
        <v>1236</v>
      </c>
      <c r="X354" s="17"/>
      <c r="Y354" s="17"/>
      <c r="Z354" s="17"/>
      <c r="AA354" s="17"/>
      <c r="AB354" s="8" t="s">
        <v>1055</v>
      </c>
      <c r="AC354" s="8" t="s">
        <v>726</v>
      </c>
      <c r="AD354" s="8" t="s">
        <v>726</v>
      </c>
      <c r="AE354" s="8"/>
      <c r="AF354" s="8"/>
      <c r="AG354" s="8"/>
      <c r="AH354" s="8"/>
      <c r="AI354" s="8"/>
      <c r="AJ354" s="8"/>
      <c r="AK354" s="8"/>
      <c r="AL354" s="8"/>
      <c r="AM354" s="8" t="s">
        <v>726</v>
      </c>
      <c r="AN354" s="8"/>
      <c r="AO354" s="8"/>
      <c r="AP354" s="8"/>
      <c r="AQ354" s="8"/>
      <c r="AR354" s="8"/>
      <c r="AS354" s="8"/>
      <c r="AT354" s="8"/>
      <c r="AU354" s="8"/>
      <c r="AV354" s="8"/>
      <c r="AX354" s="142">
        <v>62.48</v>
      </c>
    </row>
    <row r="355" spans="2:50" ht="22.5">
      <c r="B355" s="27">
        <v>351</v>
      </c>
      <c r="C355" s="31">
        <v>206</v>
      </c>
      <c r="D355" s="31">
        <v>128</v>
      </c>
      <c r="E355" s="32">
        <v>0.70833333333333337</v>
      </c>
      <c r="F355" s="123">
        <v>0.73263888888888884</v>
      </c>
      <c r="G355" s="31" t="s">
        <v>153</v>
      </c>
      <c r="H355" s="31" t="s">
        <v>157</v>
      </c>
      <c r="I355" s="33">
        <v>16</v>
      </c>
      <c r="J355" s="34" t="s">
        <v>93</v>
      </c>
      <c r="K355" s="35">
        <v>58</v>
      </c>
      <c r="L355" s="36">
        <f>+K355*I355</f>
        <v>928</v>
      </c>
      <c r="M355" s="37" t="s">
        <v>718</v>
      </c>
      <c r="N355" s="23" t="s">
        <v>925</v>
      </c>
      <c r="O355" s="23">
        <v>21</v>
      </c>
      <c r="P355" s="23" t="s">
        <v>923</v>
      </c>
      <c r="Q355" s="23">
        <v>23</v>
      </c>
      <c r="R355" s="79" t="s">
        <v>1983</v>
      </c>
      <c r="S355" s="79">
        <v>21</v>
      </c>
      <c r="T355" s="7">
        <v>1</v>
      </c>
      <c r="U355" s="7" t="s">
        <v>1233</v>
      </c>
      <c r="V355" s="7">
        <v>2023</v>
      </c>
      <c r="W355" s="7" t="s">
        <v>1409</v>
      </c>
      <c r="X355" s="17"/>
      <c r="Y355" s="17"/>
      <c r="Z355" s="17"/>
      <c r="AA355" s="17"/>
      <c r="AB355" s="8" t="s">
        <v>1055</v>
      </c>
      <c r="AC355" s="8" t="s">
        <v>726</v>
      </c>
      <c r="AD355" s="8" t="s">
        <v>726</v>
      </c>
      <c r="AE355" s="8"/>
      <c r="AF355" s="8"/>
      <c r="AG355" s="8"/>
      <c r="AH355" s="8"/>
      <c r="AI355" s="8"/>
      <c r="AJ355" s="8"/>
      <c r="AK355" s="8"/>
      <c r="AL355" s="8"/>
      <c r="AM355" s="8" t="s">
        <v>726</v>
      </c>
      <c r="AN355" s="8"/>
      <c r="AO355" s="8"/>
      <c r="AP355" s="8"/>
      <c r="AQ355" s="8"/>
      <c r="AR355" s="8"/>
      <c r="AS355" s="8"/>
      <c r="AT355" s="8"/>
      <c r="AU355" s="8"/>
      <c r="AV355" s="8"/>
      <c r="AX355" s="142">
        <v>62.48</v>
      </c>
    </row>
    <row r="356" spans="2:50" ht="25.5">
      <c r="B356" s="27">
        <v>352</v>
      </c>
      <c r="C356" s="31">
        <v>206</v>
      </c>
      <c r="D356" s="31">
        <v>580</v>
      </c>
      <c r="E356" s="32">
        <v>0.71180555555555547</v>
      </c>
      <c r="F356" s="32">
        <v>0.71875</v>
      </c>
      <c r="G356" s="31" t="s">
        <v>210</v>
      </c>
      <c r="H356" s="31" t="s">
        <v>155</v>
      </c>
      <c r="I356" s="33">
        <v>6</v>
      </c>
      <c r="J356" s="34" t="s">
        <v>93</v>
      </c>
      <c r="K356" s="35">
        <v>252</v>
      </c>
      <c r="L356" s="36">
        <f>+K356*I356</f>
        <v>1512</v>
      </c>
      <c r="M356" s="37" t="s">
        <v>718</v>
      </c>
      <c r="N356" s="23" t="s">
        <v>926</v>
      </c>
      <c r="O356" s="23">
        <v>24</v>
      </c>
      <c r="P356" s="23" t="s">
        <v>925</v>
      </c>
      <c r="Q356" s="23">
        <v>21</v>
      </c>
      <c r="R356" s="79" t="s">
        <v>1983</v>
      </c>
      <c r="S356" s="79">
        <v>21</v>
      </c>
      <c r="T356" s="7">
        <v>2021</v>
      </c>
      <c r="U356" s="7" t="s">
        <v>1410</v>
      </c>
      <c r="V356" s="7" t="s">
        <v>1260</v>
      </c>
      <c r="W356" s="7" t="s">
        <v>1261</v>
      </c>
      <c r="X356" s="17"/>
      <c r="Y356" s="17"/>
      <c r="Z356" s="17"/>
      <c r="AA356" s="17"/>
      <c r="AB356" s="7" t="s">
        <v>1041</v>
      </c>
      <c r="AC356" s="8" t="s">
        <v>726</v>
      </c>
      <c r="AD356" s="8" t="s">
        <v>726</v>
      </c>
      <c r="AE356" s="8" t="s">
        <v>726</v>
      </c>
      <c r="AF356" s="8"/>
      <c r="AG356" s="8" t="s">
        <v>726</v>
      </c>
      <c r="AH356" s="8" t="s">
        <v>726</v>
      </c>
      <c r="AI356" s="8" t="s">
        <v>726</v>
      </c>
      <c r="AJ356" s="8" t="s">
        <v>726</v>
      </c>
      <c r="AK356" s="8" t="s">
        <v>726</v>
      </c>
      <c r="AL356" s="8"/>
      <c r="AM356" s="8"/>
      <c r="AN356" s="8"/>
      <c r="AO356" s="8"/>
      <c r="AP356" s="8"/>
      <c r="AQ356" s="8"/>
      <c r="AR356" s="8"/>
      <c r="AS356" s="8"/>
      <c r="AT356" s="8"/>
      <c r="AU356" s="8"/>
      <c r="AV356" s="8"/>
      <c r="AX356" s="142">
        <v>12</v>
      </c>
    </row>
    <row r="357" spans="2:50" ht="25.5">
      <c r="B357" s="27">
        <v>353</v>
      </c>
      <c r="C357" s="31">
        <v>206</v>
      </c>
      <c r="D357" s="31">
        <v>372</v>
      </c>
      <c r="E357" s="32">
        <v>0.71875</v>
      </c>
      <c r="F357" s="32">
        <v>0.74652777777777779</v>
      </c>
      <c r="G357" s="31" t="s">
        <v>213</v>
      </c>
      <c r="H357" s="31" t="s">
        <v>477</v>
      </c>
      <c r="I357" s="33">
        <v>18.5</v>
      </c>
      <c r="J357" s="34" t="s">
        <v>188</v>
      </c>
      <c r="K357" s="35">
        <v>240</v>
      </c>
      <c r="L357" s="36">
        <f>+K357*I357</f>
        <v>4440</v>
      </c>
      <c r="M357" s="37" t="s">
        <v>718</v>
      </c>
      <c r="N357" s="23" t="s">
        <v>924</v>
      </c>
      <c r="O357" s="23">
        <v>37</v>
      </c>
      <c r="P357" s="23" t="s">
        <v>927</v>
      </c>
      <c r="Q357" s="23">
        <v>48</v>
      </c>
      <c r="R357" s="79" t="s">
        <v>1902</v>
      </c>
      <c r="S357" s="111">
        <v>45</v>
      </c>
      <c r="T357" s="7">
        <v>1</v>
      </c>
      <c r="U357" s="7" t="s">
        <v>1233</v>
      </c>
      <c r="V357" s="7" t="s">
        <v>1260</v>
      </c>
      <c r="W357" s="7" t="s">
        <v>1261</v>
      </c>
      <c r="X357" s="18"/>
      <c r="Y357" s="17"/>
      <c r="Z357" s="18"/>
      <c r="AA357" s="18"/>
      <c r="AB357" s="7" t="s">
        <v>1052</v>
      </c>
      <c r="AC357" s="8" t="s">
        <v>726</v>
      </c>
      <c r="AD357" s="8"/>
      <c r="AE357" s="8" t="s">
        <v>726</v>
      </c>
      <c r="AF357" s="8"/>
      <c r="AG357" s="8" t="s">
        <v>726</v>
      </c>
      <c r="AH357" s="8" t="s">
        <v>726</v>
      </c>
      <c r="AI357" s="8" t="s">
        <v>726</v>
      </c>
      <c r="AJ357" s="8" t="s">
        <v>726</v>
      </c>
      <c r="AK357" s="8" t="s">
        <v>726</v>
      </c>
      <c r="AL357" s="8" t="s">
        <v>726</v>
      </c>
      <c r="AM357" s="8"/>
      <c r="AN357" s="8"/>
      <c r="AO357" s="8"/>
      <c r="AP357" s="8"/>
      <c r="AQ357" s="8"/>
      <c r="AR357" s="8"/>
      <c r="AS357" s="8"/>
      <c r="AT357" s="8"/>
      <c r="AU357" s="8"/>
      <c r="AV357" s="8"/>
      <c r="AX357" s="142">
        <v>49.94</v>
      </c>
    </row>
    <row r="358" spans="2:50" ht="33.75">
      <c r="B358" s="27">
        <v>354</v>
      </c>
      <c r="C358" s="31">
        <v>206</v>
      </c>
      <c r="D358" s="31">
        <v>128</v>
      </c>
      <c r="E358" s="32">
        <v>0.72222222222222221</v>
      </c>
      <c r="F358" s="42">
        <v>0.75069444444444444</v>
      </c>
      <c r="G358" s="31" t="s">
        <v>444</v>
      </c>
      <c r="H358" s="31" t="s">
        <v>445</v>
      </c>
      <c r="I358" s="33">
        <v>15.5</v>
      </c>
      <c r="J358" s="34" t="s">
        <v>188</v>
      </c>
      <c r="K358" s="35">
        <v>47</v>
      </c>
      <c r="L358" s="36">
        <f>+K358*I358</f>
        <v>728.5</v>
      </c>
      <c r="M358" s="37" t="s">
        <v>718</v>
      </c>
      <c r="N358" s="23" t="s">
        <v>924</v>
      </c>
      <c r="O358" s="23">
        <v>37</v>
      </c>
      <c r="P358" s="23" t="s">
        <v>923</v>
      </c>
      <c r="Q358" s="23">
        <v>23</v>
      </c>
      <c r="R358" s="23" t="s">
        <v>926</v>
      </c>
      <c r="S358" s="24">
        <v>24</v>
      </c>
      <c r="T358" s="7">
        <v>2023</v>
      </c>
      <c r="U358" s="7" t="s">
        <v>1409</v>
      </c>
      <c r="V358" s="7">
        <v>2054</v>
      </c>
      <c r="W358" s="7" t="s">
        <v>1256</v>
      </c>
      <c r="X358" s="18"/>
      <c r="Y358" s="17"/>
      <c r="Z358" s="18"/>
      <c r="AA358" s="18"/>
      <c r="AB358" s="7" t="s">
        <v>1043</v>
      </c>
      <c r="AC358" s="8" t="s">
        <v>726</v>
      </c>
      <c r="AD358" s="8"/>
      <c r="AE358" s="8"/>
      <c r="AF358" s="8"/>
      <c r="AG358" s="8"/>
      <c r="AH358" s="8"/>
      <c r="AI358" s="8"/>
      <c r="AJ358" s="8"/>
      <c r="AK358" s="8"/>
      <c r="AL358" s="8"/>
      <c r="AM358" s="8" t="s">
        <v>726</v>
      </c>
      <c r="AN358" s="8"/>
      <c r="AO358" s="8"/>
      <c r="AP358" s="8"/>
      <c r="AQ358" s="8"/>
      <c r="AR358" s="8"/>
      <c r="AS358" s="8"/>
      <c r="AT358" s="8"/>
      <c r="AU358" s="8"/>
      <c r="AV358" s="8"/>
      <c r="AX358" s="142">
        <v>62.48</v>
      </c>
    </row>
    <row r="359" spans="2:50" ht="25.5">
      <c r="B359" s="27">
        <v>355</v>
      </c>
      <c r="C359" s="31">
        <v>206</v>
      </c>
      <c r="D359" s="43">
        <v>121</v>
      </c>
      <c r="E359" s="42">
        <v>0.74652777777777779</v>
      </c>
      <c r="F359" s="42">
        <v>0.74930555555555556</v>
      </c>
      <c r="G359" s="31" t="s">
        <v>216</v>
      </c>
      <c r="H359" s="31" t="s">
        <v>546</v>
      </c>
      <c r="I359" s="33">
        <v>2</v>
      </c>
      <c r="J359" s="34" t="s">
        <v>93</v>
      </c>
      <c r="K359" s="35">
        <v>13</v>
      </c>
      <c r="L359" s="36">
        <f>+K359*I359</f>
        <v>26</v>
      </c>
      <c r="M359" s="37" t="s">
        <v>718</v>
      </c>
      <c r="N359" s="23" t="s">
        <v>926</v>
      </c>
      <c r="O359" s="23">
        <v>24</v>
      </c>
      <c r="P359" s="79" t="s">
        <v>1983</v>
      </c>
      <c r="Q359" s="79">
        <v>21</v>
      </c>
      <c r="S359" s="23"/>
      <c r="T359" s="7">
        <v>2024</v>
      </c>
      <c r="U359" s="7" t="s">
        <v>1407</v>
      </c>
      <c r="V359" s="7" t="s">
        <v>1260</v>
      </c>
      <c r="W359" s="7" t="s">
        <v>1261</v>
      </c>
      <c r="X359" s="17"/>
      <c r="Y359" s="18"/>
      <c r="Z359" s="18"/>
      <c r="AA359" s="18"/>
      <c r="AB359" s="7" t="s">
        <v>1044</v>
      </c>
      <c r="AC359" s="8"/>
      <c r="AD359" s="8" t="s">
        <v>726</v>
      </c>
      <c r="AE359" s="8"/>
      <c r="AF359" s="8"/>
      <c r="AG359" s="8"/>
      <c r="AH359" s="8"/>
      <c r="AI359" s="8"/>
      <c r="AJ359" s="8"/>
      <c r="AK359" s="8"/>
      <c r="AL359" s="8"/>
      <c r="AM359" s="8" t="s">
        <v>726</v>
      </c>
      <c r="AN359" s="8"/>
      <c r="AO359" s="8"/>
      <c r="AP359" s="8"/>
      <c r="AQ359" s="8"/>
      <c r="AR359" s="8"/>
      <c r="AS359" s="8"/>
      <c r="AT359" s="8"/>
      <c r="AU359" s="8"/>
      <c r="AV359" s="8"/>
      <c r="AX359" s="142">
        <v>4</v>
      </c>
    </row>
    <row r="360" spans="2:50" ht="25.5">
      <c r="B360" s="27">
        <v>356</v>
      </c>
      <c r="C360" s="31">
        <v>206</v>
      </c>
      <c r="D360" s="43">
        <v>121</v>
      </c>
      <c r="E360" s="42">
        <v>0.74930555555555556</v>
      </c>
      <c r="F360" s="42">
        <v>0.77361111111111114</v>
      </c>
      <c r="G360" s="31" t="s">
        <v>214</v>
      </c>
      <c r="H360" s="31" t="s">
        <v>546</v>
      </c>
      <c r="I360" s="33">
        <v>16</v>
      </c>
      <c r="J360" s="34" t="s">
        <v>188</v>
      </c>
      <c r="K360" s="35">
        <v>13</v>
      </c>
      <c r="L360" s="36">
        <f>+K360*I360</f>
        <v>208</v>
      </c>
      <c r="M360" s="37" t="s">
        <v>718</v>
      </c>
      <c r="N360" s="23" t="s">
        <v>926</v>
      </c>
      <c r="O360" s="23">
        <v>24</v>
      </c>
      <c r="P360" s="79" t="s">
        <v>1983</v>
      </c>
      <c r="Q360" s="79">
        <v>21</v>
      </c>
      <c r="S360" s="23"/>
      <c r="T360" s="7" t="s">
        <v>1260</v>
      </c>
      <c r="U360" s="7" t="s">
        <v>1261</v>
      </c>
      <c r="V360" s="7">
        <v>1</v>
      </c>
      <c r="W360" s="7" t="s">
        <v>1236</v>
      </c>
      <c r="X360" s="17"/>
      <c r="Y360" s="18"/>
      <c r="Z360" s="18"/>
      <c r="AA360" s="18"/>
      <c r="AB360" s="7" t="s">
        <v>1044</v>
      </c>
      <c r="AC360" s="8"/>
      <c r="AD360" s="8" t="s">
        <v>726</v>
      </c>
      <c r="AE360" s="8"/>
      <c r="AF360" s="8"/>
      <c r="AG360" s="8"/>
      <c r="AH360" s="8"/>
      <c r="AI360" s="8"/>
      <c r="AJ360" s="8"/>
      <c r="AK360" s="8"/>
      <c r="AL360" s="8"/>
      <c r="AM360" s="8" t="s">
        <v>726</v>
      </c>
      <c r="AN360" s="8"/>
      <c r="AO360" s="8"/>
      <c r="AP360" s="8"/>
      <c r="AQ360" s="8"/>
      <c r="AR360" s="8"/>
      <c r="AS360" s="8"/>
      <c r="AT360" s="8"/>
      <c r="AU360" s="8"/>
      <c r="AV360" s="8"/>
      <c r="AX360" s="142">
        <v>62.48</v>
      </c>
    </row>
    <row r="361" spans="2:50" ht="25.5">
      <c r="B361" s="27">
        <v>357</v>
      </c>
      <c r="C361" s="31">
        <v>206</v>
      </c>
      <c r="D361" s="31">
        <v>121</v>
      </c>
      <c r="E361" s="32">
        <v>0.74652777777777779</v>
      </c>
      <c r="F361" s="32">
        <v>0.77083333333333337</v>
      </c>
      <c r="G361" s="31" t="s">
        <v>215</v>
      </c>
      <c r="H361" s="31" t="s">
        <v>477</v>
      </c>
      <c r="I361" s="33">
        <v>16</v>
      </c>
      <c r="J361" s="34" t="s">
        <v>99</v>
      </c>
      <c r="K361" s="35">
        <v>240</v>
      </c>
      <c r="L361" s="36">
        <f>+K361*I361</f>
        <v>3840</v>
      </c>
      <c r="M361" s="37" t="s">
        <v>718</v>
      </c>
      <c r="N361" s="23" t="s">
        <v>923</v>
      </c>
      <c r="O361" s="23">
        <v>23</v>
      </c>
      <c r="P361" s="79" t="s">
        <v>1983</v>
      </c>
      <c r="Q361" s="79">
        <v>21</v>
      </c>
      <c r="R361" s="23" t="s">
        <v>925</v>
      </c>
      <c r="S361" s="24">
        <v>21</v>
      </c>
      <c r="T361" s="7" t="s">
        <v>1260</v>
      </c>
      <c r="U361" s="7" t="s">
        <v>1261</v>
      </c>
      <c r="V361" s="7">
        <v>1</v>
      </c>
      <c r="W361" s="7" t="s">
        <v>1236</v>
      </c>
      <c r="X361" s="18"/>
      <c r="Y361" s="17"/>
      <c r="Z361" s="18"/>
      <c r="AA361" s="18"/>
      <c r="AB361" s="7" t="s">
        <v>1052</v>
      </c>
      <c r="AC361" s="8" t="s">
        <v>726</v>
      </c>
      <c r="AD361" s="8"/>
      <c r="AE361" s="8" t="s">
        <v>726</v>
      </c>
      <c r="AF361" s="8"/>
      <c r="AG361" s="8" t="s">
        <v>726</v>
      </c>
      <c r="AH361" s="8" t="s">
        <v>726</v>
      </c>
      <c r="AI361" s="8" t="s">
        <v>726</v>
      </c>
      <c r="AJ361" s="8" t="s">
        <v>726</v>
      </c>
      <c r="AK361" s="8" t="s">
        <v>726</v>
      </c>
      <c r="AL361" s="8" t="s">
        <v>726</v>
      </c>
      <c r="AM361" s="8"/>
      <c r="AN361" s="8"/>
      <c r="AO361" s="8"/>
      <c r="AP361" s="8"/>
      <c r="AQ361" s="8"/>
      <c r="AR361" s="8"/>
      <c r="AS361" s="8"/>
      <c r="AT361" s="8"/>
      <c r="AU361" s="8"/>
      <c r="AV361" s="8"/>
      <c r="AX361" s="142">
        <v>43.11</v>
      </c>
    </row>
    <row r="362" spans="2:50" ht="33.75">
      <c r="B362" s="27">
        <v>358</v>
      </c>
      <c r="C362" s="31">
        <v>206</v>
      </c>
      <c r="D362" s="31">
        <v>130</v>
      </c>
      <c r="E362" s="32">
        <v>0.76041666666666663</v>
      </c>
      <c r="F362" s="32">
        <v>0.78472222222222221</v>
      </c>
      <c r="G362" s="31" t="s">
        <v>153</v>
      </c>
      <c r="H362" s="31" t="s">
        <v>424</v>
      </c>
      <c r="I362" s="33">
        <v>15</v>
      </c>
      <c r="J362" s="34" t="s">
        <v>93</v>
      </c>
      <c r="K362" s="35">
        <v>55</v>
      </c>
      <c r="L362" s="36">
        <f>+K362*I362</f>
        <v>825</v>
      </c>
      <c r="M362" s="37" t="s">
        <v>1915</v>
      </c>
      <c r="N362" s="112" t="s">
        <v>1914</v>
      </c>
      <c r="O362" s="112">
        <v>23</v>
      </c>
      <c r="P362" s="79" t="s">
        <v>2097</v>
      </c>
      <c r="Q362" s="79">
        <v>19</v>
      </c>
      <c r="R362" s="23" t="s">
        <v>2095</v>
      </c>
      <c r="S362" s="23">
        <v>23</v>
      </c>
      <c r="T362" s="7">
        <v>1</v>
      </c>
      <c r="U362" s="7" t="s">
        <v>1233</v>
      </c>
      <c r="V362" s="7" t="s">
        <v>1260</v>
      </c>
      <c r="W362" s="7" t="s">
        <v>1261</v>
      </c>
      <c r="X362" s="17"/>
      <c r="Y362" s="18"/>
      <c r="Z362" s="18"/>
      <c r="AA362" s="18"/>
      <c r="AB362" s="7" t="s">
        <v>1049</v>
      </c>
      <c r="AC362" s="8"/>
      <c r="AD362" s="8" t="s">
        <v>726</v>
      </c>
      <c r="AE362" s="8" t="s">
        <v>726</v>
      </c>
      <c r="AF362" s="8"/>
      <c r="AG362" s="8" t="s">
        <v>726</v>
      </c>
      <c r="AH362" s="8" t="s">
        <v>726</v>
      </c>
      <c r="AI362" s="8" t="s">
        <v>726</v>
      </c>
      <c r="AJ362" s="8" t="s">
        <v>726</v>
      </c>
      <c r="AK362" s="8" t="s">
        <v>726</v>
      </c>
      <c r="AL362" s="8"/>
      <c r="AM362" s="8"/>
      <c r="AN362" s="8"/>
      <c r="AO362" s="8"/>
      <c r="AP362" s="8"/>
      <c r="AQ362" s="8"/>
      <c r="AR362" s="8"/>
      <c r="AS362" s="8"/>
      <c r="AT362" s="8"/>
      <c r="AU362" s="8"/>
      <c r="AV362" s="8"/>
      <c r="AX362" s="142">
        <v>37.5</v>
      </c>
    </row>
    <row r="363" spans="2:50" ht="33.75">
      <c r="B363" s="27">
        <v>359</v>
      </c>
      <c r="C363" s="31">
        <v>206</v>
      </c>
      <c r="D363" s="31">
        <v>130</v>
      </c>
      <c r="E363" s="32">
        <v>0.76041666666666663</v>
      </c>
      <c r="F363" s="32">
        <v>0.78472222222222221</v>
      </c>
      <c r="G363" s="31" t="s">
        <v>163</v>
      </c>
      <c r="H363" s="31" t="s">
        <v>103</v>
      </c>
      <c r="I363" s="33">
        <v>16</v>
      </c>
      <c r="J363" s="34" t="s">
        <v>93</v>
      </c>
      <c r="K363" s="35">
        <v>174</v>
      </c>
      <c r="L363" s="36">
        <f>+K363*I363</f>
        <v>2784</v>
      </c>
      <c r="M363" s="37" t="s">
        <v>1915</v>
      </c>
      <c r="N363" s="112" t="s">
        <v>1914</v>
      </c>
      <c r="O363" s="112">
        <v>23</v>
      </c>
      <c r="P363" s="79" t="s">
        <v>2097</v>
      </c>
      <c r="Q363" s="79">
        <v>19</v>
      </c>
      <c r="R363" s="23" t="s">
        <v>2095</v>
      </c>
      <c r="S363" s="23">
        <v>23</v>
      </c>
      <c r="T363" s="7">
        <v>1</v>
      </c>
      <c r="U363" s="7" t="s">
        <v>1233</v>
      </c>
      <c r="V363" s="7" t="s">
        <v>1260</v>
      </c>
      <c r="W363" s="7" t="s">
        <v>1261</v>
      </c>
      <c r="X363" s="18"/>
      <c r="Y363" s="17"/>
      <c r="Z363" s="17"/>
      <c r="AA363" s="17"/>
      <c r="AB363" s="7" t="s">
        <v>1042</v>
      </c>
      <c r="AC363" s="8"/>
      <c r="AD363" s="8"/>
      <c r="AE363" s="8"/>
      <c r="AF363" s="8" t="s">
        <v>726</v>
      </c>
      <c r="AG363" s="8" t="s">
        <v>726</v>
      </c>
      <c r="AH363" s="8" t="s">
        <v>726</v>
      </c>
      <c r="AI363" s="8" t="s">
        <v>726</v>
      </c>
      <c r="AJ363" s="8" t="s">
        <v>726</v>
      </c>
      <c r="AK363" s="8" t="s">
        <v>726</v>
      </c>
      <c r="AL363" s="8"/>
      <c r="AM363" s="8"/>
      <c r="AN363" s="8"/>
      <c r="AO363" s="8"/>
      <c r="AP363" s="8"/>
      <c r="AQ363" s="8"/>
      <c r="AR363" s="8"/>
      <c r="AS363" s="8"/>
      <c r="AT363" s="8"/>
      <c r="AU363" s="8"/>
      <c r="AV363" s="8"/>
      <c r="AX363" s="142">
        <v>39.46</v>
      </c>
    </row>
    <row r="364" spans="2:50" ht="25.5">
      <c r="B364" s="27">
        <v>360</v>
      </c>
      <c r="C364" s="31">
        <v>206</v>
      </c>
      <c r="D364" s="31">
        <v>132</v>
      </c>
      <c r="E364" s="32">
        <v>0.77430555555555547</v>
      </c>
      <c r="F364" s="32">
        <v>0.80208333333333337</v>
      </c>
      <c r="G364" s="31" t="s">
        <v>684</v>
      </c>
      <c r="H364" s="31" t="s">
        <v>18</v>
      </c>
      <c r="I364" s="33">
        <v>16</v>
      </c>
      <c r="J364" s="34" t="s">
        <v>99</v>
      </c>
      <c r="K364" s="35">
        <v>304</v>
      </c>
      <c r="L364" s="36">
        <f>+K364*I364</f>
        <v>4864</v>
      </c>
      <c r="M364" s="37" t="s">
        <v>718</v>
      </c>
      <c r="N364" s="23" t="s">
        <v>923</v>
      </c>
      <c r="O364" s="23">
        <v>23</v>
      </c>
      <c r="P364" s="79" t="s">
        <v>1983</v>
      </c>
      <c r="Q364" s="79">
        <v>21</v>
      </c>
      <c r="R364" s="23" t="s">
        <v>927</v>
      </c>
      <c r="S364" s="24">
        <v>48</v>
      </c>
      <c r="T364" s="7">
        <v>1</v>
      </c>
      <c r="U364" s="7" t="s">
        <v>1233</v>
      </c>
      <c r="V364" s="7" t="s">
        <v>1260</v>
      </c>
      <c r="W364" s="7" t="s">
        <v>1261</v>
      </c>
      <c r="X364" s="17"/>
      <c r="Y364" s="17"/>
      <c r="Z364" s="17"/>
      <c r="AA364" s="17"/>
      <c r="AB364" s="8" t="s">
        <v>1053</v>
      </c>
      <c r="AC364" s="8" t="s">
        <v>726</v>
      </c>
      <c r="AD364" s="8" t="s">
        <v>726</v>
      </c>
      <c r="AE364" s="8" t="s">
        <v>726</v>
      </c>
      <c r="AF364" s="8"/>
      <c r="AG364" s="8" t="s">
        <v>726</v>
      </c>
      <c r="AH364" s="8" t="s">
        <v>726</v>
      </c>
      <c r="AI364" s="8" t="s">
        <v>726</v>
      </c>
      <c r="AJ364" s="8" t="s">
        <v>726</v>
      </c>
      <c r="AK364" s="8" t="s">
        <v>726</v>
      </c>
      <c r="AL364" s="8" t="s">
        <v>726</v>
      </c>
      <c r="AM364" s="8"/>
      <c r="AN364" s="8"/>
      <c r="AO364" s="8"/>
      <c r="AP364" s="8"/>
      <c r="AQ364" s="8"/>
      <c r="AR364" s="8"/>
      <c r="AS364" s="8"/>
      <c r="AT364" s="8"/>
      <c r="AU364" s="8"/>
      <c r="AV364" s="8"/>
      <c r="AX364" s="142">
        <v>47.34</v>
      </c>
    </row>
    <row r="365" spans="2:50" ht="33.75">
      <c r="B365" s="27">
        <v>361</v>
      </c>
      <c r="C365" s="31">
        <v>206</v>
      </c>
      <c r="D365" s="31">
        <v>123</v>
      </c>
      <c r="E365" s="32">
        <v>0.78472222222222221</v>
      </c>
      <c r="F365" s="32">
        <v>0.80902777777777779</v>
      </c>
      <c r="G365" s="43" t="s">
        <v>980</v>
      </c>
      <c r="H365" s="31" t="s">
        <v>103</v>
      </c>
      <c r="I365" s="33">
        <v>16</v>
      </c>
      <c r="J365" s="34" t="s">
        <v>93</v>
      </c>
      <c r="K365" s="35">
        <v>174</v>
      </c>
      <c r="L365" s="36">
        <f>+K365*I365</f>
        <v>2784</v>
      </c>
      <c r="M365" s="37" t="s">
        <v>1915</v>
      </c>
      <c r="N365" s="112" t="s">
        <v>1914</v>
      </c>
      <c r="O365" s="112">
        <v>23</v>
      </c>
      <c r="P365" s="79" t="s">
        <v>2097</v>
      </c>
      <c r="Q365" s="79">
        <v>19</v>
      </c>
      <c r="R365" s="23" t="s">
        <v>2095</v>
      </c>
      <c r="S365" s="23">
        <v>23</v>
      </c>
      <c r="T365" s="7" t="s">
        <v>1260</v>
      </c>
      <c r="U365" s="7" t="s">
        <v>1261</v>
      </c>
      <c r="V365" s="7">
        <v>1</v>
      </c>
      <c r="W365" s="7" t="s">
        <v>1236</v>
      </c>
      <c r="X365" s="18"/>
      <c r="Y365" s="17"/>
      <c r="Z365" s="17"/>
      <c r="AA365" s="17"/>
      <c r="AB365" s="7" t="s">
        <v>1042</v>
      </c>
      <c r="AC365" s="8"/>
      <c r="AD365" s="8"/>
      <c r="AE365" s="8"/>
      <c r="AF365" s="8" t="s">
        <v>726</v>
      </c>
      <c r="AG365" s="8" t="s">
        <v>726</v>
      </c>
      <c r="AH365" s="8" t="s">
        <v>726</v>
      </c>
      <c r="AI365" s="8" t="s">
        <v>726</v>
      </c>
      <c r="AJ365" s="8" t="s">
        <v>726</v>
      </c>
      <c r="AK365" s="8" t="s">
        <v>726</v>
      </c>
      <c r="AL365" s="8"/>
      <c r="AM365" s="8"/>
      <c r="AN365" s="8"/>
      <c r="AO365" s="8"/>
      <c r="AP365" s="8"/>
      <c r="AQ365" s="8"/>
      <c r="AR365" s="8"/>
      <c r="AS365" s="8"/>
      <c r="AT365" s="8"/>
      <c r="AU365" s="8"/>
      <c r="AV365" s="8"/>
      <c r="AX365" s="142">
        <v>39.46</v>
      </c>
    </row>
    <row r="366" spans="2:50" ht="33.75">
      <c r="B366" s="27">
        <v>362</v>
      </c>
      <c r="C366" s="31">
        <v>206</v>
      </c>
      <c r="D366" s="31">
        <v>123</v>
      </c>
      <c r="E366" s="32">
        <v>0.78472222222222221</v>
      </c>
      <c r="F366" s="32">
        <v>0.80902777777777779</v>
      </c>
      <c r="G366" s="31" t="s">
        <v>152</v>
      </c>
      <c r="H366" s="31" t="s">
        <v>424</v>
      </c>
      <c r="I366" s="33">
        <v>15</v>
      </c>
      <c r="J366" s="34" t="s">
        <v>93</v>
      </c>
      <c r="K366" s="35">
        <v>55</v>
      </c>
      <c r="L366" s="36">
        <f>+K366*I366</f>
        <v>825</v>
      </c>
      <c r="M366" s="37" t="s">
        <v>1915</v>
      </c>
      <c r="N366" s="112" t="s">
        <v>1914</v>
      </c>
      <c r="O366" s="112">
        <v>23</v>
      </c>
      <c r="P366" s="79" t="s">
        <v>2097</v>
      </c>
      <c r="Q366" s="79">
        <v>19</v>
      </c>
      <c r="R366" s="23" t="s">
        <v>2095</v>
      </c>
      <c r="S366" s="23">
        <v>23</v>
      </c>
      <c r="T366" s="7" t="s">
        <v>1260</v>
      </c>
      <c r="U366" s="7" t="s">
        <v>1261</v>
      </c>
      <c r="V366" s="7">
        <v>1</v>
      </c>
      <c r="W366" s="7" t="s">
        <v>1236</v>
      </c>
      <c r="X366" s="17"/>
      <c r="Y366" s="18"/>
      <c r="Z366" s="18"/>
      <c r="AA366" s="18"/>
      <c r="AB366" s="7" t="s">
        <v>1049</v>
      </c>
      <c r="AC366" s="8"/>
      <c r="AD366" s="8" t="s">
        <v>726</v>
      </c>
      <c r="AE366" s="8" t="s">
        <v>726</v>
      </c>
      <c r="AF366" s="8"/>
      <c r="AG366" s="8" t="s">
        <v>726</v>
      </c>
      <c r="AH366" s="8" t="s">
        <v>726</v>
      </c>
      <c r="AI366" s="8" t="s">
        <v>726</v>
      </c>
      <c r="AJ366" s="8" t="s">
        <v>726</v>
      </c>
      <c r="AK366" s="8" t="s">
        <v>726</v>
      </c>
      <c r="AL366" s="8"/>
      <c r="AM366" s="8"/>
      <c r="AN366" s="8"/>
      <c r="AO366" s="8"/>
      <c r="AP366" s="8"/>
      <c r="AQ366" s="8"/>
      <c r="AR366" s="8"/>
      <c r="AS366" s="8"/>
      <c r="AT366" s="8"/>
      <c r="AU366" s="8"/>
      <c r="AV366" s="8"/>
      <c r="AX366" s="142">
        <v>37.5</v>
      </c>
    </row>
    <row r="367" spans="2:50" ht="33.75">
      <c r="B367" s="27">
        <v>363</v>
      </c>
      <c r="C367" s="31">
        <v>206</v>
      </c>
      <c r="D367" s="31">
        <v>134</v>
      </c>
      <c r="E367" s="32">
        <v>0.8125</v>
      </c>
      <c r="F367" s="32">
        <v>0.83680555555555547</v>
      </c>
      <c r="G367" s="31" t="s">
        <v>163</v>
      </c>
      <c r="H367" s="31" t="s">
        <v>103</v>
      </c>
      <c r="I367" s="33">
        <v>16</v>
      </c>
      <c r="J367" s="34" t="s">
        <v>93</v>
      </c>
      <c r="K367" s="35">
        <v>174</v>
      </c>
      <c r="L367" s="36">
        <f>+K367*I367</f>
        <v>2784</v>
      </c>
      <c r="M367" s="37" t="s">
        <v>1915</v>
      </c>
      <c r="N367" s="112" t="s">
        <v>1914</v>
      </c>
      <c r="O367" s="112">
        <v>23</v>
      </c>
      <c r="P367" s="79" t="s">
        <v>2097</v>
      </c>
      <c r="Q367" s="79">
        <v>19</v>
      </c>
      <c r="R367" s="23" t="s">
        <v>2095</v>
      </c>
      <c r="S367" s="23">
        <v>23</v>
      </c>
      <c r="T367" s="7">
        <v>1</v>
      </c>
      <c r="U367" s="7" t="s">
        <v>1233</v>
      </c>
      <c r="V367" s="7" t="s">
        <v>1260</v>
      </c>
      <c r="W367" s="7" t="s">
        <v>1261</v>
      </c>
      <c r="X367" s="18"/>
      <c r="Y367" s="17"/>
      <c r="Z367" s="17"/>
      <c r="AA367" s="17"/>
      <c r="AB367" s="7" t="s">
        <v>1042</v>
      </c>
      <c r="AC367" s="8"/>
      <c r="AD367" s="8"/>
      <c r="AE367" s="8"/>
      <c r="AF367" s="8" t="s">
        <v>726</v>
      </c>
      <c r="AG367" s="8" t="s">
        <v>726</v>
      </c>
      <c r="AH367" s="8" t="s">
        <v>726</v>
      </c>
      <c r="AI367" s="8" t="s">
        <v>726</v>
      </c>
      <c r="AJ367" s="8" t="s">
        <v>726</v>
      </c>
      <c r="AK367" s="8" t="s">
        <v>726</v>
      </c>
      <c r="AL367" s="8"/>
      <c r="AM367" s="8"/>
      <c r="AN367" s="8"/>
      <c r="AO367" s="8"/>
      <c r="AP367" s="8"/>
      <c r="AQ367" s="8"/>
      <c r="AR367" s="8"/>
      <c r="AS367" s="8"/>
      <c r="AT367" s="8"/>
      <c r="AU367" s="8"/>
      <c r="AV367" s="8"/>
      <c r="AX367" s="142">
        <v>39.46</v>
      </c>
    </row>
    <row r="368" spans="2:50" ht="33.75">
      <c r="B368" s="27">
        <v>364</v>
      </c>
      <c r="C368" s="31">
        <v>206</v>
      </c>
      <c r="D368" s="31">
        <v>134</v>
      </c>
      <c r="E368" s="32">
        <v>0.8125</v>
      </c>
      <c r="F368" s="32">
        <v>0.83680555555555547</v>
      </c>
      <c r="G368" s="31" t="s">
        <v>163</v>
      </c>
      <c r="H368" s="31" t="s">
        <v>161</v>
      </c>
      <c r="I368" s="33">
        <v>16</v>
      </c>
      <c r="J368" s="34" t="s">
        <v>93</v>
      </c>
      <c r="K368" s="35">
        <v>38</v>
      </c>
      <c r="L368" s="36">
        <f>+K368*I368</f>
        <v>608</v>
      </c>
      <c r="M368" s="37" t="s">
        <v>1915</v>
      </c>
      <c r="N368" s="112" t="s">
        <v>1914</v>
      </c>
      <c r="O368" s="112">
        <v>23</v>
      </c>
      <c r="P368" s="79" t="s">
        <v>2097</v>
      </c>
      <c r="Q368" s="79">
        <v>19</v>
      </c>
      <c r="R368" s="23" t="s">
        <v>2095</v>
      </c>
      <c r="S368" s="23">
        <v>23</v>
      </c>
      <c r="T368" s="7">
        <v>1</v>
      </c>
      <c r="U368" s="7" t="s">
        <v>1233</v>
      </c>
      <c r="V368" s="7" t="s">
        <v>1260</v>
      </c>
      <c r="W368" s="7" t="s">
        <v>1261</v>
      </c>
      <c r="X368" s="18"/>
      <c r="Y368" s="17"/>
      <c r="Z368" s="18"/>
      <c r="AA368" s="18"/>
      <c r="AB368" s="7" t="s">
        <v>1065</v>
      </c>
      <c r="AC368" s="8" t="s">
        <v>726</v>
      </c>
      <c r="AD368" s="8"/>
      <c r="AE368" s="8" t="s">
        <v>726</v>
      </c>
      <c r="AF368" s="8"/>
      <c r="AG368" s="8"/>
      <c r="AH368" s="8"/>
      <c r="AI368" s="8"/>
      <c r="AJ368" s="8"/>
      <c r="AK368" s="8"/>
      <c r="AL368" s="8" t="s">
        <v>726</v>
      </c>
      <c r="AM368" s="8"/>
      <c r="AN368" s="8"/>
      <c r="AO368" s="8"/>
      <c r="AP368" s="8"/>
      <c r="AQ368" s="8"/>
      <c r="AR368" s="8"/>
      <c r="AS368" s="8"/>
      <c r="AT368" s="8"/>
      <c r="AU368" s="8"/>
      <c r="AV368" s="8"/>
      <c r="AX368" s="142">
        <v>75.33</v>
      </c>
    </row>
    <row r="369" spans="1:50" ht="25.5">
      <c r="B369" s="27">
        <v>365</v>
      </c>
      <c r="C369" s="31">
        <v>208</v>
      </c>
      <c r="D369" s="34">
        <v>551</v>
      </c>
      <c r="E369" s="42">
        <v>0.25694444444444448</v>
      </c>
      <c r="F369" s="42">
        <v>0.27291666666666664</v>
      </c>
      <c r="G369" s="31" t="s">
        <v>281</v>
      </c>
      <c r="H369" s="31" t="s">
        <v>103</v>
      </c>
      <c r="I369" s="33">
        <v>11.5</v>
      </c>
      <c r="J369" s="34" t="s">
        <v>269</v>
      </c>
      <c r="K369" s="35">
        <v>174</v>
      </c>
      <c r="L369" s="36">
        <f>+K369*I369</f>
        <v>2001</v>
      </c>
      <c r="M369" s="37" t="s">
        <v>735</v>
      </c>
      <c r="N369" s="23" t="s">
        <v>962</v>
      </c>
      <c r="O369" s="23">
        <v>25</v>
      </c>
      <c r="P369" s="23" t="s">
        <v>792</v>
      </c>
      <c r="Q369" s="23">
        <v>29</v>
      </c>
      <c r="R369" s="23" t="s">
        <v>1166</v>
      </c>
      <c r="S369" s="23">
        <v>37</v>
      </c>
      <c r="T369" s="7" t="s">
        <v>1411</v>
      </c>
      <c r="U369" s="7" t="s">
        <v>1412</v>
      </c>
      <c r="V369" s="7">
        <v>2180</v>
      </c>
      <c r="W369" s="7" t="s">
        <v>1380</v>
      </c>
      <c r="X369" s="18"/>
      <c r="Y369" s="17"/>
      <c r="Z369" s="17"/>
      <c r="AA369" s="17"/>
      <c r="AB369" s="7" t="s">
        <v>1042</v>
      </c>
      <c r="AC369" s="8"/>
      <c r="AD369" s="8"/>
      <c r="AE369" s="8"/>
      <c r="AF369" s="8" t="s">
        <v>726</v>
      </c>
      <c r="AG369" s="8" t="s">
        <v>726</v>
      </c>
      <c r="AH369" s="8" t="s">
        <v>726</v>
      </c>
      <c r="AI369" s="8" t="s">
        <v>726</v>
      </c>
      <c r="AJ369" s="8" t="s">
        <v>726</v>
      </c>
      <c r="AK369" s="8" t="s">
        <v>726</v>
      </c>
      <c r="AL369" s="8"/>
      <c r="AM369" s="8"/>
      <c r="AN369" s="8"/>
      <c r="AO369" s="8"/>
      <c r="AP369" s="8"/>
      <c r="AQ369" s="8"/>
      <c r="AR369" s="8"/>
      <c r="AS369" s="8"/>
      <c r="AT369" s="8"/>
      <c r="AU369" s="8"/>
      <c r="AV369" s="8"/>
      <c r="AX369" s="142">
        <v>28.75</v>
      </c>
    </row>
    <row r="370" spans="1:50" ht="25.5">
      <c r="A370" s="45" t="s">
        <v>1104</v>
      </c>
      <c r="B370" s="27">
        <v>366</v>
      </c>
      <c r="C370" s="31">
        <v>208</v>
      </c>
      <c r="D370" s="31">
        <v>444</v>
      </c>
      <c r="E370" s="32">
        <v>0.2673611111111111</v>
      </c>
      <c r="F370" s="32">
        <v>0.27777777777777779</v>
      </c>
      <c r="G370" s="31" t="s">
        <v>201</v>
      </c>
      <c r="H370" s="43" t="s">
        <v>103</v>
      </c>
      <c r="I370" s="33">
        <v>10.5</v>
      </c>
      <c r="J370" s="34" t="s">
        <v>116</v>
      </c>
      <c r="K370" s="35">
        <v>174</v>
      </c>
      <c r="L370" s="36">
        <f>+K370*I370</f>
        <v>1827</v>
      </c>
      <c r="M370" s="37" t="s">
        <v>740</v>
      </c>
      <c r="N370" s="23" t="s">
        <v>931</v>
      </c>
      <c r="O370" s="23">
        <v>9</v>
      </c>
      <c r="P370" s="23" t="s">
        <v>932</v>
      </c>
      <c r="Q370" s="23">
        <v>9</v>
      </c>
      <c r="S370" s="23"/>
      <c r="T370" s="7">
        <v>2219</v>
      </c>
      <c r="U370" s="7" t="s">
        <v>1413</v>
      </c>
      <c r="V370" s="7">
        <v>956</v>
      </c>
      <c r="W370" s="7" t="s">
        <v>1414</v>
      </c>
      <c r="X370" s="18"/>
      <c r="Y370" s="17"/>
      <c r="Z370" s="17"/>
      <c r="AA370" s="17"/>
      <c r="AB370" s="7" t="s">
        <v>1042</v>
      </c>
      <c r="AC370" s="8"/>
      <c r="AD370" s="8"/>
      <c r="AE370" s="8"/>
      <c r="AF370" s="8" t="s">
        <v>726</v>
      </c>
      <c r="AG370" s="8" t="s">
        <v>726</v>
      </c>
      <c r="AH370" s="8" t="s">
        <v>726</v>
      </c>
      <c r="AI370" s="8" t="s">
        <v>726</v>
      </c>
      <c r="AJ370" s="8" t="s">
        <v>726</v>
      </c>
      <c r="AK370" s="8" t="s">
        <v>726</v>
      </c>
      <c r="AL370" s="8"/>
      <c r="AM370" s="8"/>
      <c r="AN370" s="8"/>
      <c r="AO370" s="8"/>
      <c r="AP370" s="8"/>
      <c r="AQ370" s="8"/>
      <c r="AR370" s="8"/>
      <c r="AS370" s="8"/>
      <c r="AT370" s="8"/>
      <c r="AU370" s="8"/>
      <c r="AV370" s="8"/>
      <c r="AX370" s="142">
        <v>49.61</v>
      </c>
    </row>
    <row r="371" spans="1:50" ht="25.5">
      <c r="B371" s="27">
        <v>367</v>
      </c>
      <c r="C371" s="31">
        <v>208</v>
      </c>
      <c r="D371" s="31">
        <v>449</v>
      </c>
      <c r="E371" s="32">
        <v>0.28472222222222221</v>
      </c>
      <c r="F371" s="32">
        <v>0.2986111111111111</v>
      </c>
      <c r="G371" s="31" t="s">
        <v>198</v>
      </c>
      <c r="H371" s="31" t="s">
        <v>685</v>
      </c>
      <c r="I371" s="33">
        <v>4.3</v>
      </c>
      <c r="J371" s="34" t="s">
        <v>116</v>
      </c>
      <c r="K371" s="35">
        <f>67+29</f>
        <v>96</v>
      </c>
      <c r="L371" s="36">
        <f>+K371*I371</f>
        <v>412.79999999999995</v>
      </c>
      <c r="M371" s="37" t="s">
        <v>740</v>
      </c>
      <c r="N371" s="23" t="s">
        <v>931</v>
      </c>
      <c r="O371" s="23">
        <v>9</v>
      </c>
      <c r="P371" s="23" t="s">
        <v>932</v>
      </c>
      <c r="Q371" s="23">
        <v>9</v>
      </c>
      <c r="R371" s="23" t="s">
        <v>1167</v>
      </c>
      <c r="S371" s="24">
        <v>24</v>
      </c>
      <c r="T371" s="7" t="s">
        <v>1415</v>
      </c>
      <c r="U371" s="7" t="s">
        <v>1416</v>
      </c>
      <c r="V371" s="7">
        <v>2217</v>
      </c>
      <c r="W371" s="7" t="s">
        <v>1417</v>
      </c>
      <c r="X371" s="17"/>
      <c r="Y371" s="18"/>
      <c r="Z371" s="18"/>
      <c r="AA371" s="18"/>
      <c r="AB371" s="7" t="s">
        <v>1068</v>
      </c>
      <c r="AC371" s="8"/>
      <c r="AD371" s="8" t="s">
        <v>726</v>
      </c>
      <c r="AE371" s="8" t="s">
        <v>726</v>
      </c>
      <c r="AF371" s="8"/>
      <c r="AG371" s="8" t="s">
        <v>726</v>
      </c>
      <c r="AH371" s="8" t="s">
        <v>726</v>
      </c>
      <c r="AI371" s="8" t="s">
        <v>726</v>
      </c>
      <c r="AJ371" s="8" t="s">
        <v>726</v>
      </c>
      <c r="AK371" s="8" t="s">
        <v>726</v>
      </c>
      <c r="AL371" s="8" t="s">
        <v>726</v>
      </c>
      <c r="AM371" s="8"/>
      <c r="AN371" s="8"/>
      <c r="AO371" s="8"/>
      <c r="AP371" s="8"/>
      <c r="AQ371" s="8" t="s">
        <v>726</v>
      </c>
      <c r="AR371" s="8" t="s">
        <v>726</v>
      </c>
      <c r="AS371" s="8" t="s">
        <v>726</v>
      </c>
      <c r="AT371" s="8" t="s">
        <v>726</v>
      </c>
      <c r="AU371" s="8" t="s">
        <v>726</v>
      </c>
      <c r="AV371" s="8" t="s">
        <v>726</v>
      </c>
      <c r="AX371" s="142">
        <v>20</v>
      </c>
    </row>
    <row r="372" spans="1:50" ht="25.5">
      <c r="B372" s="27">
        <v>368</v>
      </c>
      <c r="C372" s="31">
        <v>208</v>
      </c>
      <c r="D372" s="31">
        <v>449</v>
      </c>
      <c r="E372" s="32">
        <v>0.28819444444444448</v>
      </c>
      <c r="F372" s="32">
        <v>0.30555555555555552</v>
      </c>
      <c r="G372" s="31" t="s">
        <v>197</v>
      </c>
      <c r="H372" s="31" t="s">
        <v>685</v>
      </c>
      <c r="I372" s="33">
        <v>4.4000000000000004</v>
      </c>
      <c r="J372" s="34" t="s">
        <v>116</v>
      </c>
      <c r="K372" s="35">
        <v>96</v>
      </c>
      <c r="L372" s="36">
        <f>+K372*I372</f>
        <v>422.40000000000003</v>
      </c>
      <c r="M372" s="37" t="s">
        <v>740</v>
      </c>
      <c r="N372" s="23" t="s">
        <v>931</v>
      </c>
      <c r="O372" s="23">
        <v>9</v>
      </c>
      <c r="P372" s="23" t="s">
        <v>932</v>
      </c>
      <c r="Q372" s="23">
        <v>9</v>
      </c>
      <c r="R372" s="23" t="s">
        <v>1167</v>
      </c>
      <c r="S372" s="24">
        <v>24</v>
      </c>
      <c r="T372" s="7">
        <v>2217</v>
      </c>
      <c r="U372" s="7" t="s">
        <v>1417</v>
      </c>
      <c r="V372" s="7" t="s">
        <v>1415</v>
      </c>
      <c r="W372" s="7" t="s">
        <v>1416</v>
      </c>
      <c r="X372" s="17"/>
      <c r="Y372" s="18"/>
      <c r="Z372" s="18"/>
      <c r="AA372" s="18"/>
      <c r="AB372" s="7" t="s">
        <v>1068</v>
      </c>
      <c r="AC372" s="8"/>
      <c r="AD372" s="8" t="s">
        <v>726</v>
      </c>
      <c r="AE372" s="8" t="s">
        <v>726</v>
      </c>
      <c r="AF372" s="8"/>
      <c r="AG372" s="8" t="s">
        <v>726</v>
      </c>
      <c r="AH372" s="8" t="s">
        <v>726</v>
      </c>
      <c r="AI372" s="8" t="s">
        <v>726</v>
      </c>
      <c r="AJ372" s="8" t="s">
        <v>726</v>
      </c>
      <c r="AK372" s="8" t="s">
        <v>726</v>
      </c>
      <c r="AL372" s="8" t="s">
        <v>726</v>
      </c>
      <c r="AM372" s="8"/>
      <c r="AN372" s="8"/>
      <c r="AO372" s="8"/>
      <c r="AP372" s="8"/>
      <c r="AQ372" s="8" t="s">
        <v>726</v>
      </c>
      <c r="AR372" s="8" t="s">
        <v>726</v>
      </c>
      <c r="AS372" s="8" t="s">
        <v>726</v>
      </c>
      <c r="AT372" s="8" t="s">
        <v>726</v>
      </c>
      <c r="AU372" s="8" t="s">
        <v>726</v>
      </c>
      <c r="AV372" s="8" t="s">
        <v>726</v>
      </c>
      <c r="AX372" s="142">
        <v>20</v>
      </c>
    </row>
    <row r="373" spans="1:50" ht="25.5">
      <c r="B373" s="27">
        <v>369</v>
      </c>
      <c r="C373" s="31">
        <v>208</v>
      </c>
      <c r="D373" s="31">
        <v>449</v>
      </c>
      <c r="E373" s="32">
        <v>0.2951388888888889</v>
      </c>
      <c r="F373" s="32">
        <v>0.2986111111111111</v>
      </c>
      <c r="G373" s="31" t="s">
        <v>198</v>
      </c>
      <c r="H373" s="31" t="s">
        <v>97</v>
      </c>
      <c r="I373" s="33">
        <v>4.3</v>
      </c>
      <c r="J373" s="34" t="s">
        <v>116</v>
      </c>
      <c r="K373" s="35">
        <v>208</v>
      </c>
      <c r="L373" s="36">
        <f>+K373*I373</f>
        <v>894.4</v>
      </c>
      <c r="M373" s="37" t="s">
        <v>740</v>
      </c>
      <c r="N373" s="23" t="s">
        <v>931</v>
      </c>
      <c r="O373" s="23">
        <v>9</v>
      </c>
      <c r="P373" s="23" t="s">
        <v>932</v>
      </c>
      <c r="Q373" s="23">
        <v>9</v>
      </c>
      <c r="S373" s="23"/>
      <c r="T373" s="7" t="s">
        <v>1415</v>
      </c>
      <c r="U373" s="7" t="s">
        <v>1416</v>
      </c>
      <c r="V373" s="7">
        <v>2217</v>
      </c>
      <c r="W373" s="7" t="s">
        <v>1417</v>
      </c>
      <c r="X373" s="18"/>
      <c r="Y373" s="17"/>
      <c r="Z373" s="17"/>
      <c r="AA373" s="17"/>
      <c r="AB373" s="7" t="s">
        <v>1046</v>
      </c>
      <c r="AC373" s="8"/>
      <c r="AD373" s="8"/>
      <c r="AE373" s="8"/>
      <c r="AF373" s="8" t="s">
        <v>726</v>
      </c>
      <c r="AG373" s="8" t="s">
        <v>726</v>
      </c>
      <c r="AH373" s="8" t="s">
        <v>726</v>
      </c>
      <c r="AI373" s="8" t="s">
        <v>726</v>
      </c>
      <c r="AJ373" s="8" t="s">
        <v>726</v>
      </c>
      <c r="AK373" s="8" t="s">
        <v>726</v>
      </c>
      <c r="AL373" s="8" t="s">
        <v>726</v>
      </c>
      <c r="AM373" s="8"/>
      <c r="AN373" s="8"/>
      <c r="AO373" s="8"/>
      <c r="AP373" s="8"/>
      <c r="AQ373" s="8"/>
      <c r="AR373" s="8"/>
      <c r="AS373" s="8"/>
      <c r="AT373" s="8"/>
      <c r="AU373" s="8"/>
      <c r="AV373" s="8"/>
      <c r="AX373" s="142">
        <v>8.9</v>
      </c>
    </row>
    <row r="374" spans="1:50" ht="25.5">
      <c r="B374" s="27">
        <v>370</v>
      </c>
      <c r="C374" s="31">
        <v>208</v>
      </c>
      <c r="D374" s="31">
        <v>449</v>
      </c>
      <c r="E374" s="32">
        <v>0.2986111111111111</v>
      </c>
      <c r="F374" s="32">
        <v>0.30555555555555552</v>
      </c>
      <c r="G374" s="31" t="s">
        <v>197</v>
      </c>
      <c r="H374" s="31" t="s">
        <v>97</v>
      </c>
      <c r="I374" s="33">
        <v>4.4000000000000004</v>
      </c>
      <c r="J374" s="34" t="s">
        <v>116</v>
      </c>
      <c r="K374" s="35">
        <v>208</v>
      </c>
      <c r="L374" s="36">
        <f>+K374*I374</f>
        <v>915.2</v>
      </c>
      <c r="M374" s="37" t="s">
        <v>740</v>
      </c>
      <c r="N374" s="23" t="s">
        <v>931</v>
      </c>
      <c r="O374" s="23">
        <v>9</v>
      </c>
      <c r="P374" s="23" t="s">
        <v>932</v>
      </c>
      <c r="Q374" s="23">
        <v>9</v>
      </c>
      <c r="S374" s="23"/>
      <c r="T374" s="7">
        <v>2217</v>
      </c>
      <c r="U374" s="7" t="s">
        <v>1417</v>
      </c>
      <c r="V374" s="7" t="s">
        <v>1415</v>
      </c>
      <c r="W374" s="7" t="s">
        <v>1416</v>
      </c>
      <c r="X374" s="18"/>
      <c r="Y374" s="17"/>
      <c r="Z374" s="17"/>
      <c r="AA374" s="17"/>
      <c r="AB374" s="7" t="s">
        <v>1046</v>
      </c>
      <c r="AC374" s="8"/>
      <c r="AD374" s="8"/>
      <c r="AE374" s="8"/>
      <c r="AF374" s="8" t="s">
        <v>726</v>
      </c>
      <c r="AG374" s="8" t="s">
        <v>726</v>
      </c>
      <c r="AH374" s="8" t="s">
        <v>726</v>
      </c>
      <c r="AI374" s="8" t="s">
        <v>726</v>
      </c>
      <c r="AJ374" s="8" t="s">
        <v>726</v>
      </c>
      <c r="AK374" s="8" t="s">
        <v>726</v>
      </c>
      <c r="AL374" s="8" t="s">
        <v>726</v>
      </c>
      <c r="AM374" s="8"/>
      <c r="AN374" s="8"/>
      <c r="AO374" s="8"/>
      <c r="AP374" s="8"/>
      <c r="AQ374" s="8"/>
      <c r="AR374" s="8"/>
      <c r="AS374" s="8"/>
      <c r="AT374" s="8"/>
      <c r="AU374" s="8"/>
      <c r="AV374" s="8"/>
      <c r="AX374" s="142">
        <v>8.9</v>
      </c>
    </row>
    <row r="375" spans="1:50" ht="25.5">
      <c r="B375" s="27">
        <v>371</v>
      </c>
      <c r="C375" s="31">
        <v>208</v>
      </c>
      <c r="D375" s="31">
        <v>552</v>
      </c>
      <c r="E375" s="32">
        <v>0.40277777777777773</v>
      </c>
      <c r="F375" s="32">
        <v>0.42708333333333331</v>
      </c>
      <c r="G375" s="31" t="s">
        <v>200</v>
      </c>
      <c r="H375" s="31" t="s">
        <v>491</v>
      </c>
      <c r="I375" s="33">
        <v>17</v>
      </c>
      <c r="J375" s="34" t="s">
        <v>116</v>
      </c>
      <c r="K375" s="35">
        <v>240</v>
      </c>
      <c r="L375" s="36">
        <f>+K375*I375</f>
        <v>4080</v>
      </c>
      <c r="M375" s="37" t="s">
        <v>740</v>
      </c>
      <c r="N375" s="23" t="s">
        <v>931</v>
      </c>
      <c r="O375" s="23">
        <v>9</v>
      </c>
      <c r="P375" s="23" t="s">
        <v>932</v>
      </c>
      <c r="Q375" s="23">
        <v>9</v>
      </c>
      <c r="R375" s="23" t="s">
        <v>1167</v>
      </c>
      <c r="S375" s="24">
        <v>24</v>
      </c>
      <c r="T375" s="7" t="s">
        <v>1415</v>
      </c>
      <c r="U375" s="7" t="s">
        <v>1416</v>
      </c>
      <c r="V375" s="7">
        <v>2180</v>
      </c>
      <c r="W375" s="7" t="s">
        <v>1380</v>
      </c>
      <c r="X375" s="18"/>
      <c r="Y375" s="17"/>
      <c r="Z375" s="18"/>
      <c r="AA375" s="18"/>
      <c r="AB375" s="7" t="s">
        <v>1052</v>
      </c>
      <c r="AC375" s="8" t="s">
        <v>726</v>
      </c>
      <c r="AD375" s="8"/>
      <c r="AE375" s="8" t="s">
        <v>726</v>
      </c>
      <c r="AF375" s="8"/>
      <c r="AG375" s="8" t="s">
        <v>726</v>
      </c>
      <c r="AH375" s="8" t="s">
        <v>726</v>
      </c>
      <c r="AI375" s="8" t="s">
        <v>726</v>
      </c>
      <c r="AJ375" s="8" t="s">
        <v>726</v>
      </c>
      <c r="AK375" s="8" t="s">
        <v>726</v>
      </c>
      <c r="AL375" s="8" t="s">
        <v>726</v>
      </c>
      <c r="AM375" s="8"/>
      <c r="AN375" s="8"/>
      <c r="AO375" s="8"/>
      <c r="AP375" s="8"/>
      <c r="AQ375" s="8"/>
      <c r="AR375" s="8"/>
      <c r="AS375" s="8"/>
      <c r="AT375" s="8"/>
      <c r="AU375" s="8"/>
      <c r="AV375" s="8"/>
      <c r="AX375" s="142">
        <v>34</v>
      </c>
    </row>
    <row r="376" spans="1:50" ht="25.5">
      <c r="B376" s="27">
        <v>372</v>
      </c>
      <c r="C376" s="31">
        <v>208</v>
      </c>
      <c r="D376" s="31">
        <v>550</v>
      </c>
      <c r="E376" s="32">
        <v>0.50694444444444442</v>
      </c>
      <c r="F376" s="32">
        <v>0.53125</v>
      </c>
      <c r="G376" s="31" t="s">
        <v>199</v>
      </c>
      <c r="H376" s="31" t="s">
        <v>491</v>
      </c>
      <c r="I376" s="33">
        <v>17</v>
      </c>
      <c r="J376" s="34" t="s">
        <v>116</v>
      </c>
      <c r="K376" s="35">
        <v>240</v>
      </c>
      <c r="L376" s="36">
        <f>+K376*I376</f>
        <v>4080</v>
      </c>
      <c r="M376" s="37" t="s">
        <v>740</v>
      </c>
      <c r="N376" s="23" t="s">
        <v>931</v>
      </c>
      <c r="O376" s="23">
        <v>9</v>
      </c>
      <c r="P376" s="23" t="s">
        <v>932</v>
      </c>
      <c r="Q376" s="23">
        <v>9</v>
      </c>
      <c r="R376" s="23" t="s">
        <v>1167</v>
      </c>
      <c r="S376" s="24">
        <v>24</v>
      </c>
      <c r="T376" s="7">
        <v>2180</v>
      </c>
      <c r="U376" s="7" t="s">
        <v>1380</v>
      </c>
      <c r="V376" s="7" t="s">
        <v>1415</v>
      </c>
      <c r="W376" s="7" t="s">
        <v>1416</v>
      </c>
      <c r="X376" s="18"/>
      <c r="Y376" s="17"/>
      <c r="Z376" s="18"/>
      <c r="AA376" s="18"/>
      <c r="AB376" s="7" t="s">
        <v>1052</v>
      </c>
      <c r="AC376" s="8" t="s">
        <v>726</v>
      </c>
      <c r="AD376" s="8"/>
      <c r="AE376" s="8" t="s">
        <v>726</v>
      </c>
      <c r="AF376" s="8"/>
      <c r="AG376" s="8" t="s">
        <v>726</v>
      </c>
      <c r="AH376" s="8" t="s">
        <v>726</v>
      </c>
      <c r="AI376" s="8" t="s">
        <v>726</v>
      </c>
      <c r="AJ376" s="8" t="s">
        <v>726</v>
      </c>
      <c r="AK376" s="8" t="s">
        <v>726</v>
      </c>
      <c r="AL376" s="8" t="s">
        <v>726</v>
      </c>
      <c r="AM376" s="8"/>
      <c r="AN376" s="8"/>
      <c r="AO376" s="8"/>
      <c r="AP376" s="8"/>
      <c r="AQ376" s="8"/>
      <c r="AR376" s="8"/>
      <c r="AS376" s="8"/>
      <c r="AT376" s="8"/>
      <c r="AU376" s="8"/>
      <c r="AV376" s="8"/>
      <c r="AX376" s="142">
        <v>34</v>
      </c>
    </row>
    <row r="377" spans="1:50" ht="22.5">
      <c r="B377" s="27">
        <v>373</v>
      </c>
      <c r="C377" s="31">
        <v>208</v>
      </c>
      <c r="D377" s="31">
        <v>451</v>
      </c>
      <c r="E377" s="42">
        <v>0.54305555555555551</v>
      </c>
      <c r="F377" s="42">
        <v>0.54861111111111105</v>
      </c>
      <c r="G377" s="31" t="s">
        <v>676</v>
      </c>
      <c r="H377" s="31" t="s">
        <v>18</v>
      </c>
      <c r="I377" s="33">
        <v>4.3</v>
      </c>
      <c r="J377" s="34" t="s">
        <v>116</v>
      </c>
      <c r="K377" s="35">
        <v>304</v>
      </c>
      <c r="L377" s="36">
        <f>+K377*I377</f>
        <v>1307.2</v>
      </c>
      <c r="M377" s="37" t="s">
        <v>740</v>
      </c>
      <c r="N377" s="23" t="s">
        <v>931</v>
      </c>
      <c r="O377" s="23">
        <v>9</v>
      </c>
      <c r="P377" s="23" t="s">
        <v>932</v>
      </c>
      <c r="Q377" s="23">
        <v>9</v>
      </c>
      <c r="S377" s="23"/>
      <c r="T377" s="7" t="s">
        <v>1415</v>
      </c>
      <c r="U377" s="7" t="s">
        <v>1416</v>
      </c>
      <c r="V377" s="7" t="s">
        <v>1418</v>
      </c>
      <c r="W377" s="7" t="s">
        <v>1419</v>
      </c>
      <c r="X377" s="17"/>
      <c r="Y377" s="17"/>
      <c r="Z377" s="17"/>
      <c r="AA377" s="17"/>
      <c r="AB377" s="8" t="s">
        <v>1053</v>
      </c>
      <c r="AC377" s="8" t="s">
        <v>726</v>
      </c>
      <c r="AD377" s="8" t="s">
        <v>726</v>
      </c>
      <c r="AE377" s="8" t="s">
        <v>726</v>
      </c>
      <c r="AF377" s="8"/>
      <c r="AG377" s="8" t="s">
        <v>726</v>
      </c>
      <c r="AH377" s="8" t="s">
        <v>726</v>
      </c>
      <c r="AI377" s="8" t="s">
        <v>726</v>
      </c>
      <c r="AJ377" s="8" t="s">
        <v>726</v>
      </c>
      <c r="AK377" s="8" t="s">
        <v>726</v>
      </c>
      <c r="AL377" s="8" t="s">
        <v>726</v>
      </c>
      <c r="AM377" s="8"/>
      <c r="AN377" s="8"/>
      <c r="AO377" s="8"/>
      <c r="AP377" s="8"/>
      <c r="AQ377" s="8"/>
      <c r="AR377" s="8"/>
      <c r="AS377" s="8"/>
      <c r="AT377" s="8"/>
      <c r="AU377" s="8"/>
      <c r="AV377" s="8"/>
      <c r="AX377" s="142">
        <v>8.9</v>
      </c>
    </row>
    <row r="378" spans="1:50" ht="25.5">
      <c r="B378" s="27">
        <v>374</v>
      </c>
      <c r="C378" s="31">
        <v>208</v>
      </c>
      <c r="D378" s="31">
        <v>451</v>
      </c>
      <c r="E378" s="32">
        <v>0.54861111111111105</v>
      </c>
      <c r="F378" s="32">
        <v>0.5541666666666667</v>
      </c>
      <c r="G378" s="31" t="s">
        <v>675</v>
      </c>
      <c r="H378" s="31" t="s">
        <v>18</v>
      </c>
      <c r="I378" s="33">
        <v>8.6999999999999993</v>
      </c>
      <c r="J378" s="34" t="s">
        <v>116</v>
      </c>
      <c r="K378" s="35">
        <v>304</v>
      </c>
      <c r="L378" s="36">
        <f>+K378*I378</f>
        <v>2644.7999999999997</v>
      </c>
      <c r="M378" s="37" t="s">
        <v>740</v>
      </c>
      <c r="N378" s="23" t="s">
        <v>931</v>
      </c>
      <c r="O378" s="23">
        <v>9</v>
      </c>
      <c r="P378" s="23" t="s">
        <v>932</v>
      </c>
      <c r="Q378" s="23">
        <v>9</v>
      </c>
      <c r="R378" s="23" t="s">
        <v>1167</v>
      </c>
      <c r="S378" s="24">
        <v>24</v>
      </c>
      <c r="T378" s="7" t="s">
        <v>1420</v>
      </c>
      <c r="U378" s="7" t="s">
        <v>1421</v>
      </c>
      <c r="V378" s="7" t="s">
        <v>1415</v>
      </c>
      <c r="W378" s="7" t="s">
        <v>1416</v>
      </c>
      <c r="X378" s="17"/>
      <c r="Y378" s="17"/>
      <c r="Z378" s="17"/>
      <c r="AA378" s="17"/>
      <c r="AB378" s="8" t="s">
        <v>1053</v>
      </c>
      <c r="AC378" s="8" t="s">
        <v>726</v>
      </c>
      <c r="AD378" s="8" t="s">
        <v>726</v>
      </c>
      <c r="AE378" s="8" t="s">
        <v>726</v>
      </c>
      <c r="AF378" s="8"/>
      <c r="AG378" s="8" t="s">
        <v>726</v>
      </c>
      <c r="AH378" s="8" t="s">
        <v>726</v>
      </c>
      <c r="AI378" s="8" t="s">
        <v>726</v>
      </c>
      <c r="AJ378" s="8" t="s">
        <v>726</v>
      </c>
      <c r="AK378" s="8" t="s">
        <v>726</v>
      </c>
      <c r="AL378" s="8" t="s">
        <v>726</v>
      </c>
      <c r="AM378" s="8"/>
      <c r="AN378" s="8"/>
      <c r="AO378" s="8"/>
      <c r="AP378" s="8"/>
      <c r="AQ378" s="8"/>
      <c r="AR378" s="8"/>
      <c r="AS378" s="8"/>
      <c r="AT378" s="8"/>
      <c r="AU378" s="8"/>
      <c r="AV378" s="8"/>
      <c r="AX378" s="142">
        <v>17.399999999999999</v>
      </c>
    </row>
    <row r="379" spans="1:50" ht="25.5">
      <c r="B379" s="27">
        <v>375</v>
      </c>
      <c r="C379" s="31">
        <v>208</v>
      </c>
      <c r="D379" s="31">
        <v>384</v>
      </c>
      <c r="E379" s="32">
        <v>0.5541666666666667</v>
      </c>
      <c r="F379" s="32">
        <v>0.56666666666666665</v>
      </c>
      <c r="G379" s="31" t="s">
        <v>196</v>
      </c>
      <c r="H379" s="31" t="s">
        <v>103</v>
      </c>
      <c r="I379" s="33">
        <v>10.5</v>
      </c>
      <c r="J379" s="34" t="s">
        <v>116</v>
      </c>
      <c r="K379" s="35">
        <v>174</v>
      </c>
      <c r="L379" s="36">
        <f>+K379*I379</f>
        <v>1827</v>
      </c>
      <c r="M379" s="37" t="s">
        <v>740</v>
      </c>
      <c r="N379" s="23" t="s">
        <v>932</v>
      </c>
      <c r="O379" s="23">
        <v>9</v>
      </c>
      <c r="P379" s="23" t="s">
        <v>931</v>
      </c>
      <c r="Q379" s="23">
        <v>9</v>
      </c>
      <c r="S379" s="23"/>
      <c r="T379" s="7">
        <v>2219</v>
      </c>
      <c r="U379" s="7" t="s">
        <v>1413</v>
      </c>
      <c r="V379" s="7" t="s">
        <v>1422</v>
      </c>
      <c r="W379" s="7" t="s">
        <v>1423</v>
      </c>
      <c r="X379" s="18"/>
      <c r="Y379" s="17"/>
      <c r="Z379" s="17"/>
      <c r="AA379" s="17"/>
      <c r="AB379" s="7" t="s">
        <v>1042</v>
      </c>
      <c r="AC379" s="8"/>
      <c r="AD379" s="8"/>
      <c r="AE379" s="8"/>
      <c r="AF379" s="8" t="s">
        <v>726</v>
      </c>
      <c r="AG379" s="8" t="s">
        <v>726</v>
      </c>
      <c r="AH379" s="8" t="s">
        <v>726</v>
      </c>
      <c r="AI379" s="8" t="s">
        <v>726</v>
      </c>
      <c r="AJ379" s="8" t="s">
        <v>726</v>
      </c>
      <c r="AK379" s="8" t="s">
        <v>726</v>
      </c>
      <c r="AL379" s="8"/>
      <c r="AM379" s="8"/>
      <c r="AN379" s="8"/>
      <c r="AO379" s="8"/>
      <c r="AP379" s="8"/>
      <c r="AQ379" s="8"/>
      <c r="AR379" s="8"/>
      <c r="AS379" s="8"/>
      <c r="AT379" s="8"/>
      <c r="AU379" s="8"/>
      <c r="AV379" s="8"/>
      <c r="AX379" s="142">
        <v>21</v>
      </c>
    </row>
    <row r="380" spans="1:50" ht="38.25">
      <c r="B380" s="27">
        <v>376</v>
      </c>
      <c r="C380" s="31">
        <v>208</v>
      </c>
      <c r="D380" s="31">
        <v>221</v>
      </c>
      <c r="E380" s="32">
        <v>0.55625000000000002</v>
      </c>
      <c r="F380" s="32">
        <v>0.57013888888888886</v>
      </c>
      <c r="G380" s="43" t="s">
        <v>981</v>
      </c>
      <c r="H380" s="31" t="s">
        <v>123</v>
      </c>
      <c r="I380" s="33">
        <v>9</v>
      </c>
      <c r="J380" s="34" t="s">
        <v>116</v>
      </c>
      <c r="K380" s="35">
        <v>34</v>
      </c>
      <c r="L380" s="36">
        <f>+K380*I380</f>
        <v>306</v>
      </c>
      <c r="M380" s="37" t="s">
        <v>740</v>
      </c>
      <c r="N380" s="23" t="s">
        <v>932</v>
      </c>
      <c r="O380" s="23">
        <v>9</v>
      </c>
      <c r="P380" s="23" t="s">
        <v>931</v>
      </c>
      <c r="Q380" s="23">
        <v>9</v>
      </c>
      <c r="S380" s="23"/>
      <c r="T380" s="7" t="s">
        <v>1415</v>
      </c>
      <c r="U380" s="7" t="s">
        <v>1416</v>
      </c>
      <c r="V380" s="7">
        <v>2180</v>
      </c>
      <c r="W380" s="7" t="s">
        <v>1380</v>
      </c>
      <c r="X380" s="18"/>
      <c r="Y380" s="17"/>
      <c r="Z380" s="17"/>
      <c r="AA380" s="17"/>
      <c r="AB380" s="7" t="s">
        <v>1051</v>
      </c>
      <c r="AC380" s="8"/>
      <c r="AD380" s="8"/>
      <c r="AE380" s="8"/>
      <c r="AF380" s="8" t="s">
        <v>726</v>
      </c>
      <c r="AG380" s="8"/>
      <c r="AH380" s="8"/>
      <c r="AI380" s="8"/>
      <c r="AJ380" s="8"/>
      <c r="AK380" s="8"/>
      <c r="AL380" s="8" t="s">
        <v>726</v>
      </c>
      <c r="AM380" s="8"/>
      <c r="AN380" s="8"/>
      <c r="AO380" s="8"/>
      <c r="AP380" s="8"/>
      <c r="AQ380" s="8"/>
      <c r="AR380" s="8"/>
      <c r="AS380" s="8"/>
      <c r="AT380" s="8"/>
      <c r="AU380" s="8"/>
      <c r="AV380" s="8"/>
      <c r="AX380" s="142">
        <v>18.899999999999999</v>
      </c>
    </row>
    <row r="381" spans="1:50" ht="25.5">
      <c r="B381" s="27">
        <v>377</v>
      </c>
      <c r="C381" s="31">
        <v>208</v>
      </c>
      <c r="D381" s="34">
        <v>498</v>
      </c>
      <c r="E381" s="42">
        <v>0.5756944444444444</v>
      </c>
      <c r="F381" s="42">
        <v>0.59166666666666667</v>
      </c>
      <c r="G381" s="31" t="s">
        <v>280</v>
      </c>
      <c r="H381" s="31" t="s">
        <v>103</v>
      </c>
      <c r="I381" s="33">
        <v>10.5</v>
      </c>
      <c r="J381" s="34" t="s">
        <v>269</v>
      </c>
      <c r="K381" s="35">
        <v>174</v>
      </c>
      <c r="L381" s="36">
        <f>+K381*I381</f>
        <v>1827</v>
      </c>
      <c r="M381" s="37" t="s">
        <v>735</v>
      </c>
      <c r="N381" s="23" t="s">
        <v>790</v>
      </c>
      <c r="O381" s="23">
        <v>37</v>
      </c>
      <c r="P381" s="23" t="s">
        <v>792</v>
      </c>
      <c r="Q381" s="23">
        <v>29</v>
      </c>
      <c r="R381" s="23" t="s">
        <v>959</v>
      </c>
      <c r="S381" s="24">
        <v>29</v>
      </c>
      <c r="T381" s="7">
        <v>2180</v>
      </c>
      <c r="U381" s="7" t="s">
        <v>1380</v>
      </c>
      <c r="V381" s="7" t="s">
        <v>1411</v>
      </c>
      <c r="W381" s="7" t="s">
        <v>1412</v>
      </c>
      <c r="X381" s="18"/>
      <c r="Y381" s="17"/>
      <c r="Z381" s="17"/>
      <c r="AA381" s="17"/>
      <c r="AB381" s="7" t="s">
        <v>1042</v>
      </c>
      <c r="AC381" s="8"/>
      <c r="AD381" s="8"/>
      <c r="AE381" s="8"/>
      <c r="AF381" s="8" t="s">
        <v>726</v>
      </c>
      <c r="AG381" s="8" t="s">
        <v>726</v>
      </c>
      <c r="AH381" s="8" t="s">
        <v>726</v>
      </c>
      <c r="AI381" s="8" t="s">
        <v>726</v>
      </c>
      <c r="AJ381" s="8" t="s">
        <v>726</v>
      </c>
      <c r="AK381" s="8" t="s">
        <v>726</v>
      </c>
      <c r="AL381" s="8"/>
      <c r="AM381" s="8"/>
      <c r="AN381" s="8"/>
      <c r="AO381" s="8"/>
      <c r="AP381" s="8"/>
      <c r="AQ381" s="8"/>
      <c r="AR381" s="8"/>
      <c r="AS381" s="8"/>
      <c r="AT381" s="8"/>
      <c r="AU381" s="8"/>
      <c r="AV381" s="8"/>
      <c r="AX381" s="142">
        <v>21</v>
      </c>
    </row>
    <row r="382" spans="1:50" ht="25.5">
      <c r="B382" s="27">
        <v>378</v>
      </c>
      <c r="C382" s="31">
        <v>208</v>
      </c>
      <c r="D382" s="31">
        <v>223</v>
      </c>
      <c r="E382" s="32">
        <v>0.58472222222222225</v>
      </c>
      <c r="F382" s="32">
        <v>0.60138888888888886</v>
      </c>
      <c r="G382" s="31" t="s">
        <v>520</v>
      </c>
      <c r="H382" s="31" t="s">
        <v>103</v>
      </c>
      <c r="I382" s="33">
        <v>11.6</v>
      </c>
      <c r="J382" s="34" t="s">
        <v>519</v>
      </c>
      <c r="K382" s="35">
        <v>174</v>
      </c>
      <c r="L382" s="36">
        <f>+K382*I382</f>
        <v>2018.3999999999999</v>
      </c>
      <c r="M382" s="37" t="s">
        <v>741</v>
      </c>
      <c r="N382" s="23" t="s">
        <v>851</v>
      </c>
      <c r="O382" s="23">
        <v>55</v>
      </c>
      <c r="P382" s="23" t="s">
        <v>1168</v>
      </c>
      <c r="Q382" s="23">
        <v>57</v>
      </c>
      <c r="R382" s="23" t="s">
        <v>1169</v>
      </c>
      <c r="S382" s="23">
        <v>37</v>
      </c>
      <c r="T382" s="7" t="s">
        <v>1422</v>
      </c>
      <c r="U382" s="7" t="s">
        <v>1423</v>
      </c>
      <c r="V382" s="7">
        <v>2218</v>
      </c>
      <c r="W382" s="7" t="s">
        <v>1424</v>
      </c>
      <c r="X382" s="18"/>
      <c r="Y382" s="17"/>
      <c r="Z382" s="17"/>
      <c r="AA382" s="17"/>
      <c r="AB382" s="7" t="s">
        <v>1042</v>
      </c>
      <c r="AC382" s="8"/>
      <c r="AD382" s="8"/>
      <c r="AE382" s="8"/>
      <c r="AF382" s="8" t="s">
        <v>726</v>
      </c>
      <c r="AG382" s="8" t="s">
        <v>726</v>
      </c>
      <c r="AH382" s="8" t="s">
        <v>726</v>
      </c>
      <c r="AI382" s="8" t="s">
        <v>726</v>
      </c>
      <c r="AJ382" s="8" t="s">
        <v>726</v>
      </c>
      <c r="AK382" s="8" t="s">
        <v>726</v>
      </c>
      <c r="AL382" s="8"/>
      <c r="AM382" s="8"/>
      <c r="AN382" s="8"/>
      <c r="AO382" s="8"/>
      <c r="AP382" s="8"/>
      <c r="AQ382" s="8"/>
      <c r="AR382" s="8"/>
      <c r="AS382" s="8"/>
      <c r="AT382" s="8"/>
      <c r="AU382" s="8"/>
      <c r="AV382" s="8"/>
      <c r="AX382" s="142">
        <v>34.799999999999997</v>
      </c>
    </row>
    <row r="383" spans="1:50" ht="25.5">
      <c r="B383" s="27">
        <v>379</v>
      </c>
      <c r="C383" s="31">
        <v>208</v>
      </c>
      <c r="D383" s="31">
        <v>420</v>
      </c>
      <c r="E383" s="42">
        <v>0.6875</v>
      </c>
      <c r="F383" s="42">
        <v>0.72152777777777777</v>
      </c>
      <c r="G383" s="31" t="s">
        <v>271</v>
      </c>
      <c r="H383" s="31" t="s">
        <v>194</v>
      </c>
      <c r="I383" s="33">
        <v>27.5</v>
      </c>
      <c r="J383" s="34">
        <v>50</v>
      </c>
      <c r="K383" s="35">
        <f>34+34+36+33</f>
        <v>137</v>
      </c>
      <c r="L383" s="36">
        <f>+K383*I383</f>
        <v>3767.5</v>
      </c>
      <c r="M383" s="37" t="s">
        <v>735</v>
      </c>
      <c r="N383" s="23" t="s">
        <v>791</v>
      </c>
      <c r="O383" s="23">
        <v>45</v>
      </c>
      <c r="P383" s="23" t="s">
        <v>792</v>
      </c>
      <c r="Q383" s="23">
        <v>29</v>
      </c>
      <c r="R383" s="23" t="s">
        <v>790</v>
      </c>
      <c r="S383" s="23">
        <v>37</v>
      </c>
      <c r="T383" s="7">
        <v>2180</v>
      </c>
      <c r="U383" s="7" t="s">
        <v>1380</v>
      </c>
      <c r="V383" s="7" t="s">
        <v>1422</v>
      </c>
      <c r="W383" s="7" t="s">
        <v>1423</v>
      </c>
      <c r="X383" s="18"/>
      <c r="Y383" s="17"/>
      <c r="Z383" s="17"/>
      <c r="AA383" s="17"/>
      <c r="AB383" s="7" t="s">
        <v>1045</v>
      </c>
      <c r="AC383" s="8"/>
      <c r="AD383" s="8"/>
      <c r="AE383" s="8"/>
      <c r="AF383" s="8" t="s">
        <v>726</v>
      </c>
      <c r="AG383" s="8" t="s">
        <v>726</v>
      </c>
      <c r="AH383" s="8" t="s">
        <v>726</v>
      </c>
      <c r="AI383" s="8" t="s">
        <v>726</v>
      </c>
      <c r="AJ383" s="8" t="s">
        <v>726</v>
      </c>
      <c r="AK383" s="8"/>
      <c r="AL383" s="8"/>
      <c r="AM383" s="8"/>
      <c r="AN383" s="8"/>
      <c r="AO383" s="8"/>
      <c r="AP383" s="8"/>
      <c r="AQ383" s="8"/>
      <c r="AR383" s="8"/>
      <c r="AS383" s="8"/>
      <c r="AT383" s="8"/>
      <c r="AU383" s="8"/>
      <c r="AV383" s="8"/>
      <c r="AX383" s="142">
        <v>82.5</v>
      </c>
    </row>
    <row r="384" spans="1:50" ht="25.5">
      <c r="B384" s="27">
        <v>380</v>
      </c>
      <c r="C384" s="31">
        <v>208</v>
      </c>
      <c r="D384" s="34">
        <v>374</v>
      </c>
      <c r="E384" s="42">
        <v>0.72430555555555554</v>
      </c>
      <c r="F384" s="42">
        <v>0.74861111111111101</v>
      </c>
      <c r="G384" s="31" t="s">
        <v>279</v>
      </c>
      <c r="H384" s="31" t="s">
        <v>103</v>
      </c>
      <c r="I384" s="33">
        <v>17</v>
      </c>
      <c r="J384" s="34">
        <v>44</v>
      </c>
      <c r="K384" s="35">
        <v>174</v>
      </c>
      <c r="L384" s="36">
        <f>+K384*I384</f>
        <v>2958</v>
      </c>
      <c r="M384" s="37" t="s">
        <v>735</v>
      </c>
      <c r="N384" s="23" t="s">
        <v>959</v>
      </c>
      <c r="O384" s="23">
        <v>29</v>
      </c>
      <c r="P384" s="23" t="s">
        <v>792</v>
      </c>
      <c r="Q384" s="23">
        <v>29</v>
      </c>
      <c r="R384" s="23" t="s">
        <v>962</v>
      </c>
      <c r="S384" s="24">
        <v>25</v>
      </c>
      <c r="T384" s="7">
        <v>2180</v>
      </c>
      <c r="U384" s="7" t="s">
        <v>1380</v>
      </c>
      <c r="V384" s="7" t="s">
        <v>1415</v>
      </c>
      <c r="W384" s="7" t="s">
        <v>1416</v>
      </c>
      <c r="X384" s="18"/>
      <c r="Y384" s="17"/>
      <c r="Z384" s="17"/>
      <c r="AA384" s="17"/>
      <c r="AB384" s="7" t="s">
        <v>1042</v>
      </c>
      <c r="AC384" s="8"/>
      <c r="AD384" s="8"/>
      <c r="AE384" s="8"/>
      <c r="AF384" s="8" t="s">
        <v>726</v>
      </c>
      <c r="AG384" s="8" t="s">
        <v>726</v>
      </c>
      <c r="AH384" s="8" t="s">
        <v>726</v>
      </c>
      <c r="AI384" s="8" t="s">
        <v>726</v>
      </c>
      <c r="AJ384" s="8" t="s">
        <v>726</v>
      </c>
      <c r="AK384" s="8" t="s">
        <v>726</v>
      </c>
      <c r="AL384" s="8"/>
      <c r="AM384" s="8"/>
      <c r="AN384" s="8"/>
      <c r="AO384" s="8"/>
      <c r="AP384" s="8"/>
      <c r="AQ384" s="8"/>
      <c r="AR384" s="8"/>
      <c r="AS384" s="8"/>
      <c r="AT384" s="8"/>
      <c r="AU384" s="8"/>
      <c r="AV384" s="8"/>
      <c r="AX384" s="142">
        <v>69.38</v>
      </c>
    </row>
    <row r="385" spans="1:50" ht="25.5">
      <c r="B385" s="27">
        <v>381</v>
      </c>
      <c r="C385" s="31">
        <v>208</v>
      </c>
      <c r="D385" s="31">
        <v>54</v>
      </c>
      <c r="E385" s="32">
        <v>0.74305555555555547</v>
      </c>
      <c r="F385" s="32">
        <v>0.76736111111111116</v>
      </c>
      <c r="G385" s="31" t="s">
        <v>199</v>
      </c>
      <c r="H385" s="31" t="s">
        <v>103</v>
      </c>
      <c r="I385" s="33">
        <v>17</v>
      </c>
      <c r="J385" s="34">
        <v>22</v>
      </c>
      <c r="K385" s="35">
        <v>174</v>
      </c>
      <c r="L385" s="36">
        <f>+K385*I385</f>
        <v>2958</v>
      </c>
      <c r="M385" s="37" t="s">
        <v>742</v>
      </c>
      <c r="N385" s="23" t="s">
        <v>784</v>
      </c>
      <c r="O385" s="23">
        <v>23</v>
      </c>
      <c r="P385" s="23" t="s">
        <v>783</v>
      </c>
      <c r="Q385" s="23">
        <v>23</v>
      </c>
      <c r="R385" s="23" t="s">
        <v>825</v>
      </c>
      <c r="S385" s="23">
        <v>17</v>
      </c>
      <c r="T385" s="7">
        <v>2180</v>
      </c>
      <c r="U385" s="7" t="s">
        <v>1380</v>
      </c>
      <c r="V385" s="7" t="s">
        <v>1415</v>
      </c>
      <c r="W385" s="7" t="s">
        <v>1416</v>
      </c>
      <c r="X385" s="18"/>
      <c r="Y385" s="17"/>
      <c r="Z385" s="17"/>
      <c r="AA385" s="17"/>
      <c r="AB385" s="7" t="s">
        <v>1042</v>
      </c>
      <c r="AC385" s="8"/>
      <c r="AD385" s="8"/>
      <c r="AE385" s="8"/>
      <c r="AF385" s="8" t="s">
        <v>726</v>
      </c>
      <c r="AG385" s="8" t="s">
        <v>726</v>
      </c>
      <c r="AH385" s="8" t="s">
        <v>726</v>
      </c>
      <c r="AI385" s="8" t="s">
        <v>726</v>
      </c>
      <c r="AJ385" s="8" t="s">
        <v>726</v>
      </c>
      <c r="AK385" s="8" t="s">
        <v>726</v>
      </c>
      <c r="AL385" s="8"/>
      <c r="AM385" s="8"/>
      <c r="AN385" s="8"/>
      <c r="AO385" s="8"/>
      <c r="AP385" s="8"/>
      <c r="AQ385" s="8"/>
      <c r="AR385" s="8"/>
      <c r="AS385" s="8"/>
      <c r="AT385" s="8"/>
      <c r="AU385" s="8"/>
      <c r="AV385" s="8"/>
      <c r="AX385" s="142">
        <v>42.5</v>
      </c>
    </row>
    <row r="386" spans="1:50" ht="25.5">
      <c r="A386" s="2" t="s">
        <v>793</v>
      </c>
      <c r="B386" s="27">
        <v>382</v>
      </c>
      <c r="C386" s="55">
        <v>208</v>
      </c>
      <c r="D386" s="55">
        <v>226</v>
      </c>
      <c r="E386" s="131">
        <v>0.81597222222222221</v>
      </c>
      <c r="F386" s="131">
        <v>0.84166666666666667</v>
      </c>
      <c r="G386" s="57" t="s">
        <v>542</v>
      </c>
      <c r="H386" s="31" t="s">
        <v>423</v>
      </c>
      <c r="I386" s="55">
        <v>17</v>
      </c>
      <c r="J386" s="58">
        <v>50</v>
      </c>
      <c r="K386" s="35">
        <v>67</v>
      </c>
      <c r="L386" s="36">
        <f>+K386*I386</f>
        <v>1139</v>
      </c>
      <c r="M386" s="37" t="s">
        <v>742</v>
      </c>
      <c r="N386" s="23" t="s">
        <v>783</v>
      </c>
      <c r="O386" s="23">
        <v>23</v>
      </c>
      <c r="P386" s="23" t="s">
        <v>784</v>
      </c>
      <c r="Q386" s="23">
        <v>23</v>
      </c>
      <c r="S386" s="23"/>
      <c r="T386" s="7">
        <v>2180</v>
      </c>
      <c r="U386" s="7" t="s">
        <v>1380</v>
      </c>
      <c r="V386" s="7">
        <v>2219</v>
      </c>
      <c r="W386" s="7" t="s">
        <v>1413</v>
      </c>
      <c r="X386" s="17"/>
      <c r="Y386" s="18"/>
      <c r="Z386" s="18"/>
      <c r="AA386" s="18"/>
      <c r="AB386" s="8" t="s">
        <v>1047</v>
      </c>
      <c r="AC386" s="8"/>
      <c r="AD386" s="8" t="s">
        <v>726</v>
      </c>
      <c r="AE386" s="8" t="s">
        <v>726</v>
      </c>
      <c r="AF386" s="8"/>
      <c r="AG386" s="8" t="s">
        <v>726</v>
      </c>
      <c r="AH386" s="8" t="s">
        <v>726</v>
      </c>
      <c r="AI386" s="8" t="s">
        <v>726</v>
      </c>
      <c r="AJ386" s="8" t="s">
        <v>726</v>
      </c>
      <c r="AK386" s="8" t="s">
        <v>726</v>
      </c>
      <c r="AL386" s="8" t="s">
        <v>726</v>
      </c>
      <c r="AM386" s="8"/>
      <c r="AN386" s="8"/>
      <c r="AO386" s="8"/>
      <c r="AP386" s="8"/>
      <c r="AQ386" s="8"/>
      <c r="AR386" s="8"/>
      <c r="AS386" s="8"/>
      <c r="AT386" s="8"/>
      <c r="AU386" s="8"/>
      <c r="AV386" s="8"/>
      <c r="AX386" s="142">
        <v>51</v>
      </c>
    </row>
    <row r="387" spans="1:50" ht="25.5">
      <c r="B387" s="27">
        <v>383</v>
      </c>
      <c r="C387" s="31">
        <v>209</v>
      </c>
      <c r="D387" s="31">
        <v>9</v>
      </c>
      <c r="E387" s="32">
        <v>0.26041666666666669</v>
      </c>
      <c r="F387" s="32">
        <v>0.27361111111111108</v>
      </c>
      <c r="G387" s="31" t="s">
        <v>394</v>
      </c>
      <c r="H387" s="31" t="s">
        <v>97</v>
      </c>
      <c r="I387" s="33">
        <v>10.3</v>
      </c>
      <c r="J387" s="34">
        <v>22</v>
      </c>
      <c r="K387" s="61">
        <v>208</v>
      </c>
      <c r="L387" s="36">
        <f>+K387*I387</f>
        <v>2142.4</v>
      </c>
      <c r="M387" s="37" t="s">
        <v>742</v>
      </c>
      <c r="N387" s="23" t="s">
        <v>784</v>
      </c>
      <c r="O387" s="23">
        <v>23</v>
      </c>
      <c r="P387" s="23" t="s">
        <v>783</v>
      </c>
      <c r="Q387" s="23" t="s">
        <v>269</v>
      </c>
      <c r="R387" s="23" t="s">
        <v>825</v>
      </c>
      <c r="S387" s="23">
        <v>17</v>
      </c>
      <c r="T387" s="7">
        <v>2174</v>
      </c>
      <c r="U387" s="7" t="s">
        <v>1425</v>
      </c>
      <c r="V387" s="7">
        <v>2180</v>
      </c>
      <c r="W387" s="7" t="s">
        <v>1380</v>
      </c>
      <c r="X387" s="18"/>
      <c r="Y387" s="17"/>
      <c r="Z387" s="17"/>
      <c r="AA387" s="17"/>
      <c r="AB387" s="7" t="s">
        <v>1046</v>
      </c>
      <c r="AC387" s="8"/>
      <c r="AD387" s="8"/>
      <c r="AE387" s="8"/>
      <c r="AF387" s="8" t="s">
        <v>726</v>
      </c>
      <c r="AG387" s="8" t="s">
        <v>726</v>
      </c>
      <c r="AH387" s="8" t="s">
        <v>726</v>
      </c>
      <c r="AI387" s="8" t="s">
        <v>726</v>
      </c>
      <c r="AJ387" s="8" t="s">
        <v>726</v>
      </c>
      <c r="AK387" s="8" t="s">
        <v>726</v>
      </c>
      <c r="AL387" s="8" t="s">
        <v>726</v>
      </c>
      <c r="AM387" s="8"/>
      <c r="AN387" s="8"/>
      <c r="AO387" s="8"/>
      <c r="AP387" s="8"/>
      <c r="AQ387" s="8"/>
      <c r="AR387" s="8"/>
      <c r="AS387" s="8"/>
      <c r="AT387" s="8"/>
      <c r="AU387" s="8"/>
      <c r="AV387" s="8"/>
      <c r="AX387" s="142">
        <v>25.71</v>
      </c>
    </row>
    <row r="388" spans="1:50" ht="25.5">
      <c r="B388" s="27">
        <v>384</v>
      </c>
      <c r="C388" s="31">
        <v>209</v>
      </c>
      <c r="D388" s="31">
        <v>11</v>
      </c>
      <c r="E388" s="32">
        <v>0.28819444444444448</v>
      </c>
      <c r="F388" s="32">
        <v>0.30208333333333331</v>
      </c>
      <c r="G388" s="31" t="s">
        <v>394</v>
      </c>
      <c r="H388" s="31" t="s">
        <v>97</v>
      </c>
      <c r="I388" s="33">
        <v>10</v>
      </c>
      <c r="J388" s="34">
        <v>22</v>
      </c>
      <c r="K388" s="35">
        <v>208</v>
      </c>
      <c r="L388" s="36">
        <f>+K388*I388</f>
        <v>2080</v>
      </c>
      <c r="M388" s="37" t="s">
        <v>742</v>
      </c>
      <c r="N388" s="23" t="s">
        <v>784</v>
      </c>
      <c r="O388" s="23">
        <v>23</v>
      </c>
      <c r="P388" s="23" t="s">
        <v>783</v>
      </c>
      <c r="Q388" s="23">
        <v>23</v>
      </c>
      <c r="R388" s="23" t="s">
        <v>825</v>
      </c>
      <c r="S388" s="23">
        <v>17</v>
      </c>
      <c r="T388" s="7">
        <v>2174</v>
      </c>
      <c r="U388" s="7" t="s">
        <v>1425</v>
      </c>
      <c r="V388" s="7">
        <v>2180</v>
      </c>
      <c r="W388" s="7" t="s">
        <v>1380</v>
      </c>
      <c r="X388" s="18"/>
      <c r="Y388" s="17"/>
      <c r="Z388" s="17"/>
      <c r="AA388" s="17"/>
      <c r="AB388" s="7" t="s">
        <v>1046</v>
      </c>
      <c r="AC388" s="8"/>
      <c r="AD388" s="8"/>
      <c r="AE388" s="8"/>
      <c r="AF388" s="8" t="s">
        <v>726</v>
      </c>
      <c r="AG388" s="8" t="s">
        <v>726</v>
      </c>
      <c r="AH388" s="8" t="s">
        <v>726</v>
      </c>
      <c r="AI388" s="8" t="s">
        <v>726</v>
      </c>
      <c r="AJ388" s="8" t="s">
        <v>726</v>
      </c>
      <c r="AK388" s="8" t="s">
        <v>726</v>
      </c>
      <c r="AL388" s="8" t="s">
        <v>726</v>
      </c>
      <c r="AM388" s="8"/>
      <c r="AN388" s="8"/>
      <c r="AO388" s="8"/>
      <c r="AP388" s="8"/>
      <c r="AQ388" s="8"/>
      <c r="AR388" s="8"/>
      <c r="AS388" s="8"/>
      <c r="AT388" s="8"/>
      <c r="AU388" s="8"/>
      <c r="AV388" s="8"/>
      <c r="AX388" s="142">
        <v>26.33</v>
      </c>
    </row>
    <row r="389" spans="1:50" ht="25.5">
      <c r="A389" s="2" t="s">
        <v>793</v>
      </c>
      <c r="B389" s="27">
        <v>385</v>
      </c>
      <c r="C389" s="55">
        <v>209</v>
      </c>
      <c r="D389" s="55">
        <v>11</v>
      </c>
      <c r="E389" s="60">
        <v>0.2986111111111111</v>
      </c>
      <c r="F389" s="60">
        <v>0.3125</v>
      </c>
      <c r="G389" s="57" t="s">
        <v>538</v>
      </c>
      <c r="H389" s="31" t="s">
        <v>424</v>
      </c>
      <c r="I389" s="55">
        <v>9</v>
      </c>
      <c r="J389" s="58">
        <v>50</v>
      </c>
      <c r="K389" s="35">
        <v>55</v>
      </c>
      <c r="L389" s="36">
        <f>+K389*I389</f>
        <v>495</v>
      </c>
      <c r="M389" s="37" t="s">
        <v>735</v>
      </c>
      <c r="N389" s="23" t="s">
        <v>960</v>
      </c>
      <c r="O389" s="23">
        <v>54</v>
      </c>
      <c r="P389" s="23" t="s">
        <v>791</v>
      </c>
      <c r="Q389" s="23">
        <v>45</v>
      </c>
      <c r="R389" s="23" t="s">
        <v>792</v>
      </c>
      <c r="S389" s="24">
        <v>28</v>
      </c>
      <c r="T389" s="7">
        <v>2174</v>
      </c>
      <c r="U389" s="7" t="s">
        <v>1425</v>
      </c>
      <c r="V389" s="7">
        <v>2180</v>
      </c>
      <c r="W389" s="7" t="s">
        <v>1380</v>
      </c>
      <c r="X389" s="17"/>
      <c r="Y389" s="18"/>
      <c r="Z389" s="18"/>
      <c r="AA389" s="18"/>
      <c r="AB389" s="7" t="s">
        <v>1049</v>
      </c>
      <c r="AC389" s="8"/>
      <c r="AD389" s="8" t="s">
        <v>726</v>
      </c>
      <c r="AE389" s="8" t="s">
        <v>726</v>
      </c>
      <c r="AF389" s="8"/>
      <c r="AG389" s="8" t="s">
        <v>726</v>
      </c>
      <c r="AH389" s="8" t="s">
        <v>726</v>
      </c>
      <c r="AI389" s="8" t="s">
        <v>726</v>
      </c>
      <c r="AJ389" s="8" t="s">
        <v>726</v>
      </c>
      <c r="AK389" s="8" t="s">
        <v>726</v>
      </c>
      <c r="AL389" s="8"/>
      <c r="AM389" s="8"/>
      <c r="AN389" s="8"/>
      <c r="AO389" s="8"/>
      <c r="AP389" s="8"/>
      <c r="AQ389" s="8"/>
      <c r="AR389" s="8"/>
      <c r="AS389" s="8"/>
      <c r="AT389" s="8"/>
      <c r="AU389" s="8"/>
      <c r="AV389" s="8"/>
      <c r="AX389" s="142">
        <v>27.756954034326295</v>
      </c>
    </row>
    <row r="390" spans="1:50" ht="25.5">
      <c r="B390" s="27">
        <v>386</v>
      </c>
      <c r="C390" s="31">
        <v>209</v>
      </c>
      <c r="D390" s="43">
        <v>22</v>
      </c>
      <c r="E390" s="42">
        <v>0.60277777777777775</v>
      </c>
      <c r="F390" s="42">
        <v>0.6166666666666667</v>
      </c>
      <c r="G390" s="31" t="s">
        <v>393</v>
      </c>
      <c r="H390" s="31" t="s">
        <v>103</v>
      </c>
      <c r="I390" s="33">
        <v>10</v>
      </c>
      <c r="J390" s="34">
        <v>22</v>
      </c>
      <c r="K390" s="61">
        <v>174</v>
      </c>
      <c r="L390" s="36">
        <f>+K390*I390</f>
        <v>1740</v>
      </c>
      <c r="M390" s="37" t="s">
        <v>742</v>
      </c>
      <c r="N390" s="23" t="s">
        <v>784</v>
      </c>
      <c r="O390" s="23">
        <v>23</v>
      </c>
      <c r="P390" s="23" t="s">
        <v>783</v>
      </c>
      <c r="Q390" s="23">
        <v>23</v>
      </c>
      <c r="R390" s="23" t="s">
        <v>825</v>
      </c>
      <c r="S390" s="23">
        <v>17</v>
      </c>
      <c r="T390" s="7">
        <v>2180</v>
      </c>
      <c r="U390" s="7" t="s">
        <v>1380</v>
      </c>
      <c r="V390" s="7">
        <v>2174</v>
      </c>
      <c r="W390" s="7" t="s">
        <v>1425</v>
      </c>
      <c r="X390" s="18"/>
      <c r="Y390" s="17"/>
      <c r="Z390" s="17"/>
      <c r="AA390" s="17"/>
      <c r="AB390" s="7" t="s">
        <v>1042</v>
      </c>
      <c r="AC390" s="8"/>
      <c r="AD390" s="8"/>
      <c r="AE390" s="8"/>
      <c r="AF390" s="8" t="s">
        <v>726</v>
      </c>
      <c r="AG390" s="8" t="s">
        <v>726</v>
      </c>
      <c r="AH390" s="8" t="s">
        <v>726</v>
      </c>
      <c r="AI390" s="8" t="s">
        <v>726</v>
      </c>
      <c r="AJ390" s="8" t="s">
        <v>726</v>
      </c>
      <c r="AK390" s="8" t="s">
        <v>726</v>
      </c>
      <c r="AL390" s="8"/>
      <c r="AM390" s="8"/>
      <c r="AN390" s="8"/>
      <c r="AO390" s="8"/>
      <c r="AP390" s="8"/>
      <c r="AQ390" s="8"/>
      <c r="AR390" s="8"/>
      <c r="AS390" s="8"/>
      <c r="AT390" s="8"/>
      <c r="AU390" s="8"/>
      <c r="AV390" s="8"/>
      <c r="AX390" s="142">
        <v>27.51</v>
      </c>
    </row>
    <row r="391" spans="1:50" ht="25.5">
      <c r="A391" s="2" t="s">
        <v>793</v>
      </c>
      <c r="B391" s="27">
        <v>387</v>
      </c>
      <c r="C391" s="55">
        <v>209</v>
      </c>
      <c r="D391" s="55">
        <v>14</v>
      </c>
      <c r="E391" s="60">
        <v>0.77777777777777779</v>
      </c>
      <c r="F391" s="60">
        <v>0.79166666666666663</v>
      </c>
      <c r="G391" s="57" t="s">
        <v>541</v>
      </c>
      <c r="H391" s="31" t="s">
        <v>423</v>
      </c>
      <c r="I391" s="55">
        <v>9</v>
      </c>
      <c r="J391" s="58">
        <v>22</v>
      </c>
      <c r="K391" s="35">
        <v>67</v>
      </c>
      <c r="L391" s="36">
        <f>+K391*I391</f>
        <v>603</v>
      </c>
      <c r="M391" s="37" t="s">
        <v>742</v>
      </c>
      <c r="N391" s="23" t="s">
        <v>783</v>
      </c>
      <c r="O391" s="23">
        <v>23</v>
      </c>
      <c r="P391" s="23" t="s">
        <v>784</v>
      </c>
      <c r="Q391" s="23">
        <v>23</v>
      </c>
      <c r="R391" s="23"/>
      <c r="S391" s="23"/>
      <c r="T391" s="7">
        <v>2180</v>
      </c>
      <c r="U391" s="7" t="s">
        <v>1380</v>
      </c>
      <c r="V391" s="7">
        <v>2174</v>
      </c>
      <c r="W391" s="7" t="s">
        <v>1425</v>
      </c>
      <c r="X391" s="17"/>
      <c r="Y391" s="18"/>
      <c r="Z391" s="18"/>
      <c r="AA391" s="18"/>
      <c r="AB391" s="8" t="s">
        <v>1047</v>
      </c>
      <c r="AC391" s="8"/>
      <c r="AD391" s="8" t="s">
        <v>726</v>
      </c>
      <c r="AE391" s="8" t="s">
        <v>726</v>
      </c>
      <c r="AF391" s="8"/>
      <c r="AG391" s="8" t="s">
        <v>726</v>
      </c>
      <c r="AH391" s="8" t="s">
        <v>726</v>
      </c>
      <c r="AI391" s="8" t="s">
        <v>726</v>
      </c>
      <c r="AJ391" s="8" t="s">
        <v>726</v>
      </c>
      <c r="AK391" s="8" t="s">
        <v>726</v>
      </c>
      <c r="AL391" s="8" t="s">
        <v>726</v>
      </c>
      <c r="AM391" s="8"/>
      <c r="AN391" s="8"/>
      <c r="AO391" s="8"/>
      <c r="AP391" s="8"/>
      <c r="AQ391" s="8"/>
      <c r="AR391" s="8"/>
      <c r="AS391" s="8"/>
      <c r="AT391" s="8"/>
      <c r="AU391" s="8"/>
      <c r="AV391" s="8"/>
      <c r="AX391" s="142">
        <v>21.6</v>
      </c>
    </row>
    <row r="392" spans="1:50" ht="25.5">
      <c r="A392" s="2" t="s">
        <v>793</v>
      </c>
      <c r="B392" s="27">
        <v>388</v>
      </c>
      <c r="C392" s="55">
        <v>210</v>
      </c>
      <c r="D392" s="55">
        <v>55</v>
      </c>
      <c r="E392" s="60">
        <v>0.2902777777777778</v>
      </c>
      <c r="F392" s="60">
        <v>0.31180555555555556</v>
      </c>
      <c r="G392" s="57" t="s">
        <v>575</v>
      </c>
      <c r="H392" s="31" t="s">
        <v>505</v>
      </c>
      <c r="I392" s="55">
        <v>11</v>
      </c>
      <c r="J392" s="58">
        <v>50</v>
      </c>
      <c r="K392" s="61">
        <v>12</v>
      </c>
      <c r="L392" s="36">
        <f>+K392*I392</f>
        <v>132</v>
      </c>
      <c r="M392" s="37" t="s">
        <v>735</v>
      </c>
      <c r="N392" s="23" t="s">
        <v>960</v>
      </c>
      <c r="O392" s="23">
        <v>54</v>
      </c>
      <c r="P392" s="23" t="s">
        <v>791</v>
      </c>
      <c r="Q392" s="23">
        <v>45</v>
      </c>
      <c r="R392" s="23" t="s">
        <v>792</v>
      </c>
      <c r="S392" s="24">
        <v>28</v>
      </c>
      <c r="T392" s="7">
        <v>2208</v>
      </c>
      <c r="U392" s="7" t="s">
        <v>1426</v>
      </c>
      <c r="V392" s="7">
        <v>2180</v>
      </c>
      <c r="W392" s="7" t="s">
        <v>1380</v>
      </c>
      <c r="X392" s="17"/>
      <c r="Y392" s="18"/>
      <c r="Z392" s="18"/>
      <c r="AA392" s="18"/>
      <c r="AB392" s="7" t="s">
        <v>1058</v>
      </c>
      <c r="AC392" s="8"/>
      <c r="AD392" s="8" t="s">
        <v>726</v>
      </c>
      <c r="AE392" s="8" t="s">
        <v>726</v>
      </c>
      <c r="AF392" s="8"/>
      <c r="AG392" s="8"/>
      <c r="AH392" s="8"/>
      <c r="AI392" s="8"/>
      <c r="AJ392" s="8"/>
      <c r="AK392" s="8"/>
      <c r="AL392" s="8" t="s">
        <v>726</v>
      </c>
      <c r="AM392" s="8"/>
      <c r="AN392" s="8"/>
      <c r="AO392" s="8"/>
      <c r="AP392" s="8"/>
      <c r="AQ392" s="8"/>
      <c r="AR392" s="8"/>
      <c r="AS392" s="8"/>
      <c r="AT392" s="8"/>
      <c r="AU392" s="8"/>
      <c r="AV392" s="8"/>
      <c r="AX392" s="142">
        <v>33.925166041954363</v>
      </c>
    </row>
    <row r="393" spans="1:50" ht="25.5">
      <c r="B393" s="27">
        <v>389</v>
      </c>
      <c r="C393" s="31">
        <v>210</v>
      </c>
      <c r="D393" s="31">
        <v>55</v>
      </c>
      <c r="E393" s="32">
        <v>0.30486111111111108</v>
      </c>
      <c r="F393" s="32">
        <v>0.3263888888888889</v>
      </c>
      <c r="G393" s="31" t="s">
        <v>392</v>
      </c>
      <c r="H393" s="31" t="s">
        <v>103</v>
      </c>
      <c r="I393" s="33">
        <v>19</v>
      </c>
      <c r="J393" s="34">
        <v>50</v>
      </c>
      <c r="K393" s="61">
        <v>174</v>
      </c>
      <c r="L393" s="36">
        <f>+K393*I393</f>
        <v>3306</v>
      </c>
      <c r="M393" s="37" t="s">
        <v>742</v>
      </c>
      <c r="N393" s="23" t="s">
        <v>827</v>
      </c>
      <c r="O393" s="23">
        <v>57</v>
      </c>
      <c r="P393" s="112" t="s">
        <v>1907</v>
      </c>
      <c r="Q393" s="112">
        <v>58</v>
      </c>
      <c r="R393" s="79" t="s">
        <v>1908</v>
      </c>
      <c r="S393" s="79">
        <v>37</v>
      </c>
      <c r="T393" s="7">
        <v>2197</v>
      </c>
      <c r="U393" s="7" t="s">
        <v>1427</v>
      </c>
      <c r="V393" s="7">
        <v>2290</v>
      </c>
      <c r="W393" s="7" t="s">
        <v>1381</v>
      </c>
      <c r="X393" s="18"/>
      <c r="Y393" s="17"/>
      <c r="Z393" s="17"/>
      <c r="AA393" s="17"/>
      <c r="AB393" s="7" t="s">
        <v>1042</v>
      </c>
      <c r="AC393" s="8"/>
      <c r="AD393" s="8"/>
      <c r="AE393" s="8"/>
      <c r="AF393" s="8" t="s">
        <v>726</v>
      </c>
      <c r="AG393" s="8" t="s">
        <v>726</v>
      </c>
      <c r="AH393" s="8" t="s">
        <v>726</v>
      </c>
      <c r="AI393" s="8" t="s">
        <v>726</v>
      </c>
      <c r="AJ393" s="8" t="s">
        <v>726</v>
      </c>
      <c r="AK393" s="8" t="s">
        <v>726</v>
      </c>
      <c r="AL393" s="8"/>
      <c r="AM393" s="8"/>
      <c r="AN393" s="8"/>
      <c r="AO393" s="8"/>
      <c r="AP393" s="8"/>
      <c r="AQ393" s="8"/>
      <c r="AR393" s="8"/>
      <c r="AS393" s="8"/>
      <c r="AT393" s="8"/>
      <c r="AU393" s="8"/>
      <c r="AV393" s="8"/>
      <c r="AX393" s="142">
        <v>162.84</v>
      </c>
    </row>
    <row r="394" spans="1:50" ht="25.5">
      <c r="B394" s="27">
        <v>390</v>
      </c>
      <c r="C394" s="31">
        <v>210</v>
      </c>
      <c r="D394" s="31">
        <v>245</v>
      </c>
      <c r="E394" s="42">
        <v>0.30902777777777779</v>
      </c>
      <c r="F394" s="42">
        <v>0.31666666666666665</v>
      </c>
      <c r="G394" s="31" t="s">
        <v>391</v>
      </c>
      <c r="H394" s="31" t="s">
        <v>103</v>
      </c>
      <c r="I394" s="33">
        <v>5</v>
      </c>
      <c r="J394" s="34">
        <v>22</v>
      </c>
      <c r="K394" s="35">
        <v>174</v>
      </c>
      <c r="L394" s="36">
        <f>+K394*I394</f>
        <v>870</v>
      </c>
      <c r="M394" s="37" t="s">
        <v>742</v>
      </c>
      <c r="N394" s="23" t="s">
        <v>784</v>
      </c>
      <c r="O394" s="23">
        <v>23</v>
      </c>
      <c r="P394" s="23" t="s">
        <v>783</v>
      </c>
      <c r="Q394" s="23" t="s">
        <v>269</v>
      </c>
      <c r="R394" s="23" t="s">
        <v>825</v>
      </c>
      <c r="S394" s="23">
        <v>17</v>
      </c>
      <c r="T394" s="7">
        <v>2198</v>
      </c>
      <c r="U394" s="7" t="s">
        <v>1428</v>
      </c>
      <c r="V394" s="7">
        <v>2180</v>
      </c>
      <c r="W394" s="7" t="s">
        <v>1380</v>
      </c>
      <c r="X394" s="18"/>
      <c r="Y394" s="17"/>
      <c r="Z394" s="17"/>
      <c r="AA394" s="17"/>
      <c r="AB394" s="7" t="s">
        <v>1042</v>
      </c>
      <c r="AC394" s="8"/>
      <c r="AD394" s="8"/>
      <c r="AE394" s="8"/>
      <c r="AF394" s="8" t="s">
        <v>726</v>
      </c>
      <c r="AG394" s="8" t="s">
        <v>726</v>
      </c>
      <c r="AH394" s="8" t="s">
        <v>726</v>
      </c>
      <c r="AI394" s="8" t="s">
        <v>726</v>
      </c>
      <c r="AJ394" s="8" t="s">
        <v>726</v>
      </c>
      <c r="AK394" s="8" t="s">
        <v>726</v>
      </c>
      <c r="AL394" s="8"/>
      <c r="AM394" s="8"/>
      <c r="AN394" s="8"/>
      <c r="AO394" s="8"/>
      <c r="AP394" s="8"/>
      <c r="AQ394" s="8"/>
      <c r="AR394" s="8"/>
      <c r="AS394" s="8"/>
      <c r="AT394" s="8"/>
      <c r="AU394" s="8"/>
      <c r="AV394" s="8"/>
      <c r="AX394" s="142">
        <v>35.479999999999997</v>
      </c>
    </row>
    <row r="395" spans="1:50" ht="45">
      <c r="B395" s="27">
        <v>391</v>
      </c>
      <c r="C395" s="31">
        <v>210</v>
      </c>
      <c r="D395" s="31">
        <v>66</v>
      </c>
      <c r="E395" s="32">
        <v>0.63541666666666663</v>
      </c>
      <c r="F395" s="32">
        <v>0.64027777777777783</v>
      </c>
      <c r="G395" s="31" t="s">
        <v>677</v>
      </c>
      <c r="H395" s="31" t="s">
        <v>103</v>
      </c>
      <c r="I395" s="31">
        <v>5</v>
      </c>
      <c r="J395" s="34" t="s">
        <v>99</v>
      </c>
      <c r="K395" s="35">
        <v>174</v>
      </c>
      <c r="L395" s="36">
        <f>+K395*I395</f>
        <v>870</v>
      </c>
      <c r="M395" s="37" t="s">
        <v>743</v>
      </c>
      <c r="N395" s="23" t="s">
        <v>861</v>
      </c>
      <c r="O395" s="23">
        <v>25</v>
      </c>
      <c r="P395" s="23" t="s">
        <v>862</v>
      </c>
      <c r="Q395" s="23">
        <v>23</v>
      </c>
      <c r="S395" s="23"/>
      <c r="T395" s="7">
        <v>2180</v>
      </c>
      <c r="U395" s="7" t="s">
        <v>1380</v>
      </c>
      <c r="V395" s="7">
        <v>2225</v>
      </c>
      <c r="W395" s="7" t="s">
        <v>1429</v>
      </c>
      <c r="X395" s="18"/>
      <c r="Y395" s="17"/>
      <c r="Z395" s="17"/>
      <c r="AA395" s="17"/>
      <c r="AB395" s="7" t="s">
        <v>1042</v>
      </c>
      <c r="AC395" s="8"/>
      <c r="AD395" s="8"/>
      <c r="AE395" s="8"/>
      <c r="AF395" s="8" t="s">
        <v>726</v>
      </c>
      <c r="AG395" s="8" t="s">
        <v>726</v>
      </c>
      <c r="AH395" s="8" t="s">
        <v>726</v>
      </c>
      <c r="AI395" s="8" t="s">
        <v>726</v>
      </c>
      <c r="AJ395" s="8" t="s">
        <v>726</v>
      </c>
      <c r="AK395" s="8" t="s">
        <v>726</v>
      </c>
      <c r="AL395" s="8"/>
      <c r="AM395" s="8"/>
      <c r="AN395" s="8"/>
      <c r="AO395" s="8"/>
      <c r="AP395" s="8"/>
      <c r="AQ395" s="8"/>
      <c r="AR395" s="8"/>
      <c r="AS395" s="8"/>
      <c r="AT395" s="8"/>
      <c r="AU395" s="8"/>
      <c r="AV395" s="8"/>
      <c r="AX395" s="142">
        <v>15</v>
      </c>
    </row>
    <row r="396" spans="1:50" ht="25.5">
      <c r="B396" s="27">
        <v>392</v>
      </c>
      <c r="C396" s="31">
        <v>210</v>
      </c>
      <c r="D396" s="31">
        <v>430</v>
      </c>
      <c r="E396" s="32">
        <v>0.64930555555555558</v>
      </c>
      <c r="F396" s="32">
        <v>0.65694444444444444</v>
      </c>
      <c r="G396" s="31" t="s">
        <v>553</v>
      </c>
      <c r="H396" s="31" t="s">
        <v>554</v>
      </c>
      <c r="I396" s="33">
        <v>5</v>
      </c>
      <c r="J396" s="34">
        <v>22</v>
      </c>
      <c r="K396" s="35">
        <f>33+36+36</f>
        <v>105</v>
      </c>
      <c r="L396" s="36">
        <f>+K396*I396</f>
        <v>525</v>
      </c>
      <c r="M396" s="37" t="s">
        <v>742</v>
      </c>
      <c r="N396" s="23" t="s">
        <v>825</v>
      </c>
      <c r="O396" s="23">
        <v>17</v>
      </c>
      <c r="P396" s="23" t="s">
        <v>784</v>
      </c>
      <c r="Q396" s="23">
        <v>23</v>
      </c>
      <c r="R396" s="23" t="s">
        <v>783</v>
      </c>
      <c r="S396" s="23" t="s">
        <v>269</v>
      </c>
      <c r="T396" s="7">
        <v>2180</v>
      </c>
      <c r="U396" s="7" t="s">
        <v>1380</v>
      </c>
      <c r="V396" s="7">
        <v>2198</v>
      </c>
      <c r="W396" s="7" t="s">
        <v>1428</v>
      </c>
      <c r="X396" s="18"/>
      <c r="Y396" s="17"/>
      <c r="Z396" s="17"/>
      <c r="AA396" s="17"/>
      <c r="AB396" s="7" t="s">
        <v>1069</v>
      </c>
      <c r="AC396" s="8"/>
      <c r="AD396" s="8"/>
      <c r="AE396" s="8"/>
      <c r="AF396" s="8" t="s">
        <v>726</v>
      </c>
      <c r="AG396" s="8" t="s">
        <v>726</v>
      </c>
      <c r="AH396" s="8"/>
      <c r="AI396" s="8" t="s">
        <v>726</v>
      </c>
      <c r="AJ396" s="8"/>
      <c r="AK396" s="8" t="s">
        <v>726</v>
      </c>
      <c r="AL396" s="8"/>
      <c r="AM396" s="8"/>
      <c r="AN396" s="8"/>
      <c r="AO396" s="8"/>
      <c r="AP396" s="8"/>
      <c r="AQ396" s="8"/>
      <c r="AR396" s="8"/>
      <c r="AS396" s="8"/>
      <c r="AT396" s="8"/>
      <c r="AU396" s="8"/>
      <c r="AV396" s="8"/>
      <c r="AX396" s="142">
        <v>35.479999999999997</v>
      </c>
    </row>
    <row r="397" spans="1:50" ht="25.5">
      <c r="B397" s="27">
        <v>393</v>
      </c>
      <c r="C397" s="31">
        <v>210</v>
      </c>
      <c r="D397" s="34">
        <v>458</v>
      </c>
      <c r="E397" s="42">
        <v>0.6875</v>
      </c>
      <c r="F397" s="42">
        <v>0.70763888888888893</v>
      </c>
      <c r="G397" s="31" t="s">
        <v>277</v>
      </c>
      <c r="H397" s="31" t="s">
        <v>421</v>
      </c>
      <c r="I397" s="33">
        <v>11</v>
      </c>
      <c r="J397" s="34">
        <v>44</v>
      </c>
      <c r="K397" s="35">
        <f>33+34+34</f>
        <v>101</v>
      </c>
      <c r="L397" s="36">
        <f>+K397*I397</f>
        <v>1111</v>
      </c>
      <c r="M397" s="37" t="s">
        <v>735</v>
      </c>
      <c r="N397" s="23" t="s">
        <v>959</v>
      </c>
      <c r="O397" s="23">
        <v>29</v>
      </c>
      <c r="P397" s="23" t="s">
        <v>792</v>
      </c>
      <c r="Q397" s="23">
        <v>29</v>
      </c>
      <c r="R397" s="23" t="s">
        <v>962</v>
      </c>
      <c r="S397" s="24">
        <v>25</v>
      </c>
      <c r="T397" s="7">
        <v>2180</v>
      </c>
      <c r="U397" s="7" t="s">
        <v>1380</v>
      </c>
      <c r="V397" s="7">
        <v>2208</v>
      </c>
      <c r="W397" s="7" t="s">
        <v>1426</v>
      </c>
      <c r="X397" s="18"/>
      <c r="Y397" s="17"/>
      <c r="Z397" s="17"/>
      <c r="AA397" s="17"/>
      <c r="AB397" s="7" t="s">
        <v>1933</v>
      </c>
      <c r="AC397" s="8"/>
      <c r="AD397" s="8"/>
      <c r="AE397" s="8"/>
      <c r="AF397" s="8" t="s">
        <v>726</v>
      </c>
      <c r="AG397" s="8" t="s">
        <v>726</v>
      </c>
      <c r="AH397" s="8" t="s">
        <v>726</v>
      </c>
      <c r="AI397" s="8"/>
      <c r="AJ397" s="8" t="s">
        <v>726</v>
      </c>
      <c r="AK397" s="8"/>
      <c r="AL397" s="8"/>
      <c r="AM397" s="8"/>
      <c r="AN397" s="8"/>
      <c r="AO397" s="8"/>
      <c r="AP397" s="8"/>
      <c r="AQ397" s="8"/>
      <c r="AR397" s="8"/>
      <c r="AS397" s="8"/>
      <c r="AT397" s="8"/>
      <c r="AU397" s="8"/>
      <c r="AV397" s="8"/>
      <c r="AX397" s="142">
        <v>64.67</v>
      </c>
    </row>
    <row r="398" spans="1:50" ht="25.5">
      <c r="A398" s="2" t="s">
        <v>793</v>
      </c>
      <c r="B398" s="27">
        <v>394</v>
      </c>
      <c r="C398" s="55">
        <v>211</v>
      </c>
      <c r="D398" s="55">
        <v>16</v>
      </c>
      <c r="E398" s="60">
        <v>0.26111111111111113</v>
      </c>
      <c r="F398" s="60">
        <v>0.27291666666666664</v>
      </c>
      <c r="G398" s="57" t="s">
        <v>537</v>
      </c>
      <c r="H398" s="31" t="s">
        <v>423</v>
      </c>
      <c r="I398" s="55">
        <v>7.5</v>
      </c>
      <c r="J398" s="58">
        <v>50</v>
      </c>
      <c r="K398" s="35">
        <v>67</v>
      </c>
      <c r="L398" s="36">
        <f>+K398*I398</f>
        <v>502.5</v>
      </c>
      <c r="M398" s="37" t="s">
        <v>735</v>
      </c>
      <c r="N398" s="23" t="s">
        <v>960</v>
      </c>
      <c r="O398" s="23">
        <v>54</v>
      </c>
      <c r="P398" s="23" t="s">
        <v>791</v>
      </c>
      <c r="Q398" s="23">
        <v>45</v>
      </c>
      <c r="R398" s="23" t="s">
        <v>792</v>
      </c>
      <c r="S398" s="24">
        <v>28</v>
      </c>
      <c r="T398" s="7" t="s">
        <v>1430</v>
      </c>
      <c r="U398" s="7" t="s">
        <v>1431</v>
      </c>
      <c r="V398" s="7">
        <v>2180</v>
      </c>
      <c r="W398" s="7" t="s">
        <v>1380</v>
      </c>
      <c r="X398" s="17"/>
      <c r="Y398" s="18"/>
      <c r="Z398" s="18"/>
      <c r="AA398" s="18"/>
      <c r="AB398" s="8" t="s">
        <v>1047</v>
      </c>
      <c r="AC398" s="8"/>
      <c r="AD398" s="8" t="s">
        <v>726</v>
      </c>
      <c r="AE398" s="8" t="s">
        <v>726</v>
      </c>
      <c r="AF398" s="8"/>
      <c r="AG398" s="8" t="s">
        <v>726</v>
      </c>
      <c r="AH398" s="8" t="s">
        <v>726</v>
      </c>
      <c r="AI398" s="8" t="s">
        <v>726</v>
      </c>
      <c r="AJ398" s="8" t="s">
        <v>726</v>
      </c>
      <c r="AK398" s="8" t="s">
        <v>726</v>
      </c>
      <c r="AL398" s="8" t="s">
        <v>726</v>
      </c>
      <c r="AM398" s="8"/>
      <c r="AN398" s="8"/>
      <c r="AO398" s="8"/>
      <c r="AP398" s="8"/>
      <c r="AQ398" s="8"/>
      <c r="AR398" s="8"/>
      <c r="AS398" s="8"/>
      <c r="AT398" s="8"/>
      <c r="AU398" s="8"/>
      <c r="AV398" s="8"/>
      <c r="AX398" s="142">
        <v>23.130795028605245</v>
      </c>
    </row>
    <row r="399" spans="1:50" ht="45">
      <c r="B399" s="27">
        <v>395</v>
      </c>
      <c r="C399" s="31">
        <v>211</v>
      </c>
      <c r="D399" s="31">
        <v>8</v>
      </c>
      <c r="E399" s="42">
        <v>0.25555555555555559</v>
      </c>
      <c r="F399" s="42">
        <v>0.27291666666666664</v>
      </c>
      <c r="G399" s="43" t="s">
        <v>1959</v>
      </c>
      <c r="H399" s="31" t="s">
        <v>103</v>
      </c>
      <c r="I399" s="31">
        <v>7.7</v>
      </c>
      <c r="J399" s="34" t="s">
        <v>99</v>
      </c>
      <c r="K399" s="61">
        <v>174</v>
      </c>
      <c r="L399" s="36">
        <f>+K399*I399</f>
        <v>1339.8</v>
      </c>
      <c r="M399" s="37" t="s">
        <v>743</v>
      </c>
      <c r="N399" s="23" t="s">
        <v>862</v>
      </c>
      <c r="O399" s="23">
        <v>23</v>
      </c>
      <c r="P399" s="23" t="s">
        <v>1170</v>
      </c>
      <c r="Q399" s="23">
        <v>9</v>
      </c>
      <c r="S399" s="23"/>
      <c r="T399" s="7">
        <v>2186</v>
      </c>
      <c r="U399" s="7" t="s">
        <v>1765</v>
      </c>
      <c r="V399" s="7" t="s">
        <v>1766</v>
      </c>
      <c r="W399" s="7" t="s">
        <v>1767</v>
      </c>
      <c r="X399" s="18"/>
      <c r="Y399" s="17"/>
      <c r="Z399" s="17"/>
      <c r="AA399" s="17"/>
      <c r="AB399" s="7" t="s">
        <v>1042</v>
      </c>
      <c r="AC399" s="8"/>
      <c r="AD399" s="8"/>
      <c r="AE399" s="8"/>
      <c r="AF399" s="8" t="s">
        <v>726</v>
      </c>
      <c r="AG399" s="8" t="s">
        <v>726</v>
      </c>
      <c r="AH399" s="8" t="s">
        <v>726</v>
      </c>
      <c r="AI399" s="8" t="s">
        <v>726</v>
      </c>
      <c r="AJ399" s="8" t="s">
        <v>726</v>
      </c>
      <c r="AK399" s="8" t="s">
        <v>726</v>
      </c>
      <c r="AL399" s="8"/>
      <c r="AM399" s="8"/>
      <c r="AN399" s="8"/>
      <c r="AO399" s="8"/>
      <c r="AP399" s="8"/>
      <c r="AQ399" s="8"/>
      <c r="AR399" s="8"/>
      <c r="AS399" s="8"/>
      <c r="AT399" s="8"/>
      <c r="AU399" s="8"/>
      <c r="AV399" s="8"/>
      <c r="AX399" s="142">
        <v>30</v>
      </c>
    </row>
    <row r="400" spans="1:50" ht="25.5">
      <c r="B400" s="27">
        <v>396</v>
      </c>
      <c r="C400" s="31">
        <v>211</v>
      </c>
      <c r="D400" s="31">
        <v>373</v>
      </c>
      <c r="E400" s="32">
        <v>0.29444444444444445</v>
      </c>
      <c r="F400" s="42">
        <v>0.29791666666666666</v>
      </c>
      <c r="G400" s="31" t="s">
        <v>369</v>
      </c>
      <c r="H400" s="31" t="s">
        <v>123</v>
      </c>
      <c r="I400" s="33">
        <v>1.5</v>
      </c>
      <c r="J400" s="34">
        <v>8</v>
      </c>
      <c r="K400" s="35">
        <v>34</v>
      </c>
      <c r="L400" s="36">
        <f>+K400*I400</f>
        <v>51</v>
      </c>
      <c r="M400" s="37" t="s">
        <v>744</v>
      </c>
      <c r="N400" s="23" t="s">
        <v>831</v>
      </c>
      <c r="O400" s="23">
        <v>9</v>
      </c>
      <c r="P400" s="23" t="s">
        <v>832</v>
      </c>
      <c r="Q400" s="23">
        <v>23</v>
      </c>
      <c r="R400" s="23" t="s">
        <v>1151</v>
      </c>
      <c r="S400" s="23">
        <v>7</v>
      </c>
      <c r="T400" s="7">
        <v>2221</v>
      </c>
      <c r="U400" s="7" t="s">
        <v>1436</v>
      </c>
      <c r="V400" s="7">
        <v>2210</v>
      </c>
      <c r="W400" s="7" t="s">
        <v>1437</v>
      </c>
      <c r="X400" s="18"/>
      <c r="Y400" s="17"/>
      <c r="Z400" s="17"/>
      <c r="AA400" s="17"/>
      <c r="AB400" s="7" t="s">
        <v>1051</v>
      </c>
      <c r="AC400" s="8"/>
      <c r="AD400" s="8"/>
      <c r="AE400" s="8"/>
      <c r="AF400" s="8" t="s">
        <v>726</v>
      </c>
      <c r="AG400" s="8"/>
      <c r="AH400" s="8"/>
      <c r="AI400" s="8"/>
      <c r="AJ400" s="8"/>
      <c r="AK400" s="8"/>
      <c r="AL400" s="8" t="s">
        <v>726</v>
      </c>
      <c r="AM400" s="8"/>
      <c r="AN400" s="8"/>
      <c r="AO400" s="8"/>
      <c r="AP400" s="8"/>
      <c r="AQ400" s="8"/>
      <c r="AR400" s="8"/>
      <c r="AS400" s="8"/>
      <c r="AT400" s="8"/>
      <c r="AU400" s="8"/>
      <c r="AV400" s="8"/>
      <c r="AX400" s="142">
        <v>34.69</v>
      </c>
    </row>
    <row r="401" spans="1:50" ht="25.5">
      <c r="A401" s="2" t="s">
        <v>794</v>
      </c>
      <c r="B401" s="27">
        <v>397</v>
      </c>
      <c r="C401" s="31">
        <v>211</v>
      </c>
      <c r="D401" s="43">
        <v>13</v>
      </c>
      <c r="E401" s="32">
        <v>0.3611111111111111</v>
      </c>
      <c r="F401" s="32">
        <v>0.40208333333333335</v>
      </c>
      <c r="G401" s="31" t="s">
        <v>610</v>
      </c>
      <c r="H401" s="31" t="s">
        <v>423</v>
      </c>
      <c r="I401" s="33">
        <v>29</v>
      </c>
      <c r="J401" s="34" t="s">
        <v>101</v>
      </c>
      <c r="K401" s="35">
        <v>67</v>
      </c>
      <c r="L401" s="36">
        <f>+K401*I401</f>
        <v>1943</v>
      </c>
      <c r="M401" s="37" t="s">
        <v>742</v>
      </c>
      <c r="N401" s="23" t="s">
        <v>827</v>
      </c>
      <c r="O401" s="23">
        <v>57</v>
      </c>
      <c r="P401" s="23" t="s">
        <v>826</v>
      </c>
      <c r="Q401" s="23">
        <v>57</v>
      </c>
      <c r="S401" s="23"/>
      <c r="T401" s="7">
        <v>2180</v>
      </c>
      <c r="U401" s="7" t="s">
        <v>1380</v>
      </c>
      <c r="V401" s="7">
        <v>960</v>
      </c>
      <c r="W401" s="7" t="s">
        <v>1251</v>
      </c>
      <c r="X401" s="17"/>
      <c r="Y401" s="18"/>
      <c r="Z401" s="18"/>
      <c r="AA401" s="18"/>
      <c r="AB401" s="8" t="s">
        <v>1047</v>
      </c>
      <c r="AC401" s="8"/>
      <c r="AD401" s="8" t="s">
        <v>726</v>
      </c>
      <c r="AE401" s="8" t="s">
        <v>726</v>
      </c>
      <c r="AF401" s="8"/>
      <c r="AG401" s="8" t="s">
        <v>726</v>
      </c>
      <c r="AH401" s="8" t="s">
        <v>726</v>
      </c>
      <c r="AI401" s="8" t="s">
        <v>726</v>
      </c>
      <c r="AJ401" s="8" t="s">
        <v>726</v>
      </c>
      <c r="AK401" s="8" t="s">
        <v>726</v>
      </c>
      <c r="AL401" s="8" t="s">
        <v>726</v>
      </c>
      <c r="AM401" s="8"/>
      <c r="AN401" s="8"/>
      <c r="AO401" s="8"/>
      <c r="AP401" s="8"/>
      <c r="AQ401" s="8"/>
      <c r="AR401" s="8"/>
      <c r="AS401" s="8"/>
      <c r="AT401" s="8"/>
      <c r="AU401" s="8"/>
      <c r="AV401" s="8"/>
      <c r="AX401" s="142">
        <v>87</v>
      </c>
    </row>
    <row r="402" spans="1:50" ht="25.5">
      <c r="A402" s="2" t="s">
        <v>794</v>
      </c>
      <c r="B402" s="27">
        <v>398</v>
      </c>
      <c r="C402" s="31">
        <v>211</v>
      </c>
      <c r="D402" s="43">
        <v>224</v>
      </c>
      <c r="E402" s="32">
        <v>0.40625</v>
      </c>
      <c r="F402" s="32">
        <v>0.4465277777777778</v>
      </c>
      <c r="G402" s="31" t="s">
        <v>609</v>
      </c>
      <c r="H402" s="31" t="s">
        <v>423</v>
      </c>
      <c r="I402" s="33">
        <v>29</v>
      </c>
      <c r="J402" s="34" t="s">
        <v>101</v>
      </c>
      <c r="K402" s="61">
        <v>67</v>
      </c>
      <c r="L402" s="36">
        <f>+K402*I402</f>
        <v>1943</v>
      </c>
      <c r="M402" s="37" t="s">
        <v>742</v>
      </c>
      <c r="N402" s="23" t="s">
        <v>827</v>
      </c>
      <c r="O402" s="23">
        <v>57</v>
      </c>
      <c r="P402" s="23" t="s">
        <v>826</v>
      </c>
      <c r="Q402" s="23">
        <v>57</v>
      </c>
      <c r="S402" s="23"/>
      <c r="T402" s="7">
        <v>960</v>
      </c>
      <c r="U402" s="7" t="s">
        <v>1251</v>
      </c>
      <c r="V402" s="7">
        <v>2180</v>
      </c>
      <c r="W402" s="7" t="s">
        <v>1380</v>
      </c>
      <c r="X402" s="17"/>
      <c r="Y402" s="18"/>
      <c r="Z402" s="18"/>
      <c r="AA402" s="18"/>
      <c r="AB402" s="8" t="s">
        <v>1047</v>
      </c>
      <c r="AC402" s="8"/>
      <c r="AD402" s="8" t="s">
        <v>726</v>
      </c>
      <c r="AE402" s="8" t="s">
        <v>726</v>
      </c>
      <c r="AF402" s="8"/>
      <c r="AG402" s="8" t="s">
        <v>726</v>
      </c>
      <c r="AH402" s="8" t="s">
        <v>726</v>
      </c>
      <c r="AI402" s="8" t="s">
        <v>726</v>
      </c>
      <c r="AJ402" s="8" t="s">
        <v>726</v>
      </c>
      <c r="AK402" s="8" t="s">
        <v>726</v>
      </c>
      <c r="AL402" s="8" t="s">
        <v>726</v>
      </c>
      <c r="AM402" s="8"/>
      <c r="AN402" s="8"/>
      <c r="AO402" s="8"/>
      <c r="AP402" s="8"/>
      <c r="AQ402" s="8"/>
      <c r="AR402" s="8"/>
      <c r="AS402" s="8"/>
      <c r="AT402" s="8"/>
      <c r="AU402" s="8"/>
      <c r="AV402" s="8"/>
      <c r="AX402" s="142">
        <v>87</v>
      </c>
    </row>
    <row r="403" spans="1:50" ht="25.5">
      <c r="B403" s="27">
        <v>399</v>
      </c>
      <c r="C403" s="31">
        <v>211</v>
      </c>
      <c r="D403" s="31">
        <v>376</v>
      </c>
      <c r="E403" s="32">
        <v>0.54652777777777783</v>
      </c>
      <c r="F403" s="32">
        <v>0.55000000000000004</v>
      </c>
      <c r="G403" s="31" t="s">
        <v>390</v>
      </c>
      <c r="H403" s="31" t="s">
        <v>97</v>
      </c>
      <c r="I403" s="33">
        <v>1.5</v>
      </c>
      <c r="J403" s="34">
        <v>22</v>
      </c>
      <c r="K403" s="35">
        <v>208</v>
      </c>
      <c r="L403" s="36">
        <f>+K403*I403</f>
        <v>312</v>
      </c>
      <c r="M403" s="37" t="s">
        <v>742</v>
      </c>
      <c r="N403" s="23" t="s">
        <v>784</v>
      </c>
      <c r="O403" s="23">
        <v>23</v>
      </c>
      <c r="P403" s="23" t="s">
        <v>783</v>
      </c>
      <c r="Q403" s="23">
        <v>23</v>
      </c>
      <c r="R403" s="23" t="s">
        <v>825</v>
      </c>
      <c r="S403" s="23">
        <v>17</v>
      </c>
      <c r="T403" s="7">
        <v>2210</v>
      </c>
      <c r="U403" s="7" t="s">
        <v>1437</v>
      </c>
      <c r="V403" s="7">
        <v>2221</v>
      </c>
      <c r="W403" s="7" t="s">
        <v>1436</v>
      </c>
      <c r="X403" s="18"/>
      <c r="Y403" s="17"/>
      <c r="Z403" s="17"/>
      <c r="AA403" s="17"/>
      <c r="AB403" s="7" t="s">
        <v>1046</v>
      </c>
      <c r="AC403" s="8"/>
      <c r="AD403" s="8"/>
      <c r="AE403" s="8"/>
      <c r="AF403" s="8" t="s">
        <v>726</v>
      </c>
      <c r="AG403" s="8" t="s">
        <v>726</v>
      </c>
      <c r="AH403" s="8" t="s">
        <v>726</v>
      </c>
      <c r="AI403" s="8" t="s">
        <v>726</v>
      </c>
      <c r="AJ403" s="8" t="s">
        <v>726</v>
      </c>
      <c r="AK403" s="8" t="s">
        <v>726</v>
      </c>
      <c r="AL403" s="8" t="s">
        <v>726</v>
      </c>
      <c r="AM403" s="8"/>
      <c r="AN403" s="8"/>
      <c r="AO403" s="8"/>
      <c r="AP403" s="8"/>
      <c r="AQ403" s="8"/>
      <c r="AR403" s="8"/>
      <c r="AS403" s="8"/>
      <c r="AT403" s="8"/>
      <c r="AU403" s="8"/>
      <c r="AV403" s="8"/>
      <c r="AX403" s="142">
        <v>4.5</v>
      </c>
    </row>
    <row r="404" spans="1:50" ht="25.5">
      <c r="B404" s="27">
        <v>400</v>
      </c>
      <c r="C404" s="31">
        <v>211</v>
      </c>
      <c r="D404" s="31">
        <v>492</v>
      </c>
      <c r="E404" s="32">
        <v>0.56388888888888888</v>
      </c>
      <c r="F404" s="32">
        <v>0.56736111111111109</v>
      </c>
      <c r="G404" s="31" t="s">
        <v>390</v>
      </c>
      <c r="H404" s="31" t="s">
        <v>389</v>
      </c>
      <c r="I404" s="33">
        <v>1.5</v>
      </c>
      <c r="J404" s="34">
        <v>22</v>
      </c>
      <c r="K404" s="35">
        <f>174-34</f>
        <v>140</v>
      </c>
      <c r="L404" s="36">
        <f>+K404*I404</f>
        <v>210</v>
      </c>
      <c r="M404" s="37" t="s">
        <v>742</v>
      </c>
      <c r="N404" s="23" t="s">
        <v>784</v>
      </c>
      <c r="O404" s="23">
        <v>23</v>
      </c>
      <c r="P404" s="23" t="s">
        <v>783</v>
      </c>
      <c r="Q404" s="23">
        <v>23</v>
      </c>
      <c r="R404" s="23" t="s">
        <v>825</v>
      </c>
      <c r="S404" s="23">
        <v>17</v>
      </c>
      <c r="T404" s="7">
        <v>2210</v>
      </c>
      <c r="U404" s="7" t="s">
        <v>1437</v>
      </c>
      <c r="V404" s="7">
        <v>2221</v>
      </c>
      <c r="W404" s="7" t="s">
        <v>1436</v>
      </c>
      <c r="X404" s="18"/>
      <c r="Y404" s="17"/>
      <c r="Z404" s="17"/>
      <c r="AA404" s="17"/>
      <c r="AB404" s="7" t="s">
        <v>1070</v>
      </c>
      <c r="AC404" s="8"/>
      <c r="AD404" s="8"/>
      <c r="AE404" s="8"/>
      <c r="AF404" s="8" t="s">
        <v>726</v>
      </c>
      <c r="AG404" s="8" t="s">
        <v>726</v>
      </c>
      <c r="AH404" s="8" t="s">
        <v>726</v>
      </c>
      <c r="AI404" s="8" t="s">
        <v>726</v>
      </c>
      <c r="AJ404" s="8"/>
      <c r="AK404" s="8" t="s">
        <v>726</v>
      </c>
      <c r="AL404" s="8"/>
      <c r="AM404" s="8"/>
      <c r="AN404" s="8"/>
      <c r="AO404" s="8"/>
      <c r="AP404" s="8"/>
      <c r="AQ404" s="8"/>
      <c r="AR404" s="8"/>
      <c r="AS404" s="8"/>
      <c r="AT404" s="8"/>
      <c r="AU404" s="8"/>
      <c r="AV404" s="8"/>
      <c r="AX404" s="142">
        <v>3.96</v>
      </c>
    </row>
    <row r="405" spans="1:50" ht="25.5">
      <c r="A405" s="2" t="s">
        <v>1994</v>
      </c>
      <c r="B405" s="27">
        <v>401</v>
      </c>
      <c r="C405" s="31">
        <v>211</v>
      </c>
      <c r="D405" s="31">
        <v>22</v>
      </c>
      <c r="E405" s="32">
        <v>0.58472222222222225</v>
      </c>
      <c r="F405" s="32">
        <v>0.60069444444444442</v>
      </c>
      <c r="G405" s="31" t="s">
        <v>388</v>
      </c>
      <c r="H405" s="43" t="s">
        <v>1936</v>
      </c>
      <c r="I405" s="33">
        <v>18</v>
      </c>
      <c r="J405" s="34">
        <v>22</v>
      </c>
      <c r="K405" s="35">
        <v>208</v>
      </c>
      <c r="L405" s="36">
        <f>+K405*I405</f>
        <v>3744</v>
      </c>
      <c r="M405" s="37" t="s">
        <v>742</v>
      </c>
      <c r="N405" s="23" t="s">
        <v>784</v>
      </c>
      <c r="O405" s="23">
        <v>23</v>
      </c>
      <c r="P405" s="23" t="s">
        <v>783</v>
      </c>
      <c r="Q405" s="23">
        <v>23</v>
      </c>
      <c r="R405" s="23" t="s">
        <v>825</v>
      </c>
      <c r="S405" s="23">
        <v>17</v>
      </c>
      <c r="T405" s="7">
        <v>2210</v>
      </c>
      <c r="U405" s="7" t="s">
        <v>1437</v>
      </c>
      <c r="V405" s="7">
        <v>2180</v>
      </c>
      <c r="W405" s="7" t="s">
        <v>1380</v>
      </c>
      <c r="X405" s="18"/>
      <c r="Y405" s="17"/>
      <c r="Z405" s="17"/>
      <c r="AA405" s="17"/>
      <c r="AB405" s="7" t="s">
        <v>1042</v>
      </c>
      <c r="AC405" s="8"/>
      <c r="AD405" s="8"/>
      <c r="AE405" s="8"/>
      <c r="AF405" s="8" t="s">
        <v>726</v>
      </c>
      <c r="AG405" s="8" t="s">
        <v>726</v>
      </c>
      <c r="AH405" s="8" t="s">
        <v>726</v>
      </c>
      <c r="AI405" s="8" t="s">
        <v>726</v>
      </c>
      <c r="AJ405" s="8" t="s">
        <v>726</v>
      </c>
      <c r="AK405" s="8" t="s">
        <v>726</v>
      </c>
      <c r="AL405" s="8"/>
      <c r="AM405" s="8"/>
      <c r="AN405" s="8"/>
      <c r="AO405" s="8"/>
      <c r="AP405" s="8"/>
      <c r="AQ405" s="8"/>
      <c r="AR405" s="8"/>
      <c r="AS405" s="8"/>
      <c r="AT405" s="8"/>
      <c r="AU405" s="8"/>
      <c r="AV405" s="8"/>
      <c r="AX405" s="142">
        <v>47.52</v>
      </c>
    </row>
    <row r="406" spans="1:50" ht="25.5">
      <c r="A406" s="2" t="s">
        <v>794</v>
      </c>
      <c r="B406" s="27">
        <v>402</v>
      </c>
      <c r="C406" s="31">
        <v>211</v>
      </c>
      <c r="D406" s="43">
        <v>9</v>
      </c>
      <c r="E406" s="32">
        <v>0.61111111111111105</v>
      </c>
      <c r="F406" s="32">
        <v>0.65208333333333335</v>
      </c>
      <c r="G406" s="31" t="s">
        <v>610</v>
      </c>
      <c r="H406" s="43" t="s">
        <v>2127</v>
      </c>
      <c r="I406" s="33">
        <v>29</v>
      </c>
      <c r="J406" s="34" t="s">
        <v>101</v>
      </c>
      <c r="K406" s="35">
        <v>33</v>
      </c>
      <c r="L406" s="36">
        <f>+K406*I406</f>
        <v>957</v>
      </c>
      <c r="M406" s="121" t="s">
        <v>742</v>
      </c>
      <c r="N406" s="23" t="s">
        <v>827</v>
      </c>
      <c r="O406" s="23">
        <v>57</v>
      </c>
      <c r="P406" s="23" t="s">
        <v>826</v>
      </c>
      <c r="Q406" s="23">
        <v>57</v>
      </c>
      <c r="R406" s="23"/>
      <c r="S406" s="23"/>
      <c r="T406" s="7">
        <v>2180</v>
      </c>
      <c r="U406" s="7" t="s">
        <v>1380</v>
      </c>
      <c r="V406" s="7">
        <v>960</v>
      </c>
      <c r="W406" s="7" t="s">
        <v>1251</v>
      </c>
      <c r="X406" s="17"/>
      <c r="Y406" s="18"/>
      <c r="Z406" s="122">
        <v>45139</v>
      </c>
      <c r="AA406" s="18"/>
      <c r="AB406" s="8" t="s">
        <v>2130</v>
      </c>
      <c r="AC406" s="8"/>
      <c r="AD406" s="8" t="s">
        <v>726</v>
      </c>
      <c r="AE406" s="8" t="s">
        <v>726</v>
      </c>
      <c r="AF406" s="8"/>
      <c r="AG406" s="8" t="s">
        <v>726</v>
      </c>
      <c r="AH406" s="8" t="s">
        <v>726</v>
      </c>
      <c r="AI406" s="8" t="s">
        <v>726</v>
      </c>
      <c r="AJ406" s="8" t="s">
        <v>726</v>
      </c>
      <c r="AK406" s="8" t="s">
        <v>726</v>
      </c>
      <c r="AL406" s="8" t="s">
        <v>726</v>
      </c>
      <c r="AM406" s="8"/>
      <c r="AN406" s="8"/>
      <c r="AO406" s="8"/>
      <c r="AP406" s="8"/>
      <c r="AQ406" s="8"/>
      <c r="AR406" s="8"/>
      <c r="AS406" s="8"/>
      <c r="AT406" s="8"/>
      <c r="AU406" s="8"/>
      <c r="AV406" s="8"/>
      <c r="AX406" s="142">
        <v>87</v>
      </c>
    </row>
    <row r="407" spans="1:50" ht="25.5">
      <c r="A407" s="2" t="s">
        <v>794</v>
      </c>
      <c r="B407" s="48" t="s">
        <v>2128</v>
      </c>
      <c r="C407" s="31">
        <v>211</v>
      </c>
      <c r="D407" s="43">
        <v>9</v>
      </c>
      <c r="E407" s="32">
        <v>0.61111111111111105</v>
      </c>
      <c r="F407" s="32">
        <v>0.65208333333333335</v>
      </c>
      <c r="G407" s="31" t="s">
        <v>610</v>
      </c>
      <c r="H407" s="43" t="s">
        <v>2129</v>
      </c>
      <c r="I407" s="33">
        <v>29</v>
      </c>
      <c r="J407" s="34" t="s">
        <v>101</v>
      </c>
      <c r="K407" s="35">
        <v>34</v>
      </c>
      <c r="L407" s="36">
        <f>+K407*I407</f>
        <v>986</v>
      </c>
      <c r="M407" s="121" t="s">
        <v>744</v>
      </c>
      <c r="N407" s="23" t="s">
        <v>833</v>
      </c>
      <c r="O407" s="23">
        <v>57</v>
      </c>
      <c r="P407" s="23" t="s">
        <v>1792</v>
      </c>
      <c r="Q407" s="23">
        <v>56</v>
      </c>
      <c r="R407" s="23" t="s">
        <v>1171</v>
      </c>
      <c r="S407" s="23">
        <v>45</v>
      </c>
      <c r="T407" s="7">
        <v>2180</v>
      </c>
      <c r="U407" s="7" t="s">
        <v>1380</v>
      </c>
      <c r="V407" s="7">
        <v>960</v>
      </c>
      <c r="W407" s="7" t="s">
        <v>1251</v>
      </c>
      <c r="X407" s="122">
        <v>45101</v>
      </c>
      <c r="Y407" s="122">
        <v>45138</v>
      </c>
      <c r="Z407" s="119"/>
      <c r="AA407" s="122"/>
      <c r="AB407" s="8" t="s">
        <v>2131</v>
      </c>
      <c r="AC407" s="8"/>
      <c r="AD407" s="8" t="s">
        <v>726</v>
      </c>
      <c r="AE407" s="8" t="s">
        <v>726</v>
      </c>
      <c r="AF407" s="8"/>
      <c r="AG407" s="8" t="s">
        <v>726</v>
      </c>
      <c r="AH407" s="8" t="s">
        <v>726</v>
      </c>
      <c r="AI407" s="8" t="s">
        <v>726</v>
      </c>
      <c r="AJ407" s="8" t="s">
        <v>726</v>
      </c>
      <c r="AK407" s="8" t="s">
        <v>726</v>
      </c>
      <c r="AL407" s="8" t="s">
        <v>726</v>
      </c>
      <c r="AM407" s="8"/>
      <c r="AN407" s="8"/>
      <c r="AO407" s="8"/>
      <c r="AP407" s="8"/>
      <c r="AQ407" s="8"/>
      <c r="AR407" s="8"/>
      <c r="AS407" s="8"/>
      <c r="AT407" s="8"/>
      <c r="AU407" s="8"/>
      <c r="AV407" s="8"/>
      <c r="AX407" s="142">
        <v>87</v>
      </c>
    </row>
    <row r="408" spans="1:50" ht="45">
      <c r="B408" s="27">
        <v>403</v>
      </c>
      <c r="C408" s="31">
        <v>211</v>
      </c>
      <c r="D408" s="31">
        <v>86</v>
      </c>
      <c r="E408" s="32">
        <v>0.61249999999999993</v>
      </c>
      <c r="F408" s="32">
        <v>0.63472222222222219</v>
      </c>
      <c r="G408" s="31" t="s">
        <v>469</v>
      </c>
      <c r="H408" s="31" t="s">
        <v>103</v>
      </c>
      <c r="I408" s="31">
        <v>17.399999999999999</v>
      </c>
      <c r="J408" s="34" t="s">
        <v>99</v>
      </c>
      <c r="K408" s="35">
        <v>174</v>
      </c>
      <c r="L408" s="36">
        <f>+K408*I408</f>
        <v>3027.6</v>
      </c>
      <c r="M408" s="37" t="s">
        <v>743</v>
      </c>
      <c r="N408" s="23" t="s">
        <v>861</v>
      </c>
      <c r="O408" s="23">
        <v>25</v>
      </c>
      <c r="P408" s="23" t="s">
        <v>862</v>
      </c>
      <c r="Q408" s="23">
        <v>23</v>
      </c>
      <c r="S408" s="23"/>
      <c r="T408" s="7" t="s">
        <v>1438</v>
      </c>
      <c r="U408" s="7" t="s">
        <v>1439</v>
      </c>
      <c r="V408" s="7">
        <v>2180</v>
      </c>
      <c r="W408" s="7" t="s">
        <v>1380</v>
      </c>
      <c r="X408" s="18"/>
      <c r="Y408" s="17"/>
      <c r="Z408" s="17"/>
      <c r="AA408" s="17"/>
      <c r="AB408" s="7" t="s">
        <v>1042</v>
      </c>
      <c r="AC408" s="8"/>
      <c r="AD408" s="8"/>
      <c r="AE408" s="8"/>
      <c r="AF408" s="8" t="s">
        <v>726</v>
      </c>
      <c r="AG408" s="8" t="s">
        <v>726</v>
      </c>
      <c r="AH408" s="8" t="s">
        <v>726</v>
      </c>
      <c r="AI408" s="8" t="s">
        <v>726</v>
      </c>
      <c r="AJ408" s="8" t="s">
        <v>726</v>
      </c>
      <c r="AK408" s="8" t="s">
        <v>726</v>
      </c>
      <c r="AL408" s="8"/>
      <c r="AM408" s="8"/>
      <c r="AN408" s="8"/>
      <c r="AO408" s="8"/>
      <c r="AP408" s="8"/>
      <c r="AQ408" s="8"/>
      <c r="AR408" s="8"/>
      <c r="AS408" s="8"/>
      <c r="AT408" s="8"/>
      <c r="AU408" s="8"/>
      <c r="AV408" s="8"/>
      <c r="AX408" s="142">
        <v>52.2</v>
      </c>
    </row>
    <row r="409" spans="1:50" ht="38.25">
      <c r="B409" s="27">
        <v>404</v>
      </c>
      <c r="C409" s="31">
        <v>211</v>
      </c>
      <c r="D409" s="34">
        <v>574</v>
      </c>
      <c r="E409" s="42">
        <v>0.6875</v>
      </c>
      <c r="F409" s="42">
        <v>0.69791666666666663</v>
      </c>
      <c r="G409" s="31" t="s">
        <v>278</v>
      </c>
      <c r="H409" s="31" t="s">
        <v>678</v>
      </c>
      <c r="I409" s="33">
        <v>21</v>
      </c>
      <c r="J409" s="34" t="s">
        <v>93</v>
      </c>
      <c r="K409" s="35">
        <f>33+34+34</f>
        <v>101</v>
      </c>
      <c r="L409" s="36">
        <f>+K409*I409</f>
        <v>2121</v>
      </c>
      <c r="M409" s="37" t="s">
        <v>735</v>
      </c>
      <c r="N409" s="23" t="s">
        <v>959</v>
      </c>
      <c r="O409" s="23">
        <v>29</v>
      </c>
      <c r="P409" s="23" t="s">
        <v>792</v>
      </c>
      <c r="Q409" s="23">
        <v>29</v>
      </c>
      <c r="R409" s="23" t="s">
        <v>962</v>
      </c>
      <c r="S409" s="24">
        <v>25</v>
      </c>
      <c r="T409" s="7">
        <v>2180</v>
      </c>
      <c r="U409" s="7" t="s">
        <v>1380</v>
      </c>
      <c r="V409" s="7" t="s">
        <v>1440</v>
      </c>
      <c r="W409" s="7" t="s">
        <v>1441</v>
      </c>
      <c r="X409" s="18"/>
      <c r="Y409" s="17"/>
      <c r="Z409" s="17"/>
      <c r="AA409" s="17"/>
      <c r="AB409" s="7" t="s">
        <v>1933</v>
      </c>
      <c r="AC409" s="8"/>
      <c r="AD409" s="8"/>
      <c r="AE409" s="8"/>
      <c r="AF409" s="8" t="s">
        <v>726</v>
      </c>
      <c r="AG409" s="8" t="s">
        <v>726</v>
      </c>
      <c r="AH409" s="8" t="s">
        <v>726</v>
      </c>
      <c r="AI409" s="8"/>
      <c r="AJ409" s="8" t="s">
        <v>726</v>
      </c>
      <c r="AK409" s="8"/>
      <c r="AL409" s="8"/>
      <c r="AM409" s="8"/>
      <c r="AN409" s="8"/>
      <c r="AO409" s="8"/>
      <c r="AP409" s="8"/>
      <c r="AQ409" s="8"/>
      <c r="AR409" s="8"/>
      <c r="AS409" s="8"/>
      <c r="AT409" s="8"/>
      <c r="AU409" s="8"/>
      <c r="AV409" s="8"/>
      <c r="AX409" s="142">
        <v>66.689900990099005</v>
      </c>
    </row>
    <row r="410" spans="1:50" ht="25.5">
      <c r="A410" s="2" t="s">
        <v>794</v>
      </c>
      <c r="B410" s="27">
        <v>405</v>
      </c>
      <c r="C410" s="55">
        <v>211</v>
      </c>
      <c r="D410" s="55">
        <v>8</v>
      </c>
      <c r="E410" s="131">
        <v>0.6875</v>
      </c>
      <c r="F410" s="131">
        <v>0.72777777777777775</v>
      </c>
      <c r="G410" s="57" t="s">
        <v>705</v>
      </c>
      <c r="H410" s="31" t="s">
        <v>423</v>
      </c>
      <c r="I410" s="55">
        <v>29</v>
      </c>
      <c r="J410" s="58">
        <v>50</v>
      </c>
      <c r="K410" s="35">
        <v>67</v>
      </c>
      <c r="L410" s="36">
        <f>+K410*I410</f>
        <v>1943</v>
      </c>
      <c r="M410" s="37" t="s">
        <v>744</v>
      </c>
      <c r="N410" s="23" t="s">
        <v>833</v>
      </c>
      <c r="O410" s="23">
        <v>57</v>
      </c>
      <c r="P410" s="23" t="s">
        <v>1792</v>
      </c>
      <c r="Q410" s="23">
        <v>56</v>
      </c>
      <c r="R410" s="23" t="s">
        <v>1171</v>
      </c>
      <c r="S410" s="23">
        <v>45</v>
      </c>
      <c r="T410" s="7">
        <v>960</v>
      </c>
      <c r="U410" s="7" t="s">
        <v>1251</v>
      </c>
      <c r="V410" s="7">
        <v>2180</v>
      </c>
      <c r="W410" s="7" t="s">
        <v>1380</v>
      </c>
      <c r="X410" s="17"/>
      <c r="Y410" s="18"/>
      <c r="Z410" s="18"/>
      <c r="AA410" s="18"/>
      <c r="AB410" s="8" t="s">
        <v>1047</v>
      </c>
      <c r="AC410" s="8"/>
      <c r="AD410" s="8" t="s">
        <v>726</v>
      </c>
      <c r="AE410" s="8" t="s">
        <v>726</v>
      </c>
      <c r="AF410" s="8"/>
      <c r="AG410" s="8" t="s">
        <v>726</v>
      </c>
      <c r="AH410" s="8" t="s">
        <v>726</v>
      </c>
      <c r="AI410" s="8" t="s">
        <v>726</v>
      </c>
      <c r="AJ410" s="8" t="s">
        <v>726</v>
      </c>
      <c r="AK410" s="8" t="s">
        <v>726</v>
      </c>
      <c r="AL410" s="8" t="s">
        <v>726</v>
      </c>
      <c r="AM410" s="8"/>
      <c r="AN410" s="8"/>
      <c r="AO410" s="8"/>
      <c r="AP410" s="8"/>
      <c r="AQ410" s="8"/>
      <c r="AR410" s="8"/>
      <c r="AS410" s="8"/>
      <c r="AT410" s="8"/>
      <c r="AU410" s="8"/>
      <c r="AV410" s="8"/>
      <c r="AX410" s="142">
        <v>87</v>
      </c>
    </row>
    <row r="411" spans="1:50" ht="25.5">
      <c r="B411" s="27">
        <v>406</v>
      </c>
      <c r="C411" s="31">
        <v>211</v>
      </c>
      <c r="D411" s="31">
        <v>584</v>
      </c>
      <c r="E411" s="32">
        <v>0.69097222222222221</v>
      </c>
      <c r="F411" s="32">
        <v>0.72152777777777777</v>
      </c>
      <c r="G411" s="31" t="s">
        <v>373</v>
      </c>
      <c r="H411" s="31" t="s">
        <v>103</v>
      </c>
      <c r="I411" s="33">
        <v>23</v>
      </c>
      <c r="J411" s="34">
        <v>16</v>
      </c>
      <c r="K411" s="35">
        <v>174</v>
      </c>
      <c r="L411" s="36">
        <f>+K411*I411</f>
        <v>4002</v>
      </c>
      <c r="M411" s="37" t="s">
        <v>744</v>
      </c>
      <c r="N411" s="79" t="s">
        <v>832</v>
      </c>
      <c r="O411" s="79">
        <v>23</v>
      </c>
      <c r="P411" s="79" t="s">
        <v>834</v>
      </c>
      <c r="Q411" s="79">
        <v>29</v>
      </c>
      <c r="S411" s="23"/>
      <c r="T411" s="7">
        <v>960</v>
      </c>
      <c r="U411" s="7" t="s">
        <v>1251</v>
      </c>
      <c r="V411" s="7" t="s">
        <v>1442</v>
      </c>
      <c r="W411" s="7" t="s">
        <v>1443</v>
      </c>
      <c r="X411" s="18"/>
      <c r="Y411" s="17"/>
      <c r="Z411" s="17"/>
      <c r="AA411" s="17"/>
      <c r="AB411" s="7" t="s">
        <v>1042</v>
      </c>
      <c r="AC411" s="8"/>
      <c r="AD411" s="8"/>
      <c r="AE411" s="8"/>
      <c r="AF411" s="8" t="s">
        <v>726</v>
      </c>
      <c r="AG411" s="8" t="s">
        <v>726</v>
      </c>
      <c r="AH411" s="8" t="s">
        <v>726</v>
      </c>
      <c r="AI411" s="8" t="s">
        <v>726</v>
      </c>
      <c r="AJ411" s="8" t="s">
        <v>726</v>
      </c>
      <c r="AK411" s="8" t="s">
        <v>726</v>
      </c>
      <c r="AL411" s="8"/>
      <c r="AM411" s="8"/>
      <c r="AN411" s="8"/>
      <c r="AO411" s="8"/>
      <c r="AP411" s="8"/>
      <c r="AQ411" s="8"/>
      <c r="AR411" s="8"/>
      <c r="AS411" s="8"/>
      <c r="AT411" s="8"/>
      <c r="AU411" s="8"/>
      <c r="AV411" s="8"/>
      <c r="AX411" s="142">
        <v>53.21</v>
      </c>
    </row>
    <row r="412" spans="1:50" ht="38.25">
      <c r="B412" s="27">
        <v>407</v>
      </c>
      <c r="C412" s="31">
        <v>211</v>
      </c>
      <c r="D412" s="31">
        <v>584</v>
      </c>
      <c r="E412" s="32">
        <v>0.72152777777777777</v>
      </c>
      <c r="F412" s="42">
        <v>0.7319444444444444</v>
      </c>
      <c r="G412" s="31" t="s">
        <v>371</v>
      </c>
      <c r="H412" s="31" t="s">
        <v>370</v>
      </c>
      <c r="I412" s="33">
        <v>7</v>
      </c>
      <c r="J412" s="34" t="s">
        <v>99</v>
      </c>
      <c r="K412" s="35">
        <f>34+34+36+33</f>
        <v>137</v>
      </c>
      <c r="L412" s="36">
        <f>+K412*I412</f>
        <v>959</v>
      </c>
      <c r="M412" s="37" t="s">
        <v>744</v>
      </c>
      <c r="N412" s="23" t="s">
        <v>832</v>
      </c>
      <c r="O412" s="23">
        <v>23</v>
      </c>
      <c r="P412" s="23" t="s">
        <v>834</v>
      </c>
      <c r="Q412" s="23">
        <v>29</v>
      </c>
      <c r="S412" s="23"/>
      <c r="T412" s="7" t="s">
        <v>1442</v>
      </c>
      <c r="U412" s="7" t="s">
        <v>1443</v>
      </c>
      <c r="V412" s="7">
        <v>2180</v>
      </c>
      <c r="W412" s="7" t="s">
        <v>1380</v>
      </c>
      <c r="X412" s="18"/>
      <c r="Y412" s="17"/>
      <c r="Z412" s="17"/>
      <c r="AA412" s="17"/>
      <c r="AB412" s="7" t="s">
        <v>1045</v>
      </c>
      <c r="AC412" s="8"/>
      <c r="AD412" s="8"/>
      <c r="AE412" s="8"/>
      <c r="AF412" s="8" t="s">
        <v>726</v>
      </c>
      <c r="AG412" s="8" t="s">
        <v>726</v>
      </c>
      <c r="AH412" s="8" t="s">
        <v>726</v>
      </c>
      <c r="AI412" s="8" t="s">
        <v>726</v>
      </c>
      <c r="AJ412" s="8" t="s">
        <v>726</v>
      </c>
      <c r="AK412" s="8"/>
      <c r="AL412" s="8"/>
      <c r="AM412" s="8"/>
      <c r="AN412" s="8"/>
      <c r="AO412" s="8"/>
      <c r="AP412" s="8"/>
      <c r="AQ412" s="8"/>
      <c r="AR412" s="8"/>
      <c r="AS412" s="8"/>
      <c r="AT412" s="8"/>
      <c r="AU412" s="8"/>
      <c r="AV412" s="8"/>
      <c r="AX412" s="142">
        <v>17.5</v>
      </c>
    </row>
    <row r="413" spans="1:50" ht="25.5">
      <c r="A413" s="2" t="s">
        <v>794</v>
      </c>
      <c r="B413" s="27">
        <v>408</v>
      </c>
      <c r="C413" s="55">
        <v>211</v>
      </c>
      <c r="D413" s="55">
        <v>7</v>
      </c>
      <c r="E413" s="60">
        <v>0.74652777777777779</v>
      </c>
      <c r="F413" s="60">
        <v>0.78749999999999998</v>
      </c>
      <c r="G413" s="57" t="s">
        <v>611</v>
      </c>
      <c r="H413" s="31" t="s">
        <v>423</v>
      </c>
      <c r="I413" s="55">
        <v>29</v>
      </c>
      <c r="J413" s="58">
        <v>50</v>
      </c>
      <c r="K413" s="61">
        <v>67</v>
      </c>
      <c r="L413" s="36">
        <f>+K413*I413</f>
        <v>1943</v>
      </c>
      <c r="M413" s="37" t="s">
        <v>744</v>
      </c>
      <c r="N413" s="23" t="s">
        <v>833</v>
      </c>
      <c r="O413" s="23">
        <v>57</v>
      </c>
      <c r="P413" s="23" t="s">
        <v>1792</v>
      </c>
      <c r="Q413" s="23">
        <v>56</v>
      </c>
      <c r="R413" s="23" t="s">
        <v>1171</v>
      </c>
      <c r="S413" s="23">
        <v>45</v>
      </c>
      <c r="T413" s="7">
        <v>2180</v>
      </c>
      <c r="U413" s="7" t="s">
        <v>1380</v>
      </c>
      <c r="V413" s="7">
        <v>960</v>
      </c>
      <c r="W413" s="7" t="s">
        <v>1251</v>
      </c>
      <c r="X413" s="17"/>
      <c r="Y413" s="18"/>
      <c r="Z413" s="18"/>
      <c r="AA413" s="18"/>
      <c r="AB413" s="8" t="s">
        <v>1047</v>
      </c>
      <c r="AC413" s="8"/>
      <c r="AD413" s="8" t="s">
        <v>726</v>
      </c>
      <c r="AE413" s="8" t="s">
        <v>726</v>
      </c>
      <c r="AF413" s="8"/>
      <c r="AG413" s="8" t="s">
        <v>726</v>
      </c>
      <c r="AH413" s="8" t="s">
        <v>726</v>
      </c>
      <c r="AI413" s="8" t="s">
        <v>726</v>
      </c>
      <c r="AJ413" s="8" t="s">
        <v>726</v>
      </c>
      <c r="AK413" s="8" t="s">
        <v>726</v>
      </c>
      <c r="AL413" s="8" t="s">
        <v>726</v>
      </c>
      <c r="AM413" s="8"/>
      <c r="AN413" s="8"/>
      <c r="AO413" s="8"/>
      <c r="AP413" s="8"/>
      <c r="AQ413" s="8"/>
      <c r="AR413" s="8"/>
      <c r="AS413" s="8"/>
      <c r="AT413" s="8"/>
      <c r="AU413" s="8"/>
      <c r="AV413" s="8"/>
      <c r="AX413" s="142">
        <v>87</v>
      </c>
    </row>
    <row r="414" spans="1:50" ht="38.25">
      <c r="A414" s="23"/>
      <c r="B414" s="27">
        <v>409</v>
      </c>
      <c r="C414" s="31">
        <v>212</v>
      </c>
      <c r="D414" s="34">
        <v>318</v>
      </c>
      <c r="E414" s="32">
        <v>0.53888888888888886</v>
      </c>
      <c r="F414" s="32">
        <v>0.5493055555555556</v>
      </c>
      <c r="G414" s="31" t="s">
        <v>104</v>
      </c>
      <c r="H414" s="31" t="s">
        <v>103</v>
      </c>
      <c r="I414" s="33">
        <v>4</v>
      </c>
      <c r="J414" s="34" t="s">
        <v>99</v>
      </c>
      <c r="K414" s="61">
        <v>174</v>
      </c>
      <c r="L414" s="36">
        <f>+K414*I414</f>
        <v>696</v>
      </c>
      <c r="M414" s="37" t="s">
        <v>745</v>
      </c>
      <c r="N414" s="23" t="s">
        <v>878</v>
      </c>
      <c r="O414" s="23">
        <v>21</v>
      </c>
      <c r="P414" s="23" t="s">
        <v>1163</v>
      </c>
      <c r="Q414" s="23">
        <v>38</v>
      </c>
      <c r="T414" s="7" t="s">
        <v>1444</v>
      </c>
      <c r="U414" s="7" t="s">
        <v>1445</v>
      </c>
      <c r="V414" s="7">
        <v>2300</v>
      </c>
      <c r="W414" s="7" t="s">
        <v>1446</v>
      </c>
      <c r="X414" s="18"/>
      <c r="Y414" s="17"/>
      <c r="Z414" s="17"/>
      <c r="AA414" s="17"/>
      <c r="AB414" s="7" t="s">
        <v>1042</v>
      </c>
      <c r="AC414" s="8"/>
      <c r="AD414" s="8"/>
      <c r="AE414" s="8"/>
      <c r="AF414" s="8" t="s">
        <v>726</v>
      </c>
      <c r="AG414" s="8" t="s">
        <v>726</v>
      </c>
      <c r="AH414" s="8" t="s">
        <v>726</v>
      </c>
      <c r="AI414" s="8" t="s">
        <v>726</v>
      </c>
      <c r="AJ414" s="8" t="s">
        <v>726</v>
      </c>
      <c r="AK414" s="8" t="s">
        <v>726</v>
      </c>
      <c r="AL414" s="8"/>
      <c r="AM414" s="8"/>
      <c r="AN414" s="8"/>
      <c r="AO414" s="8"/>
      <c r="AP414" s="8"/>
      <c r="AQ414" s="8"/>
      <c r="AR414" s="8"/>
      <c r="AS414" s="8"/>
      <c r="AT414" s="8"/>
      <c r="AU414" s="8"/>
      <c r="AV414" s="8"/>
      <c r="AX414" s="142">
        <v>55</v>
      </c>
    </row>
    <row r="415" spans="1:50" ht="38.25">
      <c r="B415" s="27">
        <v>410</v>
      </c>
      <c r="C415" s="31">
        <v>212</v>
      </c>
      <c r="D415" s="34">
        <v>308</v>
      </c>
      <c r="E415" s="32">
        <v>0.6875</v>
      </c>
      <c r="F415" s="32">
        <v>0.6958333333333333</v>
      </c>
      <c r="G415" s="31" t="s">
        <v>104</v>
      </c>
      <c r="H415" s="31" t="s">
        <v>103</v>
      </c>
      <c r="I415" s="33">
        <v>4</v>
      </c>
      <c r="J415" s="34" t="s">
        <v>99</v>
      </c>
      <c r="K415" s="35">
        <v>174</v>
      </c>
      <c r="L415" s="36">
        <f>+K415*I415</f>
        <v>696</v>
      </c>
      <c r="M415" s="37" t="s">
        <v>745</v>
      </c>
      <c r="N415" s="23" t="s">
        <v>878</v>
      </c>
      <c r="O415" s="23">
        <v>21</v>
      </c>
      <c r="P415" s="23" t="s">
        <v>879</v>
      </c>
      <c r="Q415" s="23">
        <v>9</v>
      </c>
      <c r="R415" s="23" t="s">
        <v>880</v>
      </c>
      <c r="S415" s="24">
        <v>9</v>
      </c>
      <c r="T415" s="7" t="s">
        <v>1444</v>
      </c>
      <c r="U415" s="7" t="s">
        <v>1445</v>
      </c>
      <c r="V415" s="7">
        <v>2300</v>
      </c>
      <c r="W415" s="7" t="s">
        <v>1446</v>
      </c>
      <c r="X415" s="18"/>
      <c r="Y415" s="17"/>
      <c r="Z415" s="17"/>
      <c r="AA415" s="17"/>
      <c r="AB415" s="7" t="s">
        <v>1042</v>
      </c>
      <c r="AC415" s="8"/>
      <c r="AD415" s="8"/>
      <c r="AE415" s="8"/>
      <c r="AF415" s="8" t="s">
        <v>726</v>
      </c>
      <c r="AG415" s="8" t="s">
        <v>726</v>
      </c>
      <c r="AH415" s="8" t="s">
        <v>726</v>
      </c>
      <c r="AI415" s="8" t="s">
        <v>726</v>
      </c>
      <c r="AJ415" s="8" t="s">
        <v>726</v>
      </c>
      <c r="AK415" s="8" t="s">
        <v>726</v>
      </c>
      <c r="AL415" s="8"/>
      <c r="AM415" s="8"/>
      <c r="AN415" s="8"/>
      <c r="AO415" s="8"/>
      <c r="AP415" s="8"/>
      <c r="AQ415" s="8"/>
      <c r="AR415" s="8"/>
      <c r="AS415" s="8"/>
      <c r="AT415" s="8"/>
      <c r="AU415" s="8"/>
      <c r="AV415" s="8"/>
      <c r="AX415" s="142">
        <v>20</v>
      </c>
    </row>
    <row r="416" spans="1:50" ht="25.5">
      <c r="B416" s="27">
        <v>411</v>
      </c>
      <c r="C416" s="31">
        <v>213</v>
      </c>
      <c r="D416" s="31">
        <v>413</v>
      </c>
      <c r="E416" s="32">
        <v>0.29166666666666669</v>
      </c>
      <c r="F416" s="32">
        <v>0.2951388888888889</v>
      </c>
      <c r="G416" s="31" t="s">
        <v>286</v>
      </c>
      <c r="H416" s="31" t="s">
        <v>97</v>
      </c>
      <c r="I416" s="33">
        <v>3.2</v>
      </c>
      <c r="J416" s="34" t="s">
        <v>116</v>
      </c>
      <c r="K416" s="35">
        <v>208</v>
      </c>
      <c r="L416" s="36">
        <f>+K416*I416</f>
        <v>665.6</v>
      </c>
      <c r="M416" s="37" t="s">
        <v>745</v>
      </c>
      <c r="N416" s="23" t="s">
        <v>879</v>
      </c>
      <c r="O416" s="23">
        <v>9</v>
      </c>
      <c r="P416" s="23" t="s">
        <v>880</v>
      </c>
      <c r="Q416" s="23">
        <v>9</v>
      </c>
      <c r="R416" s="23"/>
      <c r="S416" s="23"/>
      <c r="T416" s="7">
        <v>2308</v>
      </c>
      <c r="U416" s="7" t="s">
        <v>1447</v>
      </c>
      <c r="V416" s="7" t="s">
        <v>1448</v>
      </c>
      <c r="W416" s="7" t="s">
        <v>1449</v>
      </c>
      <c r="X416" s="18"/>
      <c r="Y416" s="17"/>
      <c r="Z416" s="17"/>
      <c r="AA416" s="17"/>
      <c r="AB416" s="7" t="s">
        <v>1046</v>
      </c>
      <c r="AC416" s="8"/>
      <c r="AD416" s="8"/>
      <c r="AE416" s="8"/>
      <c r="AF416" s="8" t="s">
        <v>726</v>
      </c>
      <c r="AG416" s="8" t="s">
        <v>726</v>
      </c>
      <c r="AH416" s="8" t="s">
        <v>726</v>
      </c>
      <c r="AI416" s="8" t="s">
        <v>726</v>
      </c>
      <c r="AJ416" s="8" t="s">
        <v>726</v>
      </c>
      <c r="AK416" s="8" t="s">
        <v>726</v>
      </c>
      <c r="AL416" s="8" t="s">
        <v>726</v>
      </c>
      <c r="AM416" s="8"/>
      <c r="AN416" s="8"/>
      <c r="AO416" s="8"/>
      <c r="AP416" s="8"/>
      <c r="AQ416" s="8"/>
      <c r="AR416" s="8"/>
      <c r="AS416" s="8"/>
      <c r="AT416" s="8"/>
      <c r="AU416" s="8"/>
      <c r="AV416" s="8"/>
      <c r="AX416" s="142">
        <v>13.79</v>
      </c>
    </row>
    <row r="417" spans="1:50" ht="25.5">
      <c r="B417" s="27">
        <v>412</v>
      </c>
      <c r="C417" s="31">
        <v>213</v>
      </c>
      <c r="D417" s="31">
        <v>968</v>
      </c>
      <c r="E417" s="32">
        <v>0.55208333333333337</v>
      </c>
      <c r="F417" s="32">
        <v>0.55902777777777779</v>
      </c>
      <c r="G417" s="31" t="s">
        <v>481</v>
      </c>
      <c r="H417" s="31" t="s">
        <v>253</v>
      </c>
      <c r="I417" s="33">
        <v>4.5999999999999996</v>
      </c>
      <c r="J417" s="34" t="s">
        <v>234</v>
      </c>
      <c r="K417" s="35">
        <v>34</v>
      </c>
      <c r="L417" s="36">
        <f>+K417*I417</f>
        <v>156.39999999999998</v>
      </c>
      <c r="M417" s="37" t="s">
        <v>745</v>
      </c>
      <c r="N417" s="23" t="s">
        <v>880</v>
      </c>
      <c r="O417" s="23">
        <v>9</v>
      </c>
      <c r="P417" s="23" t="s">
        <v>879</v>
      </c>
      <c r="Q417" s="23">
        <v>9</v>
      </c>
      <c r="S417" s="23"/>
      <c r="T417" s="7">
        <v>2326</v>
      </c>
      <c r="U417" s="7" t="s">
        <v>1450</v>
      </c>
      <c r="V417" s="7">
        <v>2324</v>
      </c>
      <c r="W417" s="7" t="s">
        <v>1262</v>
      </c>
      <c r="X417" s="18"/>
      <c r="Y417" s="17"/>
      <c r="Z417" s="17"/>
      <c r="AA417" s="17"/>
      <c r="AB417" s="8" t="s">
        <v>1051</v>
      </c>
      <c r="AC417" s="8"/>
      <c r="AD417" s="8"/>
      <c r="AE417" s="8"/>
      <c r="AF417" s="8" t="s">
        <v>726</v>
      </c>
      <c r="AG417" s="8"/>
      <c r="AH417" s="8"/>
      <c r="AI417" s="8"/>
      <c r="AJ417" s="8"/>
      <c r="AK417" s="8"/>
      <c r="AL417" s="8" t="s">
        <v>726</v>
      </c>
      <c r="AM417" s="8"/>
      <c r="AN417" s="8"/>
      <c r="AO417" s="8"/>
      <c r="AP417" s="8"/>
      <c r="AQ417" s="8"/>
      <c r="AR417" s="8"/>
      <c r="AS417" s="8"/>
      <c r="AT417" s="8"/>
      <c r="AU417" s="8"/>
      <c r="AV417" s="8"/>
      <c r="AX417" s="142">
        <v>13.8</v>
      </c>
    </row>
    <row r="418" spans="1:50" ht="25.5">
      <c r="A418" s="23"/>
      <c r="B418" s="27">
        <v>413</v>
      </c>
      <c r="C418" s="31">
        <v>213</v>
      </c>
      <c r="D418" s="31">
        <v>6</v>
      </c>
      <c r="E418" s="32">
        <v>0.59375</v>
      </c>
      <c r="F418" s="32">
        <v>0.60416666666666663</v>
      </c>
      <c r="G418" s="31" t="s">
        <v>430</v>
      </c>
      <c r="H418" s="31" t="s">
        <v>103</v>
      </c>
      <c r="I418" s="33">
        <v>7</v>
      </c>
      <c r="J418" s="34" t="s">
        <v>167</v>
      </c>
      <c r="K418" s="35">
        <v>174</v>
      </c>
      <c r="L418" s="36">
        <f>+K418*I418</f>
        <v>1218</v>
      </c>
      <c r="M418" s="37" t="s">
        <v>745</v>
      </c>
      <c r="N418" s="23" t="s">
        <v>879</v>
      </c>
      <c r="O418" s="23">
        <v>9</v>
      </c>
      <c r="P418" s="23" t="s">
        <v>880</v>
      </c>
      <c r="Q418" s="23">
        <v>9</v>
      </c>
      <c r="R418" s="23" t="s">
        <v>878</v>
      </c>
      <c r="S418" s="24">
        <v>21</v>
      </c>
      <c r="T418" s="7" t="s">
        <v>1451</v>
      </c>
      <c r="U418" s="7" t="s">
        <v>1452</v>
      </c>
      <c r="V418" s="7">
        <v>2324</v>
      </c>
      <c r="W418" s="7" t="s">
        <v>1262</v>
      </c>
      <c r="X418" s="18"/>
      <c r="Y418" s="17"/>
      <c r="Z418" s="17"/>
      <c r="AA418" s="17"/>
      <c r="AB418" s="7" t="s">
        <v>1042</v>
      </c>
      <c r="AC418" s="8"/>
      <c r="AD418" s="8"/>
      <c r="AE418" s="8"/>
      <c r="AF418" s="8" t="s">
        <v>726</v>
      </c>
      <c r="AG418" s="8" t="s">
        <v>726</v>
      </c>
      <c r="AH418" s="8" t="s">
        <v>726</v>
      </c>
      <c r="AI418" s="8" t="s">
        <v>726</v>
      </c>
      <c r="AJ418" s="8" t="s">
        <v>726</v>
      </c>
      <c r="AK418" s="8" t="s">
        <v>726</v>
      </c>
      <c r="AL418" s="8"/>
      <c r="AM418" s="8"/>
      <c r="AN418" s="8"/>
      <c r="AO418" s="8"/>
      <c r="AP418" s="8"/>
      <c r="AQ418" s="8"/>
      <c r="AR418" s="8"/>
      <c r="AS418" s="8"/>
      <c r="AT418" s="8"/>
      <c r="AU418" s="8"/>
      <c r="AV418" s="8"/>
      <c r="AX418" s="142">
        <v>21.575862068965517</v>
      </c>
    </row>
    <row r="419" spans="1:50" ht="22.5">
      <c r="B419" s="27">
        <v>414</v>
      </c>
      <c r="C419" s="38">
        <v>214</v>
      </c>
      <c r="D419" s="38">
        <v>27</v>
      </c>
      <c r="E419" s="39">
        <v>0.24652777777777779</v>
      </c>
      <c r="F419" s="39">
        <v>0.30624999999999997</v>
      </c>
      <c r="G419" s="40" t="s">
        <v>608</v>
      </c>
      <c r="H419" s="40" t="s">
        <v>1</v>
      </c>
      <c r="I419" s="38">
        <v>54</v>
      </c>
      <c r="J419" s="41">
        <v>50</v>
      </c>
      <c r="K419" s="35">
        <v>67</v>
      </c>
      <c r="L419" s="36">
        <f>+K419*I419</f>
        <v>3618</v>
      </c>
      <c r="M419" s="37" t="s">
        <v>736</v>
      </c>
      <c r="N419" s="2" t="s">
        <v>1162</v>
      </c>
      <c r="O419" s="24">
        <v>58</v>
      </c>
      <c r="P419" s="23"/>
      <c r="Q419" s="23"/>
      <c r="T419" s="7">
        <v>2323</v>
      </c>
      <c r="U419" s="7" t="s">
        <v>1453</v>
      </c>
      <c r="V419" s="7">
        <v>960</v>
      </c>
      <c r="W419" s="7" t="s">
        <v>1251</v>
      </c>
      <c r="X419" s="17"/>
      <c r="Y419" s="18"/>
      <c r="Z419" s="18"/>
      <c r="AA419" s="18"/>
      <c r="AB419" s="8" t="s">
        <v>1047</v>
      </c>
      <c r="AC419" s="8"/>
      <c r="AD419" s="8" t="s">
        <v>726</v>
      </c>
      <c r="AE419" s="8" t="s">
        <v>726</v>
      </c>
      <c r="AF419" s="8"/>
      <c r="AG419" s="8" t="s">
        <v>726</v>
      </c>
      <c r="AH419" s="8" t="s">
        <v>726</v>
      </c>
      <c r="AI419" s="8" t="s">
        <v>726</v>
      </c>
      <c r="AJ419" s="8" t="s">
        <v>726</v>
      </c>
      <c r="AK419" s="8" t="s">
        <v>726</v>
      </c>
      <c r="AL419" s="8" t="s">
        <v>726</v>
      </c>
      <c r="AM419" s="8"/>
      <c r="AN419" s="8"/>
      <c r="AO419" s="8"/>
      <c r="AP419" s="8"/>
      <c r="AQ419" s="8"/>
      <c r="AR419" s="8"/>
      <c r="AS419" s="8"/>
      <c r="AT419" s="8"/>
      <c r="AU419" s="8"/>
      <c r="AV419" s="8"/>
      <c r="AX419" s="142">
        <v>220</v>
      </c>
    </row>
    <row r="420" spans="1:50" ht="25.5">
      <c r="B420" s="27">
        <v>415</v>
      </c>
      <c r="C420" s="38">
        <v>214</v>
      </c>
      <c r="D420" s="38">
        <v>27</v>
      </c>
      <c r="E420" s="39">
        <v>0.25347222222222221</v>
      </c>
      <c r="F420" s="44">
        <v>0.31805555555555554</v>
      </c>
      <c r="G420" s="40" t="s">
        <v>608</v>
      </c>
      <c r="H420" s="40" t="s">
        <v>39</v>
      </c>
      <c r="I420" s="38">
        <f>50+4</f>
        <v>54</v>
      </c>
      <c r="J420" s="41">
        <v>50</v>
      </c>
      <c r="K420" s="35">
        <v>29</v>
      </c>
      <c r="L420" s="36">
        <f>+K420*I420</f>
        <v>1566</v>
      </c>
      <c r="M420" s="37" t="s">
        <v>736</v>
      </c>
      <c r="N420" s="2" t="s">
        <v>1162</v>
      </c>
      <c r="O420" s="24">
        <v>58</v>
      </c>
      <c r="P420" s="23" t="s">
        <v>1786</v>
      </c>
      <c r="Q420" s="23">
        <v>56</v>
      </c>
      <c r="T420" s="7">
        <v>2323</v>
      </c>
      <c r="U420" s="7" t="s">
        <v>1453</v>
      </c>
      <c r="V420" s="7">
        <v>960</v>
      </c>
      <c r="W420" s="7" t="s">
        <v>1251</v>
      </c>
      <c r="X420" s="18"/>
      <c r="Y420" s="17"/>
      <c r="Z420" s="18"/>
      <c r="AA420" s="18"/>
      <c r="AB420" s="7" t="s">
        <v>1050</v>
      </c>
      <c r="AC420" s="8" t="s">
        <v>726</v>
      </c>
      <c r="AD420" s="8"/>
      <c r="AE420" s="8" t="s">
        <v>726</v>
      </c>
      <c r="AF420" s="8"/>
      <c r="AG420" s="8"/>
      <c r="AH420" s="8"/>
      <c r="AI420" s="8"/>
      <c r="AJ420" s="8"/>
      <c r="AK420" s="8"/>
      <c r="AL420" s="8"/>
      <c r="AM420" s="8"/>
      <c r="AN420" s="8"/>
      <c r="AO420" s="8"/>
      <c r="AP420" s="8"/>
      <c r="AQ420" s="8" t="s">
        <v>726</v>
      </c>
      <c r="AR420" s="8" t="s">
        <v>726</v>
      </c>
      <c r="AS420" s="8" t="s">
        <v>726</v>
      </c>
      <c r="AT420" s="8" t="s">
        <v>726</v>
      </c>
      <c r="AU420" s="8" t="s">
        <v>726</v>
      </c>
      <c r="AV420" s="8" t="s">
        <v>726</v>
      </c>
      <c r="AX420" s="142">
        <v>178.08600070763063</v>
      </c>
    </row>
    <row r="421" spans="1:50" ht="25.5">
      <c r="B421" s="27">
        <v>416</v>
      </c>
      <c r="C421" s="38">
        <v>214</v>
      </c>
      <c r="D421" s="38">
        <v>582</v>
      </c>
      <c r="E421" s="39">
        <v>0.25833333333333336</v>
      </c>
      <c r="F421" s="39">
        <v>0.31805555555555554</v>
      </c>
      <c r="G421" s="40" t="s">
        <v>686</v>
      </c>
      <c r="H421" s="31" t="s">
        <v>97</v>
      </c>
      <c r="I421" s="38">
        <v>61</v>
      </c>
      <c r="J421" s="41">
        <v>55</v>
      </c>
      <c r="K421" s="35">
        <v>208</v>
      </c>
      <c r="L421" s="36">
        <f>+K421*I421</f>
        <v>12688</v>
      </c>
      <c r="M421" s="37" t="s">
        <v>736</v>
      </c>
      <c r="N421" s="2" t="s">
        <v>1162</v>
      </c>
      <c r="O421" s="24">
        <v>58</v>
      </c>
      <c r="P421" s="23" t="s">
        <v>1786</v>
      </c>
      <c r="Q421" s="23">
        <v>56</v>
      </c>
      <c r="T421" s="7">
        <v>2305</v>
      </c>
      <c r="U421" s="7" t="s">
        <v>1454</v>
      </c>
      <c r="V421" s="7">
        <v>960</v>
      </c>
      <c r="W421" s="7" t="s">
        <v>1251</v>
      </c>
      <c r="X421" s="18"/>
      <c r="Y421" s="17"/>
      <c r="Z421" s="17"/>
      <c r="AA421" s="17"/>
      <c r="AB421" s="7" t="s">
        <v>1046</v>
      </c>
      <c r="AC421" s="8"/>
      <c r="AD421" s="8"/>
      <c r="AE421" s="8"/>
      <c r="AF421" s="8" t="s">
        <v>726</v>
      </c>
      <c r="AG421" s="8" t="s">
        <v>726</v>
      </c>
      <c r="AH421" s="8" t="s">
        <v>726</v>
      </c>
      <c r="AI421" s="8" t="s">
        <v>726</v>
      </c>
      <c r="AJ421" s="8" t="s">
        <v>726</v>
      </c>
      <c r="AK421" s="8" t="s">
        <v>726</v>
      </c>
      <c r="AL421" s="8" t="s">
        <v>726</v>
      </c>
      <c r="AM421" s="8"/>
      <c r="AN421" s="8"/>
      <c r="AO421" s="8"/>
      <c r="AP421" s="8"/>
      <c r="AQ421" s="8"/>
      <c r="AR421" s="8"/>
      <c r="AS421" s="8"/>
      <c r="AT421" s="8"/>
      <c r="AU421" s="8"/>
      <c r="AV421" s="8"/>
      <c r="AX421" s="142">
        <v>201.17122302158273</v>
      </c>
    </row>
    <row r="422" spans="1:50" ht="38.25">
      <c r="A422" s="83" t="s">
        <v>1890</v>
      </c>
      <c r="B422" s="84">
        <v>417</v>
      </c>
      <c r="C422" s="85">
        <v>214</v>
      </c>
      <c r="D422" s="88">
        <v>582</v>
      </c>
      <c r="E422" s="86">
        <v>0.28472222222222221</v>
      </c>
      <c r="F422" s="86">
        <v>0.31805555555555554</v>
      </c>
      <c r="G422" s="85" t="s">
        <v>688</v>
      </c>
      <c r="H422" s="85" t="s">
        <v>102</v>
      </c>
      <c r="I422" s="87">
        <v>24</v>
      </c>
      <c r="J422" s="88" t="s">
        <v>101</v>
      </c>
      <c r="K422" s="94">
        <v>33</v>
      </c>
      <c r="L422" s="90">
        <f>+K422*I422</f>
        <v>792</v>
      </c>
      <c r="M422" s="91" t="s">
        <v>734</v>
      </c>
      <c r="N422" s="104" t="s">
        <v>934</v>
      </c>
      <c r="O422" s="104">
        <v>51</v>
      </c>
      <c r="P422" s="104" t="s">
        <v>935</v>
      </c>
      <c r="Q422" s="104">
        <v>55</v>
      </c>
      <c r="R422" s="104" t="s">
        <v>1148</v>
      </c>
      <c r="S422" s="104">
        <v>54</v>
      </c>
      <c r="T422" s="95" t="s">
        <v>1455</v>
      </c>
      <c r="U422" s="95" t="s">
        <v>1456</v>
      </c>
      <c r="V422" s="95">
        <v>960</v>
      </c>
      <c r="W422" s="95" t="s">
        <v>1251</v>
      </c>
      <c r="X422" s="107"/>
      <c r="Y422" s="105">
        <v>44878</v>
      </c>
      <c r="Z422" s="105"/>
      <c r="AA422" s="105"/>
      <c r="AB422" s="95" t="s">
        <v>1059</v>
      </c>
      <c r="AC422" s="106"/>
      <c r="AD422" s="106"/>
      <c r="AE422" s="106"/>
      <c r="AF422" s="106" t="s">
        <v>726</v>
      </c>
      <c r="AG422" s="106" t="s">
        <v>726</v>
      </c>
      <c r="AH422" s="106"/>
      <c r="AI422" s="106"/>
      <c r="AJ422" s="106"/>
      <c r="AK422" s="106"/>
      <c r="AL422" s="106"/>
      <c r="AM422" s="106"/>
      <c r="AN422" s="106"/>
      <c r="AO422" s="106"/>
      <c r="AP422" s="106"/>
      <c r="AQ422" s="106"/>
      <c r="AR422" s="106"/>
      <c r="AS422" s="106"/>
      <c r="AT422" s="106"/>
      <c r="AU422" s="106"/>
      <c r="AV422" s="106"/>
    </row>
    <row r="423" spans="1:50" ht="25.5">
      <c r="B423" s="27">
        <v>418</v>
      </c>
      <c r="C423" s="31">
        <v>214</v>
      </c>
      <c r="D423" s="43">
        <v>330</v>
      </c>
      <c r="E423" s="32">
        <v>0.34027777777777773</v>
      </c>
      <c r="F423" s="32">
        <v>0.35416666666666669</v>
      </c>
      <c r="G423" s="31" t="s">
        <v>372</v>
      </c>
      <c r="H423" s="31" t="s">
        <v>108</v>
      </c>
      <c r="I423" s="33">
        <v>11.5</v>
      </c>
      <c r="J423" s="34">
        <v>8</v>
      </c>
      <c r="K423" s="35">
        <v>52</v>
      </c>
      <c r="L423" s="36">
        <f>+K423*I423</f>
        <v>598</v>
      </c>
      <c r="M423" s="37" t="s">
        <v>744</v>
      </c>
      <c r="N423" s="23" t="s">
        <v>832</v>
      </c>
      <c r="O423" s="23">
        <v>23</v>
      </c>
      <c r="P423" s="23" t="s">
        <v>831</v>
      </c>
      <c r="Q423" s="23">
        <v>9</v>
      </c>
      <c r="S423" s="23"/>
      <c r="T423" s="7">
        <v>960</v>
      </c>
      <c r="U423" s="7" t="s">
        <v>1251</v>
      </c>
      <c r="V423" s="7">
        <v>2160</v>
      </c>
      <c r="W423" s="7" t="s">
        <v>1264</v>
      </c>
      <c r="X423" s="17"/>
      <c r="Y423" s="17"/>
      <c r="Z423" s="17"/>
      <c r="AA423" s="17"/>
      <c r="AB423" s="8" t="s">
        <v>1063</v>
      </c>
      <c r="AC423" s="8" t="s">
        <v>726</v>
      </c>
      <c r="AD423" s="8" t="s">
        <v>726</v>
      </c>
      <c r="AE423" s="8" t="s">
        <v>726</v>
      </c>
      <c r="AF423" s="8"/>
      <c r="AG423" s="8"/>
      <c r="AH423" s="8"/>
      <c r="AI423" s="8" t="s">
        <v>726</v>
      </c>
      <c r="AJ423" s="8"/>
      <c r="AK423" s="8"/>
      <c r="AL423" s="8"/>
      <c r="AM423" s="8"/>
      <c r="AN423" s="8"/>
      <c r="AO423" s="8"/>
      <c r="AP423" s="8"/>
      <c r="AQ423" s="8"/>
      <c r="AR423" s="8"/>
      <c r="AS423" s="8"/>
      <c r="AT423" s="8"/>
      <c r="AU423" s="8"/>
      <c r="AV423" s="8"/>
      <c r="AX423" s="142">
        <v>26.39</v>
      </c>
    </row>
    <row r="424" spans="1:50" ht="25.5">
      <c r="B424" s="27">
        <v>419</v>
      </c>
      <c r="C424" s="31">
        <v>214</v>
      </c>
      <c r="D424" s="31">
        <v>29</v>
      </c>
      <c r="E424" s="32">
        <v>0.35416666666666669</v>
      </c>
      <c r="F424" s="42">
        <v>0.36874999999999997</v>
      </c>
      <c r="G424" s="31" t="s">
        <v>327</v>
      </c>
      <c r="H424" s="31" t="s">
        <v>108</v>
      </c>
      <c r="I424" s="33">
        <v>11.5</v>
      </c>
      <c r="J424" s="34">
        <v>8</v>
      </c>
      <c r="K424" s="35">
        <v>52</v>
      </c>
      <c r="L424" s="36">
        <f>+K424*I424</f>
        <v>598</v>
      </c>
      <c r="M424" s="37" t="s">
        <v>744</v>
      </c>
      <c r="N424" s="23" t="s">
        <v>832</v>
      </c>
      <c r="O424" s="23">
        <v>23</v>
      </c>
      <c r="P424" s="23" t="s">
        <v>831</v>
      </c>
      <c r="Q424" s="23">
        <v>9</v>
      </c>
      <c r="S424" s="23"/>
      <c r="T424" s="7">
        <v>2160</v>
      </c>
      <c r="U424" s="7" t="s">
        <v>1264</v>
      </c>
      <c r="V424" s="7">
        <v>960</v>
      </c>
      <c r="W424" s="7" t="s">
        <v>1251</v>
      </c>
      <c r="X424" s="17"/>
      <c r="Y424" s="17"/>
      <c r="Z424" s="17"/>
      <c r="AA424" s="17"/>
      <c r="AB424" s="8" t="s">
        <v>1063</v>
      </c>
      <c r="AC424" s="8" t="s">
        <v>726</v>
      </c>
      <c r="AD424" s="8" t="s">
        <v>726</v>
      </c>
      <c r="AE424" s="8" t="s">
        <v>726</v>
      </c>
      <c r="AF424" s="8"/>
      <c r="AG424" s="8"/>
      <c r="AH424" s="8"/>
      <c r="AI424" s="8" t="s">
        <v>726</v>
      </c>
      <c r="AJ424" s="8"/>
      <c r="AK424" s="8"/>
      <c r="AL424" s="8"/>
      <c r="AM424" s="8"/>
      <c r="AN424" s="8"/>
      <c r="AO424" s="8"/>
      <c r="AP424" s="8"/>
      <c r="AQ424" s="8"/>
      <c r="AR424" s="8"/>
      <c r="AS424" s="8"/>
      <c r="AT424" s="8"/>
      <c r="AU424" s="8"/>
      <c r="AV424" s="8"/>
      <c r="AX424" s="142">
        <v>26.39</v>
      </c>
    </row>
    <row r="425" spans="1:50" ht="38.25">
      <c r="B425" s="27">
        <v>420</v>
      </c>
      <c r="C425" s="31">
        <v>214</v>
      </c>
      <c r="D425" s="31">
        <v>615</v>
      </c>
      <c r="E425" s="32">
        <v>0.41666666666666669</v>
      </c>
      <c r="F425" s="32">
        <v>0.4291666666666667</v>
      </c>
      <c r="G425" s="31" t="s">
        <v>454</v>
      </c>
      <c r="H425" s="43" t="s">
        <v>1118</v>
      </c>
      <c r="I425" s="33">
        <v>12.5</v>
      </c>
      <c r="J425" s="34" t="s">
        <v>93</v>
      </c>
      <c r="K425" s="46">
        <v>34</v>
      </c>
      <c r="L425" s="36">
        <f>+K425*I425</f>
        <v>425</v>
      </c>
      <c r="M425" s="37" t="s">
        <v>736</v>
      </c>
      <c r="N425" s="23" t="s">
        <v>939</v>
      </c>
      <c r="O425" s="23">
        <v>20</v>
      </c>
      <c r="P425" s="23" t="s">
        <v>1793</v>
      </c>
      <c r="Q425" s="23">
        <v>27</v>
      </c>
      <c r="S425" s="23"/>
      <c r="T425" s="7">
        <v>2314</v>
      </c>
      <c r="U425" s="7" t="s">
        <v>1457</v>
      </c>
      <c r="V425" s="7" t="s">
        <v>1458</v>
      </c>
      <c r="W425" s="7" t="s">
        <v>1459</v>
      </c>
      <c r="X425" s="17"/>
      <c r="Y425" s="18"/>
      <c r="Z425" s="18">
        <v>45108</v>
      </c>
      <c r="AA425" s="18">
        <v>45138</v>
      </c>
      <c r="AB425" s="8" t="s">
        <v>1739</v>
      </c>
      <c r="AC425" s="8"/>
      <c r="AD425" s="8" t="s">
        <v>726</v>
      </c>
      <c r="AE425" s="8" t="s">
        <v>726</v>
      </c>
      <c r="AF425" s="8"/>
      <c r="AG425" s="8" t="s">
        <v>726</v>
      </c>
      <c r="AH425" s="8" t="s">
        <v>726</v>
      </c>
      <c r="AI425" s="8" t="s">
        <v>726</v>
      </c>
      <c r="AJ425" s="8" t="s">
        <v>726</v>
      </c>
      <c r="AK425" s="8" t="s">
        <v>726</v>
      </c>
      <c r="AL425" s="8" t="s">
        <v>726</v>
      </c>
      <c r="AM425" s="8"/>
      <c r="AN425" s="8"/>
      <c r="AO425" s="8"/>
      <c r="AP425" s="8"/>
      <c r="AQ425" s="8"/>
      <c r="AR425" s="8"/>
      <c r="AS425" s="8"/>
      <c r="AT425" s="8"/>
      <c r="AU425" s="8"/>
      <c r="AV425" s="8"/>
      <c r="AX425" s="142">
        <v>37.5</v>
      </c>
    </row>
    <row r="426" spans="1:50" ht="45">
      <c r="B426" s="48" t="s">
        <v>1119</v>
      </c>
      <c r="C426" s="31">
        <v>214</v>
      </c>
      <c r="D426" s="31">
        <v>615</v>
      </c>
      <c r="E426" s="32">
        <v>0.41666666666666669</v>
      </c>
      <c r="F426" s="32">
        <v>0.4291666666666667</v>
      </c>
      <c r="G426" s="31" t="s">
        <v>454</v>
      </c>
      <c r="H426" s="43" t="s">
        <v>1118</v>
      </c>
      <c r="I426" s="33">
        <v>12.5</v>
      </c>
      <c r="J426" s="34" t="s">
        <v>93</v>
      </c>
      <c r="K426" s="46">
        <v>33</v>
      </c>
      <c r="L426" s="36">
        <f>+K426*I426</f>
        <v>412.5</v>
      </c>
      <c r="M426" s="37" t="s">
        <v>747</v>
      </c>
      <c r="N426" s="23" t="s">
        <v>952</v>
      </c>
      <c r="O426" s="23">
        <v>18</v>
      </c>
      <c r="P426" s="23" t="s">
        <v>940</v>
      </c>
      <c r="Q426" s="23">
        <v>17</v>
      </c>
      <c r="S426" s="23"/>
      <c r="T426" s="7">
        <v>2314</v>
      </c>
      <c r="U426" s="7" t="s">
        <v>1457</v>
      </c>
      <c r="V426" s="7" t="s">
        <v>1458</v>
      </c>
      <c r="W426" s="7" t="s">
        <v>1459</v>
      </c>
      <c r="X426" s="18">
        <v>45101</v>
      </c>
      <c r="Y426" s="18">
        <v>45107</v>
      </c>
      <c r="Z426" s="18">
        <v>45139</v>
      </c>
      <c r="AA426" s="18">
        <v>45169</v>
      </c>
      <c r="AB426" s="8" t="s">
        <v>1738</v>
      </c>
      <c r="AC426" s="8"/>
      <c r="AD426" s="8" t="s">
        <v>726</v>
      </c>
      <c r="AE426" s="8" t="s">
        <v>726</v>
      </c>
      <c r="AF426" s="8"/>
      <c r="AG426" s="8" t="s">
        <v>726</v>
      </c>
      <c r="AH426" s="8" t="s">
        <v>726</v>
      </c>
      <c r="AI426" s="8" t="s">
        <v>726</v>
      </c>
      <c r="AJ426" s="8" t="s">
        <v>726</v>
      </c>
      <c r="AK426" s="8" t="s">
        <v>726</v>
      </c>
      <c r="AL426" s="8" t="s">
        <v>726</v>
      </c>
      <c r="AM426" s="8"/>
      <c r="AN426" s="8"/>
      <c r="AO426" s="8"/>
      <c r="AP426" s="8"/>
      <c r="AQ426" s="8"/>
      <c r="AR426" s="8"/>
      <c r="AS426" s="8"/>
      <c r="AT426" s="8"/>
      <c r="AU426" s="8"/>
      <c r="AV426" s="8"/>
      <c r="AX426" s="142">
        <v>37.5</v>
      </c>
    </row>
    <row r="427" spans="1:50" ht="25.5">
      <c r="A427" s="23"/>
      <c r="B427" s="27">
        <v>421</v>
      </c>
      <c r="C427" s="31">
        <v>214</v>
      </c>
      <c r="D427" s="31">
        <v>18</v>
      </c>
      <c r="E427" s="32">
        <v>0.4236111111111111</v>
      </c>
      <c r="F427" s="32">
        <v>0.46597222222222223</v>
      </c>
      <c r="G427" s="31" t="s">
        <v>449</v>
      </c>
      <c r="H427" s="31" t="s">
        <v>546</v>
      </c>
      <c r="I427" s="33">
        <v>28</v>
      </c>
      <c r="J427" s="34" t="s">
        <v>101</v>
      </c>
      <c r="K427" s="35">
        <v>13</v>
      </c>
      <c r="L427" s="36">
        <f>+K427*I427</f>
        <v>364</v>
      </c>
      <c r="M427" s="37" t="s">
        <v>744</v>
      </c>
      <c r="N427" s="23" t="s">
        <v>833</v>
      </c>
      <c r="O427" s="23">
        <v>57</v>
      </c>
      <c r="P427" s="23" t="s">
        <v>1792</v>
      </c>
      <c r="Q427" s="23">
        <v>56</v>
      </c>
      <c r="S427" s="23"/>
      <c r="T427" s="7">
        <v>960</v>
      </c>
      <c r="U427" s="7" t="s">
        <v>1251</v>
      </c>
      <c r="V427" s="7">
        <v>2156</v>
      </c>
      <c r="W427" s="7" t="s">
        <v>1459</v>
      </c>
      <c r="X427" s="17"/>
      <c r="Y427" s="18"/>
      <c r="Z427" s="18"/>
      <c r="AA427" s="18"/>
      <c r="AB427" s="7" t="s">
        <v>1044</v>
      </c>
      <c r="AC427" s="8"/>
      <c r="AD427" s="8" t="s">
        <v>726</v>
      </c>
      <c r="AE427" s="8"/>
      <c r="AF427" s="8"/>
      <c r="AG427" s="8"/>
      <c r="AH427" s="8"/>
      <c r="AI427" s="8"/>
      <c r="AJ427" s="8"/>
      <c r="AK427" s="8"/>
      <c r="AL427" s="8"/>
      <c r="AM427" s="8" t="s">
        <v>726</v>
      </c>
      <c r="AN427" s="8"/>
      <c r="AO427" s="8"/>
      <c r="AP427" s="8"/>
      <c r="AQ427" s="8"/>
      <c r="AR427" s="8"/>
      <c r="AS427" s="8"/>
      <c r="AT427" s="8"/>
      <c r="AU427" s="8"/>
      <c r="AV427" s="8"/>
      <c r="AX427" s="142">
        <v>84</v>
      </c>
    </row>
    <row r="428" spans="1:50" ht="25.5">
      <c r="B428" s="27">
        <v>422</v>
      </c>
      <c r="C428" s="31">
        <v>214</v>
      </c>
      <c r="D428" s="31">
        <v>639</v>
      </c>
      <c r="E428" s="32">
        <v>0.45833333333333331</v>
      </c>
      <c r="F428" s="32">
        <v>0.47083333333333338</v>
      </c>
      <c r="G428" s="31" t="s">
        <v>454</v>
      </c>
      <c r="H428" s="31" t="s">
        <v>546</v>
      </c>
      <c r="I428" s="33">
        <v>12.5</v>
      </c>
      <c r="J428" s="34" t="s">
        <v>93</v>
      </c>
      <c r="K428" s="35">
        <v>13</v>
      </c>
      <c r="L428" s="36">
        <f>+K428*I428</f>
        <v>162.5</v>
      </c>
      <c r="M428" s="37" t="s">
        <v>736</v>
      </c>
      <c r="N428" s="23" t="s">
        <v>939</v>
      </c>
      <c r="O428" s="23">
        <v>20</v>
      </c>
      <c r="P428" s="23" t="s">
        <v>1793</v>
      </c>
      <c r="Q428" s="23">
        <v>27</v>
      </c>
      <c r="S428" s="23"/>
      <c r="T428" s="7">
        <v>2314</v>
      </c>
      <c r="U428" s="7" t="s">
        <v>1457</v>
      </c>
      <c r="V428" s="7" t="s">
        <v>1458</v>
      </c>
      <c r="W428" s="7" t="s">
        <v>1459</v>
      </c>
      <c r="X428" s="17"/>
      <c r="Y428" s="18"/>
      <c r="Z428" s="18"/>
      <c r="AA428" s="18"/>
      <c r="AB428" s="7" t="s">
        <v>1044</v>
      </c>
      <c r="AC428" s="8"/>
      <c r="AD428" s="8" t="s">
        <v>726</v>
      </c>
      <c r="AE428" s="8"/>
      <c r="AF428" s="8"/>
      <c r="AG428" s="8"/>
      <c r="AH428" s="8"/>
      <c r="AI428" s="8"/>
      <c r="AJ428" s="8"/>
      <c r="AK428" s="8"/>
      <c r="AL428" s="8"/>
      <c r="AM428" s="8" t="s">
        <v>726</v>
      </c>
      <c r="AN428" s="8"/>
      <c r="AO428" s="8"/>
      <c r="AP428" s="8"/>
      <c r="AQ428" s="8"/>
      <c r="AR428" s="8"/>
      <c r="AS428" s="8"/>
      <c r="AT428" s="8"/>
      <c r="AU428" s="8"/>
      <c r="AV428" s="8"/>
      <c r="AX428" s="142">
        <v>37.5</v>
      </c>
    </row>
    <row r="429" spans="1:50" ht="38.25">
      <c r="B429" s="27">
        <v>423</v>
      </c>
      <c r="C429" s="31">
        <v>214</v>
      </c>
      <c r="D429" s="31">
        <v>36</v>
      </c>
      <c r="E429" s="32">
        <v>0.46666666666666662</v>
      </c>
      <c r="F429" s="32">
        <v>0.47916666666666669</v>
      </c>
      <c r="G429" s="31" t="s">
        <v>687</v>
      </c>
      <c r="H429" s="43" t="s">
        <v>1118</v>
      </c>
      <c r="I429" s="33">
        <v>12.5</v>
      </c>
      <c r="J429" s="34" t="s">
        <v>93</v>
      </c>
      <c r="K429" s="46">
        <v>34</v>
      </c>
      <c r="L429" s="36">
        <f>+K429*I429</f>
        <v>425</v>
      </c>
      <c r="M429" s="37" t="s">
        <v>736</v>
      </c>
      <c r="N429" s="23" t="s">
        <v>939</v>
      </c>
      <c r="O429" s="23">
        <v>20</v>
      </c>
      <c r="P429" s="23" t="s">
        <v>1793</v>
      </c>
      <c r="Q429" s="23">
        <v>27</v>
      </c>
      <c r="S429" s="23"/>
      <c r="T429" s="7" t="s">
        <v>1458</v>
      </c>
      <c r="U429" s="7" t="s">
        <v>1459</v>
      </c>
      <c r="V429" s="7">
        <v>2314</v>
      </c>
      <c r="W429" s="7" t="s">
        <v>1457</v>
      </c>
      <c r="X429" s="17"/>
      <c r="Y429" s="18"/>
      <c r="Z429" s="18">
        <v>45108</v>
      </c>
      <c r="AA429" s="18">
        <v>45138</v>
      </c>
      <c r="AB429" s="8" t="s">
        <v>1739</v>
      </c>
      <c r="AC429" s="8"/>
      <c r="AD429" s="8" t="s">
        <v>726</v>
      </c>
      <c r="AE429" s="8" t="s">
        <v>726</v>
      </c>
      <c r="AF429" s="8"/>
      <c r="AG429" s="8" t="s">
        <v>726</v>
      </c>
      <c r="AH429" s="8" t="s">
        <v>726</v>
      </c>
      <c r="AI429" s="8" t="s">
        <v>726</v>
      </c>
      <c r="AJ429" s="8" t="s">
        <v>726</v>
      </c>
      <c r="AK429" s="8" t="s">
        <v>726</v>
      </c>
      <c r="AL429" s="8" t="s">
        <v>726</v>
      </c>
      <c r="AM429" s="8"/>
      <c r="AN429" s="8"/>
      <c r="AO429" s="8"/>
      <c r="AP429" s="8"/>
      <c r="AQ429" s="8"/>
      <c r="AR429" s="8"/>
      <c r="AS429" s="8"/>
      <c r="AT429" s="8"/>
      <c r="AU429" s="8"/>
      <c r="AV429" s="8"/>
      <c r="AX429" s="142">
        <v>37.5</v>
      </c>
    </row>
    <row r="430" spans="1:50" ht="45">
      <c r="B430" s="48" t="s">
        <v>1120</v>
      </c>
      <c r="C430" s="31">
        <v>214</v>
      </c>
      <c r="D430" s="31">
        <v>36</v>
      </c>
      <c r="E430" s="32">
        <v>0.46666666666666662</v>
      </c>
      <c r="F430" s="32">
        <v>0.47916666666666669</v>
      </c>
      <c r="G430" s="31" t="s">
        <v>687</v>
      </c>
      <c r="H430" s="43" t="s">
        <v>1118</v>
      </c>
      <c r="I430" s="33">
        <v>12.5</v>
      </c>
      <c r="J430" s="34" t="s">
        <v>93</v>
      </c>
      <c r="K430" s="46">
        <v>33</v>
      </c>
      <c r="L430" s="36">
        <f>+K430*I430</f>
        <v>412.5</v>
      </c>
      <c r="M430" s="37" t="s">
        <v>747</v>
      </c>
      <c r="N430" s="23" t="s">
        <v>952</v>
      </c>
      <c r="O430" s="23">
        <v>18</v>
      </c>
      <c r="P430" s="23" t="s">
        <v>940</v>
      </c>
      <c r="Q430" s="23">
        <v>17</v>
      </c>
      <c r="S430" s="23"/>
      <c r="T430" s="7" t="s">
        <v>1458</v>
      </c>
      <c r="U430" s="7" t="s">
        <v>1459</v>
      </c>
      <c r="V430" s="7">
        <v>2314</v>
      </c>
      <c r="W430" s="7" t="s">
        <v>1457</v>
      </c>
      <c r="X430" s="18">
        <v>45101</v>
      </c>
      <c r="Y430" s="18">
        <v>45107</v>
      </c>
      <c r="Z430" s="18">
        <v>45139</v>
      </c>
      <c r="AA430" s="18">
        <v>45169</v>
      </c>
      <c r="AB430" s="8" t="s">
        <v>1738</v>
      </c>
      <c r="AC430" s="8"/>
      <c r="AD430" s="8" t="s">
        <v>726</v>
      </c>
      <c r="AE430" s="8" t="s">
        <v>726</v>
      </c>
      <c r="AF430" s="8"/>
      <c r="AG430" s="8" t="s">
        <v>726</v>
      </c>
      <c r="AH430" s="8" t="s">
        <v>726</v>
      </c>
      <c r="AI430" s="8" t="s">
        <v>726</v>
      </c>
      <c r="AJ430" s="8" t="s">
        <v>726</v>
      </c>
      <c r="AK430" s="8" t="s">
        <v>726</v>
      </c>
      <c r="AL430" s="8" t="s">
        <v>726</v>
      </c>
      <c r="AM430" s="8"/>
      <c r="AN430" s="8"/>
      <c r="AO430" s="8"/>
      <c r="AP430" s="8"/>
      <c r="AQ430" s="8"/>
      <c r="AR430" s="8"/>
      <c r="AS430" s="8"/>
      <c r="AT430" s="8"/>
      <c r="AU430" s="8"/>
      <c r="AV430" s="8"/>
      <c r="AX430" s="142">
        <v>37.5</v>
      </c>
    </row>
    <row r="431" spans="1:50" ht="25.5">
      <c r="A431" s="23"/>
      <c r="B431" s="27">
        <v>424</v>
      </c>
      <c r="C431" s="31">
        <v>214</v>
      </c>
      <c r="D431" s="31">
        <v>741</v>
      </c>
      <c r="E431" s="32">
        <v>0.47222222222222227</v>
      </c>
      <c r="F431" s="32">
        <v>0.51527777777777783</v>
      </c>
      <c r="G431" s="31" t="s">
        <v>451</v>
      </c>
      <c r="H431" s="31" t="s">
        <v>546</v>
      </c>
      <c r="I431" s="33">
        <v>28</v>
      </c>
      <c r="J431" s="34" t="s">
        <v>101</v>
      </c>
      <c r="K431" s="35">
        <v>13</v>
      </c>
      <c r="L431" s="36">
        <f>+K431*I431</f>
        <v>364</v>
      </c>
      <c r="M431" s="37" t="s">
        <v>744</v>
      </c>
      <c r="N431" s="23" t="s">
        <v>833</v>
      </c>
      <c r="O431" s="23">
        <v>57</v>
      </c>
      <c r="P431" s="23" t="s">
        <v>1792</v>
      </c>
      <c r="Q431" s="23">
        <v>56</v>
      </c>
      <c r="S431" s="23"/>
      <c r="T431" s="7">
        <v>2156</v>
      </c>
      <c r="U431" s="7" t="s">
        <v>1459</v>
      </c>
      <c r="V431" s="7">
        <v>960</v>
      </c>
      <c r="W431" s="7" t="s">
        <v>1251</v>
      </c>
      <c r="X431" s="17"/>
      <c r="Y431" s="18"/>
      <c r="Z431" s="18"/>
      <c r="AA431" s="18"/>
      <c r="AB431" s="7" t="s">
        <v>1044</v>
      </c>
      <c r="AC431" s="8"/>
      <c r="AD431" s="8" t="s">
        <v>726</v>
      </c>
      <c r="AE431" s="8"/>
      <c r="AF431" s="8"/>
      <c r="AG431" s="8"/>
      <c r="AH431" s="8"/>
      <c r="AI431" s="8"/>
      <c r="AJ431" s="8"/>
      <c r="AK431" s="8"/>
      <c r="AL431" s="8"/>
      <c r="AM431" s="8" t="s">
        <v>726</v>
      </c>
      <c r="AN431" s="8"/>
      <c r="AO431" s="8"/>
      <c r="AP431" s="8"/>
      <c r="AQ431" s="8"/>
      <c r="AR431" s="8"/>
      <c r="AS431" s="8"/>
      <c r="AT431" s="8"/>
      <c r="AU431" s="8"/>
      <c r="AV431" s="8"/>
      <c r="AX431" s="142">
        <v>84</v>
      </c>
    </row>
    <row r="432" spans="1:50" ht="25.5">
      <c r="B432" s="27">
        <v>425</v>
      </c>
      <c r="C432" s="31">
        <v>214</v>
      </c>
      <c r="D432" s="31">
        <v>36</v>
      </c>
      <c r="E432" s="32">
        <v>0.47222222222222227</v>
      </c>
      <c r="F432" s="32">
        <v>0.48472222222222222</v>
      </c>
      <c r="G432" s="31" t="s">
        <v>455</v>
      </c>
      <c r="H432" s="31" t="s">
        <v>546</v>
      </c>
      <c r="I432" s="33">
        <v>12.5</v>
      </c>
      <c r="J432" s="34" t="s">
        <v>93</v>
      </c>
      <c r="K432" s="35">
        <v>13</v>
      </c>
      <c r="L432" s="36">
        <f>+K432*I432</f>
        <v>162.5</v>
      </c>
      <c r="M432" s="37" t="s">
        <v>736</v>
      </c>
      <c r="N432" s="23" t="s">
        <v>939</v>
      </c>
      <c r="O432" s="23">
        <v>20</v>
      </c>
      <c r="P432" s="23" t="s">
        <v>1793</v>
      </c>
      <c r="Q432" s="23">
        <v>27</v>
      </c>
      <c r="S432" s="23"/>
      <c r="T432" s="7" t="s">
        <v>1458</v>
      </c>
      <c r="U432" s="7" t="s">
        <v>1459</v>
      </c>
      <c r="V432" s="7">
        <v>2314</v>
      </c>
      <c r="W432" s="7" t="s">
        <v>1457</v>
      </c>
      <c r="X432" s="17"/>
      <c r="Y432" s="18"/>
      <c r="Z432" s="18"/>
      <c r="AA432" s="18"/>
      <c r="AB432" s="7" t="s">
        <v>1044</v>
      </c>
      <c r="AC432" s="8"/>
      <c r="AD432" s="8" t="s">
        <v>726</v>
      </c>
      <c r="AE432" s="8"/>
      <c r="AF432" s="8"/>
      <c r="AG432" s="8"/>
      <c r="AH432" s="8"/>
      <c r="AI432" s="8"/>
      <c r="AJ432" s="8"/>
      <c r="AK432" s="8"/>
      <c r="AL432" s="8"/>
      <c r="AM432" s="8" t="s">
        <v>726</v>
      </c>
      <c r="AN432" s="8"/>
      <c r="AO432" s="8"/>
      <c r="AP432" s="8"/>
      <c r="AQ432" s="8"/>
      <c r="AR432" s="8"/>
      <c r="AS432" s="8"/>
      <c r="AT432" s="8"/>
      <c r="AU432" s="8"/>
      <c r="AV432" s="8"/>
      <c r="AX432" s="142">
        <v>37.5</v>
      </c>
    </row>
    <row r="433" spans="1:50" ht="45">
      <c r="B433" s="27">
        <v>426</v>
      </c>
      <c r="C433" s="31">
        <v>214</v>
      </c>
      <c r="D433" s="31">
        <v>38</v>
      </c>
      <c r="E433" s="32">
        <v>0.57361111111111118</v>
      </c>
      <c r="F433" s="32">
        <v>0.58472222222222225</v>
      </c>
      <c r="G433" s="31" t="s">
        <v>375</v>
      </c>
      <c r="H433" s="31" t="s">
        <v>374</v>
      </c>
      <c r="I433" s="33">
        <v>13</v>
      </c>
      <c r="J433" s="34" t="s">
        <v>125</v>
      </c>
      <c r="K433" s="35">
        <f>174-36</f>
        <v>138</v>
      </c>
      <c r="L433" s="36">
        <f>+K433*I433</f>
        <v>1794</v>
      </c>
      <c r="M433" s="37" t="s">
        <v>747</v>
      </c>
      <c r="N433" s="23" t="s">
        <v>952</v>
      </c>
      <c r="O433" s="23">
        <v>18</v>
      </c>
      <c r="P433" s="23" t="s">
        <v>950</v>
      </c>
      <c r="Q433" s="23">
        <v>17</v>
      </c>
      <c r="R433" s="23" t="s">
        <v>953</v>
      </c>
      <c r="S433" s="24">
        <v>24</v>
      </c>
      <c r="T433" s="7">
        <v>2156</v>
      </c>
      <c r="U433" s="7" t="s">
        <v>1459</v>
      </c>
      <c r="V433" s="7" t="s">
        <v>1460</v>
      </c>
      <c r="W433" s="7" t="s">
        <v>1457</v>
      </c>
      <c r="X433" s="18"/>
      <c r="Y433" s="17"/>
      <c r="Z433" s="17"/>
      <c r="AA433" s="17"/>
      <c r="AB433" s="7" t="s">
        <v>1071</v>
      </c>
      <c r="AC433" s="8"/>
      <c r="AD433" s="8"/>
      <c r="AE433" s="8"/>
      <c r="AF433" s="8" t="s">
        <v>726</v>
      </c>
      <c r="AG433" s="8" t="s">
        <v>726</v>
      </c>
      <c r="AH433" s="8" t="s">
        <v>726</v>
      </c>
      <c r="AI433" s="8"/>
      <c r="AJ433" s="8" t="s">
        <v>726</v>
      </c>
      <c r="AK433" s="8" t="s">
        <v>726</v>
      </c>
      <c r="AL433" s="8"/>
      <c r="AM433" s="8"/>
      <c r="AN433" s="8"/>
      <c r="AO433" s="8"/>
      <c r="AP433" s="8"/>
      <c r="AQ433" s="8"/>
      <c r="AR433" s="8"/>
      <c r="AS433" s="8"/>
      <c r="AT433" s="8"/>
      <c r="AU433" s="8"/>
      <c r="AV433" s="8"/>
      <c r="AX433" s="142">
        <v>40.79</v>
      </c>
    </row>
    <row r="434" spans="1:50" ht="25.5">
      <c r="A434" s="23"/>
      <c r="B434" s="27">
        <v>427</v>
      </c>
      <c r="C434" s="31">
        <v>214</v>
      </c>
      <c r="D434" s="31">
        <v>66</v>
      </c>
      <c r="E434" s="32">
        <v>0.59027777777777779</v>
      </c>
      <c r="F434" s="32">
        <v>0.63263888888888886</v>
      </c>
      <c r="G434" s="31" t="s">
        <v>449</v>
      </c>
      <c r="H434" s="31" t="s">
        <v>546</v>
      </c>
      <c r="I434" s="33">
        <v>28</v>
      </c>
      <c r="J434" s="34" t="s">
        <v>188</v>
      </c>
      <c r="K434" s="35">
        <v>13</v>
      </c>
      <c r="L434" s="36">
        <f>+K434*I434</f>
        <v>364</v>
      </c>
      <c r="M434" s="37" t="s">
        <v>744</v>
      </c>
      <c r="N434" s="23" t="s">
        <v>833</v>
      </c>
      <c r="O434" s="23">
        <v>57</v>
      </c>
      <c r="P434" s="23" t="s">
        <v>1792</v>
      </c>
      <c r="Q434" s="23">
        <v>56</v>
      </c>
      <c r="S434" s="23"/>
      <c r="T434" s="7">
        <v>960</v>
      </c>
      <c r="U434" s="7" t="s">
        <v>1251</v>
      </c>
      <c r="V434" s="7">
        <v>2156</v>
      </c>
      <c r="W434" s="7" t="s">
        <v>1459</v>
      </c>
      <c r="X434" s="17"/>
      <c r="Y434" s="18"/>
      <c r="Z434" s="18"/>
      <c r="AA434" s="18"/>
      <c r="AB434" s="7" t="s">
        <v>1044</v>
      </c>
      <c r="AC434" s="8"/>
      <c r="AD434" s="8" t="s">
        <v>726</v>
      </c>
      <c r="AE434" s="8"/>
      <c r="AF434" s="8"/>
      <c r="AG434" s="8"/>
      <c r="AH434" s="8"/>
      <c r="AI434" s="8"/>
      <c r="AJ434" s="8"/>
      <c r="AK434" s="8"/>
      <c r="AL434" s="8"/>
      <c r="AM434" s="8" t="s">
        <v>726</v>
      </c>
      <c r="AN434" s="8"/>
      <c r="AO434" s="8"/>
      <c r="AP434" s="8"/>
      <c r="AQ434" s="8"/>
      <c r="AR434" s="8"/>
      <c r="AS434" s="8"/>
      <c r="AT434" s="8"/>
      <c r="AU434" s="8"/>
      <c r="AV434" s="8"/>
      <c r="AX434" s="142">
        <v>84</v>
      </c>
    </row>
    <row r="435" spans="1:50" ht="25.5">
      <c r="B435" s="27">
        <v>428</v>
      </c>
      <c r="C435" s="31">
        <v>214</v>
      </c>
      <c r="D435" s="31">
        <v>641</v>
      </c>
      <c r="E435" s="32">
        <v>0.625</v>
      </c>
      <c r="F435" s="32">
        <v>0.63750000000000007</v>
      </c>
      <c r="G435" s="31" t="s">
        <v>454</v>
      </c>
      <c r="H435" s="31" t="s">
        <v>546</v>
      </c>
      <c r="I435" s="33">
        <v>12.5</v>
      </c>
      <c r="J435" s="34" t="s">
        <v>93</v>
      </c>
      <c r="K435" s="35">
        <v>13</v>
      </c>
      <c r="L435" s="36">
        <f>+K435*I435</f>
        <v>162.5</v>
      </c>
      <c r="M435" s="37" t="s">
        <v>736</v>
      </c>
      <c r="N435" s="23" t="s">
        <v>939</v>
      </c>
      <c r="O435" s="23">
        <v>20</v>
      </c>
      <c r="P435" s="23" t="s">
        <v>1793</v>
      </c>
      <c r="Q435" s="23">
        <v>27</v>
      </c>
      <c r="S435" s="23"/>
      <c r="T435" s="7">
        <v>2314</v>
      </c>
      <c r="U435" s="7" t="s">
        <v>1457</v>
      </c>
      <c r="V435" s="7" t="s">
        <v>1458</v>
      </c>
      <c r="W435" s="7" t="s">
        <v>1459</v>
      </c>
      <c r="X435" s="17"/>
      <c r="Y435" s="18"/>
      <c r="Z435" s="18"/>
      <c r="AA435" s="18"/>
      <c r="AB435" s="7" t="s">
        <v>1044</v>
      </c>
      <c r="AC435" s="8"/>
      <c r="AD435" s="8" t="s">
        <v>726</v>
      </c>
      <c r="AE435" s="8"/>
      <c r="AF435" s="8"/>
      <c r="AG435" s="8"/>
      <c r="AH435" s="8"/>
      <c r="AI435" s="8"/>
      <c r="AJ435" s="8"/>
      <c r="AK435" s="8"/>
      <c r="AL435" s="8"/>
      <c r="AM435" s="8" t="s">
        <v>726</v>
      </c>
      <c r="AN435" s="8"/>
      <c r="AO435" s="8"/>
      <c r="AP435" s="8"/>
      <c r="AQ435" s="8"/>
      <c r="AR435" s="8"/>
      <c r="AS435" s="8"/>
      <c r="AT435" s="8"/>
      <c r="AU435" s="8"/>
      <c r="AV435" s="8"/>
      <c r="AX435" s="142">
        <v>37.5</v>
      </c>
    </row>
    <row r="436" spans="1:50" ht="45">
      <c r="B436" s="27">
        <v>429</v>
      </c>
      <c r="C436" s="31">
        <v>214</v>
      </c>
      <c r="D436" s="31">
        <v>42</v>
      </c>
      <c r="E436" s="32">
        <v>0.62638888888888888</v>
      </c>
      <c r="F436" s="42">
        <v>0.66180555555555554</v>
      </c>
      <c r="G436" s="31" t="s">
        <v>480</v>
      </c>
      <c r="H436" s="31" t="s">
        <v>103</v>
      </c>
      <c r="I436" s="33">
        <v>36</v>
      </c>
      <c r="J436" s="34" t="s">
        <v>269</v>
      </c>
      <c r="K436" s="35">
        <v>174</v>
      </c>
      <c r="L436" s="36">
        <f>+K436*I436</f>
        <v>6264</v>
      </c>
      <c r="M436" s="37" t="s">
        <v>747</v>
      </c>
      <c r="N436" s="23" t="s">
        <v>952</v>
      </c>
      <c r="O436" s="23">
        <v>18</v>
      </c>
      <c r="P436" s="23" t="s">
        <v>950</v>
      </c>
      <c r="Q436" s="23">
        <v>17</v>
      </c>
      <c r="R436" s="2" t="s">
        <v>953</v>
      </c>
      <c r="S436" s="24">
        <v>24</v>
      </c>
      <c r="T436" s="7">
        <v>2156</v>
      </c>
      <c r="U436" s="7" t="s">
        <v>1459</v>
      </c>
      <c r="V436" s="7">
        <v>2305</v>
      </c>
      <c r="W436" s="7" t="s">
        <v>1454</v>
      </c>
      <c r="X436" s="18"/>
      <c r="Y436" s="17"/>
      <c r="Z436" s="17"/>
      <c r="AA436" s="17"/>
      <c r="AB436" s="7" t="s">
        <v>1042</v>
      </c>
      <c r="AC436" s="8"/>
      <c r="AD436" s="8"/>
      <c r="AE436" s="8"/>
      <c r="AF436" s="8" t="s">
        <v>726</v>
      </c>
      <c r="AG436" s="8" t="s">
        <v>726</v>
      </c>
      <c r="AH436" s="8" t="s">
        <v>726</v>
      </c>
      <c r="AI436" s="8" t="s">
        <v>726</v>
      </c>
      <c r="AJ436" s="8" t="s">
        <v>726</v>
      </c>
      <c r="AK436" s="8" t="s">
        <v>726</v>
      </c>
      <c r="AL436" s="8"/>
      <c r="AM436" s="8"/>
      <c r="AN436" s="8"/>
      <c r="AO436" s="8"/>
      <c r="AP436" s="8"/>
      <c r="AQ436" s="8"/>
      <c r="AR436" s="8"/>
      <c r="AS436" s="8"/>
      <c r="AT436" s="8"/>
      <c r="AU436" s="8"/>
      <c r="AV436" s="8"/>
      <c r="AX436" s="142">
        <v>106.88068965517242</v>
      </c>
    </row>
    <row r="437" spans="1:50" ht="25.5">
      <c r="B437" s="27">
        <v>430</v>
      </c>
      <c r="C437" s="31">
        <v>214</v>
      </c>
      <c r="D437" s="31">
        <v>42</v>
      </c>
      <c r="E437" s="32">
        <v>0.63472222222222219</v>
      </c>
      <c r="F437" s="32">
        <v>0.67013888888888884</v>
      </c>
      <c r="G437" s="31" t="s">
        <v>190</v>
      </c>
      <c r="H437" s="31" t="s">
        <v>123</v>
      </c>
      <c r="I437" s="33">
        <v>36</v>
      </c>
      <c r="J437" s="34" t="s">
        <v>116</v>
      </c>
      <c r="K437" s="35">
        <v>34</v>
      </c>
      <c r="L437" s="36">
        <f>+K437*I437</f>
        <v>1224</v>
      </c>
      <c r="M437" s="37" t="s">
        <v>734</v>
      </c>
      <c r="N437" s="23" t="s">
        <v>937</v>
      </c>
      <c r="O437" s="23">
        <v>17</v>
      </c>
      <c r="P437" s="23" t="s">
        <v>1794</v>
      </c>
      <c r="Q437" s="23">
        <v>9</v>
      </c>
      <c r="R437" s="23"/>
      <c r="S437" s="23"/>
      <c r="T437" s="7">
        <v>2156</v>
      </c>
      <c r="U437" s="7" t="s">
        <v>1459</v>
      </c>
      <c r="V437" s="7">
        <v>2305</v>
      </c>
      <c r="W437" s="7" t="s">
        <v>1454</v>
      </c>
      <c r="X437" s="18"/>
      <c r="Y437" s="17"/>
      <c r="Z437" s="17"/>
      <c r="AA437" s="17"/>
      <c r="AB437" s="7" t="s">
        <v>1051</v>
      </c>
      <c r="AC437" s="8"/>
      <c r="AD437" s="8"/>
      <c r="AE437" s="8"/>
      <c r="AF437" s="8" t="s">
        <v>726</v>
      </c>
      <c r="AG437" s="8"/>
      <c r="AH437" s="8"/>
      <c r="AI437" s="8"/>
      <c r="AJ437" s="8"/>
      <c r="AK437" s="8"/>
      <c r="AL437" s="8" t="s">
        <v>726</v>
      </c>
      <c r="AM437" s="8"/>
      <c r="AN437" s="8"/>
      <c r="AO437" s="8"/>
      <c r="AP437" s="8"/>
      <c r="AQ437" s="8"/>
      <c r="AR437" s="8"/>
      <c r="AS437" s="8"/>
      <c r="AT437" s="8"/>
      <c r="AU437" s="8"/>
      <c r="AV437" s="8"/>
      <c r="AX437" s="142">
        <v>106.44</v>
      </c>
    </row>
    <row r="438" spans="1:50" ht="25.5">
      <c r="A438" s="23"/>
      <c r="B438" s="27">
        <v>431</v>
      </c>
      <c r="C438" s="31">
        <v>214</v>
      </c>
      <c r="D438" s="31">
        <v>745</v>
      </c>
      <c r="E438" s="123">
        <v>0.64027777777777783</v>
      </c>
      <c r="F438" s="123">
        <v>0.68333333333333324</v>
      </c>
      <c r="G438" s="31" t="s">
        <v>451</v>
      </c>
      <c r="H438" s="31" t="s">
        <v>546</v>
      </c>
      <c r="I438" s="33">
        <v>28</v>
      </c>
      <c r="J438" s="34" t="s">
        <v>101</v>
      </c>
      <c r="K438" s="35">
        <v>13</v>
      </c>
      <c r="L438" s="36">
        <f>+K438*I438</f>
        <v>364</v>
      </c>
      <c r="M438" s="37" t="s">
        <v>744</v>
      </c>
      <c r="N438" s="23" t="s">
        <v>833</v>
      </c>
      <c r="O438" s="23">
        <v>57</v>
      </c>
      <c r="P438" s="23" t="s">
        <v>1792</v>
      </c>
      <c r="Q438" s="23">
        <v>56</v>
      </c>
      <c r="S438" s="23"/>
      <c r="T438" s="7">
        <v>2156</v>
      </c>
      <c r="U438" s="7" t="s">
        <v>1459</v>
      </c>
      <c r="V438" s="7">
        <v>960</v>
      </c>
      <c r="W438" s="7" t="s">
        <v>1251</v>
      </c>
      <c r="X438" s="17"/>
      <c r="Y438" s="18"/>
      <c r="Z438" s="18"/>
      <c r="AA438" s="18"/>
      <c r="AB438" s="7" t="s">
        <v>1044</v>
      </c>
      <c r="AC438" s="8"/>
      <c r="AD438" s="8" t="s">
        <v>726</v>
      </c>
      <c r="AE438" s="8"/>
      <c r="AF438" s="8"/>
      <c r="AG438" s="8"/>
      <c r="AH438" s="8"/>
      <c r="AI438" s="8"/>
      <c r="AJ438" s="8"/>
      <c r="AK438" s="8"/>
      <c r="AL438" s="8"/>
      <c r="AM438" s="8" t="s">
        <v>726</v>
      </c>
      <c r="AN438" s="8"/>
      <c r="AO438" s="8"/>
      <c r="AP438" s="8"/>
      <c r="AQ438" s="8"/>
      <c r="AR438" s="8"/>
      <c r="AS438" s="8"/>
      <c r="AT438" s="8"/>
      <c r="AU438" s="8"/>
      <c r="AV438" s="8"/>
      <c r="AX438" s="142">
        <v>84</v>
      </c>
    </row>
    <row r="439" spans="1:50" ht="38.25">
      <c r="B439" s="27">
        <v>432</v>
      </c>
      <c r="C439" s="31">
        <v>214</v>
      </c>
      <c r="D439" s="31">
        <v>457</v>
      </c>
      <c r="E439" s="32">
        <v>0.66666666666666663</v>
      </c>
      <c r="F439" s="32">
        <v>0.6791666666666667</v>
      </c>
      <c r="G439" s="31" t="s">
        <v>454</v>
      </c>
      <c r="H439" s="43" t="s">
        <v>1118</v>
      </c>
      <c r="I439" s="33">
        <v>12.5</v>
      </c>
      <c r="J439" s="34" t="s">
        <v>93</v>
      </c>
      <c r="K439" s="46">
        <v>34</v>
      </c>
      <c r="L439" s="36">
        <f>+K439*I439</f>
        <v>425</v>
      </c>
      <c r="M439" s="37" t="s">
        <v>736</v>
      </c>
      <c r="N439" s="23" t="s">
        <v>939</v>
      </c>
      <c r="O439" s="23">
        <v>20</v>
      </c>
      <c r="P439" s="23" t="s">
        <v>1793</v>
      </c>
      <c r="Q439" s="23">
        <v>27</v>
      </c>
      <c r="S439" s="23"/>
      <c r="T439" s="7">
        <v>2314</v>
      </c>
      <c r="U439" s="7" t="s">
        <v>1457</v>
      </c>
      <c r="V439" s="7" t="s">
        <v>1458</v>
      </c>
      <c r="W439" s="7" t="s">
        <v>1459</v>
      </c>
      <c r="X439" s="17"/>
      <c r="Y439" s="18"/>
      <c r="Z439" s="18">
        <v>45108</v>
      </c>
      <c r="AA439" s="18">
        <v>45138</v>
      </c>
      <c r="AB439" s="8" t="s">
        <v>1739</v>
      </c>
      <c r="AC439" s="8"/>
      <c r="AD439" s="8" t="s">
        <v>726</v>
      </c>
      <c r="AE439" s="8" t="s">
        <v>726</v>
      </c>
      <c r="AF439" s="8"/>
      <c r="AG439" s="8" t="s">
        <v>726</v>
      </c>
      <c r="AH439" s="8" t="s">
        <v>726</v>
      </c>
      <c r="AI439" s="8" t="s">
        <v>726</v>
      </c>
      <c r="AJ439" s="8" t="s">
        <v>726</v>
      </c>
      <c r="AK439" s="8" t="s">
        <v>726</v>
      </c>
      <c r="AL439" s="8" t="s">
        <v>726</v>
      </c>
      <c r="AM439" s="8"/>
      <c r="AN439" s="8"/>
      <c r="AO439" s="8"/>
      <c r="AP439" s="8"/>
      <c r="AQ439" s="8"/>
      <c r="AR439" s="8"/>
      <c r="AS439" s="8"/>
      <c r="AT439" s="8"/>
      <c r="AU439" s="8"/>
      <c r="AV439" s="8"/>
      <c r="AX439" s="142">
        <v>37.5</v>
      </c>
    </row>
    <row r="440" spans="1:50" ht="45">
      <c r="B440" s="48" t="s">
        <v>1121</v>
      </c>
      <c r="C440" s="31">
        <v>214</v>
      </c>
      <c r="D440" s="31">
        <v>457</v>
      </c>
      <c r="E440" s="32">
        <v>0.66666666666666663</v>
      </c>
      <c r="F440" s="32">
        <v>0.6791666666666667</v>
      </c>
      <c r="G440" s="31" t="s">
        <v>454</v>
      </c>
      <c r="H440" s="43" t="s">
        <v>1118</v>
      </c>
      <c r="I440" s="33">
        <v>12.5</v>
      </c>
      <c r="J440" s="34" t="s">
        <v>93</v>
      </c>
      <c r="K440" s="46">
        <v>33</v>
      </c>
      <c r="L440" s="36">
        <f>+K440*I440</f>
        <v>412.5</v>
      </c>
      <c r="M440" s="37" t="s">
        <v>747</v>
      </c>
      <c r="N440" s="23" t="s">
        <v>952</v>
      </c>
      <c r="O440" s="23">
        <v>18</v>
      </c>
      <c r="P440" s="23" t="s">
        <v>940</v>
      </c>
      <c r="Q440" s="23">
        <v>17</v>
      </c>
      <c r="S440" s="23"/>
      <c r="T440" s="7">
        <v>2314</v>
      </c>
      <c r="U440" s="7" t="s">
        <v>1457</v>
      </c>
      <c r="V440" s="7" t="s">
        <v>1458</v>
      </c>
      <c r="W440" s="7" t="s">
        <v>1459</v>
      </c>
      <c r="X440" s="18">
        <v>45101</v>
      </c>
      <c r="Y440" s="18">
        <v>45107</v>
      </c>
      <c r="Z440" s="18">
        <v>45139</v>
      </c>
      <c r="AA440" s="18">
        <v>45169</v>
      </c>
      <c r="AB440" s="8" t="s">
        <v>1738</v>
      </c>
      <c r="AC440" s="8"/>
      <c r="AD440" s="8" t="s">
        <v>726</v>
      </c>
      <c r="AE440" s="8" t="s">
        <v>726</v>
      </c>
      <c r="AF440" s="8"/>
      <c r="AG440" s="8" t="s">
        <v>726</v>
      </c>
      <c r="AH440" s="8" t="s">
        <v>726</v>
      </c>
      <c r="AI440" s="8" t="s">
        <v>726</v>
      </c>
      <c r="AJ440" s="8" t="s">
        <v>726</v>
      </c>
      <c r="AK440" s="8" t="s">
        <v>726</v>
      </c>
      <c r="AL440" s="8" t="s">
        <v>726</v>
      </c>
      <c r="AM440" s="8"/>
      <c r="AN440" s="8"/>
      <c r="AO440" s="8"/>
      <c r="AP440" s="8"/>
      <c r="AQ440" s="8"/>
      <c r="AR440" s="8"/>
      <c r="AS440" s="8"/>
      <c r="AT440" s="8"/>
      <c r="AU440" s="8"/>
      <c r="AV440" s="8"/>
      <c r="AX440" s="142">
        <v>37.5</v>
      </c>
    </row>
    <row r="441" spans="1:50" ht="25.5">
      <c r="A441" s="23"/>
      <c r="B441" s="27">
        <v>433</v>
      </c>
      <c r="C441" s="31">
        <v>214</v>
      </c>
      <c r="D441" s="31">
        <v>334</v>
      </c>
      <c r="E441" s="32">
        <v>0.6875</v>
      </c>
      <c r="F441" s="32">
        <v>0.72986111111111107</v>
      </c>
      <c r="G441" s="31" t="s">
        <v>449</v>
      </c>
      <c r="H441" s="31" t="s">
        <v>546</v>
      </c>
      <c r="I441" s="33">
        <v>28</v>
      </c>
      <c r="J441" s="34" t="s">
        <v>101</v>
      </c>
      <c r="K441" s="35">
        <v>13</v>
      </c>
      <c r="L441" s="36">
        <f>+K441*I441</f>
        <v>364</v>
      </c>
      <c r="M441" s="37" t="s">
        <v>744</v>
      </c>
      <c r="N441" s="23" t="s">
        <v>833</v>
      </c>
      <c r="O441" s="23">
        <v>57</v>
      </c>
      <c r="P441" s="23" t="s">
        <v>1792</v>
      </c>
      <c r="Q441" s="23">
        <v>56</v>
      </c>
      <c r="S441" s="23"/>
      <c r="T441" s="7">
        <v>960</v>
      </c>
      <c r="U441" s="7" t="s">
        <v>1251</v>
      </c>
      <c r="V441" s="7">
        <v>2156</v>
      </c>
      <c r="W441" s="7" t="s">
        <v>1459</v>
      </c>
      <c r="X441" s="17"/>
      <c r="Y441" s="18"/>
      <c r="Z441" s="18"/>
      <c r="AA441" s="18"/>
      <c r="AB441" s="7" t="s">
        <v>1044</v>
      </c>
      <c r="AC441" s="8"/>
      <c r="AD441" s="8" t="s">
        <v>726</v>
      </c>
      <c r="AE441" s="8"/>
      <c r="AF441" s="8"/>
      <c r="AG441" s="8"/>
      <c r="AH441" s="8"/>
      <c r="AI441" s="8"/>
      <c r="AJ441" s="8"/>
      <c r="AK441" s="8"/>
      <c r="AL441" s="8"/>
      <c r="AM441" s="8" t="s">
        <v>726</v>
      </c>
      <c r="AN441" s="8"/>
      <c r="AO441" s="8"/>
      <c r="AP441" s="8"/>
      <c r="AQ441" s="8"/>
      <c r="AR441" s="8"/>
      <c r="AS441" s="8"/>
      <c r="AT441" s="8"/>
      <c r="AU441" s="8"/>
      <c r="AV441" s="8"/>
      <c r="AX441" s="142">
        <v>84</v>
      </c>
    </row>
    <row r="442" spans="1:50" ht="25.5">
      <c r="B442" s="27">
        <v>434</v>
      </c>
      <c r="C442" s="31">
        <v>214</v>
      </c>
      <c r="D442" s="31">
        <v>570</v>
      </c>
      <c r="E442" s="32">
        <v>0.6875</v>
      </c>
      <c r="F442" s="32">
        <v>0.72986111111111107</v>
      </c>
      <c r="G442" s="31" t="s">
        <v>449</v>
      </c>
      <c r="H442" s="31" t="s">
        <v>450</v>
      </c>
      <c r="I442" s="33">
        <v>28</v>
      </c>
      <c r="J442" s="34" t="s">
        <v>269</v>
      </c>
      <c r="K442" s="35">
        <v>26</v>
      </c>
      <c r="L442" s="36">
        <f>+K442*I442</f>
        <v>728</v>
      </c>
      <c r="M442" s="37" t="s">
        <v>744</v>
      </c>
      <c r="N442" s="79" t="s">
        <v>832</v>
      </c>
      <c r="O442" s="79">
        <v>23</v>
      </c>
      <c r="P442" s="79" t="s">
        <v>834</v>
      </c>
      <c r="Q442" s="79">
        <v>29</v>
      </c>
      <c r="S442" s="23"/>
      <c r="T442" s="7">
        <v>960</v>
      </c>
      <c r="U442" s="7" t="s">
        <v>1251</v>
      </c>
      <c r="V442" s="7">
        <v>2156</v>
      </c>
      <c r="W442" s="7" t="s">
        <v>1459</v>
      </c>
      <c r="X442" s="18"/>
      <c r="Y442" s="17"/>
      <c r="Z442" s="18"/>
      <c r="AA442" s="18"/>
      <c r="AB442" s="7" t="s">
        <v>1072</v>
      </c>
      <c r="AC442" s="8" t="s">
        <v>726</v>
      </c>
      <c r="AD442" s="8"/>
      <c r="AE442" s="8" t="s">
        <v>726</v>
      </c>
      <c r="AF442" s="8"/>
      <c r="AG442" s="8"/>
      <c r="AH442" s="8"/>
      <c r="AI442" s="8"/>
      <c r="AJ442" s="8"/>
      <c r="AK442" s="8"/>
      <c r="AL442" s="8"/>
      <c r="AM442" s="8"/>
      <c r="AN442" s="8"/>
      <c r="AO442" s="8"/>
      <c r="AP442" s="8"/>
      <c r="AQ442" s="8" t="s">
        <v>726</v>
      </c>
      <c r="AR442" s="8" t="s">
        <v>726</v>
      </c>
      <c r="AS442" s="8" t="s">
        <v>726</v>
      </c>
      <c r="AT442" s="8" t="s">
        <v>726</v>
      </c>
      <c r="AU442" s="8" t="s">
        <v>726</v>
      </c>
      <c r="AV442" s="8"/>
      <c r="AX442" s="142">
        <v>84</v>
      </c>
    </row>
    <row r="443" spans="1:50" ht="38.25">
      <c r="B443" s="27">
        <v>435</v>
      </c>
      <c r="C443" s="31">
        <v>214</v>
      </c>
      <c r="D443" s="43">
        <v>74</v>
      </c>
      <c r="E443" s="32">
        <v>0.72013888888888899</v>
      </c>
      <c r="F443" s="32">
        <v>0.73263888888888884</v>
      </c>
      <c r="G443" s="31" t="s">
        <v>455</v>
      </c>
      <c r="H443" s="43" t="s">
        <v>1118</v>
      </c>
      <c r="I443" s="33">
        <v>12.5</v>
      </c>
      <c r="J443" s="34" t="s">
        <v>93</v>
      </c>
      <c r="K443" s="46">
        <v>34</v>
      </c>
      <c r="L443" s="36">
        <f>+K443*I443</f>
        <v>425</v>
      </c>
      <c r="M443" s="37" t="s">
        <v>736</v>
      </c>
      <c r="N443" s="23" t="s">
        <v>939</v>
      </c>
      <c r="O443" s="23">
        <v>20</v>
      </c>
      <c r="P443" s="23" t="s">
        <v>1793</v>
      </c>
      <c r="Q443" s="23">
        <v>27</v>
      </c>
      <c r="S443" s="23"/>
      <c r="T443" s="7" t="s">
        <v>1458</v>
      </c>
      <c r="U443" s="7" t="s">
        <v>1459</v>
      </c>
      <c r="V443" s="7">
        <v>2314</v>
      </c>
      <c r="W443" s="7" t="s">
        <v>1457</v>
      </c>
      <c r="X443" s="17"/>
      <c r="Y443" s="18"/>
      <c r="Z443" s="18">
        <v>45108</v>
      </c>
      <c r="AA443" s="18">
        <v>45138</v>
      </c>
      <c r="AB443" s="8" t="s">
        <v>1739</v>
      </c>
      <c r="AC443" s="8"/>
      <c r="AD443" s="8" t="s">
        <v>726</v>
      </c>
      <c r="AE443" s="8" t="s">
        <v>726</v>
      </c>
      <c r="AF443" s="8"/>
      <c r="AG443" s="8" t="s">
        <v>726</v>
      </c>
      <c r="AH443" s="8" t="s">
        <v>726</v>
      </c>
      <c r="AI443" s="8" t="s">
        <v>726</v>
      </c>
      <c r="AJ443" s="8" t="s">
        <v>726</v>
      </c>
      <c r="AK443" s="8" t="s">
        <v>726</v>
      </c>
      <c r="AL443" s="8" t="s">
        <v>726</v>
      </c>
      <c r="AM443" s="8"/>
      <c r="AN443" s="8"/>
      <c r="AO443" s="8"/>
      <c r="AP443" s="8"/>
      <c r="AQ443" s="8"/>
      <c r="AR443" s="8"/>
      <c r="AS443" s="8"/>
      <c r="AT443" s="8"/>
      <c r="AU443" s="8"/>
      <c r="AV443" s="8"/>
      <c r="AX443" s="142">
        <v>37.5</v>
      </c>
    </row>
    <row r="444" spans="1:50" ht="45">
      <c r="B444" s="48" t="s">
        <v>1122</v>
      </c>
      <c r="C444" s="31">
        <v>214</v>
      </c>
      <c r="D444" s="43">
        <v>74</v>
      </c>
      <c r="E444" s="32">
        <v>0.72013888888888899</v>
      </c>
      <c r="F444" s="32">
        <v>0.73263888888888884</v>
      </c>
      <c r="G444" s="31" t="s">
        <v>455</v>
      </c>
      <c r="H444" s="43" t="s">
        <v>1118</v>
      </c>
      <c r="I444" s="33">
        <v>12.5</v>
      </c>
      <c r="J444" s="34" t="s">
        <v>93</v>
      </c>
      <c r="K444" s="46">
        <v>33</v>
      </c>
      <c r="L444" s="36">
        <f>+K444*I444</f>
        <v>412.5</v>
      </c>
      <c r="M444" s="37" t="s">
        <v>747</v>
      </c>
      <c r="N444" s="23" t="s">
        <v>952</v>
      </c>
      <c r="O444" s="23">
        <v>18</v>
      </c>
      <c r="P444" s="23" t="s">
        <v>940</v>
      </c>
      <c r="Q444" s="23">
        <v>17</v>
      </c>
      <c r="R444" s="23"/>
      <c r="S444" s="23"/>
      <c r="T444" s="7" t="s">
        <v>1458</v>
      </c>
      <c r="U444" s="7" t="s">
        <v>1459</v>
      </c>
      <c r="V444" s="7">
        <v>2314</v>
      </c>
      <c r="W444" s="7" t="s">
        <v>1457</v>
      </c>
      <c r="X444" s="18">
        <v>45101</v>
      </c>
      <c r="Y444" s="18">
        <v>45107</v>
      </c>
      <c r="Z444" s="18">
        <v>45139</v>
      </c>
      <c r="AA444" s="18">
        <v>45169</v>
      </c>
      <c r="AB444" s="8" t="s">
        <v>1738</v>
      </c>
      <c r="AC444" s="8"/>
      <c r="AD444" s="8" t="s">
        <v>726</v>
      </c>
      <c r="AE444" s="8" t="s">
        <v>726</v>
      </c>
      <c r="AF444" s="8"/>
      <c r="AG444" s="8" t="s">
        <v>726</v>
      </c>
      <c r="AH444" s="8" t="s">
        <v>726</v>
      </c>
      <c r="AI444" s="8" t="s">
        <v>726</v>
      </c>
      <c r="AJ444" s="8" t="s">
        <v>726</v>
      </c>
      <c r="AK444" s="8" t="s">
        <v>726</v>
      </c>
      <c r="AL444" s="8" t="s">
        <v>726</v>
      </c>
      <c r="AM444" s="8"/>
      <c r="AN444" s="8"/>
      <c r="AO444" s="8"/>
      <c r="AP444" s="8"/>
      <c r="AQ444" s="8"/>
      <c r="AR444" s="8"/>
      <c r="AS444" s="8"/>
      <c r="AT444" s="8"/>
      <c r="AU444" s="8"/>
      <c r="AV444" s="8"/>
      <c r="AX444" s="142">
        <v>37.5</v>
      </c>
    </row>
    <row r="445" spans="1:50" ht="25.5">
      <c r="B445" s="27">
        <v>436</v>
      </c>
      <c r="C445" s="31">
        <v>214</v>
      </c>
      <c r="D445" s="31">
        <v>574</v>
      </c>
      <c r="E445" s="32">
        <v>0.73055555555555562</v>
      </c>
      <c r="F445" s="32">
        <v>0.74305555555555547</v>
      </c>
      <c r="G445" s="31" t="s">
        <v>455</v>
      </c>
      <c r="H445" s="31" t="s">
        <v>546</v>
      </c>
      <c r="I445" s="33">
        <v>12.5</v>
      </c>
      <c r="J445" s="34" t="s">
        <v>93</v>
      </c>
      <c r="K445" s="35">
        <v>13</v>
      </c>
      <c r="L445" s="36">
        <f>+K445*I445</f>
        <v>162.5</v>
      </c>
      <c r="M445" s="37" t="s">
        <v>736</v>
      </c>
      <c r="N445" s="23" t="s">
        <v>939</v>
      </c>
      <c r="O445" s="23">
        <v>20</v>
      </c>
      <c r="P445" s="23" t="s">
        <v>1793</v>
      </c>
      <c r="Q445" s="23">
        <v>27</v>
      </c>
      <c r="S445" s="23"/>
      <c r="T445" s="7" t="s">
        <v>1458</v>
      </c>
      <c r="U445" s="7" t="s">
        <v>1459</v>
      </c>
      <c r="V445" s="7">
        <v>2314</v>
      </c>
      <c r="W445" s="7" t="s">
        <v>1457</v>
      </c>
      <c r="X445" s="17"/>
      <c r="Y445" s="18"/>
      <c r="Z445" s="18"/>
      <c r="AA445" s="18"/>
      <c r="AB445" s="7" t="s">
        <v>1044</v>
      </c>
      <c r="AC445" s="8"/>
      <c r="AD445" s="8" t="s">
        <v>726</v>
      </c>
      <c r="AE445" s="8"/>
      <c r="AF445" s="8"/>
      <c r="AG445" s="8"/>
      <c r="AH445" s="8"/>
      <c r="AI445" s="8"/>
      <c r="AJ445" s="8"/>
      <c r="AK445" s="8"/>
      <c r="AL445" s="8"/>
      <c r="AM445" s="8" t="s">
        <v>726</v>
      </c>
      <c r="AN445" s="8"/>
      <c r="AO445" s="8"/>
      <c r="AP445" s="8"/>
      <c r="AQ445" s="8"/>
      <c r="AR445" s="8"/>
      <c r="AS445" s="8"/>
      <c r="AT445" s="8"/>
      <c r="AU445" s="8"/>
      <c r="AV445" s="8"/>
      <c r="AX445" s="142">
        <v>37.5</v>
      </c>
    </row>
    <row r="446" spans="1:50" ht="25.5">
      <c r="A446" s="23"/>
      <c r="B446" s="27">
        <v>437</v>
      </c>
      <c r="C446" s="31">
        <v>214</v>
      </c>
      <c r="D446" s="31">
        <v>41</v>
      </c>
      <c r="E446" s="32">
        <v>0.73263888888888884</v>
      </c>
      <c r="F446" s="32">
        <v>0.77569444444444446</v>
      </c>
      <c r="G446" s="31" t="s">
        <v>451</v>
      </c>
      <c r="H446" s="31" t="s">
        <v>546</v>
      </c>
      <c r="I446" s="33">
        <v>28</v>
      </c>
      <c r="J446" s="34" t="s">
        <v>101</v>
      </c>
      <c r="K446" s="35">
        <v>13</v>
      </c>
      <c r="L446" s="36">
        <f>+K446*I446</f>
        <v>364</v>
      </c>
      <c r="M446" s="37" t="s">
        <v>744</v>
      </c>
      <c r="N446" s="23" t="s">
        <v>833</v>
      </c>
      <c r="O446" s="23">
        <v>57</v>
      </c>
      <c r="P446" s="23" t="s">
        <v>1792</v>
      </c>
      <c r="Q446" s="23">
        <v>56</v>
      </c>
      <c r="S446" s="23"/>
      <c r="T446" s="7">
        <v>2156</v>
      </c>
      <c r="U446" s="7" t="s">
        <v>1459</v>
      </c>
      <c r="V446" s="7">
        <v>960</v>
      </c>
      <c r="W446" s="7" t="s">
        <v>1251</v>
      </c>
      <c r="X446" s="17"/>
      <c r="Y446" s="18"/>
      <c r="Z446" s="18"/>
      <c r="AA446" s="18"/>
      <c r="AB446" s="7" t="s">
        <v>1044</v>
      </c>
      <c r="AC446" s="8"/>
      <c r="AD446" s="8" t="s">
        <v>726</v>
      </c>
      <c r="AE446" s="8"/>
      <c r="AF446" s="8"/>
      <c r="AG446" s="8"/>
      <c r="AH446" s="8"/>
      <c r="AI446" s="8"/>
      <c r="AJ446" s="8"/>
      <c r="AK446" s="8"/>
      <c r="AL446" s="8"/>
      <c r="AM446" s="8" t="s">
        <v>726</v>
      </c>
      <c r="AN446" s="8"/>
      <c r="AO446" s="8"/>
      <c r="AP446" s="8"/>
      <c r="AQ446" s="8"/>
      <c r="AR446" s="8"/>
      <c r="AS446" s="8"/>
      <c r="AT446" s="8"/>
      <c r="AU446" s="8"/>
      <c r="AV446" s="8"/>
      <c r="AX446" s="142">
        <v>84</v>
      </c>
    </row>
    <row r="447" spans="1:50" ht="25.5">
      <c r="B447" s="27">
        <v>438</v>
      </c>
      <c r="C447" s="38">
        <v>214</v>
      </c>
      <c r="D447" s="38">
        <v>46</v>
      </c>
      <c r="E447" s="44">
        <v>0.78125</v>
      </c>
      <c r="F447" s="44">
        <v>0.84652777777777777</v>
      </c>
      <c r="G447" s="40" t="s">
        <v>38</v>
      </c>
      <c r="H447" s="31" t="s">
        <v>477</v>
      </c>
      <c r="I447" s="38">
        <v>50</v>
      </c>
      <c r="J447" s="41">
        <v>50</v>
      </c>
      <c r="K447" s="35">
        <v>240</v>
      </c>
      <c r="L447" s="36">
        <f>+K447*I447</f>
        <v>12000</v>
      </c>
      <c r="M447" s="37" t="s">
        <v>736</v>
      </c>
      <c r="N447" s="2" t="s">
        <v>1162</v>
      </c>
      <c r="O447" s="24">
        <v>58</v>
      </c>
      <c r="P447" s="23" t="s">
        <v>1786</v>
      </c>
      <c r="Q447" s="23">
        <v>56</v>
      </c>
      <c r="S447" s="23"/>
      <c r="T447" s="7">
        <v>960</v>
      </c>
      <c r="U447" s="7" t="s">
        <v>1251</v>
      </c>
      <c r="V447" s="7">
        <v>2323</v>
      </c>
      <c r="W447" s="7" t="s">
        <v>1453</v>
      </c>
      <c r="X447" s="18"/>
      <c r="Y447" s="17"/>
      <c r="Z447" s="18"/>
      <c r="AA447" s="18"/>
      <c r="AB447" s="7" t="s">
        <v>1052</v>
      </c>
      <c r="AC447" s="8" t="s">
        <v>726</v>
      </c>
      <c r="AD447" s="8"/>
      <c r="AE447" s="8" t="s">
        <v>726</v>
      </c>
      <c r="AF447" s="8"/>
      <c r="AG447" s="8" t="s">
        <v>726</v>
      </c>
      <c r="AH447" s="8" t="s">
        <v>726</v>
      </c>
      <c r="AI447" s="8" t="s">
        <v>726</v>
      </c>
      <c r="AJ447" s="8" t="s">
        <v>726</v>
      </c>
      <c r="AK447" s="8" t="s">
        <v>726</v>
      </c>
      <c r="AL447" s="8" t="s">
        <v>726</v>
      </c>
      <c r="AM447" s="8"/>
      <c r="AN447" s="8"/>
      <c r="AO447" s="8"/>
      <c r="AP447" s="8"/>
      <c r="AQ447" s="8"/>
      <c r="AR447" s="8"/>
      <c r="AS447" s="8"/>
      <c r="AT447" s="8"/>
      <c r="AU447" s="8"/>
      <c r="AV447" s="8"/>
      <c r="AX447" s="142">
        <v>130</v>
      </c>
    </row>
    <row r="448" spans="1:50" ht="25.5">
      <c r="B448" s="27">
        <v>439</v>
      </c>
      <c r="C448" s="31">
        <v>214</v>
      </c>
      <c r="D448" s="31">
        <v>385</v>
      </c>
      <c r="E448" s="32">
        <v>0.77777777777777779</v>
      </c>
      <c r="F448" s="32">
        <v>0.81180555555555556</v>
      </c>
      <c r="G448" s="31" t="s">
        <v>451</v>
      </c>
      <c r="H448" s="31" t="s">
        <v>450</v>
      </c>
      <c r="I448" s="33">
        <v>28</v>
      </c>
      <c r="J448" s="34" t="s">
        <v>269</v>
      </c>
      <c r="K448" s="35">
        <v>26</v>
      </c>
      <c r="L448" s="36">
        <f>+K448*I448</f>
        <v>728</v>
      </c>
      <c r="M448" s="37" t="s">
        <v>744</v>
      </c>
      <c r="N448" s="23" t="s">
        <v>832</v>
      </c>
      <c r="O448" s="23">
        <v>23</v>
      </c>
      <c r="P448" s="23" t="s">
        <v>834</v>
      </c>
      <c r="Q448" s="23">
        <v>29</v>
      </c>
      <c r="S448" s="23"/>
      <c r="T448" s="7">
        <v>2156</v>
      </c>
      <c r="U448" s="7" t="s">
        <v>1459</v>
      </c>
      <c r="V448" s="7">
        <v>960</v>
      </c>
      <c r="W448" s="7" t="s">
        <v>1251</v>
      </c>
      <c r="X448" s="18"/>
      <c r="Y448" s="17"/>
      <c r="Z448" s="18"/>
      <c r="AA448" s="18"/>
      <c r="AB448" s="7" t="s">
        <v>1072</v>
      </c>
      <c r="AC448" s="8" t="s">
        <v>726</v>
      </c>
      <c r="AD448" s="8"/>
      <c r="AE448" s="8" t="s">
        <v>726</v>
      </c>
      <c r="AF448" s="8"/>
      <c r="AG448" s="8"/>
      <c r="AH448" s="8"/>
      <c r="AI448" s="8"/>
      <c r="AJ448" s="8"/>
      <c r="AK448" s="8"/>
      <c r="AL448" s="8"/>
      <c r="AM448" s="8"/>
      <c r="AN448" s="8"/>
      <c r="AO448" s="8"/>
      <c r="AP448" s="8"/>
      <c r="AQ448" s="8" t="s">
        <v>726</v>
      </c>
      <c r="AR448" s="8" t="s">
        <v>726</v>
      </c>
      <c r="AS448" s="8" t="s">
        <v>726</v>
      </c>
      <c r="AT448" s="8" t="s">
        <v>726</v>
      </c>
      <c r="AU448" s="8" t="s">
        <v>726</v>
      </c>
      <c r="AV448" s="8"/>
      <c r="AX448" s="142">
        <v>75</v>
      </c>
    </row>
    <row r="449" spans="1:50" ht="25.5">
      <c r="A449" s="23"/>
      <c r="B449" s="27">
        <v>440</v>
      </c>
      <c r="C449" s="31">
        <v>214</v>
      </c>
      <c r="D449" s="31">
        <v>46</v>
      </c>
      <c r="E449" s="32">
        <v>0.78125</v>
      </c>
      <c r="F449" s="32">
        <v>0.82291666666666663</v>
      </c>
      <c r="G449" s="31" t="s">
        <v>449</v>
      </c>
      <c r="H449" s="31" t="s">
        <v>546</v>
      </c>
      <c r="I449" s="33">
        <v>28</v>
      </c>
      <c r="J449" s="34" t="s">
        <v>101</v>
      </c>
      <c r="K449" s="35">
        <v>13</v>
      </c>
      <c r="L449" s="36">
        <f>+K449*I449</f>
        <v>364</v>
      </c>
      <c r="M449" s="37" t="s">
        <v>744</v>
      </c>
      <c r="N449" s="23" t="s">
        <v>833</v>
      </c>
      <c r="O449" s="23">
        <v>57</v>
      </c>
      <c r="P449" s="23" t="s">
        <v>1792</v>
      </c>
      <c r="Q449" s="23">
        <v>56</v>
      </c>
      <c r="S449" s="23"/>
      <c r="T449" s="7">
        <v>960</v>
      </c>
      <c r="U449" s="7" t="s">
        <v>1251</v>
      </c>
      <c r="V449" s="7">
        <v>2156</v>
      </c>
      <c r="W449" s="7" t="s">
        <v>1459</v>
      </c>
      <c r="X449" s="17"/>
      <c r="Y449" s="18"/>
      <c r="Z449" s="18"/>
      <c r="AA449" s="18"/>
      <c r="AB449" s="7" t="s">
        <v>1044</v>
      </c>
      <c r="AC449" s="8"/>
      <c r="AD449" s="8" t="s">
        <v>726</v>
      </c>
      <c r="AE449" s="8"/>
      <c r="AF449" s="8"/>
      <c r="AG449" s="8"/>
      <c r="AH449" s="8"/>
      <c r="AI449" s="8"/>
      <c r="AJ449" s="8"/>
      <c r="AK449" s="8"/>
      <c r="AL449" s="8"/>
      <c r="AM449" s="8" t="s">
        <v>726</v>
      </c>
      <c r="AN449" s="8"/>
      <c r="AO449" s="8"/>
      <c r="AP449" s="8"/>
      <c r="AQ449" s="8"/>
      <c r="AR449" s="8"/>
      <c r="AS449" s="8"/>
      <c r="AT449" s="8"/>
      <c r="AU449" s="8"/>
      <c r="AV449" s="8"/>
      <c r="AX449" s="142">
        <v>84</v>
      </c>
    </row>
    <row r="450" spans="1:50" ht="25.5">
      <c r="B450" s="27">
        <v>441</v>
      </c>
      <c r="C450" s="38">
        <v>214</v>
      </c>
      <c r="D450" s="53">
        <v>108</v>
      </c>
      <c r="E450" s="39">
        <v>0.79166666666666663</v>
      </c>
      <c r="F450" s="44">
        <v>0.8569444444444444</v>
      </c>
      <c r="G450" s="40" t="s">
        <v>38</v>
      </c>
      <c r="H450" s="31" t="s">
        <v>423</v>
      </c>
      <c r="I450" s="38">
        <v>50</v>
      </c>
      <c r="J450" s="41">
        <v>50</v>
      </c>
      <c r="K450" s="35">
        <v>67</v>
      </c>
      <c r="L450" s="36">
        <f>+K450*I450</f>
        <v>3350</v>
      </c>
      <c r="M450" s="37" t="s">
        <v>736</v>
      </c>
      <c r="N450" s="2" t="s">
        <v>1162</v>
      </c>
      <c r="O450" s="24">
        <v>58</v>
      </c>
      <c r="P450" s="23" t="s">
        <v>1786</v>
      </c>
      <c r="Q450" s="23">
        <v>56</v>
      </c>
      <c r="S450" s="23"/>
      <c r="T450" s="7">
        <v>960</v>
      </c>
      <c r="U450" s="7" t="s">
        <v>1251</v>
      </c>
      <c r="V450" s="7">
        <v>2323</v>
      </c>
      <c r="W450" s="7" t="s">
        <v>1453</v>
      </c>
      <c r="X450" s="17"/>
      <c r="Y450" s="18"/>
      <c r="Z450" s="18"/>
      <c r="AA450" s="18"/>
      <c r="AB450" s="8" t="s">
        <v>1047</v>
      </c>
      <c r="AC450" s="8"/>
      <c r="AD450" s="8" t="s">
        <v>726</v>
      </c>
      <c r="AE450" s="8" t="s">
        <v>726</v>
      </c>
      <c r="AF450" s="8"/>
      <c r="AG450" s="8" t="s">
        <v>726</v>
      </c>
      <c r="AH450" s="8" t="s">
        <v>726</v>
      </c>
      <c r="AI450" s="8" t="s">
        <v>726</v>
      </c>
      <c r="AJ450" s="8" t="s">
        <v>726</v>
      </c>
      <c r="AK450" s="8" t="s">
        <v>726</v>
      </c>
      <c r="AL450" s="8" t="s">
        <v>726</v>
      </c>
      <c r="AM450" s="8"/>
      <c r="AN450" s="8"/>
      <c r="AO450" s="8"/>
      <c r="AP450" s="8"/>
      <c r="AQ450" s="8"/>
      <c r="AR450" s="8"/>
      <c r="AS450" s="8"/>
      <c r="AT450" s="8"/>
      <c r="AU450" s="8"/>
      <c r="AV450" s="8"/>
      <c r="AX450" s="142">
        <v>130</v>
      </c>
    </row>
    <row r="451" spans="1:50" ht="25.5">
      <c r="A451" s="23"/>
      <c r="B451" s="27">
        <v>442</v>
      </c>
      <c r="C451" s="55">
        <v>215</v>
      </c>
      <c r="D451" s="55">
        <v>135</v>
      </c>
      <c r="E451" s="56">
        <v>0.25555555555555559</v>
      </c>
      <c r="F451" s="56">
        <v>0.29583333333333334</v>
      </c>
      <c r="G451" s="57" t="s">
        <v>25</v>
      </c>
      <c r="H451" s="31" t="s">
        <v>477</v>
      </c>
      <c r="I451" s="55">
        <v>37</v>
      </c>
      <c r="J451" s="58">
        <v>50</v>
      </c>
      <c r="K451" s="35">
        <v>240</v>
      </c>
      <c r="L451" s="36">
        <f>+K451*I451</f>
        <v>8880</v>
      </c>
      <c r="M451" s="37" t="s">
        <v>745</v>
      </c>
      <c r="N451" s="23" t="s">
        <v>877</v>
      </c>
      <c r="O451" s="23">
        <v>57</v>
      </c>
      <c r="P451" s="23" t="s">
        <v>1787</v>
      </c>
      <c r="Q451" s="23">
        <v>57</v>
      </c>
      <c r="R451" s="23" t="s">
        <v>1163</v>
      </c>
      <c r="S451" s="23">
        <v>38</v>
      </c>
      <c r="T451" s="7">
        <v>2323</v>
      </c>
      <c r="U451" s="7" t="s">
        <v>1453</v>
      </c>
      <c r="V451" s="7">
        <v>2290</v>
      </c>
      <c r="W451" s="7" t="s">
        <v>1381</v>
      </c>
      <c r="X451" s="18"/>
      <c r="Y451" s="17"/>
      <c r="Z451" s="18"/>
      <c r="AA451" s="18"/>
      <c r="AB451" s="7" t="s">
        <v>1052</v>
      </c>
      <c r="AC451" s="8" t="s">
        <v>726</v>
      </c>
      <c r="AD451" s="8"/>
      <c r="AE451" s="8" t="s">
        <v>726</v>
      </c>
      <c r="AF451" s="8"/>
      <c r="AG451" s="8" t="s">
        <v>726</v>
      </c>
      <c r="AH451" s="8" t="s">
        <v>726</v>
      </c>
      <c r="AI451" s="8" t="s">
        <v>726</v>
      </c>
      <c r="AJ451" s="8" t="s">
        <v>726</v>
      </c>
      <c r="AK451" s="8" t="s">
        <v>726</v>
      </c>
      <c r="AL451" s="8" t="s">
        <v>726</v>
      </c>
      <c r="AM451" s="8"/>
      <c r="AN451" s="8"/>
      <c r="AO451" s="8"/>
      <c r="AP451" s="8"/>
      <c r="AQ451" s="8"/>
      <c r="AR451" s="8"/>
      <c r="AS451" s="8"/>
      <c r="AT451" s="8"/>
      <c r="AU451" s="8"/>
      <c r="AV451" s="8"/>
      <c r="AX451" s="142">
        <v>88.8</v>
      </c>
    </row>
    <row r="452" spans="1:50" ht="45">
      <c r="B452" s="27">
        <v>443</v>
      </c>
      <c r="C452" s="31">
        <v>215</v>
      </c>
      <c r="D452" s="31">
        <v>585</v>
      </c>
      <c r="E452" s="42">
        <v>0.27430555555555552</v>
      </c>
      <c r="F452" s="42">
        <v>0.27986111111111112</v>
      </c>
      <c r="G452" s="31" t="s">
        <v>381</v>
      </c>
      <c r="H452" s="31" t="s">
        <v>97</v>
      </c>
      <c r="I452" s="33">
        <v>5.2</v>
      </c>
      <c r="J452" s="34">
        <v>19</v>
      </c>
      <c r="K452" s="61">
        <v>208</v>
      </c>
      <c r="L452" s="36">
        <f>+K452*I452</f>
        <v>1081.6000000000001</v>
      </c>
      <c r="M452" s="37" t="s">
        <v>747</v>
      </c>
      <c r="N452" s="23" t="s">
        <v>940</v>
      </c>
      <c r="O452" s="23">
        <v>17</v>
      </c>
      <c r="P452" s="23" t="s">
        <v>950</v>
      </c>
      <c r="Q452" s="23">
        <v>17</v>
      </c>
      <c r="R452" s="23" t="s">
        <v>951</v>
      </c>
      <c r="S452" s="24">
        <v>9</v>
      </c>
      <c r="T452" s="7">
        <v>2327</v>
      </c>
      <c r="U452" s="7" t="s">
        <v>1461</v>
      </c>
      <c r="V452" s="7">
        <v>2323</v>
      </c>
      <c r="W452" s="7" t="s">
        <v>1453</v>
      </c>
      <c r="X452" s="18"/>
      <c r="Y452" s="17"/>
      <c r="Z452" s="17"/>
      <c r="AA452" s="17"/>
      <c r="AB452" s="7" t="s">
        <v>1046</v>
      </c>
      <c r="AC452" s="8"/>
      <c r="AD452" s="8"/>
      <c r="AE452" s="8"/>
      <c r="AF452" s="8" t="s">
        <v>726</v>
      </c>
      <c r="AG452" s="8" t="s">
        <v>726</v>
      </c>
      <c r="AH452" s="8" t="s">
        <v>726</v>
      </c>
      <c r="AI452" s="8" t="s">
        <v>726</v>
      </c>
      <c r="AJ452" s="8" t="s">
        <v>726</v>
      </c>
      <c r="AK452" s="8" t="s">
        <v>726</v>
      </c>
      <c r="AL452" s="8" t="s">
        <v>726</v>
      </c>
      <c r="AM452" s="8"/>
      <c r="AN452" s="8"/>
      <c r="AO452" s="8"/>
      <c r="AP452" s="8"/>
      <c r="AQ452" s="8"/>
      <c r="AR452" s="8"/>
      <c r="AS452" s="8"/>
      <c r="AT452" s="8"/>
      <c r="AU452" s="8"/>
      <c r="AV452" s="8"/>
      <c r="AX452" s="142">
        <v>20</v>
      </c>
    </row>
    <row r="453" spans="1:50" ht="25.5">
      <c r="A453" s="2" t="s">
        <v>794</v>
      </c>
      <c r="B453" s="27">
        <v>444</v>
      </c>
      <c r="C453" s="31">
        <v>215</v>
      </c>
      <c r="D453" s="43">
        <v>127</v>
      </c>
      <c r="E453" s="32">
        <v>0.27430555555555552</v>
      </c>
      <c r="F453" s="32">
        <v>0.28125</v>
      </c>
      <c r="G453" s="31" t="s">
        <v>696</v>
      </c>
      <c r="H453" s="31" t="s">
        <v>97</v>
      </c>
      <c r="I453" s="33">
        <v>6</v>
      </c>
      <c r="J453" s="34" t="s">
        <v>697</v>
      </c>
      <c r="K453" s="35">
        <v>208</v>
      </c>
      <c r="L453" s="36">
        <f>+K453*I453</f>
        <v>1248</v>
      </c>
      <c r="M453" s="37" t="s">
        <v>736</v>
      </c>
      <c r="N453" s="23" t="s">
        <v>1003</v>
      </c>
      <c r="O453" s="23">
        <v>8</v>
      </c>
      <c r="P453" s="23"/>
      <c r="Q453" s="23"/>
      <c r="S453" s="23"/>
      <c r="T453" s="7" t="s">
        <v>1462</v>
      </c>
      <c r="U453" s="7" t="s">
        <v>1463</v>
      </c>
      <c r="V453" s="7" t="s">
        <v>1464</v>
      </c>
      <c r="W453" s="7" t="s">
        <v>1465</v>
      </c>
      <c r="X453" s="18"/>
      <c r="Y453" s="17"/>
      <c r="Z453" s="17"/>
      <c r="AA453" s="17"/>
      <c r="AB453" s="7" t="s">
        <v>1046</v>
      </c>
      <c r="AC453" s="8"/>
      <c r="AD453" s="8"/>
      <c r="AE453" s="8"/>
      <c r="AF453" s="8" t="s">
        <v>726</v>
      </c>
      <c r="AG453" s="8" t="s">
        <v>726</v>
      </c>
      <c r="AH453" s="8" t="s">
        <v>726</v>
      </c>
      <c r="AI453" s="8" t="s">
        <v>726</v>
      </c>
      <c r="AJ453" s="8" t="s">
        <v>726</v>
      </c>
      <c r="AK453" s="8" t="s">
        <v>726</v>
      </c>
      <c r="AL453" s="8" t="s">
        <v>726</v>
      </c>
      <c r="AM453" s="8"/>
      <c r="AN453" s="8"/>
      <c r="AO453" s="8"/>
      <c r="AP453" s="8"/>
      <c r="AQ453" s="8"/>
      <c r="AR453" s="8"/>
      <c r="AS453" s="8"/>
      <c r="AT453" s="8"/>
      <c r="AU453" s="8"/>
      <c r="AV453" s="8"/>
      <c r="AX453" s="142">
        <v>20</v>
      </c>
    </row>
    <row r="454" spans="1:50" ht="22.5">
      <c r="A454" s="2" t="s">
        <v>793</v>
      </c>
      <c r="B454" s="27">
        <v>445</v>
      </c>
      <c r="C454" s="55">
        <v>215</v>
      </c>
      <c r="D454" s="55">
        <v>127</v>
      </c>
      <c r="E454" s="60">
        <v>0.28125</v>
      </c>
      <c r="F454" s="60">
        <v>0.3215277777777778</v>
      </c>
      <c r="G454" s="57" t="s">
        <v>25</v>
      </c>
      <c r="H454" s="43" t="s">
        <v>1124</v>
      </c>
      <c r="I454" s="55">
        <v>37</v>
      </c>
      <c r="J454" s="58">
        <v>50</v>
      </c>
      <c r="K454" s="64">
        <v>55</v>
      </c>
      <c r="L454" s="36">
        <f>+K454*I454</f>
        <v>2035</v>
      </c>
      <c r="M454" s="37" t="s">
        <v>736</v>
      </c>
      <c r="N454" s="23" t="s">
        <v>1786</v>
      </c>
      <c r="O454" s="23">
        <v>56</v>
      </c>
      <c r="P454" s="112" t="s">
        <v>1971</v>
      </c>
      <c r="Q454" s="112">
        <v>61</v>
      </c>
      <c r="S454" s="23"/>
      <c r="T454" s="7">
        <v>2323</v>
      </c>
      <c r="U454" s="7" t="s">
        <v>1453</v>
      </c>
      <c r="V454" s="7">
        <v>2290</v>
      </c>
      <c r="W454" s="7" t="s">
        <v>1381</v>
      </c>
      <c r="X454" s="17"/>
      <c r="Y454" s="18"/>
      <c r="Z454" s="18"/>
      <c r="AA454" s="18"/>
      <c r="AB454" s="8" t="s">
        <v>1049</v>
      </c>
      <c r="AC454" s="8"/>
      <c r="AD454" s="8" t="s">
        <v>726</v>
      </c>
      <c r="AE454" s="8" t="s">
        <v>726</v>
      </c>
      <c r="AF454" s="8"/>
      <c r="AG454" s="8" t="s">
        <v>726</v>
      </c>
      <c r="AH454" s="8" t="s">
        <v>726</v>
      </c>
      <c r="AI454" s="8" t="s">
        <v>726</v>
      </c>
      <c r="AJ454" s="8" t="s">
        <v>726</v>
      </c>
      <c r="AK454" s="8" t="s">
        <v>726</v>
      </c>
      <c r="AL454" s="8"/>
      <c r="AM454" s="8"/>
      <c r="AN454" s="8"/>
      <c r="AO454" s="8"/>
      <c r="AP454" s="8"/>
      <c r="AQ454" s="8"/>
      <c r="AR454" s="8"/>
      <c r="AS454" s="8"/>
      <c r="AT454" s="8"/>
      <c r="AU454" s="8"/>
      <c r="AV454" s="8"/>
      <c r="AX454" s="142">
        <v>100</v>
      </c>
    </row>
    <row r="455" spans="1:50" ht="22.5">
      <c r="A455" s="2" t="s">
        <v>793</v>
      </c>
      <c r="B455" s="48" t="s">
        <v>1123</v>
      </c>
      <c r="C455" s="55">
        <v>215</v>
      </c>
      <c r="D455" s="55">
        <v>127</v>
      </c>
      <c r="E455" s="60">
        <v>0.28125</v>
      </c>
      <c r="F455" s="60">
        <v>0.3215277777777778</v>
      </c>
      <c r="G455" s="57" t="s">
        <v>25</v>
      </c>
      <c r="H455" s="43" t="s">
        <v>1125</v>
      </c>
      <c r="I455" s="55">
        <v>37</v>
      </c>
      <c r="J455" s="58">
        <v>50</v>
      </c>
      <c r="K455" s="64">
        <f>67-K454</f>
        <v>12</v>
      </c>
      <c r="L455" s="36">
        <f>+K455*I455</f>
        <v>444</v>
      </c>
      <c r="M455" s="37" t="s">
        <v>1126</v>
      </c>
      <c r="N455" s="23" t="s">
        <v>877</v>
      </c>
      <c r="O455" s="23">
        <v>57</v>
      </c>
      <c r="P455" s="23" t="s">
        <v>1787</v>
      </c>
      <c r="Q455" s="23">
        <v>57</v>
      </c>
      <c r="S455" s="23"/>
      <c r="T455" s="7">
        <v>2323</v>
      </c>
      <c r="U455" s="7" t="s">
        <v>1453</v>
      </c>
      <c r="V455" s="7">
        <v>2290</v>
      </c>
      <c r="W455" s="7" t="s">
        <v>1381</v>
      </c>
      <c r="X455" s="17"/>
      <c r="Y455" s="18"/>
      <c r="Z455" s="18"/>
      <c r="AA455" s="18"/>
      <c r="AB455" s="8" t="s">
        <v>1058</v>
      </c>
      <c r="AC455" s="8"/>
      <c r="AD455" s="8" t="s">
        <v>726</v>
      </c>
      <c r="AE455" s="8" t="s">
        <v>726</v>
      </c>
      <c r="AF455" s="8"/>
      <c r="AG455" s="8"/>
      <c r="AH455" s="8"/>
      <c r="AI455" s="8"/>
      <c r="AJ455" s="8"/>
      <c r="AK455" s="8"/>
      <c r="AL455" s="8" t="s">
        <v>726</v>
      </c>
      <c r="AM455" s="8"/>
      <c r="AN455" s="8"/>
      <c r="AO455" s="8"/>
      <c r="AP455" s="8"/>
      <c r="AQ455" s="8"/>
      <c r="AR455" s="8"/>
      <c r="AS455" s="8"/>
      <c r="AT455" s="8"/>
      <c r="AU455" s="8"/>
      <c r="AV455" s="8"/>
      <c r="AX455" s="142">
        <v>94.258555133079838</v>
      </c>
    </row>
    <row r="456" spans="1:50" ht="45">
      <c r="B456" s="27">
        <v>446</v>
      </c>
      <c r="C456" s="43">
        <v>225</v>
      </c>
      <c r="D456" s="31">
        <v>447</v>
      </c>
      <c r="E456" s="32">
        <v>0.28402777777777777</v>
      </c>
      <c r="F456" s="32">
        <v>0.29444444444444445</v>
      </c>
      <c r="G456" s="31" t="s">
        <v>380</v>
      </c>
      <c r="H456" s="31" t="s">
        <v>97</v>
      </c>
      <c r="I456" s="33">
        <v>6</v>
      </c>
      <c r="J456" s="34" t="s">
        <v>269</v>
      </c>
      <c r="K456" s="35">
        <v>208</v>
      </c>
      <c r="L456" s="36">
        <f>+K456*I456</f>
        <v>1248</v>
      </c>
      <c r="M456" s="37" t="s">
        <v>747</v>
      </c>
      <c r="N456" s="23" t="s">
        <v>952</v>
      </c>
      <c r="O456" s="23">
        <v>18</v>
      </c>
      <c r="P456" s="23" t="s">
        <v>951</v>
      </c>
      <c r="Q456" s="23">
        <v>9</v>
      </c>
      <c r="R456" s="23"/>
      <c r="S456" s="23"/>
      <c r="T456" s="7">
        <v>2312</v>
      </c>
      <c r="U456" s="7" t="s">
        <v>1466</v>
      </c>
      <c r="V456" s="7">
        <v>2311</v>
      </c>
      <c r="W456" s="7" t="s">
        <v>1467</v>
      </c>
      <c r="X456" s="18"/>
      <c r="Y456" s="17"/>
      <c r="Z456" s="17"/>
      <c r="AA456" s="17"/>
      <c r="AB456" s="7" t="s">
        <v>1046</v>
      </c>
      <c r="AC456" s="8"/>
      <c r="AD456" s="8"/>
      <c r="AE456" s="8"/>
      <c r="AF456" s="8" t="s">
        <v>726</v>
      </c>
      <c r="AG456" s="8" t="s">
        <v>726</v>
      </c>
      <c r="AH456" s="8" t="s">
        <v>726</v>
      </c>
      <c r="AI456" s="8" t="s">
        <v>726</v>
      </c>
      <c r="AJ456" s="8" t="s">
        <v>726</v>
      </c>
      <c r="AK456" s="8" t="s">
        <v>726</v>
      </c>
      <c r="AL456" s="8" t="s">
        <v>726</v>
      </c>
      <c r="AM456" s="8"/>
      <c r="AN456" s="8"/>
      <c r="AO456" s="8"/>
      <c r="AP456" s="8"/>
      <c r="AQ456" s="8"/>
      <c r="AR456" s="8"/>
      <c r="AS456" s="8"/>
      <c r="AT456" s="8"/>
      <c r="AU456" s="8"/>
      <c r="AV456" s="8"/>
      <c r="AX456" s="142">
        <v>31.3</v>
      </c>
    </row>
    <row r="457" spans="1:50" ht="45">
      <c r="B457" s="27">
        <v>447</v>
      </c>
      <c r="C457" s="31">
        <v>215</v>
      </c>
      <c r="D457" s="31">
        <v>595</v>
      </c>
      <c r="E457" s="65">
        <v>0.29166666666666669</v>
      </c>
      <c r="F457" s="65">
        <v>0.30208333333333331</v>
      </c>
      <c r="G457" s="66" t="s">
        <v>379</v>
      </c>
      <c r="H457" s="31" t="s">
        <v>97</v>
      </c>
      <c r="I457" s="33">
        <v>8.5</v>
      </c>
      <c r="J457" s="34">
        <v>19</v>
      </c>
      <c r="K457" s="35">
        <v>208</v>
      </c>
      <c r="L457" s="36">
        <f>+K457*I457</f>
        <v>1768</v>
      </c>
      <c r="M457" s="37" t="s">
        <v>747</v>
      </c>
      <c r="N457" s="23" t="s">
        <v>953</v>
      </c>
      <c r="O457" s="23">
        <v>24</v>
      </c>
      <c r="P457" s="23" t="s">
        <v>950</v>
      </c>
      <c r="Q457" s="23">
        <v>17</v>
      </c>
      <c r="R457" s="23" t="s">
        <v>951</v>
      </c>
      <c r="S457" s="24">
        <v>9</v>
      </c>
      <c r="T457" s="7">
        <v>2327</v>
      </c>
      <c r="U457" s="7" t="s">
        <v>1461</v>
      </c>
      <c r="V457" s="7">
        <v>2322</v>
      </c>
      <c r="W457" s="7" t="s">
        <v>1468</v>
      </c>
      <c r="X457" s="18"/>
      <c r="Y457" s="17"/>
      <c r="Z457" s="17"/>
      <c r="AA457" s="17"/>
      <c r="AB457" s="7" t="s">
        <v>1046</v>
      </c>
      <c r="AC457" s="8"/>
      <c r="AD457" s="8"/>
      <c r="AE457" s="8"/>
      <c r="AF457" s="8" t="s">
        <v>726</v>
      </c>
      <c r="AG457" s="8" t="s">
        <v>726</v>
      </c>
      <c r="AH457" s="8" t="s">
        <v>726</v>
      </c>
      <c r="AI457" s="8" t="s">
        <v>726</v>
      </c>
      <c r="AJ457" s="8" t="s">
        <v>726</v>
      </c>
      <c r="AK457" s="8" t="s">
        <v>726</v>
      </c>
      <c r="AL457" s="8" t="s">
        <v>726</v>
      </c>
      <c r="AM457" s="8"/>
      <c r="AN457" s="8"/>
      <c r="AO457" s="8"/>
      <c r="AP457" s="8"/>
      <c r="AQ457" s="8"/>
      <c r="AR457" s="8"/>
      <c r="AS457" s="8"/>
      <c r="AT457" s="8"/>
      <c r="AU457" s="8"/>
      <c r="AV457" s="8"/>
      <c r="AX457" s="142">
        <v>29.12</v>
      </c>
    </row>
    <row r="458" spans="1:50" ht="51">
      <c r="B458" s="27">
        <v>448</v>
      </c>
      <c r="C458" s="31">
        <v>215</v>
      </c>
      <c r="D458" s="31"/>
      <c r="E458" s="32">
        <v>0.29166666666666669</v>
      </c>
      <c r="F458" s="32">
        <v>0.58333333333333337</v>
      </c>
      <c r="G458" s="31" t="s">
        <v>604</v>
      </c>
      <c r="H458" s="68" t="s">
        <v>155</v>
      </c>
      <c r="I458" s="33"/>
      <c r="J458" s="34">
        <v>9</v>
      </c>
      <c r="K458" s="35">
        <v>252</v>
      </c>
      <c r="L458" s="36">
        <v>43200</v>
      </c>
      <c r="M458" s="37" t="s">
        <v>747</v>
      </c>
      <c r="N458" s="23" t="s">
        <v>1017</v>
      </c>
      <c r="O458" s="23">
        <v>9</v>
      </c>
      <c r="P458" s="23" t="s">
        <v>1172</v>
      </c>
      <c r="Q458" s="23">
        <v>9</v>
      </c>
      <c r="R458" s="23" t="s">
        <v>1173</v>
      </c>
      <c r="S458" s="23">
        <v>18</v>
      </c>
      <c r="T458" s="9">
        <v>2327</v>
      </c>
      <c r="U458" s="9" t="s">
        <v>1461</v>
      </c>
      <c r="V458" s="9">
        <v>2290</v>
      </c>
      <c r="W458" s="9" t="s">
        <v>1381</v>
      </c>
      <c r="X458" s="17"/>
      <c r="Y458" s="17"/>
      <c r="Z458" s="17"/>
      <c r="AA458" s="17"/>
      <c r="AB458" s="7" t="s">
        <v>1745</v>
      </c>
      <c r="AC458" s="8" t="s">
        <v>726</v>
      </c>
      <c r="AD458" s="8" t="s">
        <v>726</v>
      </c>
      <c r="AE458" s="8" t="s">
        <v>726</v>
      </c>
      <c r="AF458" s="8"/>
      <c r="AG458" s="8" t="s">
        <v>726</v>
      </c>
      <c r="AH458" s="8" t="s">
        <v>726</v>
      </c>
      <c r="AI458" s="8" t="s">
        <v>726</v>
      </c>
      <c r="AJ458" s="8" t="s">
        <v>726</v>
      </c>
      <c r="AK458" s="8" t="s">
        <v>726</v>
      </c>
      <c r="AL458" s="8"/>
      <c r="AM458" s="8"/>
      <c r="AN458" s="8"/>
      <c r="AO458" s="8"/>
      <c r="AP458" s="8"/>
      <c r="AQ458" s="8"/>
      <c r="AR458" s="8"/>
      <c r="AS458" s="8"/>
      <c r="AT458" s="8"/>
      <c r="AU458" s="8"/>
      <c r="AV458" s="8"/>
      <c r="AX458" s="142">
        <v>216.73571428571429</v>
      </c>
    </row>
    <row r="459" spans="1:50" ht="25.5">
      <c r="A459" s="2" t="s">
        <v>1106</v>
      </c>
      <c r="B459" s="27">
        <v>449</v>
      </c>
      <c r="C459" s="31">
        <v>215</v>
      </c>
      <c r="D459" s="31">
        <v>127</v>
      </c>
      <c r="E459" s="109">
        <v>0.29166666666666669</v>
      </c>
      <c r="F459" s="109">
        <v>0.32361111111111113</v>
      </c>
      <c r="G459" s="110" t="s">
        <v>690</v>
      </c>
      <c r="H459" s="31" t="s">
        <v>103</v>
      </c>
      <c r="I459" s="59">
        <v>26.5</v>
      </c>
      <c r="J459" s="34" t="s">
        <v>101</v>
      </c>
      <c r="K459" s="35">
        <v>174</v>
      </c>
      <c r="L459" s="36">
        <f>+K459*I459</f>
        <v>4611</v>
      </c>
      <c r="M459" s="37" t="s">
        <v>742</v>
      </c>
      <c r="N459" s="23" t="s">
        <v>826</v>
      </c>
      <c r="O459" s="23">
        <v>57</v>
      </c>
      <c r="P459" s="23" t="s">
        <v>1837</v>
      </c>
      <c r="Q459" s="23">
        <v>60</v>
      </c>
      <c r="R459" s="23" t="s">
        <v>1844</v>
      </c>
      <c r="S459" s="23">
        <v>57</v>
      </c>
      <c r="T459" s="7" t="s">
        <v>1469</v>
      </c>
      <c r="U459" s="7" t="s">
        <v>1470</v>
      </c>
      <c r="V459" s="7" t="s">
        <v>1471</v>
      </c>
      <c r="W459" s="7" t="s">
        <v>1472</v>
      </c>
      <c r="X459" s="18"/>
      <c r="Y459" s="17"/>
      <c r="Z459" s="17"/>
      <c r="AA459" s="17"/>
      <c r="AB459" s="7" t="s">
        <v>1042</v>
      </c>
      <c r="AC459" s="8"/>
      <c r="AD459" s="8"/>
      <c r="AE459" s="8"/>
      <c r="AF459" s="8" t="s">
        <v>726</v>
      </c>
      <c r="AG459" s="8" t="s">
        <v>726</v>
      </c>
      <c r="AH459" s="8" t="s">
        <v>726</v>
      </c>
      <c r="AI459" s="8" t="s">
        <v>726</v>
      </c>
      <c r="AJ459" s="8" t="s">
        <v>726</v>
      </c>
      <c r="AK459" s="8" t="s">
        <v>726</v>
      </c>
      <c r="AL459" s="8"/>
      <c r="AM459" s="8"/>
      <c r="AN459" s="8"/>
      <c r="AO459" s="8"/>
      <c r="AP459" s="8"/>
      <c r="AQ459" s="8"/>
      <c r="AR459" s="8"/>
      <c r="AS459" s="8"/>
      <c r="AT459" s="8"/>
      <c r="AU459" s="8"/>
      <c r="AV459" s="8"/>
      <c r="AX459" s="142">
        <v>246.2</v>
      </c>
    </row>
    <row r="460" spans="1:50" ht="25.5">
      <c r="B460" s="27">
        <v>450</v>
      </c>
      <c r="C460" s="31">
        <v>215</v>
      </c>
      <c r="D460" s="31">
        <v>467</v>
      </c>
      <c r="E460" s="32">
        <v>0.2986111111111111</v>
      </c>
      <c r="F460" s="32">
        <v>0.30208333333333331</v>
      </c>
      <c r="G460" s="31" t="s">
        <v>285</v>
      </c>
      <c r="H460" s="31" t="s">
        <v>97</v>
      </c>
      <c r="I460" s="33">
        <v>3</v>
      </c>
      <c r="J460" s="34" t="s">
        <v>116</v>
      </c>
      <c r="K460" s="35">
        <v>208</v>
      </c>
      <c r="L460" s="36">
        <f>+K460*I460</f>
        <v>624</v>
      </c>
      <c r="M460" s="37" t="s">
        <v>745</v>
      </c>
      <c r="N460" s="23" t="s">
        <v>879</v>
      </c>
      <c r="O460" s="23">
        <v>9</v>
      </c>
      <c r="P460" s="23" t="s">
        <v>880</v>
      </c>
      <c r="Q460" s="23">
        <v>9</v>
      </c>
      <c r="S460" s="23"/>
      <c r="T460" s="7">
        <v>2307</v>
      </c>
      <c r="U460" s="7" t="s">
        <v>1473</v>
      </c>
      <c r="V460" s="7">
        <v>2305</v>
      </c>
      <c r="W460" s="7" t="s">
        <v>1454</v>
      </c>
      <c r="X460" s="18"/>
      <c r="Y460" s="17"/>
      <c r="Z460" s="17"/>
      <c r="AA460" s="17"/>
      <c r="AB460" s="7" t="s">
        <v>1046</v>
      </c>
      <c r="AC460" s="8"/>
      <c r="AD460" s="8"/>
      <c r="AE460" s="8"/>
      <c r="AF460" s="8" t="s">
        <v>726</v>
      </c>
      <c r="AG460" s="8" t="s">
        <v>726</v>
      </c>
      <c r="AH460" s="8" t="s">
        <v>726</v>
      </c>
      <c r="AI460" s="8" t="s">
        <v>726</v>
      </c>
      <c r="AJ460" s="8" t="s">
        <v>726</v>
      </c>
      <c r="AK460" s="8" t="s">
        <v>726</v>
      </c>
      <c r="AL460" s="8" t="s">
        <v>726</v>
      </c>
      <c r="AM460" s="8"/>
      <c r="AN460" s="8"/>
      <c r="AO460" s="8"/>
      <c r="AP460" s="8"/>
      <c r="AQ460" s="8"/>
      <c r="AR460" s="8"/>
      <c r="AS460" s="8"/>
      <c r="AT460" s="8"/>
      <c r="AU460" s="8"/>
      <c r="AV460" s="8"/>
      <c r="AX460" s="142">
        <v>12.38</v>
      </c>
    </row>
    <row r="461" spans="1:50" ht="45">
      <c r="A461" s="2" t="s">
        <v>794</v>
      </c>
      <c r="B461" s="27">
        <v>451</v>
      </c>
      <c r="C461" s="31">
        <v>215</v>
      </c>
      <c r="D461" s="43">
        <v>593</v>
      </c>
      <c r="E461" s="42">
        <v>0.33194444444444443</v>
      </c>
      <c r="F461" s="42">
        <v>0.37361111111111112</v>
      </c>
      <c r="G461" s="31" t="s">
        <v>25</v>
      </c>
      <c r="H461" s="31" t="s">
        <v>704</v>
      </c>
      <c r="I461" s="33">
        <v>37</v>
      </c>
      <c r="J461" s="34" t="s">
        <v>101</v>
      </c>
      <c r="K461" s="35">
        <v>38</v>
      </c>
      <c r="L461" s="36">
        <f>+K461*I461</f>
        <v>1406</v>
      </c>
      <c r="M461" s="37" t="s">
        <v>747</v>
      </c>
      <c r="N461" s="23" t="s">
        <v>789</v>
      </c>
      <c r="O461" s="23">
        <v>60</v>
      </c>
      <c r="P461" s="23" t="s">
        <v>1760</v>
      </c>
      <c r="Q461" s="23">
        <v>57</v>
      </c>
      <c r="T461" s="7">
        <v>2323</v>
      </c>
      <c r="U461" s="7" t="s">
        <v>1474</v>
      </c>
      <c r="V461" s="7">
        <v>2290</v>
      </c>
      <c r="W461" s="7" t="s">
        <v>1475</v>
      </c>
      <c r="X461" s="18"/>
      <c r="Y461" s="17"/>
      <c r="Z461" s="18"/>
      <c r="AA461" s="18"/>
      <c r="AB461" s="8" t="s">
        <v>1065</v>
      </c>
      <c r="AC461" s="8" t="s">
        <v>726</v>
      </c>
      <c r="AD461" s="8"/>
      <c r="AE461" s="8" t="s">
        <v>726</v>
      </c>
      <c r="AF461" s="8"/>
      <c r="AG461" s="8"/>
      <c r="AH461" s="8"/>
      <c r="AI461" s="8"/>
      <c r="AJ461" s="8"/>
      <c r="AK461" s="8"/>
      <c r="AL461" s="8" t="s">
        <v>726</v>
      </c>
      <c r="AM461" s="8"/>
      <c r="AN461" s="8"/>
      <c r="AO461" s="8"/>
      <c r="AP461" s="8"/>
      <c r="AQ461" s="8"/>
      <c r="AR461" s="8"/>
      <c r="AS461" s="8"/>
      <c r="AT461" s="8"/>
      <c r="AU461" s="8"/>
      <c r="AV461" s="8"/>
      <c r="AX461" s="142">
        <v>291</v>
      </c>
    </row>
    <row r="462" spans="1:50" ht="25.5">
      <c r="A462" s="2" t="s">
        <v>793</v>
      </c>
      <c r="B462" s="27">
        <v>452</v>
      </c>
      <c r="C462" s="55">
        <v>215</v>
      </c>
      <c r="D462" s="55">
        <v>602</v>
      </c>
      <c r="E462" s="60">
        <v>0.33263888888888887</v>
      </c>
      <c r="F462" s="60">
        <v>0.3743055555555555</v>
      </c>
      <c r="G462" s="57" t="s">
        <v>26</v>
      </c>
      <c r="H462" s="31" t="s">
        <v>505</v>
      </c>
      <c r="I462" s="55">
        <v>37</v>
      </c>
      <c r="J462" s="58">
        <v>50</v>
      </c>
      <c r="K462" s="61">
        <v>12</v>
      </c>
      <c r="L462" s="36">
        <f>+K462*I462</f>
        <v>444</v>
      </c>
      <c r="M462" s="37" t="s">
        <v>745</v>
      </c>
      <c r="N462" s="23" t="s">
        <v>877</v>
      </c>
      <c r="O462" s="23">
        <v>57</v>
      </c>
      <c r="P462" s="23" t="s">
        <v>1787</v>
      </c>
      <c r="Q462" s="23">
        <v>57</v>
      </c>
      <c r="S462" s="23"/>
      <c r="T462" s="7">
        <v>2290</v>
      </c>
      <c r="U462" s="7" t="s">
        <v>1381</v>
      </c>
      <c r="V462" s="7">
        <v>2323</v>
      </c>
      <c r="W462" s="7" t="s">
        <v>1453</v>
      </c>
      <c r="X462" s="17"/>
      <c r="Y462" s="18"/>
      <c r="Z462" s="18"/>
      <c r="AA462" s="18"/>
      <c r="AB462" s="7" t="s">
        <v>1058</v>
      </c>
      <c r="AC462" s="8"/>
      <c r="AD462" s="8" t="s">
        <v>726</v>
      </c>
      <c r="AE462" s="8" t="s">
        <v>726</v>
      </c>
      <c r="AF462" s="8"/>
      <c r="AG462" s="8"/>
      <c r="AH462" s="8"/>
      <c r="AI462" s="8"/>
      <c r="AJ462" s="8"/>
      <c r="AK462" s="8"/>
      <c r="AL462" s="8" t="s">
        <v>726</v>
      </c>
      <c r="AM462" s="8"/>
      <c r="AN462" s="8"/>
      <c r="AO462" s="8"/>
      <c r="AP462" s="8"/>
      <c r="AQ462" s="8"/>
      <c r="AR462" s="8"/>
      <c r="AS462" s="8"/>
      <c r="AT462" s="8"/>
      <c r="AU462" s="8"/>
      <c r="AV462" s="8"/>
      <c r="AX462" s="142">
        <v>94.258555133079838</v>
      </c>
    </row>
    <row r="463" spans="1:50" ht="45">
      <c r="A463" s="2" t="s">
        <v>794</v>
      </c>
      <c r="B463" s="27">
        <v>453</v>
      </c>
      <c r="C463" s="55">
        <v>215</v>
      </c>
      <c r="D463" s="59">
        <v>603</v>
      </c>
      <c r="E463" s="60">
        <v>0.37361111111111112</v>
      </c>
      <c r="F463" s="60">
        <v>0.41388888888888892</v>
      </c>
      <c r="G463" s="57" t="s">
        <v>25</v>
      </c>
      <c r="H463" s="31" t="s">
        <v>477</v>
      </c>
      <c r="I463" s="55">
        <v>37</v>
      </c>
      <c r="J463" s="58">
        <v>50</v>
      </c>
      <c r="K463" s="61">
        <v>240</v>
      </c>
      <c r="L463" s="36">
        <f>+K463*I463</f>
        <v>8880</v>
      </c>
      <c r="M463" s="37" t="s">
        <v>747</v>
      </c>
      <c r="N463" s="23" t="s">
        <v>1795</v>
      </c>
      <c r="O463" s="23">
        <v>60</v>
      </c>
      <c r="P463" s="23" t="s">
        <v>970</v>
      </c>
      <c r="Q463" s="23">
        <v>57</v>
      </c>
      <c r="R463" s="23" t="s">
        <v>1760</v>
      </c>
      <c r="S463" s="23">
        <v>57</v>
      </c>
      <c r="T463" s="7">
        <v>2323</v>
      </c>
      <c r="U463" s="7" t="s">
        <v>1453</v>
      </c>
      <c r="V463" s="7">
        <v>2290</v>
      </c>
      <c r="W463" s="7" t="s">
        <v>1381</v>
      </c>
      <c r="X463" s="18"/>
      <c r="Y463" s="17"/>
      <c r="Z463" s="18"/>
      <c r="AA463" s="18"/>
      <c r="AB463" s="7" t="s">
        <v>1052</v>
      </c>
      <c r="AC463" s="8" t="s">
        <v>726</v>
      </c>
      <c r="AD463" s="8"/>
      <c r="AE463" s="8" t="s">
        <v>726</v>
      </c>
      <c r="AF463" s="8"/>
      <c r="AG463" s="8" t="s">
        <v>726</v>
      </c>
      <c r="AH463" s="8" t="s">
        <v>726</v>
      </c>
      <c r="AI463" s="8" t="s">
        <v>726</v>
      </c>
      <c r="AJ463" s="8" t="s">
        <v>726</v>
      </c>
      <c r="AK463" s="8" t="s">
        <v>726</v>
      </c>
      <c r="AL463" s="8" t="s">
        <v>726</v>
      </c>
      <c r="AM463" s="8"/>
      <c r="AN463" s="8"/>
      <c r="AO463" s="8"/>
      <c r="AP463" s="8"/>
      <c r="AQ463" s="8"/>
      <c r="AR463" s="8"/>
      <c r="AS463" s="8"/>
      <c r="AT463" s="8"/>
      <c r="AU463" s="8"/>
      <c r="AV463" s="8"/>
      <c r="AX463" s="142">
        <v>111</v>
      </c>
    </row>
    <row r="464" spans="1:50" ht="22.5">
      <c r="A464" s="2" t="s">
        <v>793</v>
      </c>
      <c r="B464" s="27">
        <v>454</v>
      </c>
      <c r="C464" s="55">
        <v>215</v>
      </c>
      <c r="D464" s="55">
        <v>136</v>
      </c>
      <c r="E464" s="60">
        <v>0.375</v>
      </c>
      <c r="F464" s="60">
        <v>0.41666666666666669</v>
      </c>
      <c r="G464" s="57" t="s">
        <v>26</v>
      </c>
      <c r="H464" s="43" t="s">
        <v>1124</v>
      </c>
      <c r="I464" s="55">
        <v>37</v>
      </c>
      <c r="J464" s="58">
        <v>50</v>
      </c>
      <c r="K464" s="64">
        <v>55</v>
      </c>
      <c r="L464" s="36">
        <f>+K464*I464</f>
        <v>2035</v>
      </c>
      <c r="M464" s="37" t="s">
        <v>736</v>
      </c>
      <c r="N464" s="23" t="s">
        <v>1786</v>
      </c>
      <c r="O464" s="23">
        <v>56</v>
      </c>
      <c r="P464" s="112" t="s">
        <v>1971</v>
      </c>
      <c r="Q464" s="112">
        <v>61</v>
      </c>
      <c r="R464" s="23"/>
      <c r="S464" s="23"/>
      <c r="T464" s="7">
        <v>2290</v>
      </c>
      <c r="U464" s="7" t="s">
        <v>1381</v>
      </c>
      <c r="V464" s="7">
        <v>2323</v>
      </c>
      <c r="W464" s="7" t="s">
        <v>1453</v>
      </c>
      <c r="X464" s="17"/>
      <c r="Y464" s="18"/>
      <c r="Z464" s="18"/>
      <c r="AA464" s="18"/>
      <c r="AB464" s="8" t="s">
        <v>1049</v>
      </c>
      <c r="AC464" s="8"/>
      <c r="AD464" s="8" t="s">
        <v>726</v>
      </c>
      <c r="AE464" s="8" t="s">
        <v>726</v>
      </c>
      <c r="AF464" s="8"/>
      <c r="AG464" s="8" t="s">
        <v>726</v>
      </c>
      <c r="AH464" s="8" t="s">
        <v>726</v>
      </c>
      <c r="AI464" s="8" t="s">
        <v>726</v>
      </c>
      <c r="AJ464" s="8" t="s">
        <v>726</v>
      </c>
      <c r="AK464" s="8" t="s">
        <v>726</v>
      </c>
      <c r="AL464" s="8"/>
      <c r="AM464" s="8"/>
      <c r="AN464" s="8"/>
      <c r="AO464" s="8"/>
      <c r="AP464" s="8"/>
      <c r="AQ464" s="8"/>
      <c r="AR464" s="8"/>
      <c r="AS464" s="8"/>
      <c r="AT464" s="8"/>
      <c r="AU464" s="8"/>
      <c r="AV464" s="8"/>
      <c r="AX464" s="142">
        <v>100</v>
      </c>
    </row>
    <row r="465" spans="1:50" ht="22.5">
      <c r="A465" s="2" t="s">
        <v>793</v>
      </c>
      <c r="B465" s="48" t="s">
        <v>1127</v>
      </c>
      <c r="C465" s="55">
        <v>215</v>
      </c>
      <c r="D465" s="55">
        <v>136</v>
      </c>
      <c r="E465" s="60">
        <v>0.375</v>
      </c>
      <c r="F465" s="60">
        <v>0.41666666666666669</v>
      </c>
      <c r="G465" s="57" t="s">
        <v>26</v>
      </c>
      <c r="H465" s="43" t="s">
        <v>1125</v>
      </c>
      <c r="I465" s="55">
        <v>37</v>
      </c>
      <c r="J465" s="58">
        <v>50</v>
      </c>
      <c r="K465" s="64">
        <f>67-K464</f>
        <v>12</v>
      </c>
      <c r="L465" s="36">
        <f>+K465*I465</f>
        <v>444</v>
      </c>
      <c r="M465" s="37" t="s">
        <v>735</v>
      </c>
      <c r="N465" s="23" t="s">
        <v>960</v>
      </c>
      <c r="O465" s="23">
        <v>54</v>
      </c>
      <c r="P465" s="23" t="s">
        <v>791</v>
      </c>
      <c r="Q465" s="23">
        <v>45</v>
      </c>
      <c r="R465" s="23" t="s">
        <v>792</v>
      </c>
      <c r="S465" s="24">
        <v>28</v>
      </c>
      <c r="T465" s="7">
        <v>2290</v>
      </c>
      <c r="U465" s="7" t="s">
        <v>1381</v>
      </c>
      <c r="V465" s="7">
        <v>2323</v>
      </c>
      <c r="W465" s="7" t="s">
        <v>1453</v>
      </c>
      <c r="X465" s="17"/>
      <c r="Y465" s="18"/>
      <c r="Z465" s="18"/>
      <c r="AA465" s="18"/>
      <c r="AB465" s="8" t="s">
        <v>1058</v>
      </c>
      <c r="AC465" s="8"/>
      <c r="AD465" s="8" t="s">
        <v>726</v>
      </c>
      <c r="AE465" s="8" t="s">
        <v>726</v>
      </c>
      <c r="AF465" s="8"/>
      <c r="AG465" s="8"/>
      <c r="AH465" s="8"/>
      <c r="AI465" s="8"/>
      <c r="AJ465" s="8"/>
      <c r="AK465" s="8"/>
      <c r="AL465" s="8" t="s">
        <v>726</v>
      </c>
      <c r="AM465" s="8"/>
      <c r="AN465" s="8"/>
      <c r="AO465" s="8"/>
      <c r="AP465" s="8"/>
      <c r="AQ465" s="8"/>
      <c r="AR465" s="8"/>
      <c r="AS465" s="8"/>
      <c r="AT465" s="8"/>
      <c r="AU465" s="8"/>
      <c r="AV465" s="8"/>
      <c r="AX465" s="142">
        <v>114.11192214111922</v>
      </c>
    </row>
    <row r="466" spans="1:50" ht="51">
      <c r="B466" s="27">
        <v>455</v>
      </c>
      <c r="C466" s="31">
        <v>215</v>
      </c>
      <c r="D466" s="31" t="s">
        <v>92</v>
      </c>
      <c r="E466" s="32">
        <v>0.38541666666666669</v>
      </c>
      <c r="F466" s="32">
        <v>0.77083333333333337</v>
      </c>
      <c r="G466" s="31" t="s">
        <v>605</v>
      </c>
      <c r="H466" s="31" t="s">
        <v>155</v>
      </c>
      <c r="I466" s="33"/>
      <c r="J466" s="34" t="s">
        <v>269</v>
      </c>
      <c r="K466" s="35">
        <v>252</v>
      </c>
      <c r="L466" s="36">
        <v>59300</v>
      </c>
      <c r="M466" s="37" t="s">
        <v>747</v>
      </c>
      <c r="N466" s="23" t="s">
        <v>1758</v>
      </c>
      <c r="O466" s="23">
        <v>7</v>
      </c>
      <c r="P466" s="23" t="s">
        <v>950</v>
      </c>
      <c r="Q466" s="23">
        <v>17</v>
      </c>
      <c r="R466" s="23" t="s">
        <v>951</v>
      </c>
      <c r="S466" s="24">
        <v>9</v>
      </c>
      <c r="T466" s="9">
        <v>2305</v>
      </c>
      <c r="U466" s="9" t="s">
        <v>1454</v>
      </c>
      <c r="V466" s="9">
        <v>2290</v>
      </c>
      <c r="W466" s="9" t="s">
        <v>1381</v>
      </c>
      <c r="X466" s="17"/>
      <c r="Y466" s="17"/>
      <c r="Z466" s="17"/>
      <c r="AA466" s="17"/>
      <c r="AB466" s="7" t="s">
        <v>1745</v>
      </c>
      <c r="AC466" s="8" t="s">
        <v>726</v>
      </c>
      <c r="AD466" s="8" t="s">
        <v>726</v>
      </c>
      <c r="AE466" s="8" t="s">
        <v>726</v>
      </c>
      <c r="AF466" s="8"/>
      <c r="AG466" s="8" t="s">
        <v>726</v>
      </c>
      <c r="AH466" s="8" t="s">
        <v>726</v>
      </c>
      <c r="AI466" s="8" t="s">
        <v>726</v>
      </c>
      <c r="AJ466" s="8" t="s">
        <v>726</v>
      </c>
      <c r="AK466" s="8" t="s">
        <v>726</v>
      </c>
      <c r="AL466" s="8"/>
      <c r="AM466" s="8"/>
      <c r="AN466" s="8"/>
      <c r="AO466" s="8"/>
      <c r="AP466" s="8"/>
      <c r="AQ466" s="8"/>
      <c r="AR466" s="8"/>
      <c r="AS466" s="8"/>
      <c r="AT466" s="8"/>
      <c r="AU466" s="8"/>
      <c r="AV466" s="8"/>
      <c r="AX466" s="142">
        <v>251.87460317460318</v>
      </c>
    </row>
    <row r="467" spans="1:50" ht="25.5">
      <c r="A467" s="23"/>
      <c r="B467" s="27">
        <v>456</v>
      </c>
      <c r="C467" s="55">
        <v>215</v>
      </c>
      <c r="D467" s="59">
        <v>138</v>
      </c>
      <c r="E467" s="56">
        <v>0.41666666666666669</v>
      </c>
      <c r="F467" s="56">
        <v>0.45833333333333331</v>
      </c>
      <c r="G467" s="57" t="s">
        <v>26</v>
      </c>
      <c r="H467" s="31" t="s">
        <v>477</v>
      </c>
      <c r="I467" s="55">
        <v>44</v>
      </c>
      <c r="J467" s="58">
        <v>50</v>
      </c>
      <c r="K467" s="61">
        <v>240</v>
      </c>
      <c r="L467" s="36">
        <f>+K467*I467</f>
        <v>10560</v>
      </c>
      <c r="M467" s="37" t="s">
        <v>745</v>
      </c>
      <c r="N467" s="23" t="s">
        <v>877</v>
      </c>
      <c r="O467" s="23">
        <v>57</v>
      </c>
      <c r="P467" s="23" t="s">
        <v>1787</v>
      </c>
      <c r="Q467" s="23">
        <v>57</v>
      </c>
      <c r="R467" s="23" t="s">
        <v>1163</v>
      </c>
      <c r="S467" s="23">
        <v>38</v>
      </c>
      <c r="T467" s="7">
        <v>2290</v>
      </c>
      <c r="U467" s="7" t="s">
        <v>1381</v>
      </c>
      <c r="V467" s="7">
        <v>2323</v>
      </c>
      <c r="W467" s="7" t="s">
        <v>1453</v>
      </c>
      <c r="X467" s="18"/>
      <c r="Y467" s="17"/>
      <c r="Z467" s="18"/>
      <c r="AA467" s="18"/>
      <c r="AB467" s="7" t="s">
        <v>1052</v>
      </c>
      <c r="AC467" s="8" t="s">
        <v>726</v>
      </c>
      <c r="AD467" s="8"/>
      <c r="AE467" s="8" t="s">
        <v>726</v>
      </c>
      <c r="AF467" s="8"/>
      <c r="AG467" s="8" t="s">
        <v>726</v>
      </c>
      <c r="AH467" s="8" t="s">
        <v>726</v>
      </c>
      <c r="AI467" s="8" t="s">
        <v>726</v>
      </c>
      <c r="AJ467" s="8" t="s">
        <v>726</v>
      </c>
      <c r="AK467" s="8" t="s">
        <v>726</v>
      </c>
      <c r="AL467" s="8" t="s">
        <v>726</v>
      </c>
      <c r="AM467" s="8"/>
      <c r="AN467" s="8"/>
      <c r="AO467" s="8"/>
      <c r="AP467" s="8"/>
      <c r="AQ467" s="8"/>
      <c r="AR467" s="8"/>
      <c r="AS467" s="8"/>
      <c r="AT467" s="8"/>
      <c r="AU467" s="8"/>
      <c r="AV467" s="8"/>
      <c r="AX467" s="142">
        <v>88.8</v>
      </c>
    </row>
    <row r="468" spans="1:50" ht="45">
      <c r="A468" s="2" t="s">
        <v>793</v>
      </c>
      <c r="B468" s="27">
        <v>457</v>
      </c>
      <c r="C468" s="55">
        <v>215</v>
      </c>
      <c r="D468" s="55">
        <v>595</v>
      </c>
      <c r="E468" s="131">
        <v>0.47916666666666669</v>
      </c>
      <c r="F468" s="131">
        <v>0.51944444444444449</v>
      </c>
      <c r="G468" s="57" t="s">
        <v>25</v>
      </c>
      <c r="H468" s="31" t="s">
        <v>423</v>
      </c>
      <c r="I468" s="55">
        <v>37</v>
      </c>
      <c r="J468" s="58">
        <v>50</v>
      </c>
      <c r="K468" s="61">
        <v>67</v>
      </c>
      <c r="L468" s="36">
        <f>+K468*I468</f>
        <v>2479</v>
      </c>
      <c r="M468" s="37" t="s">
        <v>747</v>
      </c>
      <c r="N468" s="23" t="s">
        <v>970</v>
      </c>
      <c r="O468" s="23">
        <v>57</v>
      </c>
      <c r="P468" s="23" t="s">
        <v>789</v>
      </c>
      <c r="Q468" s="23">
        <v>60</v>
      </c>
      <c r="R468" s="23" t="s">
        <v>1760</v>
      </c>
      <c r="S468" s="23">
        <v>57</v>
      </c>
      <c r="T468" s="7">
        <v>2323</v>
      </c>
      <c r="U468" s="7" t="s">
        <v>1453</v>
      </c>
      <c r="V468" s="7">
        <v>2290</v>
      </c>
      <c r="W468" s="7" t="s">
        <v>1381</v>
      </c>
      <c r="X468" s="17"/>
      <c r="Y468" s="18"/>
      <c r="Z468" s="18"/>
      <c r="AA468" s="18"/>
      <c r="AB468" s="8" t="s">
        <v>1047</v>
      </c>
      <c r="AC468" s="8"/>
      <c r="AD468" s="8" t="s">
        <v>726</v>
      </c>
      <c r="AE468" s="8" t="s">
        <v>726</v>
      </c>
      <c r="AF468" s="8"/>
      <c r="AG468" s="8" t="s">
        <v>726</v>
      </c>
      <c r="AH468" s="8" t="s">
        <v>726</v>
      </c>
      <c r="AI468" s="8" t="s">
        <v>726</v>
      </c>
      <c r="AJ468" s="8" t="s">
        <v>726</v>
      </c>
      <c r="AK468" s="8" t="s">
        <v>726</v>
      </c>
      <c r="AL468" s="8" t="s">
        <v>726</v>
      </c>
      <c r="AM468" s="8"/>
      <c r="AN468" s="8"/>
      <c r="AO468" s="8"/>
      <c r="AP468" s="8"/>
      <c r="AQ468" s="8"/>
      <c r="AR468" s="8"/>
      <c r="AS468" s="8"/>
      <c r="AT468" s="8"/>
      <c r="AU468" s="8"/>
      <c r="AV468" s="8"/>
      <c r="AX468" s="142">
        <v>87.5</v>
      </c>
    </row>
    <row r="469" spans="1:50" ht="25.5">
      <c r="A469" s="2" t="s">
        <v>793</v>
      </c>
      <c r="B469" s="27">
        <v>458</v>
      </c>
      <c r="C469" s="55">
        <v>215</v>
      </c>
      <c r="D469" s="55">
        <v>606</v>
      </c>
      <c r="E469" s="60">
        <v>0.4993055555555555</v>
      </c>
      <c r="F469" s="60">
        <v>0.54097222222222219</v>
      </c>
      <c r="G469" s="57" t="s">
        <v>26</v>
      </c>
      <c r="H469" s="31" t="s">
        <v>423</v>
      </c>
      <c r="I469" s="55">
        <v>37</v>
      </c>
      <c r="J469" s="58">
        <v>50</v>
      </c>
      <c r="K469" s="61">
        <v>67</v>
      </c>
      <c r="L469" s="36">
        <f>+K469*I469</f>
        <v>2479</v>
      </c>
      <c r="M469" s="37" t="s">
        <v>745</v>
      </c>
      <c r="N469" s="23" t="s">
        <v>877</v>
      </c>
      <c r="O469" s="23">
        <v>57</v>
      </c>
      <c r="P469" s="23" t="s">
        <v>1787</v>
      </c>
      <c r="Q469" s="23">
        <v>57</v>
      </c>
      <c r="R469" s="23"/>
      <c r="S469" s="24"/>
      <c r="T469" s="7">
        <v>2290</v>
      </c>
      <c r="U469" s="7" t="s">
        <v>1381</v>
      </c>
      <c r="V469" s="7">
        <v>2323</v>
      </c>
      <c r="W469" s="7" t="s">
        <v>1453</v>
      </c>
      <c r="X469" s="17"/>
      <c r="Y469" s="18"/>
      <c r="Z469" s="18"/>
      <c r="AA469" s="18"/>
      <c r="AB469" s="8" t="s">
        <v>1047</v>
      </c>
      <c r="AC469" s="8"/>
      <c r="AD469" s="8" t="s">
        <v>726</v>
      </c>
      <c r="AE469" s="8" t="s">
        <v>726</v>
      </c>
      <c r="AF469" s="8"/>
      <c r="AG469" s="8" t="s">
        <v>726</v>
      </c>
      <c r="AH469" s="8" t="s">
        <v>726</v>
      </c>
      <c r="AI469" s="8" t="s">
        <v>726</v>
      </c>
      <c r="AJ469" s="8" t="s">
        <v>726</v>
      </c>
      <c r="AK469" s="8" t="s">
        <v>726</v>
      </c>
      <c r="AL469" s="8" t="s">
        <v>726</v>
      </c>
      <c r="AM469" s="8"/>
      <c r="AN469" s="8"/>
      <c r="AO469" s="8"/>
      <c r="AP469" s="8"/>
      <c r="AQ469" s="8"/>
      <c r="AR469" s="8"/>
      <c r="AS469" s="8"/>
      <c r="AT469" s="8"/>
      <c r="AU469" s="8"/>
      <c r="AV469" s="8"/>
      <c r="AX469" s="142">
        <v>94.258555133079838</v>
      </c>
    </row>
    <row r="470" spans="1:50" ht="45">
      <c r="A470" s="2" t="s">
        <v>794</v>
      </c>
      <c r="B470" s="27">
        <v>459</v>
      </c>
      <c r="C470" s="55">
        <v>215</v>
      </c>
      <c r="D470" s="59">
        <v>606</v>
      </c>
      <c r="E470" s="60">
        <v>0.4993055555555555</v>
      </c>
      <c r="F470" s="60">
        <v>0.54097222222222219</v>
      </c>
      <c r="G470" s="57" t="s">
        <v>26</v>
      </c>
      <c r="H470" s="31" t="s">
        <v>477</v>
      </c>
      <c r="I470" s="55">
        <v>37</v>
      </c>
      <c r="J470" s="58">
        <v>50</v>
      </c>
      <c r="K470" s="61">
        <v>240</v>
      </c>
      <c r="L470" s="36">
        <f>+K470*I470</f>
        <v>8880</v>
      </c>
      <c r="M470" s="37" t="s">
        <v>747</v>
      </c>
      <c r="N470" s="23" t="s">
        <v>789</v>
      </c>
      <c r="O470" s="23">
        <v>60</v>
      </c>
      <c r="P470" s="23" t="s">
        <v>1760</v>
      </c>
      <c r="Q470" s="23">
        <v>57</v>
      </c>
      <c r="R470" s="23" t="s">
        <v>970</v>
      </c>
      <c r="S470" s="23">
        <v>57</v>
      </c>
      <c r="T470" s="7">
        <v>2290</v>
      </c>
      <c r="U470" s="7" t="s">
        <v>1381</v>
      </c>
      <c r="V470" s="7">
        <v>2323</v>
      </c>
      <c r="W470" s="7" t="s">
        <v>1453</v>
      </c>
      <c r="X470" s="18"/>
      <c r="Y470" s="17"/>
      <c r="Z470" s="18"/>
      <c r="AA470" s="18"/>
      <c r="AB470" s="7" t="s">
        <v>1052</v>
      </c>
      <c r="AC470" s="8" t="s">
        <v>726</v>
      </c>
      <c r="AD470" s="8"/>
      <c r="AE470" s="8" t="s">
        <v>726</v>
      </c>
      <c r="AF470" s="8"/>
      <c r="AG470" s="8" t="s">
        <v>726</v>
      </c>
      <c r="AH470" s="8" t="s">
        <v>726</v>
      </c>
      <c r="AI470" s="8" t="s">
        <v>726</v>
      </c>
      <c r="AJ470" s="8" t="s">
        <v>726</v>
      </c>
      <c r="AK470" s="8" t="s">
        <v>726</v>
      </c>
      <c r="AL470" s="8" t="s">
        <v>726</v>
      </c>
      <c r="AM470" s="8"/>
      <c r="AN470" s="8"/>
      <c r="AO470" s="8"/>
      <c r="AP470" s="8"/>
      <c r="AQ470" s="8"/>
      <c r="AR470" s="8"/>
      <c r="AS470" s="8"/>
      <c r="AT470" s="8"/>
      <c r="AU470" s="8"/>
      <c r="AV470" s="8"/>
      <c r="AX470" s="142">
        <v>111</v>
      </c>
    </row>
    <row r="471" spans="1:50" ht="25.5">
      <c r="A471" s="2" t="s">
        <v>793</v>
      </c>
      <c r="B471" s="27">
        <v>460</v>
      </c>
      <c r="C471" s="55">
        <v>215</v>
      </c>
      <c r="D471" s="55">
        <v>129</v>
      </c>
      <c r="E471" s="131">
        <v>0.51041666666666663</v>
      </c>
      <c r="F471" s="131">
        <v>0.55069444444444449</v>
      </c>
      <c r="G471" s="57" t="s">
        <v>25</v>
      </c>
      <c r="H471" s="31" t="s">
        <v>424</v>
      </c>
      <c r="I471" s="55">
        <v>37</v>
      </c>
      <c r="J471" s="58">
        <v>50</v>
      </c>
      <c r="K471" s="61">
        <v>55</v>
      </c>
      <c r="L471" s="36">
        <f>+K471*I471</f>
        <v>2035</v>
      </c>
      <c r="M471" s="51" t="s">
        <v>736</v>
      </c>
      <c r="N471" s="2" t="s">
        <v>1162</v>
      </c>
      <c r="O471" s="24">
        <v>58</v>
      </c>
      <c r="P471" s="112" t="s">
        <v>1971</v>
      </c>
      <c r="Q471" s="112">
        <v>61</v>
      </c>
      <c r="R471" s="23" t="s">
        <v>1786</v>
      </c>
      <c r="S471" s="23">
        <v>56</v>
      </c>
      <c r="T471" s="7">
        <v>2323</v>
      </c>
      <c r="U471" s="7" t="s">
        <v>1453</v>
      </c>
      <c r="V471" s="7">
        <v>2290</v>
      </c>
      <c r="W471" s="7" t="s">
        <v>1381</v>
      </c>
      <c r="X471" s="17"/>
      <c r="Y471" s="18"/>
      <c r="Z471" s="18"/>
      <c r="AA471" s="18"/>
      <c r="AB471" s="7" t="s">
        <v>1049</v>
      </c>
      <c r="AC471" s="8"/>
      <c r="AD471" s="8" t="s">
        <v>726</v>
      </c>
      <c r="AE471" s="8" t="s">
        <v>726</v>
      </c>
      <c r="AF471" s="8"/>
      <c r="AG471" s="8" t="s">
        <v>726</v>
      </c>
      <c r="AH471" s="8" t="s">
        <v>726</v>
      </c>
      <c r="AI471" s="8" t="s">
        <v>726</v>
      </c>
      <c r="AJ471" s="8" t="s">
        <v>726</v>
      </c>
      <c r="AK471" s="8" t="s">
        <v>726</v>
      </c>
      <c r="AL471" s="8"/>
      <c r="AM471" s="8"/>
      <c r="AN471" s="8"/>
      <c r="AO471" s="8"/>
      <c r="AP471" s="8"/>
      <c r="AQ471" s="8"/>
      <c r="AR471" s="8"/>
      <c r="AS471" s="8"/>
      <c r="AT471" s="8"/>
      <c r="AU471" s="8"/>
      <c r="AV471" s="8"/>
      <c r="AX471" s="142">
        <v>100</v>
      </c>
    </row>
    <row r="472" spans="1:50" ht="45">
      <c r="A472" s="2" t="s">
        <v>793</v>
      </c>
      <c r="B472" s="27">
        <v>461</v>
      </c>
      <c r="C472" s="55">
        <v>215</v>
      </c>
      <c r="D472" s="55">
        <v>140</v>
      </c>
      <c r="E472" s="60">
        <v>0.52222222222222225</v>
      </c>
      <c r="F472" s="60">
        <v>0.56388888888888888</v>
      </c>
      <c r="G472" s="57" t="s">
        <v>26</v>
      </c>
      <c r="H472" s="31" t="s">
        <v>423</v>
      </c>
      <c r="I472" s="55">
        <v>37</v>
      </c>
      <c r="J472" s="58">
        <v>50</v>
      </c>
      <c r="K472" s="35">
        <v>67</v>
      </c>
      <c r="L472" s="36">
        <f>+K472*I472</f>
        <v>2479</v>
      </c>
      <c r="M472" s="37" t="s">
        <v>747</v>
      </c>
      <c r="N472" s="23" t="s">
        <v>970</v>
      </c>
      <c r="O472" s="23">
        <v>57</v>
      </c>
      <c r="P472" s="23" t="s">
        <v>789</v>
      </c>
      <c r="Q472" s="23">
        <v>60</v>
      </c>
      <c r="R472" s="23" t="s">
        <v>1760</v>
      </c>
      <c r="S472" s="23">
        <v>57</v>
      </c>
      <c r="T472" s="7">
        <v>2290</v>
      </c>
      <c r="U472" s="7" t="s">
        <v>1381</v>
      </c>
      <c r="V472" s="7">
        <v>2323</v>
      </c>
      <c r="W472" s="7" t="s">
        <v>1453</v>
      </c>
      <c r="X472" s="17"/>
      <c r="Y472" s="18"/>
      <c r="Z472" s="18"/>
      <c r="AA472" s="18"/>
      <c r="AB472" s="8" t="s">
        <v>1047</v>
      </c>
      <c r="AC472" s="8"/>
      <c r="AD472" s="8" t="s">
        <v>726</v>
      </c>
      <c r="AE472" s="8" t="s">
        <v>726</v>
      </c>
      <c r="AF472" s="8"/>
      <c r="AG472" s="8" t="s">
        <v>726</v>
      </c>
      <c r="AH472" s="8" t="s">
        <v>726</v>
      </c>
      <c r="AI472" s="8" t="s">
        <v>726</v>
      </c>
      <c r="AJ472" s="8" t="s">
        <v>726</v>
      </c>
      <c r="AK472" s="8" t="s">
        <v>726</v>
      </c>
      <c r="AL472" s="8" t="s">
        <v>726</v>
      </c>
      <c r="AM472" s="8"/>
      <c r="AN472" s="8"/>
      <c r="AO472" s="8"/>
      <c r="AP472" s="8"/>
      <c r="AQ472" s="8"/>
      <c r="AR472" s="8"/>
      <c r="AS472" s="8"/>
      <c r="AT472" s="8"/>
      <c r="AU472" s="8"/>
      <c r="AV472" s="8"/>
      <c r="AX472" s="142">
        <v>87.5</v>
      </c>
    </row>
    <row r="473" spans="1:50" ht="25.5">
      <c r="B473" s="27">
        <v>462</v>
      </c>
      <c r="C473" s="31">
        <v>215</v>
      </c>
      <c r="D473" s="31">
        <v>140</v>
      </c>
      <c r="E473" s="42">
        <v>0.52222222222222225</v>
      </c>
      <c r="F473" s="42">
        <v>0.56388888888888888</v>
      </c>
      <c r="G473" s="31" t="s">
        <v>276</v>
      </c>
      <c r="H473" s="31" t="s">
        <v>442</v>
      </c>
      <c r="I473" s="33">
        <v>37</v>
      </c>
      <c r="J473" s="34">
        <v>55</v>
      </c>
      <c r="K473" s="61">
        <v>47</v>
      </c>
      <c r="L473" s="36">
        <f>+K473*I473</f>
        <v>1739</v>
      </c>
      <c r="M473" s="37" t="s">
        <v>735</v>
      </c>
      <c r="N473" s="23" t="s">
        <v>790</v>
      </c>
      <c r="O473" s="23">
        <v>37</v>
      </c>
      <c r="P473" s="23" t="s">
        <v>792</v>
      </c>
      <c r="Q473" s="23">
        <v>29</v>
      </c>
      <c r="R473" s="23" t="s">
        <v>791</v>
      </c>
      <c r="S473" s="23">
        <v>45</v>
      </c>
      <c r="T473" s="7">
        <v>2290</v>
      </c>
      <c r="U473" s="7" t="s">
        <v>1381</v>
      </c>
      <c r="V473" s="7">
        <v>2323</v>
      </c>
      <c r="W473" s="7" t="s">
        <v>1453</v>
      </c>
      <c r="X473" s="18"/>
      <c r="Y473" s="17"/>
      <c r="Z473" s="18"/>
      <c r="AA473" s="18"/>
      <c r="AB473" s="7" t="s">
        <v>1043</v>
      </c>
      <c r="AC473" s="8" t="s">
        <v>726</v>
      </c>
      <c r="AD473" s="8"/>
      <c r="AE473" s="8"/>
      <c r="AF473" s="8"/>
      <c r="AG473" s="8"/>
      <c r="AH473" s="8"/>
      <c r="AI473" s="8"/>
      <c r="AJ473" s="8"/>
      <c r="AK473" s="8"/>
      <c r="AL473" s="8"/>
      <c r="AM473" s="8" t="s">
        <v>726</v>
      </c>
      <c r="AN473" s="8"/>
      <c r="AO473" s="8"/>
      <c r="AP473" s="8"/>
      <c r="AQ473" s="8"/>
      <c r="AR473" s="8"/>
      <c r="AS473" s="8"/>
      <c r="AT473" s="8"/>
      <c r="AU473" s="8"/>
      <c r="AV473" s="8"/>
      <c r="AX473" s="142">
        <v>111</v>
      </c>
    </row>
    <row r="474" spans="1:50" ht="45">
      <c r="A474" s="23"/>
      <c r="B474" s="27">
        <v>463</v>
      </c>
      <c r="C474" s="31">
        <v>215</v>
      </c>
      <c r="D474" s="31">
        <v>140</v>
      </c>
      <c r="E474" s="32">
        <v>0.52430555555555558</v>
      </c>
      <c r="F474" s="32">
        <v>0.57361111111111118</v>
      </c>
      <c r="G474" s="31" t="s">
        <v>26</v>
      </c>
      <c r="H474" s="31" t="s">
        <v>103</v>
      </c>
      <c r="I474" s="33">
        <v>37</v>
      </c>
      <c r="J474" s="34">
        <v>55</v>
      </c>
      <c r="K474" s="35">
        <v>174</v>
      </c>
      <c r="L474" s="36">
        <f>+K474*I474</f>
        <v>6438</v>
      </c>
      <c r="M474" s="37" t="s">
        <v>747</v>
      </c>
      <c r="N474" s="23" t="s">
        <v>970</v>
      </c>
      <c r="O474" s="23">
        <v>57</v>
      </c>
      <c r="P474" s="23" t="s">
        <v>1760</v>
      </c>
      <c r="Q474" s="23">
        <v>57</v>
      </c>
      <c r="S474" s="23"/>
      <c r="T474" s="7" t="s">
        <v>1471</v>
      </c>
      <c r="U474" s="7" t="s">
        <v>1472</v>
      </c>
      <c r="V474" s="7">
        <v>2323</v>
      </c>
      <c r="W474" s="7" t="s">
        <v>1453</v>
      </c>
      <c r="X474" s="18"/>
      <c r="Y474" s="17"/>
      <c r="Z474" s="17"/>
      <c r="AA474" s="17"/>
      <c r="AB474" s="7" t="s">
        <v>1042</v>
      </c>
      <c r="AC474" s="8"/>
      <c r="AD474" s="8"/>
      <c r="AE474" s="8"/>
      <c r="AF474" s="8" t="s">
        <v>726</v>
      </c>
      <c r="AG474" s="8" t="s">
        <v>726</v>
      </c>
      <c r="AH474" s="8" t="s">
        <v>726</v>
      </c>
      <c r="AI474" s="8" t="s">
        <v>726</v>
      </c>
      <c r="AJ474" s="8" t="s">
        <v>726</v>
      </c>
      <c r="AK474" s="8" t="s">
        <v>726</v>
      </c>
      <c r="AL474" s="8"/>
      <c r="AM474" s="8"/>
      <c r="AN474" s="8"/>
      <c r="AO474" s="8"/>
      <c r="AP474" s="8"/>
      <c r="AQ474" s="8"/>
      <c r="AR474" s="8"/>
      <c r="AS474" s="8"/>
      <c r="AT474" s="8"/>
      <c r="AU474" s="8"/>
      <c r="AV474" s="8"/>
      <c r="AX474" s="142">
        <v>111</v>
      </c>
    </row>
    <row r="475" spans="1:50" ht="45">
      <c r="B475" s="27">
        <v>464</v>
      </c>
      <c r="C475" s="55">
        <v>215</v>
      </c>
      <c r="D475" s="43">
        <v>386</v>
      </c>
      <c r="E475" s="32">
        <v>0.53819444444444442</v>
      </c>
      <c r="F475" s="32">
        <v>0.54791666666666672</v>
      </c>
      <c r="G475" s="69" t="s">
        <v>558</v>
      </c>
      <c r="H475" s="31" t="s">
        <v>253</v>
      </c>
      <c r="I475" s="33">
        <v>8.6999999999999993</v>
      </c>
      <c r="J475" s="58">
        <v>9</v>
      </c>
      <c r="K475" s="35">
        <v>34</v>
      </c>
      <c r="L475" s="36">
        <f>+K475*I475</f>
        <v>295.79999999999995</v>
      </c>
      <c r="M475" s="37" t="s">
        <v>747</v>
      </c>
      <c r="N475" s="23" t="s">
        <v>1017</v>
      </c>
      <c r="O475" s="23">
        <v>9</v>
      </c>
      <c r="P475" s="23" t="s">
        <v>950</v>
      </c>
      <c r="Q475" s="23">
        <v>17</v>
      </c>
      <c r="R475" s="23" t="s">
        <v>1172</v>
      </c>
      <c r="S475" s="24">
        <v>9</v>
      </c>
      <c r="T475" s="7" t="s">
        <v>1476</v>
      </c>
      <c r="U475" s="7" t="s">
        <v>1477</v>
      </c>
      <c r="V475" s="7">
        <v>2327</v>
      </c>
      <c r="W475" s="7" t="s">
        <v>1461</v>
      </c>
      <c r="X475" s="18"/>
      <c r="Y475" s="17"/>
      <c r="Z475" s="17"/>
      <c r="AA475" s="17"/>
      <c r="AB475" s="8" t="s">
        <v>1051</v>
      </c>
      <c r="AC475" s="8"/>
      <c r="AD475" s="8"/>
      <c r="AE475" s="8"/>
      <c r="AF475" s="8" t="s">
        <v>726</v>
      </c>
      <c r="AG475" s="8"/>
      <c r="AH475" s="8"/>
      <c r="AI475" s="8"/>
      <c r="AJ475" s="8"/>
      <c r="AK475" s="8"/>
      <c r="AL475" s="8" t="s">
        <v>726</v>
      </c>
      <c r="AM475" s="8"/>
      <c r="AN475" s="8"/>
      <c r="AO475" s="8"/>
      <c r="AP475" s="8"/>
      <c r="AQ475" s="8"/>
      <c r="AR475" s="8"/>
      <c r="AS475" s="8"/>
      <c r="AT475" s="8"/>
      <c r="AU475" s="8"/>
      <c r="AV475" s="8"/>
      <c r="AX475" s="142">
        <v>26.099999999999998</v>
      </c>
    </row>
    <row r="476" spans="1:50" ht="25.5">
      <c r="B476" s="27">
        <v>465</v>
      </c>
      <c r="C476" s="38">
        <v>215</v>
      </c>
      <c r="D476" s="38">
        <v>363</v>
      </c>
      <c r="E476" s="39">
        <v>0.54166666666666663</v>
      </c>
      <c r="F476" s="39">
        <v>0.55486111111111114</v>
      </c>
      <c r="G476" s="40" t="s">
        <v>698</v>
      </c>
      <c r="H476" s="31" t="s">
        <v>97</v>
      </c>
      <c r="I476" s="38">
        <v>13</v>
      </c>
      <c r="J476" s="41">
        <v>40</v>
      </c>
      <c r="K476" s="35">
        <v>208</v>
      </c>
      <c r="L476" s="36">
        <f>+K476*I476</f>
        <v>2704</v>
      </c>
      <c r="M476" s="37" t="s">
        <v>736</v>
      </c>
      <c r="N476" s="23" t="s">
        <v>1786</v>
      </c>
      <c r="O476" s="23">
        <v>56</v>
      </c>
      <c r="P476" s="112" t="s">
        <v>1971</v>
      </c>
      <c r="Q476" s="112">
        <v>61</v>
      </c>
      <c r="R476" s="23"/>
      <c r="S476" s="23"/>
      <c r="T476" s="7">
        <v>2322</v>
      </c>
      <c r="U476" s="7" t="s">
        <v>1478</v>
      </c>
      <c r="V476" s="7">
        <v>2323</v>
      </c>
      <c r="W476" s="7" t="s">
        <v>1453</v>
      </c>
      <c r="X476" s="18"/>
      <c r="Y476" s="17"/>
      <c r="Z476" s="17"/>
      <c r="AA476" s="17"/>
      <c r="AB476" s="7" t="s">
        <v>1046</v>
      </c>
      <c r="AC476" s="8"/>
      <c r="AD476" s="8"/>
      <c r="AE476" s="8"/>
      <c r="AF476" s="8" t="s">
        <v>726</v>
      </c>
      <c r="AG476" s="8" t="s">
        <v>726</v>
      </c>
      <c r="AH476" s="8" t="s">
        <v>726</v>
      </c>
      <c r="AI476" s="8" t="s">
        <v>726</v>
      </c>
      <c r="AJ476" s="8" t="s">
        <v>726</v>
      </c>
      <c r="AK476" s="8" t="s">
        <v>726</v>
      </c>
      <c r="AL476" s="8" t="s">
        <v>726</v>
      </c>
      <c r="AM476" s="8"/>
      <c r="AN476" s="8"/>
      <c r="AO476" s="8"/>
      <c r="AP476" s="8"/>
      <c r="AQ476" s="8"/>
      <c r="AR476" s="8"/>
      <c r="AS476" s="8"/>
      <c r="AT476" s="8"/>
      <c r="AU476" s="8"/>
      <c r="AV476" s="8"/>
      <c r="AX476" s="142">
        <v>42.872555725911077</v>
      </c>
    </row>
    <row r="477" spans="1:50" ht="25.5">
      <c r="A477" s="2" t="s">
        <v>793</v>
      </c>
      <c r="B477" s="27">
        <v>466</v>
      </c>
      <c r="C477" s="55">
        <v>215</v>
      </c>
      <c r="D477" s="55">
        <v>611</v>
      </c>
      <c r="E477" s="60">
        <v>0.54513888888888895</v>
      </c>
      <c r="F477" s="60">
        <v>0.5854166666666667</v>
      </c>
      <c r="G477" s="57" t="s">
        <v>25</v>
      </c>
      <c r="H477" s="31" t="s">
        <v>423</v>
      </c>
      <c r="I477" s="55">
        <v>37</v>
      </c>
      <c r="J477" s="58">
        <v>50</v>
      </c>
      <c r="K477" s="35">
        <v>67</v>
      </c>
      <c r="L477" s="36">
        <f>+K477*I477</f>
        <v>2479</v>
      </c>
      <c r="M477" s="37" t="s">
        <v>745</v>
      </c>
      <c r="N477" s="23" t="s">
        <v>877</v>
      </c>
      <c r="O477" s="23">
        <v>57</v>
      </c>
      <c r="P477" s="23" t="s">
        <v>1787</v>
      </c>
      <c r="Q477" s="23">
        <v>57</v>
      </c>
      <c r="R477" s="23"/>
      <c r="S477" s="24"/>
      <c r="T477" s="7">
        <v>2323</v>
      </c>
      <c r="U477" s="7" t="s">
        <v>1453</v>
      </c>
      <c r="V477" s="7">
        <v>2290</v>
      </c>
      <c r="W477" s="7" t="s">
        <v>1381</v>
      </c>
      <c r="X477" s="17"/>
      <c r="Y477" s="18"/>
      <c r="Z477" s="18"/>
      <c r="AA477" s="18"/>
      <c r="AB477" s="8" t="s">
        <v>1047</v>
      </c>
      <c r="AC477" s="8"/>
      <c r="AD477" s="8" t="s">
        <v>726</v>
      </c>
      <c r="AE477" s="8" t="s">
        <v>726</v>
      </c>
      <c r="AF477" s="8"/>
      <c r="AG477" s="8" t="s">
        <v>726</v>
      </c>
      <c r="AH477" s="8" t="s">
        <v>726</v>
      </c>
      <c r="AI477" s="8" t="s">
        <v>726</v>
      </c>
      <c r="AJ477" s="8" t="s">
        <v>726</v>
      </c>
      <c r="AK477" s="8" t="s">
        <v>726</v>
      </c>
      <c r="AL477" s="8" t="s">
        <v>726</v>
      </c>
      <c r="AM477" s="8"/>
      <c r="AN477" s="8"/>
      <c r="AO477" s="8"/>
      <c r="AP477" s="8"/>
      <c r="AQ477" s="8"/>
      <c r="AR477" s="8"/>
      <c r="AS477" s="8"/>
      <c r="AT477" s="8"/>
      <c r="AU477" s="8"/>
      <c r="AV477" s="8"/>
      <c r="AX477" s="142">
        <v>94.258555133079838</v>
      </c>
    </row>
    <row r="478" spans="1:50" ht="45">
      <c r="A478" s="2" t="s">
        <v>794</v>
      </c>
      <c r="B478" s="27">
        <v>467</v>
      </c>
      <c r="C478" s="55">
        <v>215</v>
      </c>
      <c r="D478" s="59">
        <v>611</v>
      </c>
      <c r="E478" s="60">
        <v>0.54513888888888895</v>
      </c>
      <c r="F478" s="60">
        <v>0.5854166666666667</v>
      </c>
      <c r="G478" s="57" t="s">
        <v>25</v>
      </c>
      <c r="H478" s="31" t="s">
        <v>477</v>
      </c>
      <c r="I478" s="55">
        <v>37</v>
      </c>
      <c r="J478" s="58">
        <v>50</v>
      </c>
      <c r="K478" s="61">
        <v>240</v>
      </c>
      <c r="L478" s="36">
        <f>+K478*I478</f>
        <v>8880</v>
      </c>
      <c r="M478" s="37" t="s">
        <v>747</v>
      </c>
      <c r="N478" s="23" t="s">
        <v>789</v>
      </c>
      <c r="O478" s="23">
        <v>60</v>
      </c>
      <c r="P478" s="23" t="s">
        <v>1760</v>
      </c>
      <c r="Q478" s="23">
        <v>57</v>
      </c>
      <c r="R478" s="23" t="s">
        <v>970</v>
      </c>
      <c r="S478" s="23">
        <v>57</v>
      </c>
      <c r="T478" s="7">
        <v>2323</v>
      </c>
      <c r="U478" s="7" t="s">
        <v>1453</v>
      </c>
      <c r="V478" s="7">
        <v>2290</v>
      </c>
      <c r="W478" s="7" t="s">
        <v>1381</v>
      </c>
      <c r="X478" s="18"/>
      <c r="Y478" s="17"/>
      <c r="Z478" s="18"/>
      <c r="AA478" s="18"/>
      <c r="AB478" s="7" t="s">
        <v>1052</v>
      </c>
      <c r="AC478" s="8" t="s">
        <v>726</v>
      </c>
      <c r="AD478" s="8"/>
      <c r="AE478" s="8" t="s">
        <v>726</v>
      </c>
      <c r="AF478" s="8"/>
      <c r="AG478" s="8" t="s">
        <v>726</v>
      </c>
      <c r="AH478" s="8" t="s">
        <v>726</v>
      </c>
      <c r="AI478" s="8" t="s">
        <v>726</v>
      </c>
      <c r="AJ478" s="8" t="s">
        <v>726</v>
      </c>
      <c r="AK478" s="8" t="s">
        <v>726</v>
      </c>
      <c r="AL478" s="8" t="s">
        <v>726</v>
      </c>
      <c r="AM478" s="8"/>
      <c r="AN478" s="8"/>
      <c r="AO478" s="8"/>
      <c r="AP478" s="8"/>
      <c r="AQ478" s="8"/>
      <c r="AR478" s="8"/>
      <c r="AS478" s="8"/>
      <c r="AT478" s="8"/>
      <c r="AU478" s="8"/>
      <c r="AV478" s="8"/>
      <c r="AX478" s="142">
        <v>111</v>
      </c>
    </row>
    <row r="479" spans="1:50" ht="45">
      <c r="B479" s="27">
        <v>468</v>
      </c>
      <c r="C479" s="43">
        <v>225</v>
      </c>
      <c r="D479" s="31">
        <v>448</v>
      </c>
      <c r="E479" s="32">
        <v>0.55138888888888882</v>
      </c>
      <c r="F479" s="32">
        <v>0.56111111111111112</v>
      </c>
      <c r="G479" s="31" t="s">
        <v>376</v>
      </c>
      <c r="H479" s="31" t="s">
        <v>378</v>
      </c>
      <c r="I479" s="33">
        <v>6</v>
      </c>
      <c r="J479" s="34" t="s">
        <v>269</v>
      </c>
      <c r="K479" s="61">
        <v>70</v>
      </c>
      <c r="L479" s="36">
        <f>+K479*I479</f>
        <v>420</v>
      </c>
      <c r="M479" s="37" t="s">
        <v>747</v>
      </c>
      <c r="N479" s="23" t="s">
        <v>940</v>
      </c>
      <c r="O479" s="23">
        <v>17</v>
      </c>
      <c r="P479" s="23" t="s">
        <v>950</v>
      </c>
      <c r="Q479" s="23">
        <v>17</v>
      </c>
      <c r="R479" s="23" t="s">
        <v>953</v>
      </c>
      <c r="S479" s="24">
        <v>24</v>
      </c>
      <c r="T479" s="7">
        <v>2311</v>
      </c>
      <c r="U479" s="7" t="s">
        <v>1467</v>
      </c>
      <c r="V479" s="7">
        <v>2312</v>
      </c>
      <c r="W479" s="7" t="s">
        <v>1466</v>
      </c>
      <c r="X479" s="18"/>
      <c r="Y479" s="17"/>
      <c r="Z479" s="17"/>
      <c r="AA479" s="17"/>
      <c r="AB479" s="7" t="s">
        <v>1073</v>
      </c>
      <c r="AC479" s="8"/>
      <c r="AD479" s="8"/>
      <c r="AE479" s="8"/>
      <c r="AF479" s="8" t="s">
        <v>726</v>
      </c>
      <c r="AG479" s="8"/>
      <c r="AH479" s="8"/>
      <c r="AI479" s="8"/>
      <c r="AJ479" s="8"/>
      <c r="AK479" s="8" t="s">
        <v>726</v>
      </c>
      <c r="AL479" s="8" t="s">
        <v>726</v>
      </c>
      <c r="AM479" s="8"/>
      <c r="AN479" s="8"/>
      <c r="AO479" s="8"/>
      <c r="AP479" s="8"/>
      <c r="AQ479" s="8"/>
      <c r="AR479" s="8"/>
      <c r="AS479" s="8"/>
      <c r="AT479" s="8"/>
      <c r="AU479" s="8"/>
      <c r="AV479" s="8"/>
      <c r="AX479" s="142">
        <v>31.3</v>
      </c>
    </row>
    <row r="480" spans="1:50" ht="45">
      <c r="B480" s="27">
        <v>469</v>
      </c>
      <c r="C480" s="31">
        <v>215</v>
      </c>
      <c r="D480" s="31">
        <v>602</v>
      </c>
      <c r="E480" s="32">
        <v>0.56597222222222221</v>
      </c>
      <c r="F480" s="32">
        <v>0.57152777777777775</v>
      </c>
      <c r="G480" s="31" t="s">
        <v>524</v>
      </c>
      <c r="H480" s="31" t="s">
        <v>529</v>
      </c>
      <c r="I480" s="33">
        <v>5.3</v>
      </c>
      <c r="J480" s="34" t="s">
        <v>167</v>
      </c>
      <c r="K480" s="35">
        <f>34+34+36</f>
        <v>104</v>
      </c>
      <c r="L480" s="36">
        <f>+K480*I480</f>
        <v>551.19999999999993</v>
      </c>
      <c r="M480" s="37" t="s">
        <v>747</v>
      </c>
      <c r="N480" s="23" t="s">
        <v>951</v>
      </c>
      <c r="O480" s="23">
        <v>9</v>
      </c>
      <c r="P480" s="23" t="s">
        <v>950</v>
      </c>
      <c r="Q480" s="23">
        <v>17</v>
      </c>
      <c r="R480" s="23" t="s">
        <v>1172</v>
      </c>
      <c r="S480" s="24">
        <v>9</v>
      </c>
      <c r="T480" s="7">
        <v>2323</v>
      </c>
      <c r="U480" s="7" t="s">
        <v>1453</v>
      </c>
      <c r="V480" s="7">
        <v>2327</v>
      </c>
      <c r="W480" s="7" t="s">
        <v>1461</v>
      </c>
      <c r="X480" s="18"/>
      <c r="Y480" s="17"/>
      <c r="Z480" s="17"/>
      <c r="AA480" s="17"/>
      <c r="AB480" s="7" t="s">
        <v>1074</v>
      </c>
      <c r="AC480" s="8"/>
      <c r="AD480" s="8"/>
      <c r="AE480" s="8"/>
      <c r="AF480" s="8" t="s">
        <v>726</v>
      </c>
      <c r="AG480" s="8"/>
      <c r="AH480" s="8" t="s">
        <v>726</v>
      </c>
      <c r="AI480" s="8"/>
      <c r="AJ480" s="8" t="s">
        <v>726</v>
      </c>
      <c r="AK480" s="8" t="s">
        <v>726</v>
      </c>
      <c r="AL480" s="8"/>
      <c r="AM480" s="8"/>
      <c r="AN480" s="8"/>
      <c r="AO480" s="8"/>
      <c r="AP480" s="8"/>
      <c r="AQ480" s="8"/>
      <c r="AR480" s="8"/>
      <c r="AS480" s="8"/>
      <c r="AT480" s="8"/>
      <c r="AU480" s="8"/>
      <c r="AV480" s="8"/>
      <c r="AX480" s="142">
        <v>15.9</v>
      </c>
    </row>
    <row r="481" spans="1:50" ht="45">
      <c r="B481" s="27">
        <v>470</v>
      </c>
      <c r="C481" s="31">
        <v>215</v>
      </c>
      <c r="D481" s="31">
        <v>588</v>
      </c>
      <c r="E481" s="32">
        <v>0.57638888888888895</v>
      </c>
      <c r="F481" s="32">
        <v>0.58194444444444449</v>
      </c>
      <c r="G481" s="31" t="s">
        <v>524</v>
      </c>
      <c r="H481" s="31" t="s">
        <v>525</v>
      </c>
      <c r="I481" s="33">
        <v>5.3</v>
      </c>
      <c r="J481" s="34" t="s">
        <v>167</v>
      </c>
      <c r="K481" s="35">
        <v>34</v>
      </c>
      <c r="L481" s="36">
        <f>+K481*I481</f>
        <v>180.2</v>
      </c>
      <c r="M481" s="37" t="s">
        <v>747</v>
      </c>
      <c r="N481" s="23" t="s">
        <v>951</v>
      </c>
      <c r="O481" s="23">
        <v>9</v>
      </c>
      <c r="P481" s="23" t="s">
        <v>950</v>
      </c>
      <c r="Q481" s="23">
        <v>17</v>
      </c>
      <c r="R481" s="23" t="s">
        <v>1172</v>
      </c>
      <c r="S481" s="24">
        <v>9</v>
      </c>
      <c r="T481" s="7">
        <v>2323</v>
      </c>
      <c r="U481" s="7" t="s">
        <v>1453</v>
      </c>
      <c r="V481" s="7">
        <v>2327</v>
      </c>
      <c r="W481" s="7" t="s">
        <v>1461</v>
      </c>
      <c r="X481" s="18"/>
      <c r="Y481" s="17"/>
      <c r="Z481" s="17"/>
      <c r="AA481" s="17"/>
      <c r="AB481" s="7" t="s">
        <v>1051</v>
      </c>
      <c r="AC481" s="8"/>
      <c r="AD481" s="8"/>
      <c r="AE481" s="8"/>
      <c r="AF481" s="8" t="s">
        <v>726</v>
      </c>
      <c r="AG481" s="8"/>
      <c r="AH481" s="8"/>
      <c r="AI481" s="8"/>
      <c r="AJ481" s="8"/>
      <c r="AK481" s="8"/>
      <c r="AL481" s="8" t="s">
        <v>726</v>
      </c>
      <c r="AM481" s="8"/>
      <c r="AN481" s="8"/>
      <c r="AO481" s="8"/>
      <c r="AP481" s="8"/>
      <c r="AQ481" s="8"/>
      <c r="AR481" s="8"/>
      <c r="AS481" s="8"/>
      <c r="AT481" s="8"/>
      <c r="AU481" s="8"/>
      <c r="AV481" s="8"/>
      <c r="AX481" s="142">
        <v>15.9</v>
      </c>
    </row>
    <row r="482" spans="1:50" ht="22.5">
      <c r="A482" s="45" t="s">
        <v>1104</v>
      </c>
      <c r="B482" s="27">
        <v>471</v>
      </c>
      <c r="C482" s="38">
        <v>215</v>
      </c>
      <c r="D482" s="38">
        <v>131</v>
      </c>
      <c r="E482" s="44">
        <v>0.58194444444444449</v>
      </c>
      <c r="F482" s="44">
        <v>0.6166666666666667</v>
      </c>
      <c r="G482" s="40" t="s">
        <v>25</v>
      </c>
      <c r="H482" s="43" t="s">
        <v>206</v>
      </c>
      <c r="I482" s="38">
        <v>37</v>
      </c>
      <c r="J482" s="38">
        <v>40</v>
      </c>
      <c r="K482" s="35">
        <v>45</v>
      </c>
      <c r="L482" s="36">
        <f>+K482*I482</f>
        <v>1665</v>
      </c>
      <c r="M482" s="37" t="s">
        <v>735</v>
      </c>
      <c r="N482" s="23" t="s">
        <v>790</v>
      </c>
      <c r="O482" s="23">
        <v>37</v>
      </c>
      <c r="P482" s="23" t="s">
        <v>792</v>
      </c>
      <c r="Q482" s="23">
        <v>29</v>
      </c>
      <c r="R482" s="23" t="s">
        <v>791</v>
      </c>
      <c r="S482" s="23">
        <v>45</v>
      </c>
      <c r="T482" s="7">
        <v>2323</v>
      </c>
      <c r="U482" s="7" t="s">
        <v>1453</v>
      </c>
      <c r="V482" s="7">
        <v>2290</v>
      </c>
      <c r="W482" s="7" t="s">
        <v>1381</v>
      </c>
      <c r="X482" s="18"/>
      <c r="Y482" s="17"/>
      <c r="Z482" s="18"/>
      <c r="AA482" s="18"/>
      <c r="AB482" s="7" t="s">
        <v>1043</v>
      </c>
      <c r="AC482" s="8" t="s">
        <v>726</v>
      </c>
      <c r="AD482" s="8"/>
      <c r="AE482" s="8"/>
      <c r="AF482" s="8"/>
      <c r="AG482" s="8"/>
      <c r="AH482" s="8"/>
      <c r="AI482" s="8"/>
      <c r="AJ482" s="8"/>
      <c r="AK482" s="8"/>
      <c r="AL482" s="8"/>
      <c r="AM482" s="8" t="s">
        <v>726</v>
      </c>
      <c r="AN482" s="8"/>
      <c r="AO482" s="8"/>
      <c r="AP482" s="8"/>
      <c r="AQ482" s="8"/>
      <c r="AR482" s="8"/>
      <c r="AS482" s="8"/>
      <c r="AT482" s="8"/>
      <c r="AU482" s="8"/>
      <c r="AV482" s="8"/>
      <c r="AX482" s="142">
        <v>111</v>
      </c>
    </row>
    <row r="483" spans="1:50" ht="45">
      <c r="B483" s="27">
        <v>472</v>
      </c>
      <c r="C483" s="55">
        <v>215</v>
      </c>
      <c r="D483" s="43">
        <v>386</v>
      </c>
      <c r="E483" s="32">
        <v>0.57986111111111105</v>
      </c>
      <c r="F483" s="32">
        <v>0.58958333333333335</v>
      </c>
      <c r="G483" s="69" t="s">
        <v>558</v>
      </c>
      <c r="H483" s="31" t="s">
        <v>556</v>
      </c>
      <c r="I483" s="33">
        <v>8.6999999999999993</v>
      </c>
      <c r="J483" s="58">
        <v>9</v>
      </c>
      <c r="K483" s="35">
        <v>70</v>
      </c>
      <c r="L483" s="36">
        <f>+K483*I483</f>
        <v>609</v>
      </c>
      <c r="M483" s="37" t="s">
        <v>747</v>
      </c>
      <c r="N483" s="23" t="s">
        <v>1017</v>
      </c>
      <c r="O483" s="23">
        <v>9</v>
      </c>
      <c r="P483" s="23" t="s">
        <v>950</v>
      </c>
      <c r="Q483" s="23">
        <v>17</v>
      </c>
      <c r="R483" s="23" t="s">
        <v>1172</v>
      </c>
      <c r="S483" s="24">
        <v>9</v>
      </c>
      <c r="T483" s="7" t="s">
        <v>1476</v>
      </c>
      <c r="U483" s="7" t="s">
        <v>1477</v>
      </c>
      <c r="V483" s="7">
        <v>2327</v>
      </c>
      <c r="W483" s="7" t="s">
        <v>1461</v>
      </c>
      <c r="X483" s="18"/>
      <c r="Y483" s="17"/>
      <c r="Z483" s="17"/>
      <c r="AA483" s="17"/>
      <c r="AB483" s="7" t="s">
        <v>1075</v>
      </c>
      <c r="AC483" s="8"/>
      <c r="AD483" s="8"/>
      <c r="AE483" s="8"/>
      <c r="AF483" s="8" t="s">
        <v>726</v>
      </c>
      <c r="AG483" s="8"/>
      <c r="AH483" s="8"/>
      <c r="AI483" s="8"/>
      <c r="AJ483" s="8" t="s">
        <v>726</v>
      </c>
      <c r="AK483" s="8" t="s">
        <v>726</v>
      </c>
      <c r="AL483" s="8"/>
      <c r="AM483" s="8"/>
      <c r="AN483" s="8"/>
      <c r="AO483" s="8"/>
      <c r="AP483" s="8"/>
      <c r="AQ483" s="8"/>
      <c r="AR483" s="8"/>
      <c r="AS483" s="8"/>
      <c r="AT483" s="8"/>
      <c r="AU483" s="8"/>
      <c r="AV483" s="8"/>
      <c r="AX483" s="142">
        <v>26.099999999999998</v>
      </c>
    </row>
    <row r="484" spans="1:50" ht="45">
      <c r="B484" s="27">
        <v>473</v>
      </c>
      <c r="C484" s="31">
        <v>215</v>
      </c>
      <c r="D484" s="31">
        <v>38</v>
      </c>
      <c r="E484" s="32">
        <v>0.58472222222222225</v>
      </c>
      <c r="F484" s="32">
        <v>0.58888888888888891</v>
      </c>
      <c r="G484" s="31" t="s">
        <v>459</v>
      </c>
      <c r="H484" s="31" t="s">
        <v>374</v>
      </c>
      <c r="I484" s="33">
        <v>6</v>
      </c>
      <c r="J484" s="34" t="s">
        <v>125</v>
      </c>
      <c r="K484" s="35">
        <f>174-36</f>
        <v>138</v>
      </c>
      <c r="L484" s="36">
        <f>+K484*I484</f>
        <v>828</v>
      </c>
      <c r="M484" s="37" t="s">
        <v>747</v>
      </c>
      <c r="N484" s="23" t="s">
        <v>952</v>
      </c>
      <c r="O484" s="23">
        <v>18</v>
      </c>
      <c r="P484" s="23" t="s">
        <v>950</v>
      </c>
      <c r="Q484" s="23">
        <v>17</v>
      </c>
      <c r="R484" s="23" t="s">
        <v>953</v>
      </c>
      <c r="S484" s="24">
        <v>24</v>
      </c>
      <c r="T484" s="7" t="s">
        <v>1460</v>
      </c>
      <c r="U484" s="7" t="s">
        <v>1457</v>
      </c>
      <c r="V484" s="7">
        <v>2323</v>
      </c>
      <c r="W484" s="7" t="s">
        <v>1453</v>
      </c>
      <c r="X484" s="18"/>
      <c r="Y484" s="17"/>
      <c r="Z484" s="17"/>
      <c r="AA484" s="17"/>
      <c r="AB484" s="7" t="s">
        <v>1071</v>
      </c>
      <c r="AC484" s="8"/>
      <c r="AD484" s="8"/>
      <c r="AE484" s="8"/>
      <c r="AF484" s="8" t="s">
        <v>726</v>
      </c>
      <c r="AG484" s="8" t="s">
        <v>726</v>
      </c>
      <c r="AH484" s="8" t="s">
        <v>726</v>
      </c>
      <c r="AI484" s="8"/>
      <c r="AJ484" s="8" t="s">
        <v>726</v>
      </c>
      <c r="AK484" s="8" t="s">
        <v>726</v>
      </c>
      <c r="AL484" s="8"/>
      <c r="AM484" s="8"/>
      <c r="AN484" s="8"/>
      <c r="AO484" s="8"/>
      <c r="AP484" s="8"/>
      <c r="AQ484" s="8"/>
      <c r="AR484" s="8"/>
      <c r="AS484" s="8"/>
      <c r="AT484" s="8"/>
      <c r="AU484" s="8"/>
      <c r="AV484" s="8"/>
      <c r="AX484" s="142">
        <v>18</v>
      </c>
    </row>
    <row r="485" spans="1:50" ht="25.5">
      <c r="A485" s="23"/>
      <c r="B485" s="27">
        <v>474</v>
      </c>
      <c r="C485" s="31">
        <v>215</v>
      </c>
      <c r="D485" s="34">
        <v>478</v>
      </c>
      <c r="E485" s="32">
        <v>0.58611111111111114</v>
      </c>
      <c r="F485" s="32">
        <v>0.58888888888888891</v>
      </c>
      <c r="G485" s="31" t="s">
        <v>283</v>
      </c>
      <c r="H485" s="31" t="s">
        <v>103</v>
      </c>
      <c r="I485" s="33">
        <v>2.5</v>
      </c>
      <c r="J485" s="34" t="s">
        <v>116</v>
      </c>
      <c r="K485" s="35">
        <v>174</v>
      </c>
      <c r="L485" s="36">
        <f>+K485*I485</f>
        <v>435</v>
      </c>
      <c r="M485" s="37" t="s">
        <v>745</v>
      </c>
      <c r="N485" s="23" t="s">
        <v>879</v>
      </c>
      <c r="O485" s="23">
        <v>9</v>
      </c>
      <c r="P485" s="23" t="s">
        <v>880</v>
      </c>
      <c r="Q485" s="23">
        <v>9</v>
      </c>
      <c r="R485" s="23" t="s">
        <v>878</v>
      </c>
      <c r="S485" s="24">
        <v>21</v>
      </c>
      <c r="T485" s="7">
        <v>2305</v>
      </c>
      <c r="U485" s="7" t="s">
        <v>1454</v>
      </c>
      <c r="V485" s="7">
        <v>2307</v>
      </c>
      <c r="W485" s="7" t="s">
        <v>1473</v>
      </c>
      <c r="X485" s="18"/>
      <c r="Y485" s="17"/>
      <c r="Z485" s="17"/>
      <c r="AA485" s="17"/>
      <c r="AB485" s="7" t="s">
        <v>1042</v>
      </c>
      <c r="AC485" s="8"/>
      <c r="AD485" s="8"/>
      <c r="AE485" s="8"/>
      <c r="AF485" s="8" t="s">
        <v>726</v>
      </c>
      <c r="AG485" s="8" t="s">
        <v>726</v>
      </c>
      <c r="AH485" s="8" t="s">
        <v>726</v>
      </c>
      <c r="AI485" s="8" t="s">
        <v>726</v>
      </c>
      <c r="AJ485" s="8" t="s">
        <v>726</v>
      </c>
      <c r="AK485" s="8" t="s">
        <v>726</v>
      </c>
      <c r="AL485" s="8"/>
      <c r="AM485" s="8"/>
      <c r="AN485" s="8"/>
      <c r="AO485" s="8"/>
      <c r="AP485" s="8"/>
      <c r="AQ485" s="8"/>
      <c r="AR485" s="8"/>
      <c r="AS485" s="8"/>
      <c r="AT485" s="8"/>
      <c r="AU485" s="8"/>
      <c r="AV485" s="8"/>
      <c r="AX485" s="142">
        <v>5</v>
      </c>
    </row>
    <row r="486" spans="1:50" ht="45">
      <c r="B486" s="27">
        <v>475</v>
      </c>
      <c r="C486" s="31">
        <v>225</v>
      </c>
      <c r="D486" s="31">
        <v>441</v>
      </c>
      <c r="E486" s="32">
        <v>0.59027777777777779</v>
      </c>
      <c r="F486" s="32">
        <v>0.60069444444444442</v>
      </c>
      <c r="G486" s="31" t="s">
        <v>376</v>
      </c>
      <c r="H486" s="31" t="s">
        <v>103</v>
      </c>
      <c r="I486" s="33">
        <v>6</v>
      </c>
      <c r="J486" s="34" t="s">
        <v>269</v>
      </c>
      <c r="K486" s="35">
        <v>174</v>
      </c>
      <c r="L486" s="36">
        <f>+K486*I486</f>
        <v>1044</v>
      </c>
      <c r="M486" s="37" t="s">
        <v>747</v>
      </c>
      <c r="N486" s="23" t="s">
        <v>940</v>
      </c>
      <c r="O486" s="23">
        <v>17</v>
      </c>
      <c r="P486" s="23" t="s">
        <v>1172</v>
      </c>
      <c r="Q486" s="23">
        <v>9</v>
      </c>
      <c r="R486" s="23" t="s">
        <v>953</v>
      </c>
      <c r="S486" s="24">
        <v>24</v>
      </c>
      <c r="T486" s="7">
        <v>2311</v>
      </c>
      <c r="U486" s="7" t="s">
        <v>1467</v>
      </c>
      <c r="V486" s="7">
        <v>2312</v>
      </c>
      <c r="W486" s="7" t="s">
        <v>1466</v>
      </c>
      <c r="X486" s="18"/>
      <c r="Y486" s="17"/>
      <c r="Z486" s="17"/>
      <c r="AA486" s="17"/>
      <c r="AB486" s="7" t="s">
        <v>1042</v>
      </c>
      <c r="AC486" s="8"/>
      <c r="AD486" s="8"/>
      <c r="AE486" s="8"/>
      <c r="AF486" s="8" t="s">
        <v>726</v>
      </c>
      <c r="AG486" s="8" t="s">
        <v>726</v>
      </c>
      <c r="AH486" s="8" t="s">
        <v>726</v>
      </c>
      <c r="AI486" s="8" t="s">
        <v>726</v>
      </c>
      <c r="AJ486" s="8" t="s">
        <v>726</v>
      </c>
      <c r="AK486" s="8" t="s">
        <v>726</v>
      </c>
      <c r="AL486" s="8"/>
      <c r="AM486" s="8"/>
      <c r="AN486" s="8"/>
      <c r="AO486" s="8"/>
      <c r="AP486" s="8"/>
      <c r="AQ486" s="8"/>
      <c r="AR486" s="8"/>
      <c r="AS486" s="8"/>
      <c r="AT486" s="8"/>
      <c r="AU486" s="8"/>
      <c r="AV486" s="8"/>
      <c r="AX486" s="142">
        <v>31.3</v>
      </c>
    </row>
    <row r="487" spans="1:50" ht="38.25">
      <c r="A487" s="83" t="s">
        <v>1966</v>
      </c>
      <c r="B487" s="84">
        <v>476</v>
      </c>
      <c r="C487" s="96">
        <v>215</v>
      </c>
      <c r="D487" s="96">
        <v>142</v>
      </c>
      <c r="E487" s="97">
        <v>0.59930555555555554</v>
      </c>
      <c r="F487" s="97">
        <v>0.64097222222222217</v>
      </c>
      <c r="G487" s="98" t="s">
        <v>26</v>
      </c>
      <c r="H487" s="85" t="s">
        <v>689</v>
      </c>
      <c r="I487" s="96">
        <v>38</v>
      </c>
      <c r="J487" s="99">
        <v>40</v>
      </c>
      <c r="K487" s="94">
        <v>3</v>
      </c>
      <c r="L487" s="90">
        <f>+K487*I487</f>
        <v>114</v>
      </c>
      <c r="M487" s="91" t="s">
        <v>736</v>
      </c>
      <c r="N487" s="104"/>
      <c r="O487" s="104"/>
      <c r="P487" s="104"/>
      <c r="Q487" s="104"/>
      <c r="R487" s="104"/>
      <c r="S487" s="104"/>
      <c r="T487" s="95"/>
      <c r="U487" s="95"/>
      <c r="V487" s="95"/>
      <c r="W487" s="95"/>
      <c r="X487" s="107"/>
      <c r="Y487" s="107">
        <v>44863</v>
      </c>
      <c r="Z487" s="92"/>
      <c r="AA487" s="92"/>
      <c r="AB487" s="115" t="s">
        <v>1967</v>
      </c>
      <c r="AC487" s="95" t="s">
        <v>726</v>
      </c>
      <c r="AD487" s="95"/>
      <c r="AE487" s="95" t="s">
        <v>726</v>
      </c>
      <c r="AF487" s="95"/>
      <c r="AG487" s="95"/>
      <c r="AH487" s="95"/>
      <c r="AI487" s="95"/>
      <c r="AJ487" s="95"/>
      <c r="AK487" s="95"/>
      <c r="AL487" s="95"/>
      <c r="AM487" s="95"/>
      <c r="AN487" s="95"/>
      <c r="AO487" s="95"/>
      <c r="AP487" s="95"/>
      <c r="AQ487" s="95"/>
      <c r="AR487" s="95"/>
      <c r="AS487" s="95"/>
      <c r="AT487" s="95"/>
      <c r="AU487" s="95"/>
      <c r="AV487" s="95" t="s">
        <v>726</v>
      </c>
    </row>
    <row r="488" spans="1:50" ht="45">
      <c r="B488" s="27">
        <v>477</v>
      </c>
      <c r="C488" s="31">
        <v>215</v>
      </c>
      <c r="D488" s="31">
        <v>604</v>
      </c>
      <c r="E488" s="32">
        <v>0.60416666666666663</v>
      </c>
      <c r="F488" s="32">
        <v>0.60972222222222217</v>
      </c>
      <c r="G488" s="31" t="s">
        <v>524</v>
      </c>
      <c r="H488" s="31" t="s">
        <v>708</v>
      </c>
      <c r="I488" s="33">
        <v>5.3</v>
      </c>
      <c r="J488" s="34" t="s">
        <v>167</v>
      </c>
      <c r="K488" s="35">
        <f>33+36</f>
        <v>69</v>
      </c>
      <c r="L488" s="36">
        <f>+K488*I488</f>
        <v>365.7</v>
      </c>
      <c r="M488" s="37" t="s">
        <v>747</v>
      </c>
      <c r="N488" s="23" t="s">
        <v>950</v>
      </c>
      <c r="O488" s="23">
        <v>17</v>
      </c>
      <c r="P488" s="23" t="s">
        <v>951</v>
      </c>
      <c r="Q488" s="23">
        <v>9</v>
      </c>
      <c r="R488" s="23" t="s">
        <v>1172</v>
      </c>
      <c r="S488" s="24">
        <v>9</v>
      </c>
      <c r="T488" s="7">
        <v>2323</v>
      </c>
      <c r="U488" s="7" t="s">
        <v>1453</v>
      </c>
      <c r="V488" s="7">
        <v>2327</v>
      </c>
      <c r="W488" s="7" t="s">
        <v>1461</v>
      </c>
      <c r="X488" s="18"/>
      <c r="Y488" s="17"/>
      <c r="Z488" s="17"/>
      <c r="AA488" s="17"/>
      <c r="AB488" s="7" t="s">
        <v>1076</v>
      </c>
      <c r="AC488" s="8"/>
      <c r="AD488" s="8"/>
      <c r="AE488" s="8"/>
      <c r="AF488" s="8" t="s">
        <v>726</v>
      </c>
      <c r="AG488" s="8" t="s">
        <v>726</v>
      </c>
      <c r="AH488" s="8"/>
      <c r="AI488" s="8" t="s">
        <v>726</v>
      </c>
      <c r="AJ488" s="8"/>
      <c r="AK488" s="8"/>
      <c r="AL488" s="8"/>
      <c r="AM488" s="8"/>
      <c r="AN488" s="8"/>
      <c r="AO488" s="8"/>
      <c r="AP488" s="8"/>
      <c r="AQ488" s="8"/>
      <c r="AR488" s="8"/>
      <c r="AS488" s="8"/>
      <c r="AT488" s="8"/>
      <c r="AU488" s="8"/>
      <c r="AV488" s="8"/>
      <c r="AX488" s="142">
        <v>15.9</v>
      </c>
    </row>
    <row r="489" spans="1:50" ht="45">
      <c r="B489" s="27">
        <v>478</v>
      </c>
      <c r="C489" s="43">
        <v>215</v>
      </c>
      <c r="D489" s="31">
        <v>610</v>
      </c>
      <c r="E489" s="32">
        <v>0.60555555555555551</v>
      </c>
      <c r="F489" s="32">
        <v>0.61597222222222225</v>
      </c>
      <c r="G489" s="31" t="s">
        <v>377</v>
      </c>
      <c r="H489" s="31" t="s">
        <v>103</v>
      </c>
      <c r="I489" s="33">
        <v>9</v>
      </c>
      <c r="J489" s="34">
        <v>16</v>
      </c>
      <c r="K489" s="35">
        <v>174</v>
      </c>
      <c r="L489" s="36">
        <f>+K489*I489</f>
        <v>1566</v>
      </c>
      <c r="M489" s="37" t="s">
        <v>747</v>
      </c>
      <c r="N489" s="23" t="s">
        <v>940</v>
      </c>
      <c r="O489" s="23">
        <v>17</v>
      </c>
      <c r="P489" s="23" t="s">
        <v>950</v>
      </c>
      <c r="Q489" s="23">
        <v>17</v>
      </c>
      <c r="R489" s="23" t="s">
        <v>1172</v>
      </c>
      <c r="S489" s="24">
        <v>9</v>
      </c>
      <c r="T489" s="7" t="s">
        <v>1460</v>
      </c>
      <c r="U489" s="7" t="s">
        <v>1457</v>
      </c>
      <c r="V489" s="7">
        <v>2323</v>
      </c>
      <c r="W489" s="7" t="s">
        <v>1453</v>
      </c>
      <c r="X489" s="18"/>
      <c r="Y489" s="17"/>
      <c r="Z489" s="17"/>
      <c r="AA489" s="17"/>
      <c r="AB489" s="7" t="s">
        <v>1042</v>
      </c>
      <c r="AC489" s="8"/>
      <c r="AD489" s="8"/>
      <c r="AE489" s="8"/>
      <c r="AF489" s="8" t="s">
        <v>726</v>
      </c>
      <c r="AG489" s="8" t="s">
        <v>726</v>
      </c>
      <c r="AH489" s="8" t="s">
        <v>726</v>
      </c>
      <c r="AI489" s="8" t="s">
        <v>726</v>
      </c>
      <c r="AJ489" s="8" t="s">
        <v>726</v>
      </c>
      <c r="AK489" s="8" t="s">
        <v>726</v>
      </c>
      <c r="AL489" s="8"/>
      <c r="AM489" s="8"/>
      <c r="AN489" s="8"/>
      <c r="AO489" s="8"/>
      <c r="AP489" s="8"/>
      <c r="AQ489" s="8"/>
      <c r="AR489" s="8"/>
      <c r="AS489" s="8"/>
      <c r="AT489" s="8"/>
      <c r="AU489" s="8"/>
      <c r="AV489" s="8"/>
      <c r="AX489" s="142">
        <v>18</v>
      </c>
    </row>
    <row r="490" spans="1:50" ht="25.5">
      <c r="B490" s="27">
        <v>479</v>
      </c>
      <c r="C490" s="31">
        <v>215</v>
      </c>
      <c r="D490" s="34">
        <v>40</v>
      </c>
      <c r="E490" s="32">
        <v>0.6118055555555556</v>
      </c>
      <c r="F490" s="32">
        <v>0.62013888888888891</v>
      </c>
      <c r="G490" s="31" t="s">
        <v>284</v>
      </c>
      <c r="H490" s="31" t="s">
        <v>194</v>
      </c>
      <c r="I490" s="33">
        <v>7.5</v>
      </c>
      <c r="J490" s="34" t="s">
        <v>93</v>
      </c>
      <c r="K490" s="35">
        <f>34+34+36+33</f>
        <v>137</v>
      </c>
      <c r="L490" s="36">
        <f>+K490*I490</f>
        <v>1027.5</v>
      </c>
      <c r="M490" s="37" t="s">
        <v>745</v>
      </c>
      <c r="N490" s="23" t="s">
        <v>878</v>
      </c>
      <c r="O490" s="23">
        <v>21</v>
      </c>
      <c r="P490" s="23" t="s">
        <v>879</v>
      </c>
      <c r="Q490" s="23">
        <v>9</v>
      </c>
      <c r="R490" s="23" t="s">
        <v>880</v>
      </c>
      <c r="S490" s="24">
        <v>9</v>
      </c>
      <c r="T490" s="7">
        <v>2311</v>
      </c>
      <c r="U490" s="7" t="s">
        <v>1467</v>
      </c>
      <c r="V490" s="7">
        <v>2304</v>
      </c>
      <c r="W490" s="7" t="s">
        <v>1449</v>
      </c>
      <c r="X490" s="18"/>
      <c r="Y490" s="17"/>
      <c r="Z490" s="17"/>
      <c r="AA490" s="17"/>
      <c r="AB490" s="7" t="s">
        <v>1045</v>
      </c>
      <c r="AC490" s="8"/>
      <c r="AD490" s="8"/>
      <c r="AE490" s="8"/>
      <c r="AF490" s="8" t="s">
        <v>726</v>
      </c>
      <c r="AG490" s="8" t="s">
        <v>726</v>
      </c>
      <c r="AH490" s="8" t="s">
        <v>726</v>
      </c>
      <c r="AI490" s="8" t="s">
        <v>726</v>
      </c>
      <c r="AJ490" s="8" t="s">
        <v>726</v>
      </c>
      <c r="AK490" s="8"/>
      <c r="AL490" s="8"/>
      <c r="AM490" s="8"/>
      <c r="AN490" s="8"/>
      <c r="AO490" s="8"/>
      <c r="AP490" s="8"/>
      <c r="AQ490" s="8"/>
      <c r="AR490" s="8"/>
      <c r="AS490" s="8"/>
      <c r="AT490" s="8"/>
      <c r="AU490" s="8"/>
      <c r="AV490" s="8"/>
      <c r="AX490" s="142">
        <v>15</v>
      </c>
    </row>
    <row r="491" spans="1:50" ht="45">
      <c r="B491" s="27">
        <v>480</v>
      </c>
      <c r="C491" s="55">
        <v>215</v>
      </c>
      <c r="D491" s="43">
        <v>386</v>
      </c>
      <c r="E491" s="32">
        <v>0.62152777777777779</v>
      </c>
      <c r="F491" s="32">
        <v>0.63124999999999998</v>
      </c>
      <c r="G491" s="69" t="s">
        <v>558</v>
      </c>
      <c r="H491" s="31" t="s">
        <v>557</v>
      </c>
      <c r="I491" s="33">
        <v>8.6999999999999993</v>
      </c>
      <c r="J491" s="58">
        <v>9</v>
      </c>
      <c r="K491" s="35">
        <v>103</v>
      </c>
      <c r="L491" s="36">
        <f>+K491*I491</f>
        <v>896.09999999999991</v>
      </c>
      <c r="M491" s="37" t="s">
        <v>747</v>
      </c>
      <c r="N491" s="23" t="s">
        <v>1017</v>
      </c>
      <c r="O491" s="23">
        <v>9</v>
      </c>
      <c r="P491" s="23" t="s">
        <v>950</v>
      </c>
      <c r="Q491" s="23">
        <v>17</v>
      </c>
      <c r="R491" s="23" t="s">
        <v>1172</v>
      </c>
      <c r="S491" s="24">
        <v>9</v>
      </c>
      <c r="T491" s="7" t="s">
        <v>1476</v>
      </c>
      <c r="U491" s="7" t="s">
        <v>1477</v>
      </c>
      <c r="V491" s="7">
        <v>2327</v>
      </c>
      <c r="W491" s="7" t="s">
        <v>1461</v>
      </c>
      <c r="X491" s="18"/>
      <c r="Y491" s="17"/>
      <c r="Z491" s="17"/>
      <c r="AA491" s="17"/>
      <c r="AB491" s="7" t="s">
        <v>1077</v>
      </c>
      <c r="AC491" s="8"/>
      <c r="AD491" s="8"/>
      <c r="AE491" s="8"/>
      <c r="AF491" s="8" t="s">
        <v>726</v>
      </c>
      <c r="AG491" s="8" t="s">
        <v>726</v>
      </c>
      <c r="AH491" s="8" t="s">
        <v>726</v>
      </c>
      <c r="AI491" s="8" t="s">
        <v>726</v>
      </c>
      <c r="AJ491" s="8"/>
      <c r="AK491" s="8"/>
      <c r="AL491" s="8"/>
      <c r="AM491" s="8"/>
      <c r="AN491" s="8"/>
      <c r="AO491" s="8"/>
      <c r="AP491" s="8"/>
      <c r="AQ491" s="8"/>
      <c r="AR491" s="8"/>
      <c r="AS491" s="8"/>
      <c r="AT491" s="8"/>
      <c r="AU491" s="8"/>
      <c r="AV491" s="8"/>
      <c r="AX491" s="142">
        <v>26.099999999999998</v>
      </c>
    </row>
    <row r="492" spans="1:50" ht="25.5">
      <c r="A492" s="2" t="s">
        <v>793</v>
      </c>
      <c r="B492" s="27">
        <v>481</v>
      </c>
      <c r="C492" s="55">
        <v>215</v>
      </c>
      <c r="D492" s="55">
        <v>142</v>
      </c>
      <c r="E492" s="131">
        <v>0.62569444444444444</v>
      </c>
      <c r="F492" s="131">
        <v>0.66736111111111107</v>
      </c>
      <c r="G492" s="57" t="s">
        <v>26</v>
      </c>
      <c r="H492" s="31" t="s">
        <v>423</v>
      </c>
      <c r="I492" s="55">
        <v>37</v>
      </c>
      <c r="J492" s="58">
        <v>50</v>
      </c>
      <c r="K492" s="61">
        <v>67</v>
      </c>
      <c r="L492" s="36">
        <f>+K492*I492</f>
        <v>2479</v>
      </c>
      <c r="M492" s="37" t="s">
        <v>745</v>
      </c>
      <c r="N492" s="23" t="s">
        <v>877</v>
      </c>
      <c r="O492" s="23">
        <v>57</v>
      </c>
      <c r="P492" s="23" t="s">
        <v>1787</v>
      </c>
      <c r="Q492" s="23">
        <v>57</v>
      </c>
      <c r="R492" s="23"/>
      <c r="S492" s="24"/>
      <c r="T492" s="7">
        <v>2290</v>
      </c>
      <c r="U492" s="7" t="s">
        <v>1381</v>
      </c>
      <c r="V492" s="7">
        <v>2323</v>
      </c>
      <c r="W492" s="7" t="s">
        <v>1453</v>
      </c>
      <c r="X492" s="17"/>
      <c r="Y492" s="18"/>
      <c r="Z492" s="18"/>
      <c r="AA492" s="18"/>
      <c r="AB492" s="8" t="s">
        <v>1047</v>
      </c>
      <c r="AC492" s="8"/>
      <c r="AD492" s="8" t="s">
        <v>726</v>
      </c>
      <c r="AE492" s="8" t="s">
        <v>726</v>
      </c>
      <c r="AF492" s="8"/>
      <c r="AG492" s="8" t="s">
        <v>726</v>
      </c>
      <c r="AH492" s="8" t="s">
        <v>726</v>
      </c>
      <c r="AI492" s="8" t="s">
        <v>726</v>
      </c>
      <c r="AJ492" s="8" t="s">
        <v>726</v>
      </c>
      <c r="AK492" s="8" t="s">
        <v>726</v>
      </c>
      <c r="AL492" s="8" t="s">
        <v>726</v>
      </c>
      <c r="AM492" s="8"/>
      <c r="AN492" s="8"/>
      <c r="AO492" s="8"/>
      <c r="AP492" s="8"/>
      <c r="AQ492" s="8"/>
      <c r="AR492" s="8"/>
      <c r="AS492" s="8"/>
      <c r="AT492" s="8"/>
      <c r="AU492" s="8"/>
      <c r="AV492" s="8"/>
      <c r="AX492" s="142">
        <v>94.258555133079838</v>
      </c>
    </row>
    <row r="493" spans="1:50" ht="25.5">
      <c r="A493" s="2" t="s">
        <v>793</v>
      </c>
      <c r="B493" s="27">
        <v>482</v>
      </c>
      <c r="C493" s="55">
        <v>215</v>
      </c>
      <c r="D493" s="55">
        <v>133</v>
      </c>
      <c r="E493" s="60">
        <v>0.66527777777777775</v>
      </c>
      <c r="F493" s="60">
        <v>0.7055555555555556</v>
      </c>
      <c r="G493" s="57" t="s">
        <v>25</v>
      </c>
      <c r="H493" s="31" t="s">
        <v>423</v>
      </c>
      <c r="I493" s="55">
        <v>37</v>
      </c>
      <c r="J493" s="58">
        <v>50</v>
      </c>
      <c r="K493" s="61">
        <v>67</v>
      </c>
      <c r="L493" s="36">
        <f>+K493*I493</f>
        <v>2479</v>
      </c>
      <c r="M493" s="37" t="s">
        <v>735</v>
      </c>
      <c r="N493" s="23" t="s">
        <v>960</v>
      </c>
      <c r="O493" s="23">
        <v>54</v>
      </c>
      <c r="P493" s="23" t="s">
        <v>791</v>
      </c>
      <c r="Q493" s="23">
        <v>45</v>
      </c>
      <c r="R493" s="23" t="s">
        <v>792</v>
      </c>
      <c r="S493" s="24">
        <v>28</v>
      </c>
      <c r="T493" s="7">
        <v>2323</v>
      </c>
      <c r="U493" s="7" t="s">
        <v>1453</v>
      </c>
      <c r="V493" s="7">
        <v>2290</v>
      </c>
      <c r="W493" s="7" t="s">
        <v>1381</v>
      </c>
      <c r="X493" s="17"/>
      <c r="Y493" s="18"/>
      <c r="Z493" s="18"/>
      <c r="AA493" s="18"/>
      <c r="AB493" s="8" t="s">
        <v>1047</v>
      </c>
      <c r="AC493" s="8"/>
      <c r="AD493" s="8" t="s">
        <v>726</v>
      </c>
      <c r="AE493" s="8" t="s">
        <v>726</v>
      </c>
      <c r="AF493" s="8"/>
      <c r="AG493" s="8" t="s">
        <v>726</v>
      </c>
      <c r="AH493" s="8" t="s">
        <v>726</v>
      </c>
      <c r="AI493" s="8" t="s">
        <v>726</v>
      </c>
      <c r="AJ493" s="8" t="s">
        <v>726</v>
      </c>
      <c r="AK493" s="8" t="s">
        <v>726</v>
      </c>
      <c r="AL493" s="8" t="s">
        <v>726</v>
      </c>
      <c r="AM493" s="8"/>
      <c r="AN493" s="8"/>
      <c r="AO493" s="8"/>
      <c r="AP493" s="8"/>
      <c r="AQ493" s="8"/>
      <c r="AR493" s="8"/>
      <c r="AS493" s="8"/>
      <c r="AT493" s="8"/>
      <c r="AU493" s="8"/>
      <c r="AV493" s="8"/>
      <c r="AX493" s="142">
        <v>114.11192214111922</v>
      </c>
    </row>
    <row r="494" spans="1:50" ht="25.5">
      <c r="A494" s="2" t="s">
        <v>794</v>
      </c>
      <c r="B494" s="27">
        <v>483</v>
      </c>
      <c r="C494" s="55">
        <v>215</v>
      </c>
      <c r="D494" s="59">
        <v>133</v>
      </c>
      <c r="E494" s="60">
        <v>0.66527777777777775</v>
      </c>
      <c r="F494" s="60">
        <v>0.7055555555555556</v>
      </c>
      <c r="G494" s="57" t="s">
        <v>25</v>
      </c>
      <c r="H494" s="31" t="s">
        <v>477</v>
      </c>
      <c r="I494" s="55">
        <v>37</v>
      </c>
      <c r="J494" s="58">
        <v>50</v>
      </c>
      <c r="K494" s="61">
        <v>240</v>
      </c>
      <c r="L494" s="36">
        <f>+K494*I494</f>
        <v>8880</v>
      </c>
      <c r="M494" s="37" t="s">
        <v>745</v>
      </c>
      <c r="N494" s="23" t="s">
        <v>877</v>
      </c>
      <c r="O494" s="23">
        <v>57</v>
      </c>
      <c r="P494" s="23" t="s">
        <v>1787</v>
      </c>
      <c r="Q494" s="23">
        <v>57</v>
      </c>
      <c r="R494" s="23" t="s">
        <v>1163</v>
      </c>
      <c r="S494" s="23">
        <v>38</v>
      </c>
      <c r="T494" s="7">
        <v>2323</v>
      </c>
      <c r="U494" s="7" t="s">
        <v>1453</v>
      </c>
      <c r="V494" s="7">
        <v>2290</v>
      </c>
      <c r="W494" s="7" t="s">
        <v>1381</v>
      </c>
      <c r="X494" s="18"/>
      <c r="Y494" s="17"/>
      <c r="Z494" s="18"/>
      <c r="AA494" s="18"/>
      <c r="AB494" s="7" t="s">
        <v>1052</v>
      </c>
      <c r="AC494" s="8" t="s">
        <v>726</v>
      </c>
      <c r="AD494" s="8"/>
      <c r="AE494" s="8" t="s">
        <v>726</v>
      </c>
      <c r="AF494" s="8"/>
      <c r="AG494" s="8" t="s">
        <v>726</v>
      </c>
      <c r="AH494" s="8" t="s">
        <v>726</v>
      </c>
      <c r="AI494" s="8" t="s">
        <v>726</v>
      </c>
      <c r="AJ494" s="8" t="s">
        <v>726</v>
      </c>
      <c r="AK494" s="8" t="s">
        <v>726</v>
      </c>
      <c r="AL494" s="8" t="s">
        <v>726</v>
      </c>
      <c r="AM494" s="8"/>
      <c r="AN494" s="8"/>
      <c r="AO494" s="8"/>
      <c r="AP494" s="8"/>
      <c r="AQ494" s="8"/>
      <c r="AR494" s="8"/>
      <c r="AS494" s="8"/>
      <c r="AT494" s="8"/>
      <c r="AU494" s="8"/>
      <c r="AV494" s="8"/>
      <c r="AX494" s="142">
        <v>111</v>
      </c>
    </row>
    <row r="495" spans="1:50" ht="45">
      <c r="B495" s="27">
        <v>484</v>
      </c>
      <c r="C495" s="43">
        <v>225</v>
      </c>
      <c r="D495" s="31">
        <v>452</v>
      </c>
      <c r="E495" s="32">
        <v>0.70833333333333337</v>
      </c>
      <c r="F495" s="32">
        <v>0.71875</v>
      </c>
      <c r="G495" s="31" t="s">
        <v>376</v>
      </c>
      <c r="H495" s="31" t="s">
        <v>194</v>
      </c>
      <c r="I495" s="33">
        <v>6</v>
      </c>
      <c r="J495" s="34" t="s">
        <v>269</v>
      </c>
      <c r="K495" s="35">
        <f>34+34+36+33</f>
        <v>137</v>
      </c>
      <c r="L495" s="36">
        <f>+K495*I495</f>
        <v>822</v>
      </c>
      <c r="M495" s="37" t="s">
        <v>747</v>
      </c>
      <c r="N495" s="23" t="s">
        <v>953</v>
      </c>
      <c r="O495" s="23">
        <v>24</v>
      </c>
      <c r="P495" s="23" t="s">
        <v>950</v>
      </c>
      <c r="Q495" s="23">
        <v>17</v>
      </c>
      <c r="R495" s="23" t="s">
        <v>940</v>
      </c>
      <c r="S495" s="24">
        <v>17</v>
      </c>
      <c r="T495" s="7">
        <v>2311</v>
      </c>
      <c r="U495" s="7" t="s">
        <v>1467</v>
      </c>
      <c r="V495" s="7">
        <v>2312</v>
      </c>
      <c r="W495" s="7" t="s">
        <v>1466</v>
      </c>
      <c r="X495" s="18"/>
      <c r="Y495" s="17"/>
      <c r="Z495" s="17"/>
      <c r="AA495" s="17"/>
      <c r="AB495" s="7" t="s">
        <v>1045</v>
      </c>
      <c r="AC495" s="8"/>
      <c r="AD495" s="8"/>
      <c r="AE495" s="8"/>
      <c r="AF495" s="8" t="s">
        <v>726</v>
      </c>
      <c r="AG495" s="8" t="s">
        <v>726</v>
      </c>
      <c r="AH495" s="8" t="s">
        <v>726</v>
      </c>
      <c r="AI495" s="8" t="s">
        <v>726</v>
      </c>
      <c r="AJ495" s="8" t="s">
        <v>726</v>
      </c>
      <c r="AK495" s="8"/>
      <c r="AL495" s="8"/>
      <c r="AM495" s="8"/>
      <c r="AN495" s="8"/>
      <c r="AO495" s="8"/>
      <c r="AP495" s="8"/>
      <c r="AQ495" s="8"/>
      <c r="AR495" s="8"/>
      <c r="AS495" s="8"/>
      <c r="AT495" s="8"/>
      <c r="AU495" s="8"/>
      <c r="AV495" s="8"/>
      <c r="AX495" s="142">
        <v>31.3</v>
      </c>
    </row>
    <row r="496" spans="1:50" ht="25.5">
      <c r="A496" s="2" t="s">
        <v>793</v>
      </c>
      <c r="B496" s="27">
        <v>485</v>
      </c>
      <c r="C496" s="55">
        <v>215</v>
      </c>
      <c r="D496" s="55">
        <v>146</v>
      </c>
      <c r="E496" s="60">
        <v>0.75763888888888886</v>
      </c>
      <c r="F496" s="60">
        <v>0.7993055555555556</v>
      </c>
      <c r="G496" s="57" t="s">
        <v>26</v>
      </c>
      <c r="H496" s="31" t="s">
        <v>423</v>
      </c>
      <c r="I496" s="55">
        <v>37</v>
      </c>
      <c r="J496" s="58">
        <v>50</v>
      </c>
      <c r="K496" s="61">
        <v>67</v>
      </c>
      <c r="L496" s="36">
        <f>+K496*I496</f>
        <v>2479</v>
      </c>
      <c r="M496" s="37" t="s">
        <v>735</v>
      </c>
      <c r="N496" s="23" t="s">
        <v>960</v>
      </c>
      <c r="O496" s="23">
        <v>54</v>
      </c>
      <c r="P496" s="23" t="s">
        <v>791</v>
      </c>
      <c r="Q496" s="23">
        <v>45</v>
      </c>
      <c r="R496" s="23" t="s">
        <v>792</v>
      </c>
      <c r="S496" s="24">
        <v>28</v>
      </c>
      <c r="T496" s="7">
        <v>2290</v>
      </c>
      <c r="U496" s="7" t="s">
        <v>1381</v>
      </c>
      <c r="V496" s="7">
        <v>2323</v>
      </c>
      <c r="W496" s="7" t="s">
        <v>1453</v>
      </c>
      <c r="X496" s="17"/>
      <c r="Y496" s="18"/>
      <c r="Z496" s="18"/>
      <c r="AA496" s="18"/>
      <c r="AB496" s="8" t="s">
        <v>1047</v>
      </c>
      <c r="AC496" s="8"/>
      <c r="AD496" s="8" t="s">
        <v>726</v>
      </c>
      <c r="AE496" s="8" t="s">
        <v>726</v>
      </c>
      <c r="AF496" s="8"/>
      <c r="AG496" s="8" t="s">
        <v>726</v>
      </c>
      <c r="AH496" s="8" t="s">
        <v>726</v>
      </c>
      <c r="AI496" s="8" t="s">
        <v>726</v>
      </c>
      <c r="AJ496" s="8" t="s">
        <v>726</v>
      </c>
      <c r="AK496" s="8" t="s">
        <v>726</v>
      </c>
      <c r="AL496" s="8" t="s">
        <v>726</v>
      </c>
      <c r="AM496" s="8"/>
      <c r="AN496" s="8"/>
      <c r="AO496" s="8"/>
      <c r="AP496" s="8"/>
      <c r="AQ496" s="8"/>
      <c r="AR496" s="8"/>
      <c r="AS496" s="8"/>
      <c r="AT496" s="8"/>
      <c r="AU496" s="8"/>
      <c r="AV496" s="8"/>
      <c r="AX496" s="142">
        <v>114.11192214111922</v>
      </c>
    </row>
    <row r="497" spans="1:50" ht="25.5">
      <c r="A497" s="104" t="s">
        <v>1960</v>
      </c>
      <c r="B497" s="84">
        <v>486</v>
      </c>
      <c r="C497" s="100">
        <v>215</v>
      </c>
      <c r="D497" s="100">
        <v>146</v>
      </c>
      <c r="E497" s="101">
        <v>0.75763888888888886</v>
      </c>
      <c r="F497" s="101">
        <v>0.7993055555555556</v>
      </c>
      <c r="G497" s="102" t="s">
        <v>26</v>
      </c>
      <c r="H497" s="85" t="s">
        <v>704</v>
      </c>
      <c r="I497" s="100">
        <v>37</v>
      </c>
      <c r="J497" s="103">
        <v>50</v>
      </c>
      <c r="K497" s="89"/>
      <c r="L497" s="90">
        <f>+K497*I497</f>
        <v>0</v>
      </c>
      <c r="M497" s="91" t="s">
        <v>1962</v>
      </c>
      <c r="N497" s="104"/>
      <c r="O497" s="104"/>
      <c r="P497" s="104"/>
      <c r="Q497" s="104"/>
      <c r="R497" s="104"/>
      <c r="S497" s="104"/>
      <c r="T497" s="95"/>
      <c r="U497" s="95"/>
      <c r="V497" s="95"/>
      <c r="W497" s="95"/>
      <c r="X497" s="92"/>
      <c r="Y497" s="92"/>
      <c r="Z497" s="92"/>
      <c r="AA497" s="92"/>
      <c r="AB497" s="92"/>
      <c r="AC497" s="95"/>
      <c r="AD497" s="95"/>
      <c r="AE497" s="95"/>
      <c r="AF497" s="95"/>
      <c r="AG497" s="95"/>
      <c r="AH497" s="95"/>
      <c r="AI497" s="95"/>
      <c r="AJ497" s="95"/>
      <c r="AK497" s="95"/>
      <c r="AL497" s="95"/>
      <c r="AM497" s="95"/>
      <c r="AN497" s="95"/>
      <c r="AO497" s="95"/>
      <c r="AP497" s="95"/>
      <c r="AQ497" s="95"/>
      <c r="AR497" s="95"/>
      <c r="AS497" s="95"/>
      <c r="AT497" s="95"/>
      <c r="AU497" s="95"/>
      <c r="AV497" s="95"/>
    </row>
    <row r="498" spans="1:50" ht="45">
      <c r="A498" s="2" t="s">
        <v>793</v>
      </c>
      <c r="B498" s="27">
        <v>487</v>
      </c>
      <c r="C498" s="55">
        <v>215</v>
      </c>
      <c r="D498" s="55">
        <v>633</v>
      </c>
      <c r="E498" s="60">
        <v>0.79027777777777775</v>
      </c>
      <c r="F498" s="60">
        <v>0.8305555555555556</v>
      </c>
      <c r="G498" s="57" t="s">
        <v>25</v>
      </c>
      <c r="H498" s="31" t="s">
        <v>423</v>
      </c>
      <c r="I498" s="55">
        <v>37</v>
      </c>
      <c r="J498" s="58">
        <v>50</v>
      </c>
      <c r="K498" s="61">
        <v>67</v>
      </c>
      <c r="L498" s="36">
        <f>+K498*I498</f>
        <v>2479</v>
      </c>
      <c r="M498" s="37" t="s">
        <v>747</v>
      </c>
      <c r="N498" s="23" t="s">
        <v>970</v>
      </c>
      <c r="O498" s="23">
        <v>57</v>
      </c>
      <c r="P498" s="23" t="s">
        <v>789</v>
      </c>
      <c r="Q498" s="23">
        <v>60</v>
      </c>
      <c r="R498" s="23" t="s">
        <v>1760</v>
      </c>
      <c r="S498" s="23">
        <v>57</v>
      </c>
      <c r="T498" s="7">
        <v>2323</v>
      </c>
      <c r="U498" s="7" t="s">
        <v>1453</v>
      </c>
      <c r="V498" s="7">
        <v>2290</v>
      </c>
      <c r="W498" s="7" t="s">
        <v>1381</v>
      </c>
      <c r="X498" s="17"/>
      <c r="Y498" s="18"/>
      <c r="Z498" s="18"/>
      <c r="AA498" s="18"/>
      <c r="AB498" s="8" t="s">
        <v>1047</v>
      </c>
      <c r="AC498" s="8"/>
      <c r="AD498" s="8" t="s">
        <v>726</v>
      </c>
      <c r="AE498" s="8" t="s">
        <v>726</v>
      </c>
      <c r="AF498" s="8"/>
      <c r="AG498" s="8" t="s">
        <v>726</v>
      </c>
      <c r="AH498" s="8" t="s">
        <v>726</v>
      </c>
      <c r="AI498" s="8" t="s">
        <v>726</v>
      </c>
      <c r="AJ498" s="8" t="s">
        <v>726</v>
      </c>
      <c r="AK498" s="8" t="s">
        <v>726</v>
      </c>
      <c r="AL498" s="8" t="s">
        <v>726</v>
      </c>
      <c r="AM498" s="8"/>
      <c r="AN498" s="8"/>
      <c r="AO498" s="8"/>
      <c r="AP498" s="8"/>
      <c r="AQ498" s="8"/>
      <c r="AR498" s="8"/>
      <c r="AS498" s="8"/>
      <c r="AT498" s="8"/>
      <c r="AU498" s="8"/>
      <c r="AV498" s="8"/>
      <c r="AX498" s="142">
        <v>87.5</v>
      </c>
    </row>
    <row r="499" spans="1:50" ht="25.5">
      <c r="A499" s="45" t="s">
        <v>1104</v>
      </c>
      <c r="B499" s="27">
        <v>488</v>
      </c>
      <c r="C499" s="55">
        <v>215</v>
      </c>
      <c r="D499" s="59">
        <v>424</v>
      </c>
      <c r="E499" s="56">
        <v>0.7909722222222223</v>
      </c>
      <c r="F499" s="60">
        <v>0.83263888888888893</v>
      </c>
      <c r="G499" s="57" t="s">
        <v>26</v>
      </c>
      <c r="H499" s="43" t="s">
        <v>477</v>
      </c>
      <c r="I499" s="55">
        <v>37</v>
      </c>
      <c r="J499" s="58">
        <v>50</v>
      </c>
      <c r="K499" s="61">
        <v>240</v>
      </c>
      <c r="L499" s="36">
        <f>+K499*I499</f>
        <v>8880</v>
      </c>
      <c r="M499" s="37" t="s">
        <v>735</v>
      </c>
      <c r="N499" s="23" t="s">
        <v>792</v>
      </c>
      <c r="O499" s="23">
        <v>29</v>
      </c>
      <c r="P499" s="23" t="s">
        <v>790</v>
      </c>
      <c r="Q499" s="23">
        <v>37</v>
      </c>
      <c r="R499" s="23" t="s">
        <v>959</v>
      </c>
      <c r="S499" s="24">
        <v>29</v>
      </c>
      <c r="T499" s="7">
        <v>2290</v>
      </c>
      <c r="U499" s="7" t="s">
        <v>1381</v>
      </c>
      <c r="V499" s="7">
        <v>2323</v>
      </c>
      <c r="W499" s="7" t="s">
        <v>1453</v>
      </c>
      <c r="X499" s="18"/>
      <c r="Y499" s="17"/>
      <c r="Z499" s="18"/>
      <c r="AA499" s="18"/>
      <c r="AB499" s="7" t="s">
        <v>1052</v>
      </c>
      <c r="AC499" s="8" t="s">
        <v>726</v>
      </c>
      <c r="AD499" s="8"/>
      <c r="AE499" s="8" t="s">
        <v>726</v>
      </c>
      <c r="AF499" s="8"/>
      <c r="AG499" s="8" t="s">
        <v>726</v>
      </c>
      <c r="AH499" s="8" t="s">
        <v>726</v>
      </c>
      <c r="AI499" s="8" t="s">
        <v>726</v>
      </c>
      <c r="AJ499" s="8" t="s">
        <v>726</v>
      </c>
      <c r="AK499" s="8" t="s">
        <v>726</v>
      </c>
      <c r="AL499" s="8" t="s">
        <v>726</v>
      </c>
      <c r="AM499" s="8"/>
      <c r="AN499" s="8"/>
      <c r="AO499" s="8"/>
      <c r="AP499" s="8"/>
      <c r="AQ499" s="8"/>
      <c r="AR499" s="8"/>
      <c r="AS499" s="8"/>
      <c r="AT499" s="8"/>
      <c r="AU499" s="8"/>
      <c r="AV499" s="8"/>
      <c r="AX499" s="142">
        <v>111</v>
      </c>
    </row>
    <row r="500" spans="1:50" ht="45">
      <c r="A500" s="2" t="s">
        <v>793</v>
      </c>
      <c r="B500" s="27">
        <v>489</v>
      </c>
      <c r="C500" s="55">
        <v>215</v>
      </c>
      <c r="D500" s="55">
        <v>426</v>
      </c>
      <c r="E500" s="60">
        <v>0.83263888888888893</v>
      </c>
      <c r="F500" s="60">
        <v>0.87430555555555556</v>
      </c>
      <c r="G500" s="57" t="s">
        <v>26</v>
      </c>
      <c r="H500" s="31" t="s">
        <v>423</v>
      </c>
      <c r="I500" s="55">
        <v>37</v>
      </c>
      <c r="J500" s="58">
        <v>50</v>
      </c>
      <c r="K500" s="61">
        <v>67</v>
      </c>
      <c r="L500" s="36">
        <f>+K500*I500</f>
        <v>2479</v>
      </c>
      <c r="M500" s="37" t="s">
        <v>747</v>
      </c>
      <c r="N500" s="23" t="s">
        <v>970</v>
      </c>
      <c r="O500" s="23">
        <v>57</v>
      </c>
      <c r="P500" s="23" t="s">
        <v>789</v>
      </c>
      <c r="Q500" s="23">
        <v>60</v>
      </c>
      <c r="R500" s="23" t="s">
        <v>1760</v>
      </c>
      <c r="S500" s="23">
        <v>57</v>
      </c>
      <c r="T500" s="7">
        <v>2290</v>
      </c>
      <c r="U500" s="7" t="s">
        <v>1381</v>
      </c>
      <c r="V500" s="7">
        <v>2323</v>
      </c>
      <c r="W500" s="7" t="s">
        <v>1453</v>
      </c>
      <c r="X500" s="17"/>
      <c r="Y500" s="18"/>
      <c r="Z500" s="18"/>
      <c r="AA500" s="18"/>
      <c r="AB500" s="8" t="s">
        <v>1047</v>
      </c>
      <c r="AC500" s="8"/>
      <c r="AD500" s="8" t="s">
        <v>726</v>
      </c>
      <c r="AE500" s="8" t="s">
        <v>726</v>
      </c>
      <c r="AF500" s="8"/>
      <c r="AG500" s="8" t="s">
        <v>726</v>
      </c>
      <c r="AH500" s="8" t="s">
        <v>726</v>
      </c>
      <c r="AI500" s="8" t="s">
        <v>726</v>
      </c>
      <c r="AJ500" s="8" t="s">
        <v>726</v>
      </c>
      <c r="AK500" s="8" t="s">
        <v>726</v>
      </c>
      <c r="AL500" s="8" t="s">
        <v>726</v>
      </c>
      <c r="AM500" s="8"/>
      <c r="AN500" s="8"/>
      <c r="AO500" s="8"/>
      <c r="AP500" s="8"/>
      <c r="AQ500" s="8"/>
      <c r="AR500" s="8"/>
      <c r="AS500" s="8"/>
      <c r="AT500" s="8"/>
      <c r="AU500" s="8"/>
      <c r="AV500" s="8"/>
      <c r="AX500" s="142">
        <v>87.5</v>
      </c>
    </row>
    <row r="501" spans="1:50" ht="25.5">
      <c r="A501" s="2" t="s">
        <v>1107</v>
      </c>
      <c r="B501" s="27">
        <v>490</v>
      </c>
      <c r="C501" s="31">
        <v>215</v>
      </c>
      <c r="D501" s="31">
        <v>593</v>
      </c>
      <c r="E501" s="42">
        <v>0.85416666666666663</v>
      </c>
      <c r="F501" s="42">
        <v>0.91249999999999998</v>
      </c>
      <c r="G501" s="43" t="s">
        <v>1005</v>
      </c>
      <c r="H501" s="31" t="s">
        <v>180</v>
      </c>
      <c r="I501" s="52">
        <v>54</v>
      </c>
      <c r="J501" s="34">
        <v>22</v>
      </c>
      <c r="K501" s="35">
        <v>41</v>
      </c>
      <c r="L501" s="36">
        <f>+K501*I501</f>
        <v>2214</v>
      </c>
      <c r="M501" s="37" t="s">
        <v>736</v>
      </c>
      <c r="N501" s="23" t="s">
        <v>939</v>
      </c>
      <c r="O501" s="23">
        <v>20</v>
      </c>
      <c r="P501" s="23" t="s">
        <v>1793</v>
      </c>
      <c r="Q501" s="23">
        <v>27</v>
      </c>
      <c r="S501" s="23"/>
      <c r="T501" s="7">
        <v>2330</v>
      </c>
      <c r="U501" s="7" t="s">
        <v>1479</v>
      </c>
      <c r="V501" s="16">
        <v>2290</v>
      </c>
      <c r="W501" s="16" t="s">
        <v>1475</v>
      </c>
      <c r="X501" s="18"/>
      <c r="Y501" s="17"/>
      <c r="Z501" s="18"/>
      <c r="AA501" s="18"/>
      <c r="AB501" s="8" t="s">
        <v>1078</v>
      </c>
      <c r="AC501" s="8" t="s">
        <v>726</v>
      </c>
      <c r="AD501" s="8"/>
      <c r="AE501" s="8" t="s">
        <v>726</v>
      </c>
      <c r="AF501" s="8"/>
      <c r="AG501" s="8"/>
      <c r="AH501" s="8"/>
      <c r="AI501" s="8"/>
      <c r="AJ501" s="8"/>
      <c r="AK501" s="8" t="s">
        <v>726</v>
      </c>
      <c r="AL501" s="8"/>
      <c r="AM501" s="8"/>
      <c r="AN501" s="8"/>
      <c r="AO501" s="8"/>
      <c r="AP501" s="8"/>
      <c r="AQ501" s="8"/>
      <c r="AR501" s="8"/>
      <c r="AS501" s="8"/>
      <c r="AT501" s="8"/>
      <c r="AU501" s="8"/>
      <c r="AV501" s="8"/>
      <c r="AX501" s="142">
        <v>124.5</v>
      </c>
    </row>
    <row r="502" spans="1:50" ht="25.5">
      <c r="B502" s="27">
        <v>491</v>
      </c>
      <c r="C502" s="31">
        <v>216</v>
      </c>
      <c r="D502" s="31">
        <v>48</v>
      </c>
      <c r="E502" s="42">
        <v>0.54791666666666672</v>
      </c>
      <c r="F502" s="42">
        <v>0.55763888888888891</v>
      </c>
      <c r="G502" s="31" t="s">
        <v>273</v>
      </c>
      <c r="H502" s="31" t="s">
        <v>103</v>
      </c>
      <c r="I502" s="33">
        <v>5.5</v>
      </c>
      <c r="J502" s="34" t="s">
        <v>93</v>
      </c>
      <c r="K502" s="35">
        <v>174</v>
      </c>
      <c r="L502" s="36">
        <f>+K502*I502</f>
        <v>957</v>
      </c>
      <c r="M502" s="37" t="s">
        <v>735</v>
      </c>
      <c r="N502" s="23" t="s">
        <v>792</v>
      </c>
      <c r="O502" s="23">
        <v>29</v>
      </c>
      <c r="P502" s="23" t="s">
        <v>959</v>
      </c>
      <c r="Q502" s="23">
        <v>29</v>
      </c>
      <c r="R502" s="23" t="s">
        <v>962</v>
      </c>
      <c r="S502" s="24">
        <v>25</v>
      </c>
      <c r="T502" s="7">
        <v>2251</v>
      </c>
      <c r="U502" s="7" t="s">
        <v>1480</v>
      </c>
      <c r="V502" s="7">
        <v>2280</v>
      </c>
      <c r="W502" s="7" t="s">
        <v>1481</v>
      </c>
      <c r="X502" s="18"/>
      <c r="Y502" s="17"/>
      <c r="Z502" s="17"/>
      <c r="AA502" s="17"/>
      <c r="AB502" s="7" t="s">
        <v>1042</v>
      </c>
      <c r="AC502" s="8"/>
      <c r="AD502" s="8"/>
      <c r="AE502" s="8"/>
      <c r="AF502" s="8" t="s">
        <v>726</v>
      </c>
      <c r="AG502" s="8" t="s">
        <v>726</v>
      </c>
      <c r="AH502" s="8" t="s">
        <v>726</v>
      </c>
      <c r="AI502" s="8" t="s">
        <v>726</v>
      </c>
      <c r="AJ502" s="8" t="s">
        <v>726</v>
      </c>
      <c r="AK502" s="8" t="s">
        <v>726</v>
      </c>
      <c r="AL502" s="8"/>
      <c r="AM502" s="8"/>
      <c r="AN502" s="8"/>
      <c r="AO502" s="8"/>
      <c r="AP502" s="8"/>
      <c r="AQ502" s="8"/>
      <c r="AR502" s="8"/>
      <c r="AS502" s="8"/>
      <c r="AT502" s="8"/>
      <c r="AU502" s="8"/>
      <c r="AV502" s="8"/>
      <c r="AX502" s="142">
        <v>11</v>
      </c>
    </row>
    <row r="503" spans="1:50" ht="25.5">
      <c r="B503" s="27">
        <v>492</v>
      </c>
      <c r="C503" s="31">
        <v>216</v>
      </c>
      <c r="D503" s="31">
        <v>45</v>
      </c>
      <c r="E503" s="42">
        <v>0.55902777777777779</v>
      </c>
      <c r="F503" s="42">
        <v>0.59027777777777779</v>
      </c>
      <c r="G503" s="31" t="s">
        <v>272</v>
      </c>
      <c r="H503" s="31" t="s">
        <v>103</v>
      </c>
      <c r="I503" s="33">
        <v>20</v>
      </c>
      <c r="J503" s="34" t="s">
        <v>93</v>
      </c>
      <c r="K503" s="35">
        <v>174</v>
      </c>
      <c r="L503" s="36">
        <f>+K503*I503</f>
        <v>3480</v>
      </c>
      <c r="M503" s="37" t="s">
        <v>735</v>
      </c>
      <c r="N503" s="23" t="s">
        <v>792</v>
      </c>
      <c r="O503" s="23">
        <v>29</v>
      </c>
      <c r="P503" s="23" t="s">
        <v>959</v>
      </c>
      <c r="Q503" s="23">
        <v>29</v>
      </c>
      <c r="R503" s="23" t="s">
        <v>962</v>
      </c>
      <c r="S503" s="24">
        <v>25</v>
      </c>
      <c r="T503" s="7">
        <v>2280</v>
      </c>
      <c r="U503" s="7" t="s">
        <v>1481</v>
      </c>
      <c r="V503" s="7">
        <v>2290</v>
      </c>
      <c r="W503" s="7" t="s">
        <v>1381</v>
      </c>
      <c r="X503" s="18"/>
      <c r="Y503" s="17"/>
      <c r="Z503" s="17"/>
      <c r="AA503" s="17"/>
      <c r="AB503" s="7" t="s">
        <v>1042</v>
      </c>
      <c r="AC503" s="8"/>
      <c r="AD503" s="8"/>
      <c r="AE503" s="8"/>
      <c r="AF503" s="8" t="s">
        <v>726</v>
      </c>
      <c r="AG503" s="8" t="s">
        <v>726</v>
      </c>
      <c r="AH503" s="8" t="s">
        <v>726</v>
      </c>
      <c r="AI503" s="8" t="s">
        <v>726</v>
      </c>
      <c r="AJ503" s="8" t="s">
        <v>726</v>
      </c>
      <c r="AK503" s="8" t="s">
        <v>726</v>
      </c>
      <c r="AL503" s="8"/>
      <c r="AM503" s="8"/>
      <c r="AN503" s="8"/>
      <c r="AO503" s="8"/>
      <c r="AP503" s="8"/>
      <c r="AQ503" s="8"/>
      <c r="AR503" s="8"/>
      <c r="AS503" s="8"/>
      <c r="AT503" s="8"/>
      <c r="AU503" s="8"/>
      <c r="AV503" s="8"/>
      <c r="AX503" s="142">
        <v>40</v>
      </c>
    </row>
    <row r="504" spans="1:50" ht="25.5">
      <c r="B504" s="27">
        <v>493</v>
      </c>
      <c r="C504" s="31">
        <v>216</v>
      </c>
      <c r="D504" s="34">
        <v>398</v>
      </c>
      <c r="E504" s="32">
        <v>0.67152777777777783</v>
      </c>
      <c r="F504" s="32">
        <v>0.70486111111111116</v>
      </c>
      <c r="G504" s="31" t="s">
        <v>270</v>
      </c>
      <c r="H504" s="31" t="s">
        <v>194</v>
      </c>
      <c r="I504" s="33">
        <v>19</v>
      </c>
      <c r="J504" s="34" t="s">
        <v>269</v>
      </c>
      <c r="K504" s="35">
        <f>34+34+36+33</f>
        <v>137</v>
      </c>
      <c r="L504" s="36">
        <f>+K504*I504</f>
        <v>2603</v>
      </c>
      <c r="M504" s="37" t="s">
        <v>742</v>
      </c>
      <c r="N504" s="23" t="s">
        <v>782</v>
      </c>
      <c r="O504" s="23">
        <v>21</v>
      </c>
      <c r="P504" s="23" t="s">
        <v>783</v>
      </c>
      <c r="Q504" s="23">
        <v>22</v>
      </c>
      <c r="R504" s="23" t="s">
        <v>784</v>
      </c>
      <c r="S504" s="23">
        <v>23</v>
      </c>
      <c r="T504" s="7" t="s">
        <v>1471</v>
      </c>
      <c r="U504" s="7" t="s">
        <v>1472</v>
      </c>
      <c r="V504" s="7">
        <v>2280</v>
      </c>
      <c r="W504" s="7" t="s">
        <v>1481</v>
      </c>
      <c r="X504" s="18"/>
      <c r="Y504" s="17"/>
      <c r="Z504" s="17"/>
      <c r="AA504" s="17"/>
      <c r="AB504" s="7" t="s">
        <v>1045</v>
      </c>
      <c r="AC504" s="8"/>
      <c r="AD504" s="8"/>
      <c r="AE504" s="8"/>
      <c r="AF504" s="8" t="s">
        <v>726</v>
      </c>
      <c r="AG504" s="8" t="s">
        <v>726</v>
      </c>
      <c r="AH504" s="8" t="s">
        <v>726</v>
      </c>
      <c r="AI504" s="8" t="s">
        <v>726</v>
      </c>
      <c r="AJ504" s="8" t="s">
        <v>726</v>
      </c>
      <c r="AK504" s="8"/>
      <c r="AL504" s="8"/>
      <c r="AM504" s="8"/>
      <c r="AN504" s="8"/>
      <c r="AO504" s="8"/>
      <c r="AP504" s="8"/>
      <c r="AQ504" s="8"/>
      <c r="AR504" s="8"/>
      <c r="AS504" s="8"/>
      <c r="AT504" s="8"/>
      <c r="AU504" s="8"/>
      <c r="AV504" s="8"/>
      <c r="AX504" s="142">
        <v>47.5</v>
      </c>
    </row>
    <row r="505" spans="1:50" ht="25.5">
      <c r="A505" s="83" t="s">
        <v>1965</v>
      </c>
      <c r="B505" s="84">
        <v>494</v>
      </c>
      <c r="C505" s="100">
        <v>217</v>
      </c>
      <c r="D505" s="100"/>
      <c r="E505" s="101">
        <v>0.58680555555555558</v>
      </c>
      <c r="F505" s="101">
        <v>0.59375</v>
      </c>
      <c r="G505" s="102" t="s">
        <v>582</v>
      </c>
      <c r="H505" s="85" t="s">
        <v>203</v>
      </c>
      <c r="I505" s="100">
        <v>4</v>
      </c>
      <c r="J505" s="103">
        <v>50</v>
      </c>
      <c r="K505" s="89"/>
      <c r="L505" s="90">
        <f>+K505*I505</f>
        <v>0</v>
      </c>
      <c r="M505" s="91" t="s">
        <v>1962</v>
      </c>
      <c r="N505" s="104"/>
      <c r="O505" s="104"/>
      <c r="P505" s="104"/>
      <c r="Q505" s="104"/>
      <c r="R505" s="104"/>
      <c r="S505" s="104"/>
      <c r="T505" s="95"/>
      <c r="U505" s="95"/>
      <c r="V505" s="95"/>
      <c r="W505" s="95"/>
      <c r="X505" s="92"/>
      <c r="Y505" s="92"/>
      <c r="Z505" s="92"/>
      <c r="AA505" s="92"/>
      <c r="AB505" s="92"/>
      <c r="AC505" s="95"/>
      <c r="AD505" s="95"/>
      <c r="AE505" s="95"/>
      <c r="AF505" s="95"/>
      <c r="AG505" s="95"/>
      <c r="AH505" s="95"/>
      <c r="AI505" s="95"/>
      <c r="AJ505" s="95"/>
      <c r="AK505" s="95"/>
      <c r="AL505" s="95"/>
      <c r="AM505" s="95"/>
      <c r="AN505" s="95"/>
      <c r="AO505" s="95"/>
      <c r="AP505" s="95"/>
      <c r="AQ505" s="95"/>
      <c r="AR505" s="95"/>
      <c r="AS505" s="95"/>
      <c r="AT505" s="95"/>
      <c r="AU505" s="95"/>
      <c r="AV505" s="95"/>
    </row>
    <row r="506" spans="1:50" ht="25.5">
      <c r="B506" s="27">
        <v>495</v>
      </c>
      <c r="C506" s="31">
        <v>218</v>
      </c>
      <c r="D506" s="34">
        <v>407</v>
      </c>
      <c r="E506" s="32">
        <v>0.57291666666666663</v>
      </c>
      <c r="F506" s="32">
        <v>0.5756944444444444</v>
      </c>
      <c r="G506" s="31" t="s">
        <v>238</v>
      </c>
      <c r="H506" s="31" t="s">
        <v>97</v>
      </c>
      <c r="I506" s="33">
        <v>4</v>
      </c>
      <c r="J506" s="34" t="s">
        <v>146</v>
      </c>
      <c r="K506" s="35">
        <v>208</v>
      </c>
      <c r="L506" s="36">
        <f>+K506*I506</f>
        <v>832</v>
      </c>
      <c r="M506" s="63" t="s">
        <v>737</v>
      </c>
      <c r="N506" s="23" t="s">
        <v>905</v>
      </c>
      <c r="O506" s="23">
        <v>17</v>
      </c>
      <c r="P506" s="49" t="s">
        <v>906</v>
      </c>
      <c r="Q506" s="49">
        <v>21</v>
      </c>
      <c r="S506" s="23"/>
      <c r="T506" s="7" t="s">
        <v>1482</v>
      </c>
      <c r="U506" s="7" t="s">
        <v>1483</v>
      </c>
      <c r="V506" s="7">
        <v>2054</v>
      </c>
      <c r="W506" s="7" t="s">
        <v>1256</v>
      </c>
      <c r="X506" s="18"/>
      <c r="Y506" s="17"/>
      <c r="Z506" s="17"/>
      <c r="AA506" s="17"/>
      <c r="AB506" s="7" t="s">
        <v>1046</v>
      </c>
      <c r="AC506" s="8"/>
      <c r="AD506" s="8"/>
      <c r="AE506" s="8"/>
      <c r="AF506" s="8" t="s">
        <v>726</v>
      </c>
      <c r="AG506" s="8" t="s">
        <v>726</v>
      </c>
      <c r="AH506" s="8" t="s">
        <v>726</v>
      </c>
      <c r="AI506" s="8" t="s">
        <v>726</v>
      </c>
      <c r="AJ506" s="8" t="s">
        <v>726</v>
      </c>
      <c r="AK506" s="8" t="s">
        <v>726</v>
      </c>
      <c r="AL506" s="8" t="s">
        <v>726</v>
      </c>
      <c r="AM506" s="8"/>
      <c r="AN506" s="8"/>
      <c r="AO506" s="8"/>
      <c r="AP506" s="8"/>
      <c r="AQ506" s="8"/>
      <c r="AR506" s="8"/>
      <c r="AS506" s="8"/>
      <c r="AT506" s="8"/>
      <c r="AU506" s="8"/>
      <c r="AV506" s="8"/>
      <c r="AX506" s="142">
        <v>12.77</v>
      </c>
    </row>
    <row r="507" spans="1:50" ht="25.5">
      <c r="B507" s="27">
        <v>496</v>
      </c>
      <c r="C507" s="31">
        <v>218</v>
      </c>
      <c r="D507" s="34">
        <v>408</v>
      </c>
      <c r="E507" s="32">
        <v>0.57638888888888895</v>
      </c>
      <c r="F507" s="32">
        <v>0.57986111111111105</v>
      </c>
      <c r="G507" s="31" t="s">
        <v>237</v>
      </c>
      <c r="H507" s="31" t="s">
        <v>97</v>
      </c>
      <c r="I507" s="33">
        <v>4</v>
      </c>
      <c r="J507" s="34" t="s">
        <v>146</v>
      </c>
      <c r="K507" s="35">
        <v>208</v>
      </c>
      <c r="L507" s="36">
        <f>+K507*I507</f>
        <v>832</v>
      </c>
      <c r="M507" s="63" t="s">
        <v>737</v>
      </c>
      <c r="N507" s="23" t="s">
        <v>905</v>
      </c>
      <c r="O507" s="23">
        <v>17</v>
      </c>
      <c r="P507" s="49" t="s">
        <v>906</v>
      </c>
      <c r="Q507" s="49">
        <v>21</v>
      </c>
      <c r="S507" s="23"/>
      <c r="T507" s="7">
        <v>2054</v>
      </c>
      <c r="U507" s="7" t="s">
        <v>1256</v>
      </c>
      <c r="V507" s="7" t="s">
        <v>1482</v>
      </c>
      <c r="W507" s="7" t="s">
        <v>1483</v>
      </c>
      <c r="X507" s="18"/>
      <c r="Y507" s="17"/>
      <c r="Z507" s="17"/>
      <c r="AA507" s="17"/>
      <c r="AB507" s="7" t="s">
        <v>1046</v>
      </c>
      <c r="AC507" s="8"/>
      <c r="AD507" s="8"/>
      <c r="AE507" s="8"/>
      <c r="AF507" s="8" t="s">
        <v>726</v>
      </c>
      <c r="AG507" s="8" t="s">
        <v>726</v>
      </c>
      <c r="AH507" s="8" t="s">
        <v>726</v>
      </c>
      <c r="AI507" s="8" t="s">
        <v>726</v>
      </c>
      <c r="AJ507" s="8" t="s">
        <v>726</v>
      </c>
      <c r="AK507" s="8" t="s">
        <v>726</v>
      </c>
      <c r="AL507" s="8" t="s">
        <v>726</v>
      </c>
      <c r="AM507" s="8"/>
      <c r="AN507" s="8"/>
      <c r="AO507" s="8"/>
      <c r="AP507" s="8"/>
      <c r="AQ507" s="8"/>
      <c r="AR507" s="8"/>
      <c r="AS507" s="8"/>
      <c r="AT507" s="8"/>
      <c r="AU507" s="8"/>
      <c r="AV507" s="8"/>
      <c r="AX507" s="142">
        <v>12.77</v>
      </c>
    </row>
    <row r="508" spans="1:50" ht="25.5">
      <c r="B508" s="27">
        <v>497</v>
      </c>
      <c r="C508" s="31">
        <v>218</v>
      </c>
      <c r="D508" s="34">
        <v>410</v>
      </c>
      <c r="E508" s="32">
        <v>0.60069444444444442</v>
      </c>
      <c r="F508" s="42">
        <v>0.60833333333333328</v>
      </c>
      <c r="G508" s="31" t="s">
        <v>691</v>
      </c>
      <c r="H508" s="31" t="s">
        <v>97</v>
      </c>
      <c r="I508" s="33">
        <v>7.5</v>
      </c>
      <c r="J508" s="34" t="s">
        <v>146</v>
      </c>
      <c r="K508" s="35">
        <v>208</v>
      </c>
      <c r="L508" s="36">
        <f>+K508*I508</f>
        <v>1560</v>
      </c>
      <c r="M508" s="63" t="s">
        <v>737</v>
      </c>
      <c r="N508" s="23" t="s">
        <v>905</v>
      </c>
      <c r="O508" s="23">
        <v>17</v>
      </c>
      <c r="P508" s="49" t="s">
        <v>906</v>
      </c>
      <c r="Q508" s="49">
        <v>21</v>
      </c>
      <c r="S508" s="23"/>
      <c r="T508" s="7">
        <v>2054</v>
      </c>
      <c r="U508" s="7" t="s">
        <v>1256</v>
      </c>
      <c r="V508" s="7">
        <v>2057</v>
      </c>
      <c r="W508" s="7" t="s">
        <v>1252</v>
      </c>
      <c r="X508" s="18"/>
      <c r="Y508" s="17"/>
      <c r="Z508" s="17"/>
      <c r="AA508" s="17"/>
      <c r="AB508" s="7" t="s">
        <v>1046</v>
      </c>
      <c r="AC508" s="8"/>
      <c r="AD508" s="8"/>
      <c r="AE508" s="8"/>
      <c r="AF508" s="8" t="s">
        <v>726</v>
      </c>
      <c r="AG508" s="8" t="s">
        <v>726</v>
      </c>
      <c r="AH508" s="8" t="s">
        <v>726</v>
      </c>
      <c r="AI508" s="8" t="s">
        <v>726</v>
      </c>
      <c r="AJ508" s="8" t="s">
        <v>726</v>
      </c>
      <c r="AK508" s="8" t="s">
        <v>726</v>
      </c>
      <c r="AL508" s="8" t="s">
        <v>726</v>
      </c>
      <c r="AM508" s="8"/>
      <c r="AN508" s="8"/>
      <c r="AO508" s="8"/>
      <c r="AP508" s="8"/>
      <c r="AQ508" s="8"/>
      <c r="AR508" s="8"/>
      <c r="AS508" s="8"/>
      <c r="AT508" s="8"/>
      <c r="AU508" s="8"/>
      <c r="AV508" s="8"/>
      <c r="AX508" s="142">
        <v>19.07</v>
      </c>
    </row>
    <row r="509" spans="1:50" ht="25.5">
      <c r="B509" s="27">
        <v>498</v>
      </c>
      <c r="C509" s="62">
        <v>224</v>
      </c>
      <c r="D509" s="34">
        <v>149</v>
      </c>
      <c r="E509" s="32">
        <v>0.27430555555555552</v>
      </c>
      <c r="F509" s="32">
        <v>0.28402777777777777</v>
      </c>
      <c r="G509" s="31" t="s">
        <v>467</v>
      </c>
      <c r="H509" s="31" t="s">
        <v>97</v>
      </c>
      <c r="I509" s="33">
        <v>10</v>
      </c>
      <c r="J509" s="34" t="s">
        <v>146</v>
      </c>
      <c r="K509" s="35">
        <v>208</v>
      </c>
      <c r="L509" s="36">
        <f>+K509*I509</f>
        <v>2080</v>
      </c>
      <c r="M509" s="63" t="s">
        <v>737</v>
      </c>
      <c r="N509" s="23" t="s">
        <v>907</v>
      </c>
      <c r="O509" s="23">
        <v>9</v>
      </c>
      <c r="P509" s="49" t="s">
        <v>1796</v>
      </c>
      <c r="Q509" s="49">
        <v>7</v>
      </c>
      <c r="S509" s="23"/>
      <c r="T509" s="7">
        <v>2670</v>
      </c>
      <c r="U509" s="7" t="s">
        <v>1382</v>
      </c>
      <c r="V509" s="7">
        <v>2049</v>
      </c>
      <c r="W509" s="7" t="s">
        <v>1383</v>
      </c>
      <c r="X509" s="18"/>
      <c r="Y509" s="17"/>
      <c r="Z509" s="17"/>
      <c r="AA509" s="17"/>
      <c r="AB509" s="7" t="s">
        <v>1046</v>
      </c>
      <c r="AC509" s="8"/>
      <c r="AD509" s="8"/>
      <c r="AE509" s="8"/>
      <c r="AF509" s="8" t="s">
        <v>726</v>
      </c>
      <c r="AG509" s="8" t="s">
        <v>726</v>
      </c>
      <c r="AH509" s="8" t="s">
        <v>726</v>
      </c>
      <c r="AI509" s="8" t="s">
        <v>726</v>
      </c>
      <c r="AJ509" s="8" t="s">
        <v>726</v>
      </c>
      <c r="AK509" s="8" t="s">
        <v>726</v>
      </c>
      <c r="AL509" s="8" t="s">
        <v>726</v>
      </c>
      <c r="AM509" s="8"/>
      <c r="AN509" s="8"/>
      <c r="AO509" s="8"/>
      <c r="AP509" s="8"/>
      <c r="AQ509" s="8"/>
      <c r="AR509" s="8"/>
      <c r="AS509" s="8"/>
      <c r="AT509" s="8"/>
      <c r="AU509" s="8"/>
      <c r="AV509" s="8"/>
      <c r="AX509" s="142">
        <v>30</v>
      </c>
    </row>
    <row r="510" spans="1:50" ht="25.5">
      <c r="A510" s="23"/>
      <c r="B510" s="27">
        <v>499</v>
      </c>
      <c r="C510" s="31">
        <v>231</v>
      </c>
      <c r="D510" s="31">
        <v>62</v>
      </c>
      <c r="E510" s="42">
        <v>0.27916666666666667</v>
      </c>
      <c r="F510" s="42">
        <v>0.32291666666666669</v>
      </c>
      <c r="G510" s="31" t="s">
        <v>275</v>
      </c>
      <c r="H510" s="31" t="s">
        <v>274</v>
      </c>
      <c r="I510" s="33">
        <v>33</v>
      </c>
      <c r="J510" s="34" t="s">
        <v>101</v>
      </c>
      <c r="K510" s="35">
        <v>287</v>
      </c>
      <c r="L510" s="36">
        <f>+K510*I510</f>
        <v>9471</v>
      </c>
      <c r="M510" s="37" t="s">
        <v>735</v>
      </c>
      <c r="N510" s="23" t="s">
        <v>960</v>
      </c>
      <c r="O510" s="23">
        <v>54</v>
      </c>
      <c r="P510" s="23" t="s">
        <v>791</v>
      </c>
      <c r="Q510" s="23">
        <v>45</v>
      </c>
      <c r="R510" s="23" t="s">
        <v>790</v>
      </c>
      <c r="S510" s="23">
        <v>37</v>
      </c>
      <c r="T510" s="7">
        <v>2290</v>
      </c>
      <c r="U510" s="7" t="s">
        <v>1381</v>
      </c>
      <c r="V510" s="7">
        <v>958</v>
      </c>
      <c r="W510" s="7" t="s">
        <v>1484</v>
      </c>
      <c r="X510" s="18"/>
      <c r="Y510" s="17"/>
      <c r="Z510" s="18"/>
      <c r="AA510" s="18"/>
      <c r="AB510" s="7" t="s">
        <v>274</v>
      </c>
      <c r="AC510" s="8" t="s">
        <v>726</v>
      </c>
      <c r="AD510" s="8"/>
      <c r="AE510" s="8" t="s">
        <v>726</v>
      </c>
      <c r="AF510" s="8"/>
      <c r="AG510" s="8" t="s">
        <v>726</v>
      </c>
      <c r="AH510" s="8" t="s">
        <v>726</v>
      </c>
      <c r="AI510" s="8" t="s">
        <v>726</v>
      </c>
      <c r="AJ510" s="8" t="s">
        <v>726</v>
      </c>
      <c r="AK510" s="8" t="s">
        <v>726</v>
      </c>
      <c r="AL510" s="8" t="s">
        <v>726</v>
      </c>
      <c r="AM510" s="8" t="s">
        <v>726</v>
      </c>
      <c r="AN510" s="8"/>
      <c r="AO510" s="8"/>
      <c r="AP510" s="8"/>
      <c r="AQ510" s="8"/>
      <c r="AR510" s="8"/>
      <c r="AS510" s="8"/>
      <c r="AT510" s="8"/>
      <c r="AU510" s="8"/>
      <c r="AV510" s="8"/>
      <c r="AX510" s="142">
        <v>118.06</v>
      </c>
    </row>
    <row r="511" spans="1:50" ht="45">
      <c r="B511" s="27">
        <v>500</v>
      </c>
      <c r="C511" s="31">
        <v>231</v>
      </c>
      <c r="D511" s="31">
        <v>63</v>
      </c>
      <c r="E511" s="32">
        <v>0.2986111111111111</v>
      </c>
      <c r="F511" s="32">
        <v>0.30208333333333331</v>
      </c>
      <c r="G511" s="31" t="s">
        <v>382</v>
      </c>
      <c r="H511" s="31" t="s">
        <v>103</v>
      </c>
      <c r="I511" s="33">
        <v>2</v>
      </c>
      <c r="J511" s="34" t="s">
        <v>116</v>
      </c>
      <c r="K511" s="35">
        <v>174</v>
      </c>
      <c r="L511" s="36">
        <f>+K511*I511</f>
        <v>348</v>
      </c>
      <c r="M511" s="37" t="s">
        <v>747</v>
      </c>
      <c r="N511" s="23" t="s">
        <v>940</v>
      </c>
      <c r="O511" s="23">
        <v>17</v>
      </c>
      <c r="P511" s="23" t="s">
        <v>950</v>
      </c>
      <c r="Q511" s="23">
        <v>17</v>
      </c>
      <c r="R511" s="23"/>
      <c r="S511" s="23"/>
      <c r="T511" s="7">
        <v>2439</v>
      </c>
      <c r="U511" s="7" t="s">
        <v>1485</v>
      </c>
      <c r="V511" s="7">
        <v>2440</v>
      </c>
      <c r="W511" s="7" t="s">
        <v>1486</v>
      </c>
      <c r="X511" s="18"/>
      <c r="Y511" s="17"/>
      <c r="Z511" s="17"/>
      <c r="AA511" s="17"/>
      <c r="AB511" s="7" t="s">
        <v>1042</v>
      </c>
      <c r="AC511" s="8"/>
      <c r="AD511" s="8"/>
      <c r="AE511" s="8"/>
      <c r="AF511" s="8" t="s">
        <v>726</v>
      </c>
      <c r="AG511" s="8" t="s">
        <v>726</v>
      </c>
      <c r="AH511" s="8" t="s">
        <v>726</v>
      </c>
      <c r="AI511" s="8" t="s">
        <v>726</v>
      </c>
      <c r="AJ511" s="8" t="s">
        <v>726</v>
      </c>
      <c r="AK511" s="8" t="s">
        <v>726</v>
      </c>
      <c r="AL511" s="8"/>
      <c r="AM511" s="8"/>
      <c r="AN511" s="8"/>
      <c r="AO511" s="8"/>
      <c r="AP511" s="8"/>
      <c r="AQ511" s="8"/>
      <c r="AR511" s="8"/>
      <c r="AS511" s="8"/>
      <c r="AT511" s="8"/>
      <c r="AU511" s="8"/>
      <c r="AV511" s="8"/>
      <c r="AX511" s="142">
        <v>10</v>
      </c>
    </row>
    <row r="512" spans="1:50" ht="25.5">
      <c r="A512" s="2" t="s">
        <v>794</v>
      </c>
      <c r="B512" s="27">
        <v>501</v>
      </c>
      <c r="C512" s="55">
        <v>231</v>
      </c>
      <c r="D512" s="59">
        <v>253</v>
      </c>
      <c r="E512" s="56">
        <v>0.32777777777777778</v>
      </c>
      <c r="F512" s="60">
        <v>0.37361111111111112</v>
      </c>
      <c r="G512" s="57" t="s">
        <v>577</v>
      </c>
      <c r="H512" s="31" t="s">
        <v>477</v>
      </c>
      <c r="I512" s="55">
        <v>33</v>
      </c>
      <c r="J512" s="58">
        <v>50</v>
      </c>
      <c r="K512" s="35">
        <v>240</v>
      </c>
      <c r="L512" s="36">
        <f>+K512*I512</f>
        <v>7920</v>
      </c>
      <c r="M512" s="37" t="s">
        <v>735</v>
      </c>
      <c r="N512" s="23" t="s">
        <v>960</v>
      </c>
      <c r="O512" s="23">
        <v>54</v>
      </c>
      <c r="P512" s="23" t="s">
        <v>791</v>
      </c>
      <c r="Q512" s="23">
        <v>45</v>
      </c>
      <c r="R512" s="23" t="s">
        <v>790</v>
      </c>
      <c r="S512" s="23">
        <v>37</v>
      </c>
      <c r="T512" s="7">
        <v>958</v>
      </c>
      <c r="U512" s="7" t="s">
        <v>1484</v>
      </c>
      <c r="V512" s="7">
        <v>2290</v>
      </c>
      <c r="W512" s="7" t="s">
        <v>1381</v>
      </c>
      <c r="X512" s="18"/>
      <c r="Y512" s="17"/>
      <c r="Z512" s="18"/>
      <c r="AA512" s="18"/>
      <c r="AB512" s="7" t="s">
        <v>1052</v>
      </c>
      <c r="AC512" s="8" t="s">
        <v>726</v>
      </c>
      <c r="AD512" s="8"/>
      <c r="AE512" s="8" t="s">
        <v>726</v>
      </c>
      <c r="AF512" s="8"/>
      <c r="AG512" s="8" t="s">
        <v>726</v>
      </c>
      <c r="AH512" s="8" t="s">
        <v>726</v>
      </c>
      <c r="AI512" s="8" t="s">
        <v>726</v>
      </c>
      <c r="AJ512" s="8" t="s">
        <v>726</v>
      </c>
      <c r="AK512" s="8" t="s">
        <v>726</v>
      </c>
      <c r="AL512" s="8" t="s">
        <v>726</v>
      </c>
      <c r="AM512" s="8"/>
      <c r="AN512" s="8"/>
      <c r="AO512" s="8"/>
      <c r="AP512" s="8"/>
      <c r="AQ512" s="8"/>
      <c r="AR512" s="8"/>
      <c r="AS512" s="8"/>
      <c r="AT512" s="8"/>
      <c r="AU512" s="8"/>
      <c r="AV512" s="8"/>
      <c r="AX512" s="142">
        <v>99</v>
      </c>
    </row>
    <row r="513" spans="1:50" ht="25.5">
      <c r="A513" s="2" t="s">
        <v>793</v>
      </c>
      <c r="B513" s="27">
        <v>502</v>
      </c>
      <c r="C513" s="55">
        <v>231</v>
      </c>
      <c r="D513" s="55">
        <v>932</v>
      </c>
      <c r="E513" s="60">
        <v>0.4694444444444445</v>
      </c>
      <c r="F513" s="60">
        <v>0.5131944444444444</v>
      </c>
      <c r="G513" s="57" t="s">
        <v>576</v>
      </c>
      <c r="H513" s="31" t="s">
        <v>546</v>
      </c>
      <c r="I513" s="55">
        <v>33</v>
      </c>
      <c r="J513" s="58">
        <v>50</v>
      </c>
      <c r="K513" s="61">
        <v>13</v>
      </c>
      <c r="L513" s="36">
        <f>+K513*I513</f>
        <v>429</v>
      </c>
      <c r="M513" s="51" t="s">
        <v>736</v>
      </c>
      <c r="N513" s="23" t="s">
        <v>1786</v>
      </c>
      <c r="O513" s="23">
        <v>56</v>
      </c>
      <c r="P513" s="4"/>
      <c r="Q513" s="4"/>
      <c r="R513" s="23"/>
      <c r="S513" s="23"/>
      <c r="T513" s="7">
        <v>2290</v>
      </c>
      <c r="U513" s="7" t="s">
        <v>1381</v>
      </c>
      <c r="V513" s="7">
        <v>958</v>
      </c>
      <c r="W513" s="7" t="s">
        <v>1484</v>
      </c>
      <c r="X513" s="17"/>
      <c r="Y513" s="18"/>
      <c r="Z513" s="18"/>
      <c r="AA513" s="18"/>
      <c r="AB513" s="7" t="s">
        <v>1044</v>
      </c>
      <c r="AC513" s="8"/>
      <c r="AD513" s="8" t="s">
        <v>726</v>
      </c>
      <c r="AE513" s="8"/>
      <c r="AF513" s="8"/>
      <c r="AG513" s="8"/>
      <c r="AH513" s="8"/>
      <c r="AI513" s="8"/>
      <c r="AJ513" s="8"/>
      <c r="AK513" s="8"/>
      <c r="AL513" s="8"/>
      <c r="AM513" s="8" t="s">
        <v>726</v>
      </c>
      <c r="AN513" s="8"/>
      <c r="AO513" s="8"/>
      <c r="AP513" s="8"/>
      <c r="AQ513" s="8"/>
      <c r="AR513" s="8"/>
      <c r="AS513" s="8"/>
      <c r="AT513" s="8"/>
      <c r="AU513" s="8"/>
      <c r="AV513" s="8"/>
      <c r="AX513" s="142">
        <v>92.957746478873233</v>
      </c>
    </row>
    <row r="514" spans="1:50" ht="25.5">
      <c r="A514" s="2" t="s">
        <v>793</v>
      </c>
      <c r="B514" s="27">
        <v>503</v>
      </c>
      <c r="C514" s="55">
        <v>231</v>
      </c>
      <c r="D514" s="55">
        <v>971</v>
      </c>
      <c r="E514" s="131">
        <v>0.57777777777777783</v>
      </c>
      <c r="F514" s="131">
        <v>0.62361111111111112</v>
      </c>
      <c r="G514" s="57" t="s">
        <v>577</v>
      </c>
      <c r="H514" s="31" t="s">
        <v>546</v>
      </c>
      <c r="I514" s="55">
        <v>33</v>
      </c>
      <c r="J514" s="58">
        <v>50</v>
      </c>
      <c r="K514" s="61">
        <v>13</v>
      </c>
      <c r="L514" s="36">
        <f>+K514*I514</f>
        <v>429</v>
      </c>
      <c r="M514" s="51" t="s">
        <v>736</v>
      </c>
      <c r="N514" s="23" t="s">
        <v>1786</v>
      </c>
      <c r="O514" s="23">
        <v>56</v>
      </c>
      <c r="P514" s="4"/>
      <c r="Q514" s="4"/>
      <c r="R514" s="23"/>
      <c r="S514" s="23"/>
      <c r="T514" s="7">
        <v>958</v>
      </c>
      <c r="U514" s="7" t="s">
        <v>1484</v>
      </c>
      <c r="V514" s="7">
        <v>2290</v>
      </c>
      <c r="W514" s="7" t="s">
        <v>1381</v>
      </c>
      <c r="X514" s="17"/>
      <c r="Y514" s="18"/>
      <c r="Z514" s="18"/>
      <c r="AA514" s="18"/>
      <c r="AB514" s="7" t="s">
        <v>1044</v>
      </c>
      <c r="AC514" s="8"/>
      <c r="AD514" s="8" t="s">
        <v>726</v>
      </c>
      <c r="AE514" s="8"/>
      <c r="AF514" s="8"/>
      <c r="AG514" s="8"/>
      <c r="AH514" s="8"/>
      <c r="AI514" s="8"/>
      <c r="AJ514" s="8"/>
      <c r="AK514" s="8"/>
      <c r="AL514" s="8"/>
      <c r="AM514" s="8" t="s">
        <v>726</v>
      </c>
      <c r="AN514" s="8"/>
      <c r="AO514" s="8"/>
      <c r="AP514" s="8"/>
      <c r="AQ514" s="8"/>
      <c r="AR514" s="8"/>
      <c r="AS514" s="8"/>
      <c r="AT514" s="8"/>
      <c r="AU514" s="8"/>
      <c r="AV514" s="8"/>
      <c r="AX514" s="142">
        <v>92.957746478873233</v>
      </c>
    </row>
    <row r="515" spans="1:50" ht="25.5">
      <c r="A515" s="2" t="s">
        <v>794</v>
      </c>
      <c r="B515" s="27">
        <v>504</v>
      </c>
      <c r="C515" s="55">
        <v>231</v>
      </c>
      <c r="D515" s="59">
        <v>978</v>
      </c>
      <c r="E515" s="60">
        <v>0.67013888888888884</v>
      </c>
      <c r="F515" s="60">
        <v>0.71388888888888891</v>
      </c>
      <c r="G515" s="57" t="s">
        <v>576</v>
      </c>
      <c r="H515" s="31" t="s">
        <v>203</v>
      </c>
      <c r="I515" s="55">
        <v>33</v>
      </c>
      <c r="J515" s="58">
        <v>50</v>
      </c>
      <c r="K515" s="35">
        <v>202</v>
      </c>
      <c r="L515" s="36">
        <f>+K515*I515</f>
        <v>6666</v>
      </c>
      <c r="M515" s="37" t="s">
        <v>735</v>
      </c>
      <c r="N515" s="23" t="s">
        <v>960</v>
      </c>
      <c r="O515" s="23">
        <v>54</v>
      </c>
      <c r="P515" s="23" t="s">
        <v>790</v>
      </c>
      <c r="Q515" s="23">
        <v>37</v>
      </c>
      <c r="R515" s="23" t="s">
        <v>1174</v>
      </c>
      <c r="S515" s="23">
        <v>45</v>
      </c>
      <c r="T515" s="7">
        <v>2290</v>
      </c>
      <c r="U515" s="7" t="s">
        <v>1381</v>
      </c>
      <c r="V515" s="7">
        <v>958</v>
      </c>
      <c r="W515" s="7" t="s">
        <v>1484</v>
      </c>
      <c r="X515" s="18"/>
      <c r="Y515" s="17"/>
      <c r="Z515" s="18"/>
      <c r="AA515" s="18"/>
      <c r="AB515" s="7" t="s">
        <v>1048</v>
      </c>
      <c r="AC515" s="8" t="s">
        <v>726</v>
      </c>
      <c r="AD515" s="8"/>
      <c r="AE515" s="8" t="s">
        <v>726</v>
      </c>
      <c r="AF515" s="8"/>
      <c r="AG515" s="8" t="s">
        <v>726</v>
      </c>
      <c r="AH515" s="8" t="s">
        <v>726</v>
      </c>
      <c r="AI515" s="8" t="s">
        <v>726</v>
      </c>
      <c r="AJ515" s="8" t="s">
        <v>726</v>
      </c>
      <c r="AK515" s="8" t="s">
        <v>726</v>
      </c>
      <c r="AL515" s="8"/>
      <c r="AM515" s="8"/>
      <c r="AN515" s="8"/>
      <c r="AO515" s="8"/>
      <c r="AP515" s="8"/>
      <c r="AQ515" s="8"/>
      <c r="AR515" s="8"/>
      <c r="AS515" s="8"/>
      <c r="AT515" s="8"/>
      <c r="AU515" s="8"/>
      <c r="AV515" s="8"/>
      <c r="AX515" s="142">
        <v>99</v>
      </c>
    </row>
    <row r="516" spans="1:50" ht="25.5">
      <c r="A516" s="23" t="s">
        <v>794</v>
      </c>
      <c r="B516" s="27">
        <v>505</v>
      </c>
      <c r="C516" s="55">
        <v>231</v>
      </c>
      <c r="D516" s="55">
        <v>938</v>
      </c>
      <c r="E516" s="60">
        <v>0.7909722222222223</v>
      </c>
      <c r="F516" s="60">
        <v>0.8354166666666667</v>
      </c>
      <c r="G516" s="57" t="s">
        <v>576</v>
      </c>
      <c r="H516" s="31" t="s">
        <v>477</v>
      </c>
      <c r="I516" s="55">
        <v>33</v>
      </c>
      <c r="J516" s="58">
        <v>50</v>
      </c>
      <c r="K516" s="35">
        <v>240</v>
      </c>
      <c r="L516" s="36">
        <f>+K516*I516</f>
        <v>7920</v>
      </c>
      <c r="M516" s="37" t="s">
        <v>735</v>
      </c>
      <c r="N516" s="23" t="s">
        <v>960</v>
      </c>
      <c r="O516" s="23">
        <v>54</v>
      </c>
      <c r="P516" s="23" t="s">
        <v>790</v>
      </c>
      <c r="Q516" s="23">
        <v>37</v>
      </c>
      <c r="R516" s="23" t="s">
        <v>791</v>
      </c>
      <c r="S516" s="23">
        <v>45</v>
      </c>
      <c r="T516" s="7">
        <v>2290</v>
      </c>
      <c r="U516" s="7" t="s">
        <v>1487</v>
      </c>
      <c r="V516" s="7">
        <v>958</v>
      </c>
      <c r="W516" s="7" t="s">
        <v>1488</v>
      </c>
      <c r="X516" s="18"/>
      <c r="Y516" s="17"/>
      <c r="Z516" s="18"/>
      <c r="AA516" s="18"/>
      <c r="AB516" s="7" t="s">
        <v>1052</v>
      </c>
      <c r="AC516" s="7" t="s">
        <v>726</v>
      </c>
      <c r="AD516" s="7"/>
      <c r="AE516" s="7" t="s">
        <v>726</v>
      </c>
      <c r="AF516" s="7"/>
      <c r="AG516" s="7" t="s">
        <v>726</v>
      </c>
      <c r="AH516" s="7" t="s">
        <v>726</v>
      </c>
      <c r="AI516" s="7" t="s">
        <v>726</v>
      </c>
      <c r="AJ516" s="7" t="s">
        <v>726</v>
      </c>
      <c r="AK516" s="7" t="s">
        <v>726</v>
      </c>
      <c r="AL516" s="7" t="s">
        <v>726</v>
      </c>
      <c r="AM516" s="7"/>
      <c r="AN516" s="7"/>
      <c r="AO516" s="7"/>
      <c r="AP516" s="7"/>
      <c r="AQ516" s="7"/>
      <c r="AR516" s="7"/>
      <c r="AS516" s="7"/>
      <c r="AT516" s="7"/>
      <c r="AU516" s="7"/>
      <c r="AV516" s="7"/>
      <c r="AX516" s="142">
        <v>99</v>
      </c>
    </row>
    <row r="517" spans="1:50" ht="25.5">
      <c r="A517" s="2" t="s">
        <v>794</v>
      </c>
      <c r="B517" s="27">
        <v>506</v>
      </c>
      <c r="C517" s="55">
        <v>231</v>
      </c>
      <c r="D517" s="59">
        <v>261</v>
      </c>
      <c r="E517" s="56">
        <v>0.74444444444444446</v>
      </c>
      <c r="F517" s="60">
        <v>0.78888888888888886</v>
      </c>
      <c r="G517" s="57" t="s">
        <v>577</v>
      </c>
      <c r="H517" s="31" t="s">
        <v>203</v>
      </c>
      <c r="I517" s="55">
        <v>33</v>
      </c>
      <c r="J517" s="58">
        <v>50</v>
      </c>
      <c r="K517" s="35">
        <v>202</v>
      </c>
      <c r="L517" s="36">
        <f>+K517*I517</f>
        <v>6666</v>
      </c>
      <c r="M517" s="37" t="s">
        <v>735</v>
      </c>
      <c r="N517" s="23" t="s">
        <v>960</v>
      </c>
      <c r="O517" s="23">
        <v>54</v>
      </c>
      <c r="P517" s="23" t="s">
        <v>790</v>
      </c>
      <c r="Q517" s="23">
        <v>37</v>
      </c>
      <c r="R517" s="23" t="s">
        <v>1174</v>
      </c>
      <c r="S517" s="23">
        <v>45</v>
      </c>
      <c r="T517" s="7">
        <v>958</v>
      </c>
      <c r="U517" s="7" t="s">
        <v>1484</v>
      </c>
      <c r="V517" s="7">
        <v>2290</v>
      </c>
      <c r="W517" s="7" t="s">
        <v>1381</v>
      </c>
      <c r="X517" s="18"/>
      <c r="Y517" s="17"/>
      <c r="Z517" s="18"/>
      <c r="AA517" s="18"/>
      <c r="AB517" s="7" t="s">
        <v>1048</v>
      </c>
      <c r="AC517" s="8" t="s">
        <v>726</v>
      </c>
      <c r="AD517" s="8"/>
      <c r="AE517" s="8" t="s">
        <v>726</v>
      </c>
      <c r="AF517" s="8"/>
      <c r="AG517" s="8" t="s">
        <v>726</v>
      </c>
      <c r="AH517" s="8" t="s">
        <v>726</v>
      </c>
      <c r="AI517" s="8" t="s">
        <v>726</v>
      </c>
      <c r="AJ517" s="8" t="s">
        <v>726</v>
      </c>
      <c r="AK517" s="8" t="s">
        <v>726</v>
      </c>
      <c r="AL517" s="8"/>
      <c r="AM517" s="8"/>
      <c r="AN517" s="8"/>
      <c r="AO517" s="8"/>
      <c r="AP517" s="8"/>
      <c r="AQ517" s="8"/>
      <c r="AR517" s="8"/>
      <c r="AS517" s="8"/>
      <c r="AT517" s="8"/>
      <c r="AU517" s="8"/>
      <c r="AV517" s="8"/>
      <c r="AX517" s="142">
        <v>99</v>
      </c>
    </row>
    <row r="518" spans="1:50" ht="22.5">
      <c r="A518" s="45" t="s">
        <v>1104</v>
      </c>
      <c r="B518" s="27">
        <v>507</v>
      </c>
      <c r="C518" s="55">
        <v>231</v>
      </c>
      <c r="D518" s="59">
        <v>293</v>
      </c>
      <c r="E518" s="56">
        <v>0.82777777777777783</v>
      </c>
      <c r="F518" s="60">
        <v>0.87222222222222223</v>
      </c>
      <c r="G518" s="57" t="s">
        <v>577</v>
      </c>
      <c r="H518" s="67" t="s">
        <v>1006</v>
      </c>
      <c r="I518" s="55">
        <v>33</v>
      </c>
      <c r="J518" s="58">
        <v>50</v>
      </c>
      <c r="K518" s="46">
        <v>45</v>
      </c>
      <c r="L518" s="36">
        <f>+K518*I518</f>
        <v>1485</v>
      </c>
      <c r="M518" s="37" t="s">
        <v>735</v>
      </c>
      <c r="N518" s="23" t="s">
        <v>790</v>
      </c>
      <c r="O518" s="23">
        <v>37</v>
      </c>
      <c r="P518" s="23" t="s">
        <v>960</v>
      </c>
      <c r="Q518" s="23">
        <v>54</v>
      </c>
      <c r="R518" s="23" t="s">
        <v>791</v>
      </c>
      <c r="S518" s="23">
        <v>45</v>
      </c>
      <c r="T518" s="7">
        <v>958</v>
      </c>
      <c r="U518" s="7" t="s">
        <v>1484</v>
      </c>
      <c r="V518" s="7">
        <v>2290</v>
      </c>
      <c r="W518" s="7" t="s">
        <v>1381</v>
      </c>
      <c r="X518" s="18"/>
      <c r="Y518" s="17"/>
      <c r="Z518" s="18"/>
      <c r="AA518" s="18"/>
      <c r="AB518" s="7" t="s">
        <v>1043</v>
      </c>
      <c r="AC518" s="8" t="s">
        <v>726</v>
      </c>
      <c r="AD518" s="8"/>
      <c r="AE518" s="8"/>
      <c r="AF518" s="8"/>
      <c r="AG518" s="8"/>
      <c r="AH518" s="8"/>
      <c r="AI518" s="8"/>
      <c r="AJ518" s="8"/>
      <c r="AK518" s="8"/>
      <c r="AL518" s="8"/>
      <c r="AM518" s="8" t="s">
        <v>726</v>
      </c>
      <c r="AN518" s="8"/>
      <c r="AO518" s="8"/>
      <c r="AP518" s="8"/>
      <c r="AQ518" s="8"/>
      <c r="AR518" s="8"/>
      <c r="AS518" s="8"/>
      <c r="AT518" s="8"/>
      <c r="AU518" s="8"/>
      <c r="AV518" s="8"/>
      <c r="AX518" s="142">
        <v>158.53</v>
      </c>
    </row>
    <row r="519" spans="1:50" ht="25.5">
      <c r="B519" s="27">
        <v>508</v>
      </c>
      <c r="C519" s="43">
        <v>236</v>
      </c>
      <c r="D519" s="31">
        <v>471</v>
      </c>
      <c r="E519" s="32">
        <v>0.38541666666666669</v>
      </c>
      <c r="F519" s="32">
        <v>0.39374999999999999</v>
      </c>
      <c r="G519" s="31" t="s">
        <v>212</v>
      </c>
      <c r="H519" s="31" t="s">
        <v>155</v>
      </c>
      <c r="I519" s="33">
        <v>8.1999999999999993</v>
      </c>
      <c r="J519" s="34" t="s">
        <v>93</v>
      </c>
      <c r="K519" s="35">
        <v>252</v>
      </c>
      <c r="L519" s="36">
        <f>+K519*I519</f>
        <v>2066.3999999999996</v>
      </c>
      <c r="M519" s="37" t="s">
        <v>718</v>
      </c>
      <c r="N519" s="23" t="s">
        <v>925</v>
      </c>
      <c r="O519" s="23">
        <v>21</v>
      </c>
      <c r="P519" s="23" t="s">
        <v>926</v>
      </c>
      <c r="Q519" s="23">
        <v>24</v>
      </c>
      <c r="R519" s="79" t="s">
        <v>1983</v>
      </c>
      <c r="S519" s="79">
        <v>21</v>
      </c>
      <c r="T519" s="7">
        <v>2021</v>
      </c>
      <c r="U519" s="7" t="s">
        <v>1410</v>
      </c>
      <c r="V519" s="7" t="s">
        <v>1489</v>
      </c>
      <c r="W519" s="7" t="s">
        <v>1490</v>
      </c>
      <c r="X519" s="17"/>
      <c r="Y519" s="17"/>
      <c r="Z519" s="17"/>
      <c r="AA519" s="17"/>
      <c r="AB519" s="7" t="s">
        <v>1041</v>
      </c>
      <c r="AC519" s="8" t="s">
        <v>726</v>
      </c>
      <c r="AD519" s="8" t="s">
        <v>726</v>
      </c>
      <c r="AE519" s="8" t="s">
        <v>726</v>
      </c>
      <c r="AF519" s="8"/>
      <c r="AG519" s="8" t="s">
        <v>726</v>
      </c>
      <c r="AH519" s="8" t="s">
        <v>726</v>
      </c>
      <c r="AI519" s="8" t="s">
        <v>726</v>
      </c>
      <c r="AJ519" s="8" t="s">
        <v>726</v>
      </c>
      <c r="AK519" s="8" t="s">
        <v>726</v>
      </c>
      <c r="AL519" s="8"/>
      <c r="AM519" s="8"/>
      <c r="AN519" s="8"/>
      <c r="AO519" s="8"/>
      <c r="AP519" s="8"/>
      <c r="AQ519" s="8"/>
      <c r="AR519" s="8"/>
      <c r="AS519" s="8"/>
      <c r="AT519" s="8"/>
      <c r="AU519" s="8"/>
      <c r="AV519" s="8"/>
      <c r="AX519" s="142">
        <v>16.399999999999999</v>
      </c>
    </row>
    <row r="520" spans="1:50" ht="25.5">
      <c r="B520" s="27">
        <v>509</v>
      </c>
      <c r="C520" s="118">
        <v>206</v>
      </c>
      <c r="D520" s="31">
        <v>470</v>
      </c>
      <c r="E520" s="123">
        <v>0.40972222222222227</v>
      </c>
      <c r="F520" s="123">
        <v>0.42986111111111108</v>
      </c>
      <c r="G520" s="31" t="s">
        <v>211</v>
      </c>
      <c r="H520" s="31" t="s">
        <v>155</v>
      </c>
      <c r="I520" s="33">
        <v>16</v>
      </c>
      <c r="J520" s="34" t="s">
        <v>93</v>
      </c>
      <c r="K520" s="35">
        <v>252</v>
      </c>
      <c r="L520" s="36">
        <f>+K520*I520</f>
        <v>4032</v>
      </c>
      <c r="M520" s="37" t="s">
        <v>718</v>
      </c>
      <c r="N520" s="23" t="s">
        <v>925</v>
      </c>
      <c r="O520" s="23">
        <v>21</v>
      </c>
      <c r="P520" s="23" t="s">
        <v>926</v>
      </c>
      <c r="Q520" s="23">
        <v>24</v>
      </c>
      <c r="S520" s="23"/>
      <c r="T520" s="7" t="s">
        <v>1489</v>
      </c>
      <c r="U520" s="7" t="s">
        <v>1491</v>
      </c>
      <c r="V520" s="7" t="s">
        <v>1260</v>
      </c>
      <c r="W520" s="7" t="s">
        <v>1261</v>
      </c>
      <c r="X520" s="17"/>
      <c r="Y520" s="17"/>
      <c r="Z520" s="17"/>
      <c r="AA520" s="17"/>
      <c r="AB520" s="7" t="s">
        <v>1041</v>
      </c>
      <c r="AC520" s="8" t="s">
        <v>726</v>
      </c>
      <c r="AD520" s="8" t="s">
        <v>726</v>
      </c>
      <c r="AE520" s="8" t="s">
        <v>726</v>
      </c>
      <c r="AF520" s="8"/>
      <c r="AG520" s="8" t="s">
        <v>726</v>
      </c>
      <c r="AH520" s="8" t="s">
        <v>726</v>
      </c>
      <c r="AI520" s="8" t="s">
        <v>726</v>
      </c>
      <c r="AJ520" s="8" t="s">
        <v>726</v>
      </c>
      <c r="AK520" s="8" t="s">
        <v>726</v>
      </c>
      <c r="AL520" s="8"/>
      <c r="AM520" s="8"/>
      <c r="AN520" s="8"/>
      <c r="AO520" s="8"/>
      <c r="AP520" s="8"/>
      <c r="AQ520" s="8"/>
      <c r="AR520" s="8"/>
      <c r="AS520" s="8"/>
      <c r="AT520" s="8"/>
      <c r="AU520" s="8"/>
      <c r="AV520" s="8"/>
      <c r="AX520" s="142">
        <v>32</v>
      </c>
    </row>
    <row r="521" spans="1:50" ht="25.5">
      <c r="B521" s="27">
        <v>510</v>
      </c>
      <c r="C521" s="43">
        <v>236</v>
      </c>
      <c r="D521" s="31">
        <v>473</v>
      </c>
      <c r="E521" s="42">
        <v>0.43402777777777773</v>
      </c>
      <c r="F521" s="42">
        <v>0.45208333333333334</v>
      </c>
      <c r="G521" s="31" t="s">
        <v>209</v>
      </c>
      <c r="H521" s="31" t="s">
        <v>155</v>
      </c>
      <c r="I521" s="33">
        <v>16</v>
      </c>
      <c r="J521" s="34" t="s">
        <v>93</v>
      </c>
      <c r="K521" s="35">
        <v>252</v>
      </c>
      <c r="L521" s="36">
        <f>+K521*I521</f>
        <v>4032</v>
      </c>
      <c r="M521" s="37" t="s">
        <v>718</v>
      </c>
      <c r="N521" s="23" t="s">
        <v>925</v>
      </c>
      <c r="O521" s="23">
        <v>21</v>
      </c>
      <c r="P521" s="23" t="s">
        <v>924</v>
      </c>
      <c r="Q521" s="23">
        <v>37</v>
      </c>
      <c r="R521" s="23"/>
      <c r="S521" s="23"/>
      <c r="T521" s="7" t="s">
        <v>1260</v>
      </c>
      <c r="U521" s="7" t="s">
        <v>1261</v>
      </c>
      <c r="V521" s="7" t="s">
        <v>1489</v>
      </c>
      <c r="W521" s="7" t="s">
        <v>1490</v>
      </c>
      <c r="X521" s="17"/>
      <c r="Y521" s="17"/>
      <c r="Z521" s="17"/>
      <c r="AA521" s="17"/>
      <c r="AB521" s="7" t="s">
        <v>1041</v>
      </c>
      <c r="AC521" s="8" t="s">
        <v>726</v>
      </c>
      <c r="AD521" s="8" t="s">
        <v>726</v>
      </c>
      <c r="AE521" s="8" t="s">
        <v>726</v>
      </c>
      <c r="AF521" s="8"/>
      <c r="AG521" s="8" t="s">
        <v>726</v>
      </c>
      <c r="AH521" s="8" t="s">
        <v>726</v>
      </c>
      <c r="AI521" s="8" t="s">
        <v>726</v>
      </c>
      <c r="AJ521" s="8" t="s">
        <v>726</v>
      </c>
      <c r="AK521" s="8" t="s">
        <v>726</v>
      </c>
      <c r="AL521" s="8"/>
      <c r="AM521" s="8"/>
      <c r="AN521" s="8"/>
      <c r="AO521" s="8"/>
      <c r="AP521" s="8"/>
      <c r="AQ521" s="8"/>
      <c r="AR521" s="8"/>
      <c r="AS521" s="8"/>
      <c r="AT521" s="8"/>
      <c r="AU521" s="8"/>
      <c r="AV521" s="8"/>
      <c r="AX521" s="142">
        <v>32</v>
      </c>
    </row>
    <row r="522" spans="1:50" ht="25.5">
      <c r="B522" s="27">
        <v>511</v>
      </c>
      <c r="C522" s="118">
        <v>206</v>
      </c>
      <c r="D522" s="31">
        <v>472</v>
      </c>
      <c r="E522" s="123">
        <v>0.46597222222222223</v>
      </c>
      <c r="F522" s="123">
        <v>0.4861111111111111</v>
      </c>
      <c r="G522" s="31" t="s">
        <v>211</v>
      </c>
      <c r="H522" s="31" t="s">
        <v>155</v>
      </c>
      <c r="I522" s="33">
        <v>16</v>
      </c>
      <c r="J522" s="34" t="s">
        <v>93</v>
      </c>
      <c r="K522" s="35">
        <v>252</v>
      </c>
      <c r="L522" s="36">
        <f>+K522*I522</f>
        <v>4032</v>
      </c>
      <c r="M522" s="37" t="s">
        <v>718</v>
      </c>
      <c r="N522" s="23" t="s">
        <v>925</v>
      </c>
      <c r="O522" s="23">
        <v>21</v>
      </c>
      <c r="P522" s="23" t="s">
        <v>924</v>
      </c>
      <c r="Q522" s="23">
        <v>37</v>
      </c>
      <c r="R522" s="23" t="s">
        <v>1175</v>
      </c>
      <c r="S522" s="24">
        <v>23</v>
      </c>
      <c r="T522" s="7" t="s">
        <v>1489</v>
      </c>
      <c r="U522" s="7" t="s">
        <v>1491</v>
      </c>
      <c r="V522" s="7" t="s">
        <v>1260</v>
      </c>
      <c r="W522" s="7" t="s">
        <v>1261</v>
      </c>
      <c r="X522" s="17"/>
      <c r="Y522" s="17"/>
      <c r="Z522" s="17"/>
      <c r="AA522" s="17"/>
      <c r="AB522" s="7" t="s">
        <v>1041</v>
      </c>
      <c r="AC522" s="8" t="s">
        <v>726</v>
      </c>
      <c r="AD522" s="8" t="s">
        <v>726</v>
      </c>
      <c r="AE522" s="8" t="s">
        <v>726</v>
      </c>
      <c r="AF522" s="8"/>
      <c r="AG522" s="8" t="s">
        <v>726</v>
      </c>
      <c r="AH522" s="8" t="s">
        <v>726</v>
      </c>
      <c r="AI522" s="8" t="s">
        <v>726</v>
      </c>
      <c r="AJ522" s="8" t="s">
        <v>726</v>
      </c>
      <c r="AK522" s="8" t="s">
        <v>726</v>
      </c>
      <c r="AL522" s="8"/>
      <c r="AM522" s="8"/>
      <c r="AN522" s="8"/>
      <c r="AO522" s="8"/>
      <c r="AP522" s="8"/>
      <c r="AQ522" s="8"/>
      <c r="AR522" s="8"/>
      <c r="AS522" s="8"/>
      <c r="AT522" s="8"/>
      <c r="AU522" s="8"/>
      <c r="AV522" s="8"/>
      <c r="AX522" s="142">
        <v>32</v>
      </c>
    </row>
    <row r="523" spans="1:50" ht="25.5">
      <c r="B523" s="27">
        <v>512</v>
      </c>
      <c r="C523" s="43">
        <v>236</v>
      </c>
      <c r="D523" s="31">
        <v>475</v>
      </c>
      <c r="E523" s="42">
        <v>0.49027777777777781</v>
      </c>
      <c r="F523" s="42">
        <v>0.5083333333333333</v>
      </c>
      <c r="G523" s="31" t="s">
        <v>209</v>
      </c>
      <c r="H523" s="31" t="s">
        <v>155</v>
      </c>
      <c r="I523" s="33">
        <v>16</v>
      </c>
      <c r="J523" s="34" t="s">
        <v>93</v>
      </c>
      <c r="K523" s="35">
        <v>252</v>
      </c>
      <c r="L523" s="36">
        <f>+K523*I523</f>
        <v>4032</v>
      </c>
      <c r="M523" s="37" t="s">
        <v>718</v>
      </c>
      <c r="N523" s="23" t="s">
        <v>925</v>
      </c>
      <c r="O523" s="23">
        <v>21</v>
      </c>
      <c r="P523" s="79" t="s">
        <v>1983</v>
      </c>
      <c r="Q523" s="79">
        <v>21</v>
      </c>
      <c r="R523" s="23" t="s">
        <v>926</v>
      </c>
      <c r="S523" s="24">
        <v>24</v>
      </c>
      <c r="T523" s="7" t="s">
        <v>1260</v>
      </c>
      <c r="U523" s="7" t="s">
        <v>1261</v>
      </c>
      <c r="V523" s="7" t="s">
        <v>1489</v>
      </c>
      <c r="W523" s="7" t="s">
        <v>1490</v>
      </c>
      <c r="X523" s="17"/>
      <c r="Y523" s="17"/>
      <c r="Z523" s="17"/>
      <c r="AA523" s="17"/>
      <c r="AB523" s="7" t="s">
        <v>1041</v>
      </c>
      <c r="AC523" s="8" t="s">
        <v>726</v>
      </c>
      <c r="AD523" s="8" t="s">
        <v>726</v>
      </c>
      <c r="AE523" s="8" t="s">
        <v>726</v>
      </c>
      <c r="AF523" s="8"/>
      <c r="AG523" s="8" t="s">
        <v>726</v>
      </c>
      <c r="AH523" s="8" t="s">
        <v>726</v>
      </c>
      <c r="AI523" s="8" t="s">
        <v>726</v>
      </c>
      <c r="AJ523" s="8" t="s">
        <v>726</v>
      </c>
      <c r="AK523" s="8" t="s">
        <v>726</v>
      </c>
      <c r="AL523" s="8"/>
      <c r="AM523" s="8"/>
      <c r="AN523" s="8"/>
      <c r="AO523" s="8"/>
      <c r="AP523" s="8"/>
      <c r="AQ523" s="8"/>
      <c r="AR523" s="8"/>
      <c r="AS523" s="8"/>
      <c r="AT523" s="8"/>
      <c r="AU523" s="8"/>
      <c r="AV523" s="8"/>
      <c r="AX523" s="142">
        <v>32</v>
      </c>
    </row>
    <row r="524" spans="1:50" ht="25.5">
      <c r="B524" s="27">
        <v>513</v>
      </c>
      <c r="C524" s="43">
        <v>236</v>
      </c>
      <c r="D524" s="31">
        <v>477</v>
      </c>
      <c r="E524" s="42">
        <v>0.61527777777777781</v>
      </c>
      <c r="F524" s="42">
        <v>0.6333333333333333</v>
      </c>
      <c r="G524" s="31" t="s">
        <v>209</v>
      </c>
      <c r="H524" s="31" t="s">
        <v>155</v>
      </c>
      <c r="I524" s="33">
        <v>16</v>
      </c>
      <c r="J524" s="34" t="s">
        <v>93</v>
      </c>
      <c r="K524" s="35">
        <v>252</v>
      </c>
      <c r="L524" s="36">
        <f>+K524*I524</f>
        <v>4032</v>
      </c>
      <c r="M524" s="37" t="s">
        <v>718</v>
      </c>
      <c r="N524" s="23" t="s">
        <v>926</v>
      </c>
      <c r="O524" s="23">
        <v>24</v>
      </c>
      <c r="P524" s="23" t="s">
        <v>925</v>
      </c>
      <c r="Q524" s="23">
        <v>21</v>
      </c>
      <c r="R524" s="79" t="s">
        <v>1983</v>
      </c>
      <c r="S524" s="79">
        <v>21</v>
      </c>
      <c r="T524" s="7" t="s">
        <v>1260</v>
      </c>
      <c r="U524" s="7" t="s">
        <v>1261</v>
      </c>
      <c r="V524" s="7" t="s">
        <v>1489</v>
      </c>
      <c r="W524" s="7" t="s">
        <v>1490</v>
      </c>
      <c r="X524" s="17"/>
      <c r="Y524" s="17"/>
      <c r="Z524" s="17"/>
      <c r="AA524" s="17"/>
      <c r="AB524" s="7" t="s">
        <v>1041</v>
      </c>
      <c r="AC524" s="8" t="s">
        <v>726</v>
      </c>
      <c r="AD524" s="8" t="s">
        <v>726</v>
      </c>
      <c r="AE524" s="8" t="s">
        <v>726</v>
      </c>
      <c r="AF524" s="8"/>
      <c r="AG524" s="8" t="s">
        <v>726</v>
      </c>
      <c r="AH524" s="8" t="s">
        <v>726</v>
      </c>
      <c r="AI524" s="8" t="s">
        <v>726</v>
      </c>
      <c r="AJ524" s="8" t="s">
        <v>726</v>
      </c>
      <c r="AK524" s="8" t="s">
        <v>726</v>
      </c>
      <c r="AL524" s="8"/>
      <c r="AM524" s="8"/>
      <c r="AN524" s="8"/>
      <c r="AO524" s="8"/>
      <c r="AP524" s="8"/>
      <c r="AQ524" s="8"/>
      <c r="AR524" s="8"/>
      <c r="AS524" s="8"/>
      <c r="AT524" s="8"/>
      <c r="AU524" s="8"/>
      <c r="AV524" s="8"/>
      <c r="AX524" s="142">
        <v>32</v>
      </c>
    </row>
    <row r="525" spans="1:50" ht="25.5">
      <c r="B525" s="27">
        <v>514</v>
      </c>
      <c r="C525" s="43">
        <v>236</v>
      </c>
      <c r="D525" s="31">
        <v>474</v>
      </c>
      <c r="E525" s="42">
        <v>0.64930555555555558</v>
      </c>
      <c r="F525" s="42">
        <v>0.6694444444444444</v>
      </c>
      <c r="G525" s="31" t="s">
        <v>211</v>
      </c>
      <c r="H525" s="31" t="s">
        <v>155</v>
      </c>
      <c r="I525" s="33">
        <v>16</v>
      </c>
      <c r="J525" s="34" t="s">
        <v>99</v>
      </c>
      <c r="K525" s="35">
        <v>252</v>
      </c>
      <c r="L525" s="36">
        <f>+K525*I525</f>
        <v>4032</v>
      </c>
      <c r="M525" s="37" t="s">
        <v>718</v>
      </c>
      <c r="N525" s="23" t="s">
        <v>925</v>
      </c>
      <c r="O525" s="23">
        <v>21</v>
      </c>
      <c r="P525" s="23" t="s">
        <v>926</v>
      </c>
      <c r="Q525" s="23">
        <v>24</v>
      </c>
      <c r="R525" s="23" t="s">
        <v>923</v>
      </c>
      <c r="S525" s="24">
        <v>23</v>
      </c>
      <c r="T525" s="7" t="s">
        <v>1489</v>
      </c>
      <c r="U525" s="7" t="s">
        <v>1491</v>
      </c>
      <c r="V525" s="7" t="s">
        <v>1260</v>
      </c>
      <c r="W525" s="7" t="s">
        <v>1261</v>
      </c>
      <c r="X525" s="17"/>
      <c r="Y525" s="17"/>
      <c r="Z525" s="17"/>
      <c r="AA525" s="17"/>
      <c r="AB525" s="7" t="s">
        <v>1041</v>
      </c>
      <c r="AC525" s="8" t="s">
        <v>726</v>
      </c>
      <c r="AD525" s="8" t="s">
        <v>726</v>
      </c>
      <c r="AE525" s="8" t="s">
        <v>726</v>
      </c>
      <c r="AF525" s="8"/>
      <c r="AG525" s="8" t="s">
        <v>726</v>
      </c>
      <c r="AH525" s="8" t="s">
        <v>726</v>
      </c>
      <c r="AI525" s="8" t="s">
        <v>726</v>
      </c>
      <c r="AJ525" s="8" t="s">
        <v>726</v>
      </c>
      <c r="AK525" s="8" t="s">
        <v>726</v>
      </c>
      <c r="AL525" s="8"/>
      <c r="AM525" s="8"/>
      <c r="AN525" s="8"/>
      <c r="AO525" s="8"/>
      <c r="AP525" s="8"/>
      <c r="AQ525" s="8"/>
      <c r="AR525" s="8"/>
      <c r="AS525" s="8"/>
      <c r="AT525" s="8"/>
      <c r="AU525" s="8"/>
      <c r="AV525" s="8"/>
      <c r="AX525" s="142">
        <v>32</v>
      </c>
    </row>
    <row r="526" spans="1:50" ht="25.5">
      <c r="B526" s="27">
        <v>515</v>
      </c>
      <c r="C526" s="43">
        <v>236</v>
      </c>
      <c r="D526" s="31">
        <v>479</v>
      </c>
      <c r="E526" s="32">
        <v>0.71875</v>
      </c>
      <c r="F526" s="32">
        <v>0.7368055555555556</v>
      </c>
      <c r="G526" s="31" t="s">
        <v>209</v>
      </c>
      <c r="H526" s="31" t="s">
        <v>155</v>
      </c>
      <c r="I526" s="33">
        <v>16</v>
      </c>
      <c r="J526" s="34" t="s">
        <v>93</v>
      </c>
      <c r="K526" s="35">
        <v>252</v>
      </c>
      <c r="L526" s="36">
        <f>+K526*I526</f>
        <v>4032</v>
      </c>
      <c r="M526" s="37" t="s">
        <v>718</v>
      </c>
      <c r="N526" s="23" t="s">
        <v>926</v>
      </c>
      <c r="O526" s="23">
        <v>24</v>
      </c>
      <c r="P526" s="23" t="s">
        <v>925</v>
      </c>
      <c r="Q526" s="23">
        <v>21</v>
      </c>
      <c r="R526" s="79" t="s">
        <v>1983</v>
      </c>
      <c r="S526" s="79">
        <v>21</v>
      </c>
      <c r="T526" s="7" t="s">
        <v>1260</v>
      </c>
      <c r="U526" s="7" t="s">
        <v>1261</v>
      </c>
      <c r="V526" s="7" t="s">
        <v>1489</v>
      </c>
      <c r="W526" s="7" t="s">
        <v>1490</v>
      </c>
      <c r="X526" s="17"/>
      <c r="Y526" s="17"/>
      <c r="Z526" s="17"/>
      <c r="AA526" s="17"/>
      <c r="AB526" s="7" t="s">
        <v>1041</v>
      </c>
      <c r="AC526" s="8" t="s">
        <v>726</v>
      </c>
      <c r="AD526" s="8" t="s">
        <v>726</v>
      </c>
      <c r="AE526" s="8" t="s">
        <v>726</v>
      </c>
      <c r="AF526" s="8"/>
      <c r="AG526" s="8" t="s">
        <v>726</v>
      </c>
      <c r="AH526" s="8" t="s">
        <v>726</v>
      </c>
      <c r="AI526" s="8" t="s">
        <v>726</v>
      </c>
      <c r="AJ526" s="8" t="s">
        <v>726</v>
      </c>
      <c r="AK526" s="8" t="s">
        <v>726</v>
      </c>
      <c r="AL526" s="8"/>
      <c r="AM526" s="8"/>
      <c r="AN526" s="8"/>
      <c r="AO526" s="8"/>
      <c r="AP526" s="8"/>
      <c r="AQ526" s="8"/>
      <c r="AR526" s="8"/>
      <c r="AS526" s="8"/>
      <c r="AT526" s="8"/>
      <c r="AU526" s="8"/>
      <c r="AV526" s="8"/>
      <c r="AX526" s="142">
        <v>32</v>
      </c>
    </row>
    <row r="527" spans="1:50" ht="25.5">
      <c r="B527" s="27">
        <v>516</v>
      </c>
      <c r="C527" s="118">
        <v>206</v>
      </c>
      <c r="D527" s="31">
        <v>476</v>
      </c>
      <c r="E527" s="123">
        <v>0.75694444444444453</v>
      </c>
      <c r="F527" s="123">
        <v>0.77708333333333324</v>
      </c>
      <c r="G527" s="31" t="s">
        <v>208</v>
      </c>
      <c r="H527" s="31" t="s">
        <v>155</v>
      </c>
      <c r="I527" s="33">
        <v>16</v>
      </c>
      <c r="J527" s="34" t="s">
        <v>93</v>
      </c>
      <c r="K527" s="35">
        <v>252</v>
      </c>
      <c r="L527" s="36">
        <f>+K527*I527</f>
        <v>4032</v>
      </c>
      <c r="M527" s="37" t="s">
        <v>718</v>
      </c>
      <c r="N527" s="23" t="s">
        <v>926</v>
      </c>
      <c r="O527" s="23">
        <v>24</v>
      </c>
      <c r="P527" s="23" t="s">
        <v>925</v>
      </c>
      <c r="Q527" s="23">
        <v>21</v>
      </c>
      <c r="R527" s="79" t="s">
        <v>1983</v>
      </c>
      <c r="S527" s="79">
        <v>21</v>
      </c>
      <c r="T527" s="7" t="s">
        <v>1489</v>
      </c>
      <c r="U527" s="7" t="s">
        <v>1491</v>
      </c>
      <c r="V527" s="7" t="s">
        <v>1260</v>
      </c>
      <c r="W527" s="7" t="s">
        <v>1261</v>
      </c>
      <c r="X527" s="17"/>
      <c r="Y527" s="17"/>
      <c r="Z527" s="17"/>
      <c r="AA527" s="17"/>
      <c r="AB527" s="7" t="s">
        <v>1041</v>
      </c>
      <c r="AC527" s="8" t="s">
        <v>726</v>
      </c>
      <c r="AD527" s="8" t="s">
        <v>726</v>
      </c>
      <c r="AE527" s="8" t="s">
        <v>726</v>
      </c>
      <c r="AF527" s="8"/>
      <c r="AG527" s="8" t="s">
        <v>726</v>
      </c>
      <c r="AH527" s="8" t="s">
        <v>726</v>
      </c>
      <c r="AI527" s="8" t="s">
        <v>726</v>
      </c>
      <c r="AJ527" s="8" t="s">
        <v>726</v>
      </c>
      <c r="AK527" s="8" t="s">
        <v>726</v>
      </c>
      <c r="AL527" s="8"/>
      <c r="AM527" s="8"/>
      <c r="AN527" s="8"/>
      <c r="AO527" s="8"/>
      <c r="AP527" s="8"/>
      <c r="AQ527" s="8"/>
      <c r="AR527" s="8"/>
      <c r="AS527" s="8"/>
      <c r="AT527" s="8"/>
      <c r="AU527" s="8"/>
      <c r="AV527" s="8"/>
      <c r="AX527" s="142">
        <v>32</v>
      </c>
    </row>
    <row r="528" spans="1:50" ht="33.75">
      <c r="B528" s="27">
        <v>517</v>
      </c>
      <c r="C528" s="38">
        <v>301</v>
      </c>
      <c r="D528" s="38">
        <v>169</v>
      </c>
      <c r="E528" s="39">
        <v>0.21319444444444444</v>
      </c>
      <c r="F528" s="39">
        <v>0.24513888888888888</v>
      </c>
      <c r="G528" s="40" t="s">
        <v>11</v>
      </c>
      <c r="H528" s="31" t="s">
        <v>103</v>
      </c>
      <c r="I528" s="38">
        <v>28</v>
      </c>
      <c r="J528" s="41">
        <v>30</v>
      </c>
      <c r="K528" s="35">
        <v>174</v>
      </c>
      <c r="L528" s="36">
        <f>+K528*I528</f>
        <v>4872</v>
      </c>
      <c r="M528" s="37" t="s">
        <v>748</v>
      </c>
      <c r="N528" s="23" t="s">
        <v>836</v>
      </c>
      <c r="O528" s="23">
        <v>31</v>
      </c>
      <c r="P528" s="23" t="s">
        <v>1180</v>
      </c>
      <c r="Q528" s="23">
        <v>29</v>
      </c>
      <c r="R528" s="23"/>
      <c r="S528" s="23"/>
      <c r="T528" s="7" t="s">
        <v>1492</v>
      </c>
      <c r="U528" s="7" t="s">
        <v>1493</v>
      </c>
      <c r="V528" s="7">
        <v>1</v>
      </c>
      <c r="W528" s="7" t="s">
        <v>1236</v>
      </c>
      <c r="X528" s="18"/>
      <c r="Y528" s="17"/>
      <c r="Z528" s="17"/>
      <c r="AA528" s="17"/>
      <c r="AB528" s="7" t="s">
        <v>1042</v>
      </c>
      <c r="AC528" s="8"/>
      <c r="AD528" s="8"/>
      <c r="AE528" s="8"/>
      <c r="AF528" s="8" t="s">
        <v>726</v>
      </c>
      <c r="AG528" s="8" t="s">
        <v>726</v>
      </c>
      <c r="AH528" s="8" t="s">
        <v>726</v>
      </c>
      <c r="AI528" s="8" t="s">
        <v>726</v>
      </c>
      <c r="AJ528" s="8" t="s">
        <v>726</v>
      </c>
      <c r="AK528" s="8" t="s">
        <v>726</v>
      </c>
      <c r="AL528" s="8"/>
      <c r="AM528" s="8"/>
      <c r="AN528" s="8"/>
      <c r="AO528" s="8"/>
      <c r="AP528" s="8"/>
      <c r="AQ528" s="8"/>
      <c r="AR528" s="8"/>
      <c r="AS528" s="8"/>
      <c r="AT528" s="8"/>
      <c r="AU528" s="8"/>
      <c r="AV528" s="8"/>
      <c r="AX528" s="142">
        <v>82.5</v>
      </c>
    </row>
    <row r="529" spans="1:50" ht="33.75">
      <c r="B529" s="27">
        <v>518</v>
      </c>
      <c r="C529" s="38">
        <v>301</v>
      </c>
      <c r="D529" s="38">
        <v>354</v>
      </c>
      <c r="E529" s="39">
        <v>0.24791666666666667</v>
      </c>
      <c r="F529" s="39">
        <v>0.27986111111111112</v>
      </c>
      <c r="G529" s="40" t="s">
        <v>10</v>
      </c>
      <c r="H529" s="31" t="s">
        <v>103</v>
      </c>
      <c r="I529" s="38">
        <v>28</v>
      </c>
      <c r="J529" s="41">
        <v>30</v>
      </c>
      <c r="K529" s="35">
        <v>174</v>
      </c>
      <c r="L529" s="36">
        <f>+K529*I529</f>
        <v>4872</v>
      </c>
      <c r="M529" s="37" t="s">
        <v>748</v>
      </c>
      <c r="N529" s="23" t="s">
        <v>836</v>
      </c>
      <c r="O529" s="23">
        <v>31</v>
      </c>
      <c r="P529" s="23" t="s">
        <v>1180</v>
      </c>
      <c r="Q529" s="23">
        <v>29</v>
      </c>
      <c r="R529" s="23"/>
      <c r="S529" s="23"/>
      <c r="T529" s="7">
        <v>1</v>
      </c>
      <c r="U529" s="7" t="s">
        <v>1233</v>
      </c>
      <c r="V529" s="7" t="s">
        <v>1494</v>
      </c>
      <c r="W529" s="7" t="s">
        <v>1493</v>
      </c>
      <c r="X529" s="18"/>
      <c r="Y529" s="17"/>
      <c r="Z529" s="17"/>
      <c r="AA529" s="17"/>
      <c r="AB529" s="7" t="s">
        <v>1042</v>
      </c>
      <c r="AC529" s="8"/>
      <c r="AD529" s="8"/>
      <c r="AE529" s="8"/>
      <c r="AF529" s="8" t="s">
        <v>726</v>
      </c>
      <c r="AG529" s="8" t="s">
        <v>726</v>
      </c>
      <c r="AH529" s="8" t="s">
        <v>726</v>
      </c>
      <c r="AI529" s="8" t="s">
        <v>726</v>
      </c>
      <c r="AJ529" s="8" t="s">
        <v>726</v>
      </c>
      <c r="AK529" s="8" t="s">
        <v>726</v>
      </c>
      <c r="AL529" s="8"/>
      <c r="AM529" s="8"/>
      <c r="AN529" s="8"/>
      <c r="AO529" s="8"/>
      <c r="AP529" s="8"/>
      <c r="AQ529" s="8"/>
      <c r="AR529" s="8"/>
      <c r="AS529" s="8"/>
      <c r="AT529" s="8"/>
      <c r="AU529" s="8"/>
      <c r="AV529" s="8"/>
      <c r="AX529" s="142">
        <v>82.5</v>
      </c>
    </row>
    <row r="530" spans="1:50" ht="25.5">
      <c r="A530" s="45" t="s">
        <v>1751</v>
      </c>
      <c r="B530" s="27">
        <v>519</v>
      </c>
      <c r="C530" s="55">
        <v>301</v>
      </c>
      <c r="D530" s="59">
        <v>815</v>
      </c>
      <c r="E530" s="56">
        <v>0.81180555555555556</v>
      </c>
      <c r="F530" s="56">
        <v>0.84652777777777777</v>
      </c>
      <c r="G530" s="57" t="s">
        <v>11</v>
      </c>
      <c r="H530" s="43" t="s">
        <v>1007</v>
      </c>
      <c r="I530" s="55">
        <v>27</v>
      </c>
      <c r="J530" s="58">
        <v>50</v>
      </c>
      <c r="K530" s="64">
        <v>202</v>
      </c>
      <c r="L530" s="36">
        <f>+K530*I530</f>
        <v>5454</v>
      </c>
      <c r="M530" s="37" t="s">
        <v>1009</v>
      </c>
      <c r="N530" s="79" t="s">
        <v>1934</v>
      </c>
      <c r="O530" s="79" t="s">
        <v>1935</v>
      </c>
      <c r="S530" s="24"/>
      <c r="T530" s="7" t="s">
        <v>1492</v>
      </c>
      <c r="U530" s="7" t="s">
        <v>1493</v>
      </c>
      <c r="V530" s="7">
        <v>1</v>
      </c>
      <c r="W530" s="7" t="s">
        <v>1236</v>
      </c>
      <c r="X530" s="18"/>
      <c r="Y530" s="17"/>
      <c r="Z530" s="18"/>
      <c r="AA530" s="18"/>
      <c r="AB530" s="8" t="s">
        <v>1048</v>
      </c>
      <c r="AC530" s="8" t="s">
        <v>726</v>
      </c>
      <c r="AD530" s="8"/>
      <c r="AE530" s="8" t="s">
        <v>726</v>
      </c>
      <c r="AF530" s="8"/>
      <c r="AG530" s="8" t="s">
        <v>726</v>
      </c>
      <c r="AH530" s="8" t="s">
        <v>726</v>
      </c>
      <c r="AI530" s="8" t="s">
        <v>726</v>
      </c>
      <c r="AJ530" s="8" t="s">
        <v>726</v>
      </c>
      <c r="AK530" s="8" t="s">
        <v>726</v>
      </c>
      <c r="AL530" s="8"/>
      <c r="AM530" s="8"/>
      <c r="AN530" s="8"/>
      <c r="AO530" s="8"/>
      <c r="AP530" s="8"/>
      <c r="AQ530" s="8"/>
      <c r="AR530" s="8"/>
      <c r="AS530" s="8"/>
      <c r="AT530" s="8"/>
      <c r="AU530" s="8"/>
      <c r="AV530" s="8"/>
      <c r="AX530" s="142">
        <v>131</v>
      </c>
    </row>
    <row r="531" spans="1:50" ht="33.75">
      <c r="A531" s="2" t="s">
        <v>2068</v>
      </c>
      <c r="B531" s="27">
        <v>520</v>
      </c>
      <c r="C531" s="31">
        <v>302</v>
      </c>
      <c r="D531" s="31">
        <v>473</v>
      </c>
      <c r="E531" s="32">
        <v>0.26597222222222222</v>
      </c>
      <c r="F531" s="32">
        <v>0.2722222222222222</v>
      </c>
      <c r="G531" s="31" t="s">
        <v>289</v>
      </c>
      <c r="H531" s="31" t="s">
        <v>97</v>
      </c>
      <c r="I531" s="33">
        <v>3</v>
      </c>
      <c r="J531" s="34" t="s">
        <v>93</v>
      </c>
      <c r="K531" s="35">
        <v>208</v>
      </c>
      <c r="L531" s="36">
        <f>+K531*I531</f>
        <v>624</v>
      </c>
      <c r="M531" s="37" t="s">
        <v>713</v>
      </c>
      <c r="N531" s="23" t="s">
        <v>885</v>
      </c>
      <c r="O531" s="23">
        <v>20</v>
      </c>
      <c r="P531" s="23" t="s">
        <v>1797</v>
      </c>
      <c r="Q531" s="23">
        <v>17</v>
      </c>
      <c r="R531" s="23" t="s">
        <v>1176</v>
      </c>
      <c r="S531" s="24">
        <v>24</v>
      </c>
      <c r="T531" s="7">
        <v>3677</v>
      </c>
      <c r="U531" s="7" t="s">
        <v>1495</v>
      </c>
      <c r="V531" s="7" t="s">
        <v>1496</v>
      </c>
      <c r="W531" s="7" t="s">
        <v>1497</v>
      </c>
      <c r="X531" s="18"/>
      <c r="Y531" s="116">
        <v>44944</v>
      </c>
      <c r="Z531" s="116">
        <v>45052</v>
      </c>
      <c r="AA531" s="18"/>
      <c r="AB531" s="7" t="s">
        <v>1046</v>
      </c>
      <c r="AC531" s="8"/>
      <c r="AD531" s="8"/>
      <c r="AE531" s="8"/>
      <c r="AF531" s="8" t="s">
        <v>726</v>
      </c>
      <c r="AG531" s="8" t="s">
        <v>726</v>
      </c>
      <c r="AH531" s="8" t="s">
        <v>726</v>
      </c>
      <c r="AI531" s="8" t="s">
        <v>726</v>
      </c>
      <c r="AJ531" s="8" t="s">
        <v>726</v>
      </c>
      <c r="AK531" s="8" t="s">
        <v>726</v>
      </c>
      <c r="AL531" s="8" t="s">
        <v>726</v>
      </c>
      <c r="AM531" s="8"/>
      <c r="AN531" s="8"/>
      <c r="AO531" s="8"/>
      <c r="AP531" s="8"/>
      <c r="AQ531" s="8"/>
      <c r="AR531" s="8"/>
      <c r="AS531" s="8"/>
      <c r="AT531" s="8"/>
      <c r="AU531" s="8"/>
      <c r="AV531" s="8"/>
      <c r="AX531" s="142">
        <v>20</v>
      </c>
    </row>
    <row r="532" spans="1:50" ht="33.75">
      <c r="A532" s="2" t="s">
        <v>2068</v>
      </c>
      <c r="B532" s="27">
        <v>521</v>
      </c>
      <c r="C532" s="31">
        <v>302</v>
      </c>
      <c r="D532" s="31">
        <v>463</v>
      </c>
      <c r="E532" s="32">
        <v>0.28263888888888888</v>
      </c>
      <c r="F532" s="32">
        <v>0.28750000000000003</v>
      </c>
      <c r="G532" s="31" t="s">
        <v>289</v>
      </c>
      <c r="H532" s="31" t="s">
        <v>97</v>
      </c>
      <c r="I532" s="33">
        <v>3</v>
      </c>
      <c r="J532" s="34" t="s">
        <v>93</v>
      </c>
      <c r="K532" s="35">
        <v>208</v>
      </c>
      <c r="L532" s="36">
        <f>+K532*I532</f>
        <v>624</v>
      </c>
      <c r="M532" s="37" t="s">
        <v>713</v>
      </c>
      <c r="N532" s="23" t="s">
        <v>885</v>
      </c>
      <c r="O532" s="23">
        <v>20</v>
      </c>
      <c r="P532" s="23" t="s">
        <v>1797</v>
      </c>
      <c r="Q532" s="23">
        <v>17</v>
      </c>
      <c r="R532" s="23" t="s">
        <v>1176</v>
      </c>
      <c r="S532" s="24">
        <v>24</v>
      </c>
      <c r="T532" s="7">
        <v>3677</v>
      </c>
      <c r="U532" s="7" t="s">
        <v>1495</v>
      </c>
      <c r="V532" s="7" t="s">
        <v>1496</v>
      </c>
      <c r="W532" s="7" t="s">
        <v>1497</v>
      </c>
      <c r="X532" s="18"/>
      <c r="Y532" s="116">
        <v>44944</v>
      </c>
      <c r="Z532" s="116">
        <v>45052</v>
      </c>
      <c r="AA532" s="18"/>
      <c r="AB532" s="7" t="s">
        <v>1046</v>
      </c>
      <c r="AC532" s="8"/>
      <c r="AD532" s="8"/>
      <c r="AE532" s="8"/>
      <c r="AF532" s="8" t="s">
        <v>726</v>
      </c>
      <c r="AG532" s="8" t="s">
        <v>726</v>
      </c>
      <c r="AH532" s="8" t="s">
        <v>726</v>
      </c>
      <c r="AI532" s="8" t="s">
        <v>726</v>
      </c>
      <c r="AJ532" s="8" t="s">
        <v>726</v>
      </c>
      <c r="AK532" s="8" t="s">
        <v>726</v>
      </c>
      <c r="AL532" s="8" t="s">
        <v>726</v>
      </c>
      <c r="AM532" s="8"/>
      <c r="AN532" s="8"/>
      <c r="AO532" s="8"/>
      <c r="AP532" s="8"/>
      <c r="AQ532" s="8"/>
      <c r="AR532" s="8"/>
      <c r="AS532" s="8"/>
      <c r="AT532" s="8"/>
      <c r="AU532" s="8"/>
      <c r="AV532" s="8"/>
      <c r="AX532" s="142">
        <v>20</v>
      </c>
    </row>
    <row r="533" spans="1:50" ht="33.75">
      <c r="A533" s="2" t="s">
        <v>2068</v>
      </c>
      <c r="B533" s="27">
        <v>522</v>
      </c>
      <c r="C533" s="31">
        <v>302</v>
      </c>
      <c r="D533" s="31">
        <v>463</v>
      </c>
      <c r="E533" s="32">
        <v>0.28263888888888888</v>
      </c>
      <c r="F533" s="32">
        <v>0.28750000000000003</v>
      </c>
      <c r="G533" s="31" t="s">
        <v>289</v>
      </c>
      <c r="H533" s="31" t="s">
        <v>585</v>
      </c>
      <c r="I533" s="33">
        <v>3</v>
      </c>
      <c r="J533" s="34" t="s">
        <v>93</v>
      </c>
      <c r="K533" s="35">
        <v>29</v>
      </c>
      <c r="L533" s="36">
        <f>+K533*I533</f>
        <v>87</v>
      </c>
      <c r="M533" s="37" t="s">
        <v>713</v>
      </c>
      <c r="N533" s="23" t="s">
        <v>885</v>
      </c>
      <c r="O533" s="23">
        <v>20</v>
      </c>
      <c r="P533" s="23" t="s">
        <v>1797</v>
      </c>
      <c r="Q533" s="23">
        <v>17</v>
      </c>
      <c r="R533" s="23" t="s">
        <v>1176</v>
      </c>
      <c r="S533" s="24">
        <v>24</v>
      </c>
      <c r="T533" s="7">
        <v>3677</v>
      </c>
      <c r="U533" s="7" t="s">
        <v>1495</v>
      </c>
      <c r="V533" s="7" t="s">
        <v>1496</v>
      </c>
      <c r="W533" s="7" t="s">
        <v>1497</v>
      </c>
      <c r="X533" s="18"/>
      <c r="Y533" s="116">
        <v>44944</v>
      </c>
      <c r="Z533" s="116">
        <v>45052</v>
      </c>
      <c r="AA533" s="18"/>
      <c r="AB533" s="7" t="s">
        <v>1050</v>
      </c>
      <c r="AC533" s="8" t="s">
        <v>726</v>
      </c>
      <c r="AD533" s="8"/>
      <c r="AE533" s="8" t="s">
        <v>726</v>
      </c>
      <c r="AF533" s="8"/>
      <c r="AG533" s="8"/>
      <c r="AH533" s="8"/>
      <c r="AI533" s="8"/>
      <c r="AJ533" s="8"/>
      <c r="AK533" s="8"/>
      <c r="AL533" s="8"/>
      <c r="AM533" s="8"/>
      <c r="AN533" s="8"/>
      <c r="AO533" s="8"/>
      <c r="AP533" s="8"/>
      <c r="AQ533" s="8" t="s">
        <v>726</v>
      </c>
      <c r="AR533" s="8" t="s">
        <v>726</v>
      </c>
      <c r="AS533" s="8" t="s">
        <v>726</v>
      </c>
      <c r="AT533" s="8" t="s">
        <v>726</v>
      </c>
      <c r="AU533" s="8" t="s">
        <v>726</v>
      </c>
      <c r="AV533" s="8" t="s">
        <v>726</v>
      </c>
      <c r="AX533" s="142">
        <v>20</v>
      </c>
    </row>
    <row r="534" spans="1:50" ht="25.5">
      <c r="B534" s="27">
        <v>523</v>
      </c>
      <c r="C534" s="31">
        <v>302</v>
      </c>
      <c r="D534" s="31">
        <v>463</v>
      </c>
      <c r="E534" s="32">
        <v>0.28472222222222221</v>
      </c>
      <c r="F534" s="32">
        <v>0.28958333333333336</v>
      </c>
      <c r="G534" s="31" t="s">
        <v>289</v>
      </c>
      <c r="H534" s="31" t="s">
        <v>424</v>
      </c>
      <c r="I534" s="33">
        <v>3</v>
      </c>
      <c r="J534" s="34" t="s">
        <v>93</v>
      </c>
      <c r="K534" s="35">
        <v>55</v>
      </c>
      <c r="L534" s="36">
        <f>+K534*I534</f>
        <v>165</v>
      </c>
      <c r="M534" s="37" t="s">
        <v>713</v>
      </c>
      <c r="N534" s="23" t="s">
        <v>885</v>
      </c>
      <c r="O534" s="23">
        <v>20</v>
      </c>
      <c r="P534" s="23" t="s">
        <v>1797</v>
      </c>
      <c r="Q534" s="23">
        <v>17</v>
      </c>
      <c r="R534" s="23" t="s">
        <v>1176</v>
      </c>
      <c r="S534" s="24">
        <v>24</v>
      </c>
      <c r="T534" s="7">
        <v>3677</v>
      </c>
      <c r="U534" s="7" t="s">
        <v>1495</v>
      </c>
      <c r="V534" s="7" t="s">
        <v>1496</v>
      </c>
      <c r="W534" s="7" t="s">
        <v>1497</v>
      </c>
      <c r="X534" s="17"/>
      <c r="Y534" s="18"/>
      <c r="Z534" s="18"/>
      <c r="AA534" s="18"/>
      <c r="AB534" s="7" t="s">
        <v>1049</v>
      </c>
      <c r="AC534" s="8"/>
      <c r="AD534" s="8" t="s">
        <v>726</v>
      </c>
      <c r="AE534" s="8" t="s">
        <v>726</v>
      </c>
      <c r="AF534" s="8"/>
      <c r="AG534" s="8" t="s">
        <v>726</v>
      </c>
      <c r="AH534" s="8" t="s">
        <v>726</v>
      </c>
      <c r="AI534" s="8" t="s">
        <v>726</v>
      </c>
      <c r="AJ534" s="8" t="s">
        <v>726</v>
      </c>
      <c r="AK534" s="8" t="s">
        <v>726</v>
      </c>
      <c r="AL534" s="8"/>
      <c r="AM534" s="8"/>
      <c r="AN534" s="8"/>
      <c r="AO534" s="8"/>
      <c r="AP534" s="8"/>
      <c r="AQ534" s="8"/>
      <c r="AR534" s="8"/>
      <c r="AS534" s="8"/>
      <c r="AT534" s="8"/>
      <c r="AU534" s="8"/>
      <c r="AV534" s="8"/>
      <c r="AX534" s="142">
        <v>20</v>
      </c>
    </row>
    <row r="535" spans="1:50" ht="33.75">
      <c r="A535" s="2" t="s">
        <v>2068</v>
      </c>
      <c r="B535" s="27">
        <v>524</v>
      </c>
      <c r="C535" s="31">
        <v>302</v>
      </c>
      <c r="D535" s="31">
        <v>465</v>
      </c>
      <c r="E535" s="32">
        <v>0.30902777777777779</v>
      </c>
      <c r="F535" s="32">
        <v>0.31388888888888888</v>
      </c>
      <c r="G535" s="31" t="s">
        <v>289</v>
      </c>
      <c r="H535" s="31" t="s">
        <v>97</v>
      </c>
      <c r="I535" s="33">
        <v>3</v>
      </c>
      <c r="J535" s="34" t="s">
        <v>93</v>
      </c>
      <c r="K535" s="35">
        <v>208</v>
      </c>
      <c r="L535" s="36">
        <f>+K535*I535</f>
        <v>624</v>
      </c>
      <c r="M535" s="37" t="s">
        <v>713</v>
      </c>
      <c r="N535" s="23" t="s">
        <v>885</v>
      </c>
      <c r="O535" s="23">
        <v>20</v>
      </c>
      <c r="P535" s="23" t="s">
        <v>1797</v>
      </c>
      <c r="Q535" s="23">
        <v>17</v>
      </c>
      <c r="R535" s="23" t="s">
        <v>1176</v>
      </c>
      <c r="S535" s="24">
        <v>24</v>
      </c>
      <c r="T535" s="7">
        <v>3677</v>
      </c>
      <c r="U535" s="7" t="s">
        <v>1495</v>
      </c>
      <c r="V535" s="7" t="s">
        <v>1496</v>
      </c>
      <c r="W535" s="7" t="s">
        <v>1497</v>
      </c>
      <c r="X535" s="18"/>
      <c r="Y535" s="116">
        <v>44944</v>
      </c>
      <c r="Z535" s="116">
        <v>45052</v>
      </c>
      <c r="AA535" s="18"/>
      <c r="AB535" s="7" t="s">
        <v>1046</v>
      </c>
      <c r="AC535" s="8"/>
      <c r="AD535" s="8"/>
      <c r="AE535" s="8"/>
      <c r="AF535" s="8" t="s">
        <v>726</v>
      </c>
      <c r="AG535" s="8" t="s">
        <v>726</v>
      </c>
      <c r="AH535" s="8" t="s">
        <v>726</v>
      </c>
      <c r="AI535" s="8" t="s">
        <v>726</v>
      </c>
      <c r="AJ535" s="8" t="s">
        <v>726</v>
      </c>
      <c r="AK535" s="8" t="s">
        <v>726</v>
      </c>
      <c r="AL535" s="8" t="s">
        <v>726</v>
      </c>
      <c r="AM535" s="8"/>
      <c r="AN535" s="8"/>
      <c r="AO535" s="8"/>
      <c r="AP535" s="8"/>
      <c r="AQ535" s="8"/>
      <c r="AR535" s="8"/>
      <c r="AS535" s="8"/>
      <c r="AT535" s="8"/>
      <c r="AU535" s="8"/>
      <c r="AV535" s="8"/>
      <c r="AX535" s="142">
        <v>19.41</v>
      </c>
    </row>
    <row r="536" spans="1:50" ht="25.5">
      <c r="B536" s="27">
        <v>525</v>
      </c>
      <c r="C536" s="31">
        <v>302</v>
      </c>
      <c r="D536" s="31">
        <v>465</v>
      </c>
      <c r="E536" s="32">
        <v>0.3125</v>
      </c>
      <c r="F536" s="32">
        <v>0.31736111111111115</v>
      </c>
      <c r="G536" s="31" t="s">
        <v>289</v>
      </c>
      <c r="H536" s="31" t="s">
        <v>290</v>
      </c>
      <c r="I536" s="33">
        <v>3</v>
      </c>
      <c r="J536" s="34" t="s">
        <v>93</v>
      </c>
      <c r="K536" s="35">
        <v>11</v>
      </c>
      <c r="L536" s="36">
        <f>+K536*I536</f>
        <v>33</v>
      </c>
      <c r="M536" s="37" t="s">
        <v>713</v>
      </c>
      <c r="N536" s="23" t="s">
        <v>885</v>
      </c>
      <c r="O536" s="23">
        <v>20</v>
      </c>
      <c r="P536" s="23" t="s">
        <v>1797</v>
      </c>
      <c r="Q536" s="23">
        <v>17</v>
      </c>
      <c r="R536" s="23" t="s">
        <v>1176</v>
      </c>
      <c r="S536" s="24">
        <v>24</v>
      </c>
      <c r="T536" s="7">
        <v>3677</v>
      </c>
      <c r="U536" s="7" t="s">
        <v>1495</v>
      </c>
      <c r="V536" s="7" t="s">
        <v>1496</v>
      </c>
      <c r="W536" s="7" t="s">
        <v>1497</v>
      </c>
      <c r="X536" s="17"/>
      <c r="Y536" s="18"/>
      <c r="Z536" s="18"/>
      <c r="AA536" s="18"/>
      <c r="AB536" s="7" t="s">
        <v>1079</v>
      </c>
      <c r="AC536" s="8"/>
      <c r="AD536" s="8" t="s">
        <v>726</v>
      </c>
      <c r="AE536" s="8" t="s">
        <v>726</v>
      </c>
      <c r="AF536" s="8"/>
      <c r="AG536" s="8"/>
      <c r="AH536" s="8"/>
      <c r="AI536" s="8"/>
      <c r="AJ536" s="8" t="s">
        <v>726</v>
      </c>
      <c r="AK536" s="8"/>
      <c r="AL536" s="8"/>
      <c r="AM536" s="8"/>
      <c r="AN536" s="8"/>
      <c r="AO536" s="8"/>
      <c r="AP536" s="8"/>
      <c r="AQ536" s="8"/>
      <c r="AR536" s="8"/>
      <c r="AS536" s="8"/>
      <c r="AT536" s="8"/>
      <c r="AU536" s="8"/>
      <c r="AV536" s="8"/>
      <c r="AX536" s="142">
        <v>18</v>
      </c>
    </row>
    <row r="537" spans="1:50" ht="33.75">
      <c r="B537" s="27">
        <v>526</v>
      </c>
      <c r="C537" s="31">
        <v>302</v>
      </c>
      <c r="D537" s="31">
        <v>149</v>
      </c>
      <c r="E537" s="32">
        <v>0.3520833333333333</v>
      </c>
      <c r="F537" s="32">
        <v>0.38541666666666669</v>
      </c>
      <c r="G537" s="31" t="s">
        <v>447</v>
      </c>
      <c r="H537" s="31" t="s">
        <v>448</v>
      </c>
      <c r="I537" s="33">
        <v>25</v>
      </c>
      <c r="J537" s="34" t="s">
        <v>93</v>
      </c>
      <c r="K537" s="35">
        <v>47</v>
      </c>
      <c r="L537" s="36">
        <f>+K537*I537</f>
        <v>1175</v>
      </c>
      <c r="M537" s="37" t="s">
        <v>1915</v>
      </c>
      <c r="N537" s="112" t="s">
        <v>1914</v>
      </c>
      <c r="O537" s="112">
        <v>23</v>
      </c>
      <c r="P537" s="79" t="s">
        <v>2097</v>
      </c>
      <c r="Q537" s="79">
        <v>19</v>
      </c>
      <c r="R537" s="23" t="s">
        <v>2095</v>
      </c>
      <c r="S537" s="23">
        <v>23</v>
      </c>
      <c r="T537" s="7">
        <v>3695</v>
      </c>
      <c r="U537" s="7" t="s">
        <v>1498</v>
      </c>
      <c r="V537" s="7">
        <v>1</v>
      </c>
      <c r="W537" s="7" t="s">
        <v>1236</v>
      </c>
      <c r="X537" s="18"/>
      <c r="Y537" s="17"/>
      <c r="Z537" s="18"/>
      <c r="AA537" s="18"/>
      <c r="AB537" s="8" t="s">
        <v>1043</v>
      </c>
      <c r="AC537" s="8" t="s">
        <v>726</v>
      </c>
      <c r="AD537" s="8"/>
      <c r="AE537" s="8"/>
      <c r="AF537" s="8"/>
      <c r="AG537" s="8"/>
      <c r="AH537" s="8"/>
      <c r="AI537" s="8"/>
      <c r="AJ537" s="8"/>
      <c r="AK537" s="8"/>
      <c r="AL537" s="8"/>
      <c r="AM537" s="8" t="s">
        <v>726</v>
      </c>
      <c r="AN537" s="8"/>
      <c r="AO537" s="8"/>
      <c r="AP537" s="8"/>
      <c r="AQ537" s="8"/>
      <c r="AR537" s="8"/>
      <c r="AS537" s="8"/>
      <c r="AT537" s="8"/>
      <c r="AU537" s="8"/>
      <c r="AV537" s="8"/>
      <c r="AX537" s="142">
        <v>75</v>
      </c>
    </row>
    <row r="538" spans="1:50" ht="38.25">
      <c r="B538" s="27">
        <v>527</v>
      </c>
      <c r="C538" s="31">
        <v>302</v>
      </c>
      <c r="D538" s="31">
        <v>149</v>
      </c>
      <c r="E538" s="32">
        <v>0.3520833333333333</v>
      </c>
      <c r="F538" s="32">
        <v>0.38541666666666669</v>
      </c>
      <c r="G538" s="31" t="s">
        <v>625</v>
      </c>
      <c r="H538" s="31" t="s">
        <v>546</v>
      </c>
      <c r="I538" s="33">
        <v>25</v>
      </c>
      <c r="J538" s="34" t="s">
        <v>156</v>
      </c>
      <c r="K538" s="35">
        <v>13</v>
      </c>
      <c r="L538" s="36">
        <f>+K538*I538</f>
        <v>325</v>
      </c>
      <c r="M538" s="37" t="s">
        <v>1915</v>
      </c>
      <c r="N538" s="112" t="s">
        <v>1914</v>
      </c>
      <c r="O538" s="112">
        <v>23</v>
      </c>
      <c r="P538" s="79" t="s">
        <v>2097</v>
      </c>
      <c r="Q538" s="79">
        <v>19</v>
      </c>
      <c r="R538" s="23" t="s">
        <v>2095</v>
      </c>
      <c r="S538" s="23">
        <v>23</v>
      </c>
      <c r="T538" s="7">
        <v>3695</v>
      </c>
      <c r="U538" s="7" t="s">
        <v>1498</v>
      </c>
      <c r="V538" s="7">
        <v>1</v>
      </c>
      <c r="W538" s="7" t="s">
        <v>1236</v>
      </c>
      <c r="X538" s="17"/>
      <c r="Y538" s="18"/>
      <c r="Z538" s="18"/>
      <c r="AA538" s="18"/>
      <c r="AB538" s="7" t="s">
        <v>1044</v>
      </c>
      <c r="AC538" s="8"/>
      <c r="AD538" s="8" t="s">
        <v>726</v>
      </c>
      <c r="AE538" s="8"/>
      <c r="AF538" s="8"/>
      <c r="AG538" s="8"/>
      <c r="AH538" s="8"/>
      <c r="AI538" s="8"/>
      <c r="AJ538" s="8"/>
      <c r="AK538" s="8"/>
      <c r="AL538" s="8"/>
      <c r="AM538" s="8" t="s">
        <v>726</v>
      </c>
      <c r="AN538" s="8"/>
      <c r="AO538" s="8"/>
      <c r="AP538" s="8"/>
      <c r="AQ538" s="8"/>
      <c r="AR538" s="8"/>
      <c r="AS538" s="8"/>
      <c r="AT538" s="8"/>
      <c r="AU538" s="8"/>
      <c r="AV538" s="8"/>
      <c r="AX538" s="142">
        <v>75</v>
      </c>
    </row>
    <row r="539" spans="1:50" ht="33.75">
      <c r="B539" s="27">
        <v>528</v>
      </c>
      <c r="C539" s="31">
        <v>302</v>
      </c>
      <c r="D539" s="31">
        <v>154</v>
      </c>
      <c r="E539" s="32">
        <v>0.49374999999999997</v>
      </c>
      <c r="F539" s="42">
        <v>0.50972222222222219</v>
      </c>
      <c r="G539" s="31" t="s">
        <v>162</v>
      </c>
      <c r="H539" s="31" t="s">
        <v>477</v>
      </c>
      <c r="I539" s="33">
        <v>12</v>
      </c>
      <c r="J539" s="34" t="s">
        <v>156</v>
      </c>
      <c r="K539" s="35">
        <v>240</v>
      </c>
      <c r="L539" s="36">
        <f>+K539*I539</f>
        <v>2880</v>
      </c>
      <c r="M539" s="37" t="s">
        <v>1915</v>
      </c>
      <c r="N539" s="112" t="s">
        <v>1914</v>
      </c>
      <c r="O539" s="112">
        <v>23</v>
      </c>
      <c r="P539" s="79" t="s">
        <v>2097</v>
      </c>
      <c r="Q539" s="79">
        <v>19</v>
      </c>
      <c r="R539" s="23" t="s">
        <v>2096</v>
      </c>
      <c r="S539" s="23">
        <v>20</v>
      </c>
      <c r="T539" s="7">
        <v>3640</v>
      </c>
      <c r="U539" s="7" t="s">
        <v>1499</v>
      </c>
      <c r="V539" s="7">
        <v>3695</v>
      </c>
      <c r="W539" s="7" t="s">
        <v>1498</v>
      </c>
      <c r="X539" s="18"/>
      <c r="Y539" s="17"/>
      <c r="Z539" s="18"/>
      <c r="AA539" s="18"/>
      <c r="AB539" s="7" t="s">
        <v>1052</v>
      </c>
      <c r="AC539" s="8" t="s">
        <v>726</v>
      </c>
      <c r="AD539" s="8"/>
      <c r="AE539" s="8" t="s">
        <v>726</v>
      </c>
      <c r="AF539" s="8"/>
      <c r="AG539" s="8" t="s">
        <v>726</v>
      </c>
      <c r="AH539" s="8" t="s">
        <v>726</v>
      </c>
      <c r="AI539" s="8" t="s">
        <v>726</v>
      </c>
      <c r="AJ539" s="8" t="s">
        <v>726</v>
      </c>
      <c r="AK539" s="8" t="s">
        <v>726</v>
      </c>
      <c r="AL539" s="8" t="s">
        <v>726</v>
      </c>
      <c r="AM539" s="8"/>
      <c r="AN539" s="8"/>
      <c r="AO539" s="8"/>
      <c r="AP539" s="8"/>
      <c r="AQ539" s="8"/>
      <c r="AR539" s="8"/>
      <c r="AS539" s="8"/>
      <c r="AT539" s="8"/>
      <c r="AU539" s="8"/>
      <c r="AV539" s="8"/>
      <c r="AX539" s="142">
        <v>46.16</v>
      </c>
    </row>
    <row r="540" spans="1:50" ht="38.25">
      <c r="B540" s="27">
        <v>529</v>
      </c>
      <c r="C540" s="31">
        <v>302</v>
      </c>
      <c r="D540" s="31">
        <v>537</v>
      </c>
      <c r="E540" s="32">
        <v>0.51041666666666663</v>
      </c>
      <c r="F540" s="32">
        <v>0.54374999999999996</v>
      </c>
      <c r="G540" s="31" t="s">
        <v>158</v>
      </c>
      <c r="H540" s="31" t="s">
        <v>477</v>
      </c>
      <c r="I540" s="33">
        <v>25</v>
      </c>
      <c r="J540" s="34" t="s">
        <v>156</v>
      </c>
      <c r="K540" s="35">
        <v>240</v>
      </c>
      <c r="L540" s="36">
        <f>+K540*I540</f>
        <v>6000</v>
      </c>
      <c r="M540" s="37" t="s">
        <v>1915</v>
      </c>
      <c r="N540" s="112" t="s">
        <v>1914</v>
      </c>
      <c r="O540" s="112">
        <v>23</v>
      </c>
      <c r="P540" s="79" t="s">
        <v>2097</v>
      </c>
      <c r="Q540" s="79">
        <v>19</v>
      </c>
      <c r="R540" s="23" t="s">
        <v>2096</v>
      </c>
      <c r="S540" s="23">
        <v>20</v>
      </c>
      <c r="T540" s="7">
        <v>3695</v>
      </c>
      <c r="U540" s="7" t="s">
        <v>1498</v>
      </c>
      <c r="V540" s="7">
        <v>1</v>
      </c>
      <c r="W540" s="7" t="s">
        <v>1236</v>
      </c>
      <c r="X540" s="18"/>
      <c r="Y540" s="17"/>
      <c r="Z540" s="18"/>
      <c r="AA540" s="18"/>
      <c r="AB540" s="7" t="s">
        <v>1052</v>
      </c>
      <c r="AC540" s="8" t="s">
        <v>726</v>
      </c>
      <c r="AD540" s="8"/>
      <c r="AE540" s="8" t="s">
        <v>726</v>
      </c>
      <c r="AF540" s="8"/>
      <c r="AG540" s="8" t="s">
        <v>726</v>
      </c>
      <c r="AH540" s="8" t="s">
        <v>726</v>
      </c>
      <c r="AI540" s="8" t="s">
        <v>726</v>
      </c>
      <c r="AJ540" s="8" t="s">
        <v>726</v>
      </c>
      <c r="AK540" s="8" t="s">
        <v>726</v>
      </c>
      <c r="AL540" s="8" t="s">
        <v>726</v>
      </c>
      <c r="AM540" s="8"/>
      <c r="AN540" s="8"/>
      <c r="AO540" s="8"/>
      <c r="AP540" s="8"/>
      <c r="AQ540" s="8"/>
      <c r="AR540" s="8"/>
      <c r="AS540" s="8"/>
      <c r="AT540" s="8"/>
      <c r="AU540" s="8"/>
      <c r="AV540" s="8"/>
      <c r="AX540" s="142">
        <v>50</v>
      </c>
    </row>
    <row r="541" spans="1:50" ht="38.25">
      <c r="B541" s="27">
        <v>530</v>
      </c>
      <c r="C541" s="31">
        <v>302</v>
      </c>
      <c r="D541" s="31">
        <v>156</v>
      </c>
      <c r="E541" s="32">
        <v>0.51388888888888895</v>
      </c>
      <c r="F541" s="32">
        <v>0.55694444444444446</v>
      </c>
      <c r="G541" s="31" t="s">
        <v>160</v>
      </c>
      <c r="H541" s="31" t="s">
        <v>546</v>
      </c>
      <c r="I541" s="33">
        <v>25</v>
      </c>
      <c r="J541" s="34" t="s">
        <v>156</v>
      </c>
      <c r="K541" s="35">
        <v>13</v>
      </c>
      <c r="L541" s="36">
        <f>+K541*I541</f>
        <v>325</v>
      </c>
      <c r="M541" s="37" t="s">
        <v>1915</v>
      </c>
      <c r="N541" s="112" t="s">
        <v>1914</v>
      </c>
      <c r="O541" s="112">
        <v>23</v>
      </c>
      <c r="P541" s="79" t="s">
        <v>2097</v>
      </c>
      <c r="Q541" s="79">
        <v>19</v>
      </c>
      <c r="R541" s="23" t="s">
        <v>2095</v>
      </c>
      <c r="S541" s="23">
        <v>23</v>
      </c>
      <c r="T541" s="7">
        <v>1</v>
      </c>
      <c r="U541" s="7" t="s">
        <v>1233</v>
      </c>
      <c r="V541" s="7">
        <v>3695</v>
      </c>
      <c r="W541" s="7" t="s">
        <v>1498</v>
      </c>
      <c r="X541" s="17"/>
      <c r="Y541" s="18"/>
      <c r="Z541" s="18"/>
      <c r="AA541" s="18"/>
      <c r="AB541" s="7" t="s">
        <v>1044</v>
      </c>
      <c r="AC541" s="8"/>
      <c r="AD541" s="8" t="s">
        <v>726</v>
      </c>
      <c r="AE541" s="8"/>
      <c r="AF541" s="8"/>
      <c r="AG541" s="8"/>
      <c r="AH541" s="8"/>
      <c r="AI541" s="8"/>
      <c r="AJ541" s="8"/>
      <c r="AK541" s="8"/>
      <c r="AL541" s="8"/>
      <c r="AM541" s="8" t="s">
        <v>726</v>
      </c>
      <c r="AN541" s="8"/>
      <c r="AO541" s="8"/>
      <c r="AP541" s="8"/>
      <c r="AQ541" s="8"/>
      <c r="AR541" s="8"/>
      <c r="AS541" s="8"/>
      <c r="AT541" s="8"/>
      <c r="AU541" s="8"/>
      <c r="AV541" s="8"/>
      <c r="AX541" s="142">
        <v>71.239999999999995</v>
      </c>
    </row>
    <row r="542" spans="1:50" ht="38.25">
      <c r="B542" s="27">
        <v>531</v>
      </c>
      <c r="C542" s="31">
        <v>302</v>
      </c>
      <c r="D542" s="31">
        <v>156</v>
      </c>
      <c r="E542" s="32">
        <v>0.51388888888888895</v>
      </c>
      <c r="F542" s="42">
        <v>0.54722222222222217</v>
      </c>
      <c r="G542" s="31" t="s">
        <v>160</v>
      </c>
      <c r="H542" s="31" t="s">
        <v>442</v>
      </c>
      <c r="I542" s="33">
        <v>25</v>
      </c>
      <c r="J542" s="34" t="s">
        <v>156</v>
      </c>
      <c r="K542" s="35">
        <v>47</v>
      </c>
      <c r="L542" s="36">
        <f>+K542*I542</f>
        <v>1175</v>
      </c>
      <c r="M542" s="37" t="s">
        <v>1915</v>
      </c>
      <c r="N542" s="112" t="s">
        <v>1914</v>
      </c>
      <c r="O542" s="112">
        <v>23</v>
      </c>
      <c r="P542" s="79" t="s">
        <v>2097</v>
      </c>
      <c r="Q542" s="79">
        <v>19</v>
      </c>
      <c r="R542" s="23" t="s">
        <v>2095</v>
      </c>
      <c r="S542" s="23">
        <v>23</v>
      </c>
      <c r="T542" s="7">
        <v>1</v>
      </c>
      <c r="U542" s="7" t="s">
        <v>1233</v>
      </c>
      <c r="V542" s="7">
        <v>3695</v>
      </c>
      <c r="W542" s="7" t="s">
        <v>1498</v>
      </c>
      <c r="X542" s="18"/>
      <c r="Y542" s="17"/>
      <c r="Z542" s="18"/>
      <c r="AA542" s="18"/>
      <c r="AB542" s="7" t="s">
        <v>1043</v>
      </c>
      <c r="AC542" s="8" t="s">
        <v>726</v>
      </c>
      <c r="AD542" s="8"/>
      <c r="AE542" s="8"/>
      <c r="AF542" s="8"/>
      <c r="AG542" s="8"/>
      <c r="AH542" s="8"/>
      <c r="AI542" s="8"/>
      <c r="AJ542" s="8"/>
      <c r="AK542" s="8"/>
      <c r="AL542" s="8"/>
      <c r="AM542" s="8" t="s">
        <v>726</v>
      </c>
      <c r="AN542" s="8"/>
      <c r="AO542" s="8"/>
      <c r="AP542" s="8"/>
      <c r="AQ542" s="8"/>
      <c r="AR542" s="8"/>
      <c r="AS542" s="8"/>
      <c r="AT542" s="8"/>
      <c r="AU542" s="8"/>
      <c r="AV542" s="8"/>
      <c r="AX542" s="142">
        <v>71.239999999999995</v>
      </c>
    </row>
    <row r="543" spans="1:50" ht="25.5">
      <c r="B543" s="27">
        <v>532</v>
      </c>
      <c r="C543" s="31">
        <v>302</v>
      </c>
      <c r="D543" s="31">
        <v>462</v>
      </c>
      <c r="E543" s="32">
        <v>0.53680555555555554</v>
      </c>
      <c r="F543" s="32">
        <v>0.54166666666666663</v>
      </c>
      <c r="G543" s="31" t="s">
        <v>288</v>
      </c>
      <c r="H543" s="31" t="s">
        <v>290</v>
      </c>
      <c r="I543" s="33">
        <v>3</v>
      </c>
      <c r="J543" s="34" t="s">
        <v>93</v>
      </c>
      <c r="K543" s="35">
        <v>11</v>
      </c>
      <c r="L543" s="36">
        <f>+K543*I543</f>
        <v>33</v>
      </c>
      <c r="M543" s="37" t="s">
        <v>713</v>
      </c>
      <c r="N543" s="23" t="s">
        <v>885</v>
      </c>
      <c r="O543" s="23">
        <v>20</v>
      </c>
      <c r="P543" s="23" t="s">
        <v>1797</v>
      </c>
      <c r="Q543" s="23">
        <v>17</v>
      </c>
      <c r="R543" s="23" t="s">
        <v>1176</v>
      </c>
      <c r="S543" s="24">
        <v>24</v>
      </c>
      <c r="T543" s="7" t="s">
        <v>1496</v>
      </c>
      <c r="U543" s="7" t="s">
        <v>1497</v>
      </c>
      <c r="V543" s="7">
        <v>3677</v>
      </c>
      <c r="W543" s="7" t="s">
        <v>1495</v>
      </c>
      <c r="X543" s="17"/>
      <c r="Y543" s="18"/>
      <c r="Z543" s="18"/>
      <c r="AA543" s="18"/>
      <c r="AB543" s="7" t="s">
        <v>1079</v>
      </c>
      <c r="AC543" s="8"/>
      <c r="AD543" s="8" t="s">
        <v>726</v>
      </c>
      <c r="AE543" s="8" t="s">
        <v>726</v>
      </c>
      <c r="AF543" s="8"/>
      <c r="AG543" s="8"/>
      <c r="AH543" s="8"/>
      <c r="AI543" s="8"/>
      <c r="AJ543" s="8" t="s">
        <v>726</v>
      </c>
      <c r="AK543" s="8"/>
      <c r="AL543" s="8"/>
      <c r="AM543" s="8"/>
      <c r="AN543" s="8"/>
      <c r="AO543" s="8"/>
      <c r="AP543" s="8"/>
      <c r="AQ543" s="8"/>
      <c r="AR543" s="8"/>
      <c r="AS543" s="8"/>
      <c r="AT543" s="8"/>
      <c r="AU543" s="8"/>
      <c r="AV543" s="8"/>
      <c r="AX543" s="142">
        <v>18</v>
      </c>
    </row>
    <row r="544" spans="1:50" ht="33.75">
      <c r="A544" s="2" t="s">
        <v>2068</v>
      </c>
      <c r="B544" s="27">
        <v>533</v>
      </c>
      <c r="C544" s="31">
        <v>302</v>
      </c>
      <c r="D544" s="31">
        <v>462</v>
      </c>
      <c r="E544" s="32">
        <v>0.54374999999999996</v>
      </c>
      <c r="F544" s="32">
        <v>0.54861111111111105</v>
      </c>
      <c r="G544" s="31" t="s">
        <v>288</v>
      </c>
      <c r="H544" s="31" t="s">
        <v>97</v>
      </c>
      <c r="I544" s="33">
        <v>3</v>
      </c>
      <c r="J544" s="34" t="s">
        <v>93</v>
      </c>
      <c r="K544" s="35">
        <v>208</v>
      </c>
      <c r="L544" s="36">
        <f>+K544*I544</f>
        <v>624</v>
      </c>
      <c r="M544" s="37" t="s">
        <v>713</v>
      </c>
      <c r="N544" s="23" t="s">
        <v>885</v>
      </c>
      <c r="O544" s="23">
        <v>20</v>
      </c>
      <c r="P544" s="23" t="s">
        <v>1797</v>
      </c>
      <c r="Q544" s="23">
        <v>17</v>
      </c>
      <c r="R544" s="23" t="s">
        <v>1176</v>
      </c>
      <c r="S544" s="24">
        <v>24</v>
      </c>
      <c r="T544" s="7" t="s">
        <v>1496</v>
      </c>
      <c r="U544" s="7" t="s">
        <v>1497</v>
      </c>
      <c r="V544" s="7">
        <v>3677</v>
      </c>
      <c r="W544" s="7" t="s">
        <v>1495</v>
      </c>
      <c r="X544" s="18"/>
      <c r="Y544" s="116">
        <v>44944</v>
      </c>
      <c r="Z544" s="116">
        <v>45052</v>
      </c>
      <c r="AA544" s="18"/>
      <c r="AB544" s="7" t="s">
        <v>1046</v>
      </c>
      <c r="AC544" s="8"/>
      <c r="AD544" s="8"/>
      <c r="AE544" s="8"/>
      <c r="AF544" s="8" t="s">
        <v>726</v>
      </c>
      <c r="AG544" s="8" t="s">
        <v>726</v>
      </c>
      <c r="AH544" s="8" t="s">
        <v>726</v>
      </c>
      <c r="AI544" s="8" t="s">
        <v>726</v>
      </c>
      <c r="AJ544" s="8" t="s">
        <v>726</v>
      </c>
      <c r="AK544" s="8" t="s">
        <v>726</v>
      </c>
      <c r="AL544" s="8" t="s">
        <v>726</v>
      </c>
      <c r="AM544" s="8"/>
      <c r="AN544" s="8"/>
      <c r="AO544" s="8"/>
      <c r="AP544" s="8"/>
      <c r="AQ544" s="8"/>
      <c r="AR544" s="8"/>
      <c r="AS544" s="8"/>
      <c r="AT544" s="8"/>
      <c r="AU544" s="8"/>
      <c r="AV544" s="8"/>
      <c r="AX544" s="142">
        <v>19.41</v>
      </c>
    </row>
    <row r="545" spans="1:50" ht="38.25">
      <c r="B545" s="27">
        <v>534</v>
      </c>
      <c r="C545" s="31">
        <v>302</v>
      </c>
      <c r="D545" s="31">
        <v>421</v>
      </c>
      <c r="E545" s="32">
        <v>0.56597222222222221</v>
      </c>
      <c r="F545" s="32">
        <v>0.60555555555555551</v>
      </c>
      <c r="G545" s="31" t="s">
        <v>158</v>
      </c>
      <c r="H545" s="31" t="s">
        <v>546</v>
      </c>
      <c r="I545" s="33">
        <v>25</v>
      </c>
      <c r="J545" s="34" t="s">
        <v>156</v>
      </c>
      <c r="K545" s="35">
        <v>13</v>
      </c>
      <c r="L545" s="36">
        <f>+K545*I545</f>
        <v>325</v>
      </c>
      <c r="M545" s="37" t="s">
        <v>1915</v>
      </c>
      <c r="N545" s="112" t="s">
        <v>1914</v>
      </c>
      <c r="O545" s="112">
        <v>23</v>
      </c>
      <c r="P545" s="79" t="s">
        <v>2097</v>
      </c>
      <c r="Q545" s="79">
        <v>19</v>
      </c>
      <c r="R545" s="23" t="s">
        <v>2095</v>
      </c>
      <c r="S545" s="23">
        <v>23</v>
      </c>
      <c r="T545" s="7">
        <v>3695</v>
      </c>
      <c r="U545" s="7" t="s">
        <v>1498</v>
      </c>
      <c r="V545" s="7">
        <v>1</v>
      </c>
      <c r="W545" s="7" t="s">
        <v>1236</v>
      </c>
      <c r="X545" s="17"/>
      <c r="Y545" s="18"/>
      <c r="Z545" s="18"/>
      <c r="AA545" s="18"/>
      <c r="AB545" s="7" t="s">
        <v>1044</v>
      </c>
      <c r="AC545" s="8"/>
      <c r="AD545" s="8" t="s">
        <v>726</v>
      </c>
      <c r="AE545" s="8"/>
      <c r="AF545" s="8"/>
      <c r="AG545" s="8"/>
      <c r="AH545" s="8"/>
      <c r="AI545" s="8"/>
      <c r="AJ545" s="8"/>
      <c r="AK545" s="8"/>
      <c r="AL545" s="8"/>
      <c r="AM545" s="8" t="s">
        <v>726</v>
      </c>
      <c r="AN545" s="8"/>
      <c r="AO545" s="8"/>
      <c r="AP545" s="8"/>
      <c r="AQ545" s="8"/>
      <c r="AR545" s="8"/>
      <c r="AS545" s="8"/>
      <c r="AT545" s="8"/>
      <c r="AU545" s="8"/>
      <c r="AV545" s="8"/>
      <c r="AX545" s="142">
        <v>71.239999999999995</v>
      </c>
    </row>
    <row r="546" spans="1:50" ht="38.25">
      <c r="B546" s="27">
        <v>535</v>
      </c>
      <c r="C546" s="31">
        <v>302</v>
      </c>
      <c r="D546" s="31">
        <v>421</v>
      </c>
      <c r="E546" s="32">
        <v>0.56597222222222221</v>
      </c>
      <c r="F546" s="32">
        <v>0.60555555555555551</v>
      </c>
      <c r="G546" s="31" t="s">
        <v>158</v>
      </c>
      <c r="H546" s="31" t="s">
        <v>442</v>
      </c>
      <c r="I546" s="33">
        <v>25</v>
      </c>
      <c r="J546" s="34" t="s">
        <v>156</v>
      </c>
      <c r="K546" s="35">
        <v>47</v>
      </c>
      <c r="L546" s="36">
        <f>+K546*I546</f>
        <v>1175</v>
      </c>
      <c r="M546" s="37" t="s">
        <v>1915</v>
      </c>
      <c r="N546" s="112" t="s">
        <v>1914</v>
      </c>
      <c r="O546" s="112">
        <v>23</v>
      </c>
      <c r="P546" s="79" t="s">
        <v>2097</v>
      </c>
      <c r="Q546" s="79">
        <v>19</v>
      </c>
      <c r="R546" s="23" t="s">
        <v>2095</v>
      </c>
      <c r="S546" s="23">
        <v>23</v>
      </c>
      <c r="T546" s="7">
        <v>3695</v>
      </c>
      <c r="U546" s="7" t="s">
        <v>1498</v>
      </c>
      <c r="V546" s="7">
        <v>1</v>
      </c>
      <c r="W546" s="7" t="s">
        <v>1236</v>
      </c>
      <c r="X546" s="18"/>
      <c r="Y546" s="17"/>
      <c r="Z546" s="18"/>
      <c r="AA546" s="18"/>
      <c r="AB546" s="7" t="s">
        <v>1043</v>
      </c>
      <c r="AC546" s="8" t="s">
        <v>726</v>
      </c>
      <c r="AD546" s="8"/>
      <c r="AE546" s="8"/>
      <c r="AF546" s="8"/>
      <c r="AG546" s="8"/>
      <c r="AH546" s="8"/>
      <c r="AI546" s="8"/>
      <c r="AJ546" s="8"/>
      <c r="AK546" s="8"/>
      <c r="AL546" s="8"/>
      <c r="AM546" s="8" t="s">
        <v>726</v>
      </c>
      <c r="AN546" s="8"/>
      <c r="AO546" s="8"/>
      <c r="AP546" s="8"/>
      <c r="AQ546" s="8"/>
      <c r="AR546" s="8"/>
      <c r="AS546" s="8"/>
      <c r="AT546" s="8"/>
      <c r="AU546" s="8"/>
      <c r="AV546" s="8"/>
      <c r="AX546" s="142">
        <v>71.239999999999995</v>
      </c>
    </row>
    <row r="547" spans="1:50" ht="33.75">
      <c r="A547" s="2" t="s">
        <v>2068</v>
      </c>
      <c r="B547" s="27">
        <v>536</v>
      </c>
      <c r="C547" s="31">
        <v>302</v>
      </c>
      <c r="D547" s="31">
        <v>464</v>
      </c>
      <c r="E547" s="32">
        <v>0.58958333333333335</v>
      </c>
      <c r="F547" s="32">
        <v>0.59444444444444444</v>
      </c>
      <c r="G547" s="31" t="s">
        <v>288</v>
      </c>
      <c r="H547" s="31" t="s">
        <v>97</v>
      </c>
      <c r="I547" s="33">
        <v>3</v>
      </c>
      <c r="J547" s="34" t="s">
        <v>93</v>
      </c>
      <c r="K547" s="35">
        <v>208</v>
      </c>
      <c r="L547" s="36">
        <f>+K547*I547</f>
        <v>624</v>
      </c>
      <c r="M547" s="37" t="s">
        <v>713</v>
      </c>
      <c r="N547" s="23" t="s">
        <v>885</v>
      </c>
      <c r="O547" s="23">
        <v>20</v>
      </c>
      <c r="P547" s="23" t="s">
        <v>1797</v>
      </c>
      <c r="Q547" s="23">
        <v>17</v>
      </c>
      <c r="R547" s="23" t="s">
        <v>1176</v>
      </c>
      <c r="S547" s="24">
        <v>24</v>
      </c>
      <c r="T547" s="7" t="s">
        <v>1496</v>
      </c>
      <c r="U547" s="7" t="s">
        <v>1497</v>
      </c>
      <c r="V547" s="7">
        <v>3677</v>
      </c>
      <c r="W547" s="7" t="s">
        <v>1495</v>
      </c>
      <c r="X547" s="18"/>
      <c r="Y547" s="116">
        <v>44944</v>
      </c>
      <c r="Z547" s="116">
        <v>45052</v>
      </c>
      <c r="AA547" s="18"/>
      <c r="AB547" s="7" t="s">
        <v>1046</v>
      </c>
      <c r="AC547" s="8"/>
      <c r="AD547" s="8"/>
      <c r="AE547" s="8"/>
      <c r="AF547" s="8" t="s">
        <v>726</v>
      </c>
      <c r="AG547" s="8" t="s">
        <v>726</v>
      </c>
      <c r="AH547" s="8" t="s">
        <v>726</v>
      </c>
      <c r="AI547" s="8" t="s">
        <v>726</v>
      </c>
      <c r="AJ547" s="8" t="s">
        <v>726</v>
      </c>
      <c r="AK547" s="8" t="s">
        <v>726</v>
      </c>
      <c r="AL547" s="8" t="s">
        <v>726</v>
      </c>
      <c r="AM547" s="8"/>
      <c r="AN547" s="8"/>
      <c r="AO547" s="8"/>
      <c r="AP547" s="8"/>
      <c r="AQ547" s="8"/>
      <c r="AR547" s="8"/>
      <c r="AS547" s="8"/>
      <c r="AT547" s="8"/>
      <c r="AU547" s="8"/>
      <c r="AV547" s="8"/>
      <c r="AX547" s="142">
        <v>19.41</v>
      </c>
    </row>
    <row r="548" spans="1:50" ht="38.25">
      <c r="B548" s="27">
        <v>537</v>
      </c>
      <c r="C548" s="31">
        <v>302</v>
      </c>
      <c r="D548" s="31">
        <v>440</v>
      </c>
      <c r="E548" s="32">
        <v>0.72222222222222221</v>
      </c>
      <c r="F548" s="42">
        <v>0.7597222222222223</v>
      </c>
      <c r="G548" s="31" t="s">
        <v>159</v>
      </c>
      <c r="H548" s="31" t="s">
        <v>546</v>
      </c>
      <c r="I548" s="33">
        <v>25</v>
      </c>
      <c r="J548" s="34" t="s">
        <v>156</v>
      </c>
      <c r="K548" s="35">
        <v>13</v>
      </c>
      <c r="L548" s="36">
        <f>+K548*I548</f>
        <v>325</v>
      </c>
      <c r="M548" s="37" t="s">
        <v>1915</v>
      </c>
      <c r="N548" s="112" t="s">
        <v>1914</v>
      </c>
      <c r="O548" s="112">
        <v>23</v>
      </c>
      <c r="P548" s="79" t="s">
        <v>2097</v>
      </c>
      <c r="Q548" s="79">
        <v>19</v>
      </c>
      <c r="R548" s="23" t="s">
        <v>2095</v>
      </c>
      <c r="S548" s="23">
        <v>23</v>
      </c>
      <c r="T548" s="7">
        <v>1</v>
      </c>
      <c r="U548" s="7" t="s">
        <v>1233</v>
      </c>
      <c r="V548" s="7">
        <v>3695</v>
      </c>
      <c r="W548" s="7" t="s">
        <v>1498</v>
      </c>
      <c r="X548" s="17"/>
      <c r="Y548" s="18"/>
      <c r="Z548" s="18"/>
      <c r="AA548" s="18"/>
      <c r="AB548" s="7" t="s">
        <v>1044</v>
      </c>
      <c r="AC548" s="8"/>
      <c r="AD548" s="8" t="s">
        <v>726</v>
      </c>
      <c r="AE548" s="8"/>
      <c r="AF548" s="8"/>
      <c r="AG548" s="8"/>
      <c r="AH548" s="8"/>
      <c r="AI548" s="8"/>
      <c r="AJ548" s="8"/>
      <c r="AK548" s="8"/>
      <c r="AL548" s="8"/>
      <c r="AM548" s="8" t="s">
        <v>726</v>
      </c>
      <c r="AN548" s="8"/>
      <c r="AO548" s="8"/>
      <c r="AP548" s="8"/>
      <c r="AQ548" s="8"/>
      <c r="AR548" s="8"/>
      <c r="AS548" s="8"/>
      <c r="AT548" s="8"/>
      <c r="AU548" s="8"/>
      <c r="AV548" s="8"/>
      <c r="AX548" s="142">
        <v>71.239999999999995</v>
      </c>
    </row>
    <row r="549" spans="1:50" ht="38.25">
      <c r="B549" s="27">
        <v>538</v>
      </c>
      <c r="C549" s="31">
        <v>302</v>
      </c>
      <c r="D549" s="31">
        <v>440</v>
      </c>
      <c r="E549" s="32">
        <v>0.72222222222222221</v>
      </c>
      <c r="F549" s="42">
        <v>0.7597222222222223</v>
      </c>
      <c r="G549" s="31" t="s">
        <v>159</v>
      </c>
      <c r="H549" s="31" t="s">
        <v>442</v>
      </c>
      <c r="I549" s="33">
        <v>25</v>
      </c>
      <c r="J549" s="34" t="s">
        <v>156</v>
      </c>
      <c r="K549" s="35">
        <v>47</v>
      </c>
      <c r="L549" s="36">
        <f>+K549*I549</f>
        <v>1175</v>
      </c>
      <c r="M549" s="37" t="s">
        <v>1915</v>
      </c>
      <c r="N549" s="112" t="s">
        <v>1914</v>
      </c>
      <c r="O549" s="112">
        <v>23</v>
      </c>
      <c r="P549" s="79" t="s">
        <v>2097</v>
      </c>
      <c r="Q549" s="79">
        <v>19</v>
      </c>
      <c r="R549" s="23" t="s">
        <v>2095</v>
      </c>
      <c r="S549" s="23">
        <v>23</v>
      </c>
      <c r="T549" s="7">
        <v>1</v>
      </c>
      <c r="U549" s="7" t="s">
        <v>1233</v>
      </c>
      <c r="V549" s="7">
        <v>3695</v>
      </c>
      <c r="W549" s="7" t="s">
        <v>1498</v>
      </c>
      <c r="X549" s="18"/>
      <c r="Y549" s="17"/>
      <c r="Z549" s="18"/>
      <c r="AA549" s="18"/>
      <c r="AB549" s="7" t="s">
        <v>1043</v>
      </c>
      <c r="AC549" s="8" t="s">
        <v>726</v>
      </c>
      <c r="AD549" s="8"/>
      <c r="AE549" s="8"/>
      <c r="AF549" s="8"/>
      <c r="AG549" s="8"/>
      <c r="AH549" s="8"/>
      <c r="AI549" s="8"/>
      <c r="AJ549" s="8"/>
      <c r="AK549" s="8"/>
      <c r="AL549" s="8"/>
      <c r="AM549" s="8" t="s">
        <v>726</v>
      </c>
      <c r="AN549" s="8"/>
      <c r="AO549" s="8"/>
      <c r="AP549" s="8"/>
      <c r="AQ549" s="8"/>
      <c r="AR549" s="8"/>
      <c r="AS549" s="8"/>
      <c r="AT549" s="8"/>
      <c r="AU549" s="8"/>
      <c r="AV549" s="8"/>
      <c r="AX549" s="142">
        <v>71.239999999999995</v>
      </c>
    </row>
    <row r="550" spans="1:50" ht="33.75">
      <c r="A550" s="2" t="s">
        <v>2068</v>
      </c>
      <c r="B550" s="27">
        <v>539</v>
      </c>
      <c r="C550" s="31">
        <v>302</v>
      </c>
      <c r="D550" s="31">
        <v>474</v>
      </c>
      <c r="E550" s="32">
        <v>0.72916666666666663</v>
      </c>
      <c r="F550" s="32">
        <v>0.73402777777777783</v>
      </c>
      <c r="G550" s="31" t="s">
        <v>288</v>
      </c>
      <c r="H550" s="31" t="s">
        <v>103</v>
      </c>
      <c r="I550" s="33">
        <v>3</v>
      </c>
      <c r="J550" s="34" t="s">
        <v>93</v>
      </c>
      <c r="K550" s="35">
        <v>174</v>
      </c>
      <c r="L550" s="36">
        <f>+K550*I550</f>
        <v>522</v>
      </c>
      <c r="M550" s="37" t="s">
        <v>713</v>
      </c>
      <c r="N550" s="23" t="s">
        <v>885</v>
      </c>
      <c r="O550" s="23">
        <v>20</v>
      </c>
      <c r="P550" s="23" t="s">
        <v>1797</v>
      </c>
      <c r="Q550" s="23">
        <v>17</v>
      </c>
      <c r="R550" s="23" t="s">
        <v>1176</v>
      </c>
      <c r="S550" s="24">
        <v>24</v>
      </c>
      <c r="T550" s="7" t="s">
        <v>1496</v>
      </c>
      <c r="U550" s="7" t="s">
        <v>1497</v>
      </c>
      <c r="V550" s="7">
        <v>3677</v>
      </c>
      <c r="W550" s="7" t="s">
        <v>1495</v>
      </c>
      <c r="X550" s="18"/>
      <c r="Y550" s="116">
        <v>44944</v>
      </c>
      <c r="Z550" s="116">
        <v>45052</v>
      </c>
      <c r="AA550" s="18"/>
      <c r="AB550" s="7" t="s">
        <v>1042</v>
      </c>
      <c r="AC550" s="8"/>
      <c r="AD550" s="8"/>
      <c r="AE550" s="8"/>
      <c r="AF550" s="8" t="s">
        <v>726</v>
      </c>
      <c r="AG550" s="8" t="s">
        <v>726</v>
      </c>
      <c r="AH550" s="8" t="s">
        <v>726</v>
      </c>
      <c r="AI550" s="8" t="s">
        <v>726</v>
      </c>
      <c r="AJ550" s="8" t="s">
        <v>726</v>
      </c>
      <c r="AK550" s="8" t="s">
        <v>726</v>
      </c>
      <c r="AL550" s="8"/>
      <c r="AM550" s="8"/>
      <c r="AN550" s="8"/>
      <c r="AO550" s="8"/>
      <c r="AP550" s="8"/>
      <c r="AQ550" s="8"/>
      <c r="AR550" s="8"/>
      <c r="AS550" s="8"/>
      <c r="AT550" s="8"/>
      <c r="AU550" s="8"/>
      <c r="AV550" s="8"/>
      <c r="AX550" s="142">
        <v>10</v>
      </c>
    </row>
    <row r="551" spans="1:50" ht="33.75">
      <c r="A551" s="2" t="s">
        <v>2068</v>
      </c>
      <c r="B551" s="27">
        <v>540</v>
      </c>
      <c r="C551" s="31">
        <v>302</v>
      </c>
      <c r="D551" s="31">
        <v>466</v>
      </c>
      <c r="E551" s="32">
        <v>0.74930555555555556</v>
      </c>
      <c r="F551" s="32">
        <v>0.75416666666666676</v>
      </c>
      <c r="G551" s="31" t="s">
        <v>288</v>
      </c>
      <c r="H551" s="31" t="s">
        <v>103</v>
      </c>
      <c r="I551" s="33">
        <v>3</v>
      </c>
      <c r="J551" s="34" t="s">
        <v>93</v>
      </c>
      <c r="K551" s="35">
        <v>174</v>
      </c>
      <c r="L551" s="36">
        <f>+K551*I551</f>
        <v>522</v>
      </c>
      <c r="M551" s="37" t="s">
        <v>713</v>
      </c>
      <c r="N551" s="23" t="s">
        <v>885</v>
      </c>
      <c r="O551" s="23">
        <v>20</v>
      </c>
      <c r="P551" s="23" t="s">
        <v>1797</v>
      </c>
      <c r="Q551" s="23">
        <v>17</v>
      </c>
      <c r="R551" s="23" t="s">
        <v>1176</v>
      </c>
      <c r="S551" s="24">
        <v>24</v>
      </c>
      <c r="T551" s="7" t="s">
        <v>1496</v>
      </c>
      <c r="U551" s="7" t="s">
        <v>1497</v>
      </c>
      <c r="V551" s="7">
        <v>3677</v>
      </c>
      <c r="W551" s="7" t="s">
        <v>1495</v>
      </c>
      <c r="X551" s="18"/>
      <c r="Y551" s="116">
        <v>44944</v>
      </c>
      <c r="Z551" s="116">
        <v>45052</v>
      </c>
      <c r="AA551" s="18"/>
      <c r="AB551" s="7" t="s">
        <v>1042</v>
      </c>
      <c r="AC551" s="8"/>
      <c r="AD551" s="8"/>
      <c r="AE551" s="8"/>
      <c r="AF551" s="8" t="s">
        <v>726</v>
      </c>
      <c r="AG551" s="8" t="s">
        <v>726</v>
      </c>
      <c r="AH551" s="8" t="s">
        <v>726</v>
      </c>
      <c r="AI551" s="8" t="s">
        <v>726</v>
      </c>
      <c r="AJ551" s="8" t="s">
        <v>726</v>
      </c>
      <c r="AK551" s="8" t="s">
        <v>726</v>
      </c>
      <c r="AL551" s="8"/>
      <c r="AM551" s="8"/>
      <c r="AN551" s="8"/>
      <c r="AO551" s="8"/>
      <c r="AP551" s="8"/>
      <c r="AQ551" s="8"/>
      <c r="AR551" s="8"/>
      <c r="AS551" s="8"/>
      <c r="AT551" s="8"/>
      <c r="AU551" s="8"/>
      <c r="AV551" s="8"/>
      <c r="AX551" s="142">
        <v>18.760000000000002</v>
      </c>
    </row>
    <row r="552" spans="1:50" ht="33.75">
      <c r="A552" s="2" t="s">
        <v>2068</v>
      </c>
      <c r="B552" s="27">
        <v>541</v>
      </c>
      <c r="C552" s="31">
        <v>302</v>
      </c>
      <c r="D552" s="31">
        <v>466</v>
      </c>
      <c r="E552" s="32">
        <v>0.74930555555555556</v>
      </c>
      <c r="F552" s="32">
        <v>0.75416666666666676</v>
      </c>
      <c r="G552" s="31" t="s">
        <v>288</v>
      </c>
      <c r="H552" s="31" t="s">
        <v>586</v>
      </c>
      <c r="I552" s="33">
        <v>3</v>
      </c>
      <c r="J552" s="34" t="s">
        <v>93</v>
      </c>
      <c r="K552" s="35">
        <v>26</v>
      </c>
      <c r="L552" s="36">
        <f>+K552*I552</f>
        <v>78</v>
      </c>
      <c r="M552" s="37" t="s">
        <v>713</v>
      </c>
      <c r="N552" s="23" t="s">
        <v>885</v>
      </c>
      <c r="O552" s="23">
        <v>20</v>
      </c>
      <c r="P552" s="23" t="s">
        <v>1797</v>
      </c>
      <c r="Q552" s="23">
        <v>17</v>
      </c>
      <c r="R552" s="23" t="s">
        <v>1176</v>
      </c>
      <c r="S552" s="24">
        <v>24</v>
      </c>
      <c r="T552" s="7" t="s">
        <v>1496</v>
      </c>
      <c r="U552" s="7" t="s">
        <v>1497</v>
      </c>
      <c r="V552" s="7">
        <v>3677</v>
      </c>
      <c r="W552" s="7" t="s">
        <v>1495</v>
      </c>
      <c r="X552" s="18"/>
      <c r="Y552" s="116">
        <v>44944</v>
      </c>
      <c r="Z552" s="116">
        <v>45052</v>
      </c>
      <c r="AA552" s="18"/>
      <c r="AB552" s="7" t="s">
        <v>1072</v>
      </c>
      <c r="AC552" s="8" t="s">
        <v>726</v>
      </c>
      <c r="AD552" s="8"/>
      <c r="AE552" s="8" t="s">
        <v>726</v>
      </c>
      <c r="AF552" s="8"/>
      <c r="AG552" s="8"/>
      <c r="AH552" s="8"/>
      <c r="AI552" s="8"/>
      <c r="AJ552" s="8"/>
      <c r="AK552" s="8"/>
      <c r="AL552" s="8"/>
      <c r="AM552" s="8"/>
      <c r="AN552" s="8"/>
      <c r="AO552" s="8"/>
      <c r="AP552" s="8"/>
      <c r="AQ552" s="8" t="s">
        <v>726</v>
      </c>
      <c r="AR552" s="8" t="s">
        <v>726</v>
      </c>
      <c r="AS552" s="8" t="s">
        <v>726</v>
      </c>
      <c r="AT552" s="8" t="s">
        <v>726</v>
      </c>
      <c r="AU552" s="8" t="s">
        <v>726</v>
      </c>
      <c r="AV552" s="8"/>
      <c r="AX552" s="142">
        <v>18.760000000000002</v>
      </c>
    </row>
    <row r="553" spans="1:50" ht="25.5">
      <c r="B553" s="27">
        <v>542</v>
      </c>
      <c r="C553" s="31">
        <v>302</v>
      </c>
      <c r="D553" s="31">
        <v>466</v>
      </c>
      <c r="E553" s="32">
        <v>0.74930555555555556</v>
      </c>
      <c r="F553" s="32">
        <v>0.75416666666666676</v>
      </c>
      <c r="G553" s="31" t="s">
        <v>288</v>
      </c>
      <c r="H553" s="31" t="s">
        <v>587</v>
      </c>
      <c r="I553" s="33">
        <v>3</v>
      </c>
      <c r="J553" s="34" t="s">
        <v>93</v>
      </c>
      <c r="K553" s="35">
        <v>44</v>
      </c>
      <c r="L553" s="36">
        <f>+K553*I553</f>
        <v>132</v>
      </c>
      <c r="M553" s="37" t="s">
        <v>713</v>
      </c>
      <c r="N553" s="23" t="s">
        <v>885</v>
      </c>
      <c r="O553" s="23">
        <v>20</v>
      </c>
      <c r="P553" s="23" t="s">
        <v>1797</v>
      </c>
      <c r="Q553" s="23">
        <v>17</v>
      </c>
      <c r="R553" s="23" t="s">
        <v>1176</v>
      </c>
      <c r="S553" s="24">
        <v>24</v>
      </c>
      <c r="T553" s="7" t="s">
        <v>1496</v>
      </c>
      <c r="U553" s="7" t="s">
        <v>1497</v>
      </c>
      <c r="V553" s="7">
        <v>3677</v>
      </c>
      <c r="W553" s="7" t="s">
        <v>1495</v>
      </c>
      <c r="X553" s="17"/>
      <c r="Y553" s="18"/>
      <c r="Z553" s="18"/>
      <c r="AA553" s="18"/>
      <c r="AB553" s="7" t="s">
        <v>1080</v>
      </c>
      <c r="AC553" s="8"/>
      <c r="AD553" s="8" t="s">
        <v>726</v>
      </c>
      <c r="AE553" s="8" t="s">
        <v>726</v>
      </c>
      <c r="AF553" s="8"/>
      <c r="AG553" s="8" t="s">
        <v>726</v>
      </c>
      <c r="AH553" s="8" t="s">
        <v>726</v>
      </c>
      <c r="AI553" s="8" t="s">
        <v>726</v>
      </c>
      <c r="AJ553" s="8" t="s">
        <v>726</v>
      </c>
      <c r="AK553" s="8"/>
      <c r="AL553" s="8"/>
      <c r="AM553" s="8"/>
      <c r="AN553" s="8"/>
      <c r="AO553" s="8"/>
      <c r="AP553" s="8"/>
      <c r="AQ553" s="8"/>
      <c r="AR553" s="8"/>
      <c r="AS553" s="8"/>
      <c r="AT553" s="8"/>
      <c r="AU553" s="8"/>
      <c r="AV553" s="8"/>
      <c r="AX553" s="142">
        <v>10</v>
      </c>
    </row>
    <row r="554" spans="1:50" ht="38.25">
      <c r="B554" s="27">
        <v>543</v>
      </c>
      <c r="C554" s="31">
        <v>302</v>
      </c>
      <c r="D554" s="31">
        <v>167</v>
      </c>
      <c r="E554" s="32">
        <v>0.76736111111111116</v>
      </c>
      <c r="F554" s="32">
        <v>0.80069444444444438</v>
      </c>
      <c r="G554" s="31" t="s">
        <v>158</v>
      </c>
      <c r="H554" s="31" t="s">
        <v>546</v>
      </c>
      <c r="I554" s="33">
        <v>25</v>
      </c>
      <c r="J554" s="34" t="s">
        <v>156</v>
      </c>
      <c r="K554" s="35">
        <v>13</v>
      </c>
      <c r="L554" s="36">
        <f>+K554*I554</f>
        <v>325</v>
      </c>
      <c r="M554" s="37" t="s">
        <v>1915</v>
      </c>
      <c r="N554" s="112" t="s">
        <v>1914</v>
      </c>
      <c r="O554" s="112">
        <v>23</v>
      </c>
      <c r="P554" s="79" t="s">
        <v>2097</v>
      </c>
      <c r="Q554" s="79">
        <v>19</v>
      </c>
      <c r="R554" s="23" t="s">
        <v>2095</v>
      </c>
      <c r="S554" s="23">
        <v>23</v>
      </c>
      <c r="T554" s="7">
        <v>3695</v>
      </c>
      <c r="U554" s="7" t="s">
        <v>1498</v>
      </c>
      <c r="V554" s="7">
        <v>1</v>
      </c>
      <c r="W554" s="7" t="s">
        <v>1236</v>
      </c>
      <c r="X554" s="17"/>
      <c r="Y554" s="18"/>
      <c r="Z554" s="18"/>
      <c r="AA554" s="18"/>
      <c r="AB554" s="7" t="s">
        <v>1044</v>
      </c>
      <c r="AC554" s="8"/>
      <c r="AD554" s="8" t="s">
        <v>726</v>
      </c>
      <c r="AE554" s="8"/>
      <c r="AF554" s="8"/>
      <c r="AG554" s="8"/>
      <c r="AH554" s="8"/>
      <c r="AI554" s="8"/>
      <c r="AJ554" s="8"/>
      <c r="AK554" s="8"/>
      <c r="AL554" s="8"/>
      <c r="AM554" s="8" t="s">
        <v>726</v>
      </c>
      <c r="AN554" s="8"/>
      <c r="AO554" s="8"/>
      <c r="AP554" s="8"/>
      <c r="AQ554" s="8"/>
      <c r="AR554" s="8"/>
      <c r="AS554" s="8"/>
      <c r="AT554" s="8"/>
      <c r="AU554" s="8"/>
      <c r="AV554" s="8"/>
      <c r="AX554" s="142">
        <v>71.239999999999995</v>
      </c>
    </row>
    <row r="555" spans="1:50" ht="38.25">
      <c r="B555" s="27">
        <v>544</v>
      </c>
      <c r="C555" s="31">
        <v>302</v>
      </c>
      <c r="D555" s="31">
        <v>167</v>
      </c>
      <c r="E555" s="32">
        <v>0.76736111111111116</v>
      </c>
      <c r="F555" s="32">
        <v>0.80069444444444438</v>
      </c>
      <c r="G555" s="31" t="s">
        <v>158</v>
      </c>
      <c r="H555" s="31" t="s">
        <v>442</v>
      </c>
      <c r="I555" s="33">
        <v>25</v>
      </c>
      <c r="J555" s="34" t="s">
        <v>156</v>
      </c>
      <c r="K555" s="35">
        <v>47</v>
      </c>
      <c r="L555" s="36">
        <f>+K555*I555</f>
        <v>1175</v>
      </c>
      <c r="M555" s="37" t="s">
        <v>1915</v>
      </c>
      <c r="N555" s="112" t="s">
        <v>1914</v>
      </c>
      <c r="O555" s="112">
        <v>23</v>
      </c>
      <c r="P555" s="79" t="s">
        <v>2097</v>
      </c>
      <c r="Q555" s="79">
        <v>19</v>
      </c>
      <c r="R555" s="23" t="s">
        <v>2095</v>
      </c>
      <c r="S555" s="23">
        <v>23</v>
      </c>
      <c r="T555" s="7">
        <v>3695</v>
      </c>
      <c r="U555" s="7" t="s">
        <v>1498</v>
      </c>
      <c r="V555" s="7">
        <v>1</v>
      </c>
      <c r="W555" s="7" t="s">
        <v>1236</v>
      </c>
      <c r="X555" s="18"/>
      <c r="Y555" s="17"/>
      <c r="Z555" s="18"/>
      <c r="AA555" s="18"/>
      <c r="AB555" s="7" t="s">
        <v>1043</v>
      </c>
      <c r="AC555" s="8" t="s">
        <v>726</v>
      </c>
      <c r="AD555" s="8"/>
      <c r="AE555" s="8"/>
      <c r="AF555" s="8"/>
      <c r="AG555" s="8"/>
      <c r="AH555" s="8"/>
      <c r="AI555" s="8"/>
      <c r="AJ555" s="8"/>
      <c r="AK555" s="8"/>
      <c r="AL555" s="8"/>
      <c r="AM555" s="8" t="s">
        <v>726</v>
      </c>
      <c r="AN555" s="8"/>
      <c r="AO555" s="8"/>
      <c r="AP555" s="8"/>
      <c r="AQ555" s="8"/>
      <c r="AR555" s="8"/>
      <c r="AS555" s="8"/>
      <c r="AT555" s="8"/>
      <c r="AU555" s="8"/>
      <c r="AV555" s="8"/>
      <c r="AX555" s="142">
        <v>71.239999999999995</v>
      </c>
    </row>
    <row r="556" spans="1:50" ht="33.75">
      <c r="B556" s="27">
        <v>545</v>
      </c>
      <c r="C556" s="31">
        <v>302</v>
      </c>
      <c r="D556" s="31">
        <v>238</v>
      </c>
      <c r="E556" s="32">
        <v>0.85416666666666663</v>
      </c>
      <c r="F556" s="32">
        <v>0.87847222222222221</v>
      </c>
      <c r="G556" s="31" t="s">
        <v>154</v>
      </c>
      <c r="H556" s="31" t="s">
        <v>424</v>
      </c>
      <c r="I556" s="33">
        <v>22</v>
      </c>
      <c r="J556" s="34" t="s">
        <v>93</v>
      </c>
      <c r="K556" s="35">
        <v>55</v>
      </c>
      <c r="L556" s="36">
        <f>+K556*I556</f>
        <v>1210</v>
      </c>
      <c r="M556" s="37" t="s">
        <v>1915</v>
      </c>
      <c r="N556" s="112" t="s">
        <v>1914</v>
      </c>
      <c r="O556" s="112">
        <v>23</v>
      </c>
      <c r="P556" s="79" t="s">
        <v>2097</v>
      </c>
      <c r="Q556" s="79">
        <v>19</v>
      </c>
      <c r="R556" s="23" t="s">
        <v>2095</v>
      </c>
      <c r="S556" s="23">
        <v>23</v>
      </c>
      <c r="T556" s="7">
        <v>1</v>
      </c>
      <c r="U556" s="7" t="s">
        <v>1233</v>
      </c>
      <c r="V556" s="7">
        <v>3690</v>
      </c>
      <c r="W556" s="7" t="s">
        <v>1500</v>
      </c>
      <c r="X556" s="17"/>
      <c r="Y556" s="18"/>
      <c r="Z556" s="18"/>
      <c r="AA556" s="18"/>
      <c r="AB556" s="7" t="s">
        <v>1049</v>
      </c>
      <c r="AC556" s="8"/>
      <c r="AD556" s="8" t="s">
        <v>726</v>
      </c>
      <c r="AE556" s="8" t="s">
        <v>726</v>
      </c>
      <c r="AF556" s="8"/>
      <c r="AG556" s="8" t="s">
        <v>726</v>
      </c>
      <c r="AH556" s="8" t="s">
        <v>726</v>
      </c>
      <c r="AI556" s="8" t="s">
        <v>726</v>
      </c>
      <c r="AJ556" s="8" t="s">
        <v>726</v>
      </c>
      <c r="AK556" s="8" t="s">
        <v>726</v>
      </c>
      <c r="AL556" s="8"/>
      <c r="AM556" s="8"/>
      <c r="AN556" s="8"/>
      <c r="AO556" s="8"/>
      <c r="AP556" s="8"/>
      <c r="AQ556" s="8"/>
      <c r="AR556" s="8"/>
      <c r="AS556" s="8"/>
      <c r="AT556" s="8"/>
      <c r="AU556" s="8"/>
      <c r="AV556" s="8"/>
      <c r="AX556" s="142">
        <v>126.1</v>
      </c>
    </row>
    <row r="557" spans="1:50" ht="33.75">
      <c r="B557" s="27">
        <v>546</v>
      </c>
      <c r="C557" s="31">
        <v>302</v>
      </c>
      <c r="D557" s="31">
        <v>238</v>
      </c>
      <c r="E557" s="32">
        <v>0.85416666666666663</v>
      </c>
      <c r="F557" s="32">
        <v>0.87847222222222221</v>
      </c>
      <c r="G557" s="31" t="s">
        <v>154</v>
      </c>
      <c r="H557" s="31" t="s">
        <v>203</v>
      </c>
      <c r="I557" s="33">
        <v>22</v>
      </c>
      <c r="J557" s="34" t="s">
        <v>93</v>
      </c>
      <c r="K557" s="35">
        <v>202</v>
      </c>
      <c r="L557" s="36">
        <f>+K557*I557</f>
        <v>4444</v>
      </c>
      <c r="M557" s="37" t="s">
        <v>1915</v>
      </c>
      <c r="N557" s="112" t="s">
        <v>1914</v>
      </c>
      <c r="O557" s="112">
        <v>23</v>
      </c>
      <c r="P557" s="79" t="s">
        <v>2097</v>
      </c>
      <c r="Q557" s="79">
        <v>19</v>
      </c>
      <c r="R557" s="23" t="s">
        <v>2096</v>
      </c>
      <c r="S557" s="23">
        <v>20</v>
      </c>
      <c r="T557" s="7">
        <v>1</v>
      </c>
      <c r="U557" s="7" t="s">
        <v>1233</v>
      </c>
      <c r="V557" s="7">
        <v>3690</v>
      </c>
      <c r="W557" s="7" t="s">
        <v>1500</v>
      </c>
      <c r="X557" s="18"/>
      <c r="Y557" s="17"/>
      <c r="Z557" s="18"/>
      <c r="AA557" s="18"/>
      <c r="AB557" s="7" t="s">
        <v>1048</v>
      </c>
      <c r="AC557" s="8" t="s">
        <v>726</v>
      </c>
      <c r="AD557" s="8"/>
      <c r="AE557" s="8" t="s">
        <v>726</v>
      </c>
      <c r="AF557" s="8"/>
      <c r="AG557" s="8" t="s">
        <v>726</v>
      </c>
      <c r="AH557" s="8" t="s">
        <v>726</v>
      </c>
      <c r="AI557" s="8" t="s">
        <v>726</v>
      </c>
      <c r="AJ557" s="8" t="s">
        <v>726</v>
      </c>
      <c r="AK557" s="8" t="s">
        <v>726</v>
      </c>
      <c r="AL557" s="8"/>
      <c r="AM557" s="8"/>
      <c r="AN557" s="8"/>
      <c r="AO557" s="8"/>
      <c r="AP557" s="8"/>
      <c r="AQ557" s="8"/>
      <c r="AR557" s="8"/>
      <c r="AS557" s="8"/>
      <c r="AT557" s="8"/>
      <c r="AU557" s="8"/>
      <c r="AV557" s="8"/>
      <c r="AX557" s="142">
        <v>126.1</v>
      </c>
    </row>
    <row r="558" spans="1:50" ht="33.75">
      <c r="B558" s="27">
        <v>547</v>
      </c>
      <c r="C558" s="31">
        <v>302</v>
      </c>
      <c r="D558" s="31">
        <v>238</v>
      </c>
      <c r="E558" s="32">
        <v>0.91666666666666663</v>
      </c>
      <c r="F558" s="32">
        <v>0.94097222222222221</v>
      </c>
      <c r="G558" s="31" t="s">
        <v>154</v>
      </c>
      <c r="H558" s="31" t="s">
        <v>505</v>
      </c>
      <c r="I558" s="33">
        <v>22</v>
      </c>
      <c r="J558" s="34" t="s">
        <v>93</v>
      </c>
      <c r="K558" s="35">
        <v>12</v>
      </c>
      <c r="L558" s="36">
        <f>+K558*I558</f>
        <v>264</v>
      </c>
      <c r="M558" s="37" t="s">
        <v>1915</v>
      </c>
      <c r="N558" s="112" t="s">
        <v>1914</v>
      </c>
      <c r="O558" s="112">
        <v>23</v>
      </c>
      <c r="P558" s="79" t="s">
        <v>2097</v>
      </c>
      <c r="Q558" s="79">
        <v>19</v>
      </c>
      <c r="R558" s="23" t="s">
        <v>2095</v>
      </c>
      <c r="S558" s="23">
        <v>23</v>
      </c>
      <c r="T558" s="7">
        <v>1</v>
      </c>
      <c r="U558" s="7" t="s">
        <v>1233</v>
      </c>
      <c r="V558" s="7">
        <v>3690</v>
      </c>
      <c r="W558" s="7" t="s">
        <v>1500</v>
      </c>
      <c r="X558" s="17"/>
      <c r="Y558" s="18"/>
      <c r="Z558" s="18"/>
      <c r="AA558" s="18"/>
      <c r="AB558" s="7" t="s">
        <v>1058</v>
      </c>
      <c r="AC558" s="8"/>
      <c r="AD558" s="8" t="s">
        <v>726</v>
      </c>
      <c r="AE558" s="8" t="s">
        <v>726</v>
      </c>
      <c r="AF558" s="8"/>
      <c r="AG558" s="8"/>
      <c r="AH558" s="8"/>
      <c r="AI558" s="8"/>
      <c r="AJ558" s="8"/>
      <c r="AK558" s="8"/>
      <c r="AL558" s="8" t="s">
        <v>726</v>
      </c>
      <c r="AM558" s="8"/>
      <c r="AN558" s="8"/>
      <c r="AO558" s="8"/>
      <c r="AP558" s="8"/>
      <c r="AQ558" s="8"/>
      <c r="AR558" s="8"/>
      <c r="AS558" s="8"/>
      <c r="AT558" s="8"/>
      <c r="AU558" s="8"/>
      <c r="AV558" s="8"/>
      <c r="AX558" s="142">
        <v>126.1</v>
      </c>
    </row>
    <row r="559" spans="1:50" ht="33.75">
      <c r="B559" s="27">
        <v>548</v>
      </c>
      <c r="C559" s="31">
        <v>302</v>
      </c>
      <c r="D559" s="31">
        <v>238</v>
      </c>
      <c r="E559" s="32">
        <v>0.91666666666666663</v>
      </c>
      <c r="F559" s="32">
        <v>0.94097222222222221</v>
      </c>
      <c r="G559" s="31" t="s">
        <v>154</v>
      </c>
      <c r="H559" s="31" t="s">
        <v>161</v>
      </c>
      <c r="I559" s="33">
        <v>22</v>
      </c>
      <c r="J559" s="34" t="s">
        <v>93</v>
      </c>
      <c r="K559" s="35">
        <v>38</v>
      </c>
      <c r="L559" s="36">
        <f>+K559*I559</f>
        <v>836</v>
      </c>
      <c r="M559" s="37" t="s">
        <v>1915</v>
      </c>
      <c r="N559" s="112" t="s">
        <v>1914</v>
      </c>
      <c r="O559" s="112">
        <v>23</v>
      </c>
      <c r="P559" s="79" t="s">
        <v>2097</v>
      </c>
      <c r="Q559" s="79">
        <v>19</v>
      </c>
      <c r="R559" s="23" t="s">
        <v>2096</v>
      </c>
      <c r="S559" s="23">
        <v>20</v>
      </c>
      <c r="T559" s="7">
        <v>1</v>
      </c>
      <c r="U559" s="7" t="s">
        <v>1233</v>
      </c>
      <c r="V559" s="7">
        <v>3690</v>
      </c>
      <c r="W559" s="7" t="s">
        <v>1500</v>
      </c>
      <c r="X559" s="18"/>
      <c r="Y559" s="17"/>
      <c r="Z559" s="18"/>
      <c r="AA559" s="18"/>
      <c r="AB559" s="7" t="s">
        <v>1065</v>
      </c>
      <c r="AC559" s="8" t="s">
        <v>726</v>
      </c>
      <c r="AD559" s="8"/>
      <c r="AE559" s="8" t="s">
        <v>726</v>
      </c>
      <c r="AF559" s="8"/>
      <c r="AG559" s="8"/>
      <c r="AH559" s="8"/>
      <c r="AI559" s="8"/>
      <c r="AJ559" s="8"/>
      <c r="AK559" s="8"/>
      <c r="AL559" s="8" t="s">
        <v>726</v>
      </c>
      <c r="AM559" s="8"/>
      <c r="AN559" s="8"/>
      <c r="AO559" s="8"/>
      <c r="AP559" s="8"/>
      <c r="AQ559" s="8"/>
      <c r="AR559" s="8"/>
      <c r="AS559" s="8"/>
      <c r="AT559" s="8"/>
      <c r="AU559" s="8"/>
      <c r="AV559" s="8"/>
      <c r="AX559" s="142">
        <v>126.1</v>
      </c>
    </row>
    <row r="560" spans="1:50" ht="33.75">
      <c r="A560" s="2" t="s">
        <v>1105</v>
      </c>
      <c r="B560" s="27">
        <v>549</v>
      </c>
      <c r="C560" s="31">
        <v>303</v>
      </c>
      <c r="D560" s="31">
        <v>545</v>
      </c>
      <c r="E560" s="32">
        <v>0.27083333333333331</v>
      </c>
      <c r="F560" s="42">
        <v>0.2951388888888889</v>
      </c>
      <c r="G560" s="43" t="s">
        <v>982</v>
      </c>
      <c r="H560" s="31" t="s">
        <v>97</v>
      </c>
      <c r="I560" s="52">
        <v>28</v>
      </c>
      <c r="J560" s="34">
        <v>14</v>
      </c>
      <c r="K560" s="35">
        <v>208</v>
      </c>
      <c r="L560" s="36">
        <f>+K560*I560</f>
        <v>5824</v>
      </c>
      <c r="M560" s="37" t="s">
        <v>749</v>
      </c>
      <c r="N560" s="23" t="s">
        <v>824</v>
      </c>
      <c r="O560" s="23">
        <v>15</v>
      </c>
      <c r="P560" s="23" t="s">
        <v>1798</v>
      </c>
      <c r="Q560" s="23">
        <v>9</v>
      </c>
      <c r="R560" s="23" t="s">
        <v>1177</v>
      </c>
      <c r="S560" s="24">
        <v>9</v>
      </c>
      <c r="T560" s="7">
        <v>3895</v>
      </c>
      <c r="U560" s="7" t="s">
        <v>1501</v>
      </c>
      <c r="V560" s="7" t="s">
        <v>1502</v>
      </c>
      <c r="W560" s="7" t="s">
        <v>1503</v>
      </c>
      <c r="X560" s="18"/>
      <c r="Y560" s="17"/>
      <c r="Z560" s="17"/>
      <c r="AA560" s="17"/>
      <c r="AB560" s="7" t="s">
        <v>1046</v>
      </c>
      <c r="AC560" s="8"/>
      <c r="AD560" s="8"/>
      <c r="AE560" s="8"/>
      <c r="AF560" s="8" t="s">
        <v>726</v>
      </c>
      <c r="AG560" s="8" t="s">
        <v>726</v>
      </c>
      <c r="AH560" s="8" t="s">
        <v>726</v>
      </c>
      <c r="AI560" s="8" t="s">
        <v>726</v>
      </c>
      <c r="AJ560" s="8" t="s">
        <v>726</v>
      </c>
      <c r="AK560" s="8" t="s">
        <v>726</v>
      </c>
      <c r="AL560" s="8" t="s">
        <v>726</v>
      </c>
      <c r="AM560" s="8"/>
      <c r="AN560" s="8"/>
      <c r="AO560" s="8"/>
      <c r="AP560" s="8"/>
      <c r="AQ560" s="8"/>
      <c r="AR560" s="8"/>
      <c r="AS560" s="8"/>
      <c r="AT560" s="8"/>
      <c r="AU560" s="8"/>
      <c r="AV560" s="8"/>
      <c r="AX560" s="142">
        <v>100.2</v>
      </c>
    </row>
    <row r="561" spans="1:50" ht="33.75">
      <c r="B561" s="27">
        <v>550</v>
      </c>
      <c r="C561" s="31">
        <v>303</v>
      </c>
      <c r="D561" s="31">
        <v>545</v>
      </c>
      <c r="E561" s="32">
        <v>0.27083333333333331</v>
      </c>
      <c r="F561" s="32">
        <v>0.2951388888888889</v>
      </c>
      <c r="G561" s="31" t="s">
        <v>564</v>
      </c>
      <c r="H561" s="31" t="s">
        <v>563</v>
      </c>
      <c r="I561" s="33">
        <v>28</v>
      </c>
      <c r="J561" s="34" t="s">
        <v>548</v>
      </c>
      <c r="K561" s="35">
        <v>55</v>
      </c>
      <c r="L561" s="36">
        <f>+K561*I561</f>
        <v>1540</v>
      </c>
      <c r="M561" s="37" t="s">
        <v>749</v>
      </c>
      <c r="N561" s="23" t="s">
        <v>824</v>
      </c>
      <c r="O561" s="23">
        <v>15</v>
      </c>
      <c r="P561" s="23" t="s">
        <v>1798</v>
      </c>
      <c r="Q561" s="23">
        <v>9</v>
      </c>
      <c r="R561" s="23" t="s">
        <v>1177</v>
      </c>
      <c r="S561" s="24">
        <v>9</v>
      </c>
      <c r="T561" s="7">
        <v>3895</v>
      </c>
      <c r="U561" s="7" t="s">
        <v>1501</v>
      </c>
      <c r="V561" s="7" t="s">
        <v>1343</v>
      </c>
      <c r="W561" s="7" t="s">
        <v>1344</v>
      </c>
      <c r="X561" s="17"/>
      <c r="Y561" s="18"/>
      <c r="Z561" s="18"/>
      <c r="AA561" s="18"/>
      <c r="AB561" s="7" t="s">
        <v>1049</v>
      </c>
      <c r="AC561" s="8"/>
      <c r="AD561" s="8" t="s">
        <v>726</v>
      </c>
      <c r="AE561" s="8" t="s">
        <v>726</v>
      </c>
      <c r="AF561" s="8"/>
      <c r="AG561" s="8" t="s">
        <v>726</v>
      </c>
      <c r="AH561" s="8" t="s">
        <v>726</v>
      </c>
      <c r="AI561" s="8" t="s">
        <v>726</v>
      </c>
      <c r="AJ561" s="8" t="s">
        <v>726</v>
      </c>
      <c r="AK561" s="8" t="s">
        <v>726</v>
      </c>
      <c r="AL561" s="8"/>
      <c r="AM561" s="8"/>
      <c r="AN561" s="8"/>
      <c r="AO561" s="8"/>
      <c r="AP561" s="8"/>
      <c r="AQ561" s="8"/>
      <c r="AR561" s="8"/>
      <c r="AS561" s="8"/>
      <c r="AT561" s="8"/>
      <c r="AU561" s="8"/>
      <c r="AV561" s="8"/>
      <c r="AX561" s="142">
        <v>84</v>
      </c>
    </row>
    <row r="562" spans="1:50" ht="38.25">
      <c r="B562" s="27">
        <v>551</v>
      </c>
      <c r="C562" s="31">
        <v>303</v>
      </c>
      <c r="D562" s="31">
        <v>501</v>
      </c>
      <c r="E562" s="32">
        <v>0.28055555555555556</v>
      </c>
      <c r="F562" s="32">
        <v>0.32013888888888892</v>
      </c>
      <c r="G562" s="31" t="s">
        <v>175</v>
      </c>
      <c r="H562" s="43" t="s">
        <v>1129</v>
      </c>
      <c r="I562" s="33">
        <v>28</v>
      </c>
      <c r="J562" s="34" t="s">
        <v>165</v>
      </c>
      <c r="K562" s="46">
        <v>87</v>
      </c>
      <c r="L562" s="36">
        <f>+K562*I562</f>
        <v>2436</v>
      </c>
      <c r="M562" s="37" t="s">
        <v>1130</v>
      </c>
      <c r="N562" s="23" t="s">
        <v>941</v>
      </c>
      <c r="O562" s="23">
        <v>58</v>
      </c>
      <c r="P562" s="2" t="s">
        <v>1178</v>
      </c>
      <c r="Q562" s="24">
        <v>55</v>
      </c>
      <c r="R562" s="4"/>
      <c r="S562" s="4"/>
      <c r="T562" s="7">
        <v>3820</v>
      </c>
      <c r="U562" s="7" t="s">
        <v>1504</v>
      </c>
      <c r="V562" s="7">
        <v>1</v>
      </c>
      <c r="W562" s="7" t="s">
        <v>1236</v>
      </c>
      <c r="X562" s="18"/>
      <c r="Y562" s="17"/>
      <c r="Z562" s="17"/>
      <c r="AA562" s="17"/>
      <c r="AB562" s="7" t="s">
        <v>1736</v>
      </c>
      <c r="AC562" s="8"/>
      <c r="AD562" s="8"/>
      <c r="AE562" s="8"/>
      <c r="AF562" s="8" t="s">
        <v>726</v>
      </c>
      <c r="AG562" s="8" t="s">
        <v>726</v>
      </c>
      <c r="AH562" s="8" t="s">
        <v>726</v>
      </c>
      <c r="AI562" s="8" t="s">
        <v>726</v>
      </c>
      <c r="AJ562" s="8" t="s">
        <v>726</v>
      </c>
      <c r="AK562" s="8" t="s">
        <v>726</v>
      </c>
      <c r="AL562" s="8"/>
      <c r="AM562" s="8"/>
      <c r="AN562" s="8"/>
      <c r="AO562" s="8"/>
      <c r="AP562" s="8"/>
      <c r="AQ562" s="8"/>
      <c r="AR562" s="8"/>
      <c r="AS562" s="8"/>
      <c r="AT562" s="8"/>
      <c r="AU562" s="8"/>
      <c r="AV562" s="8"/>
      <c r="AX562" s="142">
        <v>215.22</v>
      </c>
    </row>
    <row r="563" spans="1:50" ht="38.25">
      <c r="B563" s="48" t="s">
        <v>1128</v>
      </c>
      <c r="C563" s="31">
        <v>303</v>
      </c>
      <c r="D563" s="31">
        <v>501</v>
      </c>
      <c r="E563" s="32">
        <v>0.28055555555555556</v>
      </c>
      <c r="F563" s="32">
        <v>0.32013888888888892</v>
      </c>
      <c r="G563" s="31" t="s">
        <v>175</v>
      </c>
      <c r="H563" s="43" t="s">
        <v>1129</v>
      </c>
      <c r="I563" s="33">
        <v>28</v>
      </c>
      <c r="J563" s="34" t="s">
        <v>165</v>
      </c>
      <c r="K563" s="46">
        <v>87</v>
      </c>
      <c r="L563" s="36">
        <f>+K563*I563</f>
        <v>2436</v>
      </c>
      <c r="M563" s="37" t="s">
        <v>757</v>
      </c>
      <c r="N563" s="23" t="s">
        <v>1131</v>
      </c>
      <c r="O563" s="23">
        <v>57</v>
      </c>
      <c r="P563" s="23" t="s">
        <v>1799</v>
      </c>
      <c r="Q563" s="49">
        <v>58</v>
      </c>
      <c r="R563" s="23"/>
      <c r="S563" s="23"/>
      <c r="T563" s="7">
        <v>3820</v>
      </c>
      <c r="U563" s="7" t="s">
        <v>1504</v>
      </c>
      <c r="V563" s="7">
        <v>1</v>
      </c>
      <c r="W563" s="7" t="s">
        <v>1236</v>
      </c>
      <c r="X563" s="18"/>
      <c r="Y563" s="17"/>
      <c r="Z563" s="17"/>
      <c r="AA563" s="17"/>
      <c r="AB563" s="7" t="s">
        <v>1737</v>
      </c>
      <c r="AC563" s="8"/>
      <c r="AD563" s="8"/>
      <c r="AE563" s="8"/>
      <c r="AF563" s="8" t="s">
        <v>726</v>
      </c>
      <c r="AG563" s="8" t="s">
        <v>726</v>
      </c>
      <c r="AH563" s="8" t="s">
        <v>726</v>
      </c>
      <c r="AI563" s="8" t="s">
        <v>726</v>
      </c>
      <c r="AJ563" s="8" t="s">
        <v>726</v>
      </c>
      <c r="AK563" s="8" t="s">
        <v>726</v>
      </c>
      <c r="AL563" s="8"/>
      <c r="AM563" s="8"/>
      <c r="AN563" s="8"/>
      <c r="AO563" s="8"/>
      <c r="AP563" s="8"/>
      <c r="AQ563" s="8"/>
      <c r="AR563" s="8"/>
      <c r="AS563" s="8"/>
      <c r="AT563" s="8"/>
      <c r="AU563" s="8"/>
      <c r="AV563" s="8"/>
      <c r="AX563" s="142">
        <v>215.22</v>
      </c>
    </row>
    <row r="564" spans="1:50" ht="33.75">
      <c r="A564" s="83" t="s">
        <v>1961</v>
      </c>
      <c r="B564" s="84">
        <v>552</v>
      </c>
      <c r="C564" s="85">
        <v>303</v>
      </c>
      <c r="D564" s="85">
        <v>545</v>
      </c>
      <c r="E564" s="86">
        <v>0.28680555555555554</v>
      </c>
      <c r="F564" s="86">
        <v>0.2951388888888889</v>
      </c>
      <c r="G564" s="85" t="s">
        <v>409</v>
      </c>
      <c r="H564" s="85" t="s">
        <v>97</v>
      </c>
      <c r="I564" s="87">
        <v>9</v>
      </c>
      <c r="J564" s="88">
        <v>14</v>
      </c>
      <c r="K564" s="89"/>
      <c r="L564" s="90">
        <f>+K564*I564</f>
        <v>0</v>
      </c>
      <c r="M564" s="113" t="s">
        <v>1962</v>
      </c>
      <c r="N564" s="104"/>
      <c r="O564" s="104"/>
      <c r="P564" s="104"/>
      <c r="Q564" s="104"/>
      <c r="R564" s="104"/>
      <c r="S564" s="104"/>
      <c r="T564" s="95"/>
      <c r="U564" s="95"/>
      <c r="V564" s="95"/>
      <c r="W564" s="95"/>
      <c r="X564" s="92"/>
      <c r="Y564" s="92"/>
      <c r="Z564" s="92"/>
      <c r="AA564" s="92"/>
      <c r="AB564" s="92"/>
      <c r="AC564" s="95"/>
      <c r="AD564" s="95"/>
      <c r="AE564" s="95"/>
      <c r="AF564" s="95"/>
      <c r="AG564" s="95"/>
      <c r="AH564" s="95"/>
      <c r="AI564" s="95"/>
      <c r="AJ564" s="95"/>
      <c r="AK564" s="95"/>
      <c r="AL564" s="95"/>
      <c r="AM564" s="95"/>
      <c r="AN564" s="95"/>
      <c r="AO564" s="95"/>
      <c r="AP564" s="95"/>
      <c r="AQ564" s="95"/>
      <c r="AR564" s="95"/>
      <c r="AS564" s="95"/>
      <c r="AT564" s="95"/>
      <c r="AU564" s="95"/>
      <c r="AV564" s="95"/>
    </row>
    <row r="565" spans="1:50" ht="25.5">
      <c r="B565" s="27">
        <v>553</v>
      </c>
      <c r="C565" s="31">
        <v>303</v>
      </c>
      <c r="D565" s="31">
        <v>427</v>
      </c>
      <c r="E565" s="32">
        <v>0.28819444444444448</v>
      </c>
      <c r="F565" s="42">
        <v>0.30277777777777776</v>
      </c>
      <c r="G565" s="31" t="s">
        <v>344</v>
      </c>
      <c r="H565" s="31" t="s">
        <v>97</v>
      </c>
      <c r="I565" s="33">
        <v>10.5</v>
      </c>
      <c r="J565" s="34" t="s">
        <v>269</v>
      </c>
      <c r="K565" s="35">
        <v>208</v>
      </c>
      <c r="L565" s="36">
        <f>+K565*I565</f>
        <v>2184</v>
      </c>
      <c r="M565" s="37" t="s">
        <v>738</v>
      </c>
      <c r="N565" s="23" t="s">
        <v>837</v>
      </c>
      <c r="O565" s="23">
        <v>23</v>
      </c>
      <c r="P565" s="23" t="s">
        <v>1800</v>
      </c>
      <c r="Q565" s="23">
        <v>23</v>
      </c>
      <c r="R565" s="23" t="s">
        <v>838</v>
      </c>
      <c r="S565" s="24">
        <v>23</v>
      </c>
      <c r="T565" s="7">
        <v>3790</v>
      </c>
      <c r="U565" s="7" t="s">
        <v>1505</v>
      </c>
      <c r="V565" s="7" t="s">
        <v>1506</v>
      </c>
      <c r="W565" s="7" t="s">
        <v>1507</v>
      </c>
      <c r="X565" s="18"/>
      <c r="Y565" s="17"/>
      <c r="Z565" s="17"/>
      <c r="AA565" s="17"/>
      <c r="AB565" s="7" t="s">
        <v>1046</v>
      </c>
      <c r="AC565" s="8"/>
      <c r="AD565" s="8"/>
      <c r="AE565" s="8"/>
      <c r="AF565" s="8" t="s">
        <v>726</v>
      </c>
      <c r="AG565" s="8" t="s">
        <v>726</v>
      </c>
      <c r="AH565" s="8" t="s">
        <v>726</v>
      </c>
      <c r="AI565" s="8" t="s">
        <v>726</v>
      </c>
      <c r="AJ565" s="8" t="s">
        <v>726</v>
      </c>
      <c r="AK565" s="8" t="s">
        <v>726</v>
      </c>
      <c r="AL565" s="8" t="s">
        <v>726</v>
      </c>
      <c r="AM565" s="8"/>
      <c r="AN565" s="8"/>
      <c r="AO565" s="8"/>
      <c r="AP565" s="8"/>
      <c r="AQ565" s="8"/>
      <c r="AR565" s="8"/>
      <c r="AS565" s="8"/>
      <c r="AT565" s="8"/>
      <c r="AU565" s="8"/>
      <c r="AV565" s="8"/>
      <c r="AX565" s="142">
        <v>66.73</v>
      </c>
    </row>
    <row r="566" spans="1:50" ht="33.75">
      <c r="B566" s="27">
        <v>554</v>
      </c>
      <c r="C566" s="31">
        <v>303</v>
      </c>
      <c r="D566" s="31">
        <v>501</v>
      </c>
      <c r="E566" s="32">
        <v>0.29166666666666669</v>
      </c>
      <c r="F566" s="32">
        <v>0.32013888888888892</v>
      </c>
      <c r="G566" s="31" t="s">
        <v>350</v>
      </c>
      <c r="H566" s="31" t="s">
        <v>103</v>
      </c>
      <c r="I566" s="33">
        <v>19</v>
      </c>
      <c r="J566" s="34" t="s">
        <v>165</v>
      </c>
      <c r="K566" s="35">
        <v>174</v>
      </c>
      <c r="L566" s="36">
        <f>+K566*I566</f>
        <v>3306</v>
      </c>
      <c r="M566" s="37" t="s">
        <v>738</v>
      </c>
      <c r="N566" s="23" t="s">
        <v>839</v>
      </c>
      <c r="O566" s="23">
        <v>57</v>
      </c>
      <c r="P566" s="23" t="s">
        <v>1801</v>
      </c>
      <c r="Q566" s="23">
        <v>56</v>
      </c>
      <c r="R566" s="23" t="s">
        <v>1850</v>
      </c>
      <c r="S566" s="24" t="s">
        <v>1759</v>
      </c>
      <c r="T566" s="7">
        <v>3770</v>
      </c>
      <c r="U566" s="7" t="s">
        <v>1508</v>
      </c>
      <c r="V566" s="7">
        <v>1</v>
      </c>
      <c r="W566" s="7" t="s">
        <v>1236</v>
      </c>
      <c r="X566" s="18"/>
      <c r="Y566" s="17"/>
      <c r="Z566" s="17"/>
      <c r="AA566" s="17"/>
      <c r="AB566" s="7" t="s">
        <v>1042</v>
      </c>
      <c r="AC566" s="8"/>
      <c r="AD566" s="8"/>
      <c r="AE566" s="8"/>
      <c r="AF566" s="8" t="s">
        <v>726</v>
      </c>
      <c r="AG566" s="8" t="s">
        <v>726</v>
      </c>
      <c r="AH566" s="8" t="s">
        <v>726</v>
      </c>
      <c r="AI566" s="8" t="s">
        <v>726</v>
      </c>
      <c r="AJ566" s="8" t="s">
        <v>726</v>
      </c>
      <c r="AK566" s="8" t="s">
        <v>726</v>
      </c>
      <c r="AL566" s="8"/>
      <c r="AM566" s="8"/>
      <c r="AN566" s="8"/>
      <c r="AO566" s="8"/>
      <c r="AP566" s="8"/>
      <c r="AQ566" s="8"/>
      <c r="AR566" s="8"/>
      <c r="AS566" s="8"/>
      <c r="AT566" s="8"/>
      <c r="AU566" s="8"/>
      <c r="AV566" s="8"/>
      <c r="AX566" s="142">
        <v>224.74</v>
      </c>
    </row>
    <row r="567" spans="1:50" ht="25.5">
      <c r="B567" s="27">
        <v>555</v>
      </c>
      <c r="C567" s="31">
        <v>303</v>
      </c>
      <c r="D567" s="31">
        <v>253</v>
      </c>
      <c r="E567" s="32">
        <v>0.31041666666666667</v>
      </c>
      <c r="F567" s="32">
        <v>0.31388888888888888</v>
      </c>
      <c r="G567" s="31" t="s">
        <v>345</v>
      </c>
      <c r="H567" s="31" t="s">
        <v>103</v>
      </c>
      <c r="I567" s="33">
        <v>3</v>
      </c>
      <c r="J567" s="34" t="s">
        <v>269</v>
      </c>
      <c r="K567" s="35">
        <v>174</v>
      </c>
      <c r="L567" s="36">
        <f>+K567*I567</f>
        <v>522</v>
      </c>
      <c r="M567" s="37" t="s">
        <v>738</v>
      </c>
      <c r="N567" s="23" t="s">
        <v>837</v>
      </c>
      <c r="O567" s="23">
        <v>23</v>
      </c>
      <c r="P567" s="23" t="s">
        <v>1800</v>
      </c>
      <c r="Q567" s="23">
        <v>23</v>
      </c>
      <c r="R567" s="23" t="s">
        <v>838</v>
      </c>
      <c r="S567" s="24">
        <v>23</v>
      </c>
      <c r="T567" s="7">
        <v>3760</v>
      </c>
      <c r="U567" s="7" t="s">
        <v>1509</v>
      </c>
      <c r="V567" s="7">
        <v>3740</v>
      </c>
      <c r="W567" s="7" t="s">
        <v>1510</v>
      </c>
      <c r="X567" s="18"/>
      <c r="Y567" s="17"/>
      <c r="Z567" s="17"/>
      <c r="AA567" s="17"/>
      <c r="AB567" s="7" t="s">
        <v>1042</v>
      </c>
      <c r="AC567" s="8"/>
      <c r="AD567" s="8"/>
      <c r="AE567" s="8"/>
      <c r="AF567" s="8" t="s">
        <v>726</v>
      </c>
      <c r="AG567" s="8" t="s">
        <v>726</v>
      </c>
      <c r="AH567" s="8" t="s">
        <v>726</v>
      </c>
      <c r="AI567" s="8" t="s">
        <v>726</v>
      </c>
      <c r="AJ567" s="8" t="s">
        <v>726</v>
      </c>
      <c r="AK567" s="8" t="s">
        <v>726</v>
      </c>
      <c r="AL567" s="8"/>
      <c r="AM567" s="8"/>
      <c r="AN567" s="8"/>
      <c r="AO567" s="8"/>
      <c r="AP567" s="8"/>
      <c r="AQ567" s="8"/>
      <c r="AR567" s="8"/>
      <c r="AS567" s="8"/>
      <c r="AT567" s="8"/>
      <c r="AU567" s="8"/>
      <c r="AV567" s="8"/>
      <c r="AX567" s="142">
        <v>10</v>
      </c>
    </row>
    <row r="568" spans="1:50" ht="25.5">
      <c r="B568" s="27">
        <v>556</v>
      </c>
      <c r="C568" s="31">
        <v>303</v>
      </c>
      <c r="D568" s="31">
        <v>253</v>
      </c>
      <c r="E568" s="42">
        <v>0.31597222222222221</v>
      </c>
      <c r="F568" s="32">
        <v>0.31944444444444448</v>
      </c>
      <c r="G568" s="31" t="s">
        <v>349</v>
      </c>
      <c r="H568" s="31" t="s">
        <v>103</v>
      </c>
      <c r="I568" s="33">
        <v>3</v>
      </c>
      <c r="J568" s="34" t="s">
        <v>269</v>
      </c>
      <c r="K568" s="35">
        <v>174</v>
      </c>
      <c r="L568" s="36">
        <f>+K568*I568</f>
        <v>522</v>
      </c>
      <c r="M568" s="37" t="s">
        <v>738</v>
      </c>
      <c r="N568" s="23" t="s">
        <v>837</v>
      </c>
      <c r="O568" s="23">
        <v>23</v>
      </c>
      <c r="P568" s="23" t="s">
        <v>1800</v>
      </c>
      <c r="Q568" s="23">
        <v>23</v>
      </c>
      <c r="R568" s="23" t="s">
        <v>838</v>
      </c>
      <c r="S568" s="24">
        <v>23</v>
      </c>
      <c r="T568" s="7">
        <v>3750</v>
      </c>
      <c r="U568" s="7" t="s">
        <v>1511</v>
      </c>
      <c r="V568" s="7">
        <v>3740</v>
      </c>
      <c r="W568" s="7" t="s">
        <v>1510</v>
      </c>
      <c r="X568" s="18"/>
      <c r="Y568" s="17"/>
      <c r="Z568" s="17"/>
      <c r="AA568" s="17"/>
      <c r="AB568" s="7" t="s">
        <v>1042</v>
      </c>
      <c r="AC568" s="8"/>
      <c r="AD568" s="8"/>
      <c r="AE568" s="8"/>
      <c r="AF568" s="8" t="s">
        <v>726</v>
      </c>
      <c r="AG568" s="8" t="s">
        <v>726</v>
      </c>
      <c r="AH568" s="8" t="s">
        <v>726</v>
      </c>
      <c r="AI568" s="8" t="s">
        <v>726</v>
      </c>
      <c r="AJ568" s="8" t="s">
        <v>726</v>
      </c>
      <c r="AK568" s="8" t="s">
        <v>726</v>
      </c>
      <c r="AL568" s="8"/>
      <c r="AM568" s="8"/>
      <c r="AN568" s="8"/>
      <c r="AO568" s="8"/>
      <c r="AP568" s="8"/>
      <c r="AQ568" s="8"/>
      <c r="AR568" s="8"/>
      <c r="AS568" s="8"/>
      <c r="AT568" s="8"/>
      <c r="AU568" s="8"/>
      <c r="AV568" s="8"/>
      <c r="AX568" s="142">
        <v>9.3278571428571428</v>
      </c>
    </row>
    <row r="569" spans="1:50" ht="25.5">
      <c r="B569" s="27">
        <v>557</v>
      </c>
      <c r="C569" s="43">
        <v>330</v>
      </c>
      <c r="D569" s="31">
        <v>437</v>
      </c>
      <c r="E569" s="32">
        <v>0.32291666666666669</v>
      </c>
      <c r="F569" s="42">
        <v>0.34097222222222223</v>
      </c>
      <c r="G569" s="31" t="s">
        <v>343</v>
      </c>
      <c r="H569" s="31" t="s">
        <v>103</v>
      </c>
      <c r="I569" s="33">
        <v>11</v>
      </c>
      <c r="J569" s="34" t="s">
        <v>269</v>
      </c>
      <c r="K569" s="35">
        <v>174</v>
      </c>
      <c r="L569" s="36">
        <f>+K569*I569</f>
        <v>1914</v>
      </c>
      <c r="M569" s="37" t="s">
        <v>738</v>
      </c>
      <c r="N569" s="23" t="s">
        <v>837</v>
      </c>
      <c r="O569" s="23">
        <v>23</v>
      </c>
      <c r="P569" s="23" t="s">
        <v>1800</v>
      </c>
      <c r="Q569" s="23">
        <v>23</v>
      </c>
      <c r="R569" s="23" t="s">
        <v>838</v>
      </c>
      <c r="S569" s="24">
        <v>23</v>
      </c>
      <c r="T569" s="7">
        <v>3740</v>
      </c>
      <c r="U569" s="7" t="s">
        <v>1510</v>
      </c>
      <c r="V569" s="7" t="s">
        <v>1512</v>
      </c>
      <c r="W569" s="7" t="s">
        <v>1513</v>
      </c>
      <c r="X569" s="18"/>
      <c r="Y569" s="17"/>
      <c r="Z569" s="17"/>
      <c r="AA569" s="17"/>
      <c r="AB569" s="7" t="s">
        <v>1042</v>
      </c>
      <c r="AC569" s="8"/>
      <c r="AD569" s="8"/>
      <c r="AE569" s="8"/>
      <c r="AF569" s="8" t="s">
        <v>726</v>
      </c>
      <c r="AG569" s="8" t="s">
        <v>726</v>
      </c>
      <c r="AH569" s="8" t="s">
        <v>726</v>
      </c>
      <c r="AI569" s="8" t="s">
        <v>726</v>
      </c>
      <c r="AJ569" s="8" t="s">
        <v>726</v>
      </c>
      <c r="AK569" s="8" t="s">
        <v>726</v>
      </c>
      <c r="AL569" s="8"/>
      <c r="AM569" s="8"/>
      <c r="AN569" s="8"/>
      <c r="AO569" s="8"/>
      <c r="AP569" s="8"/>
      <c r="AQ569" s="8"/>
      <c r="AR569" s="8"/>
      <c r="AS569" s="8"/>
      <c r="AT569" s="8"/>
      <c r="AU569" s="8"/>
      <c r="AV569" s="8"/>
      <c r="AX569" s="142">
        <v>34.20214285714286</v>
      </c>
    </row>
    <row r="570" spans="1:50" ht="33.75">
      <c r="B570" s="27">
        <v>558</v>
      </c>
      <c r="C570" s="31">
        <v>303</v>
      </c>
      <c r="D570" s="31">
        <v>550</v>
      </c>
      <c r="E570" s="32">
        <v>0.3263888888888889</v>
      </c>
      <c r="F570" s="32">
        <v>0.34236111111111112</v>
      </c>
      <c r="G570" s="31" t="s">
        <v>512</v>
      </c>
      <c r="H570" s="31" t="s">
        <v>563</v>
      </c>
      <c r="I570" s="33">
        <v>19</v>
      </c>
      <c r="J570" s="34" t="s">
        <v>548</v>
      </c>
      <c r="K570" s="35">
        <v>55</v>
      </c>
      <c r="L570" s="36">
        <f>+K570*I570</f>
        <v>1045</v>
      </c>
      <c r="M570" s="37" t="s">
        <v>749</v>
      </c>
      <c r="N570" s="23" t="s">
        <v>824</v>
      </c>
      <c r="O570" s="23">
        <v>15</v>
      </c>
      <c r="P570" s="23" t="s">
        <v>1798</v>
      </c>
      <c r="Q570" s="23">
        <v>9</v>
      </c>
      <c r="R570" s="23" t="s">
        <v>1177</v>
      </c>
      <c r="S570" s="24">
        <v>9</v>
      </c>
      <c r="T570" s="7" t="s">
        <v>1514</v>
      </c>
      <c r="U570" s="7" t="s">
        <v>1515</v>
      </c>
      <c r="V570" s="7">
        <v>3895</v>
      </c>
      <c r="W570" s="7" t="s">
        <v>1501</v>
      </c>
      <c r="X570" s="17"/>
      <c r="Y570" s="18"/>
      <c r="Z570" s="18"/>
      <c r="AA570" s="18"/>
      <c r="AB570" s="7" t="s">
        <v>1049</v>
      </c>
      <c r="AC570" s="8"/>
      <c r="AD570" s="8" t="s">
        <v>726</v>
      </c>
      <c r="AE570" s="8" t="s">
        <v>726</v>
      </c>
      <c r="AF570" s="8"/>
      <c r="AG570" s="8" t="s">
        <v>726</v>
      </c>
      <c r="AH570" s="8" t="s">
        <v>726</v>
      </c>
      <c r="AI570" s="8" t="s">
        <v>726</v>
      </c>
      <c r="AJ570" s="8" t="s">
        <v>726</v>
      </c>
      <c r="AK570" s="8" t="s">
        <v>726</v>
      </c>
      <c r="AL570" s="8"/>
      <c r="AM570" s="8"/>
      <c r="AN570" s="8"/>
      <c r="AO570" s="8"/>
      <c r="AP570" s="8"/>
      <c r="AQ570" s="8"/>
      <c r="AR570" s="8"/>
      <c r="AS570" s="8"/>
      <c r="AT570" s="8"/>
      <c r="AU570" s="8"/>
      <c r="AV570" s="8"/>
      <c r="AX570" s="142">
        <v>57</v>
      </c>
    </row>
    <row r="571" spans="1:50" ht="25.5">
      <c r="B571" s="27">
        <v>559</v>
      </c>
      <c r="C571" s="31">
        <v>303</v>
      </c>
      <c r="D571" s="31">
        <v>473</v>
      </c>
      <c r="E571" s="32">
        <v>0.33194444444444443</v>
      </c>
      <c r="F571" s="32">
        <v>0.3666666666666667</v>
      </c>
      <c r="G571" s="31" t="s">
        <v>570</v>
      </c>
      <c r="H571" s="31" t="s">
        <v>424</v>
      </c>
      <c r="I571" s="33">
        <v>21.5</v>
      </c>
      <c r="J571" s="58">
        <v>50</v>
      </c>
      <c r="K571" s="35">
        <v>55</v>
      </c>
      <c r="L571" s="36">
        <f>+K571*I571</f>
        <v>1182.5</v>
      </c>
      <c r="M571" s="37" t="s">
        <v>750</v>
      </c>
      <c r="N571" s="23" t="s">
        <v>941</v>
      </c>
      <c r="O571" s="23">
        <v>58</v>
      </c>
      <c r="P571" s="2" t="s">
        <v>1178</v>
      </c>
      <c r="Q571" s="24">
        <v>55</v>
      </c>
      <c r="R571" s="4"/>
      <c r="S571" s="4"/>
      <c r="T571" s="7">
        <v>3870</v>
      </c>
      <c r="U571" s="7" t="s">
        <v>1516</v>
      </c>
      <c r="V571" s="7">
        <v>3740</v>
      </c>
      <c r="W571" s="7" t="s">
        <v>1510</v>
      </c>
      <c r="X571" s="17"/>
      <c r="Y571" s="18"/>
      <c r="Z571" s="18"/>
      <c r="AA571" s="18"/>
      <c r="AB571" s="7" t="s">
        <v>1049</v>
      </c>
      <c r="AC571" s="8"/>
      <c r="AD571" s="8" t="s">
        <v>726</v>
      </c>
      <c r="AE571" s="8" t="s">
        <v>726</v>
      </c>
      <c r="AF571" s="8"/>
      <c r="AG571" s="8" t="s">
        <v>726</v>
      </c>
      <c r="AH571" s="8" t="s">
        <v>726</v>
      </c>
      <c r="AI571" s="8" t="s">
        <v>726</v>
      </c>
      <c r="AJ571" s="8" t="s">
        <v>726</v>
      </c>
      <c r="AK571" s="8" t="s">
        <v>726</v>
      </c>
      <c r="AL571" s="8"/>
      <c r="AM571" s="8"/>
      <c r="AN571" s="8"/>
      <c r="AO571" s="8"/>
      <c r="AP571" s="8"/>
      <c r="AQ571" s="8"/>
      <c r="AR571" s="8"/>
      <c r="AS571" s="8"/>
      <c r="AT571" s="8"/>
      <c r="AU571" s="8"/>
      <c r="AV571" s="8"/>
      <c r="AX571" s="142">
        <v>104.24</v>
      </c>
    </row>
    <row r="572" spans="1:50" ht="33.75">
      <c r="B572" s="27">
        <v>560</v>
      </c>
      <c r="C572" s="31">
        <v>303</v>
      </c>
      <c r="D572" s="31">
        <v>549</v>
      </c>
      <c r="E572" s="32">
        <v>0.34375</v>
      </c>
      <c r="F572" s="42">
        <v>0.35972222222222222</v>
      </c>
      <c r="G572" s="31" t="s">
        <v>395</v>
      </c>
      <c r="H572" s="31" t="s">
        <v>565</v>
      </c>
      <c r="I572" s="33">
        <v>19</v>
      </c>
      <c r="J572" s="34">
        <v>14</v>
      </c>
      <c r="K572" s="35">
        <v>39</v>
      </c>
      <c r="L572" s="36">
        <f>+K572*I572</f>
        <v>741</v>
      </c>
      <c r="M572" s="37" t="s">
        <v>749</v>
      </c>
      <c r="N572" s="23" t="s">
        <v>824</v>
      </c>
      <c r="O572" s="23">
        <v>15</v>
      </c>
      <c r="P572" s="23" t="s">
        <v>1798</v>
      </c>
      <c r="Q572" s="23">
        <v>9</v>
      </c>
      <c r="R572" s="23" t="s">
        <v>1177</v>
      </c>
      <c r="S572" s="24">
        <v>9</v>
      </c>
      <c r="T572" s="7">
        <v>3895</v>
      </c>
      <c r="U572" s="7" t="s">
        <v>1501</v>
      </c>
      <c r="V572" s="7" t="s">
        <v>1502</v>
      </c>
      <c r="W572" s="7" t="s">
        <v>1503</v>
      </c>
      <c r="X572" s="18"/>
      <c r="Y572" s="17"/>
      <c r="Z572" s="18"/>
      <c r="AA572" s="18"/>
      <c r="AB572" s="7" t="s">
        <v>1081</v>
      </c>
      <c r="AC572" s="8" t="s">
        <v>726</v>
      </c>
      <c r="AD572" s="8"/>
      <c r="AE572" s="8" t="s">
        <v>726</v>
      </c>
      <c r="AF572" s="8"/>
      <c r="AG572" s="8"/>
      <c r="AH572" s="8"/>
      <c r="AI572" s="8"/>
      <c r="AJ572" s="8" t="s">
        <v>726</v>
      </c>
      <c r="AK572" s="8"/>
      <c r="AL572" s="8"/>
      <c r="AM572" s="8"/>
      <c r="AN572" s="8"/>
      <c r="AO572" s="8"/>
      <c r="AP572" s="8"/>
      <c r="AQ572" s="8"/>
      <c r="AR572" s="8"/>
      <c r="AS572" s="8"/>
      <c r="AT572" s="8"/>
      <c r="AU572" s="8"/>
      <c r="AV572" s="8"/>
      <c r="AX572" s="142">
        <v>57</v>
      </c>
    </row>
    <row r="573" spans="1:50" ht="25.5">
      <c r="B573" s="27">
        <v>561</v>
      </c>
      <c r="C573" s="31">
        <v>303</v>
      </c>
      <c r="D573" s="31">
        <v>703</v>
      </c>
      <c r="E573" s="32">
        <v>0.35069444444444442</v>
      </c>
      <c r="F573" s="32">
        <v>0.3888888888888889</v>
      </c>
      <c r="G573" s="31" t="s">
        <v>441</v>
      </c>
      <c r="H573" s="31" t="s">
        <v>546</v>
      </c>
      <c r="I573" s="33">
        <v>23</v>
      </c>
      <c r="J573" s="34" t="s">
        <v>188</v>
      </c>
      <c r="K573" s="35">
        <v>13</v>
      </c>
      <c r="L573" s="36">
        <f>+K573*I573</f>
        <v>299</v>
      </c>
      <c r="M573" s="37" t="s">
        <v>738</v>
      </c>
      <c r="N573" s="23" t="s">
        <v>840</v>
      </c>
      <c r="O573" s="23">
        <v>31</v>
      </c>
      <c r="P573" s="23" t="s">
        <v>1165</v>
      </c>
      <c r="Q573" s="23">
        <v>57</v>
      </c>
      <c r="R573" s="23" t="s">
        <v>841</v>
      </c>
      <c r="S573" s="24">
        <v>42</v>
      </c>
      <c r="T573" s="7">
        <v>3790</v>
      </c>
      <c r="U573" s="7" t="s">
        <v>1505</v>
      </c>
      <c r="V573" s="7">
        <v>1</v>
      </c>
      <c r="W573" s="7" t="s">
        <v>1236</v>
      </c>
      <c r="X573" s="17"/>
      <c r="Y573" s="18"/>
      <c r="Z573" s="18"/>
      <c r="AA573" s="18"/>
      <c r="AB573" s="7" t="s">
        <v>1044</v>
      </c>
      <c r="AC573" s="8"/>
      <c r="AD573" s="8" t="s">
        <v>726</v>
      </c>
      <c r="AE573" s="8"/>
      <c r="AF573" s="8"/>
      <c r="AG573" s="8"/>
      <c r="AH573" s="8"/>
      <c r="AI573" s="8"/>
      <c r="AJ573" s="8"/>
      <c r="AK573" s="8"/>
      <c r="AL573" s="8"/>
      <c r="AM573" s="8" t="s">
        <v>726</v>
      </c>
      <c r="AN573" s="8"/>
      <c r="AO573" s="8"/>
      <c r="AP573" s="8"/>
      <c r="AQ573" s="8"/>
      <c r="AR573" s="8"/>
      <c r="AS573" s="8"/>
      <c r="AT573" s="8"/>
      <c r="AU573" s="8"/>
      <c r="AV573" s="8"/>
      <c r="AX573" s="142">
        <v>69</v>
      </c>
    </row>
    <row r="574" spans="1:50" ht="25.5">
      <c r="B574" s="27">
        <v>562</v>
      </c>
      <c r="C574" s="31">
        <v>303</v>
      </c>
      <c r="D574" s="31">
        <v>703</v>
      </c>
      <c r="E574" s="32">
        <v>0.35069444444444442</v>
      </c>
      <c r="F574" s="32">
        <v>0.3888888888888889</v>
      </c>
      <c r="G574" s="31" t="s">
        <v>441</v>
      </c>
      <c r="H574" s="31" t="s">
        <v>442</v>
      </c>
      <c r="I574" s="33">
        <v>23</v>
      </c>
      <c r="J574" s="34" t="s">
        <v>188</v>
      </c>
      <c r="K574" s="35">
        <v>47</v>
      </c>
      <c r="L574" s="36">
        <f>+K574*I574</f>
        <v>1081</v>
      </c>
      <c r="M574" s="37" t="s">
        <v>738</v>
      </c>
      <c r="N574" s="23" t="s">
        <v>840</v>
      </c>
      <c r="O574" s="23">
        <v>31</v>
      </c>
      <c r="P574" s="23" t="s">
        <v>1165</v>
      </c>
      <c r="Q574" s="23">
        <v>57</v>
      </c>
      <c r="R574" s="23" t="s">
        <v>841</v>
      </c>
      <c r="S574" s="24">
        <v>42</v>
      </c>
      <c r="T574" s="7">
        <v>3790</v>
      </c>
      <c r="U574" s="7" t="s">
        <v>1505</v>
      </c>
      <c r="V574" s="7">
        <v>1</v>
      </c>
      <c r="W574" s="7" t="s">
        <v>1236</v>
      </c>
      <c r="X574" s="18"/>
      <c r="Y574" s="17"/>
      <c r="Z574" s="18"/>
      <c r="AA574" s="18"/>
      <c r="AB574" s="7" t="s">
        <v>1043</v>
      </c>
      <c r="AC574" s="8" t="s">
        <v>726</v>
      </c>
      <c r="AD574" s="8"/>
      <c r="AE574" s="8"/>
      <c r="AF574" s="8"/>
      <c r="AG574" s="8"/>
      <c r="AH574" s="8"/>
      <c r="AI574" s="8"/>
      <c r="AJ574" s="8"/>
      <c r="AK574" s="8"/>
      <c r="AL574" s="8"/>
      <c r="AM574" s="8" t="s">
        <v>726</v>
      </c>
      <c r="AN574" s="8"/>
      <c r="AO574" s="8"/>
      <c r="AP574" s="8"/>
      <c r="AQ574" s="8"/>
      <c r="AR574" s="8"/>
      <c r="AS574" s="8"/>
      <c r="AT574" s="8"/>
      <c r="AU574" s="8"/>
      <c r="AV574" s="8"/>
      <c r="AX574" s="142">
        <v>69</v>
      </c>
    </row>
    <row r="575" spans="1:50" ht="38.25">
      <c r="B575" s="27">
        <v>563</v>
      </c>
      <c r="C575" s="31">
        <v>303</v>
      </c>
      <c r="D575" s="31">
        <v>541</v>
      </c>
      <c r="E575" s="32">
        <v>0.3576388888888889</v>
      </c>
      <c r="F575" s="32">
        <v>0.38541666666666669</v>
      </c>
      <c r="G575" s="31" t="s">
        <v>348</v>
      </c>
      <c r="H575" s="31" t="s">
        <v>347</v>
      </c>
      <c r="I575" s="33">
        <v>20</v>
      </c>
      <c r="J575" s="34" t="s">
        <v>269</v>
      </c>
      <c r="K575" s="35">
        <v>29</v>
      </c>
      <c r="L575" s="36">
        <f>+K575*I575</f>
        <v>580</v>
      </c>
      <c r="M575" s="37" t="s">
        <v>738</v>
      </c>
      <c r="N575" s="23" t="s">
        <v>842</v>
      </c>
      <c r="O575" s="23">
        <v>21</v>
      </c>
      <c r="P575" s="23" t="s">
        <v>837</v>
      </c>
      <c r="Q575" s="23">
        <v>23</v>
      </c>
      <c r="R575" s="23" t="s">
        <v>838</v>
      </c>
      <c r="S575" s="24">
        <v>23</v>
      </c>
      <c r="T575" s="7">
        <v>3790</v>
      </c>
      <c r="U575" s="7" t="s">
        <v>1505</v>
      </c>
      <c r="V575" s="7" t="s">
        <v>1343</v>
      </c>
      <c r="W575" s="7" t="s">
        <v>1344</v>
      </c>
      <c r="X575" s="18"/>
      <c r="Y575" s="17"/>
      <c r="Z575" s="18"/>
      <c r="AA575" s="18"/>
      <c r="AB575" s="7" t="s">
        <v>1050</v>
      </c>
      <c r="AC575" s="8" t="s">
        <v>726</v>
      </c>
      <c r="AD575" s="8"/>
      <c r="AE575" s="8" t="s">
        <v>726</v>
      </c>
      <c r="AF575" s="8"/>
      <c r="AG575" s="8"/>
      <c r="AH575" s="8"/>
      <c r="AI575" s="8"/>
      <c r="AJ575" s="8"/>
      <c r="AK575" s="8"/>
      <c r="AL575" s="8"/>
      <c r="AM575" s="8"/>
      <c r="AN575" s="8"/>
      <c r="AO575" s="8"/>
      <c r="AP575" s="8"/>
      <c r="AQ575" s="8" t="s">
        <v>726</v>
      </c>
      <c r="AR575" s="8" t="s">
        <v>726</v>
      </c>
      <c r="AS575" s="8" t="s">
        <v>726</v>
      </c>
      <c r="AT575" s="8" t="s">
        <v>726</v>
      </c>
      <c r="AU575" s="8" t="s">
        <v>726</v>
      </c>
      <c r="AV575" s="8" t="s">
        <v>726</v>
      </c>
      <c r="AX575" s="142">
        <v>77.63</v>
      </c>
    </row>
    <row r="576" spans="1:50" ht="33.75">
      <c r="B576" s="27">
        <v>564</v>
      </c>
      <c r="C576" s="31">
        <v>303</v>
      </c>
      <c r="D576" s="31">
        <v>551</v>
      </c>
      <c r="E576" s="32">
        <v>0.36458333333333331</v>
      </c>
      <c r="F576" s="32">
        <v>0.38263888888888892</v>
      </c>
      <c r="G576" s="31" t="s">
        <v>511</v>
      </c>
      <c r="H576" s="31" t="s">
        <v>499</v>
      </c>
      <c r="I576" s="33">
        <v>19</v>
      </c>
      <c r="J576" s="34" t="s">
        <v>167</v>
      </c>
      <c r="K576" s="35">
        <v>67</v>
      </c>
      <c r="L576" s="36">
        <f>+K576*I576</f>
        <v>1273</v>
      </c>
      <c r="M576" s="37" t="s">
        <v>749</v>
      </c>
      <c r="N576" s="23" t="s">
        <v>824</v>
      </c>
      <c r="O576" s="23">
        <v>15</v>
      </c>
      <c r="P576" s="23" t="s">
        <v>1798</v>
      </c>
      <c r="Q576" s="23">
        <v>9</v>
      </c>
      <c r="R576" s="23" t="s">
        <v>1177</v>
      </c>
      <c r="S576" s="24">
        <v>9</v>
      </c>
      <c r="T576" s="7">
        <v>3895</v>
      </c>
      <c r="U576" s="7" t="s">
        <v>1501</v>
      </c>
      <c r="V576" s="7" t="s">
        <v>1514</v>
      </c>
      <c r="W576" s="7" t="s">
        <v>1515</v>
      </c>
      <c r="X576" s="17"/>
      <c r="Y576" s="18"/>
      <c r="Z576" s="18"/>
      <c r="AA576" s="18"/>
      <c r="AB576" s="8" t="s">
        <v>1047</v>
      </c>
      <c r="AC576" s="8"/>
      <c r="AD576" s="8" t="s">
        <v>726</v>
      </c>
      <c r="AE576" s="8" t="s">
        <v>726</v>
      </c>
      <c r="AF576" s="8"/>
      <c r="AG576" s="8" t="s">
        <v>726</v>
      </c>
      <c r="AH576" s="8" t="s">
        <v>726</v>
      </c>
      <c r="AI576" s="8" t="s">
        <v>726</v>
      </c>
      <c r="AJ576" s="8" t="s">
        <v>726</v>
      </c>
      <c r="AK576" s="8" t="s">
        <v>726</v>
      </c>
      <c r="AL576" s="8" t="s">
        <v>726</v>
      </c>
      <c r="AM576" s="8"/>
      <c r="AN576" s="8"/>
      <c r="AO576" s="8"/>
      <c r="AP576" s="8"/>
      <c r="AQ576" s="8"/>
      <c r="AR576" s="8"/>
      <c r="AS576" s="8"/>
      <c r="AT576" s="8"/>
      <c r="AU576" s="8"/>
      <c r="AV576" s="8"/>
      <c r="AX576" s="142">
        <v>57</v>
      </c>
    </row>
    <row r="577" spans="2:50" ht="25.5">
      <c r="B577" s="27">
        <v>565</v>
      </c>
      <c r="C577" s="38">
        <v>303</v>
      </c>
      <c r="D577" s="38">
        <v>530</v>
      </c>
      <c r="E577" s="39">
        <v>0.37152777777777773</v>
      </c>
      <c r="F577" s="39">
        <v>0.42569444444444443</v>
      </c>
      <c r="G577" s="40" t="s">
        <v>5</v>
      </c>
      <c r="H577" s="31" t="s">
        <v>546</v>
      </c>
      <c r="I577" s="38">
        <v>39</v>
      </c>
      <c r="J577" s="41">
        <v>30</v>
      </c>
      <c r="K577" s="35">
        <v>13</v>
      </c>
      <c r="L577" s="36">
        <f>+K577*I577</f>
        <v>507</v>
      </c>
      <c r="M577" s="37" t="s">
        <v>750</v>
      </c>
      <c r="N577" s="23" t="s">
        <v>942</v>
      </c>
      <c r="O577" s="23">
        <v>33</v>
      </c>
      <c r="P577" s="2" t="s">
        <v>1178</v>
      </c>
      <c r="Q577" s="24">
        <v>55</v>
      </c>
      <c r="T577" s="7">
        <v>1</v>
      </c>
      <c r="U577" s="7" t="s">
        <v>1517</v>
      </c>
      <c r="V577" s="7">
        <v>3870</v>
      </c>
      <c r="W577" s="7" t="s">
        <v>1518</v>
      </c>
      <c r="X577" s="17"/>
      <c r="Y577" s="18"/>
      <c r="Z577" s="18"/>
      <c r="AA577" s="18"/>
      <c r="AB577" s="7" t="s">
        <v>1044</v>
      </c>
      <c r="AC577" s="8"/>
      <c r="AD577" s="8" t="s">
        <v>726</v>
      </c>
      <c r="AE577" s="8"/>
      <c r="AF577" s="8"/>
      <c r="AG577" s="8"/>
      <c r="AH577" s="8"/>
      <c r="AI577" s="8"/>
      <c r="AJ577" s="8"/>
      <c r="AK577" s="8"/>
      <c r="AL577" s="8"/>
      <c r="AM577" s="8" t="s">
        <v>726</v>
      </c>
      <c r="AN577" s="8"/>
      <c r="AO577" s="8"/>
      <c r="AP577" s="8"/>
      <c r="AQ577" s="8"/>
      <c r="AR577" s="8"/>
      <c r="AS577" s="8"/>
      <c r="AT577" s="8"/>
      <c r="AU577" s="8"/>
      <c r="AV577" s="8"/>
      <c r="AX577" s="142">
        <v>175</v>
      </c>
    </row>
    <row r="578" spans="2:50" ht="33.75">
      <c r="B578" s="27">
        <v>566</v>
      </c>
      <c r="C578" s="31">
        <v>303</v>
      </c>
      <c r="D578" s="31">
        <v>552</v>
      </c>
      <c r="E578" s="32">
        <v>0.39930555555555558</v>
      </c>
      <c r="F578" s="32">
        <v>0.41736111111111113</v>
      </c>
      <c r="G578" s="31" t="s">
        <v>512</v>
      </c>
      <c r="H578" s="31" t="s">
        <v>499</v>
      </c>
      <c r="I578" s="33">
        <v>19</v>
      </c>
      <c r="J578" s="34" t="s">
        <v>167</v>
      </c>
      <c r="K578" s="35">
        <v>67</v>
      </c>
      <c r="L578" s="36">
        <f>+K578*I578</f>
        <v>1273</v>
      </c>
      <c r="M578" s="37" t="s">
        <v>749</v>
      </c>
      <c r="N578" s="23" t="s">
        <v>824</v>
      </c>
      <c r="O578" s="23">
        <v>15</v>
      </c>
      <c r="P578" s="23" t="s">
        <v>1798</v>
      </c>
      <c r="Q578" s="23">
        <v>9</v>
      </c>
      <c r="R578" s="23" t="s">
        <v>1177</v>
      </c>
      <c r="S578" s="24">
        <v>9</v>
      </c>
      <c r="T578" s="7" t="s">
        <v>1514</v>
      </c>
      <c r="U578" s="7" t="s">
        <v>1515</v>
      </c>
      <c r="V578" s="7">
        <v>3895</v>
      </c>
      <c r="W578" s="7" t="s">
        <v>1501</v>
      </c>
      <c r="X578" s="17"/>
      <c r="Y578" s="18"/>
      <c r="Z578" s="18"/>
      <c r="AA578" s="18"/>
      <c r="AB578" s="8" t="s">
        <v>1047</v>
      </c>
      <c r="AC578" s="8"/>
      <c r="AD578" s="8" t="s">
        <v>726</v>
      </c>
      <c r="AE578" s="8" t="s">
        <v>726</v>
      </c>
      <c r="AF578" s="8"/>
      <c r="AG578" s="8" t="s">
        <v>726</v>
      </c>
      <c r="AH578" s="8" t="s">
        <v>726</v>
      </c>
      <c r="AI578" s="8" t="s">
        <v>726</v>
      </c>
      <c r="AJ578" s="8" t="s">
        <v>726</v>
      </c>
      <c r="AK578" s="8" t="s">
        <v>726</v>
      </c>
      <c r="AL578" s="8" t="s">
        <v>726</v>
      </c>
      <c r="AM578" s="8"/>
      <c r="AN578" s="8"/>
      <c r="AO578" s="8"/>
      <c r="AP578" s="8"/>
      <c r="AQ578" s="8"/>
      <c r="AR578" s="8"/>
      <c r="AS578" s="8"/>
      <c r="AT578" s="8"/>
      <c r="AU578" s="8"/>
      <c r="AV578" s="8"/>
      <c r="AX578" s="142">
        <v>57</v>
      </c>
    </row>
    <row r="579" spans="2:50" ht="25.5">
      <c r="B579" s="27">
        <v>567</v>
      </c>
      <c r="C579" s="31">
        <v>303</v>
      </c>
      <c r="D579" s="31">
        <v>474</v>
      </c>
      <c r="E579" s="32">
        <v>0.47013888888888888</v>
      </c>
      <c r="F579" s="32">
        <v>0.49722222222222223</v>
      </c>
      <c r="G579" s="31" t="s">
        <v>571</v>
      </c>
      <c r="H579" s="31" t="s">
        <v>424</v>
      </c>
      <c r="I579" s="33">
        <v>16</v>
      </c>
      <c r="J579" s="58">
        <v>50</v>
      </c>
      <c r="K579" s="35">
        <v>55</v>
      </c>
      <c r="L579" s="36">
        <f>+K579*I579</f>
        <v>880</v>
      </c>
      <c r="M579" s="37" t="s">
        <v>750</v>
      </c>
      <c r="N579" s="23" t="s">
        <v>941</v>
      </c>
      <c r="O579" s="23">
        <v>58</v>
      </c>
      <c r="P579" s="2" t="s">
        <v>1178</v>
      </c>
      <c r="Q579" s="24">
        <v>55</v>
      </c>
      <c r="T579" s="7">
        <v>3770</v>
      </c>
      <c r="U579" s="7" t="s">
        <v>1508</v>
      </c>
      <c r="V579" s="7">
        <v>3870</v>
      </c>
      <c r="W579" s="7" t="s">
        <v>1516</v>
      </c>
      <c r="X579" s="17"/>
      <c r="Y579" s="18"/>
      <c r="Z579" s="18"/>
      <c r="AA579" s="18"/>
      <c r="AB579" s="7" t="s">
        <v>1049</v>
      </c>
      <c r="AC579" s="8"/>
      <c r="AD579" s="8" t="s">
        <v>726</v>
      </c>
      <c r="AE579" s="8" t="s">
        <v>726</v>
      </c>
      <c r="AF579" s="8"/>
      <c r="AG579" s="8" t="s">
        <v>726</v>
      </c>
      <c r="AH579" s="8" t="s">
        <v>726</v>
      </c>
      <c r="AI579" s="8" t="s">
        <v>726</v>
      </c>
      <c r="AJ579" s="8" t="s">
        <v>726</v>
      </c>
      <c r="AK579" s="8" t="s">
        <v>726</v>
      </c>
      <c r="AL579" s="8"/>
      <c r="AM579" s="8"/>
      <c r="AN579" s="8"/>
      <c r="AO579" s="8"/>
      <c r="AP579" s="8"/>
      <c r="AQ579" s="8"/>
      <c r="AR579" s="8"/>
      <c r="AS579" s="8"/>
      <c r="AT579" s="8"/>
      <c r="AU579" s="8"/>
      <c r="AV579" s="8"/>
      <c r="AX579" s="142">
        <v>77.58</v>
      </c>
    </row>
    <row r="580" spans="2:50" ht="25.5">
      <c r="B580" s="27">
        <v>568</v>
      </c>
      <c r="C580" s="31">
        <v>303</v>
      </c>
      <c r="D580" s="31">
        <v>246</v>
      </c>
      <c r="E580" s="32">
        <v>0.52083333333333337</v>
      </c>
      <c r="F580" s="32">
        <v>0.55555555555555558</v>
      </c>
      <c r="G580" s="31" t="s">
        <v>443</v>
      </c>
      <c r="H580" s="31" t="s">
        <v>442</v>
      </c>
      <c r="I580" s="33">
        <v>23</v>
      </c>
      <c r="J580" s="34" t="s">
        <v>188</v>
      </c>
      <c r="K580" s="35">
        <v>47</v>
      </c>
      <c r="L580" s="36">
        <f>+K580*I580</f>
        <v>1081</v>
      </c>
      <c r="M580" s="37" t="s">
        <v>738</v>
      </c>
      <c r="N580" s="23" t="s">
        <v>840</v>
      </c>
      <c r="O580" s="23">
        <v>31</v>
      </c>
      <c r="P580" s="23" t="s">
        <v>1165</v>
      </c>
      <c r="Q580" s="23">
        <v>57</v>
      </c>
      <c r="R580" s="23" t="s">
        <v>841</v>
      </c>
      <c r="S580" s="24">
        <v>42</v>
      </c>
      <c r="T580" s="7">
        <v>1</v>
      </c>
      <c r="U580" s="7" t="s">
        <v>1233</v>
      </c>
      <c r="V580" s="7">
        <v>3790</v>
      </c>
      <c r="W580" s="7" t="s">
        <v>1505</v>
      </c>
      <c r="X580" s="18"/>
      <c r="Y580" s="17"/>
      <c r="Z580" s="18"/>
      <c r="AA580" s="18"/>
      <c r="AB580" s="7" t="s">
        <v>1043</v>
      </c>
      <c r="AC580" s="8" t="s">
        <v>726</v>
      </c>
      <c r="AD580" s="8"/>
      <c r="AE580" s="8"/>
      <c r="AF580" s="8"/>
      <c r="AG580" s="8"/>
      <c r="AH580" s="8"/>
      <c r="AI580" s="8"/>
      <c r="AJ580" s="8"/>
      <c r="AK580" s="8"/>
      <c r="AL580" s="8"/>
      <c r="AM580" s="8" t="s">
        <v>726</v>
      </c>
      <c r="AN580" s="8"/>
      <c r="AO580" s="8"/>
      <c r="AP580" s="8"/>
      <c r="AQ580" s="8"/>
      <c r="AR580" s="8"/>
      <c r="AS580" s="8"/>
      <c r="AT580" s="8"/>
      <c r="AU580" s="8"/>
      <c r="AV580" s="8"/>
      <c r="AX580" s="142">
        <v>69</v>
      </c>
    </row>
    <row r="581" spans="2:50" ht="38.25">
      <c r="B581" s="27">
        <v>569</v>
      </c>
      <c r="C581" s="31">
        <v>303</v>
      </c>
      <c r="D581" s="43">
        <v>246</v>
      </c>
      <c r="E581" s="32">
        <v>0.52083333333333337</v>
      </c>
      <c r="F581" s="32">
        <v>0.56736111111111109</v>
      </c>
      <c r="G581" s="31" t="s">
        <v>452</v>
      </c>
      <c r="H581" s="31" t="s">
        <v>546</v>
      </c>
      <c r="I581" s="33">
        <v>32.5</v>
      </c>
      <c r="J581" s="34" t="s">
        <v>188</v>
      </c>
      <c r="K581" s="35">
        <v>13</v>
      </c>
      <c r="L581" s="36">
        <f>+K581*I581</f>
        <v>422.5</v>
      </c>
      <c r="M581" s="37" t="s">
        <v>738</v>
      </c>
      <c r="N581" s="23" t="s">
        <v>840</v>
      </c>
      <c r="O581" s="23">
        <v>31</v>
      </c>
      <c r="P581" s="23" t="s">
        <v>1165</v>
      </c>
      <c r="Q581" s="23">
        <v>57</v>
      </c>
      <c r="S581" s="23"/>
      <c r="T581" s="7">
        <v>1</v>
      </c>
      <c r="U581" s="7" t="s">
        <v>1233</v>
      </c>
      <c r="V581" s="7">
        <v>3820</v>
      </c>
      <c r="W581" s="7" t="s">
        <v>1504</v>
      </c>
      <c r="X581" s="17"/>
      <c r="Y581" s="18"/>
      <c r="Z581" s="18"/>
      <c r="AA581" s="18"/>
      <c r="AB581" s="7" t="s">
        <v>1044</v>
      </c>
      <c r="AC581" s="8"/>
      <c r="AD581" s="8" t="s">
        <v>726</v>
      </c>
      <c r="AE581" s="8"/>
      <c r="AF581" s="8"/>
      <c r="AG581" s="8"/>
      <c r="AH581" s="8"/>
      <c r="AI581" s="8"/>
      <c r="AJ581" s="8"/>
      <c r="AK581" s="8"/>
      <c r="AL581" s="8"/>
      <c r="AM581" s="8" t="s">
        <v>726</v>
      </c>
      <c r="AN581" s="8"/>
      <c r="AO581" s="8"/>
      <c r="AP581" s="8"/>
      <c r="AQ581" s="8"/>
      <c r="AR581" s="8"/>
      <c r="AS581" s="8"/>
      <c r="AT581" s="8"/>
      <c r="AU581" s="8"/>
      <c r="AV581" s="8"/>
      <c r="AX581" s="142">
        <v>97.5</v>
      </c>
    </row>
    <row r="582" spans="2:50" ht="25.5">
      <c r="B582" s="27">
        <v>570</v>
      </c>
      <c r="C582" s="31">
        <v>303</v>
      </c>
      <c r="D582" s="31">
        <v>296</v>
      </c>
      <c r="E582" s="32">
        <v>0.52916666666666667</v>
      </c>
      <c r="F582" s="32">
        <v>0.54652777777777783</v>
      </c>
      <c r="G582" s="31" t="s">
        <v>636</v>
      </c>
      <c r="H582" s="31" t="s">
        <v>253</v>
      </c>
      <c r="I582" s="33">
        <v>14.5</v>
      </c>
      <c r="J582" s="34" t="s">
        <v>269</v>
      </c>
      <c r="K582" s="35">
        <v>34</v>
      </c>
      <c r="L582" s="36">
        <f>+K582*I582</f>
        <v>493</v>
      </c>
      <c r="M582" s="37" t="s">
        <v>738</v>
      </c>
      <c r="N582" s="23" t="s">
        <v>837</v>
      </c>
      <c r="O582" s="23">
        <v>23</v>
      </c>
      <c r="P582" s="23" t="s">
        <v>1800</v>
      </c>
      <c r="Q582" s="23">
        <v>23</v>
      </c>
      <c r="R582" s="23" t="s">
        <v>838</v>
      </c>
      <c r="S582" s="24">
        <v>23</v>
      </c>
      <c r="T582" s="7" t="s">
        <v>1343</v>
      </c>
      <c r="U582" s="7" t="s">
        <v>1344</v>
      </c>
      <c r="V582" s="7">
        <v>3740</v>
      </c>
      <c r="W582" s="7" t="s">
        <v>1510</v>
      </c>
      <c r="X582" s="18"/>
      <c r="Y582" s="17"/>
      <c r="Z582" s="17"/>
      <c r="AA582" s="17"/>
      <c r="AB582" s="8" t="s">
        <v>1051</v>
      </c>
      <c r="AC582" s="8"/>
      <c r="AD582" s="8"/>
      <c r="AE582" s="8"/>
      <c r="AF582" s="8" t="s">
        <v>726</v>
      </c>
      <c r="AG582" s="8"/>
      <c r="AH582" s="8"/>
      <c r="AI582" s="8"/>
      <c r="AJ582" s="8"/>
      <c r="AK582" s="8"/>
      <c r="AL582" s="8" t="s">
        <v>726</v>
      </c>
      <c r="AM582" s="8"/>
      <c r="AN582" s="8"/>
      <c r="AO582" s="8"/>
      <c r="AP582" s="8"/>
      <c r="AQ582" s="8"/>
      <c r="AR582" s="8"/>
      <c r="AS582" s="8"/>
      <c r="AT582" s="8"/>
      <c r="AU582" s="8"/>
      <c r="AV582" s="8"/>
      <c r="AX582" s="142">
        <v>73.930000000000007</v>
      </c>
    </row>
    <row r="583" spans="2:50" ht="25.5">
      <c r="B583" s="27">
        <v>571</v>
      </c>
      <c r="C583" s="31">
        <v>303</v>
      </c>
      <c r="D583" s="31">
        <v>550</v>
      </c>
      <c r="E583" s="32">
        <v>0.53611111111111109</v>
      </c>
      <c r="F583" s="32">
        <v>0.55347222222222225</v>
      </c>
      <c r="G583" s="31" t="s">
        <v>512</v>
      </c>
      <c r="H583" s="31" t="s">
        <v>565</v>
      </c>
      <c r="I583" s="33">
        <v>19</v>
      </c>
      <c r="J583" s="34">
        <v>14</v>
      </c>
      <c r="K583" s="35">
        <v>39</v>
      </c>
      <c r="L583" s="36">
        <f>+K583*I583</f>
        <v>741</v>
      </c>
      <c r="M583" s="37" t="s">
        <v>751</v>
      </c>
      <c r="N583" s="23" t="s">
        <v>956</v>
      </c>
      <c r="O583" s="23">
        <v>9</v>
      </c>
      <c r="P583" s="23" t="s">
        <v>1802</v>
      </c>
      <c r="Q583" s="23">
        <v>9</v>
      </c>
      <c r="S583" s="23"/>
      <c r="T583" s="7" t="s">
        <v>1514</v>
      </c>
      <c r="U583" s="7" t="s">
        <v>1515</v>
      </c>
      <c r="V583" s="7">
        <v>3895</v>
      </c>
      <c r="W583" s="7" t="s">
        <v>1501</v>
      </c>
      <c r="X583" s="18"/>
      <c r="Y583" s="17"/>
      <c r="Z583" s="18"/>
      <c r="AA583" s="18"/>
      <c r="AB583" s="7" t="s">
        <v>1081</v>
      </c>
      <c r="AC583" s="8" t="s">
        <v>726</v>
      </c>
      <c r="AD583" s="8"/>
      <c r="AE583" s="8" t="s">
        <v>726</v>
      </c>
      <c r="AF583" s="8"/>
      <c r="AG583" s="8"/>
      <c r="AH583" s="8"/>
      <c r="AI583" s="8"/>
      <c r="AJ583" s="8" t="s">
        <v>726</v>
      </c>
      <c r="AK583" s="8"/>
      <c r="AL583" s="8"/>
      <c r="AM583" s="8"/>
      <c r="AN583" s="8"/>
      <c r="AO583" s="8"/>
      <c r="AP583" s="8"/>
      <c r="AQ583" s="8"/>
      <c r="AR583" s="8"/>
      <c r="AS583" s="8"/>
      <c r="AT583" s="8"/>
      <c r="AU583" s="8"/>
      <c r="AV583" s="8"/>
      <c r="AX583" s="142">
        <v>57</v>
      </c>
    </row>
    <row r="584" spans="2:50" ht="25.5">
      <c r="B584" s="27">
        <v>572</v>
      </c>
      <c r="C584" s="43">
        <v>329</v>
      </c>
      <c r="D584" s="31">
        <v>296</v>
      </c>
      <c r="E584" s="42">
        <v>0.55763888888888891</v>
      </c>
      <c r="F584" s="42">
        <v>0.57500000000000007</v>
      </c>
      <c r="G584" s="31" t="s">
        <v>636</v>
      </c>
      <c r="H584" s="31" t="s">
        <v>557</v>
      </c>
      <c r="I584" s="33">
        <v>14.5</v>
      </c>
      <c r="J584" s="34" t="s">
        <v>269</v>
      </c>
      <c r="K584" s="35">
        <v>103</v>
      </c>
      <c r="L584" s="36">
        <f>+K584*I584</f>
        <v>1493.5</v>
      </c>
      <c r="M584" s="37" t="s">
        <v>738</v>
      </c>
      <c r="N584" s="23" t="s">
        <v>837</v>
      </c>
      <c r="O584" s="23">
        <v>23</v>
      </c>
      <c r="P584" s="23" t="s">
        <v>1800</v>
      </c>
      <c r="Q584" s="23">
        <v>23</v>
      </c>
      <c r="R584" s="23" t="s">
        <v>838</v>
      </c>
      <c r="S584" s="24">
        <v>23</v>
      </c>
      <c r="T584" s="7" t="s">
        <v>1343</v>
      </c>
      <c r="U584" s="7" t="s">
        <v>1344</v>
      </c>
      <c r="V584" s="7">
        <v>3740</v>
      </c>
      <c r="W584" s="7" t="s">
        <v>1510</v>
      </c>
      <c r="X584" s="18"/>
      <c r="Y584" s="17"/>
      <c r="Z584" s="17"/>
      <c r="AA584" s="17"/>
      <c r="AB584" s="7" t="s">
        <v>1077</v>
      </c>
      <c r="AC584" s="8"/>
      <c r="AD584" s="8"/>
      <c r="AE584" s="8"/>
      <c r="AF584" s="8" t="s">
        <v>726</v>
      </c>
      <c r="AG584" s="8" t="s">
        <v>726</v>
      </c>
      <c r="AH584" s="8" t="s">
        <v>726</v>
      </c>
      <c r="AI584" s="8" t="s">
        <v>726</v>
      </c>
      <c r="AJ584" s="8"/>
      <c r="AK584" s="8"/>
      <c r="AL584" s="8"/>
      <c r="AM584" s="8"/>
      <c r="AN584" s="8"/>
      <c r="AO584" s="8"/>
      <c r="AP584" s="8"/>
      <c r="AQ584" s="8"/>
      <c r="AR584" s="8"/>
      <c r="AS584" s="8"/>
      <c r="AT584" s="8"/>
      <c r="AU584" s="8"/>
      <c r="AV584" s="8"/>
      <c r="AX584" s="142">
        <v>73.930000000000007</v>
      </c>
    </row>
    <row r="585" spans="2:50" ht="25.5">
      <c r="B585" s="27">
        <v>573</v>
      </c>
      <c r="C585" s="43">
        <v>330</v>
      </c>
      <c r="D585" s="43">
        <v>296</v>
      </c>
      <c r="E585" s="42">
        <v>0.55763888888888891</v>
      </c>
      <c r="F585" s="42">
        <v>0.60347222222222219</v>
      </c>
      <c r="G585" s="31" t="s">
        <v>342</v>
      </c>
      <c r="H585" s="31" t="s">
        <v>556</v>
      </c>
      <c r="I585" s="33">
        <v>30</v>
      </c>
      <c r="J585" s="34" t="s">
        <v>269</v>
      </c>
      <c r="K585" s="35">
        <v>70</v>
      </c>
      <c r="L585" s="36">
        <f>+K585*I585</f>
        <v>2100</v>
      </c>
      <c r="M585" s="37" t="s">
        <v>738</v>
      </c>
      <c r="N585" s="23" t="s">
        <v>837</v>
      </c>
      <c r="O585" s="23">
        <v>23</v>
      </c>
      <c r="P585" s="23" t="s">
        <v>1800</v>
      </c>
      <c r="Q585" s="23">
        <v>23</v>
      </c>
      <c r="R585" s="23" t="s">
        <v>838</v>
      </c>
      <c r="S585" s="24">
        <v>23</v>
      </c>
      <c r="T585" s="7" t="s">
        <v>1343</v>
      </c>
      <c r="U585" s="7" t="s">
        <v>1344</v>
      </c>
      <c r="V585" s="7">
        <v>3790</v>
      </c>
      <c r="W585" s="7" t="s">
        <v>1505</v>
      </c>
      <c r="X585" s="18"/>
      <c r="Y585" s="17"/>
      <c r="Z585" s="17"/>
      <c r="AA585" s="17"/>
      <c r="AB585" s="7" t="s">
        <v>1075</v>
      </c>
      <c r="AC585" s="8"/>
      <c r="AD585" s="8"/>
      <c r="AE585" s="8"/>
      <c r="AF585" s="8" t="s">
        <v>726</v>
      </c>
      <c r="AG585" s="8"/>
      <c r="AH585" s="8"/>
      <c r="AI585" s="8"/>
      <c r="AJ585" s="8" t="s">
        <v>726</v>
      </c>
      <c r="AK585" s="8" t="s">
        <v>726</v>
      </c>
      <c r="AL585" s="8"/>
      <c r="AM585" s="8"/>
      <c r="AN585" s="8"/>
      <c r="AO585" s="8"/>
      <c r="AP585" s="8"/>
      <c r="AQ585" s="8"/>
      <c r="AR585" s="8"/>
      <c r="AS585" s="8"/>
      <c r="AT585" s="8"/>
      <c r="AU585" s="8"/>
      <c r="AV585" s="8"/>
      <c r="AX585" s="142">
        <v>121.19800000000001</v>
      </c>
    </row>
    <row r="586" spans="2:50" ht="25.5">
      <c r="B586" s="27">
        <v>574</v>
      </c>
      <c r="C586" s="31">
        <v>303</v>
      </c>
      <c r="D586" s="31">
        <v>705</v>
      </c>
      <c r="E586" s="32">
        <v>0.5625</v>
      </c>
      <c r="F586" s="32">
        <v>0.60069444444444442</v>
      </c>
      <c r="G586" s="31" t="s">
        <v>441</v>
      </c>
      <c r="H586" s="31" t="s">
        <v>442</v>
      </c>
      <c r="I586" s="33">
        <v>23</v>
      </c>
      <c r="J586" s="34" t="s">
        <v>188</v>
      </c>
      <c r="K586" s="35">
        <v>47</v>
      </c>
      <c r="L586" s="36">
        <f>+K586*I586</f>
        <v>1081</v>
      </c>
      <c r="M586" s="37" t="s">
        <v>738</v>
      </c>
      <c r="N586" s="23" t="s">
        <v>840</v>
      </c>
      <c r="O586" s="23">
        <v>31</v>
      </c>
      <c r="P586" s="23" t="s">
        <v>1165</v>
      </c>
      <c r="Q586" s="23">
        <v>57</v>
      </c>
      <c r="R586" s="23" t="s">
        <v>841</v>
      </c>
      <c r="S586" s="24">
        <v>42</v>
      </c>
      <c r="T586" s="7">
        <v>3790</v>
      </c>
      <c r="U586" s="7" t="s">
        <v>1505</v>
      </c>
      <c r="V586" s="7">
        <v>1</v>
      </c>
      <c r="W586" s="7" t="s">
        <v>1236</v>
      </c>
      <c r="X586" s="18"/>
      <c r="Y586" s="17"/>
      <c r="Z586" s="18"/>
      <c r="AA586" s="18"/>
      <c r="AB586" s="7" t="s">
        <v>1043</v>
      </c>
      <c r="AC586" s="8" t="s">
        <v>726</v>
      </c>
      <c r="AD586" s="8"/>
      <c r="AE586" s="8"/>
      <c r="AF586" s="8"/>
      <c r="AG586" s="8"/>
      <c r="AH586" s="8"/>
      <c r="AI586" s="8"/>
      <c r="AJ586" s="8"/>
      <c r="AK586" s="8"/>
      <c r="AL586" s="8"/>
      <c r="AM586" s="8" t="s">
        <v>726</v>
      </c>
      <c r="AN586" s="8"/>
      <c r="AO586" s="8"/>
      <c r="AP586" s="8"/>
      <c r="AQ586" s="8"/>
      <c r="AR586" s="8"/>
      <c r="AS586" s="8"/>
      <c r="AT586" s="8"/>
      <c r="AU586" s="8"/>
      <c r="AV586" s="8"/>
      <c r="AX586" s="142">
        <v>69</v>
      </c>
    </row>
    <row r="587" spans="2:50" ht="33.75">
      <c r="B587" s="27">
        <v>575</v>
      </c>
      <c r="C587" s="31">
        <v>303</v>
      </c>
      <c r="D587" s="31">
        <v>544</v>
      </c>
      <c r="E587" s="32">
        <v>0.57430555555555551</v>
      </c>
      <c r="F587" s="32">
        <v>0.60138888888888886</v>
      </c>
      <c r="G587" s="31" t="s">
        <v>637</v>
      </c>
      <c r="H587" s="31" t="s">
        <v>97</v>
      </c>
      <c r="I587" s="33">
        <v>28</v>
      </c>
      <c r="J587" s="34">
        <v>14</v>
      </c>
      <c r="K587" s="35">
        <v>208</v>
      </c>
      <c r="L587" s="36">
        <f>+K587*I587</f>
        <v>5824</v>
      </c>
      <c r="M587" s="37" t="s">
        <v>749</v>
      </c>
      <c r="N587" s="23" t="s">
        <v>824</v>
      </c>
      <c r="O587" s="23">
        <v>15</v>
      </c>
      <c r="P587" s="23" t="s">
        <v>1798</v>
      </c>
      <c r="Q587" s="23">
        <v>9</v>
      </c>
      <c r="R587" s="23" t="s">
        <v>1177</v>
      </c>
      <c r="S587" s="24">
        <v>9</v>
      </c>
      <c r="T587" s="7" t="s">
        <v>1343</v>
      </c>
      <c r="U587" s="7" t="s">
        <v>1344</v>
      </c>
      <c r="V587" s="7">
        <v>3895</v>
      </c>
      <c r="W587" s="7" t="s">
        <v>1501</v>
      </c>
      <c r="X587" s="18"/>
      <c r="Y587" s="17"/>
      <c r="Z587" s="17"/>
      <c r="AA587" s="17"/>
      <c r="AB587" s="7" t="s">
        <v>1046</v>
      </c>
      <c r="AC587" s="8"/>
      <c r="AD587" s="8"/>
      <c r="AE587" s="8"/>
      <c r="AF587" s="8" t="s">
        <v>726</v>
      </c>
      <c r="AG587" s="8" t="s">
        <v>726</v>
      </c>
      <c r="AH587" s="8" t="s">
        <v>726</v>
      </c>
      <c r="AI587" s="8" t="s">
        <v>726</v>
      </c>
      <c r="AJ587" s="8" t="s">
        <v>726</v>
      </c>
      <c r="AK587" s="8" t="s">
        <v>726</v>
      </c>
      <c r="AL587" s="8" t="s">
        <v>726</v>
      </c>
      <c r="AM587" s="8"/>
      <c r="AN587" s="8"/>
      <c r="AO587" s="8"/>
      <c r="AP587" s="8"/>
      <c r="AQ587" s="8"/>
      <c r="AR587" s="8"/>
      <c r="AS587" s="8"/>
      <c r="AT587" s="8"/>
      <c r="AU587" s="8"/>
      <c r="AV587" s="8"/>
      <c r="AX587" s="142">
        <v>93.9</v>
      </c>
    </row>
    <row r="588" spans="2:50" ht="25.5">
      <c r="B588" s="27">
        <v>576</v>
      </c>
      <c r="C588" s="31">
        <v>303</v>
      </c>
      <c r="D588" s="31">
        <v>551</v>
      </c>
      <c r="E588" s="32">
        <v>0.59375</v>
      </c>
      <c r="F588" s="42">
        <v>0.60972222222222217</v>
      </c>
      <c r="G588" s="31" t="s">
        <v>395</v>
      </c>
      <c r="H588" s="31" t="s">
        <v>565</v>
      </c>
      <c r="I588" s="33">
        <v>19</v>
      </c>
      <c r="J588" s="34">
        <v>14</v>
      </c>
      <c r="K588" s="35">
        <v>39</v>
      </c>
      <c r="L588" s="36">
        <f>+K588*I588</f>
        <v>741</v>
      </c>
      <c r="M588" s="37" t="s">
        <v>751</v>
      </c>
      <c r="N588" s="23" t="s">
        <v>956</v>
      </c>
      <c r="O588" s="23">
        <v>9</v>
      </c>
      <c r="P588" s="23" t="s">
        <v>1802</v>
      </c>
      <c r="Q588" s="23">
        <v>9</v>
      </c>
      <c r="S588" s="23"/>
      <c r="T588" s="7">
        <v>3895</v>
      </c>
      <c r="U588" s="7" t="s">
        <v>1501</v>
      </c>
      <c r="V588" s="7" t="s">
        <v>1502</v>
      </c>
      <c r="W588" s="7" t="s">
        <v>1503</v>
      </c>
      <c r="X588" s="18"/>
      <c r="Y588" s="17"/>
      <c r="Z588" s="18"/>
      <c r="AA588" s="18"/>
      <c r="AB588" s="7" t="s">
        <v>1081</v>
      </c>
      <c r="AC588" s="8" t="s">
        <v>726</v>
      </c>
      <c r="AD588" s="8"/>
      <c r="AE588" s="8" t="s">
        <v>726</v>
      </c>
      <c r="AF588" s="8"/>
      <c r="AG588" s="8"/>
      <c r="AH588" s="8"/>
      <c r="AI588" s="8"/>
      <c r="AJ588" s="8" t="s">
        <v>726</v>
      </c>
      <c r="AK588" s="8"/>
      <c r="AL588" s="8"/>
      <c r="AM588" s="8"/>
      <c r="AN588" s="8"/>
      <c r="AO588" s="8"/>
      <c r="AP588" s="8"/>
      <c r="AQ588" s="8"/>
      <c r="AR588" s="8"/>
      <c r="AS588" s="8"/>
      <c r="AT588" s="8"/>
      <c r="AU588" s="8"/>
      <c r="AV588" s="8"/>
      <c r="AX588" s="142">
        <v>57</v>
      </c>
    </row>
    <row r="589" spans="2:50" ht="38.25">
      <c r="B589" s="27">
        <v>577</v>
      </c>
      <c r="C589" s="31">
        <v>303</v>
      </c>
      <c r="D589" s="31">
        <v>705</v>
      </c>
      <c r="E589" s="32">
        <v>0.60069444444444442</v>
      </c>
      <c r="F589" s="32">
        <v>0.65277777777777779</v>
      </c>
      <c r="G589" s="31" t="s">
        <v>453</v>
      </c>
      <c r="H589" s="31" t="s">
        <v>546</v>
      </c>
      <c r="I589" s="33">
        <v>32.5</v>
      </c>
      <c r="J589" s="34" t="s">
        <v>188</v>
      </c>
      <c r="K589" s="35">
        <v>13</v>
      </c>
      <c r="L589" s="36">
        <f>+K589*I589</f>
        <v>422.5</v>
      </c>
      <c r="M589" s="37" t="s">
        <v>738</v>
      </c>
      <c r="N589" s="23" t="s">
        <v>840</v>
      </c>
      <c r="O589" s="23">
        <v>31</v>
      </c>
      <c r="P589" s="23" t="s">
        <v>1165</v>
      </c>
      <c r="Q589" s="23">
        <v>57</v>
      </c>
      <c r="S589" s="23"/>
      <c r="T589" s="7">
        <v>3820</v>
      </c>
      <c r="U589" s="7" t="s">
        <v>1504</v>
      </c>
      <c r="V589" s="7">
        <v>1</v>
      </c>
      <c r="W589" s="7" t="s">
        <v>1236</v>
      </c>
      <c r="X589" s="17"/>
      <c r="Y589" s="18"/>
      <c r="Z589" s="18"/>
      <c r="AA589" s="18"/>
      <c r="AB589" s="7" t="s">
        <v>1044</v>
      </c>
      <c r="AC589" s="8"/>
      <c r="AD589" s="8" t="s">
        <v>726</v>
      </c>
      <c r="AE589" s="8"/>
      <c r="AF589" s="8"/>
      <c r="AG589" s="8"/>
      <c r="AH589" s="8"/>
      <c r="AI589" s="8"/>
      <c r="AJ589" s="8"/>
      <c r="AK589" s="8"/>
      <c r="AL589" s="8"/>
      <c r="AM589" s="8" t="s">
        <v>726</v>
      </c>
      <c r="AN589" s="8"/>
      <c r="AO589" s="8"/>
      <c r="AP589" s="8"/>
      <c r="AQ589" s="8"/>
      <c r="AR589" s="8"/>
      <c r="AS589" s="8"/>
      <c r="AT589" s="8"/>
      <c r="AU589" s="8"/>
      <c r="AV589" s="8"/>
      <c r="AX589" s="142">
        <v>97.5</v>
      </c>
    </row>
    <row r="590" spans="2:50" ht="33.75">
      <c r="B590" s="27">
        <v>578</v>
      </c>
      <c r="C590" s="31">
        <v>303</v>
      </c>
      <c r="D590" s="31">
        <v>531</v>
      </c>
      <c r="E590" s="32">
        <v>0.61805555555555558</v>
      </c>
      <c r="F590" s="42">
        <v>0.65277777777777779</v>
      </c>
      <c r="G590" s="31" t="s">
        <v>346</v>
      </c>
      <c r="H590" s="31" t="s">
        <v>477</v>
      </c>
      <c r="I590" s="33">
        <v>26</v>
      </c>
      <c r="J590" s="34" t="s">
        <v>269</v>
      </c>
      <c r="K590" s="35">
        <v>240</v>
      </c>
      <c r="L590" s="36">
        <f>+K590*I590</f>
        <v>6240</v>
      </c>
      <c r="M590" s="37" t="s">
        <v>738</v>
      </c>
      <c r="N590" s="23" t="s">
        <v>837</v>
      </c>
      <c r="O590" s="23">
        <v>23</v>
      </c>
      <c r="P590" s="23" t="s">
        <v>1803</v>
      </c>
      <c r="Q590" s="23">
        <v>56</v>
      </c>
      <c r="R590" s="23" t="s">
        <v>1165</v>
      </c>
      <c r="S590" s="24">
        <v>57</v>
      </c>
      <c r="T590" s="7">
        <v>3790</v>
      </c>
      <c r="U590" s="7" t="s">
        <v>1505</v>
      </c>
      <c r="V590" s="7">
        <v>1</v>
      </c>
      <c r="W590" s="7" t="s">
        <v>1236</v>
      </c>
      <c r="X590" s="18"/>
      <c r="Y590" s="17"/>
      <c r="Z590" s="18"/>
      <c r="AA590" s="18"/>
      <c r="AB590" s="7" t="s">
        <v>1052</v>
      </c>
      <c r="AC590" s="8" t="s">
        <v>726</v>
      </c>
      <c r="AD590" s="8"/>
      <c r="AE590" s="8" t="s">
        <v>726</v>
      </c>
      <c r="AF590" s="8"/>
      <c r="AG590" s="8" t="s">
        <v>726</v>
      </c>
      <c r="AH590" s="8" t="s">
        <v>726</v>
      </c>
      <c r="AI590" s="8" t="s">
        <v>726</v>
      </c>
      <c r="AJ590" s="8" t="s">
        <v>726</v>
      </c>
      <c r="AK590" s="8" t="s">
        <v>726</v>
      </c>
      <c r="AL590" s="8" t="s">
        <v>726</v>
      </c>
      <c r="AM590" s="8"/>
      <c r="AN590" s="8"/>
      <c r="AO590" s="8"/>
      <c r="AP590" s="8"/>
      <c r="AQ590" s="8"/>
      <c r="AR590" s="8"/>
      <c r="AS590" s="8"/>
      <c r="AT590" s="8"/>
      <c r="AU590" s="8"/>
      <c r="AV590" s="8"/>
      <c r="AX590" s="142">
        <v>94.016000000000005</v>
      </c>
    </row>
    <row r="591" spans="2:50" ht="25.5">
      <c r="B591" s="27">
        <v>579</v>
      </c>
      <c r="C591" s="31">
        <v>303</v>
      </c>
      <c r="D591" s="31">
        <v>250</v>
      </c>
      <c r="E591" s="32">
        <v>0.69444444444444453</v>
      </c>
      <c r="F591" s="42">
        <v>0.72569444444444453</v>
      </c>
      <c r="G591" s="31" t="s">
        <v>638</v>
      </c>
      <c r="H591" s="31" t="s">
        <v>103</v>
      </c>
      <c r="I591" s="33">
        <v>21</v>
      </c>
      <c r="J591" s="34" t="s">
        <v>101</v>
      </c>
      <c r="K591" s="35">
        <v>174</v>
      </c>
      <c r="L591" s="36">
        <f>+K591*I591</f>
        <v>3654</v>
      </c>
      <c r="M591" s="37" t="s">
        <v>738</v>
      </c>
      <c r="N591" s="23" t="s">
        <v>839</v>
      </c>
      <c r="O591" s="23">
        <v>57</v>
      </c>
      <c r="P591" s="23" t="s">
        <v>1801</v>
      </c>
      <c r="Q591" s="23">
        <v>56</v>
      </c>
      <c r="R591" s="23" t="s">
        <v>1179</v>
      </c>
      <c r="S591" s="24">
        <v>62</v>
      </c>
      <c r="T591" s="7">
        <v>1</v>
      </c>
      <c r="U591" s="7" t="s">
        <v>1233</v>
      </c>
      <c r="V591" s="7">
        <v>3790</v>
      </c>
      <c r="W591" s="7" t="s">
        <v>1505</v>
      </c>
      <c r="X591" s="18"/>
      <c r="Y591" s="17"/>
      <c r="Z591" s="17"/>
      <c r="AA591" s="17"/>
      <c r="AB591" s="7" t="s">
        <v>1042</v>
      </c>
      <c r="AC591" s="8"/>
      <c r="AD591" s="8"/>
      <c r="AE591" s="8"/>
      <c r="AF591" s="8" t="s">
        <v>726</v>
      </c>
      <c r="AG591" s="8" t="s">
        <v>726</v>
      </c>
      <c r="AH591" s="8" t="s">
        <v>726</v>
      </c>
      <c r="AI591" s="8" t="s">
        <v>726</v>
      </c>
      <c r="AJ591" s="8" t="s">
        <v>726</v>
      </c>
      <c r="AK591" s="8" t="s">
        <v>726</v>
      </c>
      <c r="AL591" s="8"/>
      <c r="AM591" s="8"/>
      <c r="AN591" s="8"/>
      <c r="AO591" s="8"/>
      <c r="AP591" s="8"/>
      <c r="AQ591" s="8"/>
      <c r="AR591" s="8"/>
      <c r="AS591" s="8"/>
      <c r="AT591" s="8"/>
      <c r="AU591" s="8"/>
      <c r="AV591" s="8"/>
      <c r="AX591" s="142">
        <v>112</v>
      </c>
    </row>
    <row r="592" spans="2:50" ht="25.5">
      <c r="B592" s="27">
        <v>580</v>
      </c>
      <c r="C592" s="31">
        <v>303</v>
      </c>
      <c r="D592" s="31">
        <v>543</v>
      </c>
      <c r="E592" s="32">
        <v>0.69791666666666663</v>
      </c>
      <c r="F592" s="32">
        <v>0.70972222222222225</v>
      </c>
      <c r="G592" s="31" t="s">
        <v>341</v>
      </c>
      <c r="H592" s="31" t="s">
        <v>103</v>
      </c>
      <c r="I592" s="33">
        <v>12</v>
      </c>
      <c r="J592" s="34" t="s">
        <v>269</v>
      </c>
      <c r="K592" s="35">
        <v>174</v>
      </c>
      <c r="L592" s="36">
        <f>+K592*I592</f>
        <v>2088</v>
      </c>
      <c r="M592" s="37" t="s">
        <v>738</v>
      </c>
      <c r="N592" s="23" t="s">
        <v>838</v>
      </c>
      <c r="O592" s="23">
        <v>23</v>
      </c>
      <c r="P592" s="23" t="s">
        <v>1800</v>
      </c>
      <c r="Q592" s="23">
        <v>23</v>
      </c>
      <c r="R592" s="23" t="s">
        <v>837</v>
      </c>
      <c r="S592" s="24">
        <v>23</v>
      </c>
      <c r="T592" s="7" t="s">
        <v>1519</v>
      </c>
      <c r="U592" s="7" t="s">
        <v>1520</v>
      </c>
      <c r="V592" s="7">
        <v>3740</v>
      </c>
      <c r="W592" s="7" t="s">
        <v>1510</v>
      </c>
      <c r="X592" s="18"/>
      <c r="Y592" s="17"/>
      <c r="Z592" s="17"/>
      <c r="AA592" s="17"/>
      <c r="AB592" s="7" t="s">
        <v>1042</v>
      </c>
      <c r="AC592" s="8"/>
      <c r="AD592" s="8"/>
      <c r="AE592" s="8"/>
      <c r="AF592" s="8" t="s">
        <v>726</v>
      </c>
      <c r="AG592" s="8" t="s">
        <v>726</v>
      </c>
      <c r="AH592" s="8" t="s">
        <v>726</v>
      </c>
      <c r="AI592" s="8" t="s">
        <v>726</v>
      </c>
      <c r="AJ592" s="8" t="s">
        <v>726</v>
      </c>
      <c r="AK592" s="8" t="s">
        <v>726</v>
      </c>
      <c r="AL592" s="8"/>
      <c r="AM592" s="8"/>
      <c r="AN592" s="8"/>
      <c r="AO592" s="8"/>
      <c r="AP592" s="8"/>
      <c r="AQ592" s="8"/>
      <c r="AR592" s="8"/>
      <c r="AS592" s="8"/>
      <c r="AT592" s="8"/>
      <c r="AU592" s="8"/>
      <c r="AV592" s="8"/>
      <c r="AX592" s="142">
        <v>62.671724137931044</v>
      </c>
    </row>
    <row r="593" spans="2:50" ht="25.5">
      <c r="B593" s="27">
        <v>581</v>
      </c>
      <c r="C593" s="38">
        <v>303</v>
      </c>
      <c r="D593" s="38">
        <v>537</v>
      </c>
      <c r="E593" s="39">
        <v>0.71527777777777779</v>
      </c>
      <c r="F593" s="39">
        <v>0.7680555555555556</v>
      </c>
      <c r="G593" s="40" t="s">
        <v>4</v>
      </c>
      <c r="H593" s="31" t="s">
        <v>546</v>
      </c>
      <c r="I593" s="38">
        <v>39</v>
      </c>
      <c r="J593" s="41">
        <v>30</v>
      </c>
      <c r="K593" s="35">
        <v>13</v>
      </c>
      <c r="L593" s="36">
        <f>+K593*I593</f>
        <v>507</v>
      </c>
      <c r="M593" s="37" t="s">
        <v>750</v>
      </c>
      <c r="N593" s="23" t="s">
        <v>942</v>
      </c>
      <c r="O593" s="23">
        <v>33</v>
      </c>
      <c r="P593" s="2" t="s">
        <v>1178</v>
      </c>
      <c r="Q593" s="24">
        <v>55</v>
      </c>
      <c r="T593" s="7">
        <v>3870</v>
      </c>
      <c r="U593" s="7" t="s">
        <v>1518</v>
      </c>
      <c r="V593" s="7">
        <v>1</v>
      </c>
      <c r="W593" s="7" t="s">
        <v>1517</v>
      </c>
      <c r="X593" s="17"/>
      <c r="Y593" s="18"/>
      <c r="Z593" s="18"/>
      <c r="AA593" s="18"/>
      <c r="AB593" s="7" t="s">
        <v>1044</v>
      </c>
      <c r="AC593" s="8"/>
      <c r="AD593" s="8" t="s">
        <v>726</v>
      </c>
      <c r="AE593" s="8"/>
      <c r="AF593" s="8"/>
      <c r="AG593" s="8"/>
      <c r="AH593" s="8"/>
      <c r="AI593" s="8"/>
      <c r="AJ593" s="8"/>
      <c r="AK593" s="8"/>
      <c r="AL593" s="8"/>
      <c r="AM593" s="8" t="s">
        <v>726</v>
      </c>
      <c r="AN593" s="8"/>
      <c r="AO593" s="8"/>
      <c r="AP593" s="8"/>
      <c r="AQ593" s="8"/>
      <c r="AR593" s="8"/>
      <c r="AS593" s="8"/>
      <c r="AT593" s="8"/>
      <c r="AU593" s="8"/>
      <c r="AV593" s="8"/>
      <c r="AX593" s="142">
        <v>175</v>
      </c>
    </row>
    <row r="594" spans="2:50" ht="25.5">
      <c r="B594" s="27">
        <v>582</v>
      </c>
      <c r="C594" s="31">
        <v>303</v>
      </c>
      <c r="D594" s="31">
        <v>553</v>
      </c>
      <c r="E594" s="32">
        <v>0.71875</v>
      </c>
      <c r="F594" s="32">
        <v>0.7368055555555556</v>
      </c>
      <c r="G594" s="31" t="s">
        <v>511</v>
      </c>
      <c r="H594" s="31" t="s">
        <v>499</v>
      </c>
      <c r="I594" s="33">
        <v>19</v>
      </c>
      <c r="J594" s="34" t="s">
        <v>167</v>
      </c>
      <c r="K594" s="35">
        <v>67</v>
      </c>
      <c r="L594" s="36">
        <f>+K594*I594</f>
        <v>1273</v>
      </c>
      <c r="M594" s="37" t="s">
        <v>750</v>
      </c>
      <c r="N594" s="23" t="s">
        <v>969</v>
      </c>
      <c r="O594" s="23">
        <v>9</v>
      </c>
      <c r="P594" s="23" t="s">
        <v>1804</v>
      </c>
      <c r="Q594" s="23">
        <v>9</v>
      </c>
      <c r="R594" s="23"/>
      <c r="S594" s="23"/>
      <c r="T594" s="7">
        <v>3895</v>
      </c>
      <c r="U594" s="7" t="s">
        <v>1501</v>
      </c>
      <c r="V594" s="7" t="s">
        <v>1514</v>
      </c>
      <c r="W594" s="7" t="s">
        <v>1515</v>
      </c>
      <c r="X594" s="17"/>
      <c r="Y594" s="18"/>
      <c r="Z594" s="18"/>
      <c r="AA594" s="18"/>
      <c r="AB594" s="8" t="s">
        <v>1047</v>
      </c>
      <c r="AC594" s="8"/>
      <c r="AD594" s="8" t="s">
        <v>726</v>
      </c>
      <c r="AE594" s="8" t="s">
        <v>726</v>
      </c>
      <c r="AF594" s="8"/>
      <c r="AG594" s="8" t="s">
        <v>726</v>
      </c>
      <c r="AH594" s="8" t="s">
        <v>726</v>
      </c>
      <c r="AI594" s="8" t="s">
        <v>726</v>
      </c>
      <c r="AJ594" s="8" t="s">
        <v>726</v>
      </c>
      <c r="AK594" s="8" t="s">
        <v>726</v>
      </c>
      <c r="AL594" s="8" t="s">
        <v>726</v>
      </c>
      <c r="AM594" s="8"/>
      <c r="AN594" s="8"/>
      <c r="AO594" s="8"/>
      <c r="AP594" s="8"/>
      <c r="AQ594" s="8"/>
      <c r="AR594" s="8"/>
      <c r="AS594" s="8"/>
      <c r="AT594" s="8"/>
      <c r="AU594" s="8"/>
      <c r="AV594" s="8"/>
      <c r="AX594" s="142">
        <v>57</v>
      </c>
    </row>
    <row r="595" spans="2:50" ht="25.5">
      <c r="B595" s="27">
        <v>583</v>
      </c>
      <c r="C595" s="31">
        <v>303</v>
      </c>
      <c r="D595" s="31">
        <v>252</v>
      </c>
      <c r="E595" s="32">
        <v>0.72916666666666663</v>
      </c>
      <c r="F595" s="32">
        <v>0.76388888888888884</v>
      </c>
      <c r="G595" s="31" t="s">
        <v>443</v>
      </c>
      <c r="H595" s="31" t="s">
        <v>442</v>
      </c>
      <c r="I595" s="33">
        <v>23</v>
      </c>
      <c r="J595" s="34" t="s">
        <v>188</v>
      </c>
      <c r="K595" s="35">
        <v>47</v>
      </c>
      <c r="L595" s="36">
        <f>+K595*I595</f>
        <v>1081</v>
      </c>
      <c r="M595" s="37" t="s">
        <v>738</v>
      </c>
      <c r="N595" s="23" t="s">
        <v>840</v>
      </c>
      <c r="O595" s="23">
        <v>31</v>
      </c>
      <c r="P595" s="23" t="s">
        <v>1165</v>
      </c>
      <c r="Q595" s="23">
        <v>57</v>
      </c>
      <c r="S595" s="23"/>
      <c r="T595" s="7">
        <v>1</v>
      </c>
      <c r="U595" s="7" t="s">
        <v>1233</v>
      </c>
      <c r="V595" s="7">
        <v>3790</v>
      </c>
      <c r="W595" s="7" t="s">
        <v>1505</v>
      </c>
      <c r="X595" s="18"/>
      <c r="Y595" s="17"/>
      <c r="Z595" s="18"/>
      <c r="AA595" s="18"/>
      <c r="AB595" s="7" t="s">
        <v>1043</v>
      </c>
      <c r="AC595" s="8" t="s">
        <v>726</v>
      </c>
      <c r="AD595" s="8"/>
      <c r="AE595" s="8"/>
      <c r="AF595" s="8"/>
      <c r="AG595" s="8"/>
      <c r="AH595" s="8"/>
      <c r="AI595" s="8"/>
      <c r="AJ595" s="8"/>
      <c r="AK595" s="8"/>
      <c r="AL595" s="8"/>
      <c r="AM595" s="8" t="s">
        <v>726</v>
      </c>
      <c r="AN595" s="8"/>
      <c r="AO595" s="8"/>
      <c r="AP595" s="8"/>
      <c r="AQ595" s="8"/>
      <c r="AR595" s="8"/>
      <c r="AS595" s="8"/>
      <c r="AT595" s="8"/>
      <c r="AU595" s="8"/>
      <c r="AV595" s="8"/>
      <c r="AX595" s="142">
        <v>69</v>
      </c>
    </row>
    <row r="596" spans="2:50" ht="33.75">
      <c r="B596" s="27">
        <v>584</v>
      </c>
      <c r="C596" s="31">
        <v>303</v>
      </c>
      <c r="D596" s="31">
        <v>546</v>
      </c>
      <c r="E596" s="32">
        <v>0.74444444444444446</v>
      </c>
      <c r="F596" s="32">
        <v>0.76180555555555562</v>
      </c>
      <c r="G596" s="31" t="s">
        <v>468</v>
      </c>
      <c r="H596" s="31" t="s">
        <v>103</v>
      </c>
      <c r="I596" s="33">
        <v>19</v>
      </c>
      <c r="J596" s="34">
        <v>14</v>
      </c>
      <c r="K596" s="35">
        <v>174</v>
      </c>
      <c r="L596" s="36">
        <f>+K596*I596</f>
        <v>3306</v>
      </c>
      <c r="M596" s="37" t="s">
        <v>749</v>
      </c>
      <c r="N596" s="23" t="s">
        <v>824</v>
      </c>
      <c r="O596" s="23">
        <v>15</v>
      </c>
      <c r="P596" s="23" t="s">
        <v>1798</v>
      </c>
      <c r="Q596" s="23">
        <v>9</v>
      </c>
      <c r="R596" s="23" t="s">
        <v>1177</v>
      </c>
      <c r="S596" s="24">
        <v>9</v>
      </c>
      <c r="T596" s="7" t="s">
        <v>1514</v>
      </c>
      <c r="U596" s="7" t="s">
        <v>1515</v>
      </c>
      <c r="V596" s="7">
        <v>3895</v>
      </c>
      <c r="W596" s="7" t="s">
        <v>1501</v>
      </c>
      <c r="X596" s="18"/>
      <c r="Y596" s="17"/>
      <c r="Z596" s="17"/>
      <c r="AA596" s="17"/>
      <c r="AB596" s="7" t="s">
        <v>1042</v>
      </c>
      <c r="AC596" s="8"/>
      <c r="AD596" s="8"/>
      <c r="AE596" s="8"/>
      <c r="AF596" s="8" t="s">
        <v>726</v>
      </c>
      <c r="AG596" s="8" t="s">
        <v>726</v>
      </c>
      <c r="AH596" s="8" t="s">
        <v>726</v>
      </c>
      <c r="AI596" s="8" t="s">
        <v>726</v>
      </c>
      <c r="AJ596" s="8" t="s">
        <v>726</v>
      </c>
      <c r="AK596" s="8" t="s">
        <v>726</v>
      </c>
      <c r="AL596" s="8"/>
      <c r="AM596" s="8"/>
      <c r="AN596" s="8"/>
      <c r="AO596" s="8"/>
      <c r="AP596" s="8"/>
      <c r="AQ596" s="8"/>
      <c r="AR596" s="8"/>
      <c r="AS596" s="8"/>
      <c r="AT596" s="8"/>
      <c r="AU596" s="8"/>
      <c r="AV596" s="8"/>
      <c r="AX596" s="142">
        <v>57</v>
      </c>
    </row>
    <row r="597" spans="2:50" ht="25.5">
      <c r="B597" s="27">
        <v>585</v>
      </c>
      <c r="C597" s="31">
        <v>303</v>
      </c>
      <c r="D597" s="31">
        <v>554</v>
      </c>
      <c r="E597" s="32">
        <v>0.74444444444444446</v>
      </c>
      <c r="F597" s="32">
        <v>0.76250000000000007</v>
      </c>
      <c r="G597" s="31" t="s">
        <v>512</v>
      </c>
      <c r="H597" s="31" t="s">
        <v>499</v>
      </c>
      <c r="I597" s="33">
        <v>19</v>
      </c>
      <c r="J597" s="34" t="s">
        <v>167</v>
      </c>
      <c r="K597" s="35">
        <v>67</v>
      </c>
      <c r="L597" s="36">
        <f>+K597*I597</f>
        <v>1273</v>
      </c>
      <c r="M597" s="37" t="s">
        <v>750</v>
      </c>
      <c r="N597" s="23" t="s">
        <v>969</v>
      </c>
      <c r="O597" s="23">
        <v>9</v>
      </c>
      <c r="P597" s="23" t="s">
        <v>1804</v>
      </c>
      <c r="Q597" s="23">
        <v>9</v>
      </c>
      <c r="R597" s="23"/>
      <c r="S597" s="23"/>
      <c r="T597" s="7" t="s">
        <v>1514</v>
      </c>
      <c r="U597" s="7" t="s">
        <v>1515</v>
      </c>
      <c r="V597" s="7">
        <v>3895</v>
      </c>
      <c r="W597" s="7" t="s">
        <v>1501</v>
      </c>
      <c r="X597" s="17"/>
      <c r="Y597" s="18"/>
      <c r="Z597" s="18"/>
      <c r="AA597" s="18"/>
      <c r="AB597" s="8" t="s">
        <v>1047</v>
      </c>
      <c r="AC597" s="8"/>
      <c r="AD597" s="8" t="s">
        <v>726</v>
      </c>
      <c r="AE597" s="8" t="s">
        <v>726</v>
      </c>
      <c r="AF597" s="8"/>
      <c r="AG597" s="8" t="s">
        <v>726</v>
      </c>
      <c r="AH597" s="8" t="s">
        <v>726</v>
      </c>
      <c r="AI597" s="8" t="s">
        <v>726</v>
      </c>
      <c r="AJ597" s="8" t="s">
        <v>726</v>
      </c>
      <c r="AK597" s="8" t="s">
        <v>726</v>
      </c>
      <c r="AL597" s="8" t="s">
        <v>726</v>
      </c>
      <c r="AM597" s="8"/>
      <c r="AN597" s="8"/>
      <c r="AO597" s="8"/>
      <c r="AP597" s="8"/>
      <c r="AQ597" s="8"/>
      <c r="AR597" s="8"/>
      <c r="AS597" s="8"/>
      <c r="AT597" s="8"/>
      <c r="AU597" s="8"/>
      <c r="AV597" s="8"/>
      <c r="AX597" s="142">
        <v>57</v>
      </c>
    </row>
    <row r="598" spans="2:50" ht="45">
      <c r="B598" s="27">
        <v>586</v>
      </c>
      <c r="C598" s="38">
        <v>303</v>
      </c>
      <c r="D598" s="38">
        <v>256</v>
      </c>
      <c r="E598" s="39">
        <v>0.80208333333333337</v>
      </c>
      <c r="F598" s="39">
        <v>0.83680555555555547</v>
      </c>
      <c r="G598" s="40" t="s">
        <v>3</v>
      </c>
      <c r="H598" s="31" t="s">
        <v>203</v>
      </c>
      <c r="I598" s="38">
        <v>23</v>
      </c>
      <c r="J598" s="41">
        <v>30</v>
      </c>
      <c r="K598" s="35">
        <v>202</v>
      </c>
      <c r="L598" s="36">
        <f>+K598*I598</f>
        <v>4646</v>
      </c>
      <c r="M598" s="37" t="s">
        <v>752</v>
      </c>
      <c r="N598" s="79" t="s">
        <v>1185</v>
      </c>
      <c r="O598" s="79">
        <v>57</v>
      </c>
      <c r="P598" s="2" t="s">
        <v>1805</v>
      </c>
      <c r="Q598" s="2">
        <v>58</v>
      </c>
      <c r="R598" s="79" t="s">
        <v>1973</v>
      </c>
      <c r="S598" s="111">
        <v>55</v>
      </c>
      <c r="T598" s="7">
        <v>1</v>
      </c>
      <c r="U598" s="7" t="s">
        <v>1233</v>
      </c>
      <c r="V598" s="7">
        <v>3790</v>
      </c>
      <c r="W598" s="7" t="s">
        <v>1505</v>
      </c>
      <c r="X598" s="18"/>
      <c r="Y598" s="17"/>
      <c r="Z598" s="18"/>
      <c r="AA598" s="18"/>
      <c r="AB598" s="7" t="s">
        <v>1048</v>
      </c>
      <c r="AC598" s="8" t="s">
        <v>726</v>
      </c>
      <c r="AD598" s="8"/>
      <c r="AE598" s="8" t="s">
        <v>726</v>
      </c>
      <c r="AF598" s="8"/>
      <c r="AG598" s="8" t="s">
        <v>726</v>
      </c>
      <c r="AH598" s="8" t="s">
        <v>726</v>
      </c>
      <c r="AI598" s="8" t="s">
        <v>726</v>
      </c>
      <c r="AJ598" s="8" t="s">
        <v>726</v>
      </c>
      <c r="AK598" s="8" t="s">
        <v>726</v>
      </c>
      <c r="AL598" s="8"/>
      <c r="AM598" s="8"/>
      <c r="AN598" s="8"/>
      <c r="AO598" s="8"/>
      <c r="AP598" s="8"/>
      <c r="AQ598" s="8"/>
      <c r="AR598" s="8"/>
      <c r="AS598" s="8"/>
      <c r="AT598" s="8"/>
      <c r="AU598" s="8"/>
      <c r="AV598" s="8"/>
      <c r="AX598" s="142">
        <v>73.600000000000009</v>
      </c>
    </row>
    <row r="599" spans="2:50" ht="25.5">
      <c r="B599" s="27">
        <v>587</v>
      </c>
      <c r="C599" s="31">
        <v>305</v>
      </c>
      <c r="D599" s="31">
        <v>306</v>
      </c>
      <c r="E599" s="56">
        <v>0.26041666666666669</v>
      </c>
      <c r="F599" s="56">
        <v>0.26805555555555555</v>
      </c>
      <c r="G599" s="67" t="s">
        <v>1018</v>
      </c>
      <c r="H599" s="31" t="s">
        <v>97</v>
      </c>
      <c r="I599" s="33">
        <v>9</v>
      </c>
      <c r="J599" s="34" t="s">
        <v>309</v>
      </c>
      <c r="K599" s="35">
        <v>208</v>
      </c>
      <c r="L599" s="36">
        <f>+K599*I599</f>
        <v>1872</v>
      </c>
      <c r="M599" s="37" t="s">
        <v>753</v>
      </c>
      <c r="N599" s="23" t="s">
        <v>822</v>
      </c>
      <c r="O599" s="23">
        <v>7</v>
      </c>
      <c r="P599" s="23" t="s">
        <v>1806</v>
      </c>
      <c r="Q599" s="23">
        <v>5</v>
      </c>
      <c r="R599" s="23"/>
      <c r="S599" s="23"/>
      <c r="T599" s="7">
        <v>3409</v>
      </c>
      <c r="U599" s="7" t="s">
        <v>1521</v>
      </c>
      <c r="V599" s="7">
        <v>3407</v>
      </c>
      <c r="W599" s="7" t="s">
        <v>1522</v>
      </c>
      <c r="X599" s="18"/>
      <c r="Y599" s="17"/>
      <c r="Z599" s="17"/>
      <c r="AA599" s="17"/>
      <c r="AB599" s="7" t="s">
        <v>1046</v>
      </c>
      <c r="AC599" s="8"/>
      <c r="AD599" s="8"/>
      <c r="AE599" s="8"/>
      <c r="AF599" s="8" t="s">
        <v>726</v>
      </c>
      <c r="AG599" s="8" t="s">
        <v>726</v>
      </c>
      <c r="AH599" s="8" t="s">
        <v>726</v>
      </c>
      <c r="AI599" s="8" t="s">
        <v>726</v>
      </c>
      <c r="AJ599" s="8" t="s">
        <v>726</v>
      </c>
      <c r="AK599" s="8" t="s">
        <v>726</v>
      </c>
      <c r="AL599" s="8" t="s">
        <v>726</v>
      </c>
      <c r="AM599" s="8"/>
      <c r="AN599" s="8"/>
      <c r="AO599" s="8"/>
      <c r="AP599" s="8"/>
      <c r="AQ599" s="8"/>
      <c r="AR599" s="8"/>
      <c r="AS599" s="8"/>
      <c r="AT599" s="8"/>
      <c r="AU599" s="8"/>
      <c r="AV599" s="8"/>
      <c r="AX599" s="142">
        <v>26.33</v>
      </c>
    </row>
    <row r="600" spans="2:50" ht="33.75">
      <c r="B600" s="27">
        <v>588</v>
      </c>
      <c r="C600" s="31">
        <v>305</v>
      </c>
      <c r="D600" s="31">
        <v>508</v>
      </c>
      <c r="E600" s="32">
        <v>0.57986111111111105</v>
      </c>
      <c r="F600" s="32">
        <v>0.59513888888888888</v>
      </c>
      <c r="G600" s="31" t="s">
        <v>384</v>
      </c>
      <c r="H600" s="31" t="s">
        <v>253</v>
      </c>
      <c r="I600" s="33">
        <v>11</v>
      </c>
      <c r="J600" s="34" t="s">
        <v>93</v>
      </c>
      <c r="K600" s="35">
        <v>34</v>
      </c>
      <c r="L600" s="36">
        <f>+K600*I600</f>
        <v>374</v>
      </c>
      <c r="M600" s="37" t="s">
        <v>754</v>
      </c>
      <c r="N600" s="23" t="s">
        <v>830</v>
      </c>
      <c r="O600" s="23">
        <v>21</v>
      </c>
      <c r="P600" s="23" t="s">
        <v>1807</v>
      </c>
      <c r="Q600" s="23">
        <v>29</v>
      </c>
      <c r="R600" s="23"/>
      <c r="S600" s="23"/>
      <c r="T600" s="7" t="s">
        <v>1523</v>
      </c>
      <c r="U600" s="7" t="s">
        <v>1524</v>
      </c>
      <c r="V600" s="7">
        <v>3407</v>
      </c>
      <c r="W600" s="7" t="s">
        <v>1522</v>
      </c>
      <c r="X600" s="18"/>
      <c r="Y600" s="17"/>
      <c r="Z600" s="17"/>
      <c r="AA600" s="17"/>
      <c r="AB600" s="8" t="s">
        <v>1051</v>
      </c>
      <c r="AC600" s="8"/>
      <c r="AD600" s="8"/>
      <c r="AE600" s="8"/>
      <c r="AF600" s="8" t="s">
        <v>726</v>
      </c>
      <c r="AG600" s="8"/>
      <c r="AH600" s="8"/>
      <c r="AI600" s="8"/>
      <c r="AJ600" s="8"/>
      <c r="AK600" s="8"/>
      <c r="AL600" s="8" t="s">
        <v>726</v>
      </c>
      <c r="AM600" s="8"/>
      <c r="AN600" s="8"/>
      <c r="AO600" s="8"/>
      <c r="AP600" s="8"/>
      <c r="AQ600" s="8"/>
      <c r="AR600" s="8"/>
      <c r="AS600" s="8"/>
      <c r="AT600" s="8"/>
      <c r="AU600" s="8"/>
      <c r="AV600" s="8"/>
      <c r="AX600" s="142">
        <v>34.58</v>
      </c>
    </row>
    <row r="601" spans="2:50" ht="33.75">
      <c r="B601" s="27">
        <v>589</v>
      </c>
      <c r="C601" s="31">
        <v>305</v>
      </c>
      <c r="D601" s="31">
        <v>510</v>
      </c>
      <c r="E601" s="32">
        <v>0.58680555555555558</v>
      </c>
      <c r="F601" s="42">
        <v>0.59097222222222223</v>
      </c>
      <c r="G601" s="31" t="s">
        <v>383</v>
      </c>
      <c r="H601" s="31" t="s">
        <v>103</v>
      </c>
      <c r="I601" s="33">
        <v>2.5</v>
      </c>
      <c r="J601" s="34" t="s">
        <v>93</v>
      </c>
      <c r="K601" s="35">
        <v>174</v>
      </c>
      <c r="L601" s="36">
        <f>+K601*I601</f>
        <v>435</v>
      </c>
      <c r="M601" s="37" t="s">
        <v>754</v>
      </c>
      <c r="N601" s="23" t="s">
        <v>830</v>
      </c>
      <c r="O601" s="23">
        <v>21</v>
      </c>
      <c r="P601" s="23" t="s">
        <v>1807</v>
      </c>
      <c r="Q601" s="23">
        <v>29</v>
      </c>
      <c r="R601" s="23"/>
      <c r="S601" s="23"/>
      <c r="T601" s="7">
        <v>3542</v>
      </c>
      <c r="U601" s="7" t="s">
        <v>1525</v>
      </c>
      <c r="V601" s="7">
        <v>3310</v>
      </c>
      <c r="W601" s="7" t="s">
        <v>1526</v>
      </c>
      <c r="X601" s="18"/>
      <c r="Y601" s="17"/>
      <c r="Z601" s="17"/>
      <c r="AA601" s="17"/>
      <c r="AB601" s="7" t="s">
        <v>1042</v>
      </c>
      <c r="AC601" s="8"/>
      <c r="AD601" s="8"/>
      <c r="AE601" s="8"/>
      <c r="AF601" s="8" t="s">
        <v>726</v>
      </c>
      <c r="AG601" s="8" t="s">
        <v>726</v>
      </c>
      <c r="AH601" s="8" t="s">
        <v>726</v>
      </c>
      <c r="AI601" s="8" t="s">
        <v>726</v>
      </c>
      <c r="AJ601" s="8" t="s">
        <v>726</v>
      </c>
      <c r="AK601" s="8" t="s">
        <v>726</v>
      </c>
      <c r="AL601" s="8"/>
      <c r="AM601" s="8"/>
      <c r="AN601" s="8"/>
      <c r="AO601" s="8"/>
      <c r="AP601" s="8"/>
      <c r="AQ601" s="8"/>
      <c r="AR601" s="8"/>
      <c r="AS601" s="8"/>
      <c r="AT601" s="8"/>
      <c r="AU601" s="8"/>
      <c r="AV601" s="8"/>
      <c r="AX601" s="142">
        <v>7.2370370370370374</v>
      </c>
    </row>
    <row r="602" spans="2:50" ht="33.75">
      <c r="B602" s="27">
        <v>590</v>
      </c>
      <c r="C602" s="31">
        <v>305</v>
      </c>
      <c r="D602" s="31">
        <v>508</v>
      </c>
      <c r="E602" s="32">
        <v>0.59583333333333333</v>
      </c>
      <c r="F602" s="32">
        <v>0.61111111111111105</v>
      </c>
      <c r="G602" s="31" t="s">
        <v>384</v>
      </c>
      <c r="H602" s="31" t="s">
        <v>103</v>
      </c>
      <c r="I602" s="33">
        <v>11</v>
      </c>
      <c r="J602" s="34" t="s">
        <v>93</v>
      </c>
      <c r="K602" s="35">
        <v>174</v>
      </c>
      <c r="L602" s="36">
        <f>+K602*I602</f>
        <v>1914</v>
      </c>
      <c r="M602" s="37" t="s">
        <v>754</v>
      </c>
      <c r="N602" s="23" t="s">
        <v>830</v>
      </c>
      <c r="O602" s="23">
        <v>21</v>
      </c>
      <c r="P602" s="23" t="s">
        <v>1807</v>
      </c>
      <c r="Q602" s="23">
        <v>29</v>
      </c>
      <c r="R602" s="23"/>
      <c r="S602" s="23"/>
      <c r="T602" s="7" t="s">
        <v>1523</v>
      </c>
      <c r="U602" s="7" t="s">
        <v>1524</v>
      </c>
      <c r="V602" s="7">
        <v>3407</v>
      </c>
      <c r="W602" s="7" t="s">
        <v>1522</v>
      </c>
      <c r="X602" s="18"/>
      <c r="Y602" s="17"/>
      <c r="Z602" s="17"/>
      <c r="AA602" s="17"/>
      <c r="AB602" s="7" t="s">
        <v>1042</v>
      </c>
      <c r="AC602" s="8"/>
      <c r="AD602" s="8"/>
      <c r="AE602" s="8"/>
      <c r="AF602" s="8" t="s">
        <v>726</v>
      </c>
      <c r="AG602" s="8" t="s">
        <v>726</v>
      </c>
      <c r="AH602" s="8" t="s">
        <v>726</v>
      </c>
      <c r="AI602" s="8" t="s">
        <v>726</v>
      </c>
      <c r="AJ602" s="8" t="s">
        <v>726</v>
      </c>
      <c r="AK602" s="8" t="s">
        <v>726</v>
      </c>
      <c r="AL602" s="8"/>
      <c r="AM602" s="8"/>
      <c r="AN602" s="8"/>
      <c r="AO602" s="8"/>
      <c r="AP602" s="8"/>
      <c r="AQ602" s="8"/>
      <c r="AR602" s="8"/>
      <c r="AS602" s="8"/>
      <c r="AT602" s="8"/>
      <c r="AU602" s="8"/>
      <c r="AV602" s="8"/>
      <c r="AX602" s="142">
        <v>31.842962962962964</v>
      </c>
    </row>
    <row r="603" spans="2:50" ht="25.5">
      <c r="B603" s="27">
        <v>591</v>
      </c>
      <c r="C603" s="31">
        <v>306</v>
      </c>
      <c r="D603" s="31">
        <v>467</v>
      </c>
      <c r="E603" s="32">
        <v>0.28819444444444448</v>
      </c>
      <c r="F603" s="42">
        <v>0.2986111111111111</v>
      </c>
      <c r="G603" s="31" t="s">
        <v>139</v>
      </c>
      <c r="H603" s="31" t="s">
        <v>97</v>
      </c>
      <c r="I603" s="33">
        <v>5</v>
      </c>
      <c r="J603" s="34" t="s">
        <v>93</v>
      </c>
      <c r="K603" s="35">
        <v>208</v>
      </c>
      <c r="L603" s="36">
        <f>+K603*I603</f>
        <v>1040</v>
      </c>
      <c r="M603" s="37" t="s">
        <v>755</v>
      </c>
      <c r="N603" s="2" t="s">
        <v>1019</v>
      </c>
      <c r="O603" s="2">
        <v>23</v>
      </c>
      <c r="P603" s="23" t="s">
        <v>1836</v>
      </c>
      <c r="Q603" s="23">
        <v>33</v>
      </c>
      <c r="T603" s="7">
        <v>3051</v>
      </c>
      <c r="U603" s="7" t="s">
        <v>1527</v>
      </c>
      <c r="V603" s="7">
        <v>3042</v>
      </c>
      <c r="W603" s="7" t="s">
        <v>1528</v>
      </c>
      <c r="X603" s="18"/>
      <c r="Y603" s="17"/>
      <c r="Z603" s="17"/>
      <c r="AA603" s="17"/>
      <c r="AB603" s="7" t="s">
        <v>1046</v>
      </c>
      <c r="AC603" s="8"/>
      <c r="AD603" s="8"/>
      <c r="AE603" s="8"/>
      <c r="AF603" s="8" t="s">
        <v>726</v>
      </c>
      <c r="AG603" s="8" t="s">
        <v>726</v>
      </c>
      <c r="AH603" s="8" t="s">
        <v>726</v>
      </c>
      <c r="AI603" s="8" t="s">
        <v>726</v>
      </c>
      <c r="AJ603" s="8" t="s">
        <v>726</v>
      </c>
      <c r="AK603" s="8" t="s">
        <v>726</v>
      </c>
      <c r="AL603" s="8" t="s">
        <v>726</v>
      </c>
      <c r="AM603" s="8"/>
      <c r="AN603" s="8"/>
      <c r="AO603" s="8"/>
      <c r="AP603" s="8"/>
      <c r="AQ603" s="8"/>
      <c r="AR603" s="8"/>
      <c r="AS603" s="8"/>
      <c r="AT603" s="8"/>
      <c r="AU603" s="8"/>
      <c r="AV603" s="8"/>
      <c r="AX603" s="142">
        <v>75.430000000000007</v>
      </c>
    </row>
    <row r="604" spans="2:50" ht="25.5">
      <c r="B604" s="27">
        <v>592</v>
      </c>
      <c r="C604" s="31">
        <v>306</v>
      </c>
      <c r="D604" s="31">
        <v>51</v>
      </c>
      <c r="E604" s="42">
        <v>0.29305555555555557</v>
      </c>
      <c r="F604" s="42">
        <v>0.31875000000000003</v>
      </c>
      <c r="G604" s="31" t="s">
        <v>334</v>
      </c>
      <c r="H604" s="31" t="s">
        <v>103</v>
      </c>
      <c r="I604" s="33">
        <v>24</v>
      </c>
      <c r="J604" s="34" t="s">
        <v>101</v>
      </c>
      <c r="K604" s="35">
        <v>174</v>
      </c>
      <c r="L604" s="36">
        <f>+K604*I604</f>
        <v>4176</v>
      </c>
      <c r="M604" s="37" t="s">
        <v>756</v>
      </c>
      <c r="N604" s="23" t="s">
        <v>910</v>
      </c>
      <c r="O604" s="23">
        <v>55</v>
      </c>
      <c r="P604" s="23" t="s">
        <v>1808</v>
      </c>
      <c r="Q604" s="23">
        <v>55</v>
      </c>
      <c r="S604" s="23"/>
      <c r="T604" s="7" t="s">
        <v>1529</v>
      </c>
      <c r="U604" s="7" t="s">
        <v>1530</v>
      </c>
      <c r="V604" s="7" t="s">
        <v>1494</v>
      </c>
      <c r="W604" s="7" t="s">
        <v>1493</v>
      </c>
      <c r="X604" s="18"/>
      <c r="Y604" s="17"/>
      <c r="Z604" s="17"/>
      <c r="AA604" s="17"/>
      <c r="AB604" s="7" t="s">
        <v>1042</v>
      </c>
      <c r="AC604" s="8"/>
      <c r="AD604" s="8"/>
      <c r="AE604" s="8"/>
      <c r="AF604" s="8" t="s">
        <v>726</v>
      </c>
      <c r="AG604" s="8" t="s">
        <v>726</v>
      </c>
      <c r="AH604" s="8" t="s">
        <v>726</v>
      </c>
      <c r="AI604" s="8" t="s">
        <v>726</v>
      </c>
      <c r="AJ604" s="8" t="s">
        <v>726</v>
      </c>
      <c r="AK604" s="8" t="s">
        <v>726</v>
      </c>
      <c r="AL604" s="8"/>
      <c r="AM604" s="8"/>
      <c r="AN604" s="8"/>
      <c r="AO604" s="8"/>
      <c r="AP604" s="8"/>
      <c r="AQ604" s="8"/>
      <c r="AR604" s="8"/>
      <c r="AS604" s="8"/>
      <c r="AT604" s="8"/>
      <c r="AU604" s="8"/>
      <c r="AV604" s="8"/>
      <c r="AX604" s="142">
        <v>220</v>
      </c>
    </row>
    <row r="605" spans="2:50" ht="38.25">
      <c r="B605" s="27">
        <v>593</v>
      </c>
      <c r="C605" s="31">
        <v>306</v>
      </c>
      <c r="D605" s="31">
        <v>469</v>
      </c>
      <c r="E605" s="32">
        <v>0.31944444444444448</v>
      </c>
      <c r="F605" s="42">
        <v>0.34583333333333338</v>
      </c>
      <c r="G605" s="31" t="s">
        <v>137</v>
      </c>
      <c r="H605" s="31" t="s">
        <v>138</v>
      </c>
      <c r="I605" s="33">
        <v>10</v>
      </c>
      <c r="J605" s="34" t="s">
        <v>93</v>
      </c>
      <c r="K605" s="35">
        <v>11</v>
      </c>
      <c r="L605" s="36">
        <f>+K605*I605</f>
        <v>110</v>
      </c>
      <c r="M605" s="37" t="s">
        <v>755</v>
      </c>
      <c r="N605" s="2" t="s">
        <v>1019</v>
      </c>
      <c r="O605" s="2">
        <v>23</v>
      </c>
      <c r="P605" s="23" t="s">
        <v>914</v>
      </c>
      <c r="Q605" s="23">
        <v>20</v>
      </c>
      <c r="R605" s="23" t="s">
        <v>1836</v>
      </c>
      <c r="S605" s="24">
        <v>33</v>
      </c>
      <c r="T605" s="7">
        <v>3051</v>
      </c>
      <c r="U605" s="7" t="s">
        <v>1527</v>
      </c>
      <c r="V605" s="7" t="s">
        <v>1531</v>
      </c>
      <c r="W605" s="7" t="s">
        <v>1532</v>
      </c>
      <c r="X605" s="17"/>
      <c r="Y605" s="18"/>
      <c r="Z605" s="18"/>
      <c r="AA605" s="18"/>
      <c r="AB605" s="7" t="s">
        <v>1082</v>
      </c>
      <c r="AC605" s="8"/>
      <c r="AD605" s="8" t="s">
        <v>726</v>
      </c>
      <c r="AE605" s="8" t="s">
        <v>726</v>
      </c>
      <c r="AF605" s="8"/>
      <c r="AG605" s="8"/>
      <c r="AH605" s="8" t="s">
        <v>726</v>
      </c>
      <c r="AI605" s="8"/>
      <c r="AJ605" s="8"/>
      <c r="AK605" s="8"/>
      <c r="AL605" s="8"/>
      <c r="AM605" s="8"/>
      <c r="AN605" s="8"/>
      <c r="AO605" s="8"/>
      <c r="AP605" s="8"/>
      <c r="AQ605" s="8"/>
      <c r="AR605" s="8"/>
      <c r="AS605" s="8"/>
      <c r="AT605" s="8"/>
      <c r="AU605" s="8"/>
      <c r="AV605" s="8"/>
      <c r="AX605" s="142">
        <v>70.510000000000005</v>
      </c>
    </row>
    <row r="606" spans="2:50" ht="25.5">
      <c r="B606" s="27">
        <v>594</v>
      </c>
      <c r="C606" s="31">
        <v>306</v>
      </c>
      <c r="D606" s="31">
        <v>469</v>
      </c>
      <c r="E606" s="32">
        <v>0.3263888888888889</v>
      </c>
      <c r="F606" s="42">
        <v>0.3527777777777778</v>
      </c>
      <c r="G606" s="31" t="s">
        <v>137</v>
      </c>
      <c r="H606" s="31" t="s">
        <v>136</v>
      </c>
      <c r="I606" s="33">
        <f>10+2</f>
        <v>12</v>
      </c>
      <c r="J606" s="34" t="s">
        <v>93</v>
      </c>
      <c r="K606" s="35">
        <v>41</v>
      </c>
      <c r="L606" s="36">
        <f>+K606*I606</f>
        <v>492</v>
      </c>
      <c r="M606" s="37" t="s">
        <v>755</v>
      </c>
      <c r="N606" s="2" t="s">
        <v>1019</v>
      </c>
      <c r="O606" s="2">
        <v>23</v>
      </c>
      <c r="P606" s="23" t="s">
        <v>914</v>
      </c>
      <c r="Q606" s="23">
        <v>20</v>
      </c>
      <c r="R606" s="23" t="s">
        <v>1836</v>
      </c>
      <c r="S606" s="24">
        <v>33</v>
      </c>
      <c r="T606" s="7">
        <v>3051</v>
      </c>
      <c r="U606" s="7" t="s">
        <v>1527</v>
      </c>
      <c r="V606" s="7" t="s">
        <v>1531</v>
      </c>
      <c r="W606" s="7" t="s">
        <v>1532</v>
      </c>
      <c r="X606" s="18"/>
      <c r="Y606" s="17"/>
      <c r="Z606" s="18"/>
      <c r="AA606" s="18"/>
      <c r="AB606" s="7" t="s">
        <v>1083</v>
      </c>
      <c r="AC606" s="8" t="s">
        <v>726</v>
      </c>
      <c r="AD606" s="8"/>
      <c r="AE606" s="8" t="s">
        <v>726</v>
      </c>
      <c r="AF606" s="8"/>
      <c r="AG606" s="8"/>
      <c r="AH606" s="8" t="s">
        <v>726</v>
      </c>
      <c r="AI606" s="8"/>
      <c r="AJ606" s="8"/>
      <c r="AK606" s="8"/>
      <c r="AL606" s="8"/>
      <c r="AM606" s="8"/>
      <c r="AN606" s="8"/>
      <c r="AO606" s="8"/>
      <c r="AP606" s="8"/>
      <c r="AQ606" s="8"/>
      <c r="AR606" s="8"/>
      <c r="AS606" s="8"/>
      <c r="AT606" s="8"/>
      <c r="AU606" s="8"/>
      <c r="AV606" s="8"/>
      <c r="AX606" s="142">
        <v>74.11</v>
      </c>
    </row>
    <row r="607" spans="2:50" ht="25.5">
      <c r="B607" s="27">
        <v>595</v>
      </c>
      <c r="C607" s="31">
        <v>306</v>
      </c>
      <c r="D607" s="31">
        <v>36</v>
      </c>
      <c r="E607" s="32">
        <v>0.33333333333333331</v>
      </c>
      <c r="F607" s="32">
        <v>0.36736111111111108</v>
      </c>
      <c r="G607" s="31" t="s">
        <v>559</v>
      </c>
      <c r="H607" s="31" t="s">
        <v>103</v>
      </c>
      <c r="I607" s="33">
        <v>24</v>
      </c>
      <c r="J607" s="34" t="s">
        <v>101</v>
      </c>
      <c r="K607" s="35">
        <v>174</v>
      </c>
      <c r="L607" s="36">
        <f>+K607*I607</f>
        <v>4176</v>
      </c>
      <c r="M607" s="37" t="s">
        <v>757</v>
      </c>
      <c r="N607" s="23" t="s">
        <v>955</v>
      </c>
      <c r="O607" s="23">
        <v>37</v>
      </c>
      <c r="P607" s="23" t="s">
        <v>1799</v>
      </c>
      <c r="Q607" s="49">
        <v>58</v>
      </c>
      <c r="R607" s="23" t="s">
        <v>1131</v>
      </c>
      <c r="S607" s="25">
        <v>57</v>
      </c>
      <c r="T607" s="7" t="s">
        <v>1492</v>
      </c>
      <c r="U607" s="7" t="s">
        <v>1493</v>
      </c>
      <c r="V607" s="7" t="s">
        <v>1531</v>
      </c>
      <c r="W607" s="7" t="s">
        <v>1532</v>
      </c>
      <c r="X607" s="18"/>
      <c r="Y607" s="17"/>
      <c r="Z607" s="17"/>
      <c r="AA607" s="17"/>
      <c r="AB607" s="7" t="s">
        <v>1042</v>
      </c>
      <c r="AC607" s="8"/>
      <c r="AD607" s="8"/>
      <c r="AE607" s="8"/>
      <c r="AF607" s="8" t="s">
        <v>726</v>
      </c>
      <c r="AG607" s="8" t="s">
        <v>726</v>
      </c>
      <c r="AH607" s="8" t="s">
        <v>726</v>
      </c>
      <c r="AI607" s="8" t="s">
        <v>726</v>
      </c>
      <c r="AJ607" s="8" t="s">
        <v>726</v>
      </c>
      <c r="AK607" s="8" t="s">
        <v>726</v>
      </c>
      <c r="AL607" s="8"/>
      <c r="AM607" s="8"/>
      <c r="AN607" s="8"/>
      <c r="AO607" s="8"/>
      <c r="AP607" s="8"/>
      <c r="AQ607" s="8"/>
      <c r="AR607" s="8"/>
      <c r="AS607" s="8"/>
      <c r="AT607" s="8"/>
      <c r="AU607" s="8"/>
      <c r="AV607" s="8"/>
      <c r="AX607" s="142">
        <v>220</v>
      </c>
    </row>
    <row r="608" spans="2:50" ht="25.5">
      <c r="B608" s="27">
        <v>596</v>
      </c>
      <c r="C608" s="31">
        <v>306</v>
      </c>
      <c r="D608" s="31">
        <v>471</v>
      </c>
      <c r="E608" s="32">
        <v>0.4548611111111111</v>
      </c>
      <c r="F608" s="42">
        <v>0.47986111111111113</v>
      </c>
      <c r="G608" s="40" t="s">
        <v>135</v>
      </c>
      <c r="H608" s="31" t="s">
        <v>134</v>
      </c>
      <c r="I608" s="33">
        <f>16+2</f>
        <v>18</v>
      </c>
      <c r="J608" s="34" t="s">
        <v>93</v>
      </c>
      <c r="K608" s="35">
        <f>41+11</f>
        <v>52</v>
      </c>
      <c r="L608" s="36">
        <f>+K608*I608</f>
        <v>936</v>
      </c>
      <c r="M608" s="37" t="s">
        <v>755</v>
      </c>
      <c r="N608" s="2" t="s">
        <v>1019</v>
      </c>
      <c r="O608" s="2">
        <v>23</v>
      </c>
      <c r="P608" s="23" t="s">
        <v>914</v>
      </c>
      <c r="Q608" s="23">
        <v>20</v>
      </c>
      <c r="R608" s="23" t="s">
        <v>1836</v>
      </c>
      <c r="S608" s="24">
        <v>33</v>
      </c>
      <c r="T608" s="7" t="s">
        <v>1531</v>
      </c>
      <c r="U608" s="7" t="s">
        <v>1532</v>
      </c>
      <c r="V608" s="7">
        <v>3051</v>
      </c>
      <c r="W608" s="7" t="s">
        <v>1527</v>
      </c>
      <c r="X608" s="17"/>
      <c r="Y608" s="17"/>
      <c r="Z608" s="17"/>
      <c r="AA608" s="17"/>
      <c r="AB608" s="7" t="s">
        <v>1084</v>
      </c>
      <c r="AC608" s="8" t="s">
        <v>726</v>
      </c>
      <c r="AD608" s="8" t="s">
        <v>726</v>
      </c>
      <c r="AE608" s="8" t="s">
        <v>726</v>
      </c>
      <c r="AF608" s="8"/>
      <c r="AG608" s="8"/>
      <c r="AH608" s="8" t="s">
        <v>726</v>
      </c>
      <c r="AI608" s="8"/>
      <c r="AJ608" s="8"/>
      <c r="AK608" s="8"/>
      <c r="AL608" s="8"/>
      <c r="AM608" s="8"/>
      <c r="AN608" s="8"/>
      <c r="AO608" s="8"/>
      <c r="AP608" s="8"/>
      <c r="AQ608" s="8"/>
      <c r="AR608" s="8"/>
      <c r="AS608" s="8"/>
      <c r="AT608" s="8"/>
      <c r="AU608" s="8"/>
      <c r="AV608" s="8"/>
      <c r="AX608" s="142">
        <v>74.11</v>
      </c>
    </row>
    <row r="609" spans="1:50" ht="25.5">
      <c r="B609" s="27">
        <v>597</v>
      </c>
      <c r="C609" s="31">
        <v>306</v>
      </c>
      <c r="D609" s="31">
        <v>57</v>
      </c>
      <c r="E609" s="32">
        <v>0.50347222222222221</v>
      </c>
      <c r="F609" s="32">
        <v>0.53749999999999998</v>
      </c>
      <c r="G609" s="31" t="s">
        <v>513</v>
      </c>
      <c r="H609" s="31" t="s">
        <v>424</v>
      </c>
      <c r="I609" s="33">
        <v>24</v>
      </c>
      <c r="J609" s="34" t="s">
        <v>93</v>
      </c>
      <c r="K609" s="35">
        <v>55</v>
      </c>
      <c r="L609" s="36">
        <f>+K609*I609</f>
        <v>1320</v>
      </c>
      <c r="M609" s="37" t="s">
        <v>739</v>
      </c>
      <c r="N609" s="23" t="s">
        <v>891</v>
      </c>
      <c r="O609" s="23">
        <v>20</v>
      </c>
      <c r="P609" s="23" t="s">
        <v>894</v>
      </c>
      <c r="Q609" s="23">
        <v>24</v>
      </c>
      <c r="R609" s="23" t="s">
        <v>890</v>
      </c>
      <c r="S609" s="24">
        <v>23</v>
      </c>
      <c r="T609" s="7" t="s">
        <v>1529</v>
      </c>
      <c r="U609" s="7" t="s">
        <v>1530</v>
      </c>
      <c r="V609" s="7" t="s">
        <v>1494</v>
      </c>
      <c r="W609" s="7" t="s">
        <v>1493</v>
      </c>
      <c r="X609" s="17"/>
      <c r="Y609" s="18"/>
      <c r="Z609" s="18"/>
      <c r="AA609" s="18"/>
      <c r="AB609" s="7" t="s">
        <v>1049</v>
      </c>
      <c r="AC609" s="8"/>
      <c r="AD609" s="8" t="s">
        <v>726</v>
      </c>
      <c r="AE609" s="8" t="s">
        <v>726</v>
      </c>
      <c r="AF609" s="8"/>
      <c r="AG609" s="8" t="s">
        <v>726</v>
      </c>
      <c r="AH609" s="8" t="s">
        <v>726</v>
      </c>
      <c r="AI609" s="8" t="s">
        <v>726</v>
      </c>
      <c r="AJ609" s="8" t="s">
        <v>726</v>
      </c>
      <c r="AK609" s="8" t="s">
        <v>726</v>
      </c>
      <c r="AL609" s="8"/>
      <c r="AM609" s="8"/>
      <c r="AN609" s="8"/>
      <c r="AO609" s="8"/>
      <c r="AP609" s="8"/>
      <c r="AQ609" s="8"/>
      <c r="AR609" s="8"/>
      <c r="AS609" s="8"/>
      <c r="AT609" s="8"/>
      <c r="AU609" s="8"/>
      <c r="AV609" s="8"/>
      <c r="AX609" s="142">
        <v>72</v>
      </c>
    </row>
    <row r="610" spans="1:50" ht="63.75">
      <c r="B610" s="27">
        <v>598</v>
      </c>
      <c r="C610" s="31">
        <v>306</v>
      </c>
      <c r="D610" s="31">
        <v>509</v>
      </c>
      <c r="E610" s="32">
        <v>0.53472222222222221</v>
      </c>
      <c r="F610" s="32">
        <v>0.61249999999999993</v>
      </c>
      <c r="G610" s="31" t="s">
        <v>1904</v>
      </c>
      <c r="H610" s="31" t="s">
        <v>445</v>
      </c>
      <c r="I610" s="33">
        <v>52</v>
      </c>
      <c r="J610" s="34" t="s">
        <v>188</v>
      </c>
      <c r="K610" s="35">
        <v>47</v>
      </c>
      <c r="L610" s="36">
        <f>+K610*I610</f>
        <v>2444</v>
      </c>
      <c r="M610" s="37" t="s">
        <v>750</v>
      </c>
      <c r="N610" s="23" t="s">
        <v>942</v>
      </c>
      <c r="O610" s="23">
        <v>33</v>
      </c>
      <c r="P610" s="2" t="s">
        <v>1178</v>
      </c>
      <c r="Q610" s="24">
        <v>55</v>
      </c>
      <c r="T610" s="7">
        <v>3895</v>
      </c>
      <c r="U610" s="7" t="s">
        <v>1501</v>
      </c>
      <c r="V610" s="7" t="s">
        <v>1494</v>
      </c>
      <c r="W610" s="7" t="s">
        <v>1493</v>
      </c>
      <c r="X610" s="18"/>
      <c r="Y610" s="17"/>
      <c r="Z610" s="18"/>
      <c r="AA610" s="18"/>
      <c r="AB610" s="7" t="s">
        <v>1043</v>
      </c>
      <c r="AC610" s="8" t="s">
        <v>726</v>
      </c>
      <c r="AD610" s="8"/>
      <c r="AE610" s="8"/>
      <c r="AF610" s="8"/>
      <c r="AG610" s="8"/>
      <c r="AH610" s="8"/>
      <c r="AI610" s="8"/>
      <c r="AJ610" s="8"/>
      <c r="AK610" s="8"/>
      <c r="AL610" s="8"/>
      <c r="AM610" s="8" t="s">
        <v>726</v>
      </c>
      <c r="AN610" s="8"/>
      <c r="AO610" s="8"/>
      <c r="AP610" s="8"/>
      <c r="AQ610" s="8"/>
      <c r="AR610" s="8"/>
      <c r="AS610" s="8"/>
      <c r="AT610" s="8"/>
      <c r="AU610" s="8"/>
      <c r="AV610" s="8"/>
      <c r="AX610" s="142">
        <v>156</v>
      </c>
    </row>
    <row r="611" spans="1:50" ht="25.5">
      <c r="B611" s="27">
        <v>599</v>
      </c>
      <c r="C611" s="31">
        <v>306</v>
      </c>
      <c r="D611" s="31">
        <v>470</v>
      </c>
      <c r="E611" s="32">
        <v>0.54513888888888895</v>
      </c>
      <c r="F611" s="32">
        <v>0.55555555555555558</v>
      </c>
      <c r="G611" s="40" t="s">
        <v>639</v>
      </c>
      <c r="H611" s="31" t="s">
        <v>134</v>
      </c>
      <c r="I611" s="33">
        <v>5</v>
      </c>
      <c r="J611" s="34" t="s">
        <v>93</v>
      </c>
      <c r="K611" s="35">
        <f>41+11</f>
        <v>52</v>
      </c>
      <c r="L611" s="36">
        <f>+K611*I611</f>
        <v>260</v>
      </c>
      <c r="M611" s="37" t="s">
        <v>755</v>
      </c>
      <c r="N611" s="2" t="s">
        <v>1019</v>
      </c>
      <c r="O611" s="2">
        <v>23</v>
      </c>
      <c r="P611" s="23" t="s">
        <v>914</v>
      </c>
      <c r="Q611" s="23">
        <v>20</v>
      </c>
      <c r="R611" s="23" t="s">
        <v>1836</v>
      </c>
      <c r="S611" s="24">
        <v>33</v>
      </c>
      <c r="T611" s="7">
        <v>3042</v>
      </c>
      <c r="U611" s="7" t="s">
        <v>1528</v>
      </c>
      <c r="V611" s="7">
        <v>3051</v>
      </c>
      <c r="W611" s="7" t="s">
        <v>1527</v>
      </c>
      <c r="X611" s="17"/>
      <c r="Y611" s="17"/>
      <c r="Z611" s="17"/>
      <c r="AA611" s="17"/>
      <c r="AB611" s="7" t="s">
        <v>1084</v>
      </c>
      <c r="AC611" s="8" t="s">
        <v>726</v>
      </c>
      <c r="AD611" s="8" t="s">
        <v>726</v>
      </c>
      <c r="AE611" s="8" t="s">
        <v>726</v>
      </c>
      <c r="AF611" s="8"/>
      <c r="AG611" s="8"/>
      <c r="AH611" s="8" t="s">
        <v>726</v>
      </c>
      <c r="AI611" s="8"/>
      <c r="AJ611" s="8"/>
      <c r="AK611" s="8"/>
      <c r="AL611" s="8"/>
      <c r="AM611" s="8"/>
      <c r="AN611" s="8"/>
      <c r="AO611" s="8"/>
      <c r="AP611" s="8"/>
      <c r="AQ611" s="8"/>
      <c r="AR611" s="8"/>
      <c r="AS611" s="8"/>
      <c r="AT611" s="8"/>
      <c r="AU611" s="8"/>
      <c r="AV611" s="8"/>
      <c r="AX611" s="142">
        <v>70.510000000000005</v>
      </c>
    </row>
    <row r="612" spans="1:50" ht="25.5">
      <c r="B612" s="27">
        <v>600</v>
      </c>
      <c r="C612" s="31">
        <v>306</v>
      </c>
      <c r="D612" s="31">
        <v>468</v>
      </c>
      <c r="E612" s="32">
        <v>0.58611111111111114</v>
      </c>
      <c r="F612" s="32">
        <v>0.59652777777777777</v>
      </c>
      <c r="G612" s="31" t="s">
        <v>133</v>
      </c>
      <c r="H612" s="31" t="s">
        <v>97</v>
      </c>
      <c r="I612" s="33">
        <v>5</v>
      </c>
      <c r="J612" s="34" t="s">
        <v>93</v>
      </c>
      <c r="K612" s="35">
        <v>208</v>
      </c>
      <c r="L612" s="36">
        <f>+K612*I612</f>
        <v>1040</v>
      </c>
      <c r="M612" s="37" t="s">
        <v>755</v>
      </c>
      <c r="N612" s="2" t="s">
        <v>1019</v>
      </c>
      <c r="O612" s="2">
        <v>23</v>
      </c>
      <c r="P612" s="23" t="s">
        <v>1836</v>
      </c>
      <c r="Q612" s="23">
        <v>33</v>
      </c>
      <c r="T612" s="7">
        <v>3042</v>
      </c>
      <c r="U612" s="7" t="s">
        <v>1528</v>
      </c>
      <c r="V612" s="7">
        <v>3051</v>
      </c>
      <c r="W612" s="7" t="s">
        <v>1527</v>
      </c>
      <c r="X612" s="18"/>
      <c r="Y612" s="17"/>
      <c r="Z612" s="17"/>
      <c r="AA612" s="17"/>
      <c r="AB612" s="7" t="s">
        <v>1046</v>
      </c>
      <c r="AC612" s="8"/>
      <c r="AD612" s="8"/>
      <c r="AE612" s="8"/>
      <c r="AF612" s="8" t="s">
        <v>726</v>
      </c>
      <c r="AG612" s="8" t="s">
        <v>726</v>
      </c>
      <c r="AH612" s="8" t="s">
        <v>726</v>
      </c>
      <c r="AI612" s="8" t="s">
        <v>726</v>
      </c>
      <c r="AJ612" s="8" t="s">
        <v>726</v>
      </c>
      <c r="AK612" s="8" t="s">
        <v>726</v>
      </c>
      <c r="AL612" s="8" t="s">
        <v>726</v>
      </c>
      <c r="AM612" s="8"/>
      <c r="AN612" s="8"/>
      <c r="AO612" s="8"/>
      <c r="AP612" s="8"/>
      <c r="AQ612" s="8"/>
      <c r="AR612" s="8"/>
      <c r="AS612" s="8"/>
      <c r="AT612" s="8"/>
      <c r="AU612" s="8"/>
      <c r="AV612" s="8"/>
      <c r="AX612" s="142">
        <v>75.430000000000007</v>
      </c>
    </row>
    <row r="613" spans="1:50" ht="38.25">
      <c r="B613" s="27">
        <v>601</v>
      </c>
      <c r="C613" s="31">
        <v>306</v>
      </c>
      <c r="D613" s="43">
        <v>517</v>
      </c>
      <c r="E613" s="32">
        <v>0.59722222222222221</v>
      </c>
      <c r="F613" s="32">
        <v>0.67499999999999993</v>
      </c>
      <c r="G613" s="31" t="s">
        <v>618</v>
      </c>
      <c r="H613" s="31" t="s">
        <v>546</v>
      </c>
      <c r="I613" s="33">
        <v>52</v>
      </c>
      <c r="J613" s="34" t="s">
        <v>188</v>
      </c>
      <c r="K613" s="35">
        <v>13</v>
      </c>
      <c r="L613" s="36">
        <f>+K613*I613</f>
        <v>676</v>
      </c>
      <c r="M613" s="51" t="s">
        <v>750</v>
      </c>
      <c r="N613" s="23" t="s">
        <v>942</v>
      </c>
      <c r="O613" s="23">
        <v>33</v>
      </c>
      <c r="P613" s="2" t="s">
        <v>1178</v>
      </c>
      <c r="Q613" s="24">
        <v>55</v>
      </c>
      <c r="T613" s="7">
        <v>3895</v>
      </c>
      <c r="U613" s="7" t="s">
        <v>1501</v>
      </c>
      <c r="V613" s="7" t="s">
        <v>1494</v>
      </c>
      <c r="W613" s="7" t="s">
        <v>1493</v>
      </c>
      <c r="X613" s="17"/>
      <c r="Y613" s="18"/>
      <c r="Z613" s="18"/>
      <c r="AA613" s="18"/>
      <c r="AB613" s="7" t="s">
        <v>1044</v>
      </c>
      <c r="AC613" s="8"/>
      <c r="AD613" s="8" t="s">
        <v>726</v>
      </c>
      <c r="AE613" s="8"/>
      <c r="AF613" s="8"/>
      <c r="AG613" s="8"/>
      <c r="AH613" s="8"/>
      <c r="AI613" s="8"/>
      <c r="AJ613" s="8"/>
      <c r="AK613" s="8"/>
      <c r="AL613" s="8"/>
      <c r="AM613" s="8" t="s">
        <v>726</v>
      </c>
      <c r="AN613" s="8"/>
      <c r="AO613" s="8"/>
      <c r="AP613" s="8"/>
      <c r="AQ613" s="8"/>
      <c r="AR613" s="8"/>
      <c r="AS613" s="8"/>
      <c r="AT613" s="8"/>
      <c r="AU613" s="8"/>
      <c r="AV613" s="8"/>
      <c r="AX613" s="142">
        <v>156</v>
      </c>
    </row>
    <row r="614" spans="1:50" ht="63.75">
      <c r="B614" s="27">
        <v>602</v>
      </c>
      <c r="C614" s="31">
        <v>306</v>
      </c>
      <c r="D614" s="118">
        <v>518</v>
      </c>
      <c r="E614" s="32">
        <v>0.70138888888888884</v>
      </c>
      <c r="F614" s="32">
        <v>0.77847222222222223</v>
      </c>
      <c r="G614" s="40" t="s">
        <v>1905</v>
      </c>
      <c r="H614" s="31" t="s">
        <v>547</v>
      </c>
      <c r="I614" s="33">
        <v>52</v>
      </c>
      <c r="J614" s="34" t="s">
        <v>188</v>
      </c>
      <c r="K614" s="35">
        <v>58</v>
      </c>
      <c r="L614" s="36">
        <f>+K614*I614</f>
        <v>3016</v>
      </c>
      <c r="M614" s="37" t="s">
        <v>750</v>
      </c>
      <c r="N614" s="23" t="s">
        <v>942</v>
      </c>
      <c r="O614" s="23">
        <v>33</v>
      </c>
      <c r="P614" s="2" t="s">
        <v>1178</v>
      </c>
      <c r="Q614" s="24">
        <v>55</v>
      </c>
      <c r="T614" s="7" t="s">
        <v>1492</v>
      </c>
      <c r="U614" s="7" t="s">
        <v>1493</v>
      </c>
      <c r="V614" s="7">
        <v>3895</v>
      </c>
      <c r="W614" s="7" t="s">
        <v>1501</v>
      </c>
      <c r="X614" s="17"/>
      <c r="Y614" s="17"/>
      <c r="Z614" s="17"/>
      <c r="AA614" s="17"/>
      <c r="AB614" s="8" t="s">
        <v>1055</v>
      </c>
      <c r="AC614" s="8" t="s">
        <v>726</v>
      </c>
      <c r="AD614" s="8" t="s">
        <v>726</v>
      </c>
      <c r="AE614" s="8"/>
      <c r="AF614" s="8"/>
      <c r="AG614" s="8"/>
      <c r="AH614" s="8"/>
      <c r="AI614" s="8"/>
      <c r="AJ614" s="8"/>
      <c r="AK614" s="8"/>
      <c r="AL614" s="8"/>
      <c r="AM614" s="8" t="s">
        <v>726</v>
      </c>
      <c r="AN614" s="8"/>
      <c r="AO614" s="8"/>
      <c r="AP614" s="8"/>
      <c r="AQ614" s="8"/>
      <c r="AR614" s="8"/>
      <c r="AS614" s="8"/>
      <c r="AT614" s="8"/>
      <c r="AU614" s="8"/>
      <c r="AV614" s="8"/>
      <c r="AX614" s="142">
        <v>156</v>
      </c>
    </row>
    <row r="615" spans="1:50" ht="25.5">
      <c r="B615" s="27">
        <v>603</v>
      </c>
      <c r="C615" s="31">
        <v>310</v>
      </c>
      <c r="D615" s="31">
        <v>93</v>
      </c>
      <c r="E615" s="32">
        <v>0.28819444444444448</v>
      </c>
      <c r="F615" s="32">
        <v>0.31527777777777777</v>
      </c>
      <c r="G615" s="31" t="s">
        <v>484</v>
      </c>
      <c r="H615" s="31" t="s">
        <v>103</v>
      </c>
      <c r="I615" s="33">
        <v>18</v>
      </c>
      <c r="J615" s="34" t="s">
        <v>101</v>
      </c>
      <c r="K615" s="35">
        <v>174</v>
      </c>
      <c r="L615" s="36">
        <f>+K615*I615</f>
        <v>3132</v>
      </c>
      <c r="M615" s="37" t="s">
        <v>739</v>
      </c>
      <c r="N615" s="23" t="s">
        <v>892</v>
      </c>
      <c r="O615" s="23">
        <v>57</v>
      </c>
      <c r="P615" s="79" t="s">
        <v>1817</v>
      </c>
      <c r="Q615" s="112">
        <v>50</v>
      </c>
      <c r="R615" s="23" t="s">
        <v>893</v>
      </c>
      <c r="S615" s="23">
        <v>36</v>
      </c>
      <c r="T615" s="7">
        <v>3381</v>
      </c>
      <c r="U615" s="7" t="s">
        <v>1533</v>
      </c>
      <c r="V615" s="7" t="s">
        <v>1534</v>
      </c>
      <c r="W615" s="7" t="s">
        <v>1535</v>
      </c>
      <c r="X615" s="18"/>
      <c r="Y615" s="17"/>
      <c r="Z615" s="17"/>
      <c r="AA615" s="17"/>
      <c r="AB615" s="7" t="s">
        <v>1042</v>
      </c>
      <c r="AC615" s="8"/>
      <c r="AD615" s="8"/>
      <c r="AE615" s="8"/>
      <c r="AF615" s="8" t="s">
        <v>726</v>
      </c>
      <c r="AG615" s="8" t="s">
        <v>726</v>
      </c>
      <c r="AH615" s="8" t="s">
        <v>726</v>
      </c>
      <c r="AI615" s="8" t="s">
        <v>726</v>
      </c>
      <c r="AJ615" s="8" t="s">
        <v>726</v>
      </c>
      <c r="AK615" s="8" t="s">
        <v>726</v>
      </c>
      <c r="AL615" s="8"/>
      <c r="AM615" s="8"/>
      <c r="AN615" s="8"/>
      <c r="AO615" s="8"/>
      <c r="AP615" s="8"/>
      <c r="AQ615" s="8"/>
      <c r="AR615" s="8"/>
      <c r="AS615" s="8"/>
      <c r="AT615" s="8"/>
      <c r="AU615" s="8"/>
      <c r="AV615" s="8"/>
      <c r="AX615" s="142">
        <v>54</v>
      </c>
    </row>
    <row r="616" spans="1:50" ht="25.5">
      <c r="A616" s="45" t="s">
        <v>1104</v>
      </c>
      <c r="B616" s="27">
        <v>604</v>
      </c>
      <c r="C616" s="31">
        <v>310</v>
      </c>
      <c r="D616" s="31">
        <v>183</v>
      </c>
      <c r="E616" s="32">
        <v>0.3611111111111111</v>
      </c>
      <c r="F616" s="42">
        <v>0.39861111111111108</v>
      </c>
      <c r="G616" s="81" t="s">
        <v>1825</v>
      </c>
      <c r="H616" s="43" t="s">
        <v>983</v>
      </c>
      <c r="I616" s="33">
        <v>30</v>
      </c>
      <c r="J616" s="34" t="s">
        <v>188</v>
      </c>
      <c r="K616" s="46">
        <v>202</v>
      </c>
      <c r="L616" s="36">
        <f>+K616*I616</f>
        <v>6060</v>
      </c>
      <c r="M616" s="37" t="s">
        <v>739</v>
      </c>
      <c r="N616" s="23" t="s">
        <v>892</v>
      </c>
      <c r="O616" s="23">
        <v>57</v>
      </c>
      <c r="P616" s="79" t="s">
        <v>1817</v>
      </c>
      <c r="Q616" s="112">
        <v>50</v>
      </c>
      <c r="R616" s="23" t="s">
        <v>893</v>
      </c>
      <c r="S616" s="23">
        <v>36</v>
      </c>
      <c r="T616" s="7">
        <v>3389</v>
      </c>
      <c r="U616" s="7" t="s">
        <v>1536</v>
      </c>
      <c r="V616" s="7">
        <v>3100</v>
      </c>
      <c r="W616" s="7" t="s">
        <v>1269</v>
      </c>
      <c r="X616" s="18"/>
      <c r="Y616" s="17"/>
      <c r="Z616" s="18"/>
      <c r="AA616" s="18"/>
      <c r="AB616" s="8" t="s">
        <v>1048</v>
      </c>
      <c r="AC616" s="8" t="s">
        <v>726</v>
      </c>
      <c r="AD616" s="8"/>
      <c r="AE616" s="8" t="s">
        <v>726</v>
      </c>
      <c r="AF616" s="8"/>
      <c r="AG616" s="8" t="s">
        <v>726</v>
      </c>
      <c r="AH616" s="8" t="s">
        <v>726</v>
      </c>
      <c r="AI616" s="8" t="s">
        <v>726</v>
      </c>
      <c r="AJ616" s="8" t="s">
        <v>726</v>
      </c>
      <c r="AK616" s="8" t="s">
        <v>726</v>
      </c>
      <c r="AL616" s="8"/>
      <c r="AM616" s="8"/>
      <c r="AN616" s="8"/>
      <c r="AO616" s="8"/>
      <c r="AP616" s="8"/>
      <c r="AQ616" s="8"/>
      <c r="AR616" s="8"/>
      <c r="AS616" s="8"/>
      <c r="AT616" s="8"/>
      <c r="AU616" s="8"/>
      <c r="AV616" s="8"/>
      <c r="AX616" s="142">
        <v>90</v>
      </c>
    </row>
    <row r="617" spans="1:50" ht="25.5">
      <c r="B617" s="27">
        <v>605</v>
      </c>
      <c r="C617" s="31">
        <v>311</v>
      </c>
      <c r="D617" s="31">
        <v>797</v>
      </c>
      <c r="E617" s="32">
        <v>0.72222222222222221</v>
      </c>
      <c r="F617" s="32">
        <v>0.73472222222222217</v>
      </c>
      <c r="G617" s="31" t="s">
        <v>351</v>
      </c>
      <c r="H617" s="31" t="s">
        <v>103</v>
      </c>
      <c r="I617" s="33">
        <v>12</v>
      </c>
      <c r="J617" s="34" t="s">
        <v>146</v>
      </c>
      <c r="K617" s="35">
        <v>174</v>
      </c>
      <c r="L617" s="36">
        <f>+K617*I617</f>
        <v>2088</v>
      </c>
      <c r="M617" s="37" t="s">
        <v>739</v>
      </c>
      <c r="N617" s="23" t="s">
        <v>1008</v>
      </c>
      <c r="O617" s="23">
        <v>16</v>
      </c>
      <c r="P617" s="23" t="s">
        <v>890</v>
      </c>
      <c r="Q617" s="23">
        <v>23</v>
      </c>
      <c r="R617" s="23" t="s">
        <v>1817</v>
      </c>
      <c r="S617" s="2">
        <v>50</v>
      </c>
      <c r="T617" s="7">
        <v>3640</v>
      </c>
      <c r="U617" s="7" t="s">
        <v>1499</v>
      </c>
      <c r="V617" s="7">
        <v>3103</v>
      </c>
      <c r="W617" s="7" t="s">
        <v>1537</v>
      </c>
      <c r="X617" s="18"/>
      <c r="Y617" s="17"/>
      <c r="Z617" s="17"/>
      <c r="AA617" s="17"/>
      <c r="AB617" s="7" t="s">
        <v>1042</v>
      </c>
      <c r="AC617" s="8"/>
      <c r="AD617" s="8"/>
      <c r="AE617" s="8"/>
      <c r="AF617" s="8" t="s">
        <v>726</v>
      </c>
      <c r="AG617" s="8" t="s">
        <v>726</v>
      </c>
      <c r="AH617" s="8" t="s">
        <v>726</v>
      </c>
      <c r="AI617" s="8" t="s">
        <v>726</v>
      </c>
      <c r="AJ617" s="8" t="s">
        <v>726</v>
      </c>
      <c r="AK617" s="8" t="s">
        <v>726</v>
      </c>
      <c r="AL617" s="8"/>
      <c r="AM617" s="8"/>
      <c r="AN617" s="8"/>
      <c r="AO617" s="8"/>
      <c r="AP617" s="8"/>
      <c r="AQ617" s="8"/>
      <c r="AR617" s="8"/>
      <c r="AS617" s="8"/>
      <c r="AT617" s="8"/>
      <c r="AU617" s="8"/>
      <c r="AV617" s="8"/>
      <c r="AX617" s="142">
        <v>30</v>
      </c>
    </row>
    <row r="618" spans="1:50" ht="25.5">
      <c r="B618" s="27">
        <v>606</v>
      </c>
      <c r="C618" s="31">
        <v>312</v>
      </c>
      <c r="D618" s="31">
        <v>365</v>
      </c>
      <c r="E618" s="32">
        <v>0.2638888888888889</v>
      </c>
      <c r="F618" s="32">
        <v>0.28263888888888888</v>
      </c>
      <c r="G618" s="31" t="s">
        <v>365</v>
      </c>
      <c r="H618" s="31" t="s">
        <v>97</v>
      </c>
      <c r="I618" s="33">
        <v>15.5</v>
      </c>
      <c r="J618" s="34" t="s">
        <v>355</v>
      </c>
      <c r="K618" s="35">
        <v>208</v>
      </c>
      <c r="L618" s="36">
        <f>+K618*I618</f>
        <v>3224</v>
      </c>
      <c r="M618" s="37" t="s">
        <v>716</v>
      </c>
      <c r="N618" s="23" t="s">
        <v>854</v>
      </c>
      <c r="O618" s="23">
        <v>17</v>
      </c>
      <c r="R618" s="23"/>
      <c r="S618" s="23"/>
      <c r="T618" s="7">
        <v>3169</v>
      </c>
      <c r="U618" s="7" t="s">
        <v>1268</v>
      </c>
      <c r="V618" s="7">
        <v>3164</v>
      </c>
      <c r="W618" s="7" t="s">
        <v>1538</v>
      </c>
      <c r="X618" s="18"/>
      <c r="Y618" s="17"/>
      <c r="Z618" s="17"/>
      <c r="AA618" s="17"/>
      <c r="AB618" s="7" t="s">
        <v>1046</v>
      </c>
      <c r="AC618" s="8"/>
      <c r="AD618" s="8"/>
      <c r="AE618" s="8"/>
      <c r="AF618" s="8" t="s">
        <v>726</v>
      </c>
      <c r="AG618" s="8" t="s">
        <v>726</v>
      </c>
      <c r="AH618" s="8" t="s">
        <v>726</v>
      </c>
      <c r="AI618" s="8" t="s">
        <v>726</v>
      </c>
      <c r="AJ618" s="8" t="s">
        <v>726</v>
      </c>
      <c r="AK618" s="8" t="s">
        <v>726</v>
      </c>
      <c r="AL618" s="8" t="s">
        <v>726</v>
      </c>
      <c r="AM618" s="8"/>
      <c r="AN618" s="8"/>
      <c r="AO618" s="8"/>
      <c r="AP618" s="8"/>
      <c r="AQ618" s="8"/>
      <c r="AR618" s="8"/>
      <c r="AS618" s="8"/>
      <c r="AT618" s="8"/>
      <c r="AU618" s="8"/>
      <c r="AV618" s="8"/>
      <c r="AX618" s="142">
        <v>56.61</v>
      </c>
    </row>
    <row r="619" spans="1:50" ht="25.5">
      <c r="B619" s="27">
        <v>607</v>
      </c>
      <c r="C619" s="31">
        <v>312</v>
      </c>
      <c r="D619" s="31">
        <v>601</v>
      </c>
      <c r="E619" s="32">
        <v>0.3611111111111111</v>
      </c>
      <c r="F619" s="32">
        <v>0.36805555555555558</v>
      </c>
      <c r="G619" s="40" t="s">
        <v>368</v>
      </c>
      <c r="H619" s="31" t="s">
        <v>364</v>
      </c>
      <c r="I619" s="33">
        <v>6</v>
      </c>
      <c r="J619" s="34" t="s">
        <v>93</v>
      </c>
      <c r="K619" s="35">
        <f>38+39+10+11</f>
        <v>98</v>
      </c>
      <c r="L619" s="36">
        <f>+K619*I619</f>
        <v>588</v>
      </c>
      <c r="M619" s="37" t="s">
        <v>716</v>
      </c>
      <c r="N619" s="23" t="s">
        <v>854</v>
      </c>
      <c r="O619" s="23">
        <v>17</v>
      </c>
      <c r="R619" s="23"/>
      <c r="S619" s="23"/>
      <c r="T619" s="7">
        <v>3164</v>
      </c>
      <c r="U619" s="7" t="s">
        <v>1538</v>
      </c>
      <c r="V619" s="7">
        <v>3159</v>
      </c>
      <c r="W619" s="7" t="s">
        <v>1539</v>
      </c>
      <c r="X619" s="17"/>
      <c r="Y619" s="17"/>
      <c r="Z619" s="17"/>
      <c r="AA619" s="17"/>
      <c r="AB619" s="7" t="s">
        <v>1085</v>
      </c>
      <c r="AC619" s="8" t="s">
        <v>726</v>
      </c>
      <c r="AD619" s="8" t="s">
        <v>726</v>
      </c>
      <c r="AE619" s="8" t="s">
        <v>726</v>
      </c>
      <c r="AF619" s="8"/>
      <c r="AG619" s="8" t="s">
        <v>726</v>
      </c>
      <c r="AH619" s="8"/>
      <c r="AI619" s="8"/>
      <c r="AJ619" s="8" t="s">
        <v>726</v>
      </c>
      <c r="AK619" s="8"/>
      <c r="AL619" s="8"/>
      <c r="AM619" s="8"/>
      <c r="AN619" s="8"/>
      <c r="AO619" s="8"/>
      <c r="AP619" s="8"/>
      <c r="AQ619" s="8"/>
      <c r="AR619" s="8"/>
      <c r="AS619" s="8"/>
      <c r="AT619" s="8"/>
      <c r="AU619" s="8"/>
      <c r="AV619" s="8"/>
      <c r="AX619" s="142">
        <v>13.04</v>
      </c>
    </row>
    <row r="620" spans="1:50" ht="25.5">
      <c r="B620" s="27">
        <v>608</v>
      </c>
      <c r="C620" s="31">
        <v>312</v>
      </c>
      <c r="D620" s="31">
        <v>600</v>
      </c>
      <c r="E620" s="32">
        <v>0.36805555555555558</v>
      </c>
      <c r="F620" s="32">
        <v>0.375</v>
      </c>
      <c r="G620" s="40" t="s">
        <v>367</v>
      </c>
      <c r="H620" s="31" t="s">
        <v>364</v>
      </c>
      <c r="I620" s="33">
        <v>6.5</v>
      </c>
      <c r="J620" s="34" t="s">
        <v>93</v>
      </c>
      <c r="K620" s="35">
        <f>38+39+10+11</f>
        <v>98</v>
      </c>
      <c r="L620" s="36">
        <f>+K620*I620</f>
        <v>637</v>
      </c>
      <c r="M620" s="37" t="s">
        <v>716</v>
      </c>
      <c r="N620" s="23" t="s">
        <v>854</v>
      </c>
      <c r="O620" s="23">
        <v>17</v>
      </c>
      <c r="R620" s="23"/>
      <c r="S620" s="23"/>
      <c r="T620" s="7">
        <v>3159</v>
      </c>
      <c r="U620" s="7" t="s">
        <v>1539</v>
      </c>
      <c r="V620" s="7">
        <v>3164</v>
      </c>
      <c r="W620" s="7" t="s">
        <v>1538</v>
      </c>
      <c r="X620" s="17"/>
      <c r="Y620" s="17"/>
      <c r="Z620" s="17"/>
      <c r="AA620" s="17"/>
      <c r="AB620" s="7" t="s">
        <v>1085</v>
      </c>
      <c r="AC620" s="8" t="s">
        <v>726</v>
      </c>
      <c r="AD620" s="8" t="s">
        <v>726</v>
      </c>
      <c r="AE620" s="8" t="s">
        <v>726</v>
      </c>
      <c r="AF620" s="8"/>
      <c r="AG620" s="8" t="s">
        <v>726</v>
      </c>
      <c r="AH620" s="8"/>
      <c r="AI620" s="8"/>
      <c r="AJ620" s="8" t="s">
        <v>726</v>
      </c>
      <c r="AK620" s="8"/>
      <c r="AL620" s="8"/>
      <c r="AM620" s="8"/>
      <c r="AN620" s="8"/>
      <c r="AO620" s="8"/>
      <c r="AP620" s="8"/>
      <c r="AQ620" s="8"/>
      <c r="AR620" s="8"/>
      <c r="AS620" s="8"/>
      <c r="AT620" s="8"/>
      <c r="AU620" s="8"/>
      <c r="AV620" s="8"/>
      <c r="AX620" s="142">
        <v>14.12</v>
      </c>
    </row>
    <row r="621" spans="1:50" ht="38.25">
      <c r="B621" s="27">
        <v>609</v>
      </c>
      <c r="C621" s="31">
        <v>312</v>
      </c>
      <c r="D621" s="31">
        <v>604</v>
      </c>
      <c r="E621" s="32">
        <v>0.38194444444444442</v>
      </c>
      <c r="F621" s="32">
        <v>0.39861111111111108</v>
      </c>
      <c r="G621" s="40" t="s">
        <v>619</v>
      </c>
      <c r="H621" s="31" t="s">
        <v>364</v>
      </c>
      <c r="I621" s="33">
        <v>14</v>
      </c>
      <c r="J621" s="34" t="s">
        <v>93</v>
      </c>
      <c r="K621" s="35">
        <f>38+39+10+11</f>
        <v>98</v>
      </c>
      <c r="L621" s="36">
        <f>+K621*I621</f>
        <v>1372</v>
      </c>
      <c r="M621" s="37" t="s">
        <v>716</v>
      </c>
      <c r="N621" s="23" t="s">
        <v>854</v>
      </c>
      <c r="O621" s="23">
        <v>17</v>
      </c>
      <c r="R621" s="23"/>
      <c r="S621" s="23"/>
      <c r="T621" s="7">
        <v>3164</v>
      </c>
      <c r="U621" s="7" t="s">
        <v>1538</v>
      </c>
      <c r="V621" s="7">
        <v>3166</v>
      </c>
      <c r="W621" s="7" t="s">
        <v>1540</v>
      </c>
      <c r="X621" s="17"/>
      <c r="Y621" s="17"/>
      <c r="Z621" s="17"/>
      <c r="AA621" s="17"/>
      <c r="AB621" s="7" t="s">
        <v>1085</v>
      </c>
      <c r="AC621" s="8" t="s">
        <v>726</v>
      </c>
      <c r="AD621" s="8" t="s">
        <v>726</v>
      </c>
      <c r="AE621" s="8" t="s">
        <v>726</v>
      </c>
      <c r="AF621" s="8"/>
      <c r="AG621" s="8" t="s">
        <v>726</v>
      </c>
      <c r="AH621" s="8"/>
      <c r="AI621" s="8"/>
      <c r="AJ621" s="8" t="s">
        <v>726</v>
      </c>
      <c r="AK621" s="8"/>
      <c r="AL621" s="8"/>
      <c r="AM621" s="8"/>
      <c r="AN621" s="8"/>
      <c r="AO621" s="8"/>
      <c r="AP621" s="8"/>
      <c r="AQ621" s="8"/>
      <c r="AR621" s="8"/>
      <c r="AS621" s="8"/>
      <c r="AT621" s="8"/>
      <c r="AU621" s="8"/>
      <c r="AV621" s="8"/>
      <c r="AX621" s="142">
        <v>30.42</v>
      </c>
    </row>
    <row r="622" spans="1:50" ht="25.5">
      <c r="B622" s="27">
        <v>610</v>
      </c>
      <c r="C622" s="31">
        <v>312</v>
      </c>
      <c r="D622" s="31">
        <v>605</v>
      </c>
      <c r="E622" s="32">
        <v>0.39861111111111108</v>
      </c>
      <c r="F622" s="32">
        <v>0.41319444444444442</v>
      </c>
      <c r="G622" s="40" t="s">
        <v>620</v>
      </c>
      <c r="H622" s="31" t="s">
        <v>364</v>
      </c>
      <c r="I622" s="33">
        <v>12.5</v>
      </c>
      <c r="J622" s="34" t="s">
        <v>93</v>
      </c>
      <c r="K622" s="35">
        <f>38+39+10+11</f>
        <v>98</v>
      </c>
      <c r="L622" s="36">
        <f>+K622*I622</f>
        <v>1225</v>
      </c>
      <c r="M622" s="37" t="s">
        <v>716</v>
      </c>
      <c r="N622" s="23" t="s">
        <v>854</v>
      </c>
      <c r="O622" s="23">
        <v>17</v>
      </c>
      <c r="R622" s="23"/>
      <c r="S622" s="23"/>
      <c r="T622" s="7">
        <v>3166</v>
      </c>
      <c r="U622" s="7" t="s">
        <v>1540</v>
      </c>
      <c r="V622" s="7">
        <v>3164</v>
      </c>
      <c r="W622" s="7" t="s">
        <v>1538</v>
      </c>
      <c r="X622" s="17"/>
      <c r="Y622" s="17"/>
      <c r="Z622" s="17"/>
      <c r="AA622" s="17"/>
      <c r="AB622" s="7" t="s">
        <v>1085</v>
      </c>
      <c r="AC622" s="8" t="s">
        <v>726</v>
      </c>
      <c r="AD622" s="8" t="s">
        <v>726</v>
      </c>
      <c r="AE622" s="8" t="s">
        <v>726</v>
      </c>
      <c r="AF622" s="8"/>
      <c r="AG622" s="8" t="s">
        <v>726</v>
      </c>
      <c r="AH622" s="8"/>
      <c r="AI622" s="8"/>
      <c r="AJ622" s="8" t="s">
        <v>726</v>
      </c>
      <c r="AK622" s="8"/>
      <c r="AL622" s="8"/>
      <c r="AM622" s="8"/>
      <c r="AN622" s="8"/>
      <c r="AO622" s="8"/>
      <c r="AP622" s="8"/>
      <c r="AQ622" s="8"/>
      <c r="AR622" s="8"/>
      <c r="AS622" s="8"/>
      <c r="AT622" s="8"/>
      <c r="AU622" s="8"/>
      <c r="AV622" s="8"/>
      <c r="AX622" s="142">
        <v>27.16</v>
      </c>
    </row>
    <row r="623" spans="1:50" ht="25.5">
      <c r="B623" s="27">
        <v>611</v>
      </c>
      <c r="C623" s="31">
        <v>312</v>
      </c>
      <c r="D623" s="43">
        <v>603</v>
      </c>
      <c r="E623" s="42">
        <v>0.44097222222222227</v>
      </c>
      <c r="F623" s="32">
        <v>0.45555555555555555</v>
      </c>
      <c r="G623" s="40" t="s">
        <v>699</v>
      </c>
      <c r="H623" s="31" t="s">
        <v>364</v>
      </c>
      <c r="I623" s="33">
        <v>12</v>
      </c>
      <c r="J623" s="34" t="s">
        <v>93</v>
      </c>
      <c r="K623" s="35">
        <f>38+39+10+11</f>
        <v>98</v>
      </c>
      <c r="L623" s="36">
        <f>+K623*I623</f>
        <v>1176</v>
      </c>
      <c r="M623" s="37" t="s">
        <v>716</v>
      </c>
      <c r="N623" s="23" t="s">
        <v>854</v>
      </c>
      <c r="O623" s="23">
        <v>17</v>
      </c>
      <c r="R623" s="23"/>
      <c r="S623" s="23"/>
      <c r="T623" s="7">
        <v>3164</v>
      </c>
      <c r="U623" s="7" t="s">
        <v>1538</v>
      </c>
      <c r="V623" s="7" t="s">
        <v>1541</v>
      </c>
      <c r="W623" s="7" t="s">
        <v>1542</v>
      </c>
      <c r="X623" s="17"/>
      <c r="Y623" s="17"/>
      <c r="Z623" s="17"/>
      <c r="AA623" s="17"/>
      <c r="AB623" s="7" t="s">
        <v>1085</v>
      </c>
      <c r="AC623" s="8" t="s">
        <v>726</v>
      </c>
      <c r="AD623" s="8" t="s">
        <v>726</v>
      </c>
      <c r="AE623" s="8" t="s">
        <v>726</v>
      </c>
      <c r="AF623" s="8"/>
      <c r="AG623" s="8" t="s">
        <v>726</v>
      </c>
      <c r="AH623" s="8"/>
      <c r="AI623" s="8"/>
      <c r="AJ623" s="8" t="s">
        <v>726</v>
      </c>
      <c r="AK623" s="8"/>
      <c r="AL623" s="8"/>
      <c r="AM623" s="8"/>
      <c r="AN623" s="8"/>
      <c r="AO623" s="8"/>
      <c r="AP623" s="8"/>
      <c r="AQ623" s="8"/>
      <c r="AR623" s="8"/>
      <c r="AS623" s="8"/>
      <c r="AT623" s="8"/>
      <c r="AU623" s="8"/>
      <c r="AV623" s="8"/>
      <c r="AX623" s="142">
        <v>26.07</v>
      </c>
    </row>
    <row r="624" spans="1:50" ht="38.25">
      <c r="B624" s="27">
        <v>612</v>
      </c>
      <c r="C624" s="31">
        <v>312</v>
      </c>
      <c r="D624" s="43">
        <v>602</v>
      </c>
      <c r="E624" s="42">
        <v>0.45555555555555555</v>
      </c>
      <c r="F624" s="42">
        <v>0.47291666666666665</v>
      </c>
      <c r="G624" s="40" t="s">
        <v>621</v>
      </c>
      <c r="H624" s="31" t="s">
        <v>364</v>
      </c>
      <c r="I624" s="33">
        <v>12</v>
      </c>
      <c r="J624" s="34" t="s">
        <v>93</v>
      </c>
      <c r="K624" s="35">
        <f>38+39+10+11</f>
        <v>98</v>
      </c>
      <c r="L624" s="36">
        <f>+K624*I624</f>
        <v>1176</v>
      </c>
      <c r="M624" s="37" t="s">
        <v>716</v>
      </c>
      <c r="N624" s="23" t="s">
        <v>854</v>
      </c>
      <c r="O624" s="23">
        <v>17</v>
      </c>
      <c r="R624" s="23"/>
      <c r="S624" s="23"/>
      <c r="T624" s="7" t="s">
        <v>1541</v>
      </c>
      <c r="U624" s="7" t="s">
        <v>1543</v>
      </c>
      <c r="V624" s="7">
        <v>3164</v>
      </c>
      <c r="W624" s="7" t="s">
        <v>1538</v>
      </c>
      <c r="X624" s="17"/>
      <c r="Y624" s="17"/>
      <c r="Z624" s="17"/>
      <c r="AA624" s="17"/>
      <c r="AB624" s="7" t="s">
        <v>1085</v>
      </c>
      <c r="AC624" s="8" t="s">
        <v>726</v>
      </c>
      <c r="AD624" s="8" t="s">
        <v>726</v>
      </c>
      <c r="AE624" s="8" t="s">
        <v>726</v>
      </c>
      <c r="AF624" s="8"/>
      <c r="AG624" s="8" t="s">
        <v>726</v>
      </c>
      <c r="AH624" s="8"/>
      <c r="AI624" s="8"/>
      <c r="AJ624" s="8" t="s">
        <v>726</v>
      </c>
      <c r="AK624" s="8"/>
      <c r="AL624" s="8"/>
      <c r="AM624" s="8"/>
      <c r="AN624" s="8"/>
      <c r="AO624" s="8"/>
      <c r="AP624" s="8"/>
      <c r="AQ624" s="8"/>
      <c r="AR624" s="8"/>
      <c r="AS624" s="8"/>
      <c r="AT624" s="8"/>
      <c r="AU624" s="8"/>
      <c r="AV624" s="8"/>
      <c r="AX624" s="142">
        <v>38.07</v>
      </c>
    </row>
    <row r="625" spans="1:50" ht="25.5">
      <c r="B625" s="27">
        <v>613</v>
      </c>
      <c r="C625" s="31">
        <v>312</v>
      </c>
      <c r="D625" s="43">
        <v>606</v>
      </c>
      <c r="E625" s="32">
        <v>0.47916666666666669</v>
      </c>
      <c r="F625" s="32">
        <v>0.5</v>
      </c>
      <c r="G625" s="40" t="s">
        <v>366</v>
      </c>
      <c r="H625" s="31" t="s">
        <v>364</v>
      </c>
      <c r="I625" s="33">
        <v>17.5</v>
      </c>
      <c r="J625" s="34" t="s">
        <v>93</v>
      </c>
      <c r="K625" s="35">
        <f>38+39+10+11</f>
        <v>98</v>
      </c>
      <c r="L625" s="36">
        <f>+K625*I625</f>
        <v>1715</v>
      </c>
      <c r="M625" s="37" t="s">
        <v>716</v>
      </c>
      <c r="N625" s="23" t="s">
        <v>854</v>
      </c>
      <c r="O625" s="23">
        <v>17</v>
      </c>
      <c r="R625" s="23"/>
      <c r="S625" s="23"/>
      <c r="T625" s="7">
        <v>3164</v>
      </c>
      <c r="U625" s="7" t="s">
        <v>1538</v>
      </c>
      <c r="V625" s="7">
        <v>3169</v>
      </c>
      <c r="W625" s="7" t="s">
        <v>1268</v>
      </c>
      <c r="X625" s="17"/>
      <c r="Y625" s="17"/>
      <c r="Z625" s="17"/>
      <c r="AA625" s="17"/>
      <c r="AB625" s="7" t="s">
        <v>1085</v>
      </c>
      <c r="AC625" s="8" t="s">
        <v>726</v>
      </c>
      <c r="AD625" s="8" t="s">
        <v>726</v>
      </c>
      <c r="AE625" s="8" t="s">
        <v>726</v>
      </c>
      <c r="AF625" s="8"/>
      <c r="AG625" s="8" t="s">
        <v>726</v>
      </c>
      <c r="AH625" s="8"/>
      <c r="AI625" s="8"/>
      <c r="AJ625" s="8" t="s">
        <v>726</v>
      </c>
      <c r="AK625" s="8"/>
      <c r="AL625" s="8"/>
      <c r="AM625" s="8"/>
      <c r="AN625" s="8"/>
      <c r="AO625" s="8"/>
      <c r="AP625" s="8"/>
      <c r="AQ625" s="8"/>
      <c r="AR625" s="8"/>
      <c r="AS625" s="8"/>
      <c r="AT625" s="8"/>
      <c r="AU625" s="8"/>
      <c r="AV625" s="8"/>
      <c r="AX625" s="142">
        <v>38.020000000000003</v>
      </c>
    </row>
    <row r="626" spans="1:50" ht="38.25">
      <c r="B626" s="27">
        <v>614</v>
      </c>
      <c r="C626" s="31">
        <v>312</v>
      </c>
      <c r="D626" s="31">
        <v>607</v>
      </c>
      <c r="E626" s="32">
        <v>0.5</v>
      </c>
      <c r="F626" s="32">
        <v>0.50972222222222219</v>
      </c>
      <c r="G626" s="40" t="s">
        <v>640</v>
      </c>
      <c r="H626" s="31" t="s">
        <v>364</v>
      </c>
      <c r="I626" s="33">
        <v>14</v>
      </c>
      <c r="J626" s="34" t="s">
        <v>93</v>
      </c>
      <c r="K626" s="35">
        <f>38+39+10+11</f>
        <v>98</v>
      </c>
      <c r="L626" s="36">
        <f>+K626*I626</f>
        <v>1372</v>
      </c>
      <c r="M626" s="37" t="s">
        <v>716</v>
      </c>
      <c r="N626" s="23" t="s">
        <v>854</v>
      </c>
      <c r="O626" s="23">
        <v>17</v>
      </c>
      <c r="R626" s="23"/>
      <c r="S626" s="23"/>
      <c r="T626" s="7">
        <v>3169</v>
      </c>
      <c r="U626" s="7" t="s">
        <v>1268</v>
      </c>
      <c r="V626" s="7">
        <v>3164</v>
      </c>
      <c r="W626" s="7" t="s">
        <v>1538</v>
      </c>
      <c r="X626" s="17"/>
      <c r="Y626" s="17"/>
      <c r="Z626" s="17"/>
      <c r="AA626" s="17"/>
      <c r="AB626" s="7" t="s">
        <v>1085</v>
      </c>
      <c r="AC626" s="8" t="s">
        <v>726</v>
      </c>
      <c r="AD626" s="8" t="s">
        <v>726</v>
      </c>
      <c r="AE626" s="8" t="s">
        <v>726</v>
      </c>
      <c r="AF626" s="8"/>
      <c r="AG626" s="8" t="s">
        <v>726</v>
      </c>
      <c r="AH626" s="8"/>
      <c r="AI626" s="8"/>
      <c r="AJ626" s="8" t="s">
        <v>726</v>
      </c>
      <c r="AK626" s="8"/>
      <c r="AL626" s="8"/>
      <c r="AM626" s="8"/>
      <c r="AN626" s="8"/>
      <c r="AO626" s="8"/>
      <c r="AP626" s="8"/>
      <c r="AQ626" s="8"/>
      <c r="AR626" s="8"/>
      <c r="AS626" s="8"/>
      <c r="AT626" s="8"/>
      <c r="AU626" s="8"/>
      <c r="AV626" s="8"/>
      <c r="AX626" s="142">
        <v>30.42</v>
      </c>
    </row>
    <row r="627" spans="1:50" ht="25.5">
      <c r="A627" s="2" t="s">
        <v>794</v>
      </c>
      <c r="B627" s="27">
        <v>615</v>
      </c>
      <c r="C627" s="31">
        <v>312</v>
      </c>
      <c r="D627" s="43">
        <v>298</v>
      </c>
      <c r="E627" s="32">
        <v>0.67708333333333337</v>
      </c>
      <c r="F627" s="32">
        <v>0.70833333333333337</v>
      </c>
      <c r="G627" s="31" t="s">
        <v>703</v>
      </c>
      <c r="H627" s="31" t="s">
        <v>103</v>
      </c>
      <c r="I627" s="33">
        <v>17.2</v>
      </c>
      <c r="J627" s="34" t="s">
        <v>93</v>
      </c>
      <c r="K627" s="35">
        <v>174</v>
      </c>
      <c r="L627" s="36">
        <f>+K627*I627</f>
        <v>2992.7999999999997</v>
      </c>
      <c r="M627" s="37" t="s">
        <v>758</v>
      </c>
      <c r="N627" s="23" t="s">
        <v>954</v>
      </c>
      <c r="O627" s="23">
        <v>16</v>
      </c>
      <c r="P627" s="23" t="s">
        <v>1153</v>
      </c>
      <c r="Q627" s="23">
        <v>21</v>
      </c>
      <c r="R627" s="23" t="s">
        <v>1154</v>
      </c>
      <c r="S627" s="23">
        <v>15</v>
      </c>
      <c r="T627" s="7" t="s">
        <v>1266</v>
      </c>
      <c r="U627" s="7" t="s">
        <v>1267</v>
      </c>
      <c r="V627" s="7">
        <v>3253</v>
      </c>
      <c r="W627" s="7" t="s">
        <v>1544</v>
      </c>
      <c r="X627" s="18"/>
      <c r="Y627" s="17"/>
      <c r="Z627" s="17"/>
      <c r="AA627" s="17"/>
      <c r="AB627" s="7" t="s">
        <v>1042</v>
      </c>
      <c r="AC627" s="8"/>
      <c r="AD627" s="8"/>
      <c r="AE627" s="8"/>
      <c r="AF627" s="8" t="s">
        <v>726</v>
      </c>
      <c r="AG627" s="8" t="s">
        <v>726</v>
      </c>
      <c r="AH627" s="8" t="s">
        <v>726</v>
      </c>
      <c r="AI627" s="8" t="s">
        <v>726</v>
      </c>
      <c r="AJ627" s="8" t="s">
        <v>726</v>
      </c>
      <c r="AK627" s="8" t="s">
        <v>726</v>
      </c>
      <c r="AL627" s="8"/>
      <c r="AM627" s="8"/>
      <c r="AN627" s="8"/>
      <c r="AO627" s="8"/>
      <c r="AP627" s="8"/>
      <c r="AQ627" s="8"/>
      <c r="AR627" s="8"/>
      <c r="AS627" s="8"/>
      <c r="AT627" s="8"/>
      <c r="AU627" s="8"/>
      <c r="AV627" s="8"/>
      <c r="AX627" s="142">
        <v>51.599999999999994</v>
      </c>
    </row>
    <row r="628" spans="1:50" ht="25.5">
      <c r="B628" s="27">
        <v>616</v>
      </c>
      <c r="C628" s="38">
        <v>312</v>
      </c>
      <c r="D628" s="38">
        <v>110</v>
      </c>
      <c r="E628" s="39">
        <v>0.7270833333333333</v>
      </c>
      <c r="F628" s="39">
        <v>0.78055555555555556</v>
      </c>
      <c r="G628" s="40" t="s">
        <v>28</v>
      </c>
      <c r="H628" s="31" t="s">
        <v>155</v>
      </c>
      <c r="I628" s="38">
        <v>36</v>
      </c>
      <c r="J628" s="41">
        <v>19</v>
      </c>
      <c r="K628" s="35">
        <v>252</v>
      </c>
      <c r="L628" s="36">
        <f>+K628*I628</f>
        <v>9072</v>
      </c>
      <c r="M628" s="37" t="s">
        <v>739</v>
      </c>
      <c r="N628" s="23" t="s">
        <v>890</v>
      </c>
      <c r="O628" s="23">
        <v>23</v>
      </c>
      <c r="P628" s="23" t="s">
        <v>891</v>
      </c>
      <c r="Q628" s="23">
        <v>20</v>
      </c>
      <c r="S628" s="23"/>
      <c r="T628" s="7" t="s">
        <v>1266</v>
      </c>
      <c r="U628" s="7" t="s">
        <v>1267</v>
      </c>
      <c r="V628" s="7">
        <v>3166</v>
      </c>
      <c r="W628" s="7" t="s">
        <v>1540</v>
      </c>
      <c r="X628" s="17"/>
      <c r="Y628" s="17"/>
      <c r="Z628" s="17"/>
      <c r="AA628" s="17"/>
      <c r="AB628" s="7" t="s">
        <v>1041</v>
      </c>
      <c r="AC628" s="8" t="s">
        <v>726</v>
      </c>
      <c r="AD628" s="8" t="s">
        <v>726</v>
      </c>
      <c r="AE628" s="8" t="s">
        <v>726</v>
      </c>
      <c r="AF628" s="8"/>
      <c r="AG628" s="8" t="s">
        <v>726</v>
      </c>
      <c r="AH628" s="8" t="s">
        <v>726</v>
      </c>
      <c r="AI628" s="8" t="s">
        <v>726</v>
      </c>
      <c r="AJ628" s="8" t="s">
        <v>726</v>
      </c>
      <c r="AK628" s="8" t="s">
        <v>726</v>
      </c>
      <c r="AL628" s="8"/>
      <c r="AM628" s="8"/>
      <c r="AN628" s="8"/>
      <c r="AO628" s="8"/>
      <c r="AP628" s="8"/>
      <c r="AQ628" s="8"/>
      <c r="AR628" s="8"/>
      <c r="AS628" s="8"/>
      <c r="AT628" s="8"/>
      <c r="AU628" s="8"/>
      <c r="AV628" s="8"/>
      <c r="AX628" s="142">
        <v>72</v>
      </c>
    </row>
    <row r="629" spans="1:50" ht="25.5">
      <c r="B629" s="27">
        <v>617</v>
      </c>
      <c r="C629" s="38">
        <v>312</v>
      </c>
      <c r="D629" s="38">
        <v>128</v>
      </c>
      <c r="E629" s="39">
        <v>0.76388888888888884</v>
      </c>
      <c r="F629" s="39">
        <v>0.79513888888888884</v>
      </c>
      <c r="G629" s="40" t="s">
        <v>27</v>
      </c>
      <c r="H629" s="31" t="s">
        <v>97</v>
      </c>
      <c r="I629" s="38">
        <v>17</v>
      </c>
      <c r="J629" s="41">
        <v>19</v>
      </c>
      <c r="K629" s="35">
        <v>208</v>
      </c>
      <c r="L629" s="36">
        <f>+K629*I629</f>
        <v>3536</v>
      </c>
      <c r="M629" s="37" t="s">
        <v>739</v>
      </c>
      <c r="N629" s="23" t="s">
        <v>894</v>
      </c>
      <c r="O629" s="23">
        <v>24</v>
      </c>
      <c r="P629" s="23" t="s">
        <v>891</v>
      </c>
      <c r="Q629" s="23">
        <v>20</v>
      </c>
      <c r="S629" s="23"/>
      <c r="T629" s="7" t="s">
        <v>1266</v>
      </c>
      <c r="U629" s="7" t="s">
        <v>1267</v>
      </c>
      <c r="V629" s="7">
        <v>3253</v>
      </c>
      <c r="W629" s="7" t="s">
        <v>1544</v>
      </c>
      <c r="X629" s="18"/>
      <c r="Y629" s="17"/>
      <c r="Z629" s="17"/>
      <c r="AA629" s="17"/>
      <c r="AB629" s="7" t="s">
        <v>1046</v>
      </c>
      <c r="AC629" s="8"/>
      <c r="AD629" s="8"/>
      <c r="AE629" s="8"/>
      <c r="AF629" s="8" t="s">
        <v>726</v>
      </c>
      <c r="AG629" s="8" t="s">
        <v>726</v>
      </c>
      <c r="AH629" s="8" t="s">
        <v>726</v>
      </c>
      <c r="AI629" s="8" t="s">
        <v>726</v>
      </c>
      <c r="AJ629" s="8" t="s">
        <v>726</v>
      </c>
      <c r="AK629" s="8" t="s">
        <v>726</v>
      </c>
      <c r="AL629" s="8" t="s">
        <v>726</v>
      </c>
      <c r="AM629" s="8"/>
      <c r="AN629" s="8"/>
      <c r="AO629" s="8"/>
      <c r="AP629" s="8"/>
      <c r="AQ629" s="8"/>
      <c r="AR629" s="8"/>
      <c r="AS629" s="8"/>
      <c r="AT629" s="8"/>
      <c r="AU629" s="8"/>
      <c r="AV629" s="8"/>
      <c r="AX629" s="142">
        <v>34</v>
      </c>
    </row>
    <row r="630" spans="1:50" ht="25.5">
      <c r="B630" s="27">
        <v>618</v>
      </c>
      <c r="C630" s="38">
        <v>312</v>
      </c>
      <c r="D630" s="38">
        <v>130</v>
      </c>
      <c r="E630" s="39">
        <v>0.8125</v>
      </c>
      <c r="F630" s="39">
        <v>0.84375</v>
      </c>
      <c r="G630" s="40" t="s">
        <v>27</v>
      </c>
      <c r="H630" s="31" t="s">
        <v>155</v>
      </c>
      <c r="I630" s="38">
        <v>17</v>
      </c>
      <c r="J630" s="41">
        <v>19</v>
      </c>
      <c r="K630" s="35">
        <v>252</v>
      </c>
      <c r="L630" s="36">
        <f>+K630*I630</f>
        <v>4284</v>
      </c>
      <c r="M630" s="37" t="s">
        <v>739</v>
      </c>
      <c r="N630" s="23" t="s">
        <v>890</v>
      </c>
      <c r="O630" s="23">
        <v>23</v>
      </c>
      <c r="P630" s="23" t="s">
        <v>891</v>
      </c>
      <c r="Q630" s="23">
        <v>20</v>
      </c>
      <c r="R630" s="23" t="s">
        <v>894</v>
      </c>
      <c r="S630" s="24">
        <v>24</v>
      </c>
      <c r="T630" s="7" t="s">
        <v>1266</v>
      </c>
      <c r="U630" s="7" t="s">
        <v>1267</v>
      </c>
      <c r="V630" s="7">
        <v>3253</v>
      </c>
      <c r="W630" s="7" t="s">
        <v>1544</v>
      </c>
      <c r="X630" s="17"/>
      <c r="Y630" s="17"/>
      <c r="Z630" s="17"/>
      <c r="AA630" s="17"/>
      <c r="AB630" s="7" t="s">
        <v>1041</v>
      </c>
      <c r="AC630" s="8" t="s">
        <v>726</v>
      </c>
      <c r="AD630" s="8" t="s">
        <v>726</v>
      </c>
      <c r="AE630" s="8" t="s">
        <v>726</v>
      </c>
      <c r="AF630" s="8"/>
      <c r="AG630" s="8" t="s">
        <v>726</v>
      </c>
      <c r="AH630" s="8" t="s">
        <v>726</v>
      </c>
      <c r="AI630" s="8" t="s">
        <v>726</v>
      </c>
      <c r="AJ630" s="8" t="s">
        <v>726</v>
      </c>
      <c r="AK630" s="8" t="s">
        <v>726</v>
      </c>
      <c r="AL630" s="8"/>
      <c r="AM630" s="8"/>
      <c r="AN630" s="8"/>
      <c r="AO630" s="8"/>
      <c r="AP630" s="8"/>
      <c r="AQ630" s="8"/>
      <c r="AR630" s="8"/>
      <c r="AS630" s="8"/>
      <c r="AT630" s="8"/>
      <c r="AU630" s="8"/>
      <c r="AV630" s="8"/>
      <c r="AX630" s="142">
        <v>34</v>
      </c>
    </row>
    <row r="631" spans="1:50" ht="38.25">
      <c r="B631" s="27">
        <v>619</v>
      </c>
      <c r="C631" s="31">
        <v>314</v>
      </c>
      <c r="D631" s="31">
        <v>115</v>
      </c>
      <c r="E631" s="32">
        <v>0.27083333333333331</v>
      </c>
      <c r="F631" s="32">
        <v>0.30902777777777779</v>
      </c>
      <c r="G631" s="31" t="s">
        <v>363</v>
      </c>
      <c r="H631" s="31" t="s">
        <v>347</v>
      </c>
      <c r="I631" s="33">
        <v>27</v>
      </c>
      <c r="J631" s="34" t="s">
        <v>355</v>
      </c>
      <c r="K631" s="35">
        <v>29</v>
      </c>
      <c r="L631" s="36">
        <f>+K631*I631</f>
        <v>783</v>
      </c>
      <c r="M631" s="37" t="s">
        <v>716</v>
      </c>
      <c r="N631" s="23" t="s">
        <v>854</v>
      </c>
      <c r="O631" s="23">
        <v>17</v>
      </c>
      <c r="R631" s="23"/>
      <c r="S631" s="23"/>
      <c r="T631" s="7">
        <v>3240</v>
      </c>
      <c r="U631" s="7" t="s">
        <v>1545</v>
      </c>
      <c r="V631" s="7" t="s">
        <v>1546</v>
      </c>
      <c r="W631" s="7" t="s">
        <v>1547</v>
      </c>
      <c r="X631" s="18"/>
      <c r="Y631" s="17"/>
      <c r="Z631" s="18"/>
      <c r="AA631" s="18"/>
      <c r="AB631" s="7" t="s">
        <v>1050</v>
      </c>
      <c r="AC631" s="8" t="s">
        <v>726</v>
      </c>
      <c r="AD631" s="8"/>
      <c r="AE631" s="8" t="s">
        <v>726</v>
      </c>
      <c r="AF631" s="8"/>
      <c r="AG631" s="8"/>
      <c r="AH631" s="8"/>
      <c r="AI631" s="8"/>
      <c r="AJ631" s="8"/>
      <c r="AK631" s="8"/>
      <c r="AL631" s="8"/>
      <c r="AM631" s="8"/>
      <c r="AN631" s="8"/>
      <c r="AO631" s="8"/>
      <c r="AP631" s="8"/>
      <c r="AQ631" s="8" t="s">
        <v>726</v>
      </c>
      <c r="AR631" s="8" t="s">
        <v>726</v>
      </c>
      <c r="AS631" s="8" t="s">
        <v>726</v>
      </c>
      <c r="AT631" s="8" t="s">
        <v>726</v>
      </c>
      <c r="AU631" s="8" t="s">
        <v>726</v>
      </c>
      <c r="AV631" s="8" t="s">
        <v>726</v>
      </c>
      <c r="AX631" s="142">
        <v>65.430000000000007</v>
      </c>
    </row>
    <row r="632" spans="1:50" ht="38.25">
      <c r="B632" s="27">
        <v>620</v>
      </c>
      <c r="C632" s="31">
        <v>314</v>
      </c>
      <c r="D632" s="31">
        <v>114</v>
      </c>
      <c r="E632" s="32">
        <v>0.30902777777777779</v>
      </c>
      <c r="F632" s="32">
        <v>0.34027777777777773</v>
      </c>
      <c r="G632" s="31" t="s">
        <v>362</v>
      </c>
      <c r="H632" s="31" t="s">
        <v>361</v>
      </c>
      <c r="I632" s="33">
        <v>25</v>
      </c>
      <c r="J632" s="34" t="s">
        <v>355</v>
      </c>
      <c r="K632" s="35">
        <v>26</v>
      </c>
      <c r="L632" s="36">
        <f>+K632*I632</f>
        <v>650</v>
      </c>
      <c r="M632" s="37" t="s">
        <v>716</v>
      </c>
      <c r="N632" s="23" t="s">
        <v>854</v>
      </c>
      <c r="O632" s="23">
        <v>17</v>
      </c>
      <c r="R632" s="23"/>
      <c r="S632" s="23"/>
      <c r="T632" s="7">
        <v>3100</v>
      </c>
      <c r="U632" s="7" t="s">
        <v>1548</v>
      </c>
      <c r="V632" s="7">
        <v>3164</v>
      </c>
      <c r="W632" s="7" t="s">
        <v>1538</v>
      </c>
      <c r="X632" s="18"/>
      <c r="Y632" s="17"/>
      <c r="Z632" s="18"/>
      <c r="AA632" s="18"/>
      <c r="AB632" s="7" t="s">
        <v>1072</v>
      </c>
      <c r="AC632" s="8" t="s">
        <v>726</v>
      </c>
      <c r="AD632" s="8"/>
      <c r="AE632" s="8" t="s">
        <v>726</v>
      </c>
      <c r="AF632" s="8"/>
      <c r="AG632" s="8"/>
      <c r="AH632" s="8"/>
      <c r="AI632" s="8"/>
      <c r="AJ632" s="8"/>
      <c r="AK632" s="8"/>
      <c r="AL632" s="8"/>
      <c r="AM632" s="8"/>
      <c r="AN632" s="8"/>
      <c r="AO632" s="8"/>
      <c r="AP632" s="8"/>
      <c r="AQ632" s="8" t="s">
        <v>726</v>
      </c>
      <c r="AR632" s="8" t="s">
        <v>726</v>
      </c>
      <c r="AS632" s="8" t="s">
        <v>726</v>
      </c>
      <c r="AT632" s="8" t="s">
        <v>726</v>
      </c>
      <c r="AU632" s="8" t="s">
        <v>726</v>
      </c>
      <c r="AV632" s="8"/>
      <c r="AX632" s="142">
        <v>50</v>
      </c>
    </row>
    <row r="633" spans="1:50" ht="38.25">
      <c r="B633" s="27">
        <v>621</v>
      </c>
      <c r="C633" s="31">
        <v>314</v>
      </c>
      <c r="D633" s="31">
        <v>608</v>
      </c>
      <c r="E633" s="32">
        <v>0.3611111111111111</v>
      </c>
      <c r="F633" s="32">
        <v>0.37638888888888888</v>
      </c>
      <c r="G633" s="40" t="s">
        <v>360</v>
      </c>
      <c r="H633" s="31" t="s">
        <v>622</v>
      </c>
      <c r="I633" s="33">
        <v>12</v>
      </c>
      <c r="J633" s="34" t="s">
        <v>93</v>
      </c>
      <c r="K633" s="35">
        <v>156</v>
      </c>
      <c r="L633" s="36">
        <f>+K633*I633</f>
        <v>1872</v>
      </c>
      <c r="M633" s="37" t="s">
        <v>716</v>
      </c>
      <c r="N633" s="23" t="s">
        <v>854</v>
      </c>
      <c r="O633" s="23">
        <v>17</v>
      </c>
      <c r="R633" s="23"/>
      <c r="S633" s="23"/>
      <c r="T633" s="7">
        <v>3164</v>
      </c>
      <c r="U633" s="7" t="s">
        <v>1538</v>
      </c>
      <c r="V633" s="7">
        <v>3240</v>
      </c>
      <c r="W633" s="7" t="s">
        <v>1545</v>
      </c>
      <c r="X633" s="17"/>
      <c r="Y633" s="17"/>
      <c r="Z633" s="17"/>
      <c r="AA633" s="17"/>
      <c r="AB633" s="7" t="s">
        <v>1086</v>
      </c>
      <c r="AC633" s="8" t="s">
        <v>726</v>
      </c>
      <c r="AD633" s="8" t="s">
        <v>726</v>
      </c>
      <c r="AE633" s="8" t="s">
        <v>726</v>
      </c>
      <c r="AF633" s="8"/>
      <c r="AG633" s="8"/>
      <c r="AH633" s="8" t="s">
        <v>726</v>
      </c>
      <c r="AI633" s="8" t="s">
        <v>726</v>
      </c>
      <c r="AJ633" s="8"/>
      <c r="AK633" s="8" t="s">
        <v>726</v>
      </c>
      <c r="AL633" s="8"/>
      <c r="AM633" s="8"/>
      <c r="AN633" s="8"/>
      <c r="AO633" s="8"/>
      <c r="AP633" s="8"/>
      <c r="AQ633" s="8"/>
      <c r="AR633" s="8"/>
      <c r="AS633" s="8"/>
      <c r="AT633" s="8"/>
      <c r="AU633" s="8"/>
      <c r="AV633" s="8"/>
      <c r="AX633" s="142">
        <v>28</v>
      </c>
    </row>
    <row r="634" spans="1:50" ht="38.25">
      <c r="B634" s="27">
        <v>622</v>
      </c>
      <c r="C634" s="31">
        <v>314</v>
      </c>
      <c r="D634" s="31">
        <v>609</v>
      </c>
      <c r="E634" s="32">
        <v>0.37638888888888888</v>
      </c>
      <c r="F634" s="32">
        <v>0.39097222222222222</v>
      </c>
      <c r="G634" s="40" t="s">
        <v>358</v>
      </c>
      <c r="H634" s="31" t="s">
        <v>622</v>
      </c>
      <c r="I634" s="33">
        <v>12</v>
      </c>
      <c r="J634" s="34" t="s">
        <v>93</v>
      </c>
      <c r="K634" s="35">
        <v>156</v>
      </c>
      <c r="L634" s="36">
        <f>+K634*I634</f>
        <v>1872</v>
      </c>
      <c r="M634" s="37" t="s">
        <v>716</v>
      </c>
      <c r="N634" s="23" t="s">
        <v>854</v>
      </c>
      <c r="O634" s="23">
        <v>17</v>
      </c>
      <c r="R634" s="23"/>
      <c r="S634" s="23"/>
      <c r="T634" s="7">
        <v>3240</v>
      </c>
      <c r="U634" s="7" t="s">
        <v>1545</v>
      </c>
      <c r="V634" s="7">
        <v>3164</v>
      </c>
      <c r="W634" s="7" t="s">
        <v>1538</v>
      </c>
      <c r="X634" s="17"/>
      <c r="Y634" s="17"/>
      <c r="Z634" s="17"/>
      <c r="AA634" s="17"/>
      <c r="AB634" s="7" t="s">
        <v>1086</v>
      </c>
      <c r="AC634" s="8" t="s">
        <v>726</v>
      </c>
      <c r="AD634" s="8" t="s">
        <v>726</v>
      </c>
      <c r="AE634" s="8" t="s">
        <v>726</v>
      </c>
      <c r="AF634" s="8"/>
      <c r="AG634" s="8"/>
      <c r="AH634" s="8" t="s">
        <v>726</v>
      </c>
      <c r="AI634" s="8" t="s">
        <v>726</v>
      </c>
      <c r="AJ634" s="8"/>
      <c r="AK634" s="8" t="s">
        <v>726</v>
      </c>
      <c r="AL634" s="8"/>
      <c r="AM634" s="8"/>
      <c r="AN634" s="8"/>
      <c r="AO634" s="8"/>
      <c r="AP634" s="8"/>
      <c r="AQ634" s="8"/>
      <c r="AR634" s="8"/>
      <c r="AS634" s="8"/>
      <c r="AT634" s="8"/>
      <c r="AU634" s="8"/>
      <c r="AV634" s="8"/>
      <c r="AX634" s="142">
        <v>28</v>
      </c>
    </row>
    <row r="635" spans="1:50" ht="38.25">
      <c r="B635" s="27">
        <v>623</v>
      </c>
      <c r="C635" s="31">
        <v>314</v>
      </c>
      <c r="D635" s="31">
        <v>613</v>
      </c>
      <c r="E635" s="32">
        <v>0.3923611111111111</v>
      </c>
      <c r="F635" s="32">
        <v>0.40902777777777777</v>
      </c>
      <c r="G635" s="40" t="s">
        <v>357</v>
      </c>
      <c r="H635" s="31" t="s">
        <v>622</v>
      </c>
      <c r="I635" s="33">
        <v>15</v>
      </c>
      <c r="J635" s="34" t="s">
        <v>93</v>
      </c>
      <c r="K635" s="35">
        <v>156</v>
      </c>
      <c r="L635" s="36">
        <f>+K635*I635</f>
        <v>2340</v>
      </c>
      <c r="M635" s="37" t="s">
        <v>716</v>
      </c>
      <c r="N635" s="23" t="s">
        <v>854</v>
      </c>
      <c r="O635" s="23">
        <v>17</v>
      </c>
      <c r="R635" s="23"/>
      <c r="S635" s="23"/>
      <c r="T635" s="7">
        <v>3164</v>
      </c>
      <c r="U635" s="7" t="s">
        <v>1538</v>
      </c>
      <c r="V635" s="7">
        <v>3231</v>
      </c>
      <c r="W635" s="7" t="s">
        <v>1549</v>
      </c>
      <c r="X635" s="17"/>
      <c r="Y635" s="17"/>
      <c r="Z635" s="17"/>
      <c r="AA635" s="17"/>
      <c r="AB635" s="7" t="s">
        <v>1086</v>
      </c>
      <c r="AC635" s="8" t="s">
        <v>726</v>
      </c>
      <c r="AD635" s="8" t="s">
        <v>726</v>
      </c>
      <c r="AE635" s="8" t="s">
        <v>726</v>
      </c>
      <c r="AF635" s="8"/>
      <c r="AG635" s="8"/>
      <c r="AH635" s="8" t="s">
        <v>726</v>
      </c>
      <c r="AI635" s="8" t="s">
        <v>726</v>
      </c>
      <c r="AJ635" s="8"/>
      <c r="AK635" s="8" t="s">
        <v>726</v>
      </c>
      <c r="AL635" s="8"/>
      <c r="AM635" s="8"/>
      <c r="AN635" s="8"/>
      <c r="AO635" s="8"/>
      <c r="AP635" s="8"/>
      <c r="AQ635" s="8"/>
      <c r="AR635" s="8"/>
      <c r="AS635" s="8"/>
      <c r="AT635" s="8"/>
      <c r="AU635" s="8"/>
      <c r="AV635" s="8"/>
      <c r="AX635" s="142">
        <v>35</v>
      </c>
    </row>
    <row r="636" spans="1:50" ht="38.25">
      <c r="B636" s="27">
        <v>624</v>
      </c>
      <c r="C636" s="31">
        <v>314</v>
      </c>
      <c r="D636" s="31">
        <v>612</v>
      </c>
      <c r="E636" s="32">
        <v>0.40902777777777777</v>
      </c>
      <c r="F636" s="32">
        <v>0.42569444444444443</v>
      </c>
      <c r="G636" s="40" t="s">
        <v>356</v>
      </c>
      <c r="H636" s="31" t="s">
        <v>622</v>
      </c>
      <c r="I636" s="33">
        <v>15</v>
      </c>
      <c r="J636" s="34" t="s">
        <v>93</v>
      </c>
      <c r="K636" s="35">
        <v>156</v>
      </c>
      <c r="L636" s="36">
        <f>+K636*I636</f>
        <v>2340</v>
      </c>
      <c r="M636" s="37" t="s">
        <v>716</v>
      </c>
      <c r="N636" s="23" t="s">
        <v>854</v>
      </c>
      <c r="O636" s="23">
        <v>17</v>
      </c>
      <c r="R636" s="23"/>
      <c r="S636" s="23"/>
      <c r="T636" s="7">
        <v>3231</v>
      </c>
      <c r="U636" s="7" t="s">
        <v>1549</v>
      </c>
      <c r="V636" s="7">
        <v>3164</v>
      </c>
      <c r="W636" s="7" t="s">
        <v>1538</v>
      </c>
      <c r="X636" s="17"/>
      <c r="Y636" s="17"/>
      <c r="Z636" s="17"/>
      <c r="AA636" s="17"/>
      <c r="AB636" s="7" t="s">
        <v>1086</v>
      </c>
      <c r="AC636" s="8" t="s">
        <v>726</v>
      </c>
      <c r="AD636" s="8" t="s">
        <v>726</v>
      </c>
      <c r="AE636" s="8" t="s">
        <v>726</v>
      </c>
      <c r="AF636" s="8"/>
      <c r="AG636" s="8"/>
      <c r="AH636" s="8" t="s">
        <v>726</v>
      </c>
      <c r="AI636" s="8" t="s">
        <v>726</v>
      </c>
      <c r="AJ636" s="8"/>
      <c r="AK636" s="8" t="s">
        <v>726</v>
      </c>
      <c r="AL636" s="8"/>
      <c r="AM636" s="8"/>
      <c r="AN636" s="8"/>
      <c r="AO636" s="8"/>
      <c r="AP636" s="8"/>
      <c r="AQ636" s="8"/>
      <c r="AR636" s="8"/>
      <c r="AS636" s="8"/>
      <c r="AT636" s="8"/>
      <c r="AU636" s="8"/>
      <c r="AV636" s="8"/>
      <c r="AX636" s="142">
        <v>35</v>
      </c>
    </row>
    <row r="637" spans="1:50" ht="38.25">
      <c r="B637" s="27">
        <v>625</v>
      </c>
      <c r="C637" s="31">
        <v>314</v>
      </c>
      <c r="D637" s="31">
        <v>610</v>
      </c>
      <c r="E637" s="32">
        <v>0.4375</v>
      </c>
      <c r="F637" s="32">
        <v>0.45277777777777778</v>
      </c>
      <c r="G637" s="40" t="s">
        <v>359</v>
      </c>
      <c r="H637" s="31" t="s">
        <v>622</v>
      </c>
      <c r="I637" s="33">
        <v>12</v>
      </c>
      <c r="J637" s="34" t="s">
        <v>93</v>
      </c>
      <c r="K637" s="35">
        <v>156</v>
      </c>
      <c r="L637" s="36">
        <f>+K637*I637</f>
        <v>1872</v>
      </c>
      <c r="M637" s="37" t="s">
        <v>716</v>
      </c>
      <c r="N637" s="23" t="s">
        <v>854</v>
      </c>
      <c r="O637" s="23">
        <v>17</v>
      </c>
      <c r="R637" s="23"/>
      <c r="S637" s="23"/>
      <c r="T637" s="7">
        <v>3164</v>
      </c>
      <c r="U637" s="7" t="s">
        <v>1538</v>
      </c>
      <c r="V637" s="7">
        <v>3240</v>
      </c>
      <c r="W637" s="7" t="s">
        <v>1545</v>
      </c>
      <c r="X637" s="17"/>
      <c r="Y637" s="17"/>
      <c r="Z637" s="17"/>
      <c r="AA637" s="17"/>
      <c r="AB637" s="7" t="s">
        <v>1086</v>
      </c>
      <c r="AC637" s="8" t="s">
        <v>726</v>
      </c>
      <c r="AD637" s="8" t="s">
        <v>726</v>
      </c>
      <c r="AE637" s="8" t="s">
        <v>726</v>
      </c>
      <c r="AF637" s="8"/>
      <c r="AG637" s="8"/>
      <c r="AH637" s="8" t="s">
        <v>726</v>
      </c>
      <c r="AI637" s="8" t="s">
        <v>726</v>
      </c>
      <c r="AJ637" s="8"/>
      <c r="AK637" s="8" t="s">
        <v>726</v>
      </c>
      <c r="AL637" s="8"/>
      <c r="AM637" s="8"/>
      <c r="AN637" s="8"/>
      <c r="AO637" s="8"/>
      <c r="AP637" s="8"/>
      <c r="AQ637" s="8"/>
      <c r="AR637" s="8"/>
      <c r="AS637" s="8"/>
      <c r="AT637" s="8"/>
      <c r="AU637" s="8"/>
      <c r="AV637" s="8"/>
      <c r="AX637" s="142">
        <v>28</v>
      </c>
    </row>
    <row r="638" spans="1:50" ht="38.25">
      <c r="B638" s="27">
        <v>626</v>
      </c>
      <c r="C638" s="31">
        <v>314</v>
      </c>
      <c r="D638" s="31">
        <v>611</v>
      </c>
      <c r="E638" s="32">
        <v>0.45277777777777778</v>
      </c>
      <c r="F638" s="32">
        <v>0.46736111111111112</v>
      </c>
      <c r="G638" s="40" t="s">
        <v>358</v>
      </c>
      <c r="H638" s="31" t="s">
        <v>622</v>
      </c>
      <c r="I638" s="33">
        <v>12</v>
      </c>
      <c r="J638" s="34" t="s">
        <v>93</v>
      </c>
      <c r="K638" s="35">
        <v>156</v>
      </c>
      <c r="L638" s="36">
        <f>+K638*I638</f>
        <v>1872</v>
      </c>
      <c r="M638" s="37" t="s">
        <v>716</v>
      </c>
      <c r="N638" s="23" t="s">
        <v>854</v>
      </c>
      <c r="O638" s="23">
        <v>17</v>
      </c>
      <c r="R638" s="23"/>
      <c r="S638" s="23"/>
      <c r="T638" s="7">
        <v>3240</v>
      </c>
      <c r="U638" s="7" t="s">
        <v>1545</v>
      </c>
      <c r="V638" s="7">
        <v>3164</v>
      </c>
      <c r="W638" s="7" t="s">
        <v>1538</v>
      </c>
      <c r="X638" s="17"/>
      <c r="Y638" s="17"/>
      <c r="Z638" s="17"/>
      <c r="AA638" s="17"/>
      <c r="AB638" s="7" t="s">
        <v>1086</v>
      </c>
      <c r="AC638" s="8" t="s">
        <v>726</v>
      </c>
      <c r="AD638" s="8" t="s">
        <v>726</v>
      </c>
      <c r="AE638" s="8" t="s">
        <v>726</v>
      </c>
      <c r="AF638" s="8"/>
      <c r="AG638" s="8"/>
      <c r="AH638" s="8" t="s">
        <v>726</v>
      </c>
      <c r="AI638" s="8" t="s">
        <v>726</v>
      </c>
      <c r="AJ638" s="8"/>
      <c r="AK638" s="8" t="s">
        <v>726</v>
      </c>
      <c r="AL638" s="8"/>
      <c r="AM638" s="8"/>
      <c r="AN638" s="8"/>
      <c r="AO638" s="8"/>
      <c r="AP638" s="8"/>
      <c r="AQ638" s="8"/>
      <c r="AR638" s="8"/>
      <c r="AS638" s="8"/>
      <c r="AT638" s="8"/>
      <c r="AU638" s="8"/>
      <c r="AV638" s="8"/>
      <c r="AX638" s="142">
        <v>28</v>
      </c>
    </row>
    <row r="639" spans="1:50" ht="38.25">
      <c r="B639" s="27">
        <v>627</v>
      </c>
      <c r="C639" s="31">
        <v>314</v>
      </c>
      <c r="D639" s="31">
        <v>615</v>
      </c>
      <c r="E639" s="32">
        <v>0.47916666666666669</v>
      </c>
      <c r="F639" s="32">
        <v>0.49583333333333335</v>
      </c>
      <c r="G639" s="40" t="s">
        <v>357</v>
      </c>
      <c r="H639" s="31" t="s">
        <v>622</v>
      </c>
      <c r="I639" s="33">
        <v>15</v>
      </c>
      <c r="J639" s="34" t="s">
        <v>93</v>
      </c>
      <c r="K639" s="35">
        <v>156</v>
      </c>
      <c r="L639" s="36">
        <f>+K639*I639</f>
        <v>2340</v>
      </c>
      <c r="M639" s="37" t="s">
        <v>716</v>
      </c>
      <c r="N639" s="23" t="s">
        <v>854</v>
      </c>
      <c r="O639" s="23">
        <v>17</v>
      </c>
      <c r="R639" s="23"/>
      <c r="S639" s="23"/>
      <c r="T639" s="7">
        <v>3164</v>
      </c>
      <c r="U639" s="7" t="s">
        <v>1538</v>
      </c>
      <c r="V639" s="7">
        <v>3231</v>
      </c>
      <c r="W639" s="7" t="s">
        <v>1549</v>
      </c>
      <c r="X639" s="17"/>
      <c r="Y639" s="17"/>
      <c r="Z639" s="17"/>
      <c r="AA639" s="17"/>
      <c r="AB639" s="7" t="s">
        <v>1086</v>
      </c>
      <c r="AC639" s="8" t="s">
        <v>726</v>
      </c>
      <c r="AD639" s="8" t="s">
        <v>726</v>
      </c>
      <c r="AE639" s="8" t="s">
        <v>726</v>
      </c>
      <c r="AF639" s="8"/>
      <c r="AG639" s="8"/>
      <c r="AH639" s="8" t="s">
        <v>726</v>
      </c>
      <c r="AI639" s="8" t="s">
        <v>726</v>
      </c>
      <c r="AJ639" s="8"/>
      <c r="AK639" s="8" t="s">
        <v>726</v>
      </c>
      <c r="AL639" s="8"/>
      <c r="AM639" s="8"/>
      <c r="AN639" s="8"/>
      <c r="AO639" s="8"/>
      <c r="AP639" s="8"/>
      <c r="AQ639" s="8"/>
      <c r="AR639" s="8"/>
      <c r="AS639" s="8"/>
      <c r="AT639" s="8"/>
      <c r="AU639" s="8"/>
      <c r="AV639" s="8"/>
      <c r="AX639" s="142">
        <v>35</v>
      </c>
    </row>
    <row r="640" spans="1:50" ht="38.25">
      <c r="B640" s="27">
        <v>628</v>
      </c>
      <c r="C640" s="31">
        <v>314</v>
      </c>
      <c r="D640" s="31">
        <v>614</v>
      </c>
      <c r="E640" s="32">
        <v>0.49583333333333335</v>
      </c>
      <c r="F640" s="32">
        <v>0.51249999999999996</v>
      </c>
      <c r="G640" s="40" t="s">
        <v>356</v>
      </c>
      <c r="H640" s="31" t="s">
        <v>622</v>
      </c>
      <c r="I640" s="33">
        <v>15</v>
      </c>
      <c r="J640" s="34" t="s">
        <v>93</v>
      </c>
      <c r="K640" s="35">
        <v>156</v>
      </c>
      <c r="L640" s="36">
        <f>+K640*I640</f>
        <v>2340</v>
      </c>
      <c r="M640" s="37" t="s">
        <v>716</v>
      </c>
      <c r="N640" s="23" t="s">
        <v>854</v>
      </c>
      <c r="O640" s="23">
        <v>17</v>
      </c>
      <c r="R640" s="23"/>
      <c r="S640" s="23"/>
      <c r="T640" s="7">
        <v>3231</v>
      </c>
      <c r="U640" s="7" t="s">
        <v>1549</v>
      </c>
      <c r="V640" s="7">
        <v>3164</v>
      </c>
      <c r="W640" s="7" t="s">
        <v>1538</v>
      </c>
      <c r="X640" s="17"/>
      <c r="Y640" s="17"/>
      <c r="Z640" s="17"/>
      <c r="AA640" s="17"/>
      <c r="AB640" s="7" t="s">
        <v>1086</v>
      </c>
      <c r="AC640" s="8" t="s">
        <v>726</v>
      </c>
      <c r="AD640" s="8" t="s">
        <v>726</v>
      </c>
      <c r="AE640" s="8" t="s">
        <v>726</v>
      </c>
      <c r="AF640" s="8"/>
      <c r="AG640" s="8"/>
      <c r="AH640" s="8" t="s">
        <v>726</v>
      </c>
      <c r="AI640" s="8" t="s">
        <v>726</v>
      </c>
      <c r="AJ640" s="8"/>
      <c r="AK640" s="8" t="s">
        <v>726</v>
      </c>
      <c r="AL640" s="8"/>
      <c r="AM640" s="8"/>
      <c r="AN640" s="8"/>
      <c r="AO640" s="8"/>
      <c r="AP640" s="8"/>
      <c r="AQ640" s="8"/>
      <c r="AR640" s="8"/>
      <c r="AS640" s="8"/>
      <c r="AT640" s="8"/>
      <c r="AU640" s="8"/>
      <c r="AV640" s="8"/>
      <c r="AX640" s="142">
        <v>35</v>
      </c>
    </row>
    <row r="641" spans="1:50" ht="25.5">
      <c r="B641" s="27">
        <v>629</v>
      </c>
      <c r="C641" s="31">
        <v>315</v>
      </c>
      <c r="D641" s="31">
        <v>99</v>
      </c>
      <c r="E641" s="32">
        <v>0.27430555555555552</v>
      </c>
      <c r="F641" s="32">
        <v>0.30416666666666664</v>
      </c>
      <c r="G641" s="31" t="s">
        <v>132</v>
      </c>
      <c r="H641" s="31" t="s">
        <v>546</v>
      </c>
      <c r="I641" s="33">
        <v>20</v>
      </c>
      <c r="J641" s="34" t="s">
        <v>93</v>
      </c>
      <c r="K641" s="35">
        <v>13</v>
      </c>
      <c r="L641" s="36">
        <f>+K641*I641</f>
        <v>260</v>
      </c>
      <c r="M641" s="37" t="s">
        <v>755</v>
      </c>
      <c r="N641" s="23" t="s">
        <v>914</v>
      </c>
      <c r="O641" s="23">
        <v>20</v>
      </c>
      <c r="P641" s="2" t="s">
        <v>1019</v>
      </c>
      <c r="Q641" s="2">
        <v>23</v>
      </c>
      <c r="R641" s="23" t="s">
        <v>1836</v>
      </c>
      <c r="S641" s="24">
        <v>33</v>
      </c>
      <c r="T641" s="7" t="s">
        <v>1550</v>
      </c>
      <c r="U641" s="7" t="s">
        <v>1551</v>
      </c>
      <c r="V641" s="7" t="s">
        <v>1494</v>
      </c>
      <c r="W641" s="7" t="s">
        <v>1493</v>
      </c>
      <c r="X641" s="17"/>
      <c r="Y641" s="18"/>
      <c r="Z641" s="18"/>
      <c r="AA641" s="18"/>
      <c r="AB641" s="7" t="s">
        <v>1044</v>
      </c>
      <c r="AC641" s="8"/>
      <c r="AD641" s="8" t="s">
        <v>726</v>
      </c>
      <c r="AE641" s="8"/>
      <c r="AF641" s="8"/>
      <c r="AG641" s="8"/>
      <c r="AH641" s="8"/>
      <c r="AI641" s="8"/>
      <c r="AJ641" s="8"/>
      <c r="AK641" s="8"/>
      <c r="AL641" s="8"/>
      <c r="AM641" s="8" t="s">
        <v>726</v>
      </c>
      <c r="AN641" s="8"/>
      <c r="AO641" s="8"/>
      <c r="AP641" s="8"/>
      <c r="AQ641" s="8"/>
      <c r="AR641" s="8"/>
      <c r="AS641" s="8"/>
      <c r="AT641" s="8"/>
      <c r="AU641" s="8"/>
      <c r="AV641" s="8"/>
      <c r="AX641" s="142">
        <v>63.39</v>
      </c>
    </row>
    <row r="642" spans="1:50" ht="51">
      <c r="B642" s="27">
        <v>630</v>
      </c>
      <c r="C642" s="31">
        <v>315</v>
      </c>
      <c r="D642" s="31">
        <v>333</v>
      </c>
      <c r="E642" s="42">
        <v>0.28680555555555554</v>
      </c>
      <c r="F642" s="42">
        <v>0.29375000000000001</v>
      </c>
      <c r="G642" s="31" t="s">
        <v>333</v>
      </c>
      <c r="H642" s="31" t="s">
        <v>97</v>
      </c>
      <c r="I642" s="33">
        <v>13</v>
      </c>
      <c r="J642" s="34" t="s">
        <v>331</v>
      </c>
      <c r="K642" s="35">
        <v>208</v>
      </c>
      <c r="L642" s="36">
        <f>+K642*I642</f>
        <v>2704</v>
      </c>
      <c r="M642" s="37" t="s">
        <v>755</v>
      </c>
      <c r="N642" s="23" t="s">
        <v>914</v>
      </c>
      <c r="O642" s="23">
        <v>20</v>
      </c>
      <c r="P642" s="23" t="s">
        <v>1809</v>
      </c>
      <c r="Q642" s="23">
        <v>31</v>
      </c>
      <c r="R642" s="23" t="s">
        <v>1180</v>
      </c>
      <c r="S642" s="24">
        <v>29</v>
      </c>
      <c r="T642" s="7">
        <v>3213</v>
      </c>
      <c r="U642" s="7" t="s">
        <v>1552</v>
      </c>
      <c r="V642" s="7">
        <v>3209</v>
      </c>
      <c r="W642" s="7" t="s">
        <v>1553</v>
      </c>
      <c r="X642" s="18"/>
      <c r="Y642" s="17"/>
      <c r="Z642" s="17"/>
      <c r="AA642" s="17"/>
      <c r="AB642" s="7" t="s">
        <v>1046</v>
      </c>
      <c r="AC642" s="8"/>
      <c r="AD642" s="8"/>
      <c r="AE642" s="8"/>
      <c r="AF642" s="8" t="s">
        <v>726</v>
      </c>
      <c r="AG642" s="8" t="s">
        <v>726</v>
      </c>
      <c r="AH642" s="8" t="s">
        <v>726</v>
      </c>
      <c r="AI642" s="8" t="s">
        <v>726</v>
      </c>
      <c r="AJ642" s="8" t="s">
        <v>726</v>
      </c>
      <c r="AK642" s="8" t="s">
        <v>726</v>
      </c>
      <c r="AL642" s="8" t="s">
        <v>726</v>
      </c>
      <c r="AM642" s="8"/>
      <c r="AN642" s="8"/>
      <c r="AO642" s="8"/>
      <c r="AP642" s="8"/>
      <c r="AQ642" s="8"/>
      <c r="AR642" s="8"/>
      <c r="AS642" s="8"/>
      <c r="AT642" s="8"/>
      <c r="AU642" s="8"/>
      <c r="AV642" s="8"/>
      <c r="AX642" s="142">
        <v>61.25</v>
      </c>
    </row>
    <row r="643" spans="1:50" ht="33.75">
      <c r="B643" s="27">
        <v>631</v>
      </c>
      <c r="C643" s="31">
        <v>315</v>
      </c>
      <c r="D643" s="31">
        <v>951</v>
      </c>
      <c r="E643" s="32">
        <v>0.375</v>
      </c>
      <c r="F643" s="42">
        <v>0.40138888888888885</v>
      </c>
      <c r="G643" s="31" t="s">
        <v>329</v>
      </c>
      <c r="H643" s="31" t="s">
        <v>330</v>
      </c>
      <c r="I643" s="33">
        <v>20</v>
      </c>
      <c r="J643" s="34" t="s">
        <v>93</v>
      </c>
      <c r="K643" s="35">
        <f>41+39</f>
        <v>80</v>
      </c>
      <c r="L643" s="36">
        <f>+K643*I643</f>
        <v>1600</v>
      </c>
      <c r="M643" s="37" t="s">
        <v>755</v>
      </c>
      <c r="N643" s="79" t="s">
        <v>914</v>
      </c>
      <c r="O643" s="79">
        <v>20</v>
      </c>
      <c r="P643" s="79" t="s">
        <v>1809</v>
      </c>
      <c r="Q643" s="79">
        <v>31</v>
      </c>
      <c r="R643" s="23" t="s">
        <v>1180</v>
      </c>
      <c r="S643" s="24">
        <v>29</v>
      </c>
      <c r="T643" s="7">
        <v>3210</v>
      </c>
      <c r="U643" s="7" t="s">
        <v>1554</v>
      </c>
      <c r="V643" s="7" t="s">
        <v>1494</v>
      </c>
      <c r="W643" s="7" t="s">
        <v>1493</v>
      </c>
      <c r="X643" s="18"/>
      <c r="Y643" s="17"/>
      <c r="Z643" s="18"/>
      <c r="AA643" s="18"/>
      <c r="AB643" s="7" t="s">
        <v>1087</v>
      </c>
      <c r="AC643" s="8" t="s">
        <v>726</v>
      </c>
      <c r="AD643" s="8"/>
      <c r="AE643" s="8" t="s">
        <v>726</v>
      </c>
      <c r="AF643" s="8"/>
      <c r="AG643" s="8"/>
      <c r="AH643" s="8" t="s">
        <v>726</v>
      </c>
      <c r="AI643" s="8"/>
      <c r="AJ643" s="8" t="s">
        <v>726</v>
      </c>
      <c r="AK643" s="8"/>
      <c r="AL643" s="8"/>
      <c r="AM643" s="8"/>
      <c r="AN643" s="8"/>
      <c r="AO643" s="8"/>
      <c r="AP643" s="8"/>
      <c r="AQ643" s="8"/>
      <c r="AR643" s="8"/>
      <c r="AS643" s="8"/>
      <c r="AT643" s="8"/>
      <c r="AU643" s="8"/>
      <c r="AV643" s="8"/>
      <c r="AX643" s="142">
        <v>40</v>
      </c>
    </row>
    <row r="644" spans="1:50" ht="33.75">
      <c r="B644" s="27">
        <v>632</v>
      </c>
      <c r="C644" s="31">
        <v>315</v>
      </c>
      <c r="D644" s="31">
        <v>951</v>
      </c>
      <c r="E644" s="32">
        <v>0.375</v>
      </c>
      <c r="F644" s="32">
        <v>0.40138888888888885</v>
      </c>
      <c r="G644" s="31" t="s">
        <v>329</v>
      </c>
      <c r="H644" s="31" t="s">
        <v>456</v>
      </c>
      <c r="I644" s="33">
        <v>20</v>
      </c>
      <c r="J644" s="34" t="s">
        <v>234</v>
      </c>
      <c r="K644" s="35">
        <v>11</v>
      </c>
      <c r="L644" s="36">
        <f>+K644*I644</f>
        <v>220</v>
      </c>
      <c r="M644" s="37" t="s">
        <v>755</v>
      </c>
      <c r="N644" s="79" t="s">
        <v>914</v>
      </c>
      <c r="O644" s="79">
        <v>20</v>
      </c>
      <c r="P644" s="79" t="s">
        <v>1809</v>
      </c>
      <c r="Q644" s="79">
        <v>31</v>
      </c>
      <c r="R644" s="23" t="s">
        <v>1180</v>
      </c>
      <c r="S644" s="24">
        <v>29</v>
      </c>
      <c r="T644" s="7">
        <v>3210</v>
      </c>
      <c r="U644" s="7" t="s">
        <v>1554</v>
      </c>
      <c r="V644" s="7" t="s">
        <v>1494</v>
      </c>
      <c r="W644" s="7" t="s">
        <v>1493</v>
      </c>
      <c r="X644" s="17"/>
      <c r="Y644" s="18"/>
      <c r="Z644" s="18"/>
      <c r="AA644" s="18"/>
      <c r="AB644" s="7" t="s">
        <v>1082</v>
      </c>
      <c r="AC644" s="8"/>
      <c r="AD644" s="8" t="s">
        <v>726</v>
      </c>
      <c r="AE644" s="8" t="s">
        <v>726</v>
      </c>
      <c r="AF644" s="8"/>
      <c r="AG644" s="8"/>
      <c r="AH644" s="8" t="s">
        <v>726</v>
      </c>
      <c r="AI644" s="8"/>
      <c r="AJ644" s="8"/>
      <c r="AK644" s="8"/>
      <c r="AL644" s="8"/>
      <c r="AM644" s="8"/>
      <c r="AN644" s="8"/>
      <c r="AO644" s="8"/>
      <c r="AP644" s="8"/>
      <c r="AQ644" s="8"/>
      <c r="AR644" s="8"/>
      <c r="AS644" s="8"/>
      <c r="AT644" s="8"/>
      <c r="AU644" s="8"/>
      <c r="AV644" s="8"/>
      <c r="AX644" s="142">
        <v>60</v>
      </c>
    </row>
    <row r="645" spans="1:50" ht="25.5">
      <c r="B645" s="27">
        <v>633</v>
      </c>
      <c r="C645" s="31">
        <v>315</v>
      </c>
      <c r="D645" s="31">
        <v>94</v>
      </c>
      <c r="E645" s="32">
        <v>0.4236111111111111</v>
      </c>
      <c r="F645" s="42">
        <v>0.46180555555555558</v>
      </c>
      <c r="G645" s="31" t="s">
        <v>131</v>
      </c>
      <c r="H645" s="31" t="s">
        <v>546</v>
      </c>
      <c r="I645" s="33">
        <v>25</v>
      </c>
      <c r="J645" s="34" t="s">
        <v>93</v>
      </c>
      <c r="K645" s="35">
        <v>13</v>
      </c>
      <c r="L645" s="36">
        <f>+K645*I645</f>
        <v>325</v>
      </c>
      <c r="M645" s="37" t="s">
        <v>755</v>
      </c>
      <c r="N645" s="23" t="s">
        <v>914</v>
      </c>
      <c r="O645" s="23">
        <v>20</v>
      </c>
      <c r="P645" s="2" t="s">
        <v>1019</v>
      </c>
      <c r="Q645" s="2">
        <v>23</v>
      </c>
      <c r="S645" s="23"/>
      <c r="T645" s="7" t="s">
        <v>1492</v>
      </c>
      <c r="U645" s="7" t="s">
        <v>1493</v>
      </c>
      <c r="V645" s="7" t="s">
        <v>1555</v>
      </c>
      <c r="W645" s="7" t="s">
        <v>1556</v>
      </c>
      <c r="X645" s="17"/>
      <c r="Y645" s="18"/>
      <c r="Z645" s="18"/>
      <c r="AA645" s="18"/>
      <c r="AB645" s="7" t="s">
        <v>1044</v>
      </c>
      <c r="AC645" s="8"/>
      <c r="AD645" s="8" t="s">
        <v>726</v>
      </c>
      <c r="AE645" s="8"/>
      <c r="AF645" s="8"/>
      <c r="AG645" s="8"/>
      <c r="AH645" s="8"/>
      <c r="AI645" s="8"/>
      <c r="AJ645" s="8"/>
      <c r="AK645" s="8"/>
      <c r="AL645" s="8"/>
      <c r="AM645" s="8" t="s">
        <v>726</v>
      </c>
      <c r="AN645" s="8"/>
      <c r="AO645" s="8"/>
      <c r="AP645" s="8"/>
      <c r="AQ645" s="8"/>
      <c r="AR645" s="8"/>
      <c r="AS645" s="8"/>
      <c r="AT645" s="8"/>
      <c r="AU645" s="8"/>
      <c r="AV645" s="8"/>
      <c r="AX645" s="142">
        <v>63.39</v>
      </c>
    </row>
    <row r="646" spans="1:50" ht="33.75">
      <c r="B646" s="27">
        <v>634</v>
      </c>
      <c r="C646" s="31">
        <v>315</v>
      </c>
      <c r="D646" s="31">
        <v>952</v>
      </c>
      <c r="E646" s="32">
        <v>0.47916666666666669</v>
      </c>
      <c r="F646" s="32">
        <v>0.50555555555555554</v>
      </c>
      <c r="G646" s="31" t="s">
        <v>328</v>
      </c>
      <c r="H646" s="31" t="s">
        <v>330</v>
      </c>
      <c r="I646" s="33">
        <v>20</v>
      </c>
      <c r="J646" s="34" t="s">
        <v>93</v>
      </c>
      <c r="K646" s="35">
        <v>80</v>
      </c>
      <c r="L646" s="36">
        <f>+K646*I646</f>
        <v>1600</v>
      </c>
      <c r="M646" s="37" t="s">
        <v>755</v>
      </c>
      <c r="N646" s="79" t="s">
        <v>914</v>
      </c>
      <c r="O646" s="79">
        <v>20</v>
      </c>
      <c r="P646" s="79" t="s">
        <v>1809</v>
      </c>
      <c r="Q646" s="79">
        <v>31</v>
      </c>
      <c r="R646" s="23" t="s">
        <v>1180</v>
      </c>
      <c r="S646" s="24">
        <v>29</v>
      </c>
      <c r="T646" s="7" t="s">
        <v>1492</v>
      </c>
      <c r="U646" s="7" t="s">
        <v>1493</v>
      </c>
      <c r="V646" s="7">
        <v>3210</v>
      </c>
      <c r="W646" s="7" t="s">
        <v>1554</v>
      </c>
      <c r="X646" s="18"/>
      <c r="Y646" s="17"/>
      <c r="Z646" s="18"/>
      <c r="AA646" s="18"/>
      <c r="AB646" s="7" t="s">
        <v>1087</v>
      </c>
      <c r="AC646" s="8" t="s">
        <v>726</v>
      </c>
      <c r="AD646" s="8"/>
      <c r="AE646" s="8" t="s">
        <v>726</v>
      </c>
      <c r="AF646" s="8"/>
      <c r="AG646" s="8"/>
      <c r="AH646" s="8" t="s">
        <v>726</v>
      </c>
      <c r="AI646" s="8"/>
      <c r="AJ646" s="8" t="s">
        <v>726</v>
      </c>
      <c r="AK646" s="8"/>
      <c r="AL646" s="8"/>
      <c r="AM646" s="8"/>
      <c r="AN646" s="8"/>
      <c r="AO646" s="8"/>
      <c r="AP646" s="8"/>
      <c r="AQ646" s="8"/>
      <c r="AR646" s="8"/>
      <c r="AS646" s="8"/>
      <c r="AT646" s="8"/>
      <c r="AU646" s="8"/>
      <c r="AV646" s="8"/>
      <c r="AX646" s="142">
        <v>40</v>
      </c>
    </row>
    <row r="647" spans="1:50" ht="33.75">
      <c r="B647" s="27">
        <v>635</v>
      </c>
      <c r="C647" s="31">
        <v>315</v>
      </c>
      <c r="D647" s="31">
        <v>952</v>
      </c>
      <c r="E647" s="32">
        <v>0.47916666666666669</v>
      </c>
      <c r="F647" s="32">
        <v>0.50555555555555554</v>
      </c>
      <c r="G647" s="31" t="s">
        <v>328</v>
      </c>
      <c r="H647" s="31" t="s">
        <v>456</v>
      </c>
      <c r="I647" s="33">
        <v>20</v>
      </c>
      <c r="J647" s="34" t="s">
        <v>234</v>
      </c>
      <c r="K647" s="35">
        <v>11</v>
      </c>
      <c r="L647" s="36">
        <f>+K647*I647</f>
        <v>220</v>
      </c>
      <c r="M647" s="37" t="s">
        <v>755</v>
      </c>
      <c r="N647" s="79" t="s">
        <v>914</v>
      </c>
      <c r="O647" s="79">
        <v>20</v>
      </c>
      <c r="P647" s="79" t="s">
        <v>1809</v>
      </c>
      <c r="Q647" s="79">
        <v>31</v>
      </c>
      <c r="R647" s="23" t="s">
        <v>1180</v>
      </c>
      <c r="S647" s="24">
        <v>29</v>
      </c>
      <c r="T647" s="7" t="s">
        <v>1492</v>
      </c>
      <c r="U647" s="7" t="s">
        <v>1493</v>
      </c>
      <c r="V647" s="7">
        <v>3210</v>
      </c>
      <c r="W647" s="7" t="s">
        <v>1554</v>
      </c>
      <c r="X647" s="17"/>
      <c r="Y647" s="18"/>
      <c r="Z647" s="18"/>
      <c r="AA647" s="18"/>
      <c r="AB647" s="7" t="s">
        <v>1082</v>
      </c>
      <c r="AC647" s="8"/>
      <c r="AD647" s="8" t="s">
        <v>726</v>
      </c>
      <c r="AE647" s="8" t="s">
        <v>726</v>
      </c>
      <c r="AF647" s="8"/>
      <c r="AG647" s="8"/>
      <c r="AH647" s="8" t="s">
        <v>726</v>
      </c>
      <c r="AI647" s="8"/>
      <c r="AJ647" s="8"/>
      <c r="AK647" s="8"/>
      <c r="AL647" s="8"/>
      <c r="AM647" s="8"/>
      <c r="AN647" s="8"/>
      <c r="AO647" s="8"/>
      <c r="AP647" s="8"/>
      <c r="AQ647" s="8"/>
      <c r="AR647" s="8"/>
      <c r="AS647" s="8"/>
      <c r="AT647" s="8"/>
      <c r="AU647" s="8"/>
      <c r="AV647" s="8"/>
      <c r="AX647" s="142">
        <v>60</v>
      </c>
    </row>
    <row r="648" spans="1:50" ht="33.75">
      <c r="B648" s="27">
        <v>636</v>
      </c>
      <c r="C648" s="31">
        <v>315</v>
      </c>
      <c r="D648" s="31">
        <v>335</v>
      </c>
      <c r="E648" s="32">
        <v>0.58333333333333337</v>
      </c>
      <c r="F648" s="32">
        <v>0.60555555555555551</v>
      </c>
      <c r="G648" s="31" t="s">
        <v>332</v>
      </c>
      <c r="H648" s="31" t="s">
        <v>97</v>
      </c>
      <c r="I648" s="33">
        <v>7</v>
      </c>
      <c r="J648" s="34" t="s">
        <v>331</v>
      </c>
      <c r="K648" s="35">
        <v>208</v>
      </c>
      <c r="L648" s="36">
        <f>+K648*I648</f>
        <v>1456</v>
      </c>
      <c r="M648" s="37" t="s">
        <v>755</v>
      </c>
      <c r="N648" s="23" t="s">
        <v>914</v>
      </c>
      <c r="O648" s="23">
        <v>20</v>
      </c>
      <c r="P648" s="23" t="s">
        <v>1809</v>
      </c>
      <c r="Q648" s="23">
        <v>31</v>
      </c>
      <c r="R648" s="23" t="s">
        <v>1180</v>
      </c>
      <c r="S648" s="24">
        <v>29</v>
      </c>
      <c r="T648" s="7">
        <v>3209</v>
      </c>
      <c r="U648" s="7" t="s">
        <v>1553</v>
      </c>
      <c r="V648" s="7">
        <v>3213</v>
      </c>
      <c r="W648" s="7" t="s">
        <v>1552</v>
      </c>
      <c r="X648" s="18"/>
      <c r="Y648" s="17"/>
      <c r="Z648" s="17"/>
      <c r="AA648" s="17"/>
      <c r="AB648" s="7" t="s">
        <v>1046</v>
      </c>
      <c r="AC648" s="8"/>
      <c r="AD648" s="8"/>
      <c r="AE648" s="8"/>
      <c r="AF648" s="8" t="s">
        <v>726</v>
      </c>
      <c r="AG648" s="8" t="s">
        <v>726</v>
      </c>
      <c r="AH648" s="8" t="s">
        <v>726</v>
      </c>
      <c r="AI648" s="8" t="s">
        <v>726</v>
      </c>
      <c r="AJ648" s="8" t="s">
        <v>726</v>
      </c>
      <c r="AK648" s="8" t="s">
        <v>726</v>
      </c>
      <c r="AL648" s="8" t="s">
        <v>726</v>
      </c>
      <c r="AM648" s="8"/>
      <c r="AN648" s="8"/>
      <c r="AO648" s="8"/>
      <c r="AP648" s="8"/>
      <c r="AQ648" s="8"/>
      <c r="AR648" s="8"/>
      <c r="AS648" s="8"/>
      <c r="AT648" s="8"/>
      <c r="AU648" s="8"/>
      <c r="AV648" s="8"/>
      <c r="AX648" s="142">
        <v>42.43</v>
      </c>
    </row>
    <row r="649" spans="1:50" ht="33.75">
      <c r="B649" s="27">
        <v>637</v>
      </c>
      <c r="C649" s="31">
        <v>315</v>
      </c>
      <c r="D649" s="31">
        <v>953</v>
      </c>
      <c r="E649" s="32">
        <v>0.65625</v>
      </c>
      <c r="F649" s="42">
        <v>0.68263888888888891</v>
      </c>
      <c r="G649" s="31" t="s">
        <v>329</v>
      </c>
      <c r="H649" s="31" t="s">
        <v>203</v>
      </c>
      <c r="I649" s="33">
        <v>20</v>
      </c>
      <c r="J649" s="34" t="s">
        <v>93</v>
      </c>
      <c r="K649" s="35">
        <v>202</v>
      </c>
      <c r="L649" s="36">
        <f>+K649*I649</f>
        <v>4040</v>
      </c>
      <c r="M649" s="37" t="s">
        <v>759</v>
      </c>
      <c r="N649" s="2" t="s">
        <v>1108</v>
      </c>
      <c r="O649" s="2">
        <v>21</v>
      </c>
      <c r="P649" s="23" t="s">
        <v>836</v>
      </c>
      <c r="Q649" s="23">
        <v>31</v>
      </c>
      <c r="R649" s="23" t="s">
        <v>1180</v>
      </c>
      <c r="S649" s="24">
        <v>29</v>
      </c>
      <c r="T649" s="7">
        <v>3210</v>
      </c>
      <c r="U649" s="7" t="s">
        <v>1554</v>
      </c>
      <c r="V649" s="7" t="s">
        <v>1494</v>
      </c>
      <c r="W649" s="7" t="s">
        <v>1493</v>
      </c>
      <c r="X649" s="18"/>
      <c r="Y649" s="17"/>
      <c r="Z649" s="18"/>
      <c r="AA649" s="18"/>
      <c r="AB649" s="7" t="s">
        <v>1048</v>
      </c>
      <c r="AC649" s="8" t="s">
        <v>726</v>
      </c>
      <c r="AD649" s="8"/>
      <c r="AE649" s="8" t="s">
        <v>726</v>
      </c>
      <c r="AF649" s="8"/>
      <c r="AG649" s="8" t="s">
        <v>726</v>
      </c>
      <c r="AH649" s="8" t="s">
        <v>726</v>
      </c>
      <c r="AI649" s="8" t="s">
        <v>726</v>
      </c>
      <c r="AJ649" s="8" t="s">
        <v>726</v>
      </c>
      <c r="AK649" s="8" t="s">
        <v>726</v>
      </c>
      <c r="AL649" s="8"/>
      <c r="AM649" s="8"/>
      <c r="AN649" s="8"/>
      <c r="AO649" s="8"/>
      <c r="AP649" s="8"/>
      <c r="AQ649" s="8"/>
      <c r="AR649" s="8"/>
      <c r="AS649" s="8"/>
      <c r="AT649" s="8"/>
      <c r="AU649" s="8"/>
      <c r="AV649" s="8"/>
      <c r="AX649" s="142">
        <v>40</v>
      </c>
    </row>
    <row r="650" spans="1:50" ht="33.75">
      <c r="B650" s="27">
        <v>638</v>
      </c>
      <c r="C650" s="31">
        <v>315</v>
      </c>
      <c r="D650" s="31">
        <v>954</v>
      </c>
      <c r="E650" s="32">
        <v>0.69097222222222221</v>
      </c>
      <c r="F650" s="32">
        <v>0.71736111111111101</v>
      </c>
      <c r="G650" s="31" t="s">
        <v>328</v>
      </c>
      <c r="H650" s="31" t="s">
        <v>203</v>
      </c>
      <c r="I650" s="33">
        <v>20</v>
      </c>
      <c r="J650" s="34" t="s">
        <v>93</v>
      </c>
      <c r="K650" s="35">
        <v>202</v>
      </c>
      <c r="L650" s="36">
        <f>+K650*I650</f>
        <v>4040</v>
      </c>
      <c r="M650" s="37" t="s">
        <v>759</v>
      </c>
      <c r="N650" s="2" t="s">
        <v>1108</v>
      </c>
      <c r="O650" s="2">
        <v>21</v>
      </c>
      <c r="P650" s="23" t="s">
        <v>836</v>
      </c>
      <c r="Q650" s="23">
        <v>31</v>
      </c>
      <c r="R650" s="23" t="s">
        <v>1180</v>
      </c>
      <c r="S650" s="24">
        <v>29</v>
      </c>
      <c r="T650" s="7" t="s">
        <v>1492</v>
      </c>
      <c r="U650" s="7" t="s">
        <v>1493</v>
      </c>
      <c r="V650" s="7">
        <v>3210</v>
      </c>
      <c r="W650" s="7" t="s">
        <v>1554</v>
      </c>
      <c r="X650" s="18"/>
      <c r="Y650" s="17"/>
      <c r="Z650" s="18"/>
      <c r="AA650" s="18"/>
      <c r="AB650" s="7" t="s">
        <v>1048</v>
      </c>
      <c r="AC650" s="8" t="s">
        <v>726</v>
      </c>
      <c r="AD650" s="8"/>
      <c r="AE650" s="8" t="s">
        <v>726</v>
      </c>
      <c r="AF650" s="8"/>
      <c r="AG650" s="8" t="s">
        <v>726</v>
      </c>
      <c r="AH650" s="8" t="s">
        <v>726</v>
      </c>
      <c r="AI650" s="8" t="s">
        <v>726</v>
      </c>
      <c r="AJ650" s="8" t="s">
        <v>726</v>
      </c>
      <c r="AK650" s="8" t="s">
        <v>726</v>
      </c>
      <c r="AL650" s="8"/>
      <c r="AM650" s="8"/>
      <c r="AN650" s="8"/>
      <c r="AO650" s="8"/>
      <c r="AP650" s="8"/>
      <c r="AQ650" s="8"/>
      <c r="AR650" s="8"/>
      <c r="AS650" s="8"/>
      <c r="AT650" s="8"/>
      <c r="AU650" s="8"/>
      <c r="AV650" s="8"/>
      <c r="AX650" s="142">
        <v>40</v>
      </c>
    </row>
    <row r="651" spans="1:50" ht="25.5">
      <c r="B651" s="27">
        <v>639</v>
      </c>
      <c r="C651" s="38">
        <v>334</v>
      </c>
      <c r="D651" s="38">
        <v>539</v>
      </c>
      <c r="E651" s="39">
        <v>0.34513888888888888</v>
      </c>
      <c r="F651" s="39">
        <v>0.35138888888888892</v>
      </c>
      <c r="G651" s="40" t="s">
        <v>29</v>
      </c>
      <c r="H651" s="31" t="s">
        <v>97</v>
      </c>
      <c r="I651" s="38">
        <v>4</v>
      </c>
      <c r="J651" s="41">
        <v>19</v>
      </c>
      <c r="K651" s="35">
        <v>208</v>
      </c>
      <c r="L651" s="36">
        <f>+K651*I651</f>
        <v>832</v>
      </c>
      <c r="M651" s="37" t="s">
        <v>756</v>
      </c>
      <c r="N651" s="23" t="s">
        <v>938</v>
      </c>
      <c r="O651" s="23">
        <v>22</v>
      </c>
      <c r="P651" s="23" t="s">
        <v>1810</v>
      </c>
      <c r="Q651" s="23">
        <v>29</v>
      </c>
      <c r="R651" s="2" t="s">
        <v>1181</v>
      </c>
      <c r="S651" s="23">
        <v>21</v>
      </c>
      <c r="T651" s="7" t="s">
        <v>1557</v>
      </c>
      <c r="U651" s="7" t="s">
        <v>1558</v>
      </c>
      <c r="V651" s="7" t="s">
        <v>1559</v>
      </c>
      <c r="W651" s="7" t="s">
        <v>1560</v>
      </c>
      <c r="X651" s="18"/>
      <c r="Y651" s="17"/>
      <c r="Z651" s="17"/>
      <c r="AA651" s="17"/>
      <c r="AB651" s="7" t="s">
        <v>1046</v>
      </c>
      <c r="AC651" s="8"/>
      <c r="AD651" s="8"/>
      <c r="AE651" s="8"/>
      <c r="AF651" s="8" t="s">
        <v>726</v>
      </c>
      <c r="AG651" s="8" t="s">
        <v>726</v>
      </c>
      <c r="AH651" s="8" t="s">
        <v>726</v>
      </c>
      <c r="AI651" s="8" t="s">
        <v>726</v>
      </c>
      <c r="AJ651" s="8" t="s">
        <v>726</v>
      </c>
      <c r="AK651" s="8" t="s">
        <v>726</v>
      </c>
      <c r="AL651" s="8" t="s">
        <v>726</v>
      </c>
      <c r="AM651" s="8"/>
      <c r="AN651" s="8"/>
      <c r="AO651" s="8"/>
      <c r="AP651" s="8"/>
      <c r="AQ651" s="8"/>
      <c r="AR651" s="8"/>
      <c r="AS651" s="8"/>
      <c r="AT651" s="8"/>
      <c r="AU651" s="8"/>
      <c r="AV651" s="8"/>
      <c r="AX651" s="142">
        <v>6.1094275166675835</v>
      </c>
    </row>
    <row r="652" spans="1:50" ht="25.5">
      <c r="A652" s="2" t="s">
        <v>1105</v>
      </c>
      <c r="B652" s="27">
        <v>640</v>
      </c>
      <c r="C652" s="38">
        <v>334</v>
      </c>
      <c r="D652" s="38">
        <v>276</v>
      </c>
      <c r="E652" s="39">
        <v>0.40208333333333335</v>
      </c>
      <c r="F652" s="39">
        <v>0.41180555555555554</v>
      </c>
      <c r="G652" s="40" t="s">
        <v>35</v>
      </c>
      <c r="H652" s="31" t="s">
        <v>97</v>
      </c>
      <c r="I652" s="53">
        <v>16</v>
      </c>
      <c r="J652" s="41">
        <v>19</v>
      </c>
      <c r="K652" s="35">
        <v>208</v>
      </c>
      <c r="L652" s="36">
        <f>+K652*I652</f>
        <v>3328</v>
      </c>
      <c r="M652" s="37" t="s">
        <v>756</v>
      </c>
      <c r="N652" s="23" t="s">
        <v>938</v>
      </c>
      <c r="O652" s="23">
        <v>22</v>
      </c>
      <c r="P652" s="23" t="s">
        <v>1810</v>
      </c>
      <c r="Q652" s="23">
        <v>29</v>
      </c>
      <c r="R652" s="2" t="s">
        <v>1181</v>
      </c>
      <c r="S652" s="23">
        <v>21</v>
      </c>
      <c r="T652" s="7" t="s">
        <v>1559</v>
      </c>
      <c r="U652" s="7" t="s">
        <v>1560</v>
      </c>
      <c r="V652" s="7" t="s">
        <v>1561</v>
      </c>
      <c r="W652" s="7" t="s">
        <v>1562</v>
      </c>
      <c r="X652" s="18"/>
      <c r="Y652" s="17"/>
      <c r="Z652" s="17"/>
      <c r="AA652" s="17"/>
      <c r="AB652" s="7" t="s">
        <v>1046</v>
      </c>
      <c r="AC652" s="8"/>
      <c r="AD652" s="8"/>
      <c r="AE652" s="8"/>
      <c r="AF652" s="8" t="s">
        <v>726</v>
      </c>
      <c r="AG652" s="8" t="s">
        <v>726</v>
      </c>
      <c r="AH652" s="8" t="s">
        <v>726</v>
      </c>
      <c r="AI652" s="8" t="s">
        <v>726</v>
      </c>
      <c r="AJ652" s="8" t="s">
        <v>726</v>
      </c>
      <c r="AK652" s="8" t="s">
        <v>726</v>
      </c>
      <c r="AL652" s="8" t="s">
        <v>726</v>
      </c>
      <c r="AM652" s="8"/>
      <c r="AN652" s="8"/>
      <c r="AO652" s="8"/>
      <c r="AP652" s="8"/>
      <c r="AQ652" s="8"/>
      <c r="AR652" s="8"/>
      <c r="AS652" s="8"/>
      <c r="AT652" s="8"/>
      <c r="AU652" s="8"/>
      <c r="AV652" s="8"/>
      <c r="AX652" s="142">
        <v>24.437710066670334</v>
      </c>
    </row>
    <row r="653" spans="1:50" ht="25.5">
      <c r="B653" s="27">
        <v>641</v>
      </c>
      <c r="C653" s="38">
        <v>334</v>
      </c>
      <c r="D653" s="38">
        <v>405</v>
      </c>
      <c r="E653" s="39">
        <v>0.41597222222222219</v>
      </c>
      <c r="F653" s="44">
        <v>0.4368055555555555</v>
      </c>
      <c r="G653" s="40" t="s">
        <v>34</v>
      </c>
      <c r="H653" s="31" t="s">
        <v>97</v>
      </c>
      <c r="I653" s="38">
        <v>19.3</v>
      </c>
      <c r="J653" s="41">
        <v>19</v>
      </c>
      <c r="K653" s="35">
        <v>208</v>
      </c>
      <c r="L653" s="36">
        <f>+K653*I653</f>
        <v>4014.4</v>
      </c>
      <c r="M653" s="37" t="s">
        <v>756</v>
      </c>
      <c r="N653" s="23" t="s">
        <v>938</v>
      </c>
      <c r="O653" s="23">
        <v>22</v>
      </c>
      <c r="P653" s="23" t="s">
        <v>1810</v>
      </c>
      <c r="Q653" s="23">
        <v>29</v>
      </c>
      <c r="R653" s="2" t="s">
        <v>1181</v>
      </c>
      <c r="S653" s="23">
        <v>21</v>
      </c>
      <c r="T653" s="7" t="s">
        <v>1563</v>
      </c>
      <c r="U653" s="7" t="s">
        <v>1564</v>
      </c>
      <c r="V653" s="7" t="s">
        <v>1559</v>
      </c>
      <c r="W653" s="7" t="s">
        <v>1560</v>
      </c>
      <c r="X653" s="18"/>
      <c r="Y653" s="17"/>
      <c r="Z653" s="17"/>
      <c r="AA653" s="17"/>
      <c r="AB653" s="7" t="s">
        <v>1046</v>
      </c>
      <c r="AC653" s="8"/>
      <c r="AD653" s="8"/>
      <c r="AE653" s="8"/>
      <c r="AF653" s="8" t="s">
        <v>726</v>
      </c>
      <c r="AG653" s="8" t="s">
        <v>726</v>
      </c>
      <c r="AH653" s="8" t="s">
        <v>726</v>
      </c>
      <c r="AI653" s="8" t="s">
        <v>726</v>
      </c>
      <c r="AJ653" s="8" t="s">
        <v>726</v>
      </c>
      <c r="AK653" s="8" t="s">
        <v>726</v>
      </c>
      <c r="AL653" s="8" t="s">
        <v>726</v>
      </c>
      <c r="AM653" s="8"/>
      <c r="AN653" s="8"/>
      <c r="AO653" s="8"/>
      <c r="AP653" s="8"/>
      <c r="AQ653" s="8"/>
      <c r="AR653" s="8"/>
      <c r="AS653" s="8"/>
      <c r="AT653" s="8"/>
      <c r="AU653" s="8"/>
      <c r="AV653" s="8"/>
      <c r="AX653" s="142">
        <v>29.477987767921093</v>
      </c>
    </row>
    <row r="654" spans="1:50" ht="25.5">
      <c r="B654" s="27">
        <v>642</v>
      </c>
      <c r="C654" s="53">
        <v>334</v>
      </c>
      <c r="D654" s="38">
        <v>87</v>
      </c>
      <c r="E654" s="44">
        <v>0.46180555555555558</v>
      </c>
      <c r="F654" s="39">
        <v>0.4777777777777778</v>
      </c>
      <c r="G654" s="40" t="s">
        <v>642</v>
      </c>
      <c r="H654" s="31" t="s">
        <v>103</v>
      </c>
      <c r="I654" s="38">
        <v>14</v>
      </c>
      <c r="J654" s="41">
        <v>19</v>
      </c>
      <c r="K654" s="35">
        <v>174</v>
      </c>
      <c r="L654" s="36">
        <f>+K654*I654</f>
        <v>2436</v>
      </c>
      <c r="M654" s="37" t="s">
        <v>756</v>
      </c>
      <c r="N654" s="23" t="s">
        <v>938</v>
      </c>
      <c r="O654" s="23">
        <v>22</v>
      </c>
      <c r="P654" s="23" t="s">
        <v>1810</v>
      </c>
      <c r="Q654" s="23">
        <v>29</v>
      </c>
      <c r="R654" s="2" t="s">
        <v>1181</v>
      </c>
      <c r="S654" s="23">
        <v>21</v>
      </c>
      <c r="T654" s="7" t="s">
        <v>1559</v>
      </c>
      <c r="U654" s="7" t="s">
        <v>1560</v>
      </c>
      <c r="V654" s="7">
        <v>3367</v>
      </c>
      <c r="W654" s="7" t="s">
        <v>1565</v>
      </c>
      <c r="X654" s="18"/>
      <c r="Y654" s="17"/>
      <c r="Z654" s="17"/>
      <c r="AA654" s="17"/>
      <c r="AB654" s="7" t="s">
        <v>1042</v>
      </c>
      <c r="AC654" s="8"/>
      <c r="AD654" s="8"/>
      <c r="AE654" s="8"/>
      <c r="AF654" s="8" t="s">
        <v>726</v>
      </c>
      <c r="AG654" s="8" t="s">
        <v>726</v>
      </c>
      <c r="AH654" s="8" t="s">
        <v>726</v>
      </c>
      <c r="AI654" s="8" t="s">
        <v>726</v>
      </c>
      <c r="AJ654" s="8" t="s">
        <v>726</v>
      </c>
      <c r="AK654" s="8" t="s">
        <v>726</v>
      </c>
      <c r="AL654" s="8"/>
      <c r="AM654" s="8"/>
      <c r="AN654" s="8"/>
      <c r="AO654" s="8"/>
      <c r="AP654" s="8"/>
      <c r="AQ654" s="8"/>
      <c r="AR654" s="8"/>
      <c r="AS654" s="8"/>
      <c r="AT654" s="8"/>
      <c r="AU654" s="8"/>
      <c r="AV654" s="8"/>
      <c r="AX654" s="142">
        <v>53.231939163498097</v>
      </c>
    </row>
    <row r="655" spans="1:50" ht="25.5">
      <c r="B655" s="27">
        <v>643</v>
      </c>
      <c r="C655" s="38">
        <v>334</v>
      </c>
      <c r="D655" s="38">
        <v>197</v>
      </c>
      <c r="E655" s="39">
        <v>0.5805555555555556</v>
      </c>
      <c r="F655" s="39">
        <v>0.58611111111111114</v>
      </c>
      <c r="G655" s="40" t="s">
        <v>29</v>
      </c>
      <c r="H655" s="31" t="s">
        <v>97</v>
      </c>
      <c r="I655" s="38">
        <v>4</v>
      </c>
      <c r="J655" s="41">
        <v>19</v>
      </c>
      <c r="K655" s="35">
        <v>208</v>
      </c>
      <c r="L655" s="36">
        <f>+K655*I655</f>
        <v>832</v>
      </c>
      <c r="M655" s="37" t="s">
        <v>756</v>
      </c>
      <c r="N655" s="23" t="s">
        <v>938</v>
      </c>
      <c r="O655" s="23">
        <v>22</v>
      </c>
      <c r="P655" s="23" t="s">
        <v>1810</v>
      </c>
      <c r="Q655" s="23">
        <v>29</v>
      </c>
      <c r="R655" s="2" t="s">
        <v>1181</v>
      </c>
      <c r="S655" s="23">
        <v>21</v>
      </c>
      <c r="T655" s="7" t="s">
        <v>1557</v>
      </c>
      <c r="U655" s="7" t="s">
        <v>1558</v>
      </c>
      <c r="V655" s="7" t="s">
        <v>1559</v>
      </c>
      <c r="W655" s="7" t="s">
        <v>1560</v>
      </c>
      <c r="X655" s="18"/>
      <c r="Y655" s="17"/>
      <c r="Z655" s="17"/>
      <c r="AA655" s="17"/>
      <c r="AB655" s="7" t="s">
        <v>1046</v>
      </c>
      <c r="AC655" s="8"/>
      <c r="AD655" s="8"/>
      <c r="AE655" s="8"/>
      <c r="AF655" s="8" t="s">
        <v>726</v>
      </c>
      <c r="AG655" s="8" t="s">
        <v>726</v>
      </c>
      <c r="AH655" s="8" t="s">
        <v>726</v>
      </c>
      <c r="AI655" s="8" t="s">
        <v>726</v>
      </c>
      <c r="AJ655" s="8" t="s">
        <v>726</v>
      </c>
      <c r="AK655" s="8" t="s">
        <v>726</v>
      </c>
      <c r="AL655" s="8" t="s">
        <v>726</v>
      </c>
      <c r="AM655" s="8"/>
      <c r="AN655" s="8"/>
      <c r="AO655" s="8"/>
      <c r="AP655" s="8"/>
      <c r="AQ655" s="8"/>
      <c r="AR655" s="8"/>
      <c r="AS655" s="8"/>
      <c r="AT655" s="8"/>
      <c r="AU655" s="8"/>
      <c r="AV655" s="8"/>
      <c r="AX655" s="142">
        <v>15.209125475285171</v>
      </c>
    </row>
    <row r="656" spans="1:50" ht="25.5">
      <c r="B656" s="27">
        <v>644</v>
      </c>
      <c r="C656" s="38">
        <v>334</v>
      </c>
      <c r="D656" s="38">
        <v>201</v>
      </c>
      <c r="E656" s="39">
        <v>0.60486111111111118</v>
      </c>
      <c r="F656" s="39">
        <v>0.62638888888888888</v>
      </c>
      <c r="G656" s="40" t="s">
        <v>33</v>
      </c>
      <c r="H656" s="31" t="s">
        <v>103</v>
      </c>
      <c r="I656" s="38">
        <v>19.3</v>
      </c>
      <c r="J656" s="41">
        <v>19</v>
      </c>
      <c r="K656" s="35">
        <v>174</v>
      </c>
      <c r="L656" s="36">
        <f>+K656*I656</f>
        <v>3358.2000000000003</v>
      </c>
      <c r="M656" s="37" t="s">
        <v>756</v>
      </c>
      <c r="N656" s="23" t="s">
        <v>938</v>
      </c>
      <c r="O656" s="23">
        <v>22</v>
      </c>
      <c r="P656" s="23" t="s">
        <v>1810</v>
      </c>
      <c r="Q656" s="23">
        <v>29</v>
      </c>
      <c r="R656" s="2" t="s">
        <v>1181</v>
      </c>
      <c r="S656" s="23">
        <v>21</v>
      </c>
      <c r="T656" s="7" t="s">
        <v>1563</v>
      </c>
      <c r="U656" s="7" t="s">
        <v>1564</v>
      </c>
      <c r="V656" s="7" t="s">
        <v>1559</v>
      </c>
      <c r="W656" s="7" t="s">
        <v>1560</v>
      </c>
      <c r="X656" s="18"/>
      <c r="Y656" s="17"/>
      <c r="Z656" s="17"/>
      <c r="AA656" s="17"/>
      <c r="AB656" s="7" t="s">
        <v>1042</v>
      </c>
      <c r="AC656" s="8"/>
      <c r="AD656" s="8"/>
      <c r="AE656" s="8"/>
      <c r="AF656" s="8" t="s">
        <v>726</v>
      </c>
      <c r="AG656" s="8" t="s">
        <v>726</v>
      </c>
      <c r="AH656" s="8" t="s">
        <v>726</v>
      </c>
      <c r="AI656" s="8" t="s">
        <v>726</v>
      </c>
      <c r="AJ656" s="8" t="s">
        <v>726</v>
      </c>
      <c r="AK656" s="8" t="s">
        <v>726</v>
      </c>
      <c r="AL656" s="8"/>
      <c r="AM656" s="8"/>
      <c r="AN656" s="8"/>
      <c r="AO656" s="8"/>
      <c r="AP656" s="8"/>
      <c r="AQ656" s="8"/>
      <c r="AR656" s="8"/>
      <c r="AS656" s="8"/>
      <c r="AT656" s="8"/>
      <c r="AU656" s="8"/>
      <c r="AV656" s="8"/>
      <c r="AX656" s="142">
        <v>29.477987767921093</v>
      </c>
    </row>
    <row r="657" spans="1:50" ht="33.75">
      <c r="A657" s="83" t="s">
        <v>1968</v>
      </c>
      <c r="B657" s="84">
        <v>645</v>
      </c>
      <c r="C657" s="96">
        <v>334</v>
      </c>
      <c r="D657" s="96">
        <v>401</v>
      </c>
      <c r="E657" s="97">
        <v>0.69236111111111109</v>
      </c>
      <c r="F657" s="97">
        <v>0.69861111111111107</v>
      </c>
      <c r="G657" s="98" t="s">
        <v>29</v>
      </c>
      <c r="H657" s="85" t="s">
        <v>242</v>
      </c>
      <c r="I657" s="96">
        <v>10</v>
      </c>
      <c r="J657" s="99">
        <v>19</v>
      </c>
      <c r="K657" s="94">
        <v>34</v>
      </c>
      <c r="L657" s="90">
        <f>+K657*I657</f>
        <v>340</v>
      </c>
      <c r="M657" s="91" t="s">
        <v>756</v>
      </c>
      <c r="N657" s="104" t="s">
        <v>938</v>
      </c>
      <c r="O657" s="104">
        <v>22</v>
      </c>
      <c r="P657" s="104" t="s">
        <v>1810</v>
      </c>
      <c r="Q657" s="104">
        <v>29</v>
      </c>
      <c r="R657" s="83" t="s">
        <v>1181</v>
      </c>
      <c r="S657" s="104">
        <v>21</v>
      </c>
      <c r="T657" s="95" t="s">
        <v>1561</v>
      </c>
      <c r="U657" s="95" t="s">
        <v>1562</v>
      </c>
      <c r="V657" s="95" t="s">
        <v>1559</v>
      </c>
      <c r="W657" s="95" t="s">
        <v>1560</v>
      </c>
      <c r="X657" s="107"/>
      <c r="Y657" s="105">
        <v>44869</v>
      </c>
      <c r="Z657" s="105"/>
      <c r="AA657" s="105"/>
      <c r="AB657" s="106" t="s">
        <v>1051</v>
      </c>
      <c r="AC657" s="106"/>
      <c r="AD657" s="106"/>
      <c r="AE657" s="106"/>
      <c r="AF657" s="106" t="s">
        <v>726</v>
      </c>
      <c r="AG657" s="106"/>
      <c r="AH657" s="106"/>
      <c r="AI657" s="106"/>
      <c r="AJ657" s="106"/>
      <c r="AK657" s="106"/>
      <c r="AL657" s="106" t="s">
        <v>726</v>
      </c>
      <c r="AM657" s="106"/>
      <c r="AN657" s="106"/>
      <c r="AO657" s="106"/>
      <c r="AP657" s="106"/>
      <c r="AQ657" s="106"/>
      <c r="AR657" s="106"/>
      <c r="AS657" s="106"/>
      <c r="AT657" s="106"/>
      <c r="AU657" s="106"/>
      <c r="AV657" s="106"/>
    </row>
    <row r="658" spans="1:50" ht="25.5">
      <c r="B658" s="27">
        <v>646</v>
      </c>
      <c r="C658" s="38">
        <v>334</v>
      </c>
      <c r="D658" s="38">
        <v>278</v>
      </c>
      <c r="E658" s="44">
        <v>0.74583333333333324</v>
      </c>
      <c r="F658" s="44">
        <v>0.75624999999999998</v>
      </c>
      <c r="G658" s="40" t="s">
        <v>31</v>
      </c>
      <c r="H658" s="31" t="s">
        <v>103</v>
      </c>
      <c r="I658" s="38">
        <v>10.3</v>
      </c>
      <c r="J658" s="41">
        <v>19</v>
      </c>
      <c r="K658" s="35">
        <v>174</v>
      </c>
      <c r="L658" s="36">
        <f>+K658*I658</f>
        <v>1792.2</v>
      </c>
      <c r="M658" s="37" t="s">
        <v>756</v>
      </c>
      <c r="N658" s="23" t="s">
        <v>938</v>
      </c>
      <c r="O658" s="23">
        <v>22</v>
      </c>
      <c r="P658" s="23" t="s">
        <v>1810</v>
      </c>
      <c r="Q658" s="23">
        <v>29</v>
      </c>
      <c r="R658" s="2" t="s">
        <v>1181</v>
      </c>
      <c r="S658" s="23">
        <v>21</v>
      </c>
      <c r="T658" s="7" t="s">
        <v>1561</v>
      </c>
      <c r="U658" s="7" t="s">
        <v>1562</v>
      </c>
      <c r="V658" s="7">
        <v>3354</v>
      </c>
      <c r="W658" s="7" t="s">
        <v>1566</v>
      </c>
      <c r="X658" s="18"/>
      <c r="Y658" s="17"/>
      <c r="Z658" s="17"/>
      <c r="AA658" s="17"/>
      <c r="AB658" s="7" t="s">
        <v>1042</v>
      </c>
      <c r="AC658" s="8"/>
      <c r="AD658" s="8"/>
      <c r="AE658" s="8"/>
      <c r="AF658" s="8" t="s">
        <v>726</v>
      </c>
      <c r="AG658" s="8" t="s">
        <v>726</v>
      </c>
      <c r="AH658" s="8" t="s">
        <v>726</v>
      </c>
      <c r="AI658" s="8" t="s">
        <v>726</v>
      </c>
      <c r="AJ658" s="8" t="s">
        <v>726</v>
      </c>
      <c r="AK658" s="8" t="s">
        <v>726</v>
      </c>
      <c r="AL658" s="8"/>
      <c r="AM658" s="8"/>
      <c r="AN658" s="8"/>
      <c r="AO658" s="8"/>
      <c r="AP658" s="8"/>
      <c r="AQ658" s="8"/>
      <c r="AR658" s="8"/>
      <c r="AS658" s="8"/>
      <c r="AT658" s="8"/>
      <c r="AU658" s="8"/>
      <c r="AV658" s="8"/>
      <c r="AX658" s="142">
        <v>15.731775855419029</v>
      </c>
    </row>
    <row r="659" spans="1:50" ht="25.5">
      <c r="B659" s="27">
        <v>647</v>
      </c>
      <c r="C659" s="38">
        <v>334</v>
      </c>
      <c r="D659" s="38">
        <v>211</v>
      </c>
      <c r="E659" s="39">
        <v>0.75694444444444453</v>
      </c>
      <c r="F659" s="39">
        <v>0.76597222222222217</v>
      </c>
      <c r="G659" s="40" t="s">
        <v>32</v>
      </c>
      <c r="H659" s="31" t="s">
        <v>103</v>
      </c>
      <c r="I659" s="38">
        <v>8</v>
      </c>
      <c r="J659" s="41">
        <v>19</v>
      </c>
      <c r="K659" s="35">
        <v>174</v>
      </c>
      <c r="L659" s="36">
        <f>+K659*I659</f>
        <v>1392</v>
      </c>
      <c r="M659" s="37" t="s">
        <v>756</v>
      </c>
      <c r="N659" s="23" t="s">
        <v>938</v>
      </c>
      <c r="O659" s="23">
        <v>22</v>
      </c>
      <c r="P659" s="23" t="s">
        <v>1810</v>
      </c>
      <c r="Q659" s="23">
        <v>29</v>
      </c>
      <c r="R659" s="2" t="s">
        <v>1181</v>
      </c>
      <c r="S659" s="23">
        <v>21</v>
      </c>
      <c r="T659" s="7">
        <v>3354</v>
      </c>
      <c r="U659" s="7" t="s">
        <v>1566</v>
      </c>
      <c r="V659" s="7" t="s">
        <v>1559</v>
      </c>
      <c r="W659" s="7" t="s">
        <v>1560</v>
      </c>
      <c r="X659" s="18"/>
      <c r="Y659" s="17"/>
      <c r="Z659" s="17"/>
      <c r="AA659" s="17"/>
      <c r="AB659" s="7" t="s">
        <v>1042</v>
      </c>
      <c r="AC659" s="8"/>
      <c r="AD659" s="8"/>
      <c r="AE659" s="8"/>
      <c r="AF659" s="8" t="s">
        <v>726</v>
      </c>
      <c r="AG659" s="8" t="s">
        <v>726</v>
      </c>
      <c r="AH659" s="8" t="s">
        <v>726</v>
      </c>
      <c r="AI659" s="8" t="s">
        <v>726</v>
      </c>
      <c r="AJ659" s="8" t="s">
        <v>726</v>
      </c>
      <c r="AK659" s="8" t="s">
        <v>726</v>
      </c>
      <c r="AL659" s="8"/>
      <c r="AM659" s="8"/>
      <c r="AN659" s="8"/>
      <c r="AO659" s="8"/>
      <c r="AP659" s="8"/>
      <c r="AQ659" s="8"/>
      <c r="AR659" s="8"/>
      <c r="AS659" s="8"/>
      <c r="AT659" s="8"/>
      <c r="AU659" s="8"/>
      <c r="AV659" s="8"/>
      <c r="AX659" s="142">
        <v>12.218855033335167</v>
      </c>
    </row>
    <row r="660" spans="1:50" ht="25.5">
      <c r="B660" s="27">
        <v>648</v>
      </c>
      <c r="C660" s="38">
        <v>334</v>
      </c>
      <c r="D660" s="38">
        <v>402</v>
      </c>
      <c r="E660" s="39">
        <v>0.77013888888888893</v>
      </c>
      <c r="F660" s="39">
        <v>0.78055555555555556</v>
      </c>
      <c r="G660" s="40" t="s">
        <v>31</v>
      </c>
      <c r="H660" s="31" t="s">
        <v>97</v>
      </c>
      <c r="I660" s="38">
        <v>10.3</v>
      </c>
      <c r="J660" s="41">
        <v>19</v>
      </c>
      <c r="K660" s="35">
        <v>208</v>
      </c>
      <c r="L660" s="36">
        <f>+K660*I660</f>
        <v>2142.4</v>
      </c>
      <c r="M660" s="37" t="s">
        <v>756</v>
      </c>
      <c r="N660" s="23" t="s">
        <v>938</v>
      </c>
      <c r="O660" s="23">
        <v>22</v>
      </c>
      <c r="P660" s="23" t="s">
        <v>1810</v>
      </c>
      <c r="Q660" s="23">
        <v>29</v>
      </c>
      <c r="R660" s="2" t="s">
        <v>1181</v>
      </c>
      <c r="S660" s="23">
        <v>21</v>
      </c>
      <c r="T660" s="7" t="s">
        <v>1561</v>
      </c>
      <c r="U660" s="7" t="s">
        <v>1562</v>
      </c>
      <c r="V660" s="7">
        <v>3354</v>
      </c>
      <c r="W660" s="7" t="s">
        <v>1566</v>
      </c>
      <c r="X660" s="18"/>
      <c r="Y660" s="17"/>
      <c r="Z660" s="17"/>
      <c r="AA660" s="17"/>
      <c r="AB660" s="7" t="s">
        <v>1046</v>
      </c>
      <c r="AC660" s="8"/>
      <c r="AD660" s="8"/>
      <c r="AE660" s="8"/>
      <c r="AF660" s="8" t="s">
        <v>726</v>
      </c>
      <c r="AG660" s="8" t="s">
        <v>726</v>
      </c>
      <c r="AH660" s="8" t="s">
        <v>726</v>
      </c>
      <c r="AI660" s="8" t="s">
        <v>726</v>
      </c>
      <c r="AJ660" s="8" t="s">
        <v>726</v>
      </c>
      <c r="AK660" s="8" t="s">
        <v>726</v>
      </c>
      <c r="AL660" s="8" t="s">
        <v>726</v>
      </c>
      <c r="AM660" s="8"/>
      <c r="AN660" s="8"/>
      <c r="AO660" s="8"/>
      <c r="AP660" s="8"/>
      <c r="AQ660" s="8"/>
      <c r="AR660" s="8"/>
      <c r="AS660" s="8"/>
      <c r="AT660" s="8"/>
      <c r="AU660" s="8"/>
      <c r="AV660" s="8"/>
      <c r="AX660" s="142">
        <v>15.731775855419029</v>
      </c>
    </row>
    <row r="661" spans="1:50" ht="25.5">
      <c r="B661" s="27">
        <v>649</v>
      </c>
      <c r="C661" s="53">
        <v>307</v>
      </c>
      <c r="D661" s="38">
        <v>282</v>
      </c>
      <c r="E661" s="39">
        <v>0.40277777777777773</v>
      </c>
      <c r="F661" s="39">
        <v>0.42499999999999999</v>
      </c>
      <c r="G661" s="40" t="s">
        <v>641</v>
      </c>
      <c r="H661" s="31" t="s">
        <v>103</v>
      </c>
      <c r="I661" s="38">
        <v>17</v>
      </c>
      <c r="J661" s="41">
        <v>19</v>
      </c>
      <c r="K661" s="35">
        <v>174</v>
      </c>
      <c r="L661" s="36">
        <f>+K661*I661</f>
        <v>2958</v>
      </c>
      <c r="M661" s="37" t="s">
        <v>756</v>
      </c>
      <c r="N661" s="23" t="s">
        <v>938</v>
      </c>
      <c r="O661" s="23">
        <v>22</v>
      </c>
      <c r="P661" s="23" t="s">
        <v>1810</v>
      </c>
      <c r="Q661" s="23">
        <v>29</v>
      </c>
      <c r="R661" s="2" t="s">
        <v>1181</v>
      </c>
      <c r="S661" s="23">
        <v>21</v>
      </c>
      <c r="T661" s="7" t="s">
        <v>1567</v>
      </c>
      <c r="U661" s="7" t="s">
        <v>1568</v>
      </c>
      <c r="V661" s="7" t="s">
        <v>1567</v>
      </c>
      <c r="W661" s="7" t="s">
        <v>1569</v>
      </c>
      <c r="X661" s="18"/>
      <c r="Y661" s="17"/>
      <c r="Z661" s="17"/>
      <c r="AA661" s="17"/>
      <c r="AB661" s="7" t="s">
        <v>1042</v>
      </c>
      <c r="AC661" s="8"/>
      <c r="AD661" s="8"/>
      <c r="AE661" s="8"/>
      <c r="AF661" s="8" t="s">
        <v>726</v>
      </c>
      <c r="AG661" s="8" t="s">
        <v>726</v>
      </c>
      <c r="AH661" s="8" t="s">
        <v>726</v>
      </c>
      <c r="AI661" s="8" t="s">
        <v>726</v>
      </c>
      <c r="AJ661" s="8" t="s">
        <v>726</v>
      </c>
      <c r="AK661" s="8" t="s">
        <v>726</v>
      </c>
      <c r="AL661" s="8"/>
      <c r="AM661" s="8"/>
      <c r="AN661" s="8"/>
      <c r="AO661" s="8"/>
      <c r="AP661" s="8"/>
      <c r="AQ661" s="8"/>
      <c r="AR661" s="8"/>
      <c r="AS661" s="8"/>
      <c r="AT661" s="8"/>
      <c r="AU661" s="8"/>
      <c r="AV661" s="8"/>
      <c r="AX661" s="142">
        <v>64.638783269961976</v>
      </c>
    </row>
    <row r="662" spans="1:50" ht="25.5">
      <c r="B662" s="27">
        <v>650</v>
      </c>
      <c r="C662" s="38">
        <v>335</v>
      </c>
      <c r="D662" s="38">
        <v>182</v>
      </c>
      <c r="E662" s="39">
        <v>0.44861111111111113</v>
      </c>
      <c r="F662" s="39">
        <v>0.4548611111111111</v>
      </c>
      <c r="G662" s="40" t="s">
        <v>30</v>
      </c>
      <c r="H662" s="31" t="s">
        <v>97</v>
      </c>
      <c r="I662" s="38">
        <v>4</v>
      </c>
      <c r="J662" s="41">
        <v>19</v>
      </c>
      <c r="K662" s="35">
        <v>208</v>
      </c>
      <c r="L662" s="36">
        <f>+K662*I662</f>
        <v>832</v>
      </c>
      <c r="M662" s="37" t="s">
        <v>756</v>
      </c>
      <c r="N662" s="23" t="s">
        <v>938</v>
      </c>
      <c r="O662" s="23">
        <v>22</v>
      </c>
      <c r="P662" s="23" t="s">
        <v>1810</v>
      </c>
      <c r="Q662" s="23">
        <v>29</v>
      </c>
      <c r="R662" s="2" t="s">
        <v>1181</v>
      </c>
      <c r="S662" s="23">
        <v>21</v>
      </c>
      <c r="T662" s="7" t="s">
        <v>1559</v>
      </c>
      <c r="U662" s="7" t="s">
        <v>1560</v>
      </c>
      <c r="V662" s="7" t="s">
        <v>1557</v>
      </c>
      <c r="W662" s="7" t="s">
        <v>1558</v>
      </c>
      <c r="X662" s="18"/>
      <c r="Y662" s="17"/>
      <c r="Z662" s="17"/>
      <c r="AA662" s="17"/>
      <c r="AB662" s="7" t="s">
        <v>1046</v>
      </c>
      <c r="AC662" s="8"/>
      <c r="AD662" s="8"/>
      <c r="AE662" s="8"/>
      <c r="AF662" s="8" t="s">
        <v>726</v>
      </c>
      <c r="AG662" s="8" t="s">
        <v>726</v>
      </c>
      <c r="AH662" s="8" t="s">
        <v>726</v>
      </c>
      <c r="AI662" s="8" t="s">
        <v>726</v>
      </c>
      <c r="AJ662" s="8" t="s">
        <v>726</v>
      </c>
      <c r="AK662" s="8" t="s">
        <v>726</v>
      </c>
      <c r="AL662" s="8" t="s">
        <v>726</v>
      </c>
      <c r="AM662" s="8"/>
      <c r="AN662" s="8"/>
      <c r="AO662" s="8"/>
      <c r="AP662" s="8"/>
      <c r="AQ662" s="8"/>
      <c r="AR662" s="8"/>
      <c r="AS662" s="8"/>
      <c r="AT662" s="8"/>
      <c r="AU662" s="8"/>
      <c r="AV662" s="8"/>
      <c r="AX662" s="142">
        <v>15.209125475285171</v>
      </c>
    </row>
    <row r="663" spans="1:50" ht="25.5">
      <c r="B663" s="27">
        <v>651</v>
      </c>
      <c r="C663" s="38">
        <v>335</v>
      </c>
      <c r="D663" s="38">
        <v>198</v>
      </c>
      <c r="E663" s="39">
        <v>0.65625</v>
      </c>
      <c r="F663" s="39">
        <v>0.66249999999999998</v>
      </c>
      <c r="G663" s="40" t="s">
        <v>30</v>
      </c>
      <c r="H663" s="31" t="s">
        <v>97</v>
      </c>
      <c r="I663" s="38">
        <v>4</v>
      </c>
      <c r="J663" s="41">
        <v>19</v>
      </c>
      <c r="K663" s="35">
        <v>208</v>
      </c>
      <c r="L663" s="36">
        <f>+K663*I663</f>
        <v>832</v>
      </c>
      <c r="M663" s="37" t="s">
        <v>756</v>
      </c>
      <c r="N663" s="23" t="s">
        <v>938</v>
      </c>
      <c r="O663" s="23">
        <v>22</v>
      </c>
      <c r="P663" s="23" t="s">
        <v>1810</v>
      </c>
      <c r="Q663" s="23">
        <v>29</v>
      </c>
      <c r="R663" s="2" t="s">
        <v>1181</v>
      </c>
      <c r="S663" s="23">
        <v>21</v>
      </c>
      <c r="T663" s="7" t="s">
        <v>1559</v>
      </c>
      <c r="U663" s="7" t="s">
        <v>1560</v>
      </c>
      <c r="V663" s="7" t="s">
        <v>1557</v>
      </c>
      <c r="W663" s="7" t="s">
        <v>1558</v>
      </c>
      <c r="X663" s="18"/>
      <c r="Y663" s="17"/>
      <c r="Z663" s="17"/>
      <c r="AA663" s="17"/>
      <c r="AB663" s="7" t="s">
        <v>1046</v>
      </c>
      <c r="AC663" s="8"/>
      <c r="AD663" s="8"/>
      <c r="AE663" s="8"/>
      <c r="AF663" s="8" t="s">
        <v>726</v>
      </c>
      <c r="AG663" s="8" t="s">
        <v>726</v>
      </c>
      <c r="AH663" s="8" t="s">
        <v>726</v>
      </c>
      <c r="AI663" s="8" t="s">
        <v>726</v>
      </c>
      <c r="AJ663" s="8" t="s">
        <v>726</v>
      </c>
      <c r="AK663" s="8" t="s">
        <v>726</v>
      </c>
      <c r="AL663" s="8" t="s">
        <v>726</v>
      </c>
      <c r="AM663" s="8"/>
      <c r="AN663" s="8"/>
      <c r="AO663" s="8"/>
      <c r="AP663" s="8"/>
      <c r="AQ663" s="8"/>
      <c r="AR663" s="8"/>
      <c r="AS663" s="8"/>
      <c r="AT663" s="8"/>
      <c r="AU663" s="8"/>
      <c r="AV663" s="8"/>
      <c r="AX663" s="142">
        <v>15.209125475285171</v>
      </c>
    </row>
    <row r="664" spans="1:50" ht="25.5">
      <c r="B664" s="27">
        <v>652</v>
      </c>
      <c r="C664" s="38">
        <v>335</v>
      </c>
      <c r="D664" s="38">
        <v>208</v>
      </c>
      <c r="E664" s="44">
        <v>0.79513888888888884</v>
      </c>
      <c r="F664" s="44">
        <v>0.8208333333333333</v>
      </c>
      <c r="G664" s="40" t="s">
        <v>36</v>
      </c>
      <c r="H664" s="31" t="s">
        <v>97</v>
      </c>
      <c r="I664" s="38">
        <v>19.3</v>
      </c>
      <c r="J664" s="41">
        <v>19</v>
      </c>
      <c r="K664" s="35">
        <v>208</v>
      </c>
      <c r="L664" s="36">
        <f>+K664*I664</f>
        <v>4014.4</v>
      </c>
      <c r="M664" s="37" t="s">
        <v>756</v>
      </c>
      <c r="N664" s="23" t="s">
        <v>938</v>
      </c>
      <c r="O664" s="23">
        <v>22</v>
      </c>
      <c r="P664" s="23" t="s">
        <v>1810</v>
      </c>
      <c r="Q664" s="23">
        <v>29</v>
      </c>
      <c r="R664" s="2" t="s">
        <v>1181</v>
      </c>
      <c r="S664" s="23">
        <v>21</v>
      </c>
      <c r="T664" s="7" t="s">
        <v>1559</v>
      </c>
      <c r="U664" s="7" t="s">
        <v>1560</v>
      </c>
      <c r="V664" s="7" t="s">
        <v>1561</v>
      </c>
      <c r="W664" s="7" t="s">
        <v>1562</v>
      </c>
      <c r="X664" s="18"/>
      <c r="Y664" s="17"/>
      <c r="Z664" s="17"/>
      <c r="AA664" s="17"/>
      <c r="AB664" s="7" t="s">
        <v>1046</v>
      </c>
      <c r="AC664" s="8"/>
      <c r="AD664" s="8"/>
      <c r="AE664" s="8"/>
      <c r="AF664" s="8" t="s">
        <v>726</v>
      </c>
      <c r="AG664" s="8" t="s">
        <v>726</v>
      </c>
      <c r="AH664" s="8" t="s">
        <v>726</v>
      </c>
      <c r="AI664" s="8" t="s">
        <v>726</v>
      </c>
      <c r="AJ664" s="8" t="s">
        <v>726</v>
      </c>
      <c r="AK664" s="8" t="s">
        <v>726</v>
      </c>
      <c r="AL664" s="8" t="s">
        <v>726</v>
      </c>
      <c r="AM664" s="8"/>
      <c r="AN664" s="8"/>
      <c r="AO664" s="8"/>
      <c r="AP664" s="8"/>
      <c r="AQ664" s="8"/>
      <c r="AR664" s="8"/>
      <c r="AS664" s="8"/>
      <c r="AT664" s="8"/>
      <c r="AU664" s="8"/>
      <c r="AV664" s="8"/>
      <c r="AX664" s="142">
        <v>29.477987767921093</v>
      </c>
    </row>
    <row r="665" spans="1:50" ht="25.5">
      <c r="A665" s="2" t="s">
        <v>1105</v>
      </c>
      <c r="B665" s="27">
        <v>653</v>
      </c>
      <c r="C665" s="38">
        <v>335</v>
      </c>
      <c r="D665" s="38">
        <v>208</v>
      </c>
      <c r="E665" s="44">
        <v>0.8208333333333333</v>
      </c>
      <c r="F665" s="44">
        <v>0.82916666666666661</v>
      </c>
      <c r="G665" s="40" t="s">
        <v>37</v>
      </c>
      <c r="H665" s="31" t="s">
        <v>97</v>
      </c>
      <c r="I665" s="53">
        <v>19.3</v>
      </c>
      <c r="J665" s="41">
        <v>19</v>
      </c>
      <c r="K665" s="35">
        <v>208</v>
      </c>
      <c r="L665" s="36">
        <f>+K665*I665</f>
        <v>4014.4</v>
      </c>
      <c r="M665" s="37" t="s">
        <v>756</v>
      </c>
      <c r="N665" s="23" t="s">
        <v>938</v>
      </c>
      <c r="O665" s="23">
        <v>22</v>
      </c>
      <c r="P665" s="23" t="s">
        <v>1810</v>
      </c>
      <c r="Q665" s="23">
        <v>29</v>
      </c>
      <c r="R665" s="2" t="s">
        <v>1181</v>
      </c>
      <c r="S665" s="23">
        <v>21</v>
      </c>
      <c r="T665" s="7" t="s">
        <v>1561</v>
      </c>
      <c r="U665" s="7" t="s">
        <v>1562</v>
      </c>
      <c r="V665" s="7" t="s">
        <v>1559</v>
      </c>
      <c r="W665" s="7" t="s">
        <v>1560</v>
      </c>
      <c r="X665" s="18"/>
      <c r="Y665" s="17"/>
      <c r="Z665" s="17"/>
      <c r="AA665" s="17"/>
      <c r="AB665" s="7" t="s">
        <v>1046</v>
      </c>
      <c r="AC665" s="8"/>
      <c r="AD665" s="8"/>
      <c r="AE665" s="8"/>
      <c r="AF665" s="8" t="s">
        <v>726</v>
      </c>
      <c r="AG665" s="8" t="s">
        <v>726</v>
      </c>
      <c r="AH665" s="8" t="s">
        <v>726</v>
      </c>
      <c r="AI665" s="8" t="s">
        <v>726</v>
      </c>
      <c r="AJ665" s="8" t="s">
        <v>726</v>
      </c>
      <c r="AK665" s="8" t="s">
        <v>726</v>
      </c>
      <c r="AL665" s="8" t="s">
        <v>726</v>
      </c>
      <c r="AM665" s="8"/>
      <c r="AN665" s="8"/>
      <c r="AO665" s="8"/>
      <c r="AP665" s="8"/>
      <c r="AQ665" s="8"/>
      <c r="AR665" s="8"/>
      <c r="AS665" s="8"/>
      <c r="AT665" s="8"/>
      <c r="AU665" s="8"/>
      <c r="AV665" s="8"/>
      <c r="AX665" s="142">
        <v>29.477987767921093</v>
      </c>
    </row>
    <row r="666" spans="1:50" ht="25.5">
      <c r="B666" s="27">
        <v>654</v>
      </c>
      <c r="C666" s="38">
        <v>335</v>
      </c>
      <c r="D666" s="38">
        <v>210</v>
      </c>
      <c r="E666" s="39">
        <v>0.83194444444444438</v>
      </c>
      <c r="F666" s="39">
        <v>0.8520833333333333</v>
      </c>
      <c r="G666" s="40" t="s">
        <v>36</v>
      </c>
      <c r="H666" s="31" t="s">
        <v>97</v>
      </c>
      <c r="I666" s="38">
        <v>19.3</v>
      </c>
      <c r="J666" s="41">
        <v>19</v>
      </c>
      <c r="K666" s="35">
        <v>208</v>
      </c>
      <c r="L666" s="36">
        <f>+K666*I666</f>
        <v>4014.4</v>
      </c>
      <c r="M666" s="37" t="s">
        <v>756</v>
      </c>
      <c r="N666" s="23" t="s">
        <v>938</v>
      </c>
      <c r="O666" s="23">
        <v>22</v>
      </c>
      <c r="P666" s="23" t="s">
        <v>1810</v>
      </c>
      <c r="Q666" s="23">
        <v>29</v>
      </c>
      <c r="R666" s="2" t="s">
        <v>1181</v>
      </c>
      <c r="S666" s="23">
        <v>21</v>
      </c>
      <c r="T666" s="7" t="s">
        <v>1559</v>
      </c>
      <c r="U666" s="7" t="s">
        <v>1560</v>
      </c>
      <c r="V666" s="7" t="s">
        <v>1563</v>
      </c>
      <c r="W666" s="7" t="s">
        <v>1564</v>
      </c>
      <c r="X666" s="18"/>
      <c r="Y666" s="17"/>
      <c r="Z666" s="17"/>
      <c r="AA666" s="17"/>
      <c r="AB666" s="7" t="s">
        <v>1046</v>
      </c>
      <c r="AC666" s="8"/>
      <c r="AD666" s="8"/>
      <c r="AE666" s="8"/>
      <c r="AF666" s="8" t="s">
        <v>726</v>
      </c>
      <c r="AG666" s="8" t="s">
        <v>726</v>
      </c>
      <c r="AH666" s="8" t="s">
        <v>726</v>
      </c>
      <c r="AI666" s="8" t="s">
        <v>726</v>
      </c>
      <c r="AJ666" s="8" t="s">
        <v>726</v>
      </c>
      <c r="AK666" s="8" t="s">
        <v>726</v>
      </c>
      <c r="AL666" s="8" t="s">
        <v>726</v>
      </c>
      <c r="AM666" s="8"/>
      <c r="AN666" s="8"/>
      <c r="AO666" s="8"/>
      <c r="AP666" s="8"/>
      <c r="AQ666" s="8"/>
      <c r="AR666" s="8"/>
      <c r="AS666" s="8"/>
      <c r="AT666" s="8"/>
      <c r="AU666" s="8"/>
      <c r="AV666" s="8"/>
      <c r="AX666" s="142">
        <v>29.477987767921093</v>
      </c>
    </row>
    <row r="667" spans="1:50" ht="25.5">
      <c r="B667" s="27">
        <v>655</v>
      </c>
      <c r="C667" s="31">
        <v>336</v>
      </c>
      <c r="D667" s="34">
        <v>791</v>
      </c>
      <c r="E667" s="32">
        <v>0.27291666666666664</v>
      </c>
      <c r="F667" s="32">
        <v>0.28402777777777777</v>
      </c>
      <c r="G667" s="31" t="s">
        <v>235</v>
      </c>
      <c r="H667" s="31" t="s">
        <v>97</v>
      </c>
      <c r="I667" s="33">
        <v>9.5</v>
      </c>
      <c r="J667" s="34" t="s">
        <v>116</v>
      </c>
      <c r="K667" s="35">
        <v>208</v>
      </c>
      <c r="L667" s="36">
        <f>+K667*I667</f>
        <v>1976</v>
      </c>
      <c r="M667" s="37" t="s">
        <v>760</v>
      </c>
      <c r="N667" s="23" t="s">
        <v>908</v>
      </c>
      <c r="O667" s="23">
        <v>9</v>
      </c>
      <c r="P667" s="23" t="s">
        <v>1182</v>
      </c>
      <c r="Q667" s="23">
        <v>9</v>
      </c>
      <c r="R667" s="23" t="s">
        <v>1183</v>
      </c>
      <c r="S667" s="24">
        <v>9</v>
      </c>
      <c r="T667" s="7" t="s">
        <v>1570</v>
      </c>
      <c r="U667" s="7" t="s">
        <v>1571</v>
      </c>
      <c r="V667" s="7" t="s">
        <v>1559</v>
      </c>
      <c r="W667" s="7" t="s">
        <v>1560</v>
      </c>
      <c r="X667" s="18"/>
      <c r="Y667" s="17"/>
      <c r="Z667" s="17"/>
      <c r="AA667" s="17"/>
      <c r="AB667" s="7" t="s">
        <v>1046</v>
      </c>
      <c r="AC667" s="8"/>
      <c r="AD667" s="8"/>
      <c r="AE667" s="8"/>
      <c r="AF667" s="8" t="s">
        <v>726</v>
      </c>
      <c r="AG667" s="8" t="s">
        <v>726</v>
      </c>
      <c r="AH667" s="8" t="s">
        <v>726</v>
      </c>
      <c r="AI667" s="8" t="s">
        <v>726</v>
      </c>
      <c r="AJ667" s="8" t="s">
        <v>726</v>
      </c>
      <c r="AK667" s="8" t="s">
        <v>726</v>
      </c>
      <c r="AL667" s="8" t="s">
        <v>726</v>
      </c>
      <c r="AM667" s="8"/>
      <c r="AN667" s="8"/>
      <c r="AO667" s="8"/>
      <c r="AP667" s="8"/>
      <c r="AQ667" s="8"/>
      <c r="AR667" s="8"/>
      <c r="AS667" s="8"/>
      <c r="AT667" s="8"/>
      <c r="AU667" s="8"/>
      <c r="AV667" s="8"/>
      <c r="AX667" s="142">
        <v>30.37</v>
      </c>
    </row>
    <row r="668" spans="1:50" ht="25.5">
      <c r="B668" s="27">
        <v>656</v>
      </c>
      <c r="C668" s="31">
        <v>336</v>
      </c>
      <c r="D668" s="34">
        <v>786</v>
      </c>
      <c r="E668" s="32">
        <v>0.2951388888888889</v>
      </c>
      <c r="F668" s="32">
        <v>0.30486111111111108</v>
      </c>
      <c r="G668" s="31" t="s">
        <v>236</v>
      </c>
      <c r="H668" s="31" t="s">
        <v>477</v>
      </c>
      <c r="I668" s="33">
        <v>6.7</v>
      </c>
      <c r="J668" s="34" t="s">
        <v>234</v>
      </c>
      <c r="K668" s="35">
        <v>240</v>
      </c>
      <c r="L668" s="36">
        <f>+K668*I668</f>
        <v>1608</v>
      </c>
      <c r="M668" s="37" t="s">
        <v>756</v>
      </c>
      <c r="N668" s="23" t="s">
        <v>938</v>
      </c>
      <c r="O668" s="23">
        <v>22</v>
      </c>
      <c r="P668" s="23" t="s">
        <v>1810</v>
      </c>
      <c r="Q668" s="23">
        <v>29</v>
      </c>
      <c r="R668" s="2" t="s">
        <v>1181</v>
      </c>
      <c r="S668" s="23">
        <v>21</v>
      </c>
      <c r="T668" s="7" t="s">
        <v>1559</v>
      </c>
      <c r="U668" s="7" t="s">
        <v>1560</v>
      </c>
      <c r="V668" s="7">
        <v>3337</v>
      </c>
      <c r="W668" s="7" t="s">
        <v>1572</v>
      </c>
      <c r="X668" s="18"/>
      <c r="Y668" s="17"/>
      <c r="Z668" s="18"/>
      <c r="AA668" s="18"/>
      <c r="AB668" s="7" t="s">
        <v>1052</v>
      </c>
      <c r="AC668" s="8" t="s">
        <v>726</v>
      </c>
      <c r="AD668" s="8"/>
      <c r="AE668" s="8" t="s">
        <v>726</v>
      </c>
      <c r="AF668" s="8"/>
      <c r="AG668" s="8" t="s">
        <v>726</v>
      </c>
      <c r="AH668" s="8" t="s">
        <v>726</v>
      </c>
      <c r="AI668" s="8" t="s">
        <v>726</v>
      </c>
      <c r="AJ668" s="8" t="s">
        <v>726</v>
      </c>
      <c r="AK668" s="8" t="s">
        <v>726</v>
      </c>
      <c r="AL668" s="8" t="s">
        <v>726</v>
      </c>
      <c r="AM668" s="8"/>
      <c r="AN668" s="8"/>
      <c r="AO668" s="8"/>
      <c r="AP668" s="8"/>
      <c r="AQ668" s="8"/>
      <c r="AR668" s="8"/>
      <c r="AS668" s="8"/>
      <c r="AT668" s="8"/>
      <c r="AU668" s="8"/>
      <c r="AV668" s="8"/>
      <c r="AX668" s="142">
        <v>21.77</v>
      </c>
    </row>
    <row r="669" spans="1:50" ht="25.5">
      <c r="B669" s="27">
        <v>657</v>
      </c>
      <c r="C669" s="31">
        <v>336</v>
      </c>
      <c r="D669" s="34">
        <v>787</v>
      </c>
      <c r="E669" s="123">
        <v>0.30763888888888891</v>
      </c>
      <c r="F669" s="123">
        <v>0.3263888888888889</v>
      </c>
      <c r="G669" s="40" t="s">
        <v>235</v>
      </c>
      <c r="H669" s="31" t="s">
        <v>18</v>
      </c>
      <c r="I669" s="33">
        <v>7</v>
      </c>
      <c r="J669" s="34" t="s">
        <v>234</v>
      </c>
      <c r="K669" s="35">
        <v>304</v>
      </c>
      <c r="L669" s="36">
        <f>+K669*I669</f>
        <v>2128</v>
      </c>
      <c r="M669" s="37" t="s">
        <v>756</v>
      </c>
      <c r="N669" s="23" t="s">
        <v>938</v>
      </c>
      <c r="O669" s="23">
        <v>22</v>
      </c>
      <c r="P669" s="23" t="s">
        <v>1810</v>
      </c>
      <c r="Q669" s="23">
        <v>29</v>
      </c>
      <c r="R669" s="2" t="s">
        <v>1181</v>
      </c>
      <c r="S669" s="23">
        <v>21</v>
      </c>
      <c r="T669" s="7" t="s">
        <v>1570</v>
      </c>
      <c r="U669" s="7" t="s">
        <v>1571</v>
      </c>
      <c r="V669" s="7" t="s">
        <v>1559</v>
      </c>
      <c r="W669" s="7" t="s">
        <v>1560</v>
      </c>
      <c r="X669" s="17"/>
      <c r="Y669" s="17"/>
      <c r="Z669" s="17"/>
      <c r="AA669" s="17"/>
      <c r="AB669" s="8" t="s">
        <v>1053</v>
      </c>
      <c r="AC669" s="8" t="s">
        <v>726</v>
      </c>
      <c r="AD669" s="8" t="s">
        <v>726</v>
      </c>
      <c r="AE669" s="8" t="s">
        <v>726</v>
      </c>
      <c r="AF669" s="8"/>
      <c r="AG669" s="8" t="s">
        <v>726</v>
      </c>
      <c r="AH669" s="8" t="s">
        <v>726</v>
      </c>
      <c r="AI669" s="8" t="s">
        <v>726</v>
      </c>
      <c r="AJ669" s="8" t="s">
        <v>726</v>
      </c>
      <c r="AK669" s="8" t="s">
        <v>726</v>
      </c>
      <c r="AL669" s="8" t="s">
        <v>726</v>
      </c>
      <c r="AM669" s="8"/>
      <c r="AN669" s="8"/>
      <c r="AO669" s="8"/>
      <c r="AP669" s="8"/>
      <c r="AQ669" s="8"/>
      <c r="AR669" s="8"/>
      <c r="AS669" s="8"/>
      <c r="AT669" s="8"/>
      <c r="AU669" s="8"/>
      <c r="AV669" s="8"/>
      <c r="AX669" s="142">
        <v>29.41</v>
      </c>
    </row>
    <row r="670" spans="1:50" ht="25.5">
      <c r="B670" s="27">
        <v>658</v>
      </c>
      <c r="C670" s="31">
        <v>336</v>
      </c>
      <c r="D670" s="34">
        <v>788</v>
      </c>
      <c r="E670" s="123">
        <v>0.54861111111111105</v>
      </c>
      <c r="F670" s="123">
        <v>0.56180555555555556</v>
      </c>
      <c r="G670" s="40" t="s">
        <v>623</v>
      </c>
      <c r="H670" s="31" t="s">
        <v>18</v>
      </c>
      <c r="I670" s="33">
        <v>7.7</v>
      </c>
      <c r="J670" s="34" t="s">
        <v>234</v>
      </c>
      <c r="K670" s="35">
        <v>304</v>
      </c>
      <c r="L670" s="36">
        <f>+K670*I670</f>
        <v>2340.8000000000002</v>
      </c>
      <c r="M670" s="37" t="s">
        <v>756</v>
      </c>
      <c r="N670" s="23" t="s">
        <v>938</v>
      </c>
      <c r="O670" s="23">
        <v>22</v>
      </c>
      <c r="P670" s="23" t="s">
        <v>1810</v>
      </c>
      <c r="Q670" s="23">
        <v>29</v>
      </c>
      <c r="R670" s="2" t="s">
        <v>1181</v>
      </c>
      <c r="S670" s="23">
        <v>21</v>
      </c>
      <c r="T670" s="7" t="s">
        <v>1559</v>
      </c>
      <c r="U670" s="7" t="s">
        <v>1560</v>
      </c>
      <c r="V670" s="7" t="s">
        <v>1570</v>
      </c>
      <c r="W670" s="7" t="s">
        <v>1571</v>
      </c>
      <c r="X670" s="17"/>
      <c r="Y670" s="17"/>
      <c r="Z670" s="17"/>
      <c r="AA670" s="17"/>
      <c r="AB670" s="8" t="s">
        <v>1053</v>
      </c>
      <c r="AC670" s="8" t="s">
        <v>726</v>
      </c>
      <c r="AD670" s="8" t="s">
        <v>726</v>
      </c>
      <c r="AE670" s="8" t="s">
        <v>726</v>
      </c>
      <c r="AF670" s="8"/>
      <c r="AG670" s="8" t="s">
        <v>726</v>
      </c>
      <c r="AH670" s="8" t="s">
        <v>726</v>
      </c>
      <c r="AI670" s="8" t="s">
        <v>726</v>
      </c>
      <c r="AJ670" s="8" t="s">
        <v>726</v>
      </c>
      <c r="AK670" s="8" t="s">
        <v>726</v>
      </c>
      <c r="AL670" s="8" t="s">
        <v>726</v>
      </c>
      <c r="AM670" s="8"/>
      <c r="AN670" s="8"/>
      <c r="AO670" s="8"/>
      <c r="AP670" s="8"/>
      <c r="AQ670" s="8"/>
      <c r="AR670" s="8"/>
      <c r="AS670" s="8"/>
      <c r="AT670" s="8"/>
      <c r="AU670" s="8"/>
      <c r="AV670" s="8"/>
      <c r="AX670" s="142">
        <v>29.41</v>
      </c>
    </row>
    <row r="671" spans="1:50" ht="25.5">
      <c r="B671" s="27">
        <v>659</v>
      </c>
      <c r="C671" s="31">
        <v>336</v>
      </c>
      <c r="D671" s="34">
        <v>789</v>
      </c>
      <c r="E671" s="123">
        <v>0.5625</v>
      </c>
      <c r="F671" s="123">
        <v>0.57291666666666663</v>
      </c>
      <c r="G671" s="40" t="s">
        <v>624</v>
      </c>
      <c r="H671" s="31" t="s">
        <v>18</v>
      </c>
      <c r="I671" s="33">
        <v>7.7</v>
      </c>
      <c r="J671" s="34" t="s">
        <v>234</v>
      </c>
      <c r="K671" s="35">
        <v>304</v>
      </c>
      <c r="L671" s="36">
        <f>+K671*I671</f>
        <v>2340.8000000000002</v>
      </c>
      <c r="M671" s="37" t="s">
        <v>756</v>
      </c>
      <c r="N671" s="23" t="s">
        <v>938</v>
      </c>
      <c r="O671" s="23">
        <v>22</v>
      </c>
      <c r="P671" s="23" t="s">
        <v>1810</v>
      </c>
      <c r="Q671" s="23">
        <v>29</v>
      </c>
      <c r="R671" s="2" t="s">
        <v>1181</v>
      </c>
      <c r="S671" s="23">
        <v>21</v>
      </c>
      <c r="T671" s="7" t="s">
        <v>1570</v>
      </c>
      <c r="U671" s="7" t="s">
        <v>1571</v>
      </c>
      <c r="V671" s="7" t="s">
        <v>1559</v>
      </c>
      <c r="W671" s="7" t="s">
        <v>1560</v>
      </c>
      <c r="X671" s="17"/>
      <c r="Y671" s="17"/>
      <c r="Z671" s="17"/>
      <c r="AA671" s="17"/>
      <c r="AB671" s="8" t="s">
        <v>1053</v>
      </c>
      <c r="AC671" s="8" t="s">
        <v>726</v>
      </c>
      <c r="AD671" s="8" t="s">
        <v>726</v>
      </c>
      <c r="AE671" s="8" t="s">
        <v>726</v>
      </c>
      <c r="AF671" s="8"/>
      <c r="AG671" s="8" t="s">
        <v>726</v>
      </c>
      <c r="AH671" s="8" t="s">
        <v>726</v>
      </c>
      <c r="AI671" s="8" t="s">
        <v>726</v>
      </c>
      <c r="AJ671" s="8" t="s">
        <v>726</v>
      </c>
      <c r="AK671" s="8" t="s">
        <v>726</v>
      </c>
      <c r="AL671" s="8" t="s">
        <v>726</v>
      </c>
      <c r="AM671" s="8"/>
      <c r="AN671" s="8"/>
      <c r="AO671" s="8"/>
      <c r="AP671" s="8"/>
      <c r="AQ671" s="8"/>
      <c r="AR671" s="8"/>
      <c r="AS671" s="8"/>
      <c r="AT671" s="8"/>
      <c r="AU671" s="8"/>
      <c r="AV671" s="8"/>
      <c r="AX671" s="142">
        <v>18.05</v>
      </c>
    </row>
    <row r="672" spans="1:50" ht="25.5">
      <c r="B672" s="27">
        <v>660</v>
      </c>
      <c r="C672" s="31">
        <v>336</v>
      </c>
      <c r="D672" s="34">
        <v>794</v>
      </c>
      <c r="E672" s="32">
        <v>0.59027777777777779</v>
      </c>
      <c r="F672" s="42">
        <v>0.60416666666666663</v>
      </c>
      <c r="G672" s="31" t="s">
        <v>588</v>
      </c>
      <c r="H672" s="31" t="s">
        <v>97</v>
      </c>
      <c r="I672" s="33">
        <v>7.7</v>
      </c>
      <c r="J672" s="34" t="s">
        <v>116</v>
      </c>
      <c r="K672" s="35">
        <v>208</v>
      </c>
      <c r="L672" s="36">
        <f>+K672*I672</f>
        <v>1601.6000000000001</v>
      </c>
      <c r="M672" s="37" t="s">
        <v>760</v>
      </c>
      <c r="N672" s="23" t="s">
        <v>908</v>
      </c>
      <c r="O672" s="23">
        <v>9</v>
      </c>
      <c r="P672" s="23" t="s">
        <v>1182</v>
      </c>
      <c r="Q672" s="23">
        <v>9</v>
      </c>
      <c r="R672" s="23" t="s">
        <v>1183</v>
      </c>
      <c r="S672" s="24">
        <v>9</v>
      </c>
      <c r="T672" s="7" t="s">
        <v>1559</v>
      </c>
      <c r="U672" s="7" t="s">
        <v>1560</v>
      </c>
      <c r="V672" s="7" t="s">
        <v>1570</v>
      </c>
      <c r="W672" s="7" t="s">
        <v>1571</v>
      </c>
      <c r="X672" s="18"/>
      <c r="Y672" s="17"/>
      <c r="Z672" s="17"/>
      <c r="AA672" s="17"/>
      <c r="AB672" s="7" t="s">
        <v>1046</v>
      </c>
      <c r="AC672" s="8"/>
      <c r="AD672" s="8"/>
      <c r="AE672" s="8"/>
      <c r="AF672" s="8" t="s">
        <v>726</v>
      </c>
      <c r="AG672" s="8" t="s">
        <v>726</v>
      </c>
      <c r="AH672" s="8" t="s">
        <v>726</v>
      </c>
      <c r="AI672" s="8" t="s">
        <v>726</v>
      </c>
      <c r="AJ672" s="8" t="s">
        <v>726</v>
      </c>
      <c r="AK672" s="8" t="s">
        <v>726</v>
      </c>
      <c r="AL672" s="8" t="s">
        <v>726</v>
      </c>
      <c r="AM672" s="8"/>
      <c r="AN672" s="8"/>
      <c r="AO672" s="8"/>
      <c r="AP672" s="8"/>
      <c r="AQ672" s="8"/>
      <c r="AR672" s="8"/>
      <c r="AS672" s="8"/>
      <c r="AT672" s="8"/>
      <c r="AU672" s="8"/>
      <c r="AV672" s="8"/>
      <c r="AX672" s="142">
        <v>15.4</v>
      </c>
    </row>
    <row r="673" spans="2:50" ht="25.5">
      <c r="B673" s="27">
        <v>661</v>
      </c>
      <c r="C673" s="31">
        <v>336</v>
      </c>
      <c r="D673" s="34">
        <v>803</v>
      </c>
      <c r="E673" s="32">
        <v>0.60416666666666663</v>
      </c>
      <c r="F673" s="42">
        <v>0.61458333333333337</v>
      </c>
      <c r="G673" s="31" t="s">
        <v>589</v>
      </c>
      <c r="H673" s="31" t="s">
        <v>97</v>
      </c>
      <c r="I673" s="33">
        <v>7.7</v>
      </c>
      <c r="J673" s="34" t="s">
        <v>116</v>
      </c>
      <c r="K673" s="35">
        <v>208</v>
      </c>
      <c r="L673" s="36">
        <f>+K673*I673</f>
        <v>1601.6000000000001</v>
      </c>
      <c r="M673" s="37" t="s">
        <v>760</v>
      </c>
      <c r="N673" s="23" t="s">
        <v>908</v>
      </c>
      <c r="O673" s="23">
        <v>9</v>
      </c>
      <c r="P673" s="23" t="s">
        <v>1182</v>
      </c>
      <c r="Q673" s="23">
        <v>9</v>
      </c>
      <c r="R673" s="23" t="s">
        <v>1183</v>
      </c>
      <c r="S673" s="24">
        <v>9</v>
      </c>
      <c r="T673" s="7" t="s">
        <v>1570</v>
      </c>
      <c r="U673" s="7" t="s">
        <v>1571</v>
      </c>
      <c r="V673" s="7" t="s">
        <v>1559</v>
      </c>
      <c r="W673" s="7" t="s">
        <v>1560</v>
      </c>
      <c r="X673" s="18"/>
      <c r="Y673" s="17"/>
      <c r="Z673" s="17"/>
      <c r="AA673" s="17"/>
      <c r="AB673" s="7" t="s">
        <v>1046</v>
      </c>
      <c r="AC673" s="8"/>
      <c r="AD673" s="8"/>
      <c r="AE673" s="8"/>
      <c r="AF673" s="8" t="s">
        <v>726</v>
      </c>
      <c r="AG673" s="8" t="s">
        <v>726</v>
      </c>
      <c r="AH673" s="8" t="s">
        <v>726</v>
      </c>
      <c r="AI673" s="8" t="s">
        <v>726</v>
      </c>
      <c r="AJ673" s="8" t="s">
        <v>726</v>
      </c>
      <c r="AK673" s="8" t="s">
        <v>726</v>
      </c>
      <c r="AL673" s="8" t="s">
        <v>726</v>
      </c>
      <c r="AM673" s="8"/>
      <c r="AN673" s="8"/>
      <c r="AO673" s="8"/>
      <c r="AP673" s="8"/>
      <c r="AQ673" s="8"/>
      <c r="AR673" s="8"/>
      <c r="AS673" s="8"/>
      <c r="AT673" s="8"/>
      <c r="AU673" s="8"/>
      <c r="AV673" s="8"/>
      <c r="AX673" s="142">
        <v>15.4</v>
      </c>
    </row>
    <row r="674" spans="2:50" ht="51">
      <c r="B674" s="27">
        <v>662</v>
      </c>
      <c r="C674" s="31">
        <v>336</v>
      </c>
      <c r="D674" s="34">
        <v>790</v>
      </c>
      <c r="E674" s="42">
        <v>0.71527777777777779</v>
      </c>
      <c r="F674" s="42">
        <v>0.7270833333333333</v>
      </c>
      <c r="G674" s="31" t="s">
        <v>233</v>
      </c>
      <c r="H674" s="31" t="s">
        <v>590</v>
      </c>
      <c r="I674" s="33">
        <v>7.7</v>
      </c>
      <c r="J674" s="34" t="s">
        <v>116</v>
      </c>
      <c r="K674" s="35">
        <f>174+14</f>
        <v>188</v>
      </c>
      <c r="L674" s="36">
        <f>+K674*I674</f>
        <v>1447.6000000000001</v>
      </c>
      <c r="M674" s="37" t="s">
        <v>756</v>
      </c>
      <c r="N674" s="23" t="s">
        <v>938</v>
      </c>
      <c r="O674" s="23">
        <v>22</v>
      </c>
      <c r="P674" s="23" t="s">
        <v>1810</v>
      </c>
      <c r="Q674" s="23">
        <v>29</v>
      </c>
      <c r="R674" s="2" t="s">
        <v>1922</v>
      </c>
      <c r="S674" s="23" t="s">
        <v>1923</v>
      </c>
      <c r="T674" s="7" t="s">
        <v>1559</v>
      </c>
      <c r="U674" s="7" t="s">
        <v>1560</v>
      </c>
      <c r="V674" s="7" t="s">
        <v>1570</v>
      </c>
      <c r="W674" s="7" t="s">
        <v>1571</v>
      </c>
      <c r="X674" s="18"/>
      <c r="Y674" s="17"/>
      <c r="Z674" s="17"/>
      <c r="AA674" s="17"/>
      <c r="AB674" s="8" t="s">
        <v>1088</v>
      </c>
      <c r="AC674" s="8"/>
      <c r="AD674" s="8"/>
      <c r="AE674" s="8"/>
      <c r="AF674" s="8" t="s">
        <v>726</v>
      </c>
      <c r="AG674" s="8" t="s">
        <v>726</v>
      </c>
      <c r="AH674" s="8" t="s">
        <v>726</v>
      </c>
      <c r="AI674" s="8" t="s">
        <v>726</v>
      </c>
      <c r="AJ674" s="8" t="s">
        <v>726</v>
      </c>
      <c r="AK674" s="8" t="s">
        <v>726</v>
      </c>
      <c r="AL674" s="8"/>
      <c r="AM674" s="8"/>
      <c r="AN674" s="8"/>
      <c r="AO674" s="8"/>
      <c r="AP674" s="8"/>
      <c r="AQ674" s="8" t="s">
        <v>726</v>
      </c>
      <c r="AR674" s="8"/>
      <c r="AS674" s="8" t="s">
        <v>726</v>
      </c>
      <c r="AT674" s="8"/>
      <c r="AU674" s="8" t="s">
        <v>726</v>
      </c>
      <c r="AV674" s="8"/>
      <c r="AX674" s="142">
        <v>24</v>
      </c>
    </row>
    <row r="675" spans="2:50" ht="51">
      <c r="B675" s="27">
        <v>663</v>
      </c>
      <c r="C675" s="31">
        <v>336</v>
      </c>
      <c r="D675" s="34">
        <v>805</v>
      </c>
      <c r="E675" s="32">
        <v>0.7270833333333333</v>
      </c>
      <c r="F675" s="42">
        <v>0.73749999999999993</v>
      </c>
      <c r="G675" s="31" t="s">
        <v>992</v>
      </c>
      <c r="H675" s="31" t="s">
        <v>590</v>
      </c>
      <c r="I675" s="33">
        <v>7.7</v>
      </c>
      <c r="J675" s="34" t="s">
        <v>116</v>
      </c>
      <c r="K675" s="35">
        <f>174+14</f>
        <v>188</v>
      </c>
      <c r="L675" s="36">
        <f>+K675*I675</f>
        <v>1447.6000000000001</v>
      </c>
      <c r="M675" s="37" t="s">
        <v>756</v>
      </c>
      <c r="N675" s="23" t="s">
        <v>938</v>
      </c>
      <c r="O675" s="23">
        <v>22</v>
      </c>
      <c r="P675" s="23" t="s">
        <v>1810</v>
      </c>
      <c r="Q675" s="23">
        <v>29</v>
      </c>
      <c r="R675" s="2" t="s">
        <v>1922</v>
      </c>
      <c r="S675" s="23" t="s">
        <v>1923</v>
      </c>
      <c r="T675" s="7">
        <v>3337</v>
      </c>
      <c r="U675" s="7" t="s">
        <v>1572</v>
      </c>
      <c r="V675" s="7" t="s">
        <v>1559</v>
      </c>
      <c r="W675" s="7" t="s">
        <v>1560</v>
      </c>
      <c r="X675" s="18"/>
      <c r="Y675" s="17"/>
      <c r="Z675" s="17"/>
      <c r="AA675" s="17"/>
      <c r="AB675" s="8" t="s">
        <v>1088</v>
      </c>
      <c r="AC675" s="8"/>
      <c r="AD675" s="8"/>
      <c r="AE675" s="8"/>
      <c r="AF675" s="8" t="s">
        <v>726</v>
      </c>
      <c r="AG675" s="8" t="s">
        <v>726</v>
      </c>
      <c r="AH675" s="8" t="s">
        <v>726</v>
      </c>
      <c r="AI675" s="8" t="s">
        <v>726</v>
      </c>
      <c r="AJ675" s="8" t="s">
        <v>726</v>
      </c>
      <c r="AK675" s="8" t="s">
        <v>726</v>
      </c>
      <c r="AL675" s="8"/>
      <c r="AM675" s="8"/>
      <c r="AN675" s="8"/>
      <c r="AO675" s="8"/>
      <c r="AP675" s="8"/>
      <c r="AQ675" s="8" t="s">
        <v>726</v>
      </c>
      <c r="AR675" s="8"/>
      <c r="AS675" s="8" t="s">
        <v>726</v>
      </c>
      <c r="AT675" s="8"/>
      <c r="AU675" s="8" t="s">
        <v>726</v>
      </c>
      <c r="AV675" s="8"/>
      <c r="AX675" s="142">
        <v>15.4</v>
      </c>
    </row>
    <row r="676" spans="2:50" ht="25.5">
      <c r="B676" s="27">
        <v>664</v>
      </c>
      <c r="C676" s="38">
        <v>401</v>
      </c>
      <c r="D676" s="38">
        <v>122</v>
      </c>
      <c r="E676" s="39">
        <v>0.28472222222222221</v>
      </c>
      <c r="F676" s="39">
        <v>0.30486111111111108</v>
      </c>
      <c r="G676" s="40" t="s">
        <v>13</v>
      </c>
      <c r="H676" s="31" t="s">
        <v>14</v>
      </c>
      <c r="I676" s="38">
        <v>17</v>
      </c>
      <c r="J676" s="41">
        <v>19</v>
      </c>
      <c r="K676" s="35">
        <v>34</v>
      </c>
      <c r="L676" s="36">
        <f>+K676*I676</f>
        <v>578</v>
      </c>
      <c r="M676" s="37" t="s">
        <v>761</v>
      </c>
      <c r="N676" s="79" t="s">
        <v>882</v>
      </c>
      <c r="O676" s="79">
        <v>33</v>
      </c>
      <c r="P676" s="23" t="s">
        <v>1826</v>
      </c>
      <c r="Q676" s="23">
        <v>34</v>
      </c>
      <c r="T676" s="7">
        <v>4300</v>
      </c>
      <c r="U676" s="7" t="s">
        <v>1573</v>
      </c>
      <c r="V676" s="7" t="s">
        <v>1574</v>
      </c>
      <c r="W676" s="7" t="s">
        <v>1575</v>
      </c>
      <c r="X676" s="18"/>
      <c r="Y676" s="17"/>
      <c r="Z676" s="17"/>
      <c r="AA676" s="17"/>
      <c r="AB676" s="7" t="s">
        <v>1051</v>
      </c>
      <c r="AC676" s="8"/>
      <c r="AD676" s="8"/>
      <c r="AE676" s="8"/>
      <c r="AF676" s="8" t="s">
        <v>726</v>
      </c>
      <c r="AG676" s="8"/>
      <c r="AH676" s="8"/>
      <c r="AI676" s="8"/>
      <c r="AJ676" s="8"/>
      <c r="AK676" s="8"/>
      <c r="AL676" s="8" t="s">
        <v>726</v>
      </c>
      <c r="AM676" s="8"/>
      <c r="AN676" s="8"/>
      <c r="AO676" s="8"/>
      <c r="AP676" s="8"/>
      <c r="AQ676" s="8"/>
      <c r="AR676" s="8"/>
      <c r="AS676" s="8"/>
      <c r="AT676" s="8"/>
      <c r="AU676" s="8"/>
      <c r="AV676" s="8"/>
      <c r="AX676" s="142">
        <v>385</v>
      </c>
    </row>
    <row r="677" spans="2:50" ht="38.25">
      <c r="B677" s="27">
        <v>665</v>
      </c>
      <c r="C677" s="38">
        <v>401</v>
      </c>
      <c r="D677" s="38">
        <v>122</v>
      </c>
      <c r="E677" s="39">
        <v>0.28472222222222221</v>
      </c>
      <c r="F677" s="39">
        <v>0.30486111111111108</v>
      </c>
      <c r="G677" s="40" t="s">
        <v>13</v>
      </c>
      <c r="H677" s="31" t="s">
        <v>643</v>
      </c>
      <c r="I677" s="38">
        <v>17</v>
      </c>
      <c r="J677" s="41">
        <v>19</v>
      </c>
      <c r="K677" s="35">
        <v>26</v>
      </c>
      <c r="L677" s="36">
        <f>+K677*I677</f>
        <v>442</v>
      </c>
      <c r="M677" s="37" t="s">
        <v>761</v>
      </c>
      <c r="N677" s="79" t="s">
        <v>882</v>
      </c>
      <c r="O677" s="79">
        <v>33</v>
      </c>
      <c r="P677" s="23" t="s">
        <v>1826</v>
      </c>
      <c r="Q677" s="23">
        <v>34</v>
      </c>
      <c r="T677" s="7">
        <v>4300</v>
      </c>
      <c r="U677" s="7" t="s">
        <v>1573</v>
      </c>
      <c r="V677" s="7" t="s">
        <v>1574</v>
      </c>
      <c r="W677" s="7" t="s">
        <v>1575</v>
      </c>
      <c r="X677" s="18"/>
      <c r="Y677" s="17"/>
      <c r="Z677" s="18"/>
      <c r="AA677" s="18"/>
      <c r="AB677" s="7" t="s">
        <v>1072</v>
      </c>
      <c r="AC677" s="8" t="s">
        <v>726</v>
      </c>
      <c r="AD677" s="8"/>
      <c r="AE677" s="8" t="s">
        <v>726</v>
      </c>
      <c r="AF677" s="8"/>
      <c r="AG677" s="8"/>
      <c r="AH677" s="8"/>
      <c r="AI677" s="8"/>
      <c r="AJ677" s="8"/>
      <c r="AK677" s="8"/>
      <c r="AL677" s="8"/>
      <c r="AM677" s="8"/>
      <c r="AN677" s="8"/>
      <c r="AO677" s="8"/>
      <c r="AP677" s="8"/>
      <c r="AQ677" s="8" t="s">
        <v>726</v>
      </c>
      <c r="AR677" s="8" t="s">
        <v>726</v>
      </c>
      <c r="AS677" s="8" t="s">
        <v>726</v>
      </c>
      <c r="AT677" s="8" t="s">
        <v>726</v>
      </c>
      <c r="AU677" s="8" t="s">
        <v>726</v>
      </c>
      <c r="AV677" s="8"/>
      <c r="AX677" s="142">
        <v>132.05357142857144</v>
      </c>
    </row>
    <row r="678" spans="2:50" ht="25.5">
      <c r="B678" s="27">
        <v>666</v>
      </c>
      <c r="C678" s="31">
        <v>401</v>
      </c>
      <c r="D678" s="31">
        <v>507</v>
      </c>
      <c r="E678" s="32">
        <v>0.3298611111111111</v>
      </c>
      <c r="F678" s="42">
        <v>0.36805555555555558</v>
      </c>
      <c r="G678" s="31" t="s">
        <v>507</v>
      </c>
      <c r="H678" s="31" t="s">
        <v>203</v>
      </c>
      <c r="I678" s="33">
        <v>49</v>
      </c>
      <c r="J678" s="34" t="s">
        <v>101</v>
      </c>
      <c r="K678" s="35">
        <v>202</v>
      </c>
      <c r="L678" s="36">
        <f>+K678*I678</f>
        <v>9898</v>
      </c>
      <c r="M678" s="37" t="s">
        <v>762</v>
      </c>
      <c r="N678" s="23" t="s">
        <v>883</v>
      </c>
      <c r="O678" s="23">
        <v>61</v>
      </c>
      <c r="P678" s="23" t="s">
        <v>1811</v>
      </c>
      <c r="Q678" s="23">
        <v>62</v>
      </c>
      <c r="R678" s="23"/>
      <c r="S678" s="23"/>
      <c r="T678" s="7">
        <v>4400</v>
      </c>
      <c r="U678" s="7" t="s">
        <v>1576</v>
      </c>
      <c r="V678" s="7">
        <v>1</v>
      </c>
      <c r="W678" s="7" t="s">
        <v>1236</v>
      </c>
      <c r="X678" s="18"/>
      <c r="Y678" s="17"/>
      <c r="Z678" s="18"/>
      <c r="AA678" s="18"/>
      <c r="AB678" s="7" t="s">
        <v>1048</v>
      </c>
      <c r="AC678" s="8" t="s">
        <v>726</v>
      </c>
      <c r="AD678" s="8"/>
      <c r="AE678" s="8" t="s">
        <v>726</v>
      </c>
      <c r="AF678" s="8"/>
      <c r="AG678" s="8" t="s">
        <v>726</v>
      </c>
      <c r="AH678" s="8" t="s">
        <v>726</v>
      </c>
      <c r="AI678" s="8" t="s">
        <v>726</v>
      </c>
      <c r="AJ678" s="8" t="s">
        <v>726</v>
      </c>
      <c r="AK678" s="8" t="s">
        <v>726</v>
      </c>
      <c r="AL678" s="8"/>
      <c r="AM678" s="8"/>
      <c r="AN678" s="8"/>
      <c r="AO678" s="8"/>
      <c r="AP678" s="8"/>
      <c r="AQ678" s="8"/>
      <c r="AR678" s="8"/>
      <c r="AS678" s="8"/>
      <c r="AT678" s="8"/>
      <c r="AU678" s="8"/>
      <c r="AV678" s="8"/>
      <c r="AX678" s="142">
        <v>88.2</v>
      </c>
    </row>
    <row r="679" spans="2:50" ht="25.5">
      <c r="B679" s="27">
        <v>667</v>
      </c>
      <c r="C679" s="31">
        <v>401</v>
      </c>
      <c r="D679" s="31">
        <v>134</v>
      </c>
      <c r="E679" s="32">
        <v>0.42708333333333331</v>
      </c>
      <c r="F679" s="32">
        <v>0.47291666666666665</v>
      </c>
      <c r="G679" s="31" t="s">
        <v>508</v>
      </c>
      <c r="H679" s="31" t="s">
        <v>546</v>
      </c>
      <c r="I679" s="33">
        <v>37</v>
      </c>
      <c r="J679" s="34" t="s">
        <v>406</v>
      </c>
      <c r="K679" s="35">
        <v>13</v>
      </c>
      <c r="L679" s="36">
        <f>+K679*I679</f>
        <v>481</v>
      </c>
      <c r="M679" s="37" t="s">
        <v>738</v>
      </c>
      <c r="N679" s="23" t="s">
        <v>841</v>
      </c>
      <c r="O679" s="23">
        <v>42</v>
      </c>
      <c r="P679" s="23" t="s">
        <v>1829</v>
      </c>
      <c r="Q679" s="23">
        <v>45</v>
      </c>
      <c r="R679" s="23" t="s">
        <v>1145</v>
      </c>
      <c r="S679" s="24">
        <v>48</v>
      </c>
      <c r="T679" s="7">
        <v>1</v>
      </c>
      <c r="U679" s="7" t="s">
        <v>1233</v>
      </c>
      <c r="V679" s="7">
        <v>4400</v>
      </c>
      <c r="W679" s="7" t="s">
        <v>1576</v>
      </c>
      <c r="X679" s="17"/>
      <c r="Y679" s="18"/>
      <c r="Z679" s="18"/>
      <c r="AA679" s="18"/>
      <c r="AB679" s="7" t="s">
        <v>1044</v>
      </c>
      <c r="AC679" s="8"/>
      <c r="AD679" s="8" t="s">
        <v>726</v>
      </c>
      <c r="AE679" s="8"/>
      <c r="AF679" s="8"/>
      <c r="AG679" s="8"/>
      <c r="AH679" s="8"/>
      <c r="AI679" s="8"/>
      <c r="AJ679" s="8"/>
      <c r="AK679" s="8"/>
      <c r="AL679" s="8"/>
      <c r="AM679" s="8" t="s">
        <v>726</v>
      </c>
      <c r="AN679" s="8"/>
      <c r="AO679" s="8"/>
      <c r="AP679" s="8"/>
      <c r="AQ679" s="8"/>
      <c r="AR679" s="8"/>
      <c r="AS679" s="8"/>
      <c r="AT679" s="8"/>
      <c r="AU679" s="8"/>
      <c r="AV679" s="8"/>
      <c r="AX679" s="142">
        <v>111</v>
      </c>
    </row>
    <row r="680" spans="2:50" ht="25.5">
      <c r="B680" s="27">
        <v>668</v>
      </c>
      <c r="C680" s="31">
        <v>401</v>
      </c>
      <c r="D680" s="31">
        <v>147</v>
      </c>
      <c r="E680" s="32">
        <v>0.47916666666666669</v>
      </c>
      <c r="F680" s="32">
        <v>0.52986111111111112</v>
      </c>
      <c r="G680" s="31" t="s">
        <v>507</v>
      </c>
      <c r="H680" s="31" t="s">
        <v>546</v>
      </c>
      <c r="I680" s="33">
        <v>41</v>
      </c>
      <c r="J680" s="34" t="s">
        <v>406</v>
      </c>
      <c r="K680" s="35">
        <v>13</v>
      </c>
      <c r="L680" s="36">
        <f>+K680*I680</f>
        <v>533</v>
      </c>
      <c r="M680" s="37" t="s">
        <v>738</v>
      </c>
      <c r="N680" s="23" t="s">
        <v>841</v>
      </c>
      <c r="O680" s="23">
        <v>42</v>
      </c>
      <c r="P680" s="23" t="s">
        <v>1829</v>
      </c>
      <c r="Q680" s="23">
        <v>45</v>
      </c>
      <c r="R680" s="23" t="s">
        <v>1145</v>
      </c>
      <c r="S680" s="24">
        <v>48</v>
      </c>
      <c r="T680" s="7">
        <v>4400</v>
      </c>
      <c r="U680" s="7" t="s">
        <v>1576</v>
      </c>
      <c r="V680" s="7">
        <v>1</v>
      </c>
      <c r="W680" s="7" t="s">
        <v>1236</v>
      </c>
      <c r="X680" s="17"/>
      <c r="Y680" s="18"/>
      <c r="Z680" s="18"/>
      <c r="AA680" s="18"/>
      <c r="AB680" s="7" t="s">
        <v>1044</v>
      </c>
      <c r="AC680" s="8"/>
      <c r="AD680" s="8" t="s">
        <v>726</v>
      </c>
      <c r="AE680" s="8"/>
      <c r="AF680" s="8"/>
      <c r="AG680" s="8"/>
      <c r="AH680" s="8"/>
      <c r="AI680" s="8"/>
      <c r="AJ680" s="8"/>
      <c r="AK680" s="8"/>
      <c r="AL680" s="8"/>
      <c r="AM680" s="8" t="s">
        <v>726</v>
      </c>
      <c r="AN680" s="8"/>
      <c r="AO680" s="8"/>
      <c r="AP680" s="8"/>
      <c r="AQ680" s="8"/>
      <c r="AR680" s="8"/>
      <c r="AS680" s="8"/>
      <c r="AT680" s="8"/>
      <c r="AU680" s="8"/>
      <c r="AV680" s="8"/>
      <c r="AX680" s="142">
        <v>123</v>
      </c>
    </row>
    <row r="681" spans="2:50" ht="25.5">
      <c r="B681" s="27">
        <v>669</v>
      </c>
      <c r="C681" s="31">
        <v>401</v>
      </c>
      <c r="D681" s="43">
        <v>153</v>
      </c>
      <c r="E681" s="32">
        <v>0.54861111111111105</v>
      </c>
      <c r="F681" s="32">
        <v>0.59722222222222221</v>
      </c>
      <c r="G681" s="31" t="s">
        <v>507</v>
      </c>
      <c r="H681" s="31" t="s">
        <v>563</v>
      </c>
      <c r="I681" s="33">
        <v>49</v>
      </c>
      <c r="J681" s="34" t="s">
        <v>101</v>
      </c>
      <c r="K681" s="35">
        <v>55</v>
      </c>
      <c r="L681" s="36">
        <f>+K681*I681</f>
        <v>2695</v>
      </c>
      <c r="M681" s="37" t="s">
        <v>762</v>
      </c>
      <c r="N681" s="23" t="s">
        <v>883</v>
      </c>
      <c r="O681" s="23">
        <v>61</v>
      </c>
      <c r="P681" s="23" t="s">
        <v>1811</v>
      </c>
      <c r="Q681" s="23">
        <v>62</v>
      </c>
      <c r="S681" s="23"/>
      <c r="T681" s="7" t="s">
        <v>1574</v>
      </c>
      <c r="U681" s="7" t="s">
        <v>1575</v>
      </c>
      <c r="V681" s="7">
        <v>1</v>
      </c>
      <c r="W681" s="7" t="s">
        <v>1236</v>
      </c>
      <c r="X681" s="17"/>
      <c r="Y681" s="18"/>
      <c r="Z681" s="18"/>
      <c r="AA681" s="18"/>
      <c r="AB681" s="7" t="s">
        <v>1049</v>
      </c>
      <c r="AC681" s="8"/>
      <c r="AD681" s="8" t="s">
        <v>726</v>
      </c>
      <c r="AE681" s="8" t="s">
        <v>726</v>
      </c>
      <c r="AF681" s="8"/>
      <c r="AG681" s="8" t="s">
        <v>726</v>
      </c>
      <c r="AH681" s="8" t="s">
        <v>726</v>
      </c>
      <c r="AI681" s="8" t="s">
        <v>726</v>
      </c>
      <c r="AJ681" s="8" t="s">
        <v>726</v>
      </c>
      <c r="AK681" s="8" t="s">
        <v>726</v>
      </c>
      <c r="AL681" s="8"/>
      <c r="AM681" s="8"/>
      <c r="AN681" s="8"/>
      <c r="AO681" s="8"/>
      <c r="AP681" s="8"/>
      <c r="AQ681" s="8"/>
      <c r="AR681" s="8"/>
      <c r="AS681" s="8"/>
      <c r="AT681" s="8"/>
      <c r="AU681" s="8"/>
      <c r="AV681" s="8"/>
      <c r="AX681" s="142">
        <v>88.2</v>
      </c>
    </row>
    <row r="682" spans="2:50" ht="39" customHeight="1">
      <c r="B682" s="27">
        <v>670</v>
      </c>
      <c r="C682" s="31">
        <v>401</v>
      </c>
      <c r="D682" s="31">
        <v>266</v>
      </c>
      <c r="E682" s="32">
        <v>0.70138888888888884</v>
      </c>
      <c r="F682" s="32">
        <v>0.71875</v>
      </c>
      <c r="G682" s="31" t="s">
        <v>268</v>
      </c>
      <c r="H682" s="31" t="s">
        <v>267</v>
      </c>
      <c r="I682" s="33">
        <v>17.5</v>
      </c>
      <c r="J682" s="34" t="s">
        <v>116</v>
      </c>
      <c r="K682" s="35">
        <v>55</v>
      </c>
      <c r="L682" s="36">
        <f>+K682*I682</f>
        <v>962.5</v>
      </c>
      <c r="M682" s="37" t="s">
        <v>763</v>
      </c>
      <c r="N682" s="23" t="s">
        <v>881</v>
      </c>
      <c r="O682" s="23">
        <v>9</v>
      </c>
      <c r="P682" s="23" t="s">
        <v>1812</v>
      </c>
      <c r="Q682" s="23">
        <v>9</v>
      </c>
      <c r="R682" s="125" t="s">
        <v>2109</v>
      </c>
      <c r="S682" s="136">
        <v>9</v>
      </c>
      <c r="T682" s="7">
        <v>4300</v>
      </c>
      <c r="U682" s="7" t="s">
        <v>1573</v>
      </c>
      <c r="V682" s="7">
        <v>4400</v>
      </c>
      <c r="W682" s="7" t="s">
        <v>1576</v>
      </c>
      <c r="X682" s="17"/>
      <c r="Y682" s="18"/>
      <c r="Z682" s="18"/>
      <c r="AA682" s="18"/>
      <c r="AB682" s="7" t="s">
        <v>1049</v>
      </c>
      <c r="AC682" s="8"/>
      <c r="AD682" s="8" t="s">
        <v>726</v>
      </c>
      <c r="AE682" s="8" t="s">
        <v>726</v>
      </c>
      <c r="AF682" s="8"/>
      <c r="AG682" s="8" t="s">
        <v>726</v>
      </c>
      <c r="AH682" s="8" t="s">
        <v>726</v>
      </c>
      <c r="AI682" s="8" t="s">
        <v>726</v>
      </c>
      <c r="AJ682" s="8" t="s">
        <v>726</v>
      </c>
      <c r="AK682" s="8" t="s">
        <v>726</v>
      </c>
      <c r="AL682" s="8"/>
      <c r="AM682" s="8"/>
      <c r="AN682" s="8"/>
      <c r="AO682" s="8"/>
      <c r="AP682" s="8"/>
      <c r="AQ682" s="8"/>
      <c r="AR682" s="8"/>
      <c r="AS682" s="8"/>
      <c r="AT682" s="8"/>
      <c r="AU682" s="8"/>
      <c r="AV682" s="8"/>
      <c r="AX682" s="142">
        <v>35</v>
      </c>
    </row>
    <row r="683" spans="2:50" ht="25.5">
      <c r="B683" s="27">
        <v>671</v>
      </c>
      <c r="C683" s="31">
        <v>401</v>
      </c>
      <c r="D683" s="31">
        <v>410</v>
      </c>
      <c r="E683" s="32">
        <v>0.77430555555555547</v>
      </c>
      <c r="F683" s="32">
        <v>0.7895833333333333</v>
      </c>
      <c r="G683" s="31" t="s">
        <v>569</v>
      </c>
      <c r="H683" s="31" t="s">
        <v>424</v>
      </c>
      <c r="I683" s="33">
        <v>11.5</v>
      </c>
      <c r="J683" s="58">
        <v>50</v>
      </c>
      <c r="K683" s="35">
        <v>55</v>
      </c>
      <c r="L683" s="36">
        <f>+K683*I683</f>
        <v>632.5</v>
      </c>
      <c r="M683" s="37" t="s">
        <v>716</v>
      </c>
      <c r="N683" s="23" t="s">
        <v>856</v>
      </c>
      <c r="O683" s="23" t="s">
        <v>972</v>
      </c>
      <c r="P683" s="23" t="s">
        <v>853</v>
      </c>
      <c r="Q683" s="23">
        <v>57</v>
      </c>
      <c r="R683" s="23" t="s">
        <v>1184</v>
      </c>
      <c r="S683" s="24">
        <v>56</v>
      </c>
      <c r="T683" s="7">
        <v>1</v>
      </c>
      <c r="U683" s="7" t="s">
        <v>1233</v>
      </c>
      <c r="V683" s="7" t="s">
        <v>1343</v>
      </c>
      <c r="W683" s="7" t="s">
        <v>1344</v>
      </c>
      <c r="X683" s="17"/>
      <c r="Y683" s="18"/>
      <c r="Z683" s="18"/>
      <c r="AA683" s="18"/>
      <c r="AB683" s="7" t="s">
        <v>1049</v>
      </c>
      <c r="AC683" s="8"/>
      <c r="AD683" s="8" t="s">
        <v>726</v>
      </c>
      <c r="AE683" s="8" t="s">
        <v>726</v>
      </c>
      <c r="AF683" s="8"/>
      <c r="AG683" s="8" t="s">
        <v>726</v>
      </c>
      <c r="AH683" s="8" t="s">
        <v>726</v>
      </c>
      <c r="AI683" s="8" t="s">
        <v>726</v>
      </c>
      <c r="AJ683" s="8" t="s">
        <v>726</v>
      </c>
      <c r="AK683" s="8" t="s">
        <v>726</v>
      </c>
      <c r="AL683" s="8"/>
      <c r="AM683" s="8"/>
      <c r="AN683" s="8"/>
      <c r="AO683" s="8"/>
      <c r="AP683" s="8"/>
      <c r="AQ683" s="8"/>
      <c r="AR683" s="8"/>
      <c r="AS683" s="8"/>
      <c r="AT683" s="8"/>
      <c r="AU683" s="8"/>
      <c r="AV683" s="8"/>
      <c r="AX683" s="142">
        <v>34.5</v>
      </c>
    </row>
    <row r="684" spans="2:50" ht="25.5">
      <c r="B684" s="27">
        <v>672</v>
      </c>
      <c r="C684" s="38">
        <v>401</v>
      </c>
      <c r="D684" s="53">
        <v>172</v>
      </c>
      <c r="E684" s="39">
        <v>0.80208333333333337</v>
      </c>
      <c r="F684" s="39">
        <v>0.84861111111111109</v>
      </c>
      <c r="G684" s="40" t="s">
        <v>12</v>
      </c>
      <c r="H684" s="31" t="s">
        <v>155</v>
      </c>
      <c r="I684" s="38">
        <v>41</v>
      </c>
      <c r="J684" s="41">
        <v>50</v>
      </c>
      <c r="K684" s="35">
        <v>252</v>
      </c>
      <c r="L684" s="36">
        <f>+K684*I684</f>
        <v>10332</v>
      </c>
      <c r="M684" s="37" t="s">
        <v>761</v>
      </c>
      <c r="N684" s="23" t="s">
        <v>883</v>
      </c>
      <c r="O684" s="23">
        <v>61</v>
      </c>
      <c r="P684" s="23" t="s">
        <v>1811</v>
      </c>
      <c r="Q684" s="23">
        <v>62</v>
      </c>
      <c r="S684" s="23"/>
      <c r="T684" s="7">
        <v>1</v>
      </c>
      <c r="U684" s="7" t="s">
        <v>1233</v>
      </c>
      <c r="V684" s="7" t="s">
        <v>1574</v>
      </c>
      <c r="W684" s="7" t="s">
        <v>1575</v>
      </c>
      <c r="X684" s="17"/>
      <c r="Y684" s="17"/>
      <c r="Z684" s="17"/>
      <c r="AA684" s="17"/>
      <c r="AB684" s="7" t="s">
        <v>1041</v>
      </c>
      <c r="AC684" s="8" t="s">
        <v>726</v>
      </c>
      <c r="AD684" s="8" t="s">
        <v>726</v>
      </c>
      <c r="AE684" s="8" t="s">
        <v>726</v>
      </c>
      <c r="AF684" s="8"/>
      <c r="AG684" s="8" t="s">
        <v>726</v>
      </c>
      <c r="AH684" s="8" t="s">
        <v>726</v>
      </c>
      <c r="AI684" s="8" t="s">
        <v>726</v>
      </c>
      <c r="AJ684" s="8" t="s">
        <v>726</v>
      </c>
      <c r="AK684" s="8" t="s">
        <v>726</v>
      </c>
      <c r="AL684" s="8"/>
      <c r="AM684" s="8"/>
      <c r="AN684" s="8"/>
      <c r="AO684" s="8"/>
      <c r="AP684" s="8"/>
      <c r="AQ684" s="8"/>
      <c r="AR684" s="8"/>
      <c r="AS684" s="8"/>
      <c r="AT684" s="8"/>
      <c r="AU684" s="8"/>
      <c r="AV684" s="8"/>
      <c r="AX684" s="142">
        <v>196.29015544041451</v>
      </c>
    </row>
    <row r="685" spans="2:50" ht="45">
      <c r="B685" s="27">
        <v>673</v>
      </c>
      <c r="C685" s="31">
        <v>401</v>
      </c>
      <c r="D685" s="31">
        <v>172</v>
      </c>
      <c r="E685" s="32">
        <v>0.80208333333333337</v>
      </c>
      <c r="F685" s="32">
        <v>0.84861111111111109</v>
      </c>
      <c r="G685" s="31" t="s">
        <v>489</v>
      </c>
      <c r="H685" s="31" t="s">
        <v>161</v>
      </c>
      <c r="I685" s="33">
        <v>41</v>
      </c>
      <c r="J685" s="34" t="s">
        <v>101</v>
      </c>
      <c r="K685" s="35">
        <v>38</v>
      </c>
      <c r="L685" s="36">
        <f>+K685*I685</f>
        <v>1558</v>
      </c>
      <c r="M685" s="37" t="s">
        <v>752</v>
      </c>
      <c r="N685" s="112" t="s">
        <v>1972</v>
      </c>
      <c r="O685" s="112">
        <v>55</v>
      </c>
      <c r="P685" s="23" t="s">
        <v>1185</v>
      </c>
      <c r="Q685" s="23">
        <v>57</v>
      </c>
      <c r="T685" s="7">
        <v>1</v>
      </c>
      <c r="U685" s="7" t="s">
        <v>1233</v>
      </c>
      <c r="V685" s="7" t="s">
        <v>1574</v>
      </c>
      <c r="W685" s="7" t="s">
        <v>1575</v>
      </c>
      <c r="X685" s="18"/>
      <c r="Y685" s="17"/>
      <c r="Z685" s="18"/>
      <c r="AA685" s="18"/>
      <c r="AB685" s="7" t="s">
        <v>1065</v>
      </c>
      <c r="AC685" s="8" t="s">
        <v>726</v>
      </c>
      <c r="AD685" s="8"/>
      <c r="AE685" s="8" t="s">
        <v>726</v>
      </c>
      <c r="AF685" s="8"/>
      <c r="AG685" s="8"/>
      <c r="AH685" s="8"/>
      <c r="AI685" s="8"/>
      <c r="AJ685" s="8"/>
      <c r="AK685" s="8"/>
      <c r="AL685" s="8" t="s">
        <v>726</v>
      </c>
      <c r="AM685" s="8"/>
      <c r="AN685" s="8"/>
      <c r="AO685" s="8"/>
      <c r="AP685" s="8"/>
      <c r="AQ685" s="8"/>
      <c r="AR685" s="8"/>
      <c r="AS685" s="8"/>
      <c r="AT685" s="8"/>
      <c r="AU685" s="8"/>
      <c r="AV685" s="8"/>
      <c r="AX685" s="142">
        <v>123</v>
      </c>
    </row>
    <row r="686" spans="2:50" ht="38.25">
      <c r="B686" s="27">
        <v>674</v>
      </c>
      <c r="C686" s="31">
        <v>402</v>
      </c>
      <c r="D686" s="31">
        <v>254</v>
      </c>
      <c r="E686" s="32">
        <v>0.26180555555555557</v>
      </c>
      <c r="F686" s="32">
        <v>0.27986111111111112</v>
      </c>
      <c r="G686" s="31" t="s">
        <v>432</v>
      </c>
      <c r="H686" s="31" t="s">
        <v>103</v>
      </c>
      <c r="I686" s="33">
        <v>2.4</v>
      </c>
      <c r="J686" s="34" t="s">
        <v>269</v>
      </c>
      <c r="K686" s="35">
        <v>174</v>
      </c>
      <c r="L686" s="36">
        <f>+K686*I686</f>
        <v>417.59999999999997</v>
      </c>
      <c r="M686" s="37" t="s">
        <v>725</v>
      </c>
      <c r="N686" s="23" t="s">
        <v>867</v>
      </c>
      <c r="O686" s="23">
        <v>17</v>
      </c>
      <c r="P686" s="23" t="s">
        <v>1777</v>
      </c>
      <c r="Q686" s="23">
        <v>18</v>
      </c>
      <c r="R686" s="23"/>
      <c r="S686" s="24"/>
      <c r="T686" s="7" t="s">
        <v>1363</v>
      </c>
      <c r="U686" s="7" t="s">
        <v>1364</v>
      </c>
      <c r="V686" s="7">
        <v>4043</v>
      </c>
      <c r="W686" s="7" t="s">
        <v>1577</v>
      </c>
      <c r="X686" s="18"/>
      <c r="Y686" s="17"/>
      <c r="Z686" s="17"/>
      <c r="AA686" s="17"/>
      <c r="AB686" s="7" t="s">
        <v>1042</v>
      </c>
      <c r="AC686" s="8"/>
      <c r="AD686" s="8"/>
      <c r="AE686" s="8"/>
      <c r="AF686" s="8" t="s">
        <v>726</v>
      </c>
      <c r="AG686" s="8" t="s">
        <v>726</v>
      </c>
      <c r="AH686" s="8" t="s">
        <v>726</v>
      </c>
      <c r="AI686" s="8" t="s">
        <v>726</v>
      </c>
      <c r="AJ686" s="8" t="s">
        <v>726</v>
      </c>
      <c r="AK686" s="8" t="s">
        <v>726</v>
      </c>
      <c r="AL686" s="8"/>
      <c r="AM686" s="8"/>
      <c r="AN686" s="8"/>
      <c r="AO686" s="8"/>
      <c r="AP686" s="8"/>
      <c r="AQ686" s="8"/>
      <c r="AR686" s="8"/>
      <c r="AS686" s="8"/>
      <c r="AT686" s="8"/>
      <c r="AU686" s="8"/>
      <c r="AV686" s="8"/>
      <c r="AX686" s="142">
        <v>22.754557015684611</v>
      </c>
    </row>
    <row r="687" spans="2:50" ht="25.5">
      <c r="B687" s="27">
        <v>675</v>
      </c>
      <c r="C687" s="31">
        <v>402</v>
      </c>
      <c r="D687" s="31">
        <v>254</v>
      </c>
      <c r="E687" s="32">
        <v>0.26527777777777778</v>
      </c>
      <c r="F687" s="32">
        <v>0.28472222222222221</v>
      </c>
      <c r="G687" s="31" t="s">
        <v>410</v>
      </c>
      <c r="H687" s="31" t="s">
        <v>103</v>
      </c>
      <c r="I687" s="33">
        <v>15.5</v>
      </c>
      <c r="J687" s="34" t="s">
        <v>269</v>
      </c>
      <c r="K687" s="35">
        <v>174</v>
      </c>
      <c r="L687" s="36">
        <f>+K687*I687</f>
        <v>2697</v>
      </c>
      <c r="M687" s="37" t="s">
        <v>725</v>
      </c>
      <c r="N687" s="23" t="s">
        <v>867</v>
      </c>
      <c r="O687" s="23">
        <v>17</v>
      </c>
      <c r="P687" s="23" t="s">
        <v>1777</v>
      </c>
      <c r="Q687" s="23">
        <v>18</v>
      </c>
      <c r="R687" s="23"/>
      <c r="S687" s="24"/>
      <c r="T687" s="7">
        <v>4043</v>
      </c>
      <c r="U687" s="7" t="s">
        <v>1577</v>
      </c>
      <c r="V687" s="7">
        <v>1122</v>
      </c>
      <c r="W687" s="7" t="s">
        <v>1237</v>
      </c>
      <c r="X687" s="18"/>
      <c r="Y687" s="17"/>
      <c r="Z687" s="17"/>
      <c r="AA687" s="17"/>
      <c r="AB687" s="7" t="s">
        <v>1042</v>
      </c>
      <c r="AC687" s="8"/>
      <c r="AD687" s="8"/>
      <c r="AE687" s="8"/>
      <c r="AF687" s="8" t="s">
        <v>726</v>
      </c>
      <c r="AG687" s="8" t="s">
        <v>726</v>
      </c>
      <c r="AH687" s="8" t="s">
        <v>726</v>
      </c>
      <c r="AI687" s="8" t="s">
        <v>726</v>
      </c>
      <c r="AJ687" s="8" t="s">
        <v>726</v>
      </c>
      <c r="AK687" s="8" t="s">
        <v>726</v>
      </c>
      <c r="AL687" s="8"/>
      <c r="AM687" s="8"/>
      <c r="AN687" s="8"/>
      <c r="AO687" s="8"/>
      <c r="AP687" s="8"/>
      <c r="AQ687" s="8"/>
      <c r="AR687" s="8"/>
      <c r="AS687" s="8"/>
      <c r="AT687" s="8"/>
      <c r="AU687" s="8"/>
      <c r="AV687" s="8"/>
      <c r="AX687" s="142">
        <v>56.539847392963118</v>
      </c>
    </row>
    <row r="688" spans="2:50" ht="25.5">
      <c r="B688" s="27">
        <v>676</v>
      </c>
      <c r="C688" s="38">
        <v>402</v>
      </c>
      <c r="D688" s="38">
        <v>108</v>
      </c>
      <c r="E688" s="39">
        <v>0.51388888888888895</v>
      </c>
      <c r="F688" s="39">
        <v>0.54027777777777775</v>
      </c>
      <c r="G688" s="40" t="s">
        <v>24</v>
      </c>
      <c r="H688" s="31" t="s">
        <v>546</v>
      </c>
      <c r="I688" s="38">
        <v>18</v>
      </c>
      <c r="J688" s="41">
        <v>30</v>
      </c>
      <c r="K688" s="35">
        <v>13</v>
      </c>
      <c r="L688" s="36">
        <f>+K688*I688</f>
        <v>234</v>
      </c>
      <c r="M688" s="37" t="s">
        <v>725</v>
      </c>
      <c r="N688" s="23" t="s">
        <v>868</v>
      </c>
      <c r="O688" s="23">
        <v>30</v>
      </c>
      <c r="P688" s="23" t="s">
        <v>1835</v>
      </c>
      <c r="Q688" s="23">
        <v>36</v>
      </c>
      <c r="S688" s="23"/>
      <c r="T688" s="7">
        <v>1</v>
      </c>
      <c r="U688" s="7" t="s">
        <v>1233</v>
      </c>
      <c r="V688" s="7" t="s">
        <v>1363</v>
      </c>
      <c r="W688" s="7" t="s">
        <v>1364</v>
      </c>
      <c r="X688" s="17"/>
      <c r="Y688" s="18"/>
      <c r="Z688" s="18"/>
      <c r="AA688" s="18"/>
      <c r="AB688" s="7" t="s">
        <v>1044</v>
      </c>
      <c r="AC688" s="8"/>
      <c r="AD688" s="8" t="s">
        <v>726</v>
      </c>
      <c r="AE688" s="8"/>
      <c r="AF688" s="8"/>
      <c r="AG688" s="8"/>
      <c r="AH688" s="8"/>
      <c r="AI688" s="8"/>
      <c r="AJ688" s="8"/>
      <c r="AK688" s="8"/>
      <c r="AL688" s="8"/>
      <c r="AM688" s="8" t="s">
        <v>726</v>
      </c>
      <c r="AN688" s="8"/>
      <c r="AO688" s="8"/>
      <c r="AP688" s="8"/>
      <c r="AQ688" s="8"/>
      <c r="AR688" s="8"/>
      <c r="AS688" s="8"/>
      <c r="AT688" s="8"/>
      <c r="AU688" s="8"/>
      <c r="AV688" s="8"/>
      <c r="AX688" s="142">
        <v>103.27868852459017</v>
      </c>
    </row>
    <row r="689" spans="2:50" ht="25.5">
      <c r="B689" s="27">
        <v>677</v>
      </c>
      <c r="C689" s="38">
        <v>402</v>
      </c>
      <c r="D689" s="38">
        <v>113</v>
      </c>
      <c r="E689" s="39">
        <v>0.56944444444444442</v>
      </c>
      <c r="F689" s="39">
        <v>0.59583333333333333</v>
      </c>
      <c r="G689" s="40" t="s">
        <v>15</v>
      </c>
      <c r="H689" s="31" t="s">
        <v>546</v>
      </c>
      <c r="I689" s="38">
        <v>18</v>
      </c>
      <c r="J689" s="41">
        <v>30</v>
      </c>
      <c r="K689" s="35">
        <v>13</v>
      </c>
      <c r="L689" s="36">
        <f>+K689*I689</f>
        <v>234</v>
      </c>
      <c r="M689" s="37" t="s">
        <v>725</v>
      </c>
      <c r="N689" s="23" t="s">
        <v>868</v>
      </c>
      <c r="O689" s="23">
        <v>30</v>
      </c>
      <c r="P689" s="23" t="s">
        <v>1835</v>
      </c>
      <c r="Q689" s="23">
        <v>36</v>
      </c>
      <c r="S689" s="23"/>
      <c r="T689" s="7" t="s">
        <v>1363</v>
      </c>
      <c r="U689" s="7" t="s">
        <v>1364</v>
      </c>
      <c r="V689" s="7">
        <v>1</v>
      </c>
      <c r="W689" s="7" t="s">
        <v>1236</v>
      </c>
      <c r="X689" s="17"/>
      <c r="Y689" s="18"/>
      <c r="Z689" s="18"/>
      <c r="AA689" s="18"/>
      <c r="AB689" s="7" t="s">
        <v>1044</v>
      </c>
      <c r="AC689" s="8"/>
      <c r="AD689" s="8" t="s">
        <v>726</v>
      </c>
      <c r="AE689" s="8"/>
      <c r="AF689" s="8"/>
      <c r="AG689" s="8"/>
      <c r="AH689" s="8"/>
      <c r="AI689" s="8"/>
      <c r="AJ689" s="8"/>
      <c r="AK689" s="8"/>
      <c r="AL689" s="8"/>
      <c r="AM689" s="8" t="s">
        <v>726</v>
      </c>
      <c r="AN689" s="8"/>
      <c r="AO689" s="8"/>
      <c r="AP689" s="8"/>
      <c r="AQ689" s="8"/>
      <c r="AR689" s="8"/>
      <c r="AS689" s="8"/>
      <c r="AT689" s="8"/>
      <c r="AU689" s="8"/>
      <c r="AV689" s="8"/>
      <c r="AX689" s="142">
        <v>103.27868852459017</v>
      </c>
    </row>
    <row r="690" spans="2:50" ht="45">
      <c r="B690" s="27">
        <v>678</v>
      </c>
      <c r="C690" s="38">
        <v>402</v>
      </c>
      <c r="D690" s="38">
        <v>639</v>
      </c>
      <c r="E690" s="39">
        <v>0.64930555555555558</v>
      </c>
      <c r="F690" s="44">
        <v>0.70347222222222217</v>
      </c>
      <c r="G690" s="40" t="s">
        <v>644</v>
      </c>
      <c r="H690" s="31" t="s">
        <v>103</v>
      </c>
      <c r="I690" s="38">
        <v>38.5</v>
      </c>
      <c r="J690" s="41">
        <v>50</v>
      </c>
      <c r="K690" s="35">
        <v>174</v>
      </c>
      <c r="L690" s="36">
        <f>+K690*I690</f>
        <v>6699</v>
      </c>
      <c r="M690" s="37" t="s">
        <v>752</v>
      </c>
      <c r="N690" s="23" t="s">
        <v>1185</v>
      </c>
      <c r="O690" s="23">
        <v>57</v>
      </c>
      <c r="P690" s="79" t="s">
        <v>1973</v>
      </c>
      <c r="Q690" s="111">
        <v>55</v>
      </c>
      <c r="T690" s="7">
        <v>1</v>
      </c>
      <c r="U690" s="7" t="s">
        <v>1233</v>
      </c>
      <c r="V690" s="7">
        <v>4070</v>
      </c>
      <c r="W690" s="7" t="s">
        <v>1357</v>
      </c>
      <c r="X690" s="18"/>
      <c r="Y690" s="17"/>
      <c r="Z690" s="17"/>
      <c r="AA690" s="17"/>
      <c r="AB690" s="7" t="s">
        <v>1042</v>
      </c>
      <c r="AC690" s="8"/>
      <c r="AD690" s="8"/>
      <c r="AE690" s="8"/>
      <c r="AF690" s="8" t="s">
        <v>726</v>
      </c>
      <c r="AG690" s="8" t="s">
        <v>726</v>
      </c>
      <c r="AH690" s="8" t="s">
        <v>726</v>
      </c>
      <c r="AI690" s="8" t="s">
        <v>726</v>
      </c>
      <c r="AJ690" s="8" t="s">
        <v>726</v>
      </c>
      <c r="AK690" s="8" t="s">
        <v>726</v>
      </c>
      <c r="AL690" s="8"/>
      <c r="AM690" s="8"/>
      <c r="AN690" s="8"/>
      <c r="AO690" s="8"/>
      <c r="AP690" s="8"/>
      <c r="AQ690" s="8"/>
      <c r="AR690" s="8"/>
      <c r="AS690" s="8"/>
      <c r="AT690" s="8"/>
      <c r="AU690" s="8"/>
      <c r="AV690" s="8"/>
      <c r="AX690" s="142">
        <v>115.5</v>
      </c>
    </row>
    <row r="691" spans="2:50" ht="25.5">
      <c r="B691" s="27">
        <v>679</v>
      </c>
      <c r="C691" s="38">
        <v>403</v>
      </c>
      <c r="D691" s="38">
        <v>517</v>
      </c>
      <c r="E691" s="39">
        <v>0.74652777777777779</v>
      </c>
      <c r="F691" s="39">
        <v>0.78194444444444444</v>
      </c>
      <c r="G691" s="40" t="s">
        <v>15</v>
      </c>
      <c r="H691" s="31" t="s">
        <v>546</v>
      </c>
      <c r="I691" s="38">
        <v>25</v>
      </c>
      <c r="J691" s="41">
        <v>30</v>
      </c>
      <c r="K691" s="35">
        <v>13</v>
      </c>
      <c r="L691" s="36">
        <f>+K691*I691</f>
        <v>325</v>
      </c>
      <c r="M691" s="37" t="s">
        <v>725</v>
      </c>
      <c r="N691" s="23" t="s">
        <v>868</v>
      </c>
      <c r="O691" s="23">
        <v>30</v>
      </c>
      <c r="P691" s="23" t="s">
        <v>1835</v>
      </c>
      <c r="Q691" s="23">
        <v>36</v>
      </c>
      <c r="S691" s="23"/>
      <c r="T691" s="7" t="s">
        <v>1363</v>
      </c>
      <c r="U691" s="7" t="s">
        <v>1364</v>
      </c>
      <c r="V691" s="7">
        <v>1</v>
      </c>
      <c r="W691" s="7" t="s">
        <v>1236</v>
      </c>
      <c r="X691" s="17"/>
      <c r="Y691" s="18"/>
      <c r="Z691" s="18"/>
      <c r="AA691" s="18"/>
      <c r="AB691" s="7" t="s">
        <v>1044</v>
      </c>
      <c r="AC691" s="8"/>
      <c r="AD691" s="8" t="s">
        <v>726</v>
      </c>
      <c r="AE691" s="8"/>
      <c r="AF691" s="8"/>
      <c r="AG691" s="8"/>
      <c r="AH691" s="8"/>
      <c r="AI691" s="8"/>
      <c r="AJ691" s="8"/>
      <c r="AK691" s="8"/>
      <c r="AL691" s="8"/>
      <c r="AM691" s="8" t="s">
        <v>726</v>
      </c>
      <c r="AN691" s="8"/>
      <c r="AO691" s="8"/>
      <c r="AP691" s="8"/>
      <c r="AQ691" s="8"/>
      <c r="AR691" s="8"/>
      <c r="AS691" s="8"/>
      <c r="AT691" s="8"/>
      <c r="AU691" s="8"/>
      <c r="AV691" s="8"/>
      <c r="AX691" s="142">
        <v>143.44262295081967</v>
      </c>
    </row>
    <row r="692" spans="2:50" ht="25.5">
      <c r="B692" s="27">
        <v>680</v>
      </c>
      <c r="C692" s="31">
        <v>403</v>
      </c>
      <c r="D692" s="31">
        <v>410</v>
      </c>
      <c r="E692" s="32">
        <v>0.77430555555555547</v>
      </c>
      <c r="F692" s="32">
        <v>0.81111111111111101</v>
      </c>
      <c r="G692" s="31" t="s">
        <v>500</v>
      </c>
      <c r="H692" s="31" t="s">
        <v>546</v>
      </c>
      <c r="I692" s="33">
        <v>25</v>
      </c>
      <c r="J692" s="34" t="s">
        <v>406</v>
      </c>
      <c r="K692" s="35">
        <v>13</v>
      </c>
      <c r="L692" s="36">
        <f>+K692*I692</f>
        <v>325</v>
      </c>
      <c r="M692" s="37" t="s">
        <v>738</v>
      </c>
      <c r="N692" s="23" t="s">
        <v>841</v>
      </c>
      <c r="O692" s="23">
        <v>42</v>
      </c>
      <c r="P692" s="23" t="s">
        <v>1829</v>
      </c>
      <c r="Q692" s="23">
        <v>45</v>
      </c>
      <c r="R692" s="23" t="s">
        <v>1145</v>
      </c>
      <c r="S692" s="24">
        <v>48</v>
      </c>
      <c r="T692" s="7">
        <v>1</v>
      </c>
      <c r="U692" s="7" t="s">
        <v>1233</v>
      </c>
      <c r="V692" s="7" t="s">
        <v>1363</v>
      </c>
      <c r="W692" s="7" t="s">
        <v>1364</v>
      </c>
      <c r="X692" s="17"/>
      <c r="Y692" s="18"/>
      <c r="Z692" s="18"/>
      <c r="AA692" s="18"/>
      <c r="AB692" s="7" t="s">
        <v>1044</v>
      </c>
      <c r="AC692" s="8"/>
      <c r="AD692" s="8" t="s">
        <v>726</v>
      </c>
      <c r="AE692" s="8"/>
      <c r="AF692" s="8"/>
      <c r="AG692" s="8"/>
      <c r="AH692" s="8"/>
      <c r="AI692" s="8"/>
      <c r="AJ692" s="8"/>
      <c r="AK692" s="8"/>
      <c r="AL692" s="8"/>
      <c r="AM692" s="8" t="s">
        <v>726</v>
      </c>
      <c r="AN692" s="8"/>
      <c r="AO692" s="8"/>
      <c r="AP692" s="8"/>
      <c r="AQ692" s="8"/>
      <c r="AR692" s="8"/>
      <c r="AS692" s="8"/>
      <c r="AT692" s="8"/>
      <c r="AU692" s="8"/>
      <c r="AV692" s="8"/>
      <c r="AX692" s="142">
        <v>75</v>
      </c>
    </row>
    <row r="693" spans="2:50" ht="25.5">
      <c r="B693" s="27">
        <v>681</v>
      </c>
      <c r="C693" s="31">
        <v>404</v>
      </c>
      <c r="D693" s="31">
        <v>633</v>
      </c>
      <c r="E693" s="32">
        <v>0.28125</v>
      </c>
      <c r="F693" s="32">
        <v>0.28888888888888892</v>
      </c>
      <c r="G693" s="31" t="s">
        <v>174</v>
      </c>
      <c r="H693" s="31" t="s">
        <v>97</v>
      </c>
      <c r="I693" s="33">
        <v>3.5</v>
      </c>
      <c r="J693" s="34" t="s">
        <v>173</v>
      </c>
      <c r="K693" s="35">
        <v>208</v>
      </c>
      <c r="L693" s="36">
        <f>+K693*I693</f>
        <v>728</v>
      </c>
      <c r="M693" s="37" t="s">
        <v>725</v>
      </c>
      <c r="N693" s="23" t="s">
        <v>869</v>
      </c>
      <c r="O693" s="23">
        <v>9</v>
      </c>
      <c r="P693" s="23" t="s">
        <v>1828</v>
      </c>
      <c r="Q693" s="23">
        <v>5</v>
      </c>
      <c r="R693" s="23" t="s">
        <v>870</v>
      </c>
      <c r="S693" s="23">
        <v>9</v>
      </c>
      <c r="T693" s="7">
        <v>4037</v>
      </c>
      <c r="U693" s="7" t="s">
        <v>1578</v>
      </c>
      <c r="V693" s="7" t="s">
        <v>1363</v>
      </c>
      <c r="W693" s="7" t="s">
        <v>1364</v>
      </c>
      <c r="X693" s="18"/>
      <c r="Y693" s="17"/>
      <c r="Z693" s="17"/>
      <c r="AA693" s="17"/>
      <c r="AB693" s="7" t="s">
        <v>1046</v>
      </c>
      <c r="AC693" s="8"/>
      <c r="AD693" s="8"/>
      <c r="AE693" s="8"/>
      <c r="AF693" s="8" t="s">
        <v>726</v>
      </c>
      <c r="AG693" s="8" t="s">
        <v>726</v>
      </c>
      <c r="AH693" s="8" t="s">
        <v>726</v>
      </c>
      <c r="AI693" s="8" t="s">
        <v>726</v>
      </c>
      <c r="AJ693" s="8" t="s">
        <v>726</v>
      </c>
      <c r="AK693" s="8" t="s">
        <v>726</v>
      </c>
      <c r="AL693" s="8" t="s">
        <v>726</v>
      </c>
      <c r="AM693" s="8"/>
      <c r="AN693" s="8"/>
      <c r="AO693" s="8"/>
      <c r="AP693" s="8"/>
      <c r="AQ693" s="8"/>
      <c r="AR693" s="8"/>
      <c r="AS693" s="8"/>
      <c r="AT693" s="8"/>
      <c r="AU693" s="8"/>
      <c r="AV693" s="8"/>
      <c r="AX693" s="142">
        <v>24.017062314540059</v>
      </c>
    </row>
    <row r="694" spans="2:50" ht="25.5">
      <c r="B694" s="27">
        <v>682</v>
      </c>
      <c r="C694" s="31">
        <v>404</v>
      </c>
      <c r="D694" s="31">
        <v>638</v>
      </c>
      <c r="E694" s="32">
        <v>0.54861111111111105</v>
      </c>
      <c r="F694" s="32">
        <v>0.55625000000000002</v>
      </c>
      <c r="G694" s="31" t="s">
        <v>310</v>
      </c>
      <c r="H694" s="31" t="s">
        <v>645</v>
      </c>
      <c r="I694" s="33">
        <v>3.5</v>
      </c>
      <c r="J694" s="34" t="s">
        <v>116</v>
      </c>
      <c r="K694" s="35">
        <v>34</v>
      </c>
      <c r="L694" s="36">
        <f>+K694*I694</f>
        <v>119</v>
      </c>
      <c r="M694" s="37" t="s">
        <v>725</v>
      </c>
      <c r="N694" s="23" t="s">
        <v>869</v>
      </c>
      <c r="O694" s="23">
        <v>9</v>
      </c>
      <c r="P694" s="23" t="s">
        <v>870</v>
      </c>
      <c r="Q694" s="23">
        <v>9</v>
      </c>
      <c r="R694" s="23" t="s">
        <v>1828</v>
      </c>
      <c r="S694" s="23">
        <v>5</v>
      </c>
      <c r="T694" s="7" t="s">
        <v>1363</v>
      </c>
      <c r="U694" s="7" t="s">
        <v>1364</v>
      </c>
      <c r="V694" s="7">
        <v>4037</v>
      </c>
      <c r="W694" s="7" t="s">
        <v>1578</v>
      </c>
      <c r="X694" s="18"/>
      <c r="Y694" s="17"/>
      <c r="Z694" s="17"/>
      <c r="AA694" s="17"/>
      <c r="AB694" s="7" t="s">
        <v>1051</v>
      </c>
      <c r="AC694" s="8"/>
      <c r="AD694" s="8"/>
      <c r="AE694" s="8"/>
      <c r="AF694" s="8" t="s">
        <v>726</v>
      </c>
      <c r="AG694" s="8"/>
      <c r="AH694" s="8"/>
      <c r="AI694" s="8"/>
      <c r="AJ694" s="8"/>
      <c r="AK694" s="8"/>
      <c r="AL694" s="8" t="s">
        <v>726</v>
      </c>
      <c r="AM694" s="8"/>
      <c r="AN694" s="8"/>
      <c r="AO694" s="8"/>
      <c r="AP694" s="8"/>
      <c r="AQ694" s="8"/>
      <c r="AR694" s="8"/>
      <c r="AS694" s="8"/>
      <c r="AT694" s="8"/>
      <c r="AU694" s="8"/>
      <c r="AV694" s="8"/>
      <c r="AX694" s="142">
        <v>10.31706231454006</v>
      </c>
    </row>
    <row r="695" spans="2:50" ht="25.5">
      <c r="B695" s="27">
        <v>683</v>
      </c>
      <c r="C695" s="31">
        <v>404</v>
      </c>
      <c r="D695" s="31">
        <v>635</v>
      </c>
      <c r="E695" s="32">
        <v>0.55972222222222223</v>
      </c>
      <c r="F695" s="42">
        <v>0.56736111111111109</v>
      </c>
      <c r="G695" s="31" t="s">
        <v>174</v>
      </c>
      <c r="H695" s="31" t="s">
        <v>645</v>
      </c>
      <c r="I695" s="33">
        <v>4.5</v>
      </c>
      <c r="J695" s="34" t="s">
        <v>116</v>
      </c>
      <c r="K695" s="35">
        <v>34</v>
      </c>
      <c r="L695" s="36">
        <f>+K695*I695</f>
        <v>153</v>
      </c>
      <c r="M695" s="37" t="s">
        <v>725</v>
      </c>
      <c r="N695" s="23" t="s">
        <v>869</v>
      </c>
      <c r="O695" s="23">
        <v>9</v>
      </c>
      <c r="P695" s="23" t="s">
        <v>870</v>
      </c>
      <c r="Q695" s="23">
        <v>9</v>
      </c>
      <c r="R695" s="23" t="s">
        <v>1828</v>
      </c>
      <c r="S695" s="23">
        <v>5</v>
      </c>
      <c r="T695" s="7">
        <v>4037</v>
      </c>
      <c r="U695" s="7" t="s">
        <v>1578</v>
      </c>
      <c r="V695" s="7" t="s">
        <v>1363</v>
      </c>
      <c r="W695" s="7" t="s">
        <v>1364</v>
      </c>
      <c r="X695" s="18"/>
      <c r="Y695" s="17"/>
      <c r="Z695" s="17"/>
      <c r="AA695" s="17"/>
      <c r="AB695" s="7" t="s">
        <v>1051</v>
      </c>
      <c r="AC695" s="8"/>
      <c r="AD695" s="8"/>
      <c r="AE695" s="8"/>
      <c r="AF695" s="8" t="s">
        <v>726</v>
      </c>
      <c r="AG695" s="8"/>
      <c r="AH695" s="8"/>
      <c r="AI695" s="8"/>
      <c r="AJ695" s="8"/>
      <c r="AK695" s="8"/>
      <c r="AL695" s="8" t="s">
        <v>726</v>
      </c>
      <c r="AM695" s="8"/>
      <c r="AN695" s="8"/>
      <c r="AO695" s="8"/>
      <c r="AP695" s="8"/>
      <c r="AQ695" s="8"/>
      <c r="AR695" s="8"/>
      <c r="AS695" s="8"/>
      <c r="AT695" s="8"/>
      <c r="AU695" s="8"/>
      <c r="AV695" s="8"/>
      <c r="AX695" s="142">
        <v>11.464794404408646</v>
      </c>
    </row>
    <row r="696" spans="2:50" ht="25.5">
      <c r="B696" s="27">
        <v>684</v>
      </c>
      <c r="C696" s="31">
        <v>404</v>
      </c>
      <c r="D696" s="31">
        <v>640</v>
      </c>
      <c r="E696" s="32">
        <v>0.58680555555555558</v>
      </c>
      <c r="F696" s="32">
        <v>0.59444444444444444</v>
      </c>
      <c r="G696" s="31" t="s">
        <v>310</v>
      </c>
      <c r="H696" s="31" t="s">
        <v>103</v>
      </c>
      <c r="I696" s="33">
        <v>3.5</v>
      </c>
      <c r="J696" s="34" t="s">
        <v>116</v>
      </c>
      <c r="K696" s="35">
        <v>174</v>
      </c>
      <c r="L696" s="36">
        <f>+K696*I696</f>
        <v>609</v>
      </c>
      <c r="M696" s="37" t="s">
        <v>725</v>
      </c>
      <c r="N696" s="23" t="s">
        <v>869</v>
      </c>
      <c r="O696" s="23">
        <v>9</v>
      </c>
      <c r="P696" s="23" t="s">
        <v>870</v>
      </c>
      <c r="Q696" s="23">
        <v>9</v>
      </c>
      <c r="R696" s="23" t="s">
        <v>1828</v>
      </c>
      <c r="S696" s="23">
        <v>5</v>
      </c>
      <c r="T696" s="7" t="s">
        <v>1363</v>
      </c>
      <c r="U696" s="7" t="s">
        <v>1364</v>
      </c>
      <c r="V696" s="7">
        <v>4037</v>
      </c>
      <c r="W696" s="7" t="s">
        <v>1578</v>
      </c>
      <c r="X696" s="18"/>
      <c r="Y696" s="17"/>
      <c r="Z696" s="17"/>
      <c r="AA696" s="17"/>
      <c r="AB696" s="7" t="s">
        <v>1042</v>
      </c>
      <c r="AC696" s="8"/>
      <c r="AD696" s="8"/>
      <c r="AE696" s="8"/>
      <c r="AF696" s="8" t="s">
        <v>726</v>
      </c>
      <c r="AG696" s="8" t="s">
        <v>726</v>
      </c>
      <c r="AH696" s="8" t="s">
        <v>726</v>
      </c>
      <c r="AI696" s="8" t="s">
        <v>726</v>
      </c>
      <c r="AJ696" s="8" t="s">
        <v>726</v>
      </c>
      <c r="AK696" s="8" t="s">
        <v>726</v>
      </c>
      <c r="AL696" s="8"/>
      <c r="AM696" s="8"/>
      <c r="AN696" s="8"/>
      <c r="AO696" s="8"/>
      <c r="AP696" s="8"/>
      <c r="AQ696" s="8"/>
      <c r="AR696" s="8"/>
      <c r="AS696" s="8"/>
      <c r="AT696" s="8"/>
      <c r="AU696" s="8"/>
      <c r="AV696" s="8"/>
      <c r="AX696" s="142">
        <v>10.31706231454006</v>
      </c>
    </row>
    <row r="697" spans="2:50" ht="25.5">
      <c r="B697" s="27">
        <v>685</v>
      </c>
      <c r="C697" s="31">
        <v>404</v>
      </c>
      <c r="D697" s="31">
        <v>637</v>
      </c>
      <c r="E697" s="32">
        <v>0.59444444444444444</v>
      </c>
      <c r="F697" s="32">
        <v>0.6020833333333333</v>
      </c>
      <c r="G697" s="31" t="s">
        <v>174</v>
      </c>
      <c r="H697" s="31" t="s">
        <v>103</v>
      </c>
      <c r="I697" s="33">
        <v>3.5</v>
      </c>
      <c r="J697" s="34" t="s">
        <v>116</v>
      </c>
      <c r="K697" s="35">
        <v>174</v>
      </c>
      <c r="L697" s="36">
        <f>+K697*I697</f>
        <v>609</v>
      </c>
      <c r="M697" s="37" t="s">
        <v>725</v>
      </c>
      <c r="N697" s="23" t="s">
        <v>869</v>
      </c>
      <c r="O697" s="23">
        <v>9</v>
      </c>
      <c r="P697" s="23" t="s">
        <v>870</v>
      </c>
      <c r="Q697" s="23">
        <v>9</v>
      </c>
      <c r="R697" s="23" t="s">
        <v>1828</v>
      </c>
      <c r="S697" s="23">
        <v>5</v>
      </c>
      <c r="T697" s="7">
        <v>4037</v>
      </c>
      <c r="U697" s="7" t="s">
        <v>1578</v>
      </c>
      <c r="V697" s="7" t="s">
        <v>1363</v>
      </c>
      <c r="W697" s="7" t="s">
        <v>1364</v>
      </c>
      <c r="X697" s="18"/>
      <c r="Y697" s="17"/>
      <c r="Z697" s="17"/>
      <c r="AA697" s="17"/>
      <c r="AB697" s="7" t="s">
        <v>1042</v>
      </c>
      <c r="AC697" s="8"/>
      <c r="AD697" s="8"/>
      <c r="AE697" s="8"/>
      <c r="AF697" s="8" t="s">
        <v>726</v>
      </c>
      <c r="AG697" s="8" t="s">
        <v>726</v>
      </c>
      <c r="AH697" s="8" t="s">
        <v>726</v>
      </c>
      <c r="AI697" s="8" t="s">
        <v>726</v>
      </c>
      <c r="AJ697" s="8" t="s">
        <v>726</v>
      </c>
      <c r="AK697" s="8" t="s">
        <v>726</v>
      </c>
      <c r="AL697" s="8"/>
      <c r="AM697" s="8"/>
      <c r="AN697" s="8"/>
      <c r="AO697" s="8"/>
      <c r="AP697" s="8"/>
      <c r="AQ697" s="8"/>
      <c r="AR697" s="8"/>
      <c r="AS697" s="8"/>
      <c r="AT697" s="8"/>
      <c r="AU697" s="8"/>
      <c r="AV697" s="8"/>
      <c r="AX697" s="142">
        <v>10.31706231454006</v>
      </c>
    </row>
    <row r="698" spans="2:50" ht="25.5">
      <c r="B698" s="27">
        <v>686</v>
      </c>
      <c r="C698" s="38">
        <v>406</v>
      </c>
      <c r="D698" s="38">
        <v>27</v>
      </c>
      <c r="E698" s="39">
        <v>0.29166666666666669</v>
      </c>
      <c r="F698" s="39">
        <v>0.32291666666666669</v>
      </c>
      <c r="G698" s="40" t="s">
        <v>85</v>
      </c>
      <c r="H698" s="31" t="s">
        <v>505</v>
      </c>
      <c r="I698" s="38">
        <v>19</v>
      </c>
      <c r="J698" s="41">
        <v>19</v>
      </c>
      <c r="K698" s="35">
        <v>12</v>
      </c>
      <c r="L698" s="36">
        <f>+K698*I698</f>
        <v>228</v>
      </c>
      <c r="M698" s="37" t="s">
        <v>761</v>
      </c>
      <c r="N698" s="79" t="s">
        <v>882</v>
      </c>
      <c r="O698" s="79">
        <v>33</v>
      </c>
      <c r="P698" s="23" t="s">
        <v>1826</v>
      </c>
      <c r="Q698" s="23">
        <v>34</v>
      </c>
      <c r="T698" s="7">
        <v>4497</v>
      </c>
      <c r="U698" s="7" t="s">
        <v>1579</v>
      </c>
      <c r="V698" s="7">
        <v>4400</v>
      </c>
      <c r="W698" s="7" t="s">
        <v>1576</v>
      </c>
      <c r="X698" s="17"/>
      <c r="Y698" s="18"/>
      <c r="Z698" s="18"/>
      <c r="AA698" s="18"/>
      <c r="AB698" s="7" t="s">
        <v>1058</v>
      </c>
      <c r="AC698" s="8"/>
      <c r="AD698" s="8" t="s">
        <v>726</v>
      </c>
      <c r="AE698" s="8" t="s">
        <v>726</v>
      </c>
      <c r="AF698" s="8"/>
      <c r="AG698" s="8"/>
      <c r="AH698" s="8"/>
      <c r="AI698" s="8"/>
      <c r="AJ698" s="8"/>
      <c r="AK698" s="8"/>
      <c r="AL698" s="8" t="s">
        <v>726</v>
      </c>
      <c r="AM698" s="8"/>
      <c r="AN698" s="8"/>
      <c r="AO698" s="8"/>
      <c r="AP698" s="8"/>
      <c r="AQ698" s="8"/>
      <c r="AR698" s="8"/>
      <c r="AS698" s="8"/>
      <c r="AT698" s="8"/>
      <c r="AU698" s="8"/>
      <c r="AV698" s="8"/>
      <c r="AX698" s="142">
        <v>189.57129963898916</v>
      </c>
    </row>
    <row r="699" spans="2:50" ht="25.5">
      <c r="B699" s="27">
        <v>687</v>
      </c>
      <c r="C699" s="38">
        <v>407</v>
      </c>
      <c r="D699" s="38">
        <v>74</v>
      </c>
      <c r="E699" s="39">
        <v>0.72222222222222221</v>
      </c>
      <c r="F699" s="39">
        <v>0.73958333333333337</v>
      </c>
      <c r="G699" s="40" t="s">
        <v>87</v>
      </c>
      <c r="H699" s="31" t="s">
        <v>424</v>
      </c>
      <c r="I699" s="38">
        <v>8</v>
      </c>
      <c r="J699" s="41">
        <v>30</v>
      </c>
      <c r="K699" s="35">
        <v>55</v>
      </c>
      <c r="L699" s="36">
        <f>+K699*I699</f>
        <v>440</v>
      </c>
      <c r="M699" s="37" t="s">
        <v>761</v>
      </c>
      <c r="N699" s="23" t="s">
        <v>882</v>
      </c>
      <c r="O699" s="23">
        <v>33</v>
      </c>
      <c r="P699" s="23" t="s">
        <v>1826</v>
      </c>
      <c r="Q699" s="23">
        <v>34</v>
      </c>
      <c r="S699" s="23"/>
      <c r="T699" s="7">
        <v>4400</v>
      </c>
      <c r="U699" s="7" t="s">
        <v>1576</v>
      </c>
      <c r="V699" s="7">
        <v>4464</v>
      </c>
      <c r="W699" s="7" t="s">
        <v>1580</v>
      </c>
      <c r="X699" s="17"/>
      <c r="Y699" s="18"/>
      <c r="Z699" s="18"/>
      <c r="AA699" s="18"/>
      <c r="AB699" s="7" t="s">
        <v>1049</v>
      </c>
      <c r="AC699" s="8"/>
      <c r="AD699" s="8" t="s">
        <v>726</v>
      </c>
      <c r="AE699" s="8" t="s">
        <v>726</v>
      </c>
      <c r="AF699" s="8"/>
      <c r="AG699" s="8" t="s">
        <v>726</v>
      </c>
      <c r="AH699" s="8" t="s">
        <v>726</v>
      </c>
      <c r="AI699" s="8" t="s">
        <v>726</v>
      </c>
      <c r="AJ699" s="8" t="s">
        <v>726</v>
      </c>
      <c r="AK699" s="8" t="s">
        <v>726</v>
      </c>
      <c r="AL699" s="8"/>
      <c r="AM699" s="8"/>
      <c r="AN699" s="8"/>
      <c r="AO699" s="8"/>
      <c r="AP699" s="8"/>
      <c r="AQ699" s="8"/>
      <c r="AR699" s="8"/>
      <c r="AS699" s="8"/>
      <c r="AT699" s="8"/>
      <c r="AU699" s="8"/>
      <c r="AV699" s="8"/>
      <c r="AX699" s="142">
        <v>79.819494584837543</v>
      </c>
    </row>
    <row r="700" spans="2:50" ht="25.5">
      <c r="B700" s="27">
        <v>688</v>
      </c>
      <c r="C700" s="38">
        <v>407</v>
      </c>
      <c r="D700" s="38">
        <v>75</v>
      </c>
      <c r="E700" s="39">
        <v>0.74305555555555547</v>
      </c>
      <c r="F700" s="39">
        <v>0.75694444444444453</v>
      </c>
      <c r="G700" s="40" t="s">
        <v>86</v>
      </c>
      <c r="H700" s="31" t="s">
        <v>424</v>
      </c>
      <c r="I700" s="38">
        <v>8</v>
      </c>
      <c r="J700" s="41">
        <v>30</v>
      </c>
      <c r="K700" s="35">
        <v>55</v>
      </c>
      <c r="L700" s="36">
        <f>+K700*I700</f>
        <v>440</v>
      </c>
      <c r="M700" s="37" t="s">
        <v>761</v>
      </c>
      <c r="N700" s="23" t="s">
        <v>882</v>
      </c>
      <c r="O700" s="23">
        <v>33</v>
      </c>
      <c r="P700" s="23" t="s">
        <v>1826</v>
      </c>
      <c r="Q700" s="23">
        <v>34</v>
      </c>
      <c r="S700" s="23"/>
      <c r="T700" s="7">
        <v>4464</v>
      </c>
      <c r="U700" s="7" t="s">
        <v>1580</v>
      </c>
      <c r="V700" s="7">
        <v>4400</v>
      </c>
      <c r="W700" s="7" t="s">
        <v>1576</v>
      </c>
      <c r="X700" s="17"/>
      <c r="Y700" s="18"/>
      <c r="Z700" s="18"/>
      <c r="AA700" s="18"/>
      <c r="AB700" s="7" t="s">
        <v>1049</v>
      </c>
      <c r="AC700" s="8"/>
      <c r="AD700" s="8" t="s">
        <v>726</v>
      </c>
      <c r="AE700" s="8" t="s">
        <v>726</v>
      </c>
      <c r="AF700" s="8"/>
      <c r="AG700" s="8" t="s">
        <v>726</v>
      </c>
      <c r="AH700" s="8" t="s">
        <v>726</v>
      </c>
      <c r="AI700" s="8" t="s">
        <v>726</v>
      </c>
      <c r="AJ700" s="8" t="s">
        <v>726</v>
      </c>
      <c r="AK700" s="8" t="s">
        <v>726</v>
      </c>
      <c r="AL700" s="8"/>
      <c r="AM700" s="8"/>
      <c r="AN700" s="8"/>
      <c r="AO700" s="8"/>
      <c r="AP700" s="8"/>
      <c r="AQ700" s="8"/>
      <c r="AR700" s="8"/>
      <c r="AS700" s="8"/>
      <c r="AT700" s="8"/>
      <c r="AU700" s="8"/>
      <c r="AV700" s="8"/>
      <c r="AX700" s="142">
        <v>79.819494584837543</v>
      </c>
    </row>
    <row r="701" spans="2:50" ht="25.5">
      <c r="B701" s="27">
        <v>689</v>
      </c>
      <c r="C701" s="38">
        <v>407</v>
      </c>
      <c r="D701" s="53">
        <v>76</v>
      </c>
      <c r="E701" s="39">
        <v>0.79513888888888884</v>
      </c>
      <c r="F701" s="39">
        <v>0.80902777777777779</v>
      </c>
      <c r="G701" s="40" t="s">
        <v>84</v>
      </c>
      <c r="H701" s="31" t="s">
        <v>203</v>
      </c>
      <c r="I701" s="38">
        <v>8</v>
      </c>
      <c r="J701" s="41">
        <v>19</v>
      </c>
      <c r="K701" s="35">
        <v>202</v>
      </c>
      <c r="L701" s="36">
        <f>+K701*I701</f>
        <v>1616</v>
      </c>
      <c r="M701" s="37" t="s">
        <v>764</v>
      </c>
      <c r="N701" s="23" t="s">
        <v>823</v>
      </c>
      <c r="O701" s="23">
        <v>21</v>
      </c>
      <c r="P701" s="23" t="s">
        <v>1158</v>
      </c>
      <c r="Q701" s="23">
        <v>21</v>
      </c>
      <c r="R701" s="70"/>
      <c r="S701" s="23"/>
      <c r="T701" s="7">
        <v>4400</v>
      </c>
      <c r="U701" s="7" t="s">
        <v>1576</v>
      </c>
      <c r="V701" s="7">
        <v>4464</v>
      </c>
      <c r="W701" s="7" t="s">
        <v>1580</v>
      </c>
      <c r="X701" s="18"/>
      <c r="Y701" s="17"/>
      <c r="Z701" s="18"/>
      <c r="AA701" s="18"/>
      <c r="AB701" s="7" t="s">
        <v>1048</v>
      </c>
      <c r="AC701" s="8" t="s">
        <v>726</v>
      </c>
      <c r="AD701" s="8"/>
      <c r="AE701" s="8" t="s">
        <v>726</v>
      </c>
      <c r="AF701" s="8"/>
      <c r="AG701" s="8" t="s">
        <v>726</v>
      </c>
      <c r="AH701" s="8" t="s">
        <v>726</v>
      </c>
      <c r="AI701" s="8" t="s">
        <v>726</v>
      </c>
      <c r="AJ701" s="8" t="s">
        <v>726</v>
      </c>
      <c r="AK701" s="8" t="s">
        <v>726</v>
      </c>
      <c r="AL701" s="8"/>
      <c r="AM701" s="8"/>
      <c r="AN701" s="8"/>
      <c r="AO701" s="8"/>
      <c r="AP701" s="8"/>
      <c r="AQ701" s="8"/>
      <c r="AR701" s="8"/>
      <c r="AS701" s="8"/>
      <c r="AT701" s="8"/>
      <c r="AU701" s="8"/>
      <c r="AV701" s="8"/>
      <c r="AX701" s="142">
        <v>16</v>
      </c>
    </row>
    <row r="702" spans="2:50" ht="25.5">
      <c r="B702" s="27">
        <v>690</v>
      </c>
      <c r="C702" s="38">
        <v>408</v>
      </c>
      <c r="D702" s="38">
        <v>36</v>
      </c>
      <c r="E702" s="39">
        <v>0.30902777777777779</v>
      </c>
      <c r="F702" s="39">
        <v>0.31319444444444444</v>
      </c>
      <c r="G702" s="40" t="s">
        <v>81</v>
      </c>
      <c r="H702" s="31" t="s">
        <v>97</v>
      </c>
      <c r="I702" s="38">
        <v>3</v>
      </c>
      <c r="J702" s="41">
        <v>40</v>
      </c>
      <c r="K702" s="35">
        <v>208</v>
      </c>
      <c r="L702" s="36">
        <f>+K702*I702</f>
        <v>624</v>
      </c>
      <c r="M702" s="37" t="s">
        <v>762</v>
      </c>
      <c r="N702" s="23" t="s">
        <v>883</v>
      </c>
      <c r="O702" s="23">
        <v>61</v>
      </c>
      <c r="P702" s="23" t="s">
        <v>1811</v>
      </c>
      <c r="Q702" s="23">
        <v>62</v>
      </c>
      <c r="R702" s="79" t="s">
        <v>882</v>
      </c>
      <c r="S702" s="79">
        <v>33</v>
      </c>
      <c r="T702" s="7">
        <v>4400</v>
      </c>
      <c r="U702" s="7" t="s">
        <v>1576</v>
      </c>
      <c r="V702" s="7">
        <v>4410</v>
      </c>
      <c r="W702" s="7" t="s">
        <v>1581</v>
      </c>
      <c r="X702" s="18"/>
      <c r="Y702" s="17"/>
      <c r="Z702" s="17"/>
      <c r="AA702" s="17"/>
      <c r="AB702" s="7" t="s">
        <v>1046</v>
      </c>
      <c r="AC702" s="8"/>
      <c r="AD702" s="8"/>
      <c r="AE702" s="8"/>
      <c r="AF702" s="8" t="s">
        <v>726</v>
      </c>
      <c r="AG702" s="8" t="s">
        <v>726</v>
      </c>
      <c r="AH702" s="8" t="s">
        <v>726</v>
      </c>
      <c r="AI702" s="8" t="s">
        <v>726</v>
      </c>
      <c r="AJ702" s="8" t="s">
        <v>726</v>
      </c>
      <c r="AK702" s="8" t="s">
        <v>726</v>
      </c>
      <c r="AL702" s="8" t="s">
        <v>726</v>
      </c>
      <c r="AM702" s="8"/>
      <c r="AN702" s="8"/>
      <c r="AO702" s="8"/>
      <c r="AP702" s="8"/>
      <c r="AQ702" s="8"/>
      <c r="AR702" s="8"/>
      <c r="AS702" s="8"/>
      <c r="AT702" s="8"/>
      <c r="AU702" s="8"/>
      <c r="AV702" s="8"/>
      <c r="AX702" s="142">
        <v>14.362694300518136</v>
      </c>
    </row>
    <row r="703" spans="2:50" ht="25.5">
      <c r="B703" s="27">
        <v>691</v>
      </c>
      <c r="C703" s="38">
        <v>408</v>
      </c>
      <c r="D703" s="38">
        <v>36</v>
      </c>
      <c r="E703" s="39">
        <v>0.30902777777777779</v>
      </c>
      <c r="F703" s="39">
        <v>0.31319444444444444</v>
      </c>
      <c r="G703" s="40" t="s">
        <v>81</v>
      </c>
      <c r="H703" s="31" t="s">
        <v>39</v>
      </c>
      <c r="I703" s="38">
        <v>3</v>
      </c>
      <c r="J703" s="41">
        <v>19</v>
      </c>
      <c r="K703" s="35">
        <v>29</v>
      </c>
      <c r="L703" s="36">
        <f>+K703*I703</f>
        <v>87</v>
      </c>
      <c r="M703" s="37" t="s">
        <v>762</v>
      </c>
      <c r="N703" s="23" t="s">
        <v>883</v>
      </c>
      <c r="O703" s="23">
        <v>61</v>
      </c>
      <c r="P703" s="23" t="s">
        <v>1811</v>
      </c>
      <c r="Q703" s="23">
        <v>62</v>
      </c>
      <c r="R703" s="79" t="s">
        <v>882</v>
      </c>
      <c r="S703" s="79">
        <v>33</v>
      </c>
      <c r="T703" s="7">
        <v>4400</v>
      </c>
      <c r="U703" s="7" t="s">
        <v>1576</v>
      </c>
      <c r="V703" s="7">
        <v>4410</v>
      </c>
      <c r="W703" s="7" t="s">
        <v>1581</v>
      </c>
      <c r="X703" s="18"/>
      <c r="Y703" s="17"/>
      <c r="Z703" s="18"/>
      <c r="AA703" s="18"/>
      <c r="AB703" s="7" t="s">
        <v>1050</v>
      </c>
      <c r="AC703" s="8" t="s">
        <v>726</v>
      </c>
      <c r="AD703" s="8"/>
      <c r="AE703" s="8" t="s">
        <v>726</v>
      </c>
      <c r="AF703" s="8"/>
      <c r="AG703" s="8"/>
      <c r="AH703" s="8"/>
      <c r="AI703" s="8"/>
      <c r="AJ703" s="8"/>
      <c r="AK703" s="8"/>
      <c r="AL703" s="8"/>
      <c r="AM703" s="8"/>
      <c r="AN703" s="8"/>
      <c r="AO703" s="8"/>
      <c r="AP703" s="8"/>
      <c r="AQ703" s="8" t="s">
        <v>726</v>
      </c>
      <c r="AR703" s="8" t="s">
        <v>726</v>
      </c>
      <c r="AS703" s="8" t="s">
        <v>726</v>
      </c>
      <c r="AT703" s="8" t="s">
        <v>726</v>
      </c>
      <c r="AU703" s="8" t="s">
        <v>726</v>
      </c>
      <c r="AV703" s="8" t="s">
        <v>726</v>
      </c>
      <c r="AX703" s="142">
        <v>23.303571428571431</v>
      </c>
    </row>
    <row r="704" spans="2:50" ht="25.5">
      <c r="B704" s="27">
        <v>692</v>
      </c>
      <c r="C704" s="38">
        <v>408</v>
      </c>
      <c r="D704" s="38">
        <v>41</v>
      </c>
      <c r="E704" s="39">
        <v>0.31388888888888888</v>
      </c>
      <c r="F704" s="44">
        <v>0.31805555555555554</v>
      </c>
      <c r="G704" s="40" t="s">
        <v>80</v>
      </c>
      <c r="H704" s="31" t="s">
        <v>97</v>
      </c>
      <c r="I704" s="38">
        <v>3</v>
      </c>
      <c r="J704" s="41">
        <v>40</v>
      </c>
      <c r="K704" s="35">
        <v>208</v>
      </c>
      <c r="L704" s="36">
        <f>+K704*I704</f>
        <v>624</v>
      </c>
      <c r="M704" s="37" t="s">
        <v>762</v>
      </c>
      <c r="N704" s="23" t="s">
        <v>883</v>
      </c>
      <c r="O704" s="23">
        <v>61</v>
      </c>
      <c r="P704" s="23" t="s">
        <v>1811</v>
      </c>
      <c r="Q704" s="23">
        <v>62</v>
      </c>
      <c r="R704" s="79" t="s">
        <v>882</v>
      </c>
      <c r="S704" s="79">
        <v>33</v>
      </c>
      <c r="T704" s="7">
        <v>4410</v>
      </c>
      <c r="U704" s="7" t="s">
        <v>1581</v>
      </c>
      <c r="V704" s="7">
        <v>4400</v>
      </c>
      <c r="W704" s="7" t="s">
        <v>1576</v>
      </c>
      <c r="X704" s="18"/>
      <c r="Y704" s="17"/>
      <c r="Z704" s="17"/>
      <c r="AA704" s="17"/>
      <c r="AB704" s="7" t="s">
        <v>1046</v>
      </c>
      <c r="AC704" s="8"/>
      <c r="AD704" s="8"/>
      <c r="AE704" s="8"/>
      <c r="AF704" s="8" t="s">
        <v>726</v>
      </c>
      <c r="AG704" s="8" t="s">
        <v>726</v>
      </c>
      <c r="AH704" s="8" t="s">
        <v>726</v>
      </c>
      <c r="AI704" s="8" t="s">
        <v>726</v>
      </c>
      <c r="AJ704" s="8" t="s">
        <v>726</v>
      </c>
      <c r="AK704" s="8" t="s">
        <v>726</v>
      </c>
      <c r="AL704" s="8" t="s">
        <v>726</v>
      </c>
      <c r="AM704" s="8"/>
      <c r="AN704" s="8"/>
      <c r="AO704" s="8"/>
      <c r="AP704" s="8"/>
      <c r="AQ704" s="8"/>
      <c r="AR704" s="8"/>
      <c r="AS704" s="8"/>
      <c r="AT704" s="8"/>
      <c r="AU704" s="8"/>
      <c r="AV704" s="8"/>
      <c r="AX704" s="142">
        <v>14.362694300518136</v>
      </c>
    </row>
    <row r="705" spans="1:50" ht="25.5">
      <c r="B705" s="27">
        <v>693</v>
      </c>
      <c r="C705" s="38">
        <v>408</v>
      </c>
      <c r="D705" s="38">
        <v>41</v>
      </c>
      <c r="E705" s="39">
        <v>0.31388888888888888</v>
      </c>
      <c r="F705" s="44">
        <v>0.31805555555555554</v>
      </c>
      <c r="G705" s="40" t="s">
        <v>80</v>
      </c>
      <c r="H705" s="31" t="s">
        <v>39</v>
      </c>
      <c r="I705" s="38">
        <v>3</v>
      </c>
      <c r="J705" s="41">
        <v>19</v>
      </c>
      <c r="K705" s="35">
        <v>29</v>
      </c>
      <c r="L705" s="36">
        <f>+K705*I705</f>
        <v>87</v>
      </c>
      <c r="M705" s="37" t="s">
        <v>762</v>
      </c>
      <c r="N705" s="23" t="s">
        <v>883</v>
      </c>
      <c r="O705" s="23">
        <v>61</v>
      </c>
      <c r="P705" s="23" t="s">
        <v>1811</v>
      </c>
      <c r="Q705" s="23">
        <v>62</v>
      </c>
      <c r="R705" s="79" t="s">
        <v>882</v>
      </c>
      <c r="S705" s="79">
        <v>33</v>
      </c>
      <c r="T705" s="7">
        <v>4410</v>
      </c>
      <c r="U705" s="7" t="s">
        <v>1581</v>
      </c>
      <c r="V705" s="7">
        <v>4400</v>
      </c>
      <c r="W705" s="7" t="s">
        <v>1576</v>
      </c>
      <c r="X705" s="18"/>
      <c r="Y705" s="17"/>
      <c r="Z705" s="18"/>
      <c r="AA705" s="18"/>
      <c r="AB705" s="7" t="s">
        <v>1050</v>
      </c>
      <c r="AC705" s="8" t="s">
        <v>726</v>
      </c>
      <c r="AD705" s="8"/>
      <c r="AE705" s="8" t="s">
        <v>726</v>
      </c>
      <c r="AF705" s="8"/>
      <c r="AG705" s="8"/>
      <c r="AH705" s="8"/>
      <c r="AI705" s="8"/>
      <c r="AJ705" s="8"/>
      <c r="AK705" s="8"/>
      <c r="AL705" s="8"/>
      <c r="AM705" s="8"/>
      <c r="AN705" s="8"/>
      <c r="AO705" s="8"/>
      <c r="AP705" s="8"/>
      <c r="AQ705" s="8" t="s">
        <v>726</v>
      </c>
      <c r="AR705" s="8" t="s">
        <v>726</v>
      </c>
      <c r="AS705" s="8" t="s">
        <v>726</v>
      </c>
      <c r="AT705" s="8" t="s">
        <v>726</v>
      </c>
      <c r="AU705" s="8" t="s">
        <v>726</v>
      </c>
      <c r="AV705" s="8" t="s">
        <v>726</v>
      </c>
      <c r="AX705" s="142">
        <v>23.303571428571431</v>
      </c>
    </row>
    <row r="706" spans="1:50" ht="25.5">
      <c r="B706" s="27">
        <v>694</v>
      </c>
      <c r="C706" s="31">
        <v>409</v>
      </c>
      <c r="D706" s="31">
        <v>613</v>
      </c>
      <c r="E706" s="32">
        <v>0.3888888888888889</v>
      </c>
      <c r="F706" s="32">
        <v>0.41666666666666669</v>
      </c>
      <c r="G706" s="31" t="s">
        <v>340</v>
      </c>
      <c r="H706" s="31" t="s">
        <v>108</v>
      </c>
      <c r="I706" s="33">
        <v>20</v>
      </c>
      <c r="J706" s="34" t="s">
        <v>146</v>
      </c>
      <c r="K706" s="35">
        <v>52</v>
      </c>
      <c r="L706" s="36">
        <f>+K706*I706</f>
        <v>1040</v>
      </c>
      <c r="M706" s="37" t="s">
        <v>738</v>
      </c>
      <c r="N706" s="23" t="s">
        <v>843</v>
      </c>
      <c r="O706" s="23">
        <v>17</v>
      </c>
      <c r="P706" s="23" t="s">
        <v>842</v>
      </c>
      <c r="Q706" s="23">
        <v>21</v>
      </c>
      <c r="R706" s="23"/>
      <c r="S706" s="23"/>
      <c r="T706" s="7">
        <v>4442</v>
      </c>
      <c r="U706" s="7" t="s">
        <v>1582</v>
      </c>
      <c r="V706" s="7" t="s">
        <v>1574</v>
      </c>
      <c r="W706" s="7" t="s">
        <v>1575</v>
      </c>
      <c r="X706" s="17"/>
      <c r="Y706" s="17"/>
      <c r="Z706" s="17"/>
      <c r="AA706" s="17"/>
      <c r="AB706" s="8" t="s">
        <v>1063</v>
      </c>
      <c r="AC706" s="8" t="s">
        <v>726</v>
      </c>
      <c r="AD706" s="8" t="s">
        <v>726</v>
      </c>
      <c r="AE706" s="8" t="s">
        <v>726</v>
      </c>
      <c r="AF706" s="8"/>
      <c r="AG706" s="8"/>
      <c r="AH706" s="8"/>
      <c r="AI706" s="8" t="s">
        <v>726</v>
      </c>
      <c r="AJ706" s="8"/>
      <c r="AK706" s="8"/>
      <c r="AL706" s="8"/>
      <c r="AM706" s="8"/>
      <c r="AN706" s="8"/>
      <c r="AO706" s="8"/>
      <c r="AP706" s="8"/>
      <c r="AQ706" s="8"/>
      <c r="AR706" s="8"/>
      <c r="AS706" s="8"/>
      <c r="AT706" s="8"/>
      <c r="AU706" s="8"/>
      <c r="AV706" s="8"/>
      <c r="AX706" s="142">
        <v>69.95</v>
      </c>
    </row>
    <row r="707" spans="1:50" ht="25.5">
      <c r="B707" s="27">
        <v>695</v>
      </c>
      <c r="C707" s="31">
        <v>409</v>
      </c>
      <c r="D707" s="31">
        <v>612</v>
      </c>
      <c r="E707" s="32">
        <v>0.46875</v>
      </c>
      <c r="F707" s="32">
        <v>0.49652777777777773</v>
      </c>
      <c r="G707" s="31" t="s">
        <v>339</v>
      </c>
      <c r="H707" s="31" t="s">
        <v>108</v>
      </c>
      <c r="I707" s="33">
        <v>20</v>
      </c>
      <c r="J707" s="34" t="s">
        <v>146</v>
      </c>
      <c r="K707" s="35">
        <v>52</v>
      </c>
      <c r="L707" s="36">
        <f>+K707*I707</f>
        <v>1040</v>
      </c>
      <c r="M707" s="37" t="s">
        <v>738</v>
      </c>
      <c r="N707" s="23" t="s">
        <v>843</v>
      </c>
      <c r="O707" s="23">
        <v>17</v>
      </c>
      <c r="P707" s="23" t="s">
        <v>842</v>
      </c>
      <c r="Q707" s="23">
        <v>21</v>
      </c>
      <c r="R707" s="23"/>
      <c r="S707" s="23"/>
      <c r="T707" s="7" t="s">
        <v>1574</v>
      </c>
      <c r="U707" s="7" t="s">
        <v>1575</v>
      </c>
      <c r="V707" s="7">
        <v>4442</v>
      </c>
      <c r="W707" s="7" t="s">
        <v>1582</v>
      </c>
      <c r="X707" s="17"/>
      <c r="Y707" s="17"/>
      <c r="Z707" s="17"/>
      <c r="AA707" s="17"/>
      <c r="AB707" s="8" t="s">
        <v>1063</v>
      </c>
      <c r="AC707" s="8" t="s">
        <v>726</v>
      </c>
      <c r="AD707" s="8" t="s">
        <v>726</v>
      </c>
      <c r="AE707" s="8" t="s">
        <v>726</v>
      </c>
      <c r="AF707" s="8"/>
      <c r="AG707" s="8"/>
      <c r="AH707" s="8"/>
      <c r="AI707" s="8" t="s">
        <v>726</v>
      </c>
      <c r="AJ707" s="8"/>
      <c r="AK707" s="8"/>
      <c r="AL707" s="8"/>
      <c r="AM707" s="8"/>
      <c r="AN707" s="8"/>
      <c r="AO707" s="8"/>
      <c r="AP707" s="8"/>
      <c r="AQ707" s="8"/>
      <c r="AR707" s="8"/>
      <c r="AS707" s="8"/>
      <c r="AT707" s="8"/>
      <c r="AU707" s="8"/>
      <c r="AV707" s="8"/>
      <c r="AX707" s="142">
        <v>69.95</v>
      </c>
    </row>
    <row r="708" spans="1:50" ht="25.5">
      <c r="B708" s="27">
        <v>696</v>
      </c>
      <c r="C708" s="38">
        <v>409</v>
      </c>
      <c r="D708" s="38">
        <v>56</v>
      </c>
      <c r="E708" s="39">
        <v>0.76111111111111107</v>
      </c>
      <c r="F708" s="44">
        <v>0.77500000000000002</v>
      </c>
      <c r="G708" s="40" t="s">
        <v>83</v>
      </c>
      <c r="H708" s="31" t="s">
        <v>203</v>
      </c>
      <c r="I708" s="38">
        <v>10</v>
      </c>
      <c r="J708" s="41">
        <v>19</v>
      </c>
      <c r="K708" s="35">
        <v>202</v>
      </c>
      <c r="L708" s="36">
        <f>+K708*I708</f>
        <v>2020</v>
      </c>
      <c r="M708" s="37" t="s">
        <v>764</v>
      </c>
      <c r="N708" s="23" t="s">
        <v>823</v>
      </c>
      <c r="O708" s="23">
        <v>21</v>
      </c>
      <c r="P708" s="23" t="s">
        <v>1158</v>
      </c>
      <c r="Q708" s="23">
        <v>21</v>
      </c>
      <c r="R708" s="70"/>
      <c r="S708" s="23"/>
      <c r="T708" s="7">
        <v>4400</v>
      </c>
      <c r="U708" s="7" t="s">
        <v>1576</v>
      </c>
      <c r="V708" s="7">
        <v>4440</v>
      </c>
      <c r="W708" s="7" t="s">
        <v>1583</v>
      </c>
      <c r="X708" s="18"/>
      <c r="Y708" s="17"/>
      <c r="Z708" s="18"/>
      <c r="AA708" s="18"/>
      <c r="AB708" s="7" t="s">
        <v>1048</v>
      </c>
      <c r="AC708" s="8" t="s">
        <v>726</v>
      </c>
      <c r="AD708" s="8"/>
      <c r="AE708" s="8" t="s">
        <v>726</v>
      </c>
      <c r="AF708" s="8"/>
      <c r="AG708" s="8" t="s">
        <v>726</v>
      </c>
      <c r="AH708" s="8" t="s">
        <v>726</v>
      </c>
      <c r="AI708" s="8" t="s">
        <v>726</v>
      </c>
      <c r="AJ708" s="8" t="s">
        <v>726</v>
      </c>
      <c r="AK708" s="8" t="s">
        <v>726</v>
      </c>
      <c r="AL708" s="8"/>
      <c r="AM708" s="8"/>
      <c r="AN708" s="8"/>
      <c r="AO708" s="8"/>
      <c r="AP708" s="8"/>
      <c r="AQ708" s="8"/>
      <c r="AR708" s="8"/>
      <c r="AS708" s="8"/>
      <c r="AT708" s="8"/>
      <c r="AU708" s="8"/>
      <c r="AV708" s="8"/>
      <c r="AX708" s="142">
        <v>20</v>
      </c>
    </row>
    <row r="709" spans="1:50" ht="25.5">
      <c r="B709" s="27">
        <v>697</v>
      </c>
      <c r="C709" s="31">
        <v>409</v>
      </c>
      <c r="D709" s="31">
        <v>56</v>
      </c>
      <c r="E709" s="32">
        <v>0.76388888888888884</v>
      </c>
      <c r="F709" s="32">
        <v>0.77847222222222223</v>
      </c>
      <c r="G709" s="31" t="s">
        <v>567</v>
      </c>
      <c r="H709" s="31" t="s">
        <v>505</v>
      </c>
      <c r="I709" s="33">
        <v>10</v>
      </c>
      <c r="J709" s="58">
        <v>19</v>
      </c>
      <c r="K709" s="35">
        <v>12</v>
      </c>
      <c r="L709" s="36">
        <f>+K709*I709</f>
        <v>120</v>
      </c>
      <c r="M709" s="37" t="s">
        <v>764</v>
      </c>
      <c r="N709" s="23" t="s">
        <v>823</v>
      </c>
      <c r="O709" s="23">
        <v>21</v>
      </c>
      <c r="P709" s="23" t="s">
        <v>1158</v>
      </c>
      <c r="Q709" s="23">
        <v>21</v>
      </c>
      <c r="R709" s="70"/>
      <c r="S709" s="23"/>
      <c r="T709" s="7">
        <v>4400</v>
      </c>
      <c r="U709" s="7" t="s">
        <v>1576</v>
      </c>
      <c r="V709" s="7">
        <v>4440</v>
      </c>
      <c r="W709" s="7" t="s">
        <v>1583</v>
      </c>
      <c r="X709" s="17"/>
      <c r="Y709" s="18"/>
      <c r="Z709" s="18"/>
      <c r="AA709" s="18"/>
      <c r="AB709" s="7" t="s">
        <v>1058</v>
      </c>
      <c r="AC709" s="8"/>
      <c r="AD709" s="8" t="s">
        <v>726</v>
      </c>
      <c r="AE709" s="8" t="s">
        <v>726</v>
      </c>
      <c r="AF709" s="8"/>
      <c r="AG709" s="8"/>
      <c r="AH709" s="8"/>
      <c r="AI709" s="8"/>
      <c r="AJ709" s="8"/>
      <c r="AK709" s="8"/>
      <c r="AL709" s="8" t="s">
        <v>726</v>
      </c>
      <c r="AM709" s="8"/>
      <c r="AN709" s="8"/>
      <c r="AO709" s="8"/>
      <c r="AP709" s="8"/>
      <c r="AQ709" s="8"/>
      <c r="AR709" s="8"/>
      <c r="AS709" s="8"/>
      <c r="AT709" s="8"/>
      <c r="AU709" s="8"/>
      <c r="AV709" s="8"/>
      <c r="AX709" s="142">
        <v>30</v>
      </c>
    </row>
    <row r="710" spans="1:50" ht="25.5">
      <c r="B710" s="27">
        <v>698</v>
      </c>
      <c r="C710" s="38">
        <v>409</v>
      </c>
      <c r="D710" s="53">
        <v>55</v>
      </c>
      <c r="E710" s="39">
        <v>0.77777777777777779</v>
      </c>
      <c r="F710" s="39">
        <v>0.79166666666666663</v>
      </c>
      <c r="G710" s="40" t="s">
        <v>82</v>
      </c>
      <c r="H710" s="31" t="s">
        <v>203</v>
      </c>
      <c r="I710" s="38">
        <v>10</v>
      </c>
      <c r="J710" s="41">
        <v>19</v>
      </c>
      <c r="K710" s="35">
        <v>202</v>
      </c>
      <c r="L710" s="36">
        <f>+K710*I710</f>
        <v>2020</v>
      </c>
      <c r="M710" s="37" t="s">
        <v>764</v>
      </c>
      <c r="N710" s="23" t="s">
        <v>823</v>
      </c>
      <c r="O710" s="23">
        <v>21</v>
      </c>
      <c r="P710" s="23" t="s">
        <v>1158</v>
      </c>
      <c r="Q710" s="23">
        <v>21</v>
      </c>
      <c r="R710" s="70"/>
      <c r="S710" s="23"/>
      <c r="T710" s="7">
        <v>4440</v>
      </c>
      <c r="U710" s="7" t="s">
        <v>1583</v>
      </c>
      <c r="V710" s="7">
        <v>4400</v>
      </c>
      <c r="W710" s="7" t="s">
        <v>1576</v>
      </c>
      <c r="X710" s="18"/>
      <c r="Y710" s="17"/>
      <c r="Z710" s="18"/>
      <c r="AA710" s="18"/>
      <c r="AB710" s="7" t="s">
        <v>1048</v>
      </c>
      <c r="AC710" s="8" t="s">
        <v>726</v>
      </c>
      <c r="AD710" s="8"/>
      <c r="AE710" s="8" t="s">
        <v>726</v>
      </c>
      <c r="AF710" s="8"/>
      <c r="AG710" s="8" t="s">
        <v>726</v>
      </c>
      <c r="AH710" s="8" t="s">
        <v>726</v>
      </c>
      <c r="AI710" s="8" t="s">
        <v>726</v>
      </c>
      <c r="AJ710" s="8" t="s">
        <v>726</v>
      </c>
      <c r="AK710" s="8" t="s">
        <v>726</v>
      </c>
      <c r="AL710" s="8"/>
      <c r="AM710" s="8"/>
      <c r="AN710" s="8"/>
      <c r="AO710" s="8"/>
      <c r="AP710" s="8"/>
      <c r="AQ710" s="8"/>
      <c r="AR710" s="8"/>
      <c r="AS710" s="8"/>
      <c r="AT710" s="8"/>
      <c r="AU710" s="8"/>
      <c r="AV710" s="8"/>
      <c r="AX710" s="142">
        <v>20</v>
      </c>
    </row>
    <row r="711" spans="1:50" ht="25.5">
      <c r="B711" s="27">
        <v>699</v>
      </c>
      <c r="C711" s="31">
        <v>409</v>
      </c>
      <c r="D711" s="31">
        <v>55</v>
      </c>
      <c r="E711" s="32">
        <v>0.78055555555555556</v>
      </c>
      <c r="F711" s="32">
        <v>0.7944444444444444</v>
      </c>
      <c r="G711" s="31" t="s">
        <v>568</v>
      </c>
      <c r="H711" s="31" t="s">
        <v>505</v>
      </c>
      <c r="I711" s="33">
        <v>10</v>
      </c>
      <c r="J711" s="58">
        <v>19</v>
      </c>
      <c r="K711" s="35">
        <v>12</v>
      </c>
      <c r="L711" s="36">
        <f>+K711*I711</f>
        <v>120</v>
      </c>
      <c r="M711" s="37" t="s">
        <v>764</v>
      </c>
      <c r="N711" s="23" t="s">
        <v>823</v>
      </c>
      <c r="O711" s="23">
        <v>21</v>
      </c>
      <c r="P711" s="23" t="s">
        <v>1158</v>
      </c>
      <c r="Q711" s="23">
        <v>21</v>
      </c>
      <c r="R711" s="70"/>
      <c r="S711" s="23"/>
      <c r="T711" s="7">
        <v>4440</v>
      </c>
      <c r="U711" s="7" t="s">
        <v>1583</v>
      </c>
      <c r="V711" s="7">
        <v>4400</v>
      </c>
      <c r="W711" s="7" t="s">
        <v>1576</v>
      </c>
      <c r="X711" s="17"/>
      <c r="Y711" s="18"/>
      <c r="Z711" s="18"/>
      <c r="AA711" s="18"/>
      <c r="AB711" s="7" t="s">
        <v>1058</v>
      </c>
      <c r="AC711" s="8"/>
      <c r="AD711" s="8" t="s">
        <v>726</v>
      </c>
      <c r="AE711" s="8" t="s">
        <v>726</v>
      </c>
      <c r="AF711" s="8"/>
      <c r="AG711" s="8"/>
      <c r="AH711" s="8"/>
      <c r="AI711" s="8"/>
      <c r="AJ711" s="8"/>
      <c r="AK711" s="8"/>
      <c r="AL711" s="8" t="s">
        <v>726</v>
      </c>
      <c r="AM711" s="8"/>
      <c r="AN711" s="8"/>
      <c r="AO711" s="8"/>
      <c r="AP711" s="8"/>
      <c r="AQ711" s="8"/>
      <c r="AR711" s="8"/>
      <c r="AS711" s="8"/>
      <c r="AT711" s="8"/>
      <c r="AU711" s="8"/>
      <c r="AV711" s="8"/>
      <c r="AX711" s="142">
        <v>30</v>
      </c>
    </row>
    <row r="712" spans="1:50" ht="38.25">
      <c r="B712" s="27">
        <v>700</v>
      </c>
      <c r="C712" s="31">
        <v>417</v>
      </c>
      <c r="D712" s="31">
        <v>225</v>
      </c>
      <c r="E712" s="32">
        <v>0.30277777777777776</v>
      </c>
      <c r="F712" s="42">
        <v>0.31875000000000003</v>
      </c>
      <c r="G712" s="31" t="s">
        <v>419</v>
      </c>
      <c r="H712" s="31" t="s">
        <v>103</v>
      </c>
      <c r="I712" s="33">
        <v>10.5</v>
      </c>
      <c r="J712" s="34" t="s">
        <v>254</v>
      </c>
      <c r="K712" s="35">
        <v>174</v>
      </c>
      <c r="L712" s="36">
        <f>+K712*I712</f>
        <v>1827</v>
      </c>
      <c r="M712" s="37" t="s">
        <v>716</v>
      </c>
      <c r="N712" s="23" t="s">
        <v>856</v>
      </c>
      <c r="O712" s="23" t="s">
        <v>972</v>
      </c>
      <c r="P712" s="23" t="s">
        <v>1186</v>
      </c>
      <c r="Q712" s="23">
        <v>50</v>
      </c>
      <c r="S712" s="23"/>
      <c r="T712" s="7" t="s">
        <v>1584</v>
      </c>
      <c r="U712" s="7" t="s">
        <v>1585</v>
      </c>
      <c r="V712" s="7" t="s">
        <v>1586</v>
      </c>
      <c r="W712" s="7" t="s">
        <v>1587</v>
      </c>
      <c r="X712" s="18"/>
      <c r="Y712" s="17"/>
      <c r="Z712" s="17"/>
      <c r="AA712" s="17"/>
      <c r="AB712" s="7" t="s">
        <v>1042</v>
      </c>
      <c r="AC712" s="8"/>
      <c r="AD712" s="8"/>
      <c r="AE712" s="8"/>
      <c r="AF712" s="8" t="s">
        <v>726</v>
      </c>
      <c r="AG712" s="8" t="s">
        <v>726</v>
      </c>
      <c r="AH712" s="8" t="s">
        <v>726</v>
      </c>
      <c r="AI712" s="8" t="s">
        <v>726</v>
      </c>
      <c r="AJ712" s="8" t="s">
        <v>726</v>
      </c>
      <c r="AK712" s="8" t="s">
        <v>726</v>
      </c>
      <c r="AL712" s="8"/>
      <c r="AM712" s="8"/>
      <c r="AN712" s="8"/>
      <c r="AO712" s="8"/>
      <c r="AP712" s="8"/>
      <c r="AQ712" s="8"/>
      <c r="AR712" s="8"/>
      <c r="AS712" s="8"/>
      <c r="AT712" s="8"/>
      <c r="AU712" s="8"/>
      <c r="AV712" s="8"/>
      <c r="AX712" s="142">
        <v>217.02</v>
      </c>
    </row>
    <row r="713" spans="1:50" ht="25.5">
      <c r="B713" s="27">
        <v>701</v>
      </c>
      <c r="C713" s="31">
        <v>417</v>
      </c>
      <c r="D713" s="31">
        <v>225</v>
      </c>
      <c r="E713" s="42">
        <v>0.31666666666666665</v>
      </c>
      <c r="F713" s="42">
        <v>0.32430555555555557</v>
      </c>
      <c r="G713" s="31" t="s">
        <v>319</v>
      </c>
      <c r="H713" s="31" t="s">
        <v>103</v>
      </c>
      <c r="I713" s="33">
        <v>5.5</v>
      </c>
      <c r="J713" s="34" t="s">
        <v>93</v>
      </c>
      <c r="K713" s="35">
        <v>174</v>
      </c>
      <c r="L713" s="36">
        <f>+K713*I713</f>
        <v>957</v>
      </c>
      <c r="M713" s="37" t="s">
        <v>766</v>
      </c>
      <c r="N713" s="23" t="s">
        <v>859</v>
      </c>
      <c r="O713" s="23">
        <v>21</v>
      </c>
      <c r="P713" s="23" t="s">
        <v>860</v>
      </c>
      <c r="Q713" s="23">
        <v>31</v>
      </c>
      <c r="R713" s="111" t="s">
        <v>1903</v>
      </c>
      <c r="S713" s="111">
        <v>38</v>
      </c>
      <c r="T713" s="7">
        <v>4120</v>
      </c>
      <c r="U713" s="7" t="s">
        <v>1588</v>
      </c>
      <c r="V713" s="7" t="s">
        <v>1343</v>
      </c>
      <c r="W713" s="7" t="s">
        <v>1344</v>
      </c>
      <c r="X713" s="18"/>
      <c r="Y713" s="17"/>
      <c r="Z713" s="17"/>
      <c r="AA713" s="17"/>
      <c r="AB713" s="7" t="s">
        <v>1042</v>
      </c>
      <c r="AC713" s="8"/>
      <c r="AD713" s="8"/>
      <c r="AE713" s="8"/>
      <c r="AF713" s="8" t="s">
        <v>726</v>
      </c>
      <c r="AG713" s="8" t="s">
        <v>726</v>
      </c>
      <c r="AH713" s="8" t="s">
        <v>726</v>
      </c>
      <c r="AI713" s="8" t="s">
        <v>726</v>
      </c>
      <c r="AJ713" s="8" t="s">
        <v>726</v>
      </c>
      <c r="AK713" s="8" t="s">
        <v>726</v>
      </c>
      <c r="AL713" s="8"/>
      <c r="AM713" s="8"/>
      <c r="AN713" s="8"/>
      <c r="AO713" s="8"/>
      <c r="AP713" s="8"/>
      <c r="AQ713" s="8"/>
      <c r="AR713" s="8"/>
      <c r="AS713" s="8"/>
      <c r="AT713" s="8"/>
      <c r="AU713" s="8"/>
      <c r="AV713" s="8"/>
      <c r="AX713" s="142">
        <v>16.5</v>
      </c>
    </row>
    <row r="714" spans="1:50" ht="25.5">
      <c r="B714" s="27">
        <v>702</v>
      </c>
      <c r="C714" s="31">
        <v>417</v>
      </c>
      <c r="D714" s="31">
        <v>307</v>
      </c>
      <c r="E714" s="32">
        <v>0.63888888888888895</v>
      </c>
      <c r="F714" s="32">
        <v>0.6645833333333333</v>
      </c>
      <c r="G714" s="31" t="s">
        <v>142</v>
      </c>
      <c r="H714" s="31" t="s">
        <v>103</v>
      </c>
      <c r="I714" s="33">
        <v>14.5</v>
      </c>
      <c r="J714" s="34" t="s">
        <v>269</v>
      </c>
      <c r="K714" s="35">
        <v>174</v>
      </c>
      <c r="L714" s="36">
        <f>+K714*I714</f>
        <v>2523</v>
      </c>
      <c r="M714" s="37" t="s">
        <v>767</v>
      </c>
      <c r="N714" s="2" t="s">
        <v>928</v>
      </c>
      <c r="O714" s="2">
        <v>23</v>
      </c>
      <c r="P714" s="23" t="s">
        <v>1813</v>
      </c>
      <c r="Q714" s="23">
        <v>24</v>
      </c>
      <c r="R714" s="23" t="s">
        <v>1847</v>
      </c>
      <c r="S714" s="24">
        <v>23</v>
      </c>
      <c r="T714" s="7">
        <v>4126</v>
      </c>
      <c r="U714" s="7" t="s">
        <v>1589</v>
      </c>
      <c r="V714" s="7" t="s">
        <v>1343</v>
      </c>
      <c r="W714" s="7" t="s">
        <v>1344</v>
      </c>
      <c r="X714" s="18"/>
      <c r="Y714" s="17"/>
      <c r="Z714" s="17"/>
      <c r="AA714" s="17"/>
      <c r="AB714" s="7" t="s">
        <v>1042</v>
      </c>
      <c r="AC714" s="8"/>
      <c r="AD714" s="8"/>
      <c r="AE714" s="8"/>
      <c r="AF714" s="8" t="s">
        <v>726</v>
      </c>
      <c r="AG714" s="8" t="s">
        <v>726</v>
      </c>
      <c r="AH714" s="8" t="s">
        <v>726</v>
      </c>
      <c r="AI714" s="8" t="s">
        <v>726</v>
      </c>
      <c r="AJ714" s="8" t="s">
        <v>726</v>
      </c>
      <c r="AK714" s="8" t="s">
        <v>726</v>
      </c>
      <c r="AL714" s="8"/>
      <c r="AM714" s="8"/>
      <c r="AN714" s="8"/>
      <c r="AO714" s="8"/>
      <c r="AP714" s="8"/>
      <c r="AQ714" s="8"/>
      <c r="AR714" s="8"/>
      <c r="AS714" s="8"/>
      <c r="AT714" s="8"/>
      <c r="AU714" s="8"/>
      <c r="AV714" s="8"/>
      <c r="AX714" s="142">
        <v>29</v>
      </c>
    </row>
    <row r="715" spans="1:50" ht="25.5">
      <c r="B715" s="27">
        <v>703</v>
      </c>
      <c r="C715" s="31">
        <v>417</v>
      </c>
      <c r="D715" s="31">
        <v>256</v>
      </c>
      <c r="E715" s="32">
        <v>0.67152777777777783</v>
      </c>
      <c r="F715" s="32">
        <v>0.7006944444444444</v>
      </c>
      <c r="G715" s="31" t="s">
        <v>562</v>
      </c>
      <c r="H715" s="31" t="s">
        <v>103</v>
      </c>
      <c r="I715" s="33">
        <v>17.5</v>
      </c>
      <c r="J715" s="34" t="s">
        <v>188</v>
      </c>
      <c r="K715" s="35">
        <v>174</v>
      </c>
      <c r="L715" s="36">
        <f>+K715*I715</f>
        <v>3045</v>
      </c>
      <c r="M715" s="37" t="s">
        <v>766</v>
      </c>
      <c r="N715" s="23" t="s">
        <v>860</v>
      </c>
      <c r="O715" s="23">
        <v>31</v>
      </c>
      <c r="P715" s="23" t="s">
        <v>859</v>
      </c>
      <c r="Q715" s="23">
        <v>21</v>
      </c>
      <c r="R715" s="111" t="s">
        <v>1903</v>
      </c>
      <c r="S715" s="111">
        <v>38</v>
      </c>
      <c r="T715" s="7" t="s">
        <v>1343</v>
      </c>
      <c r="U715" s="7" t="s">
        <v>1344</v>
      </c>
      <c r="V715" s="7" t="s">
        <v>1590</v>
      </c>
      <c r="W715" s="7" t="s">
        <v>1591</v>
      </c>
      <c r="X715" s="18"/>
      <c r="Y715" s="17"/>
      <c r="Z715" s="17"/>
      <c r="AA715" s="17"/>
      <c r="AB715" s="7" t="s">
        <v>1042</v>
      </c>
      <c r="AC715" s="8"/>
      <c r="AD715" s="8"/>
      <c r="AE715" s="8"/>
      <c r="AF715" s="8" t="s">
        <v>726</v>
      </c>
      <c r="AG715" s="8" t="s">
        <v>726</v>
      </c>
      <c r="AH715" s="8" t="s">
        <v>726</v>
      </c>
      <c r="AI715" s="8" t="s">
        <v>726</v>
      </c>
      <c r="AJ715" s="8" t="s">
        <v>726</v>
      </c>
      <c r="AK715" s="8" t="s">
        <v>726</v>
      </c>
      <c r="AL715" s="8"/>
      <c r="AM715" s="8"/>
      <c r="AN715" s="8"/>
      <c r="AO715" s="8"/>
      <c r="AP715" s="8"/>
      <c r="AQ715" s="8"/>
      <c r="AR715" s="8"/>
      <c r="AS715" s="8"/>
      <c r="AT715" s="8"/>
      <c r="AU715" s="8"/>
      <c r="AV715" s="8"/>
      <c r="AX715" s="142">
        <v>52.5</v>
      </c>
    </row>
    <row r="716" spans="1:50" ht="38.25">
      <c r="A716" s="45" t="s">
        <v>1104</v>
      </c>
      <c r="B716" s="27">
        <v>704</v>
      </c>
      <c r="C716" s="31">
        <v>418</v>
      </c>
      <c r="D716" s="31">
        <v>89</v>
      </c>
      <c r="E716" s="32">
        <v>0.25486111111111109</v>
      </c>
      <c r="F716" s="32">
        <v>0.25833333333333336</v>
      </c>
      <c r="G716" s="31" t="s">
        <v>431</v>
      </c>
      <c r="H716" s="43" t="s">
        <v>984</v>
      </c>
      <c r="I716" s="33">
        <v>3</v>
      </c>
      <c r="J716" s="34" t="s">
        <v>167</v>
      </c>
      <c r="K716" s="46">
        <v>208</v>
      </c>
      <c r="L716" s="36">
        <f>+K716*I716</f>
        <v>624</v>
      </c>
      <c r="M716" s="37" t="s">
        <v>768</v>
      </c>
      <c r="N716" s="23" t="s">
        <v>911</v>
      </c>
      <c r="O716" s="23">
        <v>9</v>
      </c>
      <c r="P716" s="23" t="s">
        <v>1814</v>
      </c>
      <c r="Q716" s="23">
        <v>9</v>
      </c>
      <c r="S716" s="23"/>
      <c r="T716" s="7">
        <v>4116</v>
      </c>
      <c r="U716" s="7" t="s">
        <v>1592</v>
      </c>
      <c r="V716" s="7">
        <v>4115</v>
      </c>
      <c r="W716" s="7" t="s">
        <v>1593</v>
      </c>
      <c r="X716" s="18"/>
      <c r="Y716" s="17"/>
      <c r="Z716" s="17"/>
      <c r="AA716" s="17"/>
      <c r="AB716" s="8" t="s">
        <v>1046</v>
      </c>
      <c r="AC716" s="8"/>
      <c r="AD716" s="8"/>
      <c r="AE716" s="8"/>
      <c r="AF716" s="8" t="s">
        <v>726</v>
      </c>
      <c r="AG716" s="8" t="s">
        <v>726</v>
      </c>
      <c r="AH716" s="8" t="s">
        <v>726</v>
      </c>
      <c r="AI716" s="8" t="s">
        <v>726</v>
      </c>
      <c r="AJ716" s="8" t="s">
        <v>726</v>
      </c>
      <c r="AK716" s="8" t="s">
        <v>726</v>
      </c>
      <c r="AL716" s="8" t="s">
        <v>726</v>
      </c>
      <c r="AM716" s="8"/>
      <c r="AN716" s="8"/>
      <c r="AO716" s="8"/>
      <c r="AP716" s="8"/>
      <c r="AQ716" s="8"/>
      <c r="AR716" s="8"/>
      <c r="AS716" s="8"/>
      <c r="AT716" s="8"/>
      <c r="AU716" s="8"/>
      <c r="AV716" s="8"/>
      <c r="AX716" s="142">
        <v>20</v>
      </c>
    </row>
    <row r="717" spans="1:50" ht="25.5">
      <c r="B717" s="27">
        <v>705</v>
      </c>
      <c r="C717" s="38">
        <v>418</v>
      </c>
      <c r="D717" s="38">
        <v>169</v>
      </c>
      <c r="E717" s="39">
        <v>0.25694444444444448</v>
      </c>
      <c r="F717" s="44">
        <v>0.28125</v>
      </c>
      <c r="G717" s="40" t="s">
        <v>646</v>
      </c>
      <c r="H717" s="31" t="s">
        <v>97</v>
      </c>
      <c r="I717" s="38">
        <v>15.7</v>
      </c>
      <c r="J717" s="41">
        <v>30</v>
      </c>
      <c r="K717" s="35">
        <v>208</v>
      </c>
      <c r="L717" s="36">
        <f>+K717*I717</f>
        <v>3265.6</v>
      </c>
      <c r="M717" s="37" t="s">
        <v>766</v>
      </c>
      <c r="N717" s="23" t="s">
        <v>860</v>
      </c>
      <c r="O717" s="23">
        <v>31</v>
      </c>
      <c r="P717" s="23" t="s">
        <v>859</v>
      </c>
      <c r="Q717" s="23">
        <v>21</v>
      </c>
      <c r="R717" s="111" t="s">
        <v>1903</v>
      </c>
      <c r="S717" s="111">
        <v>38</v>
      </c>
      <c r="T717" s="7">
        <v>4143</v>
      </c>
      <c r="U717" s="7" t="s">
        <v>1594</v>
      </c>
      <c r="V717" s="7" t="s">
        <v>1343</v>
      </c>
      <c r="W717" s="7" t="s">
        <v>1344</v>
      </c>
      <c r="X717" s="18"/>
      <c r="Y717" s="17"/>
      <c r="Z717" s="17"/>
      <c r="AA717" s="17"/>
      <c r="AB717" s="7" t="s">
        <v>1046</v>
      </c>
      <c r="AC717" s="8"/>
      <c r="AD717" s="8"/>
      <c r="AE717" s="8"/>
      <c r="AF717" s="8" t="s">
        <v>726</v>
      </c>
      <c r="AG717" s="8" t="s">
        <v>726</v>
      </c>
      <c r="AH717" s="8" t="s">
        <v>726</v>
      </c>
      <c r="AI717" s="8" t="s">
        <v>726</v>
      </c>
      <c r="AJ717" s="8" t="s">
        <v>726</v>
      </c>
      <c r="AK717" s="8" t="s">
        <v>726</v>
      </c>
      <c r="AL717" s="8" t="s">
        <v>726</v>
      </c>
      <c r="AM717" s="8"/>
      <c r="AN717" s="8"/>
      <c r="AO717" s="8"/>
      <c r="AP717" s="8"/>
      <c r="AQ717" s="8"/>
      <c r="AR717" s="8"/>
      <c r="AS717" s="8"/>
      <c r="AT717" s="8"/>
      <c r="AU717" s="8"/>
      <c r="AV717" s="8"/>
      <c r="AX717" s="142">
        <v>47.099999999999994</v>
      </c>
    </row>
    <row r="718" spans="1:50" ht="25.5">
      <c r="B718" s="27">
        <v>706</v>
      </c>
      <c r="C718" s="38">
        <v>418</v>
      </c>
      <c r="D718" s="38">
        <v>169</v>
      </c>
      <c r="E718" s="39">
        <v>0.25694444444444448</v>
      </c>
      <c r="F718" s="44">
        <v>0.28125</v>
      </c>
      <c r="G718" s="40" t="s">
        <v>647</v>
      </c>
      <c r="H718" s="31" t="s">
        <v>39</v>
      </c>
      <c r="I718" s="38">
        <v>14</v>
      </c>
      <c r="J718" s="41">
        <v>19</v>
      </c>
      <c r="K718" s="35">
        <v>29</v>
      </c>
      <c r="L718" s="36">
        <f>+K718*I718</f>
        <v>406</v>
      </c>
      <c r="M718" s="37" t="s">
        <v>766</v>
      </c>
      <c r="N718" s="23" t="s">
        <v>859</v>
      </c>
      <c r="O718" s="23">
        <v>21</v>
      </c>
      <c r="P718" s="23" t="s">
        <v>860</v>
      </c>
      <c r="Q718" s="23">
        <v>31</v>
      </c>
      <c r="R718" s="111" t="s">
        <v>1903</v>
      </c>
      <c r="S718" s="111">
        <v>38</v>
      </c>
      <c r="T718" s="7">
        <v>4143</v>
      </c>
      <c r="U718" s="7" t="s">
        <v>1594</v>
      </c>
      <c r="V718" s="7" t="s">
        <v>1343</v>
      </c>
      <c r="W718" s="7" t="s">
        <v>1344</v>
      </c>
      <c r="X718" s="18"/>
      <c r="Y718" s="17"/>
      <c r="Z718" s="18"/>
      <c r="AA718" s="18"/>
      <c r="AB718" s="7" t="s">
        <v>1050</v>
      </c>
      <c r="AC718" s="8" t="s">
        <v>726</v>
      </c>
      <c r="AD718" s="8"/>
      <c r="AE718" s="8" t="s">
        <v>726</v>
      </c>
      <c r="AF718" s="8"/>
      <c r="AG718" s="8"/>
      <c r="AH718" s="8"/>
      <c r="AI718" s="8"/>
      <c r="AJ718" s="8"/>
      <c r="AK718" s="8"/>
      <c r="AL718" s="8"/>
      <c r="AM718" s="8"/>
      <c r="AN718" s="8"/>
      <c r="AO718" s="8"/>
      <c r="AP718" s="8"/>
      <c r="AQ718" s="8" t="s">
        <v>726</v>
      </c>
      <c r="AR718" s="8" t="s">
        <v>726</v>
      </c>
      <c r="AS718" s="8" t="s">
        <v>726</v>
      </c>
      <c r="AT718" s="8" t="s">
        <v>726</v>
      </c>
      <c r="AU718" s="8" t="s">
        <v>726</v>
      </c>
      <c r="AV718" s="8" t="s">
        <v>726</v>
      </c>
      <c r="AX718" s="142">
        <v>28</v>
      </c>
    </row>
    <row r="719" spans="1:50" ht="22.5">
      <c r="B719" s="27">
        <v>707</v>
      </c>
      <c r="C719" s="38">
        <v>418</v>
      </c>
      <c r="D719" s="38">
        <v>169</v>
      </c>
      <c r="E719" s="39">
        <v>0.25694444444444448</v>
      </c>
      <c r="F719" s="44">
        <v>0.28125</v>
      </c>
      <c r="G719" s="40" t="s">
        <v>41</v>
      </c>
      <c r="H719" s="31" t="s">
        <v>1</v>
      </c>
      <c r="I719" s="38">
        <v>14</v>
      </c>
      <c r="J719" s="41">
        <v>19</v>
      </c>
      <c r="K719" s="35">
        <v>67</v>
      </c>
      <c r="L719" s="36">
        <f>+K719*I719</f>
        <v>938</v>
      </c>
      <c r="M719" s="37" t="s">
        <v>766</v>
      </c>
      <c r="N719" s="23" t="s">
        <v>859</v>
      </c>
      <c r="O719" s="23">
        <v>21</v>
      </c>
      <c r="P719" s="23" t="s">
        <v>860</v>
      </c>
      <c r="Q719" s="23">
        <v>31</v>
      </c>
      <c r="R719" s="111" t="s">
        <v>1903</v>
      </c>
      <c r="S719" s="111">
        <v>38</v>
      </c>
      <c r="T719" s="7">
        <v>4143</v>
      </c>
      <c r="U719" s="7" t="s">
        <v>1594</v>
      </c>
      <c r="V719" s="7" t="s">
        <v>1343</v>
      </c>
      <c r="W719" s="7" t="s">
        <v>1344</v>
      </c>
      <c r="X719" s="17"/>
      <c r="Y719" s="18"/>
      <c r="Z719" s="18"/>
      <c r="AA719" s="18"/>
      <c r="AB719" s="8" t="s">
        <v>1047</v>
      </c>
      <c r="AC719" s="8"/>
      <c r="AD719" s="8" t="s">
        <v>726</v>
      </c>
      <c r="AE719" s="8" t="s">
        <v>726</v>
      </c>
      <c r="AF719" s="8"/>
      <c r="AG719" s="8" t="s">
        <v>726</v>
      </c>
      <c r="AH719" s="8" t="s">
        <v>726</v>
      </c>
      <c r="AI719" s="8" t="s">
        <v>726</v>
      </c>
      <c r="AJ719" s="8" t="s">
        <v>726</v>
      </c>
      <c r="AK719" s="8" t="s">
        <v>726</v>
      </c>
      <c r="AL719" s="8" t="s">
        <v>726</v>
      </c>
      <c r="AM719" s="8"/>
      <c r="AN719" s="8"/>
      <c r="AO719" s="8"/>
      <c r="AP719" s="8"/>
      <c r="AQ719" s="8"/>
      <c r="AR719" s="8"/>
      <c r="AS719" s="8"/>
      <c r="AT719" s="8"/>
      <c r="AU719" s="8"/>
      <c r="AV719" s="8"/>
      <c r="AX719" s="142">
        <v>28</v>
      </c>
    </row>
    <row r="720" spans="1:50" ht="22.5">
      <c r="B720" s="27">
        <v>708</v>
      </c>
      <c r="C720" s="31">
        <v>418</v>
      </c>
      <c r="D720" s="31">
        <v>89</v>
      </c>
      <c r="E720" s="32">
        <v>0.25833333333333336</v>
      </c>
      <c r="F720" s="32">
        <v>0.2673611111111111</v>
      </c>
      <c r="G720" s="40" t="s">
        <v>232</v>
      </c>
      <c r="H720" s="31" t="s">
        <v>18</v>
      </c>
      <c r="I720" s="33">
        <v>6</v>
      </c>
      <c r="J720" s="34" t="s">
        <v>93</v>
      </c>
      <c r="K720" s="35">
        <v>304</v>
      </c>
      <c r="L720" s="36">
        <f>+K720*I720</f>
        <v>1824</v>
      </c>
      <c r="M720" s="37" t="s">
        <v>768</v>
      </c>
      <c r="N720" s="23" t="s">
        <v>911</v>
      </c>
      <c r="O720" s="23">
        <v>9</v>
      </c>
      <c r="P720" s="23" t="s">
        <v>1814</v>
      </c>
      <c r="Q720" s="23">
        <v>9</v>
      </c>
      <c r="S720" s="23"/>
      <c r="T720" s="7">
        <v>4115</v>
      </c>
      <c r="U720" s="7" t="s">
        <v>1593</v>
      </c>
      <c r="V720" s="7">
        <v>4113</v>
      </c>
      <c r="W720" s="7" t="s">
        <v>1595</v>
      </c>
      <c r="X720" s="17"/>
      <c r="Y720" s="17"/>
      <c r="Z720" s="17"/>
      <c r="AA720" s="17"/>
      <c r="AB720" s="8" t="s">
        <v>1053</v>
      </c>
      <c r="AC720" s="8" t="s">
        <v>726</v>
      </c>
      <c r="AD720" s="8" t="s">
        <v>726</v>
      </c>
      <c r="AE720" s="8" t="s">
        <v>726</v>
      </c>
      <c r="AF720" s="8"/>
      <c r="AG720" s="8" t="s">
        <v>726</v>
      </c>
      <c r="AH720" s="8" t="s">
        <v>726</v>
      </c>
      <c r="AI720" s="8" t="s">
        <v>726</v>
      </c>
      <c r="AJ720" s="8" t="s">
        <v>726</v>
      </c>
      <c r="AK720" s="8" t="s">
        <v>726</v>
      </c>
      <c r="AL720" s="8" t="s">
        <v>726</v>
      </c>
      <c r="AM720" s="8"/>
      <c r="AN720" s="8"/>
      <c r="AO720" s="8"/>
      <c r="AP720" s="8"/>
      <c r="AQ720" s="8"/>
      <c r="AR720" s="8"/>
      <c r="AS720" s="8"/>
      <c r="AT720" s="8"/>
      <c r="AU720" s="8"/>
      <c r="AV720" s="8"/>
      <c r="AX720" s="142">
        <v>20</v>
      </c>
    </row>
    <row r="721" spans="1:50" ht="25.5">
      <c r="A721" s="2" t="s">
        <v>794</v>
      </c>
      <c r="B721" s="27">
        <v>709</v>
      </c>
      <c r="C721" s="31">
        <v>418</v>
      </c>
      <c r="D721" s="43">
        <v>169</v>
      </c>
      <c r="E721" s="32">
        <v>0.2902777777777778</v>
      </c>
      <c r="F721" s="32">
        <v>0.2951388888888889</v>
      </c>
      <c r="G721" s="31" t="s">
        <v>702</v>
      </c>
      <c r="H721" s="31" t="s">
        <v>103</v>
      </c>
      <c r="I721" s="33">
        <v>2.5</v>
      </c>
      <c r="J721" s="34" t="s">
        <v>697</v>
      </c>
      <c r="K721" s="35">
        <v>174</v>
      </c>
      <c r="L721" s="36">
        <f>+K721*I721</f>
        <v>435</v>
      </c>
      <c r="M721" s="37" t="s">
        <v>766</v>
      </c>
      <c r="N721" s="23" t="s">
        <v>1002</v>
      </c>
      <c r="O721" s="23">
        <v>8</v>
      </c>
      <c r="P721" s="23" t="s">
        <v>859</v>
      </c>
      <c r="Q721" s="23">
        <v>21</v>
      </c>
      <c r="R721" s="23" t="s">
        <v>1187</v>
      </c>
      <c r="S721" s="24">
        <v>9</v>
      </c>
      <c r="T721" s="7" t="s">
        <v>1596</v>
      </c>
      <c r="U721" s="7" t="s">
        <v>1597</v>
      </c>
      <c r="V721" s="7">
        <v>4142</v>
      </c>
      <c r="W721" s="7" t="s">
        <v>1598</v>
      </c>
      <c r="X721" s="18"/>
      <c r="Y721" s="17"/>
      <c r="Z721" s="17"/>
      <c r="AA721" s="17"/>
      <c r="AB721" s="7" t="s">
        <v>1042</v>
      </c>
      <c r="AC721" s="8"/>
      <c r="AD721" s="8"/>
      <c r="AE721" s="8"/>
      <c r="AF721" s="8" t="s">
        <v>726</v>
      </c>
      <c r="AG721" s="8" t="s">
        <v>726</v>
      </c>
      <c r="AH721" s="8" t="s">
        <v>726</v>
      </c>
      <c r="AI721" s="8" t="s">
        <v>726</v>
      </c>
      <c r="AJ721" s="8" t="s">
        <v>726</v>
      </c>
      <c r="AK721" s="8" t="s">
        <v>726</v>
      </c>
      <c r="AL721" s="8"/>
      <c r="AM721" s="8"/>
      <c r="AN721" s="8"/>
      <c r="AO721" s="8"/>
      <c r="AP721" s="8"/>
      <c r="AQ721" s="8"/>
      <c r="AR721" s="8"/>
      <c r="AS721" s="8"/>
      <c r="AT721" s="8"/>
      <c r="AU721" s="8"/>
      <c r="AV721" s="8"/>
      <c r="AX721" s="142">
        <v>20</v>
      </c>
    </row>
    <row r="722" spans="1:50" ht="25.5">
      <c r="B722" s="27">
        <v>710</v>
      </c>
      <c r="C722" s="31">
        <v>418</v>
      </c>
      <c r="D722" s="31">
        <v>95</v>
      </c>
      <c r="E722" s="32">
        <v>0.29305555555555557</v>
      </c>
      <c r="F722" s="32">
        <v>0.30555555555555552</v>
      </c>
      <c r="G722" s="31" t="s">
        <v>692</v>
      </c>
      <c r="H722" s="31" t="s">
        <v>97</v>
      </c>
      <c r="I722" s="33">
        <v>9</v>
      </c>
      <c r="J722" s="34" t="s">
        <v>93</v>
      </c>
      <c r="K722" s="35">
        <v>208</v>
      </c>
      <c r="L722" s="36">
        <f>+K722*I722</f>
        <v>1872</v>
      </c>
      <c r="M722" s="37" t="s">
        <v>768</v>
      </c>
      <c r="N722" s="23" t="s">
        <v>911</v>
      </c>
      <c r="O722" s="23">
        <v>9</v>
      </c>
      <c r="P722" s="23" t="s">
        <v>1814</v>
      </c>
      <c r="Q722" s="23">
        <v>9</v>
      </c>
      <c r="S722" s="23"/>
      <c r="T722" s="7">
        <v>4116</v>
      </c>
      <c r="U722" s="7" t="s">
        <v>1592</v>
      </c>
      <c r="V722" s="7">
        <v>4113</v>
      </c>
      <c r="W722" s="7" t="s">
        <v>1595</v>
      </c>
      <c r="X722" s="18"/>
      <c r="Y722" s="17"/>
      <c r="Z722" s="17"/>
      <c r="AA722" s="17"/>
      <c r="AB722" s="7" t="s">
        <v>1046</v>
      </c>
      <c r="AC722" s="8"/>
      <c r="AD722" s="8"/>
      <c r="AE722" s="8"/>
      <c r="AF722" s="8" t="s">
        <v>726</v>
      </c>
      <c r="AG722" s="8" t="s">
        <v>726</v>
      </c>
      <c r="AH722" s="8" t="s">
        <v>726</v>
      </c>
      <c r="AI722" s="8" t="s">
        <v>726</v>
      </c>
      <c r="AJ722" s="8" t="s">
        <v>726</v>
      </c>
      <c r="AK722" s="8" t="s">
        <v>726</v>
      </c>
      <c r="AL722" s="8" t="s">
        <v>726</v>
      </c>
      <c r="AM722" s="8"/>
      <c r="AN722" s="8"/>
      <c r="AO722" s="8"/>
      <c r="AP722" s="8"/>
      <c r="AQ722" s="8"/>
      <c r="AR722" s="8"/>
      <c r="AS722" s="8"/>
      <c r="AT722" s="8"/>
      <c r="AU722" s="8"/>
      <c r="AV722" s="8"/>
      <c r="AX722" s="142">
        <v>27</v>
      </c>
    </row>
    <row r="723" spans="1:50" ht="51">
      <c r="B723" s="27">
        <v>711</v>
      </c>
      <c r="C723" s="31">
        <v>418</v>
      </c>
      <c r="D723" s="31">
        <v>91</v>
      </c>
      <c r="E723" s="32">
        <v>0.3034722222222222</v>
      </c>
      <c r="F723" s="32">
        <v>0.32777777777777778</v>
      </c>
      <c r="G723" s="40" t="s">
        <v>591</v>
      </c>
      <c r="H723" s="31" t="s">
        <v>18</v>
      </c>
      <c r="I723" s="33">
        <f>13.5+1.8</f>
        <v>15.3</v>
      </c>
      <c r="J723" s="34" t="s">
        <v>228</v>
      </c>
      <c r="K723" s="35">
        <v>304</v>
      </c>
      <c r="L723" s="36">
        <f>+K723*I723</f>
        <v>4651.2</v>
      </c>
      <c r="M723" s="37" t="s">
        <v>768</v>
      </c>
      <c r="N723" s="23" t="s">
        <v>913</v>
      </c>
      <c r="O723" s="23">
        <v>31</v>
      </c>
      <c r="P723" s="23" t="s">
        <v>912</v>
      </c>
      <c r="Q723" s="23">
        <v>20</v>
      </c>
      <c r="S723" s="23"/>
      <c r="T723" s="7">
        <v>4115</v>
      </c>
      <c r="U723" s="7" t="s">
        <v>1593</v>
      </c>
      <c r="V723" s="7" t="s">
        <v>1343</v>
      </c>
      <c r="W723" s="7" t="s">
        <v>1344</v>
      </c>
      <c r="X723" s="17"/>
      <c r="Y723" s="17"/>
      <c r="Z723" s="17"/>
      <c r="AA723" s="17"/>
      <c r="AB723" s="8" t="s">
        <v>1053</v>
      </c>
      <c r="AC723" s="8" t="s">
        <v>726</v>
      </c>
      <c r="AD723" s="8" t="s">
        <v>726</v>
      </c>
      <c r="AE723" s="8" t="s">
        <v>726</v>
      </c>
      <c r="AF723" s="8"/>
      <c r="AG723" s="8" t="s">
        <v>726</v>
      </c>
      <c r="AH723" s="8" t="s">
        <v>726</v>
      </c>
      <c r="AI723" s="8" t="s">
        <v>726</v>
      </c>
      <c r="AJ723" s="8" t="s">
        <v>726</v>
      </c>
      <c r="AK723" s="8" t="s">
        <v>726</v>
      </c>
      <c r="AL723" s="8" t="s">
        <v>726</v>
      </c>
      <c r="AM723" s="8"/>
      <c r="AN723" s="8"/>
      <c r="AO723" s="8"/>
      <c r="AP723" s="8"/>
      <c r="AQ723" s="8"/>
      <c r="AR723" s="8"/>
      <c r="AS723" s="8"/>
      <c r="AT723" s="8"/>
      <c r="AU723" s="8"/>
      <c r="AV723" s="8"/>
      <c r="AX723" s="142">
        <v>35.35</v>
      </c>
    </row>
    <row r="724" spans="1:50" ht="25.5">
      <c r="A724" s="83" t="s">
        <v>2012</v>
      </c>
      <c r="B724" s="84">
        <v>712</v>
      </c>
      <c r="C724" s="85">
        <v>418</v>
      </c>
      <c r="D724" s="85" t="s">
        <v>993</v>
      </c>
      <c r="E724" s="86">
        <v>0.36805555555555558</v>
      </c>
      <c r="F724" s="86">
        <v>0.42152777777777778</v>
      </c>
      <c r="G724" s="98" t="s">
        <v>427</v>
      </c>
      <c r="H724" s="85" t="s">
        <v>428</v>
      </c>
      <c r="I724" s="87">
        <f>16+16.5</f>
        <v>32.5</v>
      </c>
      <c r="J724" s="88" t="s">
        <v>188</v>
      </c>
      <c r="K724" s="94">
        <v>58</v>
      </c>
      <c r="L724" s="90">
        <f>+K724*I724</f>
        <v>1885</v>
      </c>
      <c r="M724" s="91" t="s">
        <v>769</v>
      </c>
      <c r="N724" s="104" t="s">
        <v>973</v>
      </c>
      <c r="O724" s="104">
        <v>33</v>
      </c>
      <c r="P724" s="104" t="s">
        <v>1815</v>
      </c>
      <c r="Q724" s="104">
        <v>55</v>
      </c>
      <c r="R724" s="83"/>
      <c r="S724" s="104"/>
      <c r="T724" s="95" t="s">
        <v>1343</v>
      </c>
      <c r="U724" s="95" t="s">
        <v>1344</v>
      </c>
      <c r="V724" s="95" t="s">
        <v>1343</v>
      </c>
      <c r="W724" s="95" t="s">
        <v>1344</v>
      </c>
      <c r="X724" s="105"/>
      <c r="Y724" s="105">
        <v>44983</v>
      </c>
      <c r="Z724" s="105"/>
      <c r="AA724" s="105"/>
      <c r="AB724" s="106" t="s">
        <v>1055</v>
      </c>
      <c r="AC724" s="106" t="s">
        <v>726</v>
      </c>
      <c r="AD724" s="106" t="s">
        <v>726</v>
      </c>
      <c r="AE724" s="106"/>
      <c r="AF724" s="106"/>
      <c r="AG724" s="106"/>
      <c r="AH724" s="106"/>
      <c r="AI724" s="106"/>
      <c r="AJ724" s="106"/>
      <c r="AK724" s="106"/>
      <c r="AL724" s="106"/>
      <c r="AM724" s="106" t="s">
        <v>726</v>
      </c>
      <c r="AN724" s="106"/>
      <c r="AO724" s="106"/>
      <c r="AP724" s="106"/>
      <c r="AQ724" s="106"/>
      <c r="AR724" s="106"/>
      <c r="AS724" s="106"/>
      <c r="AT724" s="106"/>
      <c r="AU724" s="106"/>
      <c r="AV724" s="106"/>
    </row>
    <row r="725" spans="1:50" ht="25.5">
      <c r="B725" s="27">
        <v>713</v>
      </c>
      <c r="C725" s="31">
        <v>418</v>
      </c>
      <c r="D725" s="31">
        <v>92</v>
      </c>
      <c r="E725" s="32">
        <v>0.52777777777777779</v>
      </c>
      <c r="F725" s="32">
        <v>0.55347222222222225</v>
      </c>
      <c r="G725" s="31" t="s">
        <v>229</v>
      </c>
      <c r="H725" s="31" t="s">
        <v>1</v>
      </c>
      <c r="I725" s="33">
        <v>13.5</v>
      </c>
      <c r="J725" s="34" t="s">
        <v>228</v>
      </c>
      <c r="K725" s="35">
        <v>67</v>
      </c>
      <c r="L725" s="36">
        <f>+K725*I725</f>
        <v>904.5</v>
      </c>
      <c r="M725" s="37" t="s">
        <v>768</v>
      </c>
      <c r="N725" s="23" t="s">
        <v>913</v>
      </c>
      <c r="O725" s="23">
        <v>31</v>
      </c>
      <c r="P725" s="23" t="s">
        <v>912</v>
      </c>
      <c r="Q725" s="23">
        <v>20</v>
      </c>
      <c r="S725" s="23"/>
      <c r="T725" s="7" t="s">
        <v>1343</v>
      </c>
      <c r="U725" s="7" t="s">
        <v>1344</v>
      </c>
      <c r="V725" s="7">
        <v>4115</v>
      </c>
      <c r="W725" s="7" t="s">
        <v>1593</v>
      </c>
      <c r="X725" s="17"/>
      <c r="Y725" s="18"/>
      <c r="Z725" s="18"/>
      <c r="AA725" s="18"/>
      <c r="AB725" s="8" t="s">
        <v>1047</v>
      </c>
      <c r="AC725" s="8"/>
      <c r="AD725" s="8" t="s">
        <v>726</v>
      </c>
      <c r="AE725" s="8" t="s">
        <v>726</v>
      </c>
      <c r="AF725" s="8"/>
      <c r="AG725" s="8" t="s">
        <v>726</v>
      </c>
      <c r="AH725" s="8" t="s">
        <v>726</v>
      </c>
      <c r="AI725" s="8" t="s">
        <v>726</v>
      </c>
      <c r="AJ725" s="8" t="s">
        <v>726</v>
      </c>
      <c r="AK725" s="8" t="s">
        <v>726</v>
      </c>
      <c r="AL725" s="8" t="s">
        <v>726</v>
      </c>
      <c r="AM725" s="8"/>
      <c r="AN725" s="8"/>
      <c r="AO725" s="8"/>
      <c r="AP725" s="8"/>
      <c r="AQ725" s="8"/>
      <c r="AR725" s="8"/>
      <c r="AS725" s="8"/>
      <c r="AT725" s="8"/>
      <c r="AU725" s="8"/>
      <c r="AV725" s="8"/>
      <c r="AX725" s="142">
        <v>32.11</v>
      </c>
    </row>
    <row r="726" spans="1:50" ht="25.5">
      <c r="B726" s="27">
        <v>714</v>
      </c>
      <c r="C726" s="31">
        <v>418</v>
      </c>
      <c r="D726" s="31">
        <v>92</v>
      </c>
      <c r="E726" s="32">
        <v>0.53125</v>
      </c>
      <c r="F726" s="42">
        <v>0.55555555555555558</v>
      </c>
      <c r="G726" s="31" t="s">
        <v>229</v>
      </c>
      <c r="H726" s="31" t="s">
        <v>477</v>
      </c>
      <c r="I726" s="33">
        <v>13.5</v>
      </c>
      <c r="J726" s="34" t="s">
        <v>228</v>
      </c>
      <c r="K726" s="35">
        <v>240</v>
      </c>
      <c r="L726" s="36">
        <f>+K726*I726</f>
        <v>3240</v>
      </c>
      <c r="M726" s="37" t="s">
        <v>768</v>
      </c>
      <c r="N726" s="23" t="s">
        <v>913</v>
      </c>
      <c r="O726" s="23">
        <v>31</v>
      </c>
      <c r="P726" s="23" t="s">
        <v>912</v>
      </c>
      <c r="Q726" s="23">
        <v>20</v>
      </c>
      <c r="S726" s="23"/>
      <c r="T726" s="7" t="s">
        <v>1343</v>
      </c>
      <c r="U726" s="7" t="s">
        <v>1344</v>
      </c>
      <c r="V726" s="7">
        <v>4115</v>
      </c>
      <c r="W726" s="7" t="s">
        <v>1593</v>
      </c>
      <c r="X726" s="18"/>
      <c r="Y726" s="17"/>
      <c r="Z726" s="18"/>
      <c r="AA726" s="18"/>
      <c r="AB726" s="7" t="s">
        <v>1052</v>
      </c>
      <c r="AC726" s="8" t="s">
        <v>726</v>
      </c>
      <c r="AD726" s="8"/>
      <c r="AE726" s="8" t="s">
        <v>726</v>
      </c>
      <c r="AF726" s="8"/>
      <c r="AG726" s="8" t="s">
        <v>726</v>
      </c>
      <c r="AH726" s="8" t="s">
        <v>726</v>
      </c>
      <c r="AI726" s="8" t="s">
        <v>726</v>
      </c>
      <c r="AJ726" s="8" t="s">
        <v>726</v>
      </c>
      <c r="AK726" s="8" t="s">
        <v>726</v>
      </c>
      <c r="AL726" s="8" t="s">
        <v>726</v>
      </c>
      <c r="AM726" s="8"/>
      <c r="AN726" s="8"/>
      <c r="AO726" s="8"/>
      <c r="AP726" s="8"/>
      <c r="AQ726" s="8"/>
      <c r="AR726" s="8"/>
      <c r="AS726" s="8"/>
      <c r="AT726" s="8"/>
      <c r="AU726" s="8"/>
      <c r="AV726" s="8"/>
      <c r="AX726" s="142">
        <v>32.11</v>
      </c>
    </row>
    <row r="727" spans="1:50" ht="25.5">
      <c r="B727" s="27">
        <v>715</v>
      </c>
      <c r="C727" s="31">
        <v>418</v>
      </c>
      <c r="D727" s="31">
        <v>180</v>
      </c>
      <c r="E727" s="32">
        <v>0.53819444444444442</v>
      </c>
      <c r="F727" s="42">
        <v>0.5625</v>
      </c>
      <c r="G727" s="31" t="s">
        <v>321</v>
      </c>
      <c r="H727" s="31" t="s">
        <v>97</v>
      </c>
      <c r="I727" s="33">
        <v>12</v>
      </c>
      <c r="J727" s="34" t="s">
        <v>269</v>
      </c>
      <c r="K727" s="35">
        <v>208</v>
      </c>
      <c r="L727" s="36">
        <f>+K727*I727</f>
        <v>2496</v>
      </c>
      <c r="M727" s="37" t="s">
        <v>716</v>
      </c>
      <c r="N727" s="23" t="s">
        <v>857</v>
      </c>
      <c r="O727" s="23">
        <v>21</v>
      </c>
      <c r="P727" s="23" t="s">
        <v>854</v>
      </c>
      <c r="Q727" s="23">
        <v>17</v>
      </c>
      <c r="S727" s="23"/>
      <c r="T727" s="7" t="s">
        <v>1343</v>
      </c>
      <c r="U727" s="7" t="s">
        <v>1344</v>
      </c>
      <c r="V727" s="7">
        <v>4143</v>
      </c>
      <c r="W727" s="7" t="s">
        <v>1594</v>
      </c>
      <c r="X727" s="18"/>
      <c r="Y727" s="17"/>
      <c r="Z727" s="17"/>
      <c r="AA727" s="17"/>
      <c r="AB727" s="7" t="s">
        <v>1046</v>
      </c>
      <c r="AC727" s="8"/>
      <c r="AD727" s="8"/>
      <c r="AE727" s="8"/>
      <c r="AF727" s="8" t="s">
        <v>726</v>
      </c>
      <c r="AG727" s="8" t="s">
        <v>726</v>
      </c>
      <c r="AH727" s="8" t="s">
        <v>726</v>
      </c>
      <c r="AI727" s="8" t="s">
        <v>726</v>
      </c>
      <c r="AJ727" s="8" t="s">
        <v>726</v>
      </c>
      <c r="AK727" s="8" t="s">
        <v>726</v>
      </c>
      <c r="AL727" s="8" t="s">
        <v>726</v>
      </c>
      <c r="AM727" s="8"/>
      <c r="AN727" s="8"/>
      <c r="AO727" s="8"/>
      <c r="AP727" s="8"/>
      <c r="AQ727" s="8"/>
      <c r="AR727" s="8"/>
      <c r="AS727" s="8"/>
      <c r="AT727" s="8"/>
      <c r="AU727" s="8"/>
      <c r="AV727" s="8"/>
      <c r="AX727" s="142">
        <v>37.74</v>
      </c>
    </row>
    <row r="728" spans="1:50" ht="38.25">
      <c r="A728" s="83" t="s">
        <v>2012</v>
      </c>
      <c r="B728" s="84">
        <v>716</v>
      </c>
      <c r="C728" s="85">
        <v>418</v>
      </c>
      <c r="D728" s="85" t="s">
        <v>994</v>
      </c>
      <c r="E728" s="86">
        <v>0.54861111111111105</v>
      </c>
      <c r="F728" s="86">
        <v>0.6020833333333333</v>
      </c>
      <c r="G728" s="98" t="s">
        <v>626</v>
      </c>
      <c r="H728" s="85" t="s">
        <v>428</v>
      </c>
      <c r="I728" s="87">
        <f>16+16.5</f>
        <v>32.5</v>
      </c>
      <c r="J728" s="88" t="s">
        <v>188</v>
      </c>
      <c r="K728" s="94">
        <v>58</v>
      </c>
      <c r="L728" s="90">
        <f>+K728*I728</f>
        <v>1885</v>
      </c>
      <c r="M728" s="91" t="s">
        <v>769</v>
      </c>
      <c r="N728" s="104" t="s">
        <v>973</v>
      </c>
      <c r="O728" s="104">
        <v>33</v>
      </c>
      <c r="P728" s="104" t="s">
        <v>1815</v>
      </c>
      <c r="Q728" s="104">
        <v>55</v>
      </c>
      <c r="R728" s="83"/>
      <c r="S728" s="104"/>
      <c r="T728" s="95" t="s">
        <v>1343</v>
      </c>
      <c r="U728" s="95" t="s">
        <v>1344</v>
      </c>
      <c r="V728" s="95" t="s">
        <v>1343</v>
      </c>
      <c r="W728" s="95" t="s">
        <v>1344</v>
      </c>
      <c r="X728" s="105"/>
      <c r="Y728" s="105">
        <v>44983</v>
      </c>
      <c r="Z728" s="105"/>
      <c r="AA728" s="105"/>
      <c r="AB728" s="106" t="s">
        <v>1055</v>
      </c>
      <c r="AC728" s="106" t="s">
        <v>726</v>
      </c>
      <c r="AD728" s="106" t="s">
        <v>726</v>
      </c>
      <c r="AE728" s="106"/>
      <c r="AF728" s="106"/>
      <c r="AG728" s="106"/>
      <c r="AH728" s="106"/>
      <c r="AI728" s="106"/>
      <c r="AJ728" s="106"/>
      <c r="AK728" s="106"/>
      <c r="AL728" s="106"/>
      <c r="AM728" s="106" t="s">
        <v>726</v>
      </c>
      <c r="AN728" s="106"/>
      <c r="AO728" s="106"/>
      <c r="AP728" s="106"/>
      <c r="AQ728" s="106"/>
      <c r="AR728" s="106"/>
      <c r="AS728" s="106"/>
      <c r="AT728" s="106"/>
      <c r="AU728" s="106"/>
      <c r="AV728" s="106"/>
    </row>
    <row r="729" spans="1:50" ht="25.5">
      <c r="B729" s="27">
        <v>717</v>
      </c>
      <c r="C729" s="43">
        <v>418</v>
      </c>
      <c r="D729" s="31">
        <v>456</v>
      </c>
      <c r="E729" s="32">
        <v>0.56597222222222221</v>
      </c>
      <c r="F729" s="32">
        <v>0.57500000000000007</v>
      </c>
      <c r="G729" s="31" t="s">
        <v>230</v>
      </c>
      <c r="H729" s="31" t="s">
        <v>97</v>
      </c>
      <c r="I729" s="33">
        <v>6</v>
      </c>
      <c r="J729" s="34" t="s">
        <v>93</v>
      </c>
      <c r="K729" s="35">
        <v>208</v>
      </c>
      <c r="L729" s="36">
        <f>+K729*I729</f>
        <v>1248</v>
      </c>
      <c r="M729" s="37" t="s">
        <v>768</v>
      </c>
      <c r="N729" s="23" t="s">
        <v>912</v>
      </c>
      <c r="O729" s="23">
        <v>20</v>
      </c>
      <c r="P729" s="23" t="s">
        <v>1814</v>
      </c>
      <c r="Q729" s="23">
        <v>9</v>
      </c>
      <c r="S729" s="23"/>
      <c r="T729" s="7">
        <v>4113</v>
      </c>
      <c r="U729" s="7" t="s">
        <v>1595</v>
      </c>
      <c r="V729" s="7">
        <v>4115</v>
      </c>
      <c r="W729" s="7" t="s">
        <v>1593</v>
      </c>
      <c r="X729" s="18"/>
      <c r="Y729" s="17"/>
      <c r="Z729" s="17"/>
      <c r="AA729" s="17"/>
      <c r="AB729" s="7" t="s">
        <v>1046</v>
      </c>
      <c r="AC729" s="8"/>
      <c r="AD729" s="8"/>
      <c r="AE729" s="8"/>
      <c r="AF729" s="8" t="s">
        <v>726</v>
      </c>
      <c r="AG729" s="8" t="s">
        <v>726</v>
      </c>
      <c r="AH729" s="8" t="s">
        <v>726</v>
      </c>
      <c r="AI729" s="8" t="s">
        <v>726</v>
      </c>
      <c r="AJ729" s="8" t="s">
        <v>726</v>
      </c>
      <c r="AK729" s="8" t="s">
        <v>726</v>
      </c>
      <c r="AL729" s="8" t="s">
        <v>726</v>
      </c>
      <c r="AM729" s="8"/>
      <c r="AN729" s="8"/>
      <c r="AO729" s="8"/>
      <c r="AP729" s="8"/>
      <c r="AQ729" s="8"/>
      <c r="AR729" s="8"/>
      <c r="AS729" s="8"/>
      <c r="AT729" s="8"/>
      <c r="AU729" s="8"/>
      <c r="AV729" s="8"/>
      <c r="AX729" s="142">
        <v>12</v>
      </c>
    </row>
    <row r="730" spans="1:50" ht="22.5">
      <c r="B730" s="27">
        <v>718</v>
      </c>
      <c r="C730" s="31">
        <v>418</v>
      </c>
      <c r="D730" s="31">
        <v>93</v>
      </c>
      <c r="E730" s="32">
        <v>0.58263888888888882</v>
      </c>
      <c r="F730" s="32">
        <v>0.59166666666666667</v>
      </c>
      <c r="G730" s="40" t="s">
        <v>231</v>
      </c>
      <c r="H730" s="31" t="s">
        <v>18</v>
      </c>
      <c r="I730" s="33">
        <v>6</v>
      </c>
      <c r="J730" s="34" t="s">
        <v>99</v>
      </c>
      <c r="K730" s="35">
        <v>304</v>
      </c>
      <c r="L730" s="36">
        <f>+K730*I730</f>
        <v>1824</v>
      </c>
      <c r="M730" s="37" t="s">
        <v>768</v>
      </c>
      <c r="N730" s="23" t="s">
        <v>911</v>
      </c>
      <c r="O730" s="23">
        <v>9</v>
      </c>
      <c r="P730" s="23" t="s">
        <v>1814</v>
      </c>
      <c r="Q730" s="23">
        <v>9</v>
      </c>
      <c r="S730" s="23"/>
      <c r="T730" s="7">
        <v>4115</v>
      </c>
      <c r="U730" s="7" t="s">
        <v>1593</v>
      </c>
      <c r="V730" s="7">
        <v>4113</v>
      </c>
      <c r="W730" s="7" t="s">
        <v>1595</v>
      </c>
      <c r="X730" s="17"/>
      <c r="Y730" s="17"/>
      <c r="Z730" s="17"/>
      <c r="AA730" s="17"/>
      <c r="AB730" s="8" t="s">
        <v>1053</v>
      </c>
      <c r="AC730" s="8" t="s">
        <v>726</v>
      </c>
      <c r="AD730" s="8" t="s">
        <v>726</v>
      </c>
      <c r="AE730" s="8" t="s">
        <v>726</v>
      </c>
      <c r="AF730" s="8"/>
      <c r="AG730" s="8" t="s">
        <v>726</v>
      </c>
      <c r="AH730" s="8" t="s">
        <v>726</v>
      </c>
      <c r="AI730" s="8" t="s">
        <v>726</v>
      </c>
      <c r="AJ730" s="8" t="s">
        <v>726</v>
      </c>
      <c r="AK730" s="8" t="s">
        <v>726</v>
      </c>
      <c r="AL730" s="8" t="s">
        <v>726</v>
      </c>
      <c r="AM730" s="8"/>
      <c r="AN730" s="8"/>
      <c r="AO730" s="8"/>
      <c r="AP730" s="8"/>
      <c r="AQ730" s="8"/>
      <c r="AR730" s="8"/>
      <c r="AS730" s="8"/>
      <c r="AT730" s="8"/>
      <c r="AU730" s="8"/>
      <c r="AV730" s="8"/>
      <c r="AX730" s="142">
        <v>14.27</v>
      </c>
    </row>
    <row r="731" spans="1:50" ht="25.5">
      <c r="B731" s="27">
        <v>719</v>
      </c>
      <c r="C731" s="31">
        <v>418</v>
      </c>
      <c r="D731" s="31">
        <v>458</v>
      </c>
      <c r="E731" s="32">
        <v>0.59166666666666667</v>
      </c>
      <c r="F731" s="32">
        <v>0.60069444444444442</v>
      </c>
      <c r="G731" s="31" t="s">
        <v>230</v>
      </c>
      <c r="H731" s="31" t="s">
        <v>97</v>
      </c>
      <c r="I731" s="33">
        <v>6</v>
      </c>
      <c r="J731" s="34" t="s">
        <v>116</v>
      </c>
      <c r="K731" s="35">
        <v>208</v>
      </c>
      <c r="L731" s="36">
        <f>+K731*I731</f>
        <v>1248</v>
      </c>
      <c r="M731" s="37" t="s">
        <v>768</v>
      </c>
      <c r="N731" s="23" t="s">
        <v>911</v>
      </c>
      <c r="O731" s="23">
        <v>9</v>
      </c>
      <c r="P731" s="23" t="s">
        <v>1814</v>
      </c>
      <c r="Q731" s="23">
        <v>9</v>
      </c>
      <c r="S731" s="23"/>
      <c r="T731" s="7">
        <v>4113</v>
      </c>
      <c r="U731" s="7" t="s">
        <v>1595</v>
      </c>
      <c r="V731" s="7">
        <v>4115</v>
      </c>
      <c r="W731" s="7" t="s">
        <v>1593</v>
      </c>
      <c r="X731" s="18"/>
      <c r="Y731" s="17"/>
      <c r="Z731" s="17"/>
      <c r="AA731" s="17"/>
      <c r="AB731" s="7" t="s">
        <v>1046</v>
      </c>
      <c r="AC731" s="8"/>
      <c r="AD731" s="8"/>
      <c r="AE731" s="8"/>
      <c r="AF731" s="8" t="s">
        <v>726</v>
      </c>
      <c r="AG731" s="8" t="s">
        <v>726</v>
      </c>
      <c r="AH731" s="8" t="s">
        <v>726</v>
      </c>
      <c r="AI731" s="8" t="s">
        <v>726</v>
      </c>
      <c r="AJ731" s="8" t="s">
        <v>726</v>
      </c>
      <c r="AK731" s="8" t="s">
        <v>726</v>
      </c>
      <c r="AL731" s="8" t="s">
        <v>726</v>
      </c>
      <c r="AM731" s="8"/>
      <c r="AN731" s="8"/>
      <c r="AO731" s="8"/>
      <c r="AP731" s="8"/>
      <c r="AQ731" s="8"/>
      <c r="AR731" s="8"/>
      <c r="AS731" s="8"/>
      <c r="AT731" s="8"/>
      <c r="AU731" s="8"/>
      <c r="AV731" s="8"/>
      <c r="AX731" s="142">
        <v>16.649999999999999</v>
      </c>
    </row>
    <row r="732" spans="1:50" ht="25.5">
      <c r="B732" s="27">
        <v>720</v>
      </c>
      <c r="C732" s="31">
        <v>418</v>
      </c>
      <c r="D732" s="31">
        <v>458</v>
      </c>
      <c r="E732" s="32">
        <v>0.60069444444444442</v>
      </c>
      <c r="F732" s="32">
        <v>0.60416666666666663</v>
      </c>
      <c r="G732" s="31" t="s">
        <v>227</v>
      </c>
      <c r="H732" s="31" t="s">
        <v>97</v>
      </c>
      <c r="I732" s="33">
        <v>3</v>
      </c>
      <c r="J732" s="34" t="s">
        <v>116</v>
      </c>
      <c r="K732" s="35">
        <v>208</v>
      </c>
      <c r="L732" s="36">
        <f>+K732*I732</f>
        <v>624</v>
      </c>
      <c r="M732" s="37" t="s">
        <v>768</v>
      </c>
      <c r="N732" s="23" t="s">
        <v>911</v>
      </c>
      <c r="O732" s="23">
        <v>9</v>
      </c>
      <c r="P732" s="23" t="s">
        <v>1814</v>
      </c>
      <c r="Q732" s="23">
        <v>9</v>
      </c>
      <c r="S732" s="23"/>
      <c r="T732" s="7">
        <v>4115</v>
      </c>
      <c r="U732" s="7" t="s">
        <v>1593</v>
      </c>
      <c r="V732" s="7">
        <v>4116</v>
      </c>
      <c r="W732" s="7" t="s">
        <v>1592</v>
      </c>
      <c r="X732" s="18"/>
      <c r="Y732" s="17"/>
      <c r="Z732" s="17"/>
      <c r="AA732" s="17"/>
      <c r="AB732" s="7" t="s">
        <v>1046</v>
      </c>
      <c r="AC732" s="8"/>
      <c r="AD732" s="8"/>
      <c r="AE732" s="8"/>
      <c r="AF732" s="8" t="s">
        <v>726</v>
      </c>
      <c r="AG732" s="8" t="s">
        <v>726</v>
      </c>
      <c r="AH732" s="8" t="s">
        <v>726</v>
      </c>
      <c r="AI732" s="8" t="s">
        <v>726</v>
      </c>
      <c r="AJ732" s="8" t="s">
        <v>726</v>
      </c>
      <c r="AK732" s="8" t="s">
        <v>726</v>
      </c>
      <c r="AL732" s="8" t="s">
        <v>726</v>
      </c>
      <c r="AM732" s="8"/>
      <c r="AN732" s="8"/>
      <c r="AO732" s="8"/>
      <c r="AP732" s="8"/>
      <c r="AQ732" s="8"/>
      <c r="AR732" s="8"/>
      <c r="AS732" s="8"/>
      <c r="AT732" s="8"/>
      <c r="AU732" s="8"/>
      <c r="AV732" s="8"/>
      <c r="AX732" s="142">
        <v>8.33</v>
      </c>
    </row>
    <row r="733" spans="1:50" ht="38.25">
      <c r="B733" s="27">
        <v>721</v>
      </c>
      <c r="C733" s="31">
        <v>418</v>
      </c>
      <c r="D733" s="31">
        <v>306</v>
      </c>
      <c r="E733" s="32">
        <v>0.61111111111111105</v>
      </c>
      <c r="F733" s="32">
        <v>0.63888888888888895</v>
      </c>
      <c r="G733" s="31" t="s">
        <v>141</v>
      </c>
      <c r="H733" s="31" t="s">
        <v>103</v>
      </c>
      <c r="I733" s="33">
        <v>19.5</v>
      </c>
      <c r="J733" s="34" t="s">
        <v>269</v>
      </c>
      <c r="K733" s="35">
        <v>174</v>
      </c>
      <c r="L733" s="36">
        <f>+K733*I733</f>
        <v>3393</v>
      </c>
      <c r="M733" s="37" t="s">
        <v>767</v>
      </c>
      <c r="N733" s="2" t="s">
        <v>928</v>
      </c>
      <c r="O733" s="2">
        <v>23</v>
      </c>
      <c r="P733" s="23" t="s">
        <v>1813</v>
      </c>
      <c r="Q733" s="23">
        <v>24</v>
      </c>
      <c r="R733" s="23" t="s">
        <v>1847</v>
      </c>
      <c r="S733" s="24">
        <v>23</v>
      </c>
      <c r="T733" s="7" t="s">
        <v>1343</v>
      </c>
      <c r="U733" s="7" t="s">
        <v>1344</v>
      </c>
      <c r="V733" s="7">
        <v>4126</v>
      </c>
      <c r="W733" s="7" t="s">
        <v>1589</v>
      </c>
      <c r="X733" s="18"/>
      <c r="Y733" s="17"/>
      <c r="Z733" s="17"/>
      <c r="AA733" s="17"/>
      <c r="AB733" s="7" t="s">
        <v>1042</v>
      </c>
      <c r="AC733" s="8"/>
      <c r="AD733" s="8"/>
      <c r="AE733" s="8"/>
      <c r="AF733" s="8" t="s">
        <v>726</v>
      </c>
      <c r="AG733" s="8" t="s">
        <v>726</v>
      </c>
      <c r="AH733" s="8" t="s">
        <v>726</v>
      </c>
      <c r="AI733" s="8" t="s">
        <v>726</v>
      </c>
      <c r="AJ733" s="8" t="s">
        <v>726</v>
      </c>
      <c r="AK733" s="8" t="s">
        <v>726</v>
      </c>
      <c r="AL733" s="8"/>
      <c r="AM733" s="8"/>
      <c r="AN733" s="8"/>
      <c r="AO733" s="8"/>
      <c r="AP733" s="8"/>
      <c r="AQ733" s="8"/>
      <c r="AR733" s="8"/>
      <c r="AS733" s="8"/>
      <c r="AT733" s="8"/>
      <c r="AU733" s="8"/>
      <c r="AV733" s="8"/>
      <c r="AX733" s="142">
        <v>39</v>
      </c>
    </row>
    <row r="734" spans="1:50" ht="25.5">
      <c r="B734" s="27">
        <v>722</v>
      </c>
      <c r="C734" s="31">
        <v>418</v>
      </c>
      <c r="D734" s="31">
        <v>460</v>
      </c>
      <c r="E734" s="32">
        <v>0.625</v>
      </c>
      <c r="F734" s="32">
        <v>0.63750000000000007</v>
      </c>
      <c r="G734" s="31" t="s">
        <v>532</v>
      </c>
      <c r="H734" s="31" t="s">
        <v>103</v>
      </c>
      <c r="I734" s="33">
        <v>9</v>
      </c>
      <c r="J734" s="34" t="s">
        <v>93</v>
      </c>
      <c r="K734" s="35">
        <v>174</v>
      </c>
      <c r="L734" s="36">
        <f>+K734*I734</f>
        <v>1566</v>
      </c>
      <c r="M734" s="37" t="s">
        <v>768</v>
      </c>
      <c r="N734" s="23" t="s">
        <v>911</v>
      </c>
      <c r="O734" s="23">
        <v>9</v>
      </c>
      <c r="P734" s="23" t="s">
        <v>1814</v>
      </c>
      <c r="Q734" s="23">
        <v>9</v>
      </c>
      <c r="S734" s="23"/>
      <c r="T734" s="7">
        <v>4113</v>
      </c>
      <c r="U734" s="7" t="s">
        <v>1595</v>
      </c>
      <c r="V734" s="7">
        <v>4116</v>
      </c>
      <c r="W734" s="7" t="s">
        <v>1592</v>
      </c>
      <c r="X734" s="18"/>
      <c r="Y734" s="17"/>
      <c r="Z734" s="17"/>
      <c r="AA734" s="17"/>
      <c r="AB734" s="7" t="s">
        <v>1042</v>
      </c>
      <c r="AC734" s="8"/>
      <c r="AD734" s="8"/>
      <c r="AE734" s="8"/>
      <c r="AF734" s="8" t="s">
        <v>726</v>
      </c>
      <c r="AG734" s="8" t="s">
        <v>726</v>
      </c>
      <c r="AH734" s="8" t="s">
        <v>726</v>
      </c>
      <c r="AI734" s="8" t="s">
        <v>726</v>
      </c>
      <c r="AJ734" s="8" t="s">
        <v>726</v>
      </c>
      <c r="AK734" s="8" t="s">
        <v>726</v>
      </c>
      <c r="AL734" s="8"/>
      <c r="AM734" s="8"/>
      <c r="AN734" s="8"/>
      <c r="AO734" s="8"/>
      <c r="AP734" s="8"/>
      <c r="AQ734" s="8"/>
      <c r="AR734" s="8"/>
      <c r="AS734" s="8"/>
      <c r="AT734" s="8"/>
      <c r="AU734" s="8"/>
      <c r="AV734" s="8"/>
      <c r="AX734" s="142">
        <v>27</v>
      </c>
    </row>
    <row r="735" spans="1:50" ht="25.5">
      <c r="B735" s="27">
        <v>723</v>
      </c>
      <c r="C735" s="31">
        <v>418</v>
      </c>
      <c r="D735" s="31">
        <v>272</v>
      </c>
      <c r="E735" s="32">
        <v>0.67152777777777783</v>
      </c>
      <c r="F735" s="32">
        <v>0.6958333333333333</v>
      </c>
      <c r="G735" s="31" t="s">
        <v>40</v>
      </c>
      <c r="H735" s="31" t="s">
        <v>103</v>
      </c>
      <c r="I735" s="33">
        <v>14</v>
      </c>
      <c r="J735" s="34" t="s">
        <v>93</v>
      </c>
      <c r="K735" s="35">
        <v>174</v>
      </c>
      <c r="L735" s="36">
        <f>+K735*I735</f>
        <v>2436</v>
      </c>
      <c r="M735" s="37" t="s">
        <v>766</v>
      </c>
      <c r="N735" s="23" t="s">
        <v>859</v>
      </c>
      <c r="O735" s="23">
        <v>21</v>
      </c>
      <c r="P735" s="23" t="s">
        <v>860</v>
      </c>
      <c r="Q735" s="23">
        <v>31</v>
      </c>
      <c r="R735" s="111" t="s">
        <v>1903</v>
      </c>
      <c r="S735" s="111">
        <v>38</v>
      </c>
      <c r="T735" s="7" t="s">
        <v>1343</v>
      </c>
      <c r="U735" s="7" t="s">
        <v>1344</v>
      </c>
      <c r="V735" s="7">
        <v>4143</v>
      </c>
      <c r="W735" s="7" t="s">
        <v>1594</v>
      </c>
      <c r="X735" s="18"/>
      <c r="Y735" s="17"/>
      <c r="Z735" s="17"/>
      <c r="AA735" s="17"/>
      <c r="AB735" s="7" t="s">
        <v>1042</v>
      </c>
      <c r="AC735" s="8"/>
      <c r="AD735" s="8"/>
      <c r="AE735" s="8"/>
      <c r="AF735" s="8" t="s">
        <v>726</v>
      </c>
      <c r="AG735" s="8" t="s">
        <v>726</v>
      </c>
      <c r="AH735" s="8" t="s">
        <v>726</v>
      </c>
      <c r="AI735" s="8" t="s">
        <v>726</v>
      </c>
      <c r="AJ735" s="8" t="s">
        <v>726</v>
      </c>
      <c r="AK735" s="8" t="s">
        <v>726</v>
      </c>
      <c r="AL735" s="8"/>
      <c r="AM735" s="8"/>
      <c r="AN735" s="8"/>
      <c r="AO735" s="8"/>
      <c r="AP735" s="8"/>
      <c r="AQ735" s="8"/>
      <c r="AR735" s="8"/>
      <c r="AS735" s="8"/>
      <c r="AT735" s="8"/>
      <c r="AU735" s="8"/>
      <c r="AV735" s="8"/>
      <c r="AX735" s="142">
        <v>42</v>
      </c>
    </row>
    <row r="736" spans="1:50" ht="25.5">
      <c r="A736" s="83" t="s">
        <v>2012</v>
      </c>
      <c r="B736" s="84">
        <v>724</v>
      </c>
      <c r="C736" s="85">
        <v>418</v>
      </c>
      <c r="D736" s="85" t="s">
        <v>995</v>
      </c>
      <c r="E736" s="86">
        <v>0.73611111111111116</v>
      </c>
      <c r="F736" s="86">
        <v>0.7895833333333333</v>
      </c>
      <c r="G736" s="98" t="s">
        <v>427</v>
      </c>
      <c r="H736" s="85" t="s">
        <v>428</v>
      </c>
      <c r="I736" s="87">
        <f>16+16.5</f>
        <v>32.5</v>
      </c>
      <c r="J736" s="88" t="s">
        <v>188</v>
      </c>
      <c r="K736" s="94">
        <v>58</v>
      </c>
      <c r="L736" s="90">
        <f>+K736*I736</f>
        <v>1885</v>
      </c>
      <c r="M736" s="91" t="s">
        <v>769</v>
      </c>
      <c r="N736" s="104" t="s">
        <v>973</v>
      </c>
      <c r="O736" s="104">
        <v>33</v>
      </c>
      <c r="P736" s="104" t="s">
        <v>1815</v>
      </c>
      <c r="Q736" s="104">
        <v>55</v>
      </c>
      <c r="R736" s="83"/>
      <c r="S736" s="104"/>
      <c r="T736" s="95" t="s">
        <v>1343</v>
      </c>
      <c r="U736" s="95" t="s">
        <v>1344</v>
      </c>
      <c r="V736" s="95" t="s">
        <v>1343</v>
      </c>
      <c r="W736" s="95" t="s">
        <v>1344</v>
      </c>
      <c r="X736" s="105"/>
      <c r="Y736" s="105">
        <v>44983</v>
      </c>
      <c r="Z736" s="105"/>
      <c r="AA736" s="105"/>
      <c r="AB736" s="106" t="s">
        <v>1055</v>
      </c>
      <c r="AC736" s="106" t="s">
        <v>726</v>
      </c>
      <c r="AD736" s="106" t="s">
        <v>726</v>
      </c>
      <c r="AE736" s="106"/>
      <c r="AF736" s="106"/>
      <c r="AG736" s="106"/>
      <c r="AH736" s="106"/>
      <c r="AI736" s="106"/>
      <c r="AJ736" s="106"/>
      <c r="AK736" s="106"/>
      <c r="AL736" s="106"/>
      <c r="AM736" s="106" t="s">
        <v>726</v>
      </c>
      <c r="AN736" s="106"/>
      <c r="AO736" s="106"/>
      <c r="AP736" s="106"/>
      <c r="AQ736" s="106"/>
      <c r="AR736" s="106"/>
      <c r="AS736" s="106"/>
      <c r="AT736" s="106"/>
      <c r="AU736" s="106"/>
      <c r="AV736" s="106"/>
    </row>
    <row r="737" spans="2:50" ht="25.5">
      <c r="B737" s="27">
        <v>725</v>
      </c>
      <c r="C737" s="31">
        <v>418</v>
      </c>
      <c r="D737" s="31">
        <v>168</v>
      </c>
      <c r="E737" s="32">
        <v>0.73611111111111116</v>
      </c>
      <c r="F737" s="32">
        <v>0.76041666666666663</v>
      </c>
      <c r="G737" s="31" t="s">
        <v>40</v>
      </c>
      <c r="H737" s="31" t="s">
        <v>103</v>
      </c>
      <c r="I737" s="33">
        <v>14</v>
      </c>
      <c r="J737" s="34" t="s">
        <v>93</v>
      </c>
      <c r="K737" s="35">
        <v>174</v>
      </c>
      <c r="L737" s="36">
        <f>+K737*I737</f>
        <v>2436</v>
      </c>
      <c r="M737" s="37" t="s">
        <v>768</v>
      </c>
      <c r="N737" s="23" t="s">
        <v>912</v>
      </c>
      <c r="O737" s="23">
        <v>20</v>
      </c>
      <c r="P737" s="23" t="s">
        <v>913</v>
      </c>
      <c r="Q737" s="23">
        <v>31</v>
      </c>
      <c r="S737" s="23"/>
      <c r="T737" s="7" t="s">
        <v>1343</v>
      </c>
      <c r="U737" s="7" t="s">
        <v>1344</v>
      </c>
      <c r="V737" s="7">
        <v>4143</v>
      </c>
      <c r="W737" s="7" t="s">
        <v>1594</v>
      </c>
      <c r="X737" s="18"/>
      <c r="Y737" s="17"/>
      <c r="Z737" s="17"/>
      <c r="AA737" s="17"/>
      <c r="AB737" s="7" t="s">
        <v>1042</v>
      </c>
      <c r="AC737" s="8"/>
      <c r="AD737" s="8"/>
      <c r="AE737" s="8"/>
      <c r="AF737" s="8" t="s">
        <v>726</v>
      </c>
      <c r="AG737" s="8" t="s">
        <v>726</v>
      </c>
      <c r="AH737" s="8" t="s">
        <v>726</v>
      </c>
      <c r="AI737" s="8" t="s">
        <v>726</v>
      </c>
      <c r="AJ737" s="8" t="s">
        <v>726</v>
      </c>
      <c r="AK737" s="8" t="s">
        <v>726</v>
      </c>
      <c r="AL737" s="8"/>
      <c r="AM737" s="8"/>
      <c r="AN737" s="8"/>
      <c r="AO737" s="8"/>
      <c r="AP737" s="8"/>
      <c r="AQ737" s="8"/>
      <c r="AR737" s="8"/>
      <c r="AS737" s="8"/>
      <c r="AT737" s="8"/>
      <c r="AU737" s="8"/>
      <c r="AV737" s="8"/>
      <c r="AX737" s="142">
        <v>31.113793103448277</v>
      </c>
    </row>
    <row r="738" spans="2:50" ht="25.5">
      <c r="B738" s="27">
        <v>726</v>
      </c>
      <c r="C738" s="43">
        <v>418</v>
      </c>
      <c r="D738" s="31">
        <v>94</v>
      </c>
      <c r="E738" s="32">
        <v>0.77430555555555547</v>
      </c>
      <c r="F738" s="32">
        <v>0.79513888888888884</v>
      </c>
      <c r="G738" s="40" t="s">
        <v>229</v>
      </c>
      <c r="H738" s="31" t="s">
        <v>18</v>
      </c>
      <c r="I738" s="33">
        <v>13.5</v>
      </c>
      <c r="J738" s="34" t="s">
        <v>228</v>
      </c>
      <c r="K738" s="35">
        <v>304</v>
      </c>
      <c r="L738" s="36">
        <f>+K738*I738</f>
        <v>4104</v>
      </c>
      <c r="M738" s="37" t="s">
        <v>768</v>
      </c>
      <c r="N738" s="23" t="s">
        <v>913</v>
      </c>
      <c r="O738" s="23">
        <v>31</v>
      </c>
      <c r="P738" s="23" t="s">
        <v>912</v>
      </c>
      <c r="Q738" s="23">
        <v>20</v>
      </c>
      <c r="S738" s="23"/>
      <c r="T738" s="7" t="s">
        <v>1343</v>
      </c>
      <c r="U738" s="7" t="s">
        <v>1344</v>
      </c>
      <c r="V738" s="7">
        <v>4115</v>
      </c>
      <c r="W738" s="7" t="s">
        <v>1593</v>
      </c>
      <c r="X738" s="17"/>
      <c r="Y738" s="17"/>
      <c r="Z738" s="17"/>
      <c r="AA738" s="17"/>
      <c r="AB738" s="8" t="s">
        <v>1053</v>
      </c>
      <c r="AC738" s="8" t="s">
        <v>726</v>
      </c>
      <c r="AD738" s="8" t="s">
        <v>726</v>
      </c>
      <c r="AE738" s="8" t="s">
        <v>726</v>
      </c>
      <c r="AF738" s="8"/>
      <c r="AG738" s="8" t="s">
        <v>726</v>
      </c>
      <c r="AH738" s="8" t="s">
        <v>726</v>
      </c>
      <c r="AI738" s="8" t="s">
        <v>726</v>
      </c>
      <c r="AJ738" s="8" t="s">
        <v>726</v>
      </c>
      <c r="AK738" s="8" t="s">
        <v>726</v>
      </c>
      <c r="AL738" s="8" t="s">
        <v>726</v>
      </c>
      <c r="AM738" s="8"/>
      <c r="AN738" s="8"/>
      <c r="AO738" s="8"/>
      <c r="AP738" s="8"/>
      <c r="AQ738" s="8"/>
      <c r="AR738" s="8"/>
      <c r="AS738" s="8"/>
      <c r="AT738" s="8"/>
      <c r="AU738" s="8"/>
      <c r="AV738" s="8"/>
      <c r="AX738" s="142">
        <v>32.11</v>
      </c>
    </row>
    <row r="739" spans="2:50" ht="22.5">
      <c r="B739" s="27">
        <v>727</v>
      </c>
      <c r="C739" s="38">
        <v>418</v>
      </c>
      <c r="D739" s="38">
        <v>184</v>
      </c>
      <c r="E739" s="39">
        <v>0.79375000000000007</v>
      </c>
      <c r="F739" s="44">
        <v>0.81805555555555554</v>
      </c>
      <c r="G739" s="40" t="s">
        <v>693</v>
      </c>
      <c r="H739" s="40" t="s">
        <v>18</v>
      </c>
      <c r="I739" s="38">
        <v>14</v>
      </c>
      <c r="J739" s="41">
        <v>19</v>
      </c>
      <c r="K739" s="35">
        <v>304</v>
      </c>
      <c r="L739" s="36">
        <f>+K739*I739</f>
        <v>4256</v>
      </c>
      <c r="M739" s="37" t="s">
        <v>766</v>
      </c>
      <c r="N739" s="23" t="s">
        <v>859</v>
      </c>
      <c r="O739" s="23">
        <v>21</v>
      </c>
      <c r="P739" s="23" t="s">
        <v>860</v>
      </c>
      <c r="Q739" s="23">
        <v>31</v>
      </c>
      <c r="R739" s="111" t="s">
        <v>1903</v>
      </c>
      <c r="S739" s="111">
        <v>38</v>
      </c>
      <c r="T739" s="7" t="s">
        <v>1343</v>
      </c>
      <c r="U739" s="7" t="s">
        <v>1344</v>
      </c>
      <c r="V739" s="7">
        <v>4143</v>
      </c>
      <c r="W739" s="7" t="s">
        <v>1594</v>
      </c>
      <c r="X739" s="17"/>
      <c r="Y739" s="17"/>
      <c r="Z739" s="17"/>
      <c r="AA739" s="17"/>
      <c r="AB739" s="8" t="s">
        <v>1053</v>
      </c>
      <c r="AC739" s="8" t="s">
        <v>726</v>
      </c>
      <c r="AD739" s="8" t="s">
        <v>726</v>
      </c>
      <c r="AE739" s="8" t="s">
        <v>726</v>
      </c>
      <c r="AF739" s="8"/>
      <c r="AG739" s="8" t="s">
        <v>726</v>
      </c>
      <c r="AH739" s="8" t="s">
        <v>726</v>
      </c>
      <c r="AI739" s="8" t="s">
        <v>726</v>
      </c>
      <c r="AJ739" s="8" t="s">
        <v>726</v>
      </c>
      <c r="AK739" s="8" t="s">
        <v>726</v>
      </c>
      <c r="AL739" s="8" t="s">
        <v>726</v>
      </c>
      <c r="AM739" s="8"/>
      <c r="AN739" s="8"/>
      <c r="AO739" s="8"/>
      <c r="AP739" s="8"/>
      <c r="AQ739" s="8"/>
      <c r="AR739" s="8"/>
      <c r="AS739" s="8"/>
      <c r="AT739" s="8"/>
      <c r="AU739" s="8"/>
      <c r="AV739" s="8"/>
      <c r="AX739" s="142">
        <v>42</v>
      </c>
    </row>
    <row r="740" spans="2:50" ht="25.5">
      <c r="B740" s="27">
        <v>728</v>
      </c>
      <c r="C740" s="43">
        <v>418</v>
      </c>
      <c r="D740" s="31">
        <v>94</v>
      </c>
      <c r="E740" s="32">
        <v>0.79513888888888884</v>
      </c>
      <c r="F740" s="32">
        <v>0.79999999999999993</v>
      </c>
      <c r="G740" s="31" t="s">
        <v>227</v>
      </c>
      <c r="H740" s="31" t="s">
        <v>97</v>
      </c>
      <c r="I740" s="33">
        <v>3</v>
      </c>
      <c r="J740" s="34" t="s">
        <v>116</v>
      </c>
      <c r="K740" s="35">
        <v>208</v>
      </c>
      <c r="L740" s="36">
        <f>+K740*I740</f>
        <v>624</v>
      </c>
      <c r="M740" s="37" t="s">
        <v>768</v>
      </c>
      <c r="N740" s="23" t="s">
        <v>912</v>
      </c>
      <c r="O740" s="23">
        <v>20</v>
      </c>
      <c r="P740" s="23" t="s">
        <v>1814</v>
      </c>
      <c r="Q740" s="23">
        <v>9</v>
      </c>
      <c r="S740" s="23"/>
      <c r="T740" s="7">
        <v>4115</v>
      </c>
      <c r="U740" s="7" t="s">
        <v>1593</v>
      </c>
      <c r="V740" s="7">
        <v>4116</v>
      </c>
      <c r="W740" s="7" t="s">
        <v>1592</v>
      </c>
      <c r="X740" s="18"/>
      <c r="Y740" s="17"/>
      <c r="Z740" s="17"/>
      <c r="AA740" s="17"/>
      <c r="AB740" s="7" t="s">
        <v>1046</v>
      </c>
      <c r="AC740" s="8"/>
      <c r="AD740" s="8"/>
      <c r="AE740" s="8"/>
      <c r="AF740" s="8" t="s">
        <v>726</v>
      </c>
      <c r="AG740" s="8" t="s">
        <v>726</v>
      </c>
      <c r="AH740" s="8" t="s">
        <v>726</v>
      </c>
      <c r="AI740" s="8" t="s">
        <v>726</v>
      </c>
      <c r="AJ740" s="8" t="s">
        <v>726</v>
      </c>
      <c r="AK740" s="8" t="s">
        <v>726</v>
      </c>
      <c r="AL740" s="8" t="s">
        <v>726</v>
      </c>
      <c r="AM740" s="8"/>
      <c r="AN740" s="8"/>
      <c r="AO740" s="8"/>
      <c r="AP740" s="8"/>
      <c r="AQ740" s="8"/>
      <c r="AR740" s="8"/>
      <c r="AS740" s="8"/>
      <c r="AT740" s="8"/>
      <c r="AU740" s="8"/>
      <c r="AV740" s="8"/>
      <c r="AX740" s="142">
        <v>8.93</v>
      </c>
    </row>
    <row r="741" spans="2:50" ht="25.5">
      <c r="B741" s="27">
        <v>729</v>
      </c>
      <c r="C741" s="31">
        <v>423</v>
      </c>
      <c r="D741" s="34">
        <v>177</v>
      </c>
      <c r="E741" s="32">
        <v>0.31874999999999998</v>
      </c>
      <c r="F741" s="32">
        <v>0.32569444444444445</v>
      </c>
      <c r="G741" s="31" t="s">
        <v>304</v>
      </c>
      <c r="H741" s="31" t="s">
        <v>103</v>
      </c>
      <c r="I741" s="33">
        <v>6</v>
      </c>
      <c r="J741" s="34" t="s">
        <v>93</v>
      </c>
      <c r="K741" s="35">
        <v>174</v>
      </c>
      <c r="L741" s="36">
        <f>+K741*I741</f>
        <v>1044</v>
      </c>
      <c r="M741" s="37" t="s">
        <v>722</v>
      </c>
      <c r="N741" s="23" t="s">
        <v>871</v>
      </c>
      <c r="O741" s="23">
        <v>21</v>
      </c>
      <c r="P741" s="23" t="s">
        <v>1158</v>
      </c>
      <c r="Q741" s="23">
        <v>21</v>
      </c>
      <c r="S741" s="23"/>
      <c r="T741" s="7">
        <v>4210</v>
      </c>
      <c r="U741" s="7" t="s">
        <v>1599</v>
      </c>
      <c r="V741" s="7" t="s">
        <v>1343</v>
      </c>
      <c r="W741" s="7" t="s">
        <v>1344</v>
      </c>
      <c r="X741" s="18"/>
      <c r="Y741" s="17"/>
      <c r="Z741" s="17"/>
      <c r="AA741" s="17"/>
      <c r="AB741" s="7" t="s">
        <v>1042</v>
      </c>
      <c r="AC741" s="8"/>
      <c r="AD741" s="8"/>
      <c r="AE741" s="8"/>
      <c r="AF741" s="8" t="s">
        <v>726</v>
      </c>
      <c r="AG741" s="8" t="s">
        <v>726</v>
      </c>
      <c r="AH741" s="8" t="s">
        <v>726</v>
      </c>
      <c r="AI741" s="8" t="s">
        <v>726</v>
      </c>
      <c r="AJ741" s="8" t="s">
        <v>726</v>
      </c>
      <c r="AK741" s="8" t="s">
        <v>726</v>
      </c>
      <c r="AL741" s="8"/>
      <c r="AM741" s="8"/>
      <c r="AN741" s="8"/>
      <c r="AO741" s="8"/>
      <c r="AP741" s="8"/>
      <c r="AQ741" s="8"/>
      <c r="AR741" s="8"/>
      <c r="AS741" s="8"/>
      <c r="AT741" s="8"/>
      <c r="AU741" s="8"/>
      <c r="AV741" s="8"/>
      <c r="AX741" s="142">
        <v>12</v>
      </c>
    </row>
    <row r="742" spans="2:50" ht="25.5">
      <c r="B742" s="27">
        <v>730</v>
      </c>
      <c r="C742" s="31">
        <v>423</v>
      </c>
      <c r="D742" s="31">
        <v>202</v>
      </c>
      <c r="E742" s="32">
        <v>0.81805555555555554</v>
      </c>
      <c r="F742" s="32">
        <v>0.83750000000000002</v>
      </c>
      <c r="G742" s="31" t="s">
        <v>140</v>
      </c>
      <c r="H742" s="31" t="s">
        <v>103</v>
      </c>
      <c r="I742" s="33">
        <v>14</v>
      </c>
      <c r="J742" s="34" t="s">
        <v>93</v>
      </c>
      <c r="K742" s="35">
        <v>174</v>
      </c>
      <c r="L742" s="36">
        <f>+K742*I742</f>
        <v>2436</v>
      </c>
      <c r="M742" s="37" t="s">
        <v>767</v>
      </c>
      <c r="N742" s="2" t="s">
        <v>928</v>
      </c>
      <c r="O742" s="2">
        <v>23</v>
      </c>
      <c r="P742" s="23" t="s">
        <v>1813</v>
      </c>
      <c r="Q742" s="23">
        <v>24</v>
      </c>
      <c r="R742" s="23" t="s">
        <v>1847</v>
      </c>
      <c r="S742" s="24">
        <v>23</v>
      </c>
      <c r="T742" s="7" t="s">
        <v>1343</v>
      </c>
      <c r="U742" s="7" t="s">
        <v>1344</v>
      </c>
      <c r="V742" s="7" t="s">
        <v>1600</v>
      </c>
      <c r="W742" s="7" t="s">
        <v>1601</v>
      </c>
      <c r="X742" s="18"/>
      <c r="Y742" s="17"/>
      <c r="Z742" s="17"/>
      <c r="AA742" s="17"/>
      <c r="AB742" s="7" t="s">
        <v>1042</v>
      </c>
      <c r="AC742" s="8"/>
      <c r="AD742" s="8"/>
      <c r="AE742" s="8"/>
      <c r="AF742" s="8" t="s">
        <v>726</v>
      </c>
      <c r="AG742" s="8" t="s">
        <v>726</v>
      </c>
      <c r="AH742" s="8" t="s">
        <v>726</v>
      </c>
      <c r="AI742" s="8" t="s">
        <v>726</v>
      </c>
      <c r="AJ742" s="8" t="s">
        <v>726</v>
      </c>
      <c r="AK742" s="8" t="s">
        <v>726</v>
      </c>
      <c r="AL742" s="8"/>
      <c r="AM742" s="8"/>
      <c r="AN742" s="8"/>
      <c r="AO742" s="8"/>
      <c r="AP742" s="8"/>
      <c r="AQ742" s="8"/>
      <c r="AR742" s="8"/>
      <c r="AS742" s="8"/>
      <c r="AT742" s="8"/>
      <c r="AU742" s="8"/>
      <c r="AV742" s="8"/>
      <c r="AX742" s="142">
        <v>48.25</v>
      </c>
    </row>
    <row r="743" spans="2:50" ht="45">
      <c r="B743" s="27">
        <v>731</v>
      </c>
      <c r="C743" s="31">
        <v>425</v>
      </c>
      <c r="D743" s="31">
        <v>438</v>
      </c>
      <c r="E743" s="32">
        <v>0.39930555555555558</v>
      </c>
      <c r="F743" s="32">
        <v>0.4145833333333333</v>
      </c>
      <c r="G743" s="40" t="s">
        <v>295</v>
      </c>
      <c r="H743" s="31" t="s">
        <v>293</v>
      </c>
      <c r="I743" s="33">
        <v>12.5</v>
      </c>
      <c r="J743" s="34" t="s">
        <v>99</v>
      </c>
      <c r="K743" s="35">
        <f>39+11</f>
        <v>50</v>
      </c>
      <c r="L743" s="36">
        <f>+K743*I743</f>
        <v>625</v>
      </c>
      <c r="M743" s="37" t="s">
        <v>724</v>
      </c>
      <c r="N743" s="23" t="s">
        <v>787</v>
      </c>
      <c r="O743" s="23">
        <v>21</v>
      </c>
      <c r="P743" s="23" t="s">
        <v>1816</v>
      </c>
      <c r="Q743" s="23">
        <v>24</v>
      </c>
      <c r="S743" s="23"/>
      <c r="T743" s="7" t="s">
        <v>1343</v>
      </c>
      <c r="U743" s="7" t="s">
        <v>1344</v>
      </c>
      <c r="V743" s="7">
        <v>4136</v>
      </c>
      <c r="W743" s="7" t="s">
        <v>1602</v>
      </c>
      <c r="X743" s="17"/>
      <c r="Y743" s="17"/>
      <c r="Z743" s="17"/>
      <c r="AA743" s="17"/>
      <c r="AB743" s="8" t="s">
        <v>1089</v>
      </c>
      <c r="AC743" s="8" t="s">
        <v>726</v>
      </c>
      <c r="AD743" s="8" t="s">
        <v>726</v>
      </c>
      <c r="AE743" s="8" t="s">
        <v>726</v>
      </c>
      <c r="AF743" s="8"/>
      <c r="AG743" s="8"/>
      <c r="AH743" s="8"/>
      <c r="AI743" s="8"/>
      <c r="AJ743" s="8" t="s">
        <v>726</v>
      </c>
      <c r="AK743" s="8"/>
      <c r="AL743" s="8"/>
      <c r="AM743" s="8"/>
      <c r="AN743" s="8"/>
      <c r="AO743" s="8"/>
      <c r="AP743" s="8"/>
      <c r="AQ743" s="8"/>
      <c r="AR743" s="8"/>
      <c r="AS743" s="8"/>
      <c r="AT743" s="8"/>
      <c r="AU743" s="8"/>
      <c r="AV743" s="8"/>
      <c r="AX743" s="142">
        <v>25</v>
      </c>
    </row>
    <row r="744" spans="2:50" ht="45">
      <c r="B744" s="27">
        <v>732</v>
      </c>
      <c r="C744" s="31">
        <v>425</v>
      </c>
      <c r="D744" s="31">
        <v>465</v>
      </c>
      <c r="E744" s="32">
        <v>0.41666666666666669</v>
      </c>
      <c r="F744" s="32">
        <v>0.43194444444444446</v>
      </c>
      <c r="G744" s="40" t="s">
        <v>294</v>
      </c>
      <c r="H744" s="31" t="s">
        <v>293</v>
      </c>
      <c r="I744" s="33">
        <v>12.5</v>
      </c>
      <c r="J744" s="34" t="s">
        <v>99</v>
      </c>
      <c r="K744" s="35">
        <f>39+11</f>
        <v>50</v>
      </c>
      <c r="L744" s="36">
        <f>+K744*I744</f>
        <v>625</v>
      </c>
      <c r="M744" s="37" t="s">
        <v>724</v>
      </c>
      <c r="N744" s="23" t="s">
        <v>787</v>
      </c>
      <c r="O744" s="23">
        <v>21</v>
      </c>
      <c r="P744" s="23" t="s">
        <v>1816</v>
      </c>
      <c r="Q744" s="23">
        <v>24</v>
      </c>
      <c r="S744" s="23"/>
      <c r="T744" s="7">
        <v>4136</v>
      </c>
      <c r="U744" s="7" t="s">
        <v>1602</v>
      </c>
      <c r="V744" s="7" t="s">
        <v>1343</v>
      </c>
      <c r="W744" s="7" t="s">
        <v>1344</v>
      </c>
      <c r="X744" s="17"/>
      <c r="Y744" s="17"/>
      <c r="Z744" s="17"/>
      <c r="AA744" s="17"/>
      <c r="AB744" s="8" t="s">
        <v>1089</v>
      </c>
      <c r="AC744" s="8" t="s">
        <v>726</v>
      </c>
      <c r="AD744" s="8" t="s">
        <v>726</v>
      </c>
      <c r="AE744" s="8" t="s">
        <v>726</v>
      </c>
      <c r="AF744" s="8"/>
      <c r="AG744" s="8"/>
      <c r="AH744" s="8"/>
      <c r="AI744" s="8"/>
      <c r="AJ744" s="8" t="s">
        <v>726</v>
      </c>
      <c r="AK744" s="8"/>
      <c r="AL744" s="8"/>
      <c r="AM744" s="8"/>
      <c r="AN744" s="8"/>
      <c r="AO744" s="8"/>
      <c r="AP744" s="8"/>
      <c r="AQ744" s="8"/>
      <c r="AR744" s="8"/>
      <c r="AS744" s="8"/>
      <c r="AT744" s="8"/>
      <c r="AU744" s="8"/>
      <c r="AV744" s="8"/>
      <c r="AX744" s="142">
        <v>25</v>
      </c>
    </row>
    <row r="745" spans="2:50" ht="45">
      <c r="B745" s="27">
        <v>733</v>
      </c>
      <c r="C745" s="31">
        <v>425</v>
      </c>
      <c r="D745" s="31">
        <v>440</v>
      </c>
      <c r="E745" s="32">
        <v>0.48958333333333331</v>
      </c>
      <c r="F745" s="32">
        <v>0.50486111111111109</v>
      </c>
      <c r="G745" s="40" t="s">
        <v>295</v>
      </c>
      <c r="H745" s="31" t="s">
        <v>293</v>
      </c>
      <c r="I745" s="33">
        <v>12.5</v>
      </c>
      <c r="J745" s="34" t="s">
        <v>99</v>
      </c>
      <c r="K745" s="35">
        <f>39+11</f>
        <v>50</v>
      </c>
      <c r="L745" s="36">
        <f>+K745*I745</f>
        <v>625</v>
      </c>
      <c r="M745" s="37" t="s">
        <v>724</v>
      </c>
      <c r="N745" s="23" t="s">
        <v>787</v>
      </c>
      <c r="O745" s="23">
        <v>21</v>
      </c>
      <c r="P745" s="23" t="s">
        <v>1816</v>
      </c>
      <c r="Q745" s="23">
        <v>24</v>
      </c>
      <c r="S745" s="23"/>
      <c r="T745" s="7" t="s">
        <v>1343</v>
      </c>
      <c r="U745" s="7" t="s">
        <v>1344</v>
      </c>
      <c r="V745" s="7">
        <v>4136</v>
      </c>
      <c r="W745" s="7" t="s">
        <v>1602</v>
      </c>
      <c r="X745" s="17"/>
      <c r="Y745" s="17"/>
      <c r="Z745" s="17"/>
      <c r="AA745" s="17"/>
      <c r="AB745" s="8" t="s">
        <v>1089</v>
      </c>
      <c r="AC745" s="8" t="s">
        <v>726</v>
      </c>
      <c r="AD745" s="8" t="s">
        <v>726</v>
      </c>
      <c r="AE745" s="8" t="s">
        <v>726</v>
      </c>
      <c r="AF745" s="8"/>
      <c r="AG745" s="8"/>
      <c r="AH745" s="8"/>
      <c r="AI745" s="8"/>
      <c r="AJ745" s="8" t="s">
        <v>726</v>
      </c>
      <c r="AK745" s="8"/>
      <c r="AL745" s="8"/>
      <c r="AM745" s="8"/>
      <c r="AN745" s="8"/>
      <c r="AO745" s="8"/>
      <c r="AP745" s="8"/>
      <c r="AQ745" s="8"/>
      <c r="AR745" s="8"/>
      <c r="AS745" s="8"/>
      <c r="AT745" s="8"/>
      <c r="AU745" s="8"/>
      <c r="AV745" s="8"/>
      <c r="AX745" s="142">
        <v>25</v>
      </c>
    </row>
    <row r="746" spans="2:50" ht="45">
      <c r="B746" s="27">
        <v>734</v>
      </c>
      <c r="C746" s="31">
        <v>425</v>
      </c>
      <c r="D746" s="31">
        <v>467</v>
      </c>
      <c r="E746" s="32">
        <v>0.50694444444444442</v>
      </c>
      <c r="F746" s="32">
        <v>0.52222222222222225</v>
      </c>
      <c r="G746" s="40" t="s">
        <v>294</v>
      </c>
      <c r="H746" s="31" t="s">
        <v>293</v>
      </c>
      <c r="I746" s="33">
        <v>12.5</v>
      </c>
      <c r="J746" s="34" t="s">
        <v>99</v>
      </c>
      <c r="K746" s="35">
        <f>39+11</f>
        <v>50</v>
      </c>
      <c r="L746" s="36">
        <f>+K746*I746</f>
        <v>625</v>
      </c>
      <c r="M746" s="37" t="s">
        <v>724</v>
      </c>
      <c r="N746" s="23" t="s">
        <v>787</v>
      </c>
      <c r="O746" s="23">
        <v>21</v>
      </c>
      <c r="P746" s="23" t="s">
        <v>1816</v>
      </c>
      <c r="Q746" s="23">
        <v>24</v>
      </c>
      <c r="S746" s="23"/>
      <c r="T746" s="7">
        <v>4136</v>
      </c>
      <c r="U746" s="7" t="s">
        <v>1602</v>
      </c>
      <c r="V746" s="7" t="s">
        <v>1343</v>
      </c>
      <c r="W746" s="7" t="s">
        <v>1344</v>
      </c>
      <c r="X746" s="17"/>
      <c r="Y746" s="17"/>
      <c r="Z746" s="17"/>
      <c r="AA746" s="17"/>
      <c r="AB746" s="8" t="s">
        <v>1089</v>
      </c>
      <c r="AC746" s="8" t="s">
        <v>726</v>
      </c>
      <c r="AD746" s="8" t="s">
        <v>726</v>
      </c>
      <c r="AE746" s="8" t="s">
        <v>726</v>
      </c>
      <c r="AF746" s="8"/>
      <c r="AG746" s="8"/>
      <c r="AH746" s="8"/>
      <c r="AI746" s="8"/>
      <c r="AJ746" s="8" t="s">
        <v>726</v>
      </c>
      <c r="AK746" s="8"/>
      <c r="AL746" s="8"/>
      <c r="AM746" s="8"/>
      <c r="AN746" s="8"/>
      <c r="AO746" s="8"/>
      <c r="AP746" s="8"/>
      <c r="AQ746" s="8"/>
      <c r="AR746" s="8"/>
      <c r="AS746" s="8"/>
      <c r="AT746" s="8"/>
      <c r="AU746" s="8"/>
      <c r="AV746" s="8"/>
      <c r="AX746" s="142">
        <v>25</v>
      </c>
    </row>
    <row r="747" spans="2:50" ht="25.5">
      <c r="B747" s="27">
        <v>735</v>
      </c>
      <c r="C747" s="31">
        <v>429</v>
      </c>
      <c r="D747" s="31">
        <v>19</v>
      </c>
      <c r="E747" s="32">
        <v>0.2902777777777778</v>
      </c>
      <c r="F747" s="32">
        <v>0.2951388888888889</v>
      </c>
      <c r="G747" s="31" t="s">
        <v>306</v>
      </c>
      <c r="H747" s="31" t="s">
        <v>97</v>
      </c>
      <c r="I747" s="33">
        <v>3</v>
      </c>
      <c r="J747" s="34" t="s">
        <v>93</v>
      </c>
      <c r="K747" s="35">
        <v>208</v>
      </c>
      <c r="L747" s="36">
        <f>+K747*I747</f>
        <v>624</v>
      </c>
      <c r="M747" s="37" t="s">
        <v>765</v>
      </c>
      <c r="N747" s="79" t="s">
        <v>1772</v>
      </c>
      <c r="O747" s="79">
        <v>17</v>
      </c>
      <c r="P747" s="23" t="s">
        <v>922</v>
      </c>
      <c r="Q747" s="23">
        <v>9</v>
      </c>
      <c r="S747" s="23"/>
      <c r="T747" s="7" t="s">
        <v>1603</v>
      </c>
      <c r="U747" s="7" t="s">
        <v>1604</v>
      </c>
      <c r="V747" s="7">
        <v>4046</v>
      </c>
      <c r="W747" s="7" t="s">
        <v>1605</v>
      </c>
      <c r="X747" s="18"/>
      <c r="Y747" s="17"/>
      <c r="Z747" s="17"/>
      <c r="AA747" s="17"/>
      <c r="AB747" s="7" t="s">
        <v>1046</v>
      </c>
      <c r="AC747" s="8"/>
      <c r="AD747" s="8"/>
      <c r="AE747" s="8"/>
      <c r="AF747" s="8" t="s">
        <v>726</v>
      </c>
      <c r="AG747" s="8" t="s">
        <v>726</v>
      </c>
      <c r="AH747" s="8" t="s">
        <v>726</v>
      </c>
      <c r="AI747" s="8" t="s">
        <v>726</v>
      </c>
      <c r="AJ747" s="8" t="s">
        <v>726</v>
      </c>
      <c r="AK747" s="8" t="s">
        <v>726</v>
      </c>
      <c r="AL747" s="8" t="s">
        <v>726</v>
      </c>
      <c r="AM747" s="8"/>
      <c r="AN747" s="8"/>
      <c r="AO747" s="8"/>
      <c r="AP747" s="8"/>
      <c r="AQ747" s="8"/>
      <c r="AR747" s="8"/>
      <c r="AS747" s="8"/>
      <c r="AT747" s="8"/>
      <c r="AU747" s="8"/>
      <c r="AV747" s="8"/>
      <c r="AX747" s="142">
        <v>20</v>
      </c>
    </row>
    <row r="748" spans="2:50" ht="25.5">
      <c r="B748" s="27">
        <v>736</v>
      </c>
      <c r="C748" s="31">
        <v>429</v>
      </c>
      <c r="D748" s="43">
        <v>21</v>
      </c>
      <c r="E748" s="32">
        <v>0.55208333333333337</v>
      </c>
      <c r="F748" s="32">
        <v>0.55555555555555558</v>
      </c>
      <c r="G748" s="31" t="s">
        <v>168</v>
      </c>
      <c r="H748" s="31" t="s">
        <v>103</v>
      </c>
      <c r="I748" s="33">
        <v>2</v>
      </c>
      <c r="J748" s="34" t="s">
        <v>167</v>
      </c>
      <c r="K748" s="35">
        <v>174</v>
      </c>
      <c r="L748" s="36">
        <f>+K748*I748</f>
        <v>348</v>
      </c>
      <c r="M748" s="37" t="s">
        <v>765</v>
      </c>
      <c r="N748" s="79" t="s">
        <v>1772</v>
      </c>
      <c r="O748" s="79">
        <v>17</v>
      </c>
      <c r="P748" s="23" t="s">
        <v>922</v>
      </c>
      <c r="Q748" s="23">
        <v>9</v>
      </c>
      <c r="S748" s="23"/>
      <c r="T748" s="7">
        <v>4048</v>
      </c>
      <c r="U748" s="7" t="s">
        <v>1606</v>
      </c>
      <c r="V748" s="7">
        <v>4046</v>
      </c>
      <c r="W748" s="7" t="s">
        <v>1605</v>
      </c>
      <c r="X748" s="18"/>
      <c r="Y748" s="17"/>
      <c r="Z748" s="17"/>
      <c r="AA748" s="17"/>
      <c r="AB748" s="7" t="s">
        <v>1042</v>
      </c>
      <c r="AC748" s="8"/>
      <c r="AD748" s="8"/>
      <c r="AE748" s="8"/>
      <c r="AF748" s="8" t="s">
        <v>726</v>
      </c>
      <c r="AG748" s="8" t="s">
        <v>726</v>
      </c>
      <c r="AH748" s="8" t="s">
        <v>726</v>
      </c>
      <c r="AI748" s="8" t="s">
        <v>726</v>
      </c>
      <c r="AJ748" s="8" t="s">
        <v>726</v>
      </c>
      <c r="AK748" s="8" t="s">
        <v>726</v>
      </c>
      <c r="AL748" s="8"/>
      <c r="AM748" s="8"/>
      <c r="AN748" s="8"/>
      <c r="AO748" s="8"/>
      <c r="AP748" s="8"/>
      <c r="AQ748" s="8"/>
      <c r="AR748" s="8"/>
      <c r="AS748" s="8"/>
      <c r="AT748" s="8"/>
      <c r="AU748" s="8"/>
      <c r="AV748" s="8"/>
      <c r="AX748" s="142">
        <v>4</v>
      </c>
    </row>
    <row r="749" spans="2:50" ht="25.5">
      <c r="B749" s="27">
        <v>737</v>
      </c>
      <c r="C749" s="31">
        <v>429</v>
      </c>
      <c r="D749" s="43">
        <v>16</v>
      </c>
      <c r="E749" s="32">
        <v>0.56597222222222221</v>
      </c>
      <c r="F749" s="32">
        <v>0.56944444444444442</v>
      </c>
      <c r="G749" s="31" t="s">
        <v>169</v>
      </c>
      <c r="H749" s="31" t="s">
        <v>103</v>
      </c>
      <c r="I749" s="33">
        <v>2</v>
      </c>
      <c r="J749" s="34" t="s">
        <v>167</v>
      </c>
      <c r="K749" s="35">
        <v>174</v>
      </c>
      <c r="L749" s="36">
        <f>+K749*I749</f>
        <v>348</v>
      </c>
      <c r="M749" s="37" t="s">
        <v>765</v>
      </c>
      <c r="N749" s="79" t="s">
        <v>1772</v>
      </c>
      <c r="O749" s="79">
        <v>17</v>
      </c>
      <c r="P749" s="23" t="s">
        <v>922</v>
      </c>
      <c r="Q749" s="23">
        <v>9</v>
      </c>
      <c r="S749" s="23"/>
      <c r="T749" s="7">
        <v>4046</v>
      </c>
      <c r="U749" s="7" t="s">
        <v>1605</v>
      </c>
      <c r="V749" s="7">
        <v>4048</v>
      </c>
      <c r="W749" s="7" t="s">
        <v>1606</v>
      </c>
      <c r="X749" s="18"/>
      <c r="Y749" s="17"/>
      <c r="Z749" s="17"/>
      <c r="AA749" s="17"/>
      <c r="AB749" s="7" t="s">
        <v>1042</v>
      </c>
      <c r="AC749" s="8"/>
      <c r="AD749" s="8"/>
      <c r="AE749" s="8"/>
      <c r="AF749" s="8" t="s">
        <v>726</v>
      </c>
      <c r="AG749" s="8" t="s">
        <v>726</v>
      </c>
      <c r="AH749" s="8" t="s">
        <v>726</v>
      </c>
      <c r="AI749" s="8" t="s">
        <v>726</v>
      </c>
      <c r="AJ749" s="8" t="s">
        <v>726</v>
      </c>
      <c r="AK749" s="8" t="s">
        <v>726</v>
      </c>
      <c r="AL749" s="8"/>
      <c r="AM749" s="8"/>
      <c r="AN749" s="8"/>
      <c r="AO749" s="8"/>
      <c r="AP749" s="8"/>
      <c r="AQ749" s="8"/>
      <c r="AR749" s="8"/>
      <c r="AS749" s="8"/>
      <c r="AT749" s="8"/>
      <c r="AU749" s="8"/>
      <c r="AV749" s="8"/>
      <c r="AX749" s="142">
        <v>4</v>
      </c>
    </row>
    <row r="750" spans="2:50" ht="25.5">
      <c r="B750" s="27">
        <v>738</v>
      </c>
      <c r="C750" s="31">
        <v>431</v>
      </c>
      <c r="D750" s="31">
        <v>1</v>
      </c>
      <c r="E750" s="32">
        <v>0.29166666666666669</v>
      </c>
      <c r="F750" s="32">
        <v>0.2986111111111111</v>
      </c>
      <c r="G750" s="31" t="s">
        <v>308</v>
      </c>
      <c r="H750" s="31" t="s">
        <v>97</v>
      </c>
      <c r="I750" s="33">
        <v>4.5</v>
      </c>
      <c r="J750" s="34" t="s">
        <v>269</v>
      </c>
      <c r="K750" s="35">
        <v>208</v>
      </c>
      <c r="L750" s="36">
        <f>+K750*I750</f>
        <v>936</v>
      </c>
      <c r="M750" s="37" t="s">
        <v>725</v>
      </c>
      <c r="N750" s="23" t="s">
        <v>870</v>
      </c>
      <c r="O750" s="23">
        <v>9</v>
      </c>
      <c r="P750" s="23" t="s">
        <v>1843</v>
      </c>
      <c r="Q750" s="23">
        <v>9</v>
      </c>
      <c r="R750" s="23" t="s">
        <v>869</v>
      </c>
      <c r="S750" s="23">
        <v>9</v>
      </c>
      <c r="T750" s="7">
        <v>4030</v>
      </c>
      <c r="U750" s="7" t="s">
        <v>1607</v>
      </c>
      <c r="V750" s="7">
        <v>4025</v>
      </c>
      <c r="W750" s="7" t="s">
        <v>1608</v>
      </c>
      <c r="X750" s="18"/>
      <c r="Y750" s="17"/>
      <c r="Z750" s="17"/>
      <c r="AA750" s="17"/>
      <c r="AB750" s="7" t="s">
        <v>1046</v>
      </c>
      <c r="AC750" s="8"/>
      <c r="AD750" s="8"/>
      <c r="AE750" s="8"/>
      <c r="AF750" s="8" t="s">
        <v>726</v>
      </c>
      <c r="AG750" s="8" t="s">
        <v>726</v>
      </c>
      <c r="AH750" s="8" t="s">
        <v>726</v>
      </c>
      <c r="AI750" s="8" t="s">
        <v>726</v>
      </c>
      <c r="AJ750" s="8" t="s">
        <v>726</v>
      </c>
      <c r="AK750" s="8" t="s">
        <v>726</v>
      </c>
      <c r="AL750" s="8" t="s">
        <v>726</v>
      </c>
      <c r="AM750" s="8"/>
      <c r="AN750" s="8"/>
      <c r="AO750" s="8"/>
      <c r="AP750" s="8"/>
      <c r="AQ750" s="8"/>
      <c r="AR750" s="8"/>
      <c r="AS750" s="8"/>
      <c r="AT750" s="8"/>
      <c r="AU750" s="8"/>
      <c r="AV750" s="8"/>
      <c r="AX750" s="142">
        <v>29.544794404408648</v>
      </c>
    </row>
    <row r="751" spans="2:50" ht="25.5">
      <c r="B751" s="27">
        <v>739</v>
      </c>
      <c r="C751" s="31">
        <v>431</v>
      </c>
      <c r="D751" s="31">
        <v>4</v>
      </c>
      <c r="E751" s="32">
        <v>0.74097222222222225</v>
      </c>
      <c r="F751" s="32">
        <v>0.74861111111111101</v>
      </c>
      <c r="G751" s="31" t="s">
        <v>307</v>
      </c>
      <c r="H751" s="31" t="s">
        <v>103</v>
      </c>
      <c r="I751" s="33">
        <v>4.5</v>
      </c>
      <c r="J751" s="34" t="s">
        <v>269</v>
      </c>
      <c r="K751" s="35">
        <v>174</v>
      </c>
      <c r="L751" s="36">
        <f>+K751*I751</f>
        <v>783</v>
      </c>
      <c r="M751" s="37" t="s">
        <v>725</v>
      </c>
      <c r="N751" s="23" t="s">
        <v>868</v>
      </c>
      <c r="O751" s="23">
        <v>30</v>
      </c>
      <c r="S751" s="23"/>
      <c r="T751" s="7">
        <v>4025</v>
      </c>
      <c r="U751" s="7" t="s">
        <v>1608</v>
      </c>
      <c r="V751" s="7">
        <v>4030</v>
      </c>
      <c r="W751" s="7" t="s">
        <v>1607</v>
      </c>
      <c r="X751" s="18"/>
      <c r="Y751" s="17"/>
      <c r="Z751" s="17"/>
      <c r="AA751" s="17"/>
      <c r="AB751" s="7" t="s">
        <v>1042</v>
      </c>
      <c r="AC751" s="8"/>
      <c r="AD751" s="8"/>
      <c r="AE751" s="8"/>
      <c r="AF751" s="8" t="s">
        <v>726</v>
      </c>
      <c r="AG751" s="8" t="s">
        <v>726</v>
      </c>
      <c r="AH751" s="8" t="s">
        <v>726</v>
      </c>
      <c r="AI751" s="8" t="s">
        <v>726</v>
      </c>
      <c r="AJ751" s="8" t="s">
        <v>726</v>
      </c>
      <c r="AK751" s="8" t="s">
        <v>726</v>
      </c>
      <c r="AL751" s="8"/>
      <c r="AM751" s="8"/>
      <c r="AN751" s="8"/>
      <c r="AO751" s="8"/>
      <c r="AP751" s="8"/>
      <c r="AQ751" s="8"/>
      <c r="AR751" s="8"/>
      <c r="AS751" s="8"/>
      <c r="AT751" s="8"/>
      <c r="AU751" s="8"/>
      <c r="AV751" s="8"/>
      <c r="AX751" s="142">
        <v>27.984794404408646</v>
      </c>
    </row>
    <row r="752" spans="2:50" ht="38.25">
      <c r="B752" s="27">
        <v>740</v>
      </c>
      <c r="C752" s="31">
        <v>433</v>
      </c>
      <c r="D752" s="31">
        <v>530</v>
      </c>
      <c r="E752" s="42">
        <v>0.375</v>
      </c>
      <c r="F752" s="42">
        <v>0.41111111111111115</v>
      </c>
      <c r="G752" s="43" t="s">
        <v>399</v>
      </c>
      <c r="H752" s="31" t="s">
        <v>400</v>
      </c>
      <c r="I752" s="33">
        <v>17</v>
      </c>
      <c r="J752" s="34">
        <v>20</v>
      </c>
      <c r="K752" s="35">
        <v>22</v>
      </c>
      <c r="L752" s="36">
        <f>+K752*I752</f>
        <v>374</v>
      </c>
      <c r="M752" s="37" t="s">
        <v>764</v>
      </c>
      <c r="N752" s="23" t="s">
        <v>823</v>
      </c>
      <c r="O752" s="23">
        <v>21</v>
      </c>
      <c r="P752" s="23" t="s">
        <v>1158</v>
      </c>
      <c r="Q752" s="23">
        <v>21</v>
      </c>
      <c r="R752" s="70"/>
      <c r="S752" s="23"/>
      <c r="T752" s="7">
        <v>4380</v>
      </c>
      <c r="U752" s="7" t="s">
        <v>1609</v>
      </c>
      <c r="V752" s="7" t="s">
        <v>1610</v>
      </c>
      <c r="W752" s="7" t="s">
        <v>1611</v>
      </c>
      <c r="X752" s="17"/>
      <c r="Y752" s="18"/>
      <c r="Z752" s="18"/>
      <c r="AA752" s="18"/>
      <c r="AB752" s="7" t="s">
        <v>1090</v>
      </c>
      <c r="AC752" s="8"/>
      <c r="AD752" s="8" t="s">
        <v>726</v>
      </c>
      <c r="AE752" s="8" t="s">
        <v>726</v>
      </c>
      <c r="AF752" s="8"/>
      <c r="AG752" s="8" t="s">
        <v>726</v>
      </c>
      <c r="AH752" s="8"/>
      <c r="AI752" s="8" t="s">
        <v>726</v>
      </c>
      <c r="AJ752" s="8"/>
      <c r="AK752" s="8"/>
      <c r="AL752" s="8"/>
      <c r="AM752" s="8"/>
      <c r="AN752" s="8"/>
      <c r="AO752" s="8"/>
      <c r="AP752" s="8"/>
      <c r="AQ752" s="8"/>
      <c r="AR752" s="8"/>
      <c r="AS752" s="8"/>
      <c r="AT752" s="8"/>
      <c r="AU752" s="8"/>
      <c r="AV752" s="8"/>
      <c r="AX752" s="142">
        <v>50.28</v>
      </c>
    </row>
    <row r="753" spans="2:50" ht="38.25">
      <c r="B753" s="27">
        <v>741</v>
      </c>
      <c r="C753" s="31">
        <v>433</v>
      </c>
      <c r="D753" s="31">
        <v>530</v>
      </c>
      <c r="E753" s="32">
        <v>0.375</v>
      </c>
      <c r="F753" s="32">
        <v>0.41111111111111115</v>
      </c>
      <c r="G753" s="31" t="s">
        <v>399</v>
      </c>
      <c r="H753" s="31" t="s">
        <v>398</v>
      </c>
      <c r="I753" s="33">
        <v>17</v>
      </c>
      <c r="J753" s="34">
        <v>20</v>
      </c>
      <c r="K753" s="35">
        <v>78</v>
      </c>
      <c r="L753" s="36">
        <f>+K753*I753</f>
        <v>1326</v>
      </c>
      <c r="M753" s="37" t="s">
        <v>764</v>
      </c>
      <c r="N753" s="23" t="s">
        <v>823</v>
      </c>
      <c r="O753" s="23">
        <v>21</v>
      </c>
      <c r="P753" s="23" t="s">
        <v>1158</v>
      </c>
      <c r="Q753" s="23">
        <v>21</v>
      </c>
      <c r="R753" s="70"/>
      <c r="S753" s="23"/>
      <c r="T753" s="7">
        <v>4380</v>
      </c>
      <c r="U753" s="7" t="s">
        <v>1609</v>
      </c>
      <c r="V753" s="7" t="s">
        <v>1610</v>
      </c>
      <c r="W753" s="7" t="s">
        <v>1611</v>
      </c>
      <c r="X753" s="18"/>
      <c r="Y753" s="17"/>
      <c r="Z753" s="18"/>
      <c r="AA753" s="18"/>
      <c r="AB753" s="7" t="s">
        <v>1091</v>
      </c>
      <c r="AC753" s="8" t="s">
        <v>726</v>
      </c>
      <c r="AD753" s="8"/>
      <c r="AE753" s="8" t="s">
        <v>726</v>
      </c>
      <c r="AF753" s="8"/>
      <c r="AG753" s="8" t="s">
        <v>726</v>
      </c>
      <c r="AH753" s="8"/>
      <c r="AI753" s="8" t="s">
        <v>726</v>
      </c>
      <c r="AJ753" s="8"/>
      <c r="AK753" s="8"/>
      <c r="AL753" s="8"/>
      <c r="AM753" s="8"/>
      <c r="AN753" s="8"/>
      <c r="AO753" s="8"/>
      <c r="AP753" s="8"/>
      <c r="AQ753" s="8"/>
      <c r="AR753" s="8"/>
      <c r="AS753" s="8"/>
      <c r="AT753" s="8"/>
      <c r="AU753" s="8"/>
      <c r="AV753" s="8"/>
      <c r="AX753" s="142">
        <v>46.43</v>
      </c>
    </row>
    <row r="754" spans="2:50" ht="25.5">
      <c r="B754" s="27">
        <v>742</v>
      </c>
      <c r="C754" s="31">
        <v>433</v>
      </c>
      <c r="D754" s="31">
        <v>532</v>
      </c>
      <c r="E754" s="32">
        <v>0.46875</v>
      </c>
      <c r="F754" s="42">
        <v>0.50486111111111109</v>
      </c>
      <c r="G754" s="31" t="s">
        <v>397</v>
      </c>
      <c r="H754" s="31" t="s">
        <v>396</v>
      </c>
      <c r="I754" s="33">
        <v>17</v>
      </c>
      <c r="J754" s="34">
        <v>20</v>
      </c>
      <c r="K754" s="35">
        <f>48+52</f>
        <v>100</v>
      </c>
      <c r="L754" s="36">
        <f>+K754*I754</f>
        <v>1700</v>
      </c>
      <c r="M754" s="37" t="s">
        <v>764</v>
      </c>
      <c r="N754" s="23" t="s">
        <v>823</v>
      </c>
      <c r="O754" s="23">
        <v>21</v>
      </c>
      <c r="P754" s="23" t="s">
        <v>1158</v>
      </c>
      <c r="Q754" s="23">
        <v>21</v>
      </c>
      <c r="R754" s="70"/>
      <c r="S754" s="23"/>
      <c r="T754" s="7" t="s">
        <v>1610</v>
      </c>
      <c r="U754" s="7" t="s">
        <v>1611</v>
      </c>
      <c r="V754" s="7">
        <v>4380</v>
      </c>
      <c r="W754" s="7" t="s">
        <v>1609</v>
      </c>
      <c r="X754" s="17"/>
      <c r="Y754" s="17"/>
      <c r="Z754" s="17"/>
      <c r="AA754" s="17"/>
      <c r="AB754" s="7" t="s">
        <v>1735</v>
      </c>
      <c r="AC754" s="8" t="s">
        <v>726</v>
      </c>
      <c r="AD754" s="8" t="s">
        <v>726</v>
      </c>
      <c r="AE754" s="8" t="s">
        <v>726</v>
      </c>
      <c r="AF754" s="8"/>
      <c r="AG754" s="8" t="s">
        <v>726</v>
      </c>
      <c r="AH754" s="8"/>
      <c r="AI754" s="8" t="s">
        <v>726</v>
      </c>
      <c r="AJ754" s="8"/>
      <c r="AK754" s="8"/>
      <c r="AL754" s="8"/>
      <c r="AM754" s="8"/>
      <c r="AN754" s="8"/>
      <c r="AO754" s="8"/>
      <c r="AP754" s="8"/>
      <c r="AQ754" s="8"/>
      <c r="AR754" s="8"/>
      <c r="AS754" s="8"/>
      <c r="AT754" s="8"/>
      <c r="AU754" s="8"/>
      <c r="AV754" s="8"/>
      <c r="AX754" s="142">
        <v>47.23</v>
      </c>
    </row>
    <row r="755" spans="2:50" ht="38.25">
      <c r="B755" s="27">
        <v>743</v>
      </c>
      <c r="C755" s="31">
        <v>504</v>
      </c>
      <c r="D755" s="31">
        <v>8</v>
      </c>
      <c r="E755" s="42">
        <v>0.72152777777777777</v>
      </c>
      <c r="F755" s="42">
        <v>0.73055555555555562</v>
      </c>
      <c r="G755" s="43" t="s">
        <v>996</v>
      </c>
      <c r="H755" s="31" t="s">
        <v>103</v>
      </c>
      <c r="I755" s="33">
        <v>5</v>
      </c>
      <c r="J755" s="34">
        <v>16</v>
      </c>
      <c r="K755" s="35">
        <v>174</v>
      </c>
      <c r="L755" s="36">
        <f>+K755*I755</f>
        <v>870</v>
      </c>
      <c r="M755" s="37" t="s">
        <v>732</v>
      </c>
      <c r="N755" s="23" t="s">
        <v>874</v>
      </c>
      <c r="O755" s="23">
        <v>21</v>
      </c>
      <c r="P755" s="23" t="s">
        <v>873</v>
      </c>
      <c r="Q755" s="23">
        <v>8</v>
      </c>
      <c r="S755" s="23"/>
      <c r="T755" s="7">
        <v>5117</v>
      </c>
      <c r="U755" s="7" t="s">
        <v>1612</v>
      </c>
      <c r="V755" s="7">
        <v>5119</v>
      </c>
      <c r="W755" s="7" t="s">
        <v>1613</v>
      </c>
      <c r="X755" s="18"/>
      <c r="Y755" s="17"/>
      <c r="Z755" s="17"/>
      <c r="AA755" s="17"/>
      <c r="AB755" s="7" t="s">
        <v>1042</v>
      </c>
      <c r="AC755" s="8"/>
      <c r="AD755" s="8"/>
      <c r="AE755" s="8"/>
      <c r="AF755" s="8" t="s">
        <v>726</v>
      </c>
      <c r="AG755" s="8" t="s">
        <v>726</v>
      </c>
      <c r="AH755" s="8" t="s">
        <v>726</v>
      </c>
      <c r="AI755" s="8" t="s">
        <v>726</v>
      </c>
      <c r="AJ755" s="8" t="s">
        <v>726</v>
      </c>
      <c r="AK755" s="8" t="s">
        <v>726</v>
      </c>
      <c r="AL755" s="8"/>
      <c r="AM755" s="8"/>
      <c r="AN755" s="8"/>
      <c r="AO755" s="8"/>
      <c r="AP755" s="8"/>
      <c r="AQ755" s="8"/>
      <c r="AR755" s="8"/>
      <c r="AS755" s="8"/>
      <c r="AT755" s="8"/>
      <c r="AU755" s="8"/>
      <c r="AV755" s="8"/>
      <c r="AX755" s="142">
        <v>48.42</v>
      </c>
    </row>
    <row r="756" spans="2:50" ht="38.25">
      <c r="B756" s="27">
        <v>744</v>
      </c>
      <c r="C756" s="31">
        <v>512</v>
      </c>
      <c r="D756" s="31">
        <v>476</v>
      </c>
      <c r="E756" s="32">
        <v>0.24444444444444446</v>
      </c>
      <c r="F756" s="32">
        <v>0.2673611111111111</v>
      </c>
      <c r="G756" s="31" t="s">
        <v>464</v>
      </c>
      <c r="H756" s="31" t="s">
        <v>465</v>
      </c>
      <c r="I756" s="33">
        <v>25</v>
      </c>
      <c r="J756" s="34" t="s">
        <v>191</v>
      </c>
      <c r="K756" s="35">
        <v>36</v>
      </c>
      <c r="L756" s="36">
        <f>+K756*I756</f>
        <v>900</v>
      </c>
      <c r="M756" s="37" t="s">
        <v>716</v>
      </c>
      <c r="N756" s="23" t="s">
        <v>853</v>
      </c>
      <c r="O756" s="23">
        <v>57</v>
      </c>
      <c r="P756" s="23" t="s">
        <v>1186</v>
      </c>
      <c r="Q756" s="23">
        <v>50</v>
      </c>
      <c r="S756" s="23"/>
      <c r="T756" s="7" t="s">
        <v>1226</v>
      </c>
      <c r="U756" s="7" t="s">
        <v>1227</v>
      </c>
      <c r="V756" s="7" t="s">
        <v>1614</v>
      </c>
      <c r="W756" s="7" t="s">
        <v>1615</v>
      </c>
      <c r="X756" s="18"/>
      <c r="Y756" s="17"/>
      <c r="Z756" s="17"/>
      <c r="AA756" s="17"/>
      <c r="AB756" s="8" t="s">
        <v>1062</v>
      </c>
      <c r="AC756" s="8"/>
      <c r="AD756" s="8"/>
      <c r="AE756" s="8"/>
      <c r="AF756" s="8" t="s">
        <v>726</v>
      </c>
      <c r="AG756" s="8" t="s">
        <v>726</v>
      </c>
      <c r="AH756" s="8"/>
      <c r="AI756" s="8"/>
      <c r="AJ756" s="8"/>
      <c r="AK756" s="8"/>
      <c r="AL756" s="8"/>
      <c r="AM756" s="8"/>
      <c r="AN756" s="8" t="s">
        <v>726</v>
      </c>
      <c r="AO756" s="8"/>
      <c r="AP756" s="8"/>
      <c r="AQ756" s="8"/>
      <c r="AR756" s="8"/>
      <c r="AS756" s="8"/>
      <c r="AT756" s="8"/>
      <c r="AU756" s="8"/>
      <c r="AV756" s="8"/>
      <c r="AX756" s="142">
        <v>75</v>
      </c>
    </row>
    <row r="757" spans="2:50" ht="38.25">
      <c r="B757" s="27">
        <v>745</v>
      </c>
      <c r="C757" s="31">
        <v>512</v>
      </c>
      <c r="D757" s="31">
        <v>476</v>
      </c>
      <c r="E757" s="42">
        <v>0.2673611111111111</v>
      </c>
      <c r="F757" s="42">
        <v>0.33333333333333331</v>
      </c>
      <c r="G757" s="31" t="s">
        <v>320</v>
      </c>
      <c r="H757" s="31" t="s">
        <v>97</v>
      </c>
      <c r="I757" s="33">
        <f>63+2.8</f>
        <v>65.8</v>
      </c>
      <c r="J757" s="34" t="s">
        <v>191</v>
      </c>
      <c r="K757" s="35">
        <v>208</v>
      </c>
      <c r="L757" s="36">
        <f>+K757*I757</f>
        <v>13686.4</v>
      </c>
      <c r="M757" s="37" t="s">
        <v>716</v>
      </c>
      <c r="N757" s="23" t="s">
        <v>853</v>
      </c>
      <c r="O757" s="23">
        <v>57</v>
      </c>
      <c r="P757" s="23" t="s">
        <v>1186</v>
      </c>
      <c r="Q757" s="23">
        <v>50</v>
      </c>
      <c r="S757" s="23"/>
      <c r="T757" s="7" t="s">
        <v>1614</v>
      </c>
      <c r="U757" s="7" t="s">
        <v>1616</v>
      </c>
      <c r="V757" s="7">
        <v>5015</v>
      </c>
      <c r="W757" s="7" t="s">
        <v>1617</v>
      </c>
      <c r="X757" s="18"/>
      <c r="Y757" s="17"/>
      <c r="Z757" s="17"/>
      <c r="AA757" s="17"/>
      <c r="AB757" s="7" t="s">
        <v>1046</v>
      </c>
      <c r="AC757" s="8"/>
      <c r="AD757" s="8"/>
      <c r="AE757" s="8"/>
      <c r="AF757" s="8" t="s">
        <v>726</v>
      </c>
      <c r="AG757" s="8" t="s">
        <v>726</v>
      </c>
      <c r="AH757" s="8" t="s">
        <v>726</v>
      </c>
      <c r="AI757" s="8" t="s">
        <v>726</v>
      </c>
      <c r="AJ757" s="8" t="s">
        <v>726</v>
      </c>
      <c r="AK757" s="8" t="s">
        <v>726</v>
      </c>
      <c r="AL757" s="8" t="s">
        <v>726</v>
      </c>
      <c r="AM757" s="8"/>
      <c r="AN757" s="8"/>
      <c r="AO757" s="8"/>
      <c r="AP757" s="8"/>
      <c r="AQ757" s="8"/>
      <c r="AR757" s="8"/>
      <c r="AS757" s="8"/>
      <c r="AT757" s="8"/>
      <c r="AU757" s="8"/>
      <c r="AV757" s="8"/>
      <c r="AX757" s="142">
        <v>263.24</v>
      </c>
    </row>
    <row r="758" spans="2:50" ht="25.5">
      <c r="B758" s="27">
        <v>746</v>
      </c>
      <c r="C758" s="31">
        <v>601</v>
      </c>
      <c r="D758" s="31">
        <v>695</v>
      </c>
      <c r="E758" s="32">
        <v>0.2722222222222222</v>
      </c>
      <c r="F758" s="32">
        <v>0.29375000000000001</v>
      </c>
      <c r="G758" s="31" t="s">
        <v>492</v>
      </c>
      <c r="H758" s="43" t="s">
        <v>103</v>
      </c>
      <c r="I758" s="33">
        <v>21.5</v>
      </c>
      <c r="J758" s="34" t="s">
        <v>188</v>
      </c>
      <c r="K758" s="46">
        <f>208-K759</f>
        <v>174</v>
      </c>
      <c r="L758" s="36">
        <f>+K758*I758</f>
        <v>3741</v>
      </c>
      <c r="M758" s="37" t="s">
        <v>1137</v>
      </c>
      <c r="N758" s="23" t="s">
        <v>849</v>
      </c>
      <c r="O758" s="23">
        <v>56</v>
      </c>
      <c r="P758" s="23" t="s">
        <v>1188</v>
      </c>
      <c r="Q758" s="23">
        <v>60</v>
      </c>
      <c r="R758" s="23" t="s">
        <v>1841</v>
      </c>
      <c r="S758" s="23">
        <v>54</v>
      </c>
      <c r="T758" s="7">
        <v>6200</v>
      </c>
      <c r="U758" s="7" t="s">
        <v>1618</v>
      </c>
      <c r="V758" s="7" t="s">
        <v>1332</v>
      </c>
      <c r="W758" s="7" t="s">
        <v>1333</v>
      </c>
      <c r="X758" s="18"/>
      <c r="Y758" s="17"/>
      <c r="Z758" s="17"/>
      <c r="AA758" s="17"/>
      <c r="AB758" s="7" t="s">
        <v>1042</v>
      </c>
      <c r="AC758" s="8"/>
      <c r="AD758" s="8"/>
      <c r="AE758" s="8"/>
      <c r="AF758" s="8" t="s">
        <v>726</v>
      </c>
      <c r="AG758" s="8" t="s">
        <v>726</v>
      </c>
      <c r="AH758" s="8" t="s">
        <v>726</v>
      </c>
      <c r="AI758" s="8" t="s">
        <v>726</v>
      </c>
      <c r="AJ758" s="8" t="s">
        <v>726</v>
      </c>
      <c r="AK758" s="8" t="s">
        <v>726</v>
      </c>
      <c r="AL758" s="8"/>
      <c r="AM758" s="8"/>
      <c r="AN758" s="8"/>
      <c r="AO758" s="8"/>
      <c r="AP758" s="8"/>
      <c r="AQ758" s="8"/>
      <c r="AR758" s="8"/>
      <c r="AS758" s="8"/>
      <c r="AT758" s="8"/>
      <c r="AU758" s="8"/>
      <c r="AV758" s="8"/>
      <c r="AX758" s="142">
        <v>64.5</v>
      </c>
    </row>
    <row r="759" spans="2:50" ht="25.5">
      <c r="B759" s="48" t="s">
        <v>1132</v>
      </c>
      <c r="C759" s="31">
        <v>601</v>
      </c>
      <c r="D759" s="31">
        <v>695</v>
      </c>
      <c r="E759" s="32">
        <v>0.2722222222222222</v>
      </c>
      <c r="F759" s="32">
        <v>0.29375000000000001</v>
      </c>
      <c r="G759" s="31" t="s">
        <v>492</v>
      </c>
      <c r="H759" s="43" t="s">
        <v>1133</v>
      </c>
      <c r="I759" s="33">
        <v>21.5</v>
      </c>
      <c r="J759" s="34" t="s">
        <v>188</v>
      </c>
      <c r="K759" s="46">
        <v>34</v>
      </c>
      <c r="L759" s="36">
        <f>+K759*I759</f>
        <v>731</v>
      </c>
      <c r="M759" s="37" t="s">
        <v>728</v>
      </c>
      <c r="N759" s="23" t="s">
        <v>966</v>
      </c>
      <c r="O759" s="23">
        <v>31</v>
      </c>
      <c r="P759" s="23" t="s">
        <v>1834</v>
      </c>
      <c r="Q759" s="23">
        <v>31</v>
      </c>
      <c r="R759" s="23"/>
      <c r="S759" s="23"/>
      <c r="T759" s="7">
        <v>6200</v>
      </c>
      <c r="U759" s="7" t="s">
        <v>1618</v>
      </c>
      <c r="V759" s="7" t="s">
        <v>1332</v>
      </c>
      <c r="W759" s="7" t="s">
        <v>1333</v>
      </c>
      <c r="X759" s="18"/>
      <c r="Y759" s="17"/>
      <c r="Z759" s="17"/>
      <c r="AA759" s="17"/>
      <c r="AB759" s="7" t="s">
        <v>1051</v>
      </c>
      <c r="AC759" s="8"/>
      <c r="AD759" s="8"/>
      <c r="AE759" s="8"/>
      <c r="AF759" s="8" t="s">
        <v>726</v>
      </c>
      <c r="AG759" s="8"/>
      <c r="AH759" s="8"/>
      <c r="AI759" s="8"/>
      <c r="AJ759" s="8"/>
      <c r="AK759" s="8"/>
      <c r="AL759" s="8" t="s">
        <v>726</v>
      </c>
      <c r="AM759" s="8"/>
      <c r="AN759" s="8"/>
      <c r="AO759" s="8"/>
      <c r="AP759" s="8"/>
      <c r="AQ759" s="8"/>
      <c r="AR759" s="8"/>
      <c r="AS759" s="8"/>
      <c r="AT759" s="8"/>
      <c r="AU759" s="8"/>
      <c r="AV759" s="8"/>
      <c r="AX759" s="142">
        <v>64.5</v>
      </c>
    </row>
    <row r="760" spans="2:50" ht="25.5">
      <c r="B760" s="27">
        <v>747</v>
      </c>
      <c r="C760" s="31">
        <v>601</v>
      </c>
      <c r="D760" s="31">
        <v>616</v>
      </c>
      <c r="E760" s="32">
        <v>0.86458333333333337</v>
      </c>
      <c r="F760" s="32">
        <v>0.88680555555555562</v>
      </c>
      <c r="G760" s="31" t="s">
        <v>425</v>
      </c>
      <c r="H760" s="31" t="s">
        <v>423</v>
      </c>
      <c r="I760" s="33">
        <v>22</v>
      </c>
      <c r="J760" s="34" t="s">
        <v>93</v>
      </c>
      <c r="K760" s="35">
        <v>67</v>
      </c>
      <c r="L760" s="36">
        <f>+K760*I760</f>
        <v>1474</v>
      </c>
      <c r="M760" s="37" t="s">
        <v>728</v>
      </c>
      <c r="N760" s="23" t="s">
        <v>898</v>
      </c>
      <c r="O760" s="23">
        <v>24</v>
      </c>
      <c r="P760" s="23" t="s">
        <v>897</v>
      </c>
      <c r="Q760" s="23">
        <v>21</v>
      </c>
      <c r="R760" s="23" t="s">
        <v>899</v>
      </c>
      <c r="S760" s="23">
        <v>21</v>
      </c>
      <c r="T760" s="7" t="s">
        <v>1226</v>
      </c>
      <c r="U760" s="7" t="s">
        <v>1227</v>
      </c>
      <c r="V760" s="7">
        <v>6120</v>
      </c>
      <c r="W760" s="7" t="s">
        <v>1238</v>
      </c>
      <c r="X760" s="17"/>
      <c r="Y760" s="18"/>
      <c r="Z760" s="18"/>
      <c r="AA760" s="18"/>
      <c r="AB760" s="8" t="s">
        <v>1047</v>
      </c>
      <c r="AC760" s="8"/>
      <c r="AD760" s="8" t="s">
        <v>726</v>
      </c>
      <c r="AE760" s="8" t="s">
        <v>726</v>
      </c>
      <c r="AF760" s="8"/>
      <c r="AG760" s="8" t="s">
        <v>726</v>
      </c>
      <c r="AH760" s="8" t="s">
        <v>726</v>
      </c>
      <c r="AI760" s="8" t="s">
        <v>726</v>
      </c>
      <c r="AJ760" s="8" t="s">
        <v>726</v>
      </c>
      <c r="AK760" s="8" t="s">
        <v>726</v>
      </c>
      <c r="AL760" s="8" t="s">
        <v>726</v>
      </c>
      <c r="AM760" s="8"/>
      <c r="AN760" s="8"/>
      <c r="AO760" s="8"/>
      <c r="AP760" s="8"/>
      <c r="AQ760" s="8"/>
      <c r="AR760" s="8"/>
      <c r="AS760" s="8"/>
      <c r="AT760" s="8"/>
      <c r="AU760" s="8"/>
      <c r="AV760" s="8"/>
      <c r="AX760" s="142">
        <v>55</v>
      </c>
    </row>
    <row r="761" spans="2:50" ht="33.75">
      <c r="B761" s="27">
        <v>748</v>
      </c>
      <c r="C761" s="31">
        <v>611</v>
      </c>
      <c r="D761" s="31">
        <v>387</v>
      </c>
      <c r="E761" s="32">
        <v>0.26041666666666669</v>
      </c>
      <c r="F761" s="32">
        <v>0.28472222222222221</v>
      </c>
      <c r="G761" s="31" t="s">
        <v>694</v>
      </c>
      <c r="H761" s="31" t="s">
        <v>97</v>
      </c>
      <c r="I761" s="33">
        <v>19.100000000000001</v>
      </c>
      <c r="J761" s="34" t="s">
        <v>101</v>
      </c>
      <c r="K761" s="35">
        <v>208</v>
      </c>
      <c r="L761" s="36">
        <f>+K761*I761</f>
        <v>3972.8</v>
      </c>
      <c r="M761" s="37" t="s">
        <v>741</v>
      </c>
      <c r="N761" s="23" t="s">
        <v>1109</v>
      </c>
      <c r="O761" s="23">
        <v>55</v>
      </c>
      <c r="P761" s="23" t="s">
        <v>1189</v>
      </c>
      <c r="Q761" s="23">
        <v>55</v>
      </c>
      <c r="R761" s="23" t="s">
        <v>1190</v>
      </c>
      <c r="S761" s="24">
        <v>46</v>
      </c>
      <c r="T761" s="7">
        <v>6133</v>
      </c>
      <c r="U761" s="7" t="s">
        <v>1619</v>
      </c>
      <c r="V761" s="7" t="s">
        <v>1422</v>
      </c>
      <c r="W761" s="7" t="s">
        <v>1423</v>
      </c>
      <c r="X761" s="18"/>
      <c r="Y761" s="17"/>
      <c r="Z761" s="17"/>
      <c r="AA761" s="17"/>
      <c r="AB761" s="7" t="s">
        <v>1046</v>
      </c>
      <c r="AC761" s="8"/>
      <c r="AD761" s="8"/>
      <c r="AE761" s="8"/>
      <c r="AF761" s="8" t="s">
        <v>726</v>
      </c>
      <c r="AG761" s="8" t="s">
        <v>726</v>
      </c>
      <c r="AH761" s="8" t="s">
        <v>726</v>
      </c>
      <c r="AI761" s="8" t="s">
        <v>726</v>
      </c>
      <c r="AJ761" s="8" t="s">
        <v>726</v>
      </c>
      <c r="AK761" s="8" t="s">
        <v>726</v>
      </c>
      <c r="AL761" s="8" t="s">
        <v>726</v>
      </c>
      <c r="AM761" s="8"/>
      <c r="AN761" s="8"/>
      <c r="AO761" s="8"/>
      <c r="AP761" s="8"/>
      <c r="AQ761" s="8"/>
      <c r="AR761" s="8"/>
      <c r="AS761" s="8"/>
      <c r="AT761" s="8"/>
      <c r="AU761" s="8"/>
      <c r="AV761" s="8"/>
      <c r="AX761" s="142">
        <v>57.300000000000004</v>
      </c>
    </row>
    <row r="762" spans="2:50" ht="25.5">
      <c r="B762" s="27">
        <v>749</v>
      </c>
      <c r="C762" s="31">
        <v>611</v>
      </c>
      <c r="D762" s="34">
        <v>71</v>
      </c>
      <c r="E762" s="32">
        <v>0.26041666666666669</v>
      </c>
      <c r="F762" s="32">
        <v>0.29791666666666666</v>
      </c>
      <c r="G762" s="31" t="s">
        <v>17</v>
      </c>
      <c r="H762" s="31" t="s">
        <v>423</v>
      </c>
      <c r="I762" s="33">
        <v>27</v>
      </c>
      <c r="J762" s="34" t="s">
        <v>93</v>
      </c>
      <c r="K762" s="35">
        <v>67</v>
      </c>
      <c r="L762" s="36">
        <f>+K762*I762</f>
        <v>1809</v>
      </c>
      <c r="M762" s="37" t="s">
        <v>728</v>
      </c>
      <c r="N762" s="23" t="s">
        <v>898</v>
      </c>
      <c r="O762" s="23">
        <v>24</v>
      </c>
      <c r="P762" s="23" t="s">
        <v>897</v>
      </c>
      <c r="Q762" s="23">
        <v>21</v>
      </c>
      <c r="R762" s="23" t="s">
        <v>899</v>
      </c>
      <c r="S762" s="23">
        <v>21</v>
      </c>
      <c r="T762" s="7" t="s">
        <v>1422</v>
      </c>
      <c r="U762" s="7" t="s">
        <v>1423</v>
      </c>
      <c r="V762" s="7" t="s">
        <v>1332</v>
      </c>
      <c r="W762" s="7" t="s">
        <v>1333</v>
      </c>
      <c r="X762" s="17"/>
      <c r="Y762" s="18"/>
      <c r="Z762" s="18"/>
      <c r="AA762" s="18"/>
      <c r="AB762" s="8" t="s">
        <v>1047</v>
      </c>
      <c r="AC762" s="8"/>
      <c r="AD762" s="8" t="s">
        <v>726</v>
      </c>
      <c r="AE762" s="8" t="s">
        <v>726</v>
      </c>
      <c r="AF762" s="8"/>
      <c r="AG762" s="8" t="s">
        <v>726</v>
      </c>
      <c r="AH762" s="8" t="s">
        <v>726</v>
      </c>
      <c r="AI762" s="8" t="s">
        <v>726</v>
      </c>
      <c r="AJ762" s="8" t="s">
        <v>726</v>
      </c>
      <c r="AK762" s="8" t="s">
        <v>726</v>
      </c>
      <c r="AL762" s="8" t="s">
        <v>726</v>
      </c>
      <c r="AM762" s="8"/>
      <c r="AN762" s="8"/>
      <c r="AO762" s="8"/>
      <c r="AP762" s="8"/>
      <c r="AQ762" s="8"/>
      <c r="AR762" s="8"/>
      <c r="AS762" s="8"/>
      <c r="AT762" s="8"/>
      <c r="AU762" s="8"/>
      <c r="AV762" s="8"/>
      <c r="AX762" s="142">
        <v>67.5</v>
      </c>
    </row>
    <row r="763" spans="2:50" ht="25.5">
      <c r="B763" s="27">
        <v>750</v>
      </c>
      <c r="C763" s="31">
        <v>611</v>
      </c>
      <c r="D763" s="31">
        <v>49</v>
      </c>
      <c r="E763" s="32">
        <v>0.27291666666666664</v>
      </c>
      <c r="F763" s="32">
        <v>0.29375000000000001</v>
      </c>
      <c r="G763" s="31" t="s">
        <v>252</v>
      </c>
      <c r="H763" s="31" t="s">
        <v>251</v>
      </c>
      <c r="I763" s="33">
        <v>14</v>
      </c>
      <c r="J763" s="34" t="s">
        <v>93</v>
      </c>
      <c r="K763" s="35">
        <v>55</v>
      </c>
      <c r="L763" s="36">
        <f>+K763*I763</f>
        <v>770</v>
      </c>
      <c r="M763" s="37" t="s">
        <v>729</v>
      </c>
      <c r="N763" s="2" t="s">
        <v>896</v>
      </c>
      <c r="O763" s="23">
        <v>21</v>
      </c>
      <c r="P763" s="23" t="s">
        <v>895</v>
      </c>
      <c r="Q763" s="23">
        <v>24</v>
      </c>
      <c r="R763" s="79" t="s">
        <v>1906</v>
      </c>
      <c r="S763" s="79">
        <v>42</v>
      </c>
      <c r="T763" s="7">
        <v>6136</v>
      </c>
      <c r="U763" s="7" t="s">
        <v>1620</v>
      </c>
      <c r="V763" s="7">
        <v>6120</v>
      </c>
      <c r="W763" s="7" t="s">
        <v>1238</v>
      </c>
      <c r="X763" s="17"/>
      <c r="Y763" s="18"/>
      <c r="Z763" s="18"/>
      <c r="AA763" s="18"/>
      <c r="AB763" s="7" t="s">
        <v>1049</v>
      </c>
      <c r="AC763" s="8"/>
      <c r="AD763" s="8" t="s">
        <v>726</v>
      </c>
      <c r="AE763" s="8" t="s">
        <v>726</v>
      </c>
      <c r="AF763" s="8"/>
      <c r="AG763" s="8" t="s">
        <v>726</v>
      </c>
      <c r="AH763" s="8" t="s">
        <v>726</v>
      </c>
      <c r="AI763" s="8" t="s">
        <v>726</v>
      </c>
      <c r="AJ763" s="8" t="s">
        <v>726</v>
      </c>
      <c r="AK763" s="8" t="s">
        <v>726</v>
      </c>
      <c r="AL763" s="8"/>
      <c r="AM763" s="8"/>
      <c r="AN763" s="8"/>
      <c r="AO763" s="8"/>
      <c r="AP763" s="8"/>
      <c r="AQ763" s="8"/>
      <c r="AR763" s="8"/>
      <c r="AS763" s="8"/>
      <c r="AT763" s="8"/>
      <c r="AU763" s="8"/>
      <c r="AV763" s="8"/>
      <c r="AX763" s="142">
        <v>28</v>
      </c>
    </row>
    <row r="764" spans="2:50" ht="12.75">
      <c r="B764" s="27">
        <v>751</v>
      </c>
      <c r="C764" s="30">
        <v>611</v>
      </c>
      <c r="D764" s="38">
        <v>71</v>
      </c>
      <c r="E764" s="39">
        <v>0.28055555555555556</v>
      </c>
      <c r="F764" s="39">
        <v>0.30833333333333335</v>
      </c>
      <c r="G764" s="40" t="s">
        <v>402</v>
      </c>
      <c r="H764" s="40" t="s">
        <v>403</v>
      </c>
      <c r="I764" s="38">
        <v>26.5</v>
      </c>
      <c r="J764" s="41">
        <v>50</v>
      </c>
      <c r="K764" s="35">
        <v>33</v>
      </c>
      <c r="L764" s="36">
        <f>+K764*I764</f>
        <v>874.5</v>
      </c>
      <c r="M764" s="37" t="s">
        <v>713</v>
      </c>
      <c r="N764" s="23" t="s">
        <v>884</v>
      </c>
      <c r="O764" s="23">
        <v>53</v>
      </c>
      <c r="P764" s="23" t="s">
        <v>1156</v>
      </c>
      <c r="Q764" s="23">
        <v>54</v>
      </c>
      <c r="S764" s="25"/>
      <c r="T764" s="7">
        <v>6131</v>
      </c>
      <c r="U764" s="7" t="s">
        <v>1621</v>
      </c>
      <c r="V764" s="7">
        <v>1</v>
      </c>
      <c r="W764" s="7" t="s">
        <v>1236</v>
      </c>
      <c r="X764" s="18"/>
      <c r="Y764" s="17"/>
      <c r="Z764" s="17"/>
      <c r="AA764" s="17"/>
      <c r="AB764" s="8" t="s">
        <v>1059</v>
      </c>
      <c r="AC764" s="8"/>
      <c r="AD764" s="8"/>
      <c r="AE764" s="8"/>
      <c r="AF764" s="8" t="s">
        <v>726</v>
      </c>
      <c r="AG764" s="8" t="s">
        <v>726</v>
      </c>
      <c r="AH764" s="8"/>
      <c r="AI764" s="8"/>
      <c r="AJ764" s="8"/>
      <c r="AK764" s="8"/>
      <c r="AL764" s="8"/>
      <c r="AM764" s="8"/>
      <c r="AN764" s="8"/>
      <c r="AO764" s="8"/>
      <c r="AP764" s="8"/>
      <c r="AQ764" s="8"/>
      <c r="AR764" s="8"/>
      <c r="AS764" s="8"/>
      <c r="AT764" s="8"/>
      <c r="AU764" s="8"/>
      <c r="AV764" s="8"/>
      <c r="AX764" s="142">
        <v>60.711006350155678</v>
      </c>
    </row>
    <row r="765" spans="2:50" ht="33.75">
      <c r="B765" s="27">
        <v>752</v>
      </c>
      <c r="C765" s="31">
        <v>611</v>
      </c>
      <c r="D765" s="31">
        <v>229</v>
      </c>
      <c r="E765" s="32">
        <v>0.30555555555555552</v>
      </c>
      <c r="F765" s="32">
        <v>0.30833333333333335</v>
      </c>
      <c r="G765" s="31" t="s">
        <v>506</v>
      </c>
      <c r="H765" s="31" t="s">
        <v>424</v>
      </c>
      <c r="I765" s="33">
        <v>4</v>
      </c>
      <c r="J765" s="34" t="s">
        <v>93</v>
      </c>
      <c r="K765" s="35">
        <v>55</v>
      </c>
      <c r="L765" s="36">
        <f>+K765*I765</f>
        <v>220</v>
      </c>
      <c r="M765" s="37" t="s">
        <v>728</v>
      </c>
      <c r="N765" s="23" t="s">
        <v>898</v>
      </c>
      <c r="O765" s="23">
        <v>24</v>
      </c>
      <c r="P765" s="23" t="s">
        <v>897</v>
      </c>
      <c r="Q765" s="23">
        <v>21</v>
      </c>
      <c r="R765" s="23" t="s">
        <v>899</v>
      </c>
      <c r="S765" s="23">
        <v>21</v>
      </c>
      <c r="T765" s="7" t="s">
        <v>1332</v>
      </c>
      <c r="U765" s="7" t="s">
        <v>1333</v>
      </c>
      <c r="V765" s="7">
        <v>954</v>
      </c>
      <c r="W765" s="7" t="s">
        <v>1297</v>
      </c>
      <c r="X765" s="17"/>
      <c r="Y765" s="18"/>
      <c r="Z765" s="18"/>
      <c r="AA765" s="18"/>
      <c r="AB765" s="7" t="s">
        <v>1049</v>
      </c>
      <c r="AC765" s="8"/>
      <c r="AD765" s="8" t="s">
        <v>726</v>
      </c>
      <c r="AE765" s="8" t="s">
        <v>726</v>
      </c>
      <c r="AF765" s="8"/>
      <c r="AG765" s="8" t="s">
        <v>726</v>
      </c>
      <c r="AH765" s="8" t="s">
        <v>726</v>
      </c>
      <c r="AI765" s="8" t="s">
        <v>726</v>
      </c>
      <c r="AJ765" s="8" t="s">
        <v>726</v>
      </c>
      <c r="AK765" s="8" t="s">
        <v>726</v>
      </c>
      <c r="AL765" s="8"/>
      <c r="AM765" s="8"/>
      <c r="AN765" s="8"/>
      <c r="AO765" s="8"/>
      <c r="AP765" s="8"/>
      <c r="AQ765" s="8"/>
      <c r="AR765" s="8"/>
      <c r="AS765" s="8"/>
      <c r="AT765" s="8"/>
      <c r="AU765" s="8"/>
      <c r="AV765" s="8"/>
      <c r="AX765" s="142">
        <v>12</v>
      </c>
    </row>
    <row r="766" spans="2:50" ht="25.5">
      <c r="B766" s="27">
        <v>753</v>
      </c>
      <c r="C766" s="31">
        <v>611</v>
      </c>
      <c r="D766" s="31">
        <v>620</v>
      </c>
      <c r="E766" s="32">
        <v>0.54166666666666663</v>
      </c>
      <c r="F766" s="32">
        <v>0.56944444444444442</v>
      </c>
      <c r="G766" s="31" t="s">
        <v>478</v>
      </c>
      <c r="H766" s="31" t="s">
        <v>97</v>
      </c>
      <c r="I766" s="33">
        <v>21</v>
      </c>
      <c r="J766" s="34" t="s">
        <v>93</v>
      </c>
      <c r="K766" s="35">
        <v>208</v>
      </c>
      <c r="L766" s="36">
        <f>+K766*I766</f>
        <v>4368</v>
      </c>
      <c r="M766" s="37" t="s">
        <v>741</v>
      </c>
      <c r="N766" s="23" t="s">
        <v>850</v>
      </c>
      <c r="O766" s="23">
        <v>23</v>
      </c>
      <c r="P766" s="23" t="s">
        <v>1191</v>
      </c>
      <c r="Q766" s="23">
        <v>21</v>
      </c>
      <c r="R766" s="23" t="s">
        <v>1169</v>
      </c>
      <c r="S766" s="23">
        <v>37</v>
      </c>
      <c r="T766" s="7">
        <v>6140</v>
      </c>
      <c r="U766" s="7" t="s">
        <v>1622</v>
      </c>
      <c r="V766" s="7" t="s">
        <v>1422</v>
      </c>
      <c r="W766" s="7" t="s">
        <v>1423</v>
      </c>
      <c r="X766" s="18"/>
      <c r="Y766" s="17"/>
      <c r="Z766" s="17"/>
      <c r="AA766" s="17"/>
      <c r="AB766" s="7" t="s">
        <v>1046</v>
      </c>
      <c r="AC766" s="8"/>
      <c r="AD766" s="8"/>
      <c r="AE766" s="8"/>
      <c r="AF766" s="8" t="s">
        <v>726</v>
      </c>
      <c r="AG766" s="8" t="s">
        <v>726</v>
      </c>
      <c r="AH766" s="8" t="s">
        <v>726</v>
      </c>
      <c r="AI766" s="8" t="s">
        <v>726</v>
      </c>
      <c r="AJ766" s="8" t="s">
        <v>726</v>
      </c>
      <c r="AK766" s="8" t="s">
        <v>726</v>
      </c>
      <c r="AL766" s="8" t="s">
        <v>726</v>
      </c>
      <c r="AM766" s="8"/>
      <c r="AN766" s="8"/>
      <c r="AO766" s="8"/>
      <c r="AP766" s="8"/>
      <c r="AQ766" s="8"/>
      <c r="AR766" s="8"/>
      <c r="AS766" s="8"/>
      <c r="AT766" s="8"/>
      <c r="AU766" s="8"/>
      <c r="AV766" s="8"/>
      <c r="AX766" s="142">
        <v>63</v>
      </c>
    </row>
    <row r="767" spans="2:50" ht="38.25">
      <c r="B767" s="27">
        <v>754</v>
      </c>
      <c r="C767" s="31">
        <v>611</v>
      </c>
      <c r="D767" s="31">
        <v>60</v>
      </c>
      <c r="E767" s="32">
        <v>0.54166666666666663</v>
      </c>
      <c r="F767" s="32">
        <v>0.58472222222222225</v>
      </c>
      <c r="G767" s="31" t="s">
        <v>518</v>
      </c>
      <c r="H767" s="31" t="s">
        <v>103</v>
      </c>
      <c r="I767" s="33">
        <v>30</v>
      </c>
      <c r="J767" s="34" t="s">
        <v>519</v>
      </c>
      <c r="K767" s="35">
        <v>174</v>
      </c>
      <c r="L767" s="36">
        <f>+K767*I767</f>
        <v>5220</v>
      </c>
      <c r="M767" s="37" t="s">
        <v>741</v>
      </c>
      <c r="N767" s="23" t="s">
        <v>851</v>
      </c>
      <c r="O767" s="23">
        <v>55</v>
      </c>
      <c r="P767" s="23" t="s">
        <v>1168</v>
      </c>
      <c r="Q767" s="23">
        <v>57</v>
      </c>
      <c r="R767" s="23" t="s">
        <v>1169</v>
      </c>
      <c r="S767" s="23">
        <v>37</v>
      </c>
      <c r="T767" s="7" t="s">
        <v>1377</v>
      </c>
      <c r="U767" s="7" t="s">
        <v>1378</v>
      </c>
      <c r="V767" s="7" t="s">
        <v>1422</v>
      </c>
      <c r="W767" s="7" t="s">
        <v>1423</v>
      </c>
      <c r="X767" s="18"/>
      <c r="Y767" s="17"/>
      <c r="Z767" s="17"/>
      <c r="AA767" s="17"/>
      <c r="AB767" s="7" t="s">
        <v>1042</v>
      </c>
      <c r="AC767" s="8"/>
      <c r="AD767" s="8"/>
      <c r="AE767" s="8"/>
      <c r="AF767" s="8" t="s">
        <v>726</v>
      </c>
      <c r="AG767" s="8" t="s">
        <v>726</v>
      </c>
      <c r="AH767" s="8" t="s">
        <v>726</v>
      </c>
      <c r="AI767" s="8" t="s">
        <v>726</v>
      </c>
      <c r="AJ767" s="8" t="s">
        <v>726</v>
      </c>
      <c r="AK767" s="8" t="s">
        <v>726</v>
      </c>
      <c r="AL767" s="8"/>
      <c r="AM767" s="8"/>
      <c r="AN767" s="8"/>
      <c r="AO767" s="8"/>
      <c r="AP767" s="8"/>
      <c r="AQ767" s="8"/>
      <c r="AR767" s="8"/>
      <c r="AS767" s="8"/>
      <c r="AT767" s="8"/>
      <c r="AU767" s="8"/>
      <c r="AV767" s="8"/>
      <c r="AX767" s="142">
        <v>90</v>
      </c>
    </row>
    <row r="768" spans="2:50" ht="51">
      <c r="B768" s="27">
        <v>755</v>
      </c>
      <c r="C768" s="43">
        <v>132</v>
      </c>
      <c r="D768" s="34">
        <v>641</v>
      </c>
      <c r="E768" s="32">
        <v>0.55833333333333335</v>
      </c>
      <c r="F768" s="32">
        <v>0.56180555555555556</v>
      </c>
      <c r="G768" s="31" t="s">
        <v>528</v>
      </c>
      <c r="H768" s="31" t="s">
        <v>103</v>
      </c>
      <c r="I768" s="33">
        <v>3</v>
      </c>
      <c r="J768" s="34" t="s">
        <v>254</v>
      </c>
      <c r="K768" s="35">
        <v>174</v>
      </c>
      <c r="L768" s="36">
        <f>+K768*I768</f>
        <v>522</v>
      </c>
      <c r="M768" s="37" t="s">
        <v>717</v>
      </c>
      <c r="N768" s="23" t="s">
        <v>968</v>
      </c>
      <c r="O768" s="49">
        <v>46</v>
      </c>
      <c r="P768" s="23" t="s">
        <v>887</v>
      </c>
      <c r="Q768" s="49">
        <v>47</v>
      </c>
      <c r="S768" s="49"/>
      <c r="T768" s="7" t="s">
        <v>1332</v>
      </c>
      <c r="U768" s="7" t="s">
        <v>1333</v>
      </c>
      <c r="V768" s="7" t="s">
        <v>1377</v>
      </c>
      <c r="W768" s="7" t="s">
        <v>1378</v>
      </c>
      <c r="X768" s="18"/>
      <c r="Y768" s="17"/>
      <c r="Z768" s="17"/>
      <c r="AA768" s="17"/>
      <c r="AB768" s="7" t="s">
        <v>1042</v>
      </c>
      <c r="AC768" s="8"/>
      <c r="AD768" s="8"/>
      <c r="AE768" s="8"/>
      <c r="AF768" s="8" t="s">
        <v>726</v>
      </c>
      <c r="AG768" s="8" t="s">
        <v>726</v>
      </c>
      <c r="AH768" s="8" t="s">
        <v>726</v>
      </c>
      <c r="AI768" s="8" t="s">
        <v>726</v>
      </c>
      <c r="AJ768" s="8" t="s">
        <v>726</v>
      </c>
      <c r="AK768" s="8" t="s">
        <v>726</v>
      </c>
      <c r="AL768" s="8"/>
      <c r="AM768" s="8"/>
      <c r="AN768" s="8"/>
      <c r="AO768" s="8"/>
      <c r="AP768" s="8"/>
      <c r="AQ768" s="8"/>
      <c r="AR768" s="8"/>
      <c r="AS768" s="8"/>
      <c r="AT768" s="8"/>
      <c r="AU768" s="8"/>
      <c r="AV768" s="8"/>
      <c r="AX768" s="142">
        <v>9</v>
      </c>
    </row>
    <row r="769" spans="1:50" ht="25.5">
      <c r="B769" s="27">
        <v>756</v>
      </c>
      <c r="C769" s="31">
        <v>611</v>
      </c>
      <c r="D769" s="31">
        <v>577</v>
      </c>
      <c r="E769" s="32">
        <v>0.69444444444444453</v>
      </c>
      <c r="F769" s="32">
        <v>0.72569444444444453</v>
      </c>
      <c r="G769" s="31" t="s">
        <v>440</v>
      </c>
      <c r="H769" s="31" t="s">
        <v>203</v>
      </c>
      <c r="I769" s="33">
        <v>23</v>
      </c>
      <c r="J769" s="34" t="s">
        <v>101</v>
      </c>
      <c r="K769" s="35">
        <v>202</v>
      </c>
      <c r="L769" s="36">
        <f>+K769*I769</f>
        <v>4646</v>
      </c>
      <c r="M769" s="37" t="s">
        <v>741</v>
      </c>
      <c r="N769" s="23" t="s">
        <v>852</v>
      </c>
      <c r="O769" s="23">
        <v>46</v>
      </c>
      <c r="P769" s="23" t="s">
        <v>1191</v>
      </c>
      <c r="Q769" s="23">
        <v>21</v>
      </c>
      <c r="R769" s="23" t="s">
        <v>1169</v>
      </c>
      <c r="S769" s="23">
        <v>37</v>
      </c>
      <c r="T769" s="7" t="s">
        <v>1422</v>
      </c>
      <c r="U769" s="7" t="s">
        <v>1423</v>
      </c>
      <c r="V769" s="7">
        <v>6120</v>
      </c>
      <c r="W769" s="7" t="s">
        <v>1238</v>
      </c>
      <c r="X769" s="18"/>
      <c r="Y769" s="17"/>
      <c r="Z769" s="18"/>
      <c r="AA769" s="18"/>
      <c r="AB769" s="7" t="s">
        <v>1048</v>
      </c>
      <c r="AC769" s="8" t="s">
        <v>726</v>
      </c>
      <c r="AD769" s="8"/>
      <c r="AE769" s="8" t="s">
        <v>726</v>
      </c>
      <c r="AF769" s="8"/>
      <c r="AG769" s="8" t="s">
        <v>726</v>
      </c>
      <c r="AH769" s="8" t="s">
        <v>726</v>
      </c>
      <c r="AI769" s="8" t="s">
        <v>726</v>
      </c>
      <c r="AJ769" s="8" t="s">
        <v>726</v>
      </c>
      <c r="AK769" s="8" t="s">
        <v>726</v>
      </c>
      <c r="AL769" s="8"/>
      <c r="AM769" s="8"/>
      <c r="AN769" s="8"/>
      <c r="AO769" s="8"/>
      <c r="AP769" s="8"/>
      <c r="AQ769" s="8"/>
      <c r="AR769" s="8"/>
      <c r="AS769" s="8"/>
      <c r="AT769" s="8"/>
      <c r="AU769" s="8"/>
      <c r="AV769" s="8"/>
      <c r="AX769" s="142">
        <v>69</v>
      </c>
    </row>
    <row r="770" spans="1:50" ht="25.5">
      <c r="B770" s="27">
        <v>757</v>
      </c>
      <c r="C770" s="38">
        <v>611</v>
      </c>
      <c r="D770" s="38">
        <v>95</v>
      </c>
      <c r="E770" s="39">
        <v>0.73611111111111116</v>
      </c>
      <c r="F770" s="39">
        <v>0.7715277777777777</v>
      </c>
      <c r="G770" s="40" t="s">
        <v>700</v>
      </c>
      <c r="H770" s="31" t="s">
        <v>103</v>
      </c>
      <c r="I770" s="38">
        <v>27</v>
      </c>
      <c r="J770" s="41">
        <v>30</v>
      </c>
      <c r="K770" s="35">
        <v>174</v>
      </c>
      <c r="L770" s="36">
        <f>+K770*I770</f>
        <v>4698</v>
      </c>
      <c r="M770" s="37" t="s">
        <v>741</v>
      </c>
      <c r="N770" s="23" t="s">
        <v>851</v>
      </c>
      <c r="O770" s="23">
        <v>55</v>
      </c>
      <c r="P770" s="23" t="s">
        <v>1168</v>
      </c>
      <c r="Q770" s="23">
        <v>57</v>
      </c>
      <c r="R770" s="23" t="s">
        <v>1169</v>
      </c>
      <c r="S770" s="23">
        <v>37</v>
      </c>
      <c r="T770" s="7" t="s">
        <v>1422</v>
      </c>
      <c r="U770" s="7" t="s">
        <v>1423</v>
      </c>
      <c r="V770" s="7" t="s">
        <v>1332</v>
      </c>
      <c r="W770" s="7" t="s">
        <v>1333</v>
      </c>
      <c r="X770" s="18"/>
      <c r="Y770" s="17"/>
      <c r="Z770" s="17"/>
      <c r="AA770" s="17"/>
      <c r="AB770" s="7" t="s">
        <v>1042</v>
      </c>
      <c r="AC770" s="8"/>
      <c r="AD770" s="8"/>
      <c r="AE770" s="8"/>
      <c r="AF770" s="8" t="s">
        <v>726</v>
      </c>
      <c r="AG770" s="8" t="s">
        <v>726</v>
      </c>
      <c r="AH770" s="8" t="s">
        <v>726</v>
      </c>
      <c r="AI770" s="8" t="s">
        <v>726</v>
      </c>
      <c r="AJ770" s="8" t="s">
        <v>726</v>
      </c>
      <c r="AK770" s="8" t="s">
        <v>726</v>
      </c>
      <c r="AL770" s="8"/>
      <c r="AM770" s="8"/>
      <c r="AN770" s="8"/>
      <c r="AO770" s="8"/>
      <c r="AP770" s="8"/>
      <c r="AQ770" s="8"/>
      <c r="AR770" s="8"/>
      <c r="AS770" s="8"/>
      <c r="AT770" s="8"/>
      <c r="AU770" s="8"/>
      <c r="AV770" s="8"/>
      <c r="AX770" s="142">
        <v>59.400000000000006</v>
      </c>
    </row>
    <row r="771" spans="1:50" ht="33.75">
      <c r="B771" s="27">
        <v>758</v>
      </c>
      <c r="C771" s="38">
        <v>611</v>
      </c>
      <c r="D771" s="38">
        <v>92</v>
      </c>
      <c r="E771" s="39">
        <v>0.74722222222222223</v>
      </c>
      <c r="F771" s="44">
        <v>0.76458333333333339</v>
      </c>
      <c r="G771" s="40" t="s">
        <v>16</v>
      </c>
      <c r="H771" s="31" t="s">
        <v>103</v>
      </c>
      <c r="I771" s="38">
        <v>14</v>
      </c>
      <c r="J771" s="41">
        <v>19</v>
      </c>
      <c r="K771" s="35">
        <v>174</v>
      </c>
      <c r="L771" s="36">
        <f>+K771*I771</f>
        <v>2436</v>
      </c>
      <c r="M771" s="37" t="s">
        <v>741</v>
      </c>
      <c r="N771" s="23" t="s">
        <v>852</v>
      </c>
      <c r="O771" s="23">
        <v>46</v>
      </c>
      <c r="P771" s="23" t="s">
        <v>1192</v>
      </c>
      <c r="Q771" s="23">
        <v>21</v>
      </c>
      <c r="R771" s="23" t="s">
        <v>1169</v>
      </c>
      <c r="S771" s="23">
        <v>37</v>
      </c>
      <c r="T771" s="7">
        <v>6120</v>
      </c>
      <c r="U771" s="7" t="s">
        <v>1238</v>
      </c>
      <c r="V771" s="7">
        <v>6136</v>
      </c>
      <c r="W771" s="7" t="s">
        <v>1620</v>
      </c>
      <c r="X771" s="18"/>
      <c r="Y771" s="17"/>
      <c r="Z771" s="17"/>
      <c r="AA771" s="17"/>
      <c r="AB771" s="7" t="s">
        <v>1042</v>
      </c>
      <c r="AC771" s="8"/>
      <c r="AD771" s="8"/>
      <c r="AE771" s="8"/>
      <c r="AF771" s="8" t="s">
        <v>726</v>
      </c>
      <c r="AG771" s="8" t="s">
        <v>726</v>
      </c>
      <c r="AH771" s="8" t="s">
        <v>726</v>
      </c>
      <c r="AI771" s="8" t="s">
        <v>726</v>
      </c>
      <c r="AJ771" s="8" t="s">
        <v>726</v>
      </c>
      <c r="AK771" s="8" t="s">
        <v>726</v>
      </c>
      <c r="AL771" s="8"/>
      <c r="AM771" s="8"/>
      <c r="AN771" s="8"/>
      <c r="AO771" s="8"/>
      <c r="AP771" s="8"/>
      <c r="AQ771" s="8"/>
      <c r="AR771" s="8"/>
      <c r="AS771" s="8"/>
      <c r="AT771" s="8"/>
      <c r="AU771" s="8"/>
      <c r="AV771" s="8"/>
      <c r="AX771" s="142">
        <v>28</v>
      </c>
    </row>
    <row r="772" spans="1:50" ht="33.75">
      <c r="B772" s="27">
        <v>759</v>
      </c>
      <c r="C772" s="38">
        <v>611</v>
      </c>
      <c r="D772" s="38">
        <v>98</v>
      </c>
      <c r="E772" s="39">
        <v>0.78472222222222221</v>
      </c>
      <c r="F772" s="44">
        <v>0.81944444444444453</v>
      </c>
      <c r="G772" s="40" t="s">
        <v>701</v>
      </c>
      <c r="H772" s="31" t="s">
        <v>103</v>
      </c>
      <c r="I772" s="38">
        <v>27</v>
      </c>
      <c r="J772" s="41">
        <v>30</v>
      </c>
      <c r="K772" s="35">
        <v>174</v>
      </c>
      <c r="L772" s="36">
        <f>+K772*I772</f>
        <v>4698</v>
      </c>
      <c r="M772" s="37" t="s">
        <v>741</v>
      </c>
      <c r="N772" s="23" t="s">
        <v>852</v>
      </c>
      <c r="O772" s="23">
        <v>46</v>
      </c>
      <c r="P772" s="23" t="s">
        <v>851</v>
      </c>
      <c r="Q772" s="23">
        <v>55</v>
      </c>
      <c r="R772" s="23" t="s">
        <v>1169</v>
      </c>
      <c r="S772" s="23">
        <v>37</v>
      </c>
      <c r="T772" s="7" t="s">
        <v>1332</v>
      </c>
      <c r="U772" s="7" t="s">
        <v>1333</v>
      </c>
      <c r="V772" s="7" t="s">
        <v>1422</v>
      </c>
      <c r="W772" s="7" t="s">
        <v>1423</v>
      </c>
      <c r="X772" s="18"/>
      <c r="Y772" s="17"/>
      <c r="Z772" s="17"/>
      <c r="AA772" s="17"/>
      <c r="AB772" s="7" t="s">
        <v>1042</v>
      </c>
      <c r="AC772" s="8"/>
      <c r="AD772" s="8"/>
      <c r="AE772" s="8"/>
      <c r="AF772" s="8" t="s">
        <v>726</v>
      </c>
      <c r="AG772" s="8" t="s">
        <v>726</v>
      </c>
      <c r="AH772" s="8" t="s">
        <v>726</v>
      </c>
      <c r="AI772" s="8" t="s">
        <v>726</v>
      </c>
      <c r="AJ772" s="8" t="s">
        <v>726</v>
      </c>
      <c r="AK772" s="8" t="s">
        <v>726</v>
      </c>
      <c r="AL772" s="8"/>
      <c r="AM772" s="8"/>
      <c r="AN772" s="8"/>
      <c r="AO772" s="8"/>
      <c r="AP772" s="8"/>
      <c r="AQ772" s="8"/>
      <c r="AR772" s="8"/>
      <c r="AS772" s="8"/>
      <c r="AT772" s="8"/>
      <c r="AU772" s="8"/>
      <c r="AV772" s="8"/>
      <c r="AX772" s="142">
        <v>59.400000000000006</v>
      </c>
    </row>
    <row r="773" spans="1:50" ht="33.75">
      <c r="B773" s="27">
        <v>760</v>
      </c>
      <c r="C773" s="38">
        <v>611</v>
      </c>
      <c r="D773" s="38">
        <v>100</v>
      </c>
      <c r="E773" s="39">
        <v>0.78819444444444453</v>
      </c>
      <c r="F773" s="44">
        <v>0.80902777777777779</v>
      </c>
      <c r="G773" s="40" t="s">
        <v>648</v>
      </c>
      <c r="H773" s="31" t="s">
        <v>203</v>
      </c>
      <c r="I773" s="38">
        <v>17</v>
      </c>
      <c r="J773" s="41">
        <v>19</v>
      </c>
      <c r="K773" s="35">
        <v>202</v>
      </c>
      <c r="L773" s="36">
        <f>+K773*I773</f>
        <v>3434</v>
      </c>
      <c r="M773" s="37" t="s">
        <v>729</v>
      </c>
      <c r="N773" s="23" t="s">
        <v>896</v>
      </c>
      <c r="O773" s="23">
        <v>21</v>
      </c>
      <c r="P773" s="79" t="s">
        <v>1906</v>
      </c>
      <c r="Q773" s="79">
        <v>42</v>
      </c>
      <c r="R773" s="23" t="s">
        <v>895</v>
      </c>
      <c r="S773" s="24">
        <v>24</v>
      </c>
      <c r="T773" s="7">
        <v>6120</v>
      </c>
      <c r="U773" s="7" t="s">
        <v>1238</v>
      </c>
      <c r="V773" s="7" t="s">
        <v>1623</v>
      </c>
      <c r="W773" s="7" t="s">
        <v>1624</v>
      </c>
      <c r="X773" s="18"/>
      <c r="Y773" s="17"/>
      <c r="Z773" s="18"/>
      <c r="AA773" s="18"/>
      <c r="AB773" s="7" t="s">
        <v>1048</v>
      </c>
      <c r="AC773" s="8" t="s">
        <v>726</v>
      </c>
      <c r="AD773" s="8"/>
      <c r="AE773" s="8" t="s">
        <v>726</v>
      </c>
      <c r="AF773" s="8"/>
      <c r="AG773" s="8" t="s">
        <v>726</v>
      </c>
      <c r="AH773" s="8" t="s">
        <v>726</v>
      </c>
      <c r="AI773" s="8" t="s">
        <v>726</v>
      </c>
      <c r="AJ773" s="8" t="s">
        <v>726</v>
      </c>
      <c r="AK773" s="8" t="s">
        <v>726</v>
      </c>
      <c r="AL773" s="8"/>
      <c r="AM773" s="8"/>
      <c r="AN773" s="8"/>
      <c r="AO773" s="8"/>
      <c r="AP773" s="8"/>
      <c r="AQ773" s="8"/>
      <c r="AR773" s="8"/>
      <c r="AS773" s="8"/>
      <c r="AT773" s="8"/>
      <c r="AU773" s="8"/>
      <c r="AV773" s="8"/>
      <c r="AX773" s="142">
        <v>40.826128722382329</v>
      </c>
    </row>
    <row r="774" spans="1:50" ht="33.75">
      <c r="B774" s="27">
        <v>761</v>
      </c>
      <c r="C774" s="38">
        <v>611</v>
      </c>
      <c r="D774" s="38">
        <v>100</v>
      </c>
      <c r="E774" s="39">
        <v>0.80208333333333337</v>
      </c>
      <c r="F774" s="71">
        <v>0.82291666666666663</v>
      </c>
      <c r="G774" s="40" t="s">
        <v>648</v>
      </c>
      <c r="H774" s="40" t="s">
        <v>649</v>
      </c>
      <c r="I774" s="38">
        <v>17</v>
      </c>
      <c r="J774" s="41">
        <v>19</v>
      </c>
      <c r="K774" s="35">
        <v>38</v>
      </c>
      <c r="L774" s="36">
        <f>+K774*I774</f>
        <v>646</v>
      </c>
      <c r="M774" s="37" t="s">
        <v>729</v>
      </c>
      <c r="N774" s="23" t="s">
        <v>896</v>
      </c>
      <c r="O774" s="23">
        <v>21</v>
      </c>
      <c r="P774" s="79" t="s">
        <v>1906</v>
      </c>
      <c r="Q774" s="79">
        <v>42</v>
      </c>
      <c r="R774" s="23" t="s">
        <v>895</v>
      </c>
      <c r="S774" s="24">
        <v>24</v>
      </c>
      <c r="T774" s="7">
        <v>6120</v>
      </c>
      <c r="U774" s="7" t="s">
        <v>1238</v>
      </c>
      <c r="V774" s="7" t="s">
        <v>1623</v>
      </c>
      <c r="W774" s="7" t="s">
        <v>1624</v>
      </c>
      <c r="X774" s="18"/>
      <c r="Y774" s="17"/>
      <c r="Z774" s="18"/>
      <c r="AA774" s="18"/>
      <c r="AB774" s="7" t="s">
        <v>1065</v>
      </c>
      <c r="AC774" s="8" t="s">
        <v>726</v>
      </c>
      <c r="AD774" s="8"/>
      <c r="AE774" s="8" t="s">
        <v>726</v>
      </c>
      <c r="AF774" s="8"/>
      <c r="AG774" s="8"/>
      <c r="AH774" s="8"/>
      <c r="AI774" s="8"/>
      <c r="AJ774" s="8"/>
      <c r="AK774" s="8"/>
      <c r="AL774" s="8" t="s">
        <v>726</v>
      </c>
      <c r="AM774" s="8"/>
      <c r="AN774" s="8"/>
      <c r="AO774" s="8"/>
      <c r="AP774" s="8"/>
      <c r="AQ774" s="8"/>
      <c r="AR774" s="8"/>
      <c r="AS774" s="8"/>
      <c r="AT774" s="8"/>
      <c r="AU774" s="8"/>
      <c r="AV774" s="8"/>
      <c r="AX774" s="142">
        <v>40.826128722382329</v>
      </c>
    </row>
    <row r="775" spans="1:50" ht="25.5">
      <c r="B775" s="27">
        <v>762</v>
      </c>
      <c r="C775" s="38">
        <v>615</v>
      </c>
      <c r="D775" s="53" t="s">
        <v>997</v>
      </c>
      <c r="E775" s="44">
        <v>0.25208333333333333</v>
      </c>
      <c r="F775" s="44">
        <v>0.27291666666666664</v>
      </c>
      <c r="G775" s="40" t="s">
        <v>48</v>
      </c>
      <c r="H775" s="31" t="s">
        <v>103</v>
      </c>
      <c r="I775" s="38">
        <f>10+3</f>
        <v>13</v>
      </c>
      <c r="J775" s="41">
        <v>19</v>
      </c>
      <c r="K775" s="35">
        <v>174</v>
      </c>
      <c r="L775" s="36">
        <f>+K775*I775</f>
        <v>2262</v>
      </c>
      <c r="M775" s="37" t="s">
        <v>729</v>
      </c>
      <c r="N775" s="2" t="s">
        <v>896</v>
      </c>
      <c r="O775" s="23">
        <v>21</v>
      </c>
      <c r="P775" s="23" t="s">
        <v>895</v>
      </c>
      <c r="Q775" s="23">
        <v>24</v>
      </c>
      <c r="S775" s="23"/>
      <c r="T775" s="7" t="s">
        <v>1625</v>
      </c>
      <c r="U775" s="7" t="s">
        <v>1626</v>
      </c>
      <c r="V775" s="7">
        <v>6120</v>
      </c>
      <c r="W775" s="7" t="s">
        <v>1238</v>
      </c>
      <c r="X775" s="18"/>
      <c r="Y775" s="17"/>
      <c r="Z775" s="17"/>
      <c r="AA775" s="17"/>
      <c r="AB775" s="7" t="s">
        <v>1042</v>
      </c>
      <c r="AC775" s="8"/>
      <c r="AD775" s="8"/>
      <c r="AE775" s="8"/>
      <c r="AF775" s="8" t="s">
        <v>726</v>
      </c>
      <c r="AG775" s="8" t="s">
        <v>726</v>
      </c>
      <c r="AH775" s="8" t="s">
        <v>726</v>
      </c>
      <c r="AI775" s="8" t="s">
        <v>726</v>
      </c>
      <c r="AJ775" s="8" t="s">
        <v>726</v>
      </c>
      <c r="AK775" s="8" t="s">
        <v>726</v>
      </c>
      <c r="AL775" s="8"/>
      <c r="AM775" s="8"/>
      <c r="AN775" s="8"/>
      <c r="AO775" s="8"/>
      <c r="AP775" s="8"/>
      <c r="AQ775" s="8"/>
      <c r="AR775" s="8"/>
      <c r="AS775" s="8"/>
      <c r="AT775" s="8"/>
      <c r="AU775" s="8"/>
      <c r="AV775" s="8"/>
      <c r="AX775" s="142">
        <v>31.219980787704131</v>
      </c>
    </row>
    <row r="776" spans="1:50" ht="33.75">
      <c r="A776" s="2" t="s">
        <v>1105</v>
      </c>
      <c r="B776" s="27">
        <v>763</v>
      </c>
      <c r="C776" s="31">
        <v>615</v>
      </c>
      <c r="D776" s="31">
        <v>510</v>
      </c>
      <c r="E776" s="123">
        <v>0.28472222222222221</v>
      </c>
      <c r="F776" s="123">
        <v>0.2951388888888889</v>
      </c>
      <c r="G776" s="31" t="s">
        <v>47</v>
      </c>
      <c r="H776" s="31" t="s">
        <v>505</v>
      </c>
      <c r="I776" s="52">
        <v>10</v>
      </c>
      <c r="J776" s="34" t="s">
        <v>93</v>
      </c>
      <c r="K776" s="35">
        <v>12</v>
      </c>
      <c r="L776" s="36">
        <f>+K776*I776</f>
        <v>120</v>
      </c>
      <c r="M776" s="37" t="s">
        <v>729</v>
      </c>
      <c r="N776" s="2" t="s">
        <v>896</v>
      </c>
      <c r="O776" s="23">
        <v>21</v>
      </c>
      <c r="P776" s="79" t="s">
        <v>1906</v>
      </c>
      <c r="Q776" s="79">
        <v>42</v>
      </c>
      <c r="R776" s="23" t="s">
        <v>895</v>
      </c>
      <c r="S776" s="24">
        <v>24</v>
      </c>
      <c r="T776" s="7">
        <v>6120</v>
      </c>
      <c r="U776" s="7" t="s">
        <v>1238</v>
      </c>
      <c r="V776" s="7">
        <v>6127</v>
      </c>
      <c r="W776" s="7" t="s">
        <v>1627</v>
      </c>
      <c r="X776" s="17"/>
      <c r="Y776" s="18"/>
      <c r="Z776" s="18"/>
      <c r="AA776" s="18"/>
      <c r="AB776" s="7" t="s">
        <v>1058</v>
      </c>
      <c r="AC776" s="8"/>
      <c r="AD776" s="8" t="s">
        <v>726</v>
      </c>
      <c r="AE776" s="8" t="s">
        <v>726</v>
      </c>
      <c r="AF776" s="8"/>
      <c r="AG776" s="8"/>
      <c r="AH776" s="8"/>
      <c r="AI776" s="8"/>
      <c r="AJ776" s="8"/>
      <c r="AK776" s="8"/>
      <c r="AL776" s="8" t="s">
        <v>726</v>
      </c>
      <c r="AM776" s="8"/>
      <c r="AN776" s="8"/>
      <c r="AO776" s="8"/>
      <c r="AP776" s="8"/>
      <c r="AQ776" s="8"/>
      <c r="AR776" s="8"/>
      <c r="AS776" s="8"/>
      <c r="AT776" s="8"/>
      <c r="AU776" s="8"/>
      <c r="AV776" s="8"/>
      <c r="AX776" s="142">
        <v>25</v>
      </c>
    </row>
    <row r="777" spans="1:50" ht="25.5">
      <c r="A777" s="2" t="s">
        <v>1105</v>
      </c>
      <c r="B777" s="27">
        <v>764</v>
      </c>
      <c r="C777" s="31">
        <v>615</v>
      </c>
      <c r="D777" s="31">
        <v>511</v>
      </c>
      <c r="E777" s="123">
        <v>0.29583333333333334</v>
      </c>
      <c r="F777" s="123">
        <v>0.31111111111111112</v>
      </c>
      <c r="G777" s="31" t="s">
        <v>46</v>
      </c>
      <c r="H777" s="31" t="s">
        <v>505</v>
      </c>
      <c r="I777" s="52">
        <v>12</v>
      </c>
      <c r="J777" s="34" t="s">
        <v>93</v>
      </c>
      <c r="K777" s="35">
        <v>12</v>
      </c>
      <c r="L777" s="36">
        <f>+K777*I777</f>
        <v>144</v>
      </c>
      <c r="M777" s="37" t="s">
        <v>729</v>
      </c>
      <c r="N777" s="23" t="s">
        <v>896</v>
      </c>
      <c r="O777" s="23">
        <v>21</v>
      </c>
      <c r="P777" s="79" t="s">
        <v>1906</v>
      </c>
      <c r="Q777" s="79">
        <v>42</v>
      </c>
      <c r="R777" s="23" t="s">
        <v>895</v>
      </c>
      <c r="S777" s="24">
        <v>24</v>
      </c>
      <c r="T777" s="7">
        <v>6127</v>
      </c>
      <c r="U777" s="7" t="s">
        <v>1627</v>
      </c>
      <c r="V777" s="7">
        <v>6120</v>
      </c>
      <c r="W777" s="7" t="s">
        <v>1238</v>
      </c>
      <c r="X777" s="17"/>
      <c r="Y777" s="18"/>
      <c r="Z777" s="18"/>
      <c r="AA777" s="18"/>
      <c r="AB777" s="7" t="s">
        <v>1058</v>
      </c>
      <c r="AC777" s="8"/>
      <c r="AD777" s="8" t="s">
        <v>726</v>
      </c>
      <c r="AE777" s="8" t="s">
        <v>726</v>
      </c>
      <c r="AF777" s="8"/>
      <c r="AG777" s="8"/>
      <c r="AH777" s="8"/>
      <c r="AI777" s="8"/>
      <c r="AJ777" s="8"/>
      <c r="AK777" s="8"/>
      <c r="AL777" s="8" t="s">
        <v>726</v>
      </c>
      <c r="AM777" s="8"/>
      <c r="AN777" s="8"/>
      <c r="AO777" s="8"/>
      <c r="AP777" s="8"/>
      <c r="AQ777" s="8"/>
      <c r="AR777" s="8"/>
      <c r="AS777" s="8"/>
      <c r="AT777" s="8"/>
      <c r="AU777" s="8"/>
      <c r="AV777" s="8"/>
      <c r="AX777" s="142">
        <v>30</v>
      </c>
    </row>
    <row r="778" spans="1:50" ht="33.75">
      <c r="B778" s="27">
        <v>765</v>
      </c>
      <c r="C778" s="31">
        <v>615</v>
      </c>
      <c r="D778" s="43">
        <v>546</v>
      </c>
      <c r="E778" s="42">
        <v>0.59722222222222221</v>
      </c>
      <c r="F778" s="42">
        <v>0.61111111111111105</v>
      </c>
      <c r="G778" s="31" t="s">
        <v>458</v>
      </c>
      <c r="H778" s="31" t="s">
        <v>423</v>
      </c>
      <c r="I778" s="33">
        <v>10</v>
      </c>
      <c r="J778" s="34" t="s">
        <v>93</v>
      </c>
      <c r="K778" s="35">
        <v>67</v>
      </c>
      <c r="L778" s="36">
        <f>+K778*I778</f>
        <v>670</v>
      </c>
      <c r="M778" s="37" t="s">
        <v>728</v>
      </c>
      <c r="N778" s="23" t="s">
        <v>897</v>
      </c>
      <c r="O778" s="23">
        <v>21</v>
      </c>
      <c r="P778" s="23" t="s">
        <v>898</v>
      </c>
      <c r="Q778" s="23">
        <v>24</v>
      </c>
      <c r="R778" s="23" t="s">
        <v>899</v>
      </c>
      <c r="S778" s="23">
        <v>21</v>
      </c>
      <c r="T778" s="7">
        <v>6120</v>
      </c>
      <c r="U778" s="7" t="s">
        <v>1238</v>
      </c>
      <c r="V778" s="7">
        <v>6127</v>
      </c>
      <c r="W778" s="7" t="s">
        <v>1627</v>
      </c>
      <c r="X778" s="17"/>
      <c r="Y778" s="18"/>
      <c r="Z778" s="18"/>
      <c r="AA778" s="18"/>
      <c r="AB778" s="8" t="s">
        <v>1047</v>
      </c>
      <c r="AC778" s="8"/>
      <c r="AD778" s="8" t="s">
        <v>726</v>
      </c>
      <c r="AE778" s="8" t="s">
        <v>726</v>
      </c>
      <c r="AF778" s="8"/>
      <c r="AG778" s="8" t="s">
        <v>726</v>
      </c>
      <c r="AH778" s="8" t="s">
        <v>726</v>
      </c>
      <c r="AI778" s="8" t="s">
        <v>726</v>
      </c>
      <c r="AJ778" s="8" t="s">
        <v>726</v>
      </c>
      <c r="AK778" s="8" t="s">
        <v>726</v>
      </c>
      <c r="AL778" s="8" t="s">
        <v>726</v>
      </c>
      <c r="AM778" s="8"/>
      <c r="AN778" s="8"/>
      <c r="AO778" s="8"/>
      <c r="AP778" s="8"/>
      <c r="AQ778" s="8"/>
      <c r="AR778" s="8"/>
      <c r="AS778" s="8"/>
      <c r="AT778" s="8"/>
      <c r="AU778" s="8"/>
      <c r="AV778" s="8"/>
      <c r="AX778" s="142">
        <v>30</v>
      </c>
    </row>
    <row r="779" spans="1:50" ht="25.5">
      <c r="A779" s="2" t="s">
        <v>1105</v>
      </c>
      <c r="B779" s="27">
        <v>766</v>
      </c>
      <c r="C779" s="43">
        <v>615</v>
      </c>
      <c r="D779" s="31">
        <v>524</v>
      </c>
      <c r="E779" s="32">
        <v>0.57847222222222217</v>
      </c>
      <c r="F779" s="32">
        <v>0.59027777777777779</v>
      </c>
      <c r="G779" s="31" t="s">
        <v>522</v>
      </c>
      <c r="H779" s="31" t="s">
        <v>103</v>
      </c>
      <c r="I779" s="52">
        <v>8</v>
      </c>
      <c r="J779" s="34" t="s">
        <v>93</v>
      </c>
      <c r="K779" s="35">
        <v>174</v>
      </c>
      <c r="L779" s="36">
        <f>+K779*I779</f>
        <v>1392</v>
      </c>
      <c r="M779" s="37" t="s">
        <v>729</v>
      </c>
      <c r="N779" s="23" t="s">
        <v>895</v>
      </c>
      <c r="O779" s="23">
        <v>24</v>
      </c>
      <c r="P779" s="23" t="s">
        <v>896</v>
      </c>
      <c r="Q779" s="23">
        <v>21</v>
      </c>
      <c r="R779" s="79" t="s">
        <v>1906</v>
      </c>
      <c r="S779" s="79">
        <v>42</v>
      </c>
      <c r="T779" s="7" t="s">
        <v>1628</v>
      </c>
      <c r="U779" s="7" t="s">
        <v>1629</v>
      </c>
      <c r="V779" s="7">
        <v>6127</v>
      </c>
      <c r="W779" s="7" t="s">
        <v>1627</v>
      </c>
      <c r="X779" s="18"/>
      <c r="Y779" s="17"/>
      <c r="Z779" s="17"/>
      <c r="AA779" s="17"/>
      <c r="AB779" s="7" t="s">
        <v>1042</v>
      </c>
      <c r="AC779" s="8"/>
      <c r="AD779" s="8"/>
      <c r="AE779" s="8"/>
      <c r="AF779" s="8" t="s">
        <v>726</v>
      </c>
      <c r="AG779" s="8" t="s">
        <v>726</v>
      </c>
      <c r="AH779" s="8" t="s">
        <v>726</v>
      </c>
      <c r="AI779" s="8" t="s">
        <v>726</v>
      </c>
      <c r="AJ779" s="8" t="s">
        <v>726</v>
      </c>
      <c r="AK779" s="8" t="s">
        <v>726</v>
      </c>
      <c r="AL779" s="8"/>
      <c r="AM779" s="8"/>
      <c r="AN779" s="8"/>
      <c r="AO779" s="8"/>
      <c r="AP779" s="8"/>
      <c r="AQ779" s="8"/>
      <c r="AR779" s="8"/>
      <c r="AS779" s="8"/>
      <c r="AT779" s="8"/>
      <c r="AU779" s="8"/>
      <c r="AV779" s="8"/>
      <c r="AX779" s="142">
        <v>24</v>
      </c>
    </row>
    <row r="780" spans="1:50" ht="38.25">
      <c r="B780" s="27">
        <v>767</v>
      </c>
      <c r="C780" s="31">
        <v>615</v>
      </c>
      <c r="D780" s="31">
        <v>524</v>
      </c>
      <c r="E780" s="32">
        <v>0.59027777777777779</v>
      </c>
      <c r="F780" s="32">
        <v>0.59375</v>
      </c>
      <c r="G780" s="31" t="s">
        <v>555</v>
      </c>
      <c r="H780" s="31" t="s">
        <v>554</v>
      </c>
      <c r="I780" s="33">
        <v>2.6</v>
      </c>
      <c r="J780" s="34" t="s">
        <v>93</v>
      </c>
      <c r="K780" s="35">
        <f>33+36+36</f>
        <v>105</v>
      </c>
      <c r="L780" s="36">
        <f>+K780*I780</f>
        <v>273</v>
      </c>
      <c r="M780" s="37" t="s">
        <v>729</v>
      </c>
      <c r="N780" s="23" t="s">
        <v>895</v>
      </c>
      <c r="O780" s="23">
        <v>24</v>
      </c>
      <c r="P780" s="23" t="s">
        <v>896</v>
      </c>
      <c r="Q780" s="23">
        <v>21</v>
      </c>
      <c r="R780" s="79" t="s">
        <v>1906</v>
      </c>
      <c r="S780" s="79">
        <v>42</v>
      </c>
      <c r="T780" s="7">
        <v>6127</v>
      </c>
      <c r="U780" s="7" t="s">
        <v>1627</v>
      </c>
      <c r="V780" s="7" t="s">
        <v>1625</v>
      </c>
      <c r="W780" s="7" t="s">
        <v>1626</v>
      </c>
      <c r="X780" s="18"/>
      <c r="Y780" s="17"/>
      <c r="Z780" s="17"/>
      <c r="AA780" s="17"/>
      <c r="AB780" s="7" t="s">
        <v>1069</v>
      </c>
      <c r="AC780" s="8"/>
      <c r="AD780" s="8"/>
      <c r="AE780" s="8"/>
      <c r="AF780" s="8" t="s">
        <v>726</v>
      </c>
      <c r="AG780" s="8" t="s">
        <v>726</v>
      </c>
      <c r="AH780" s="8"/>
      <c r="AI780" s="8" t="s">
        <v>726</v>
      </c>
      <c r="AJ780" s="8"/>
      <c r="AK780" s="8" t="s">
        <v>726</v>
      </c>
      <c r="AL780" s="8"/>
      <c r="AM780" s="8"/>
      <c r="AN780" s="8"/>
      <c r="AO780" s="8"/>
      <c r="AP780" s="8"/>
      <c r="AQ780" s="8"/>
      <c r="AR780" s="8"/>
      <c r="AS780" s="8"/>
      <c r="AT780" s="8"/>
      <c r="AU780" s="8"/>
      <c r="AV780" s="8"/>
      <c r="AX780" s="142">
        <v>7.8</v>
      </c>
    </row>
    <row r="781" spans="1:50" ht="33.75">
      <c r="B781" s="27">
        <v>768</v>
      </c>
      <c r="C781" s="31">
        <v>615</v>
      </c>
      <c r="D781" s="31">
        <v>522</v>
      </c>
      <c r="E781" s="32">
        <v>0.71527777777777779</v>
      </c>
      <c r="F781" s="32">
        <v>0.72916666666666663</v>
      </c>
      <c r="G781" s="31" t="s">
        <v>47</v>
      </c>
      <c r="H781" s="31" t="s">
        <v>103</v>
      </c>
      <c r="I781" s="33">
        <v>10</v>
      </c>
      <c r="J781" s="34" t="s">
        <v>125</v>
      </c>
      <c r="K781" s="35">
        <v>174</v>
      </c>
      <c r="L781" s="36">
        <f>+K781*I781</f>
        <v>1740</v>
      </c>
      <c r="M781" s="37" t="s">
        <v>729</v>
      </c>
      <c r="N781" s="23" t="s">
        <v>895</v>
      </c>
      <c r="O781" s="23">
        <v>24</v>
      </c>
      <c r="P781" s="23" t="s">
        <v>1838</v>
      </c>
      <c r="Q781" s="23">
        <v>24</v>
      </c>
      <c r="S781" s="23"/>
      <c r="T781" s="7">
        <v>6120</v>
      </c>
      <c r="U781" s="7" t="s">
        <v>1238</v>
      </c>
      <c r="V781" s="7">
        <v>6127</v>
      </c>
      <c r="W781" s="7" t="s">
        <v>1627</v>
      </c>
      <c r="X781" s="18"/>
      <c r="Y781" s="17"/>
      <c r="Z781" s="17"/>
      <c r="AA781" s="17"/>
      <c r="AB781" s="7" t="s">
        <v>1042</v>
      </c>
      <c r="AC781" s="8"/>
      <c r="AD781" s="8"/>
      <c r="AE781" s="8"/>
      <c r="AF781" s="8" t="s">
        <v>726</v>
      </c>
      <c r="AG781" s="8" t="s">
        <v>726</v>
      </c>
      <c r="AH781" s="8" t="s">
        <v>726</v>
      </c>
      <c r="AI781" s="8" t="s">
        <v>726</v>
      </c>
      <c r="AJ781" s="8" t="s">
        <v>726</v>
      </c>
      <c r="AK781" s="8" t="s">
        <v>726</v>
      </c>
      <c r="AL781" s="8"/>
      <c r="AM781" s="8"/>
      <c r="AN781" s="8"/>
      <c r="AO781" s="8"/>
      <c r="AP781" s="8"/>
      <c r="AQ781" s="8"/>
      <c r="AR781" s="8"/>
      <c r="AS781" s="8"/>
      <c r="AT781" s="8"/>
      <c r="AU781" s="8"/>
      <c r="AV781" s="8"/>
      <c r="AX781" s="142">
        <v>30</v>
      </c>
    </row>
    <row r="782" spans="1:50" ht="33.75">
      <c r="B782" s="27">
        <v>769</v>
      </c>
      <c r="C782" s="31">
        <v>615</v>
      </c>
      <c r="D782" s="43">
        <v>520</v>
      </c>
      <c r="E782" s="42">
        <v>0.75347222222222221</v>
      </c>
      <c r="F782" s="42">
        <v>0.76736111111111116</v>
      </c>
      <c r="G782" s="31" t="s">
        <v>47</v>
      </c>
      <c r="H782" s="31" t="s">
        <v>505</v>
      </c>
      <c r="I782" s="33">
        <v>22</v>
      </c>
      <c r="J782" s="34" t="s">
        <v>93</v>
      </c>
      <c r="K782" s="35">
        <v>12</v>
      </c>
      <c r="L782" s="36">
        <f>+K782*I782</f>
        <v>264</v>
      </c>
      <c r="M782" s="37" t="s">
        <v>728</v>
      </c>
      <c r="N782" s="23" t="s">
        <v>898</v>
      </c>
      <c r="O782" s="23">
        <v>24</v>
      </c>
      <c r="P782" s="23" t="s">
        <v>897</v>
      </c>
      <c r="Q782" s="23">
        <v>21</v>
      </c>
      <c r="R782" s="23"/>
      <c r="S782" s="23"/>
      <c r="T782" s="7">
        <v>6120</v>
      </c>
      <c r="U782" s="7" t="s">
        <v>1238</v>
      </c>
      <c r="V782" s="7">
        <v>6127</v>
      </c>
      <c r="W782" s="7" t="s">
        <v>1627</v>
      </c>
      <c r="X782" s="17"/>
      <c r="Y782" s="18"/>
      <c r="Z782" s="18"/>
      <c r="AA782" s="18"/>
      <c r="AB782" s="7" t="s">
        <v>1058</v>
      </c>
      <c r="AC782" s="8"/>
      <c r="AD782" s="8" t="s">
        <v>726</v>
      </c>
      <c r="AE782" s="8" t="s">
        <v>726</v>
      </c>
      <c r="AF782" s="8"/>
      <c r="AG782" s="8"/>
      <c r="AH782" s="8"/>
      <c r="AI782" s="8"/>
      <c r="AJ782" s="8"/>
      <c r="AK782" s="8"/>
      <c r="AL782" s="8" t="s">
        <v>726</v>
      </c>
      <c r="AM782" s="8"/>
      <c r="AN782" s="8"/>
      <c r="AO782" s="8"/>
      <c r="AP782" s="8"/>
      <c r="AQ782" s="8"/>
      <c r="AR782" s="8"/>
      <c r="AS782" s="8"/>
      <c r="AT782" s="8"/>
      <c r="AU782" s="8"/>
      <c r="AV782" s="8"/>
      <c r="AX782" s="142">
        <v>55</v>
      </c>
    </row>
    <row r="783" spans="1:50" ht="33.75">
      <c r="B783" s="27">
        <v>770</v>
      </c>
      <c r="C783" s="38">
        <v>615</v>
      </c>
      <c r="D783" s="38">
        <v>520</v>
      </c>
      <c r="E783" s="39">
        <v>0.75347222222222221</v>
      </c>
      <c r="F783" s="39">
        <v>0.76736111111111116</v>
      </c>
      <c r="G783" s="40" t="s">
        <v>47</v>
      </c>
      <c r="H783" s="31" t="s">
        <v>477</v>
      </c>
      <c r="I783" s="38">
        <v>10</v>
      </c>
      <c r="J783" s="41">
        <v>19</v>
      </c>
      <c r="K783" s="35">
        <v>240</v>
      </c>
      <c r="L783" s="36">
        <f>+K783*I783</f>
        <v>2400</v>
      </c>
      <c r="M783" s="37" t="s">
        <v>729</v>
      </c>
      <c r="N783" s="23" t="s">
        <v>895</v>
      </c>
      <c r="O783" s="23">
        <v>24</v>
      </c>
      <c r="P783" s="79" t="s">
        <v>1906</v>
      </c>
      <c r="Q783" s="79">
        <v>42</v>
      </c>
      <c r="S783" s="23"/>
      <c r="T783" s="7">
        <v>6120</v>
      </c>
      <c r="U783" s="7" t="s">
        <v>1238</v>
      </c>
      <c r="V783" s="7">
        <v>6127</v>
      </c>
      <c r="W783" s="7" t="s">
        <v>1627</v>
      </c>
      <c r="X783" s="18"/>
      <c r="Y783" s="17"/>
      <c r="Z783" s="18"/>
      <c r="AA783" s="18"/>
      <c r="AB783" s="7" t="s">
        <v>1052</v>
      </c>
      <c r="AC783" s="8" t="s">
        <v>726</v>
      </c>
      <c r="AD783" s="8"/>
      <c r="AE783" s="8" t="s">
        <v>726</v>
      </c>
      <c r="AF783" s="8"/>
      <c r="AG783" s="8" t="s">
        <v>726</v>
      </c>
      <c r="AH783" s="8" t="s">
        <v>726</v>
      </c>
      <c r="AI783" s="8" t="s">
        <v>726</v>
      </c>
      <c r="AJ783" s="8" t="s">
        <v>726</v>
      </c>
      <c r="AK783" s="8" t="s">
        <v>726</v>
      </c>
      <c r="AL783" s="8" t="s">
        <v>726</v>
      </c>
      <c r="AM783" s="8"/>
      <c r="AN783" s="8"/>
      <c r="AO783" s="8"/>
      <c r="AP783" s="8"/>
      <c r="AQ783" s="8"/>
      <c r="AR783" s="8"/>
      <c r="AS783" s="8"/>
      <c r="AT783" s="8"/>
      <c r="AU783" s="8"/>
      <c r="AV783" s="8"/>
      <c r="AX783" s="142">
        <v>24.015369836695484</v>
      </c>
    </row>
    <row r="784" spans="1:50" ht="25.5">
      <c r="B784" s="27">
        <v>771</v>
      </c>
      <c r="C784" s="38">
        <v>615</v>
      </c>
      <c r="D784" s="38">
        <v>515</v>
      </c>
      <c r="E784" s="39">
        <v>0.7680555555555556</v>
      </c>
      <c r="F784" s="39">
        <v>0.78541666666666676</v>
      </c>
      <c r="G784" s="40" t="s">
        <v>46</v>
      </c>
      <c r="H784" s="31" t="s">
        <v>477</v>
      </c>
      <c r="I784" s="38">
        <v>12</v>
      </c>
      <c r="J784" s="41">
        <v>19</v>
      </c>
      <c r="K784" s="35">
        <v>240</v>
      </c>
      <c r="L784" s="36">
        <f>+K784*I784</f>
        <v>2880</v>
      </c>
      <c r="M784" s="37" t="s">
        <v>729</v>
      </c>
      <c r="N784" s="23" t="s">
        <v>895</v>
      </c>
      <c r="O784" s="23">
        <v>24</v>
      </c>
      <c r="P784" s="79" t="s">
        <v>1906</v>
      </c>
      <c r="Q784" s="79">
        <v>42</v>
      </c>
      <c r="S784" s="23"/>
      <c r="T784" s="7">
        <v>6127</v>
      </c>
      <c r="U784" s="7" t="s">
        <v>1627</v>
      </c>
      <c r="V784" s="7">
        <v>6120</v>
      </c>
      <c r="W784" s="7" t="s">
        <v>1238</v>
      </c>
      <c r="X784" s="18"/>
      <c r="Y784" s="17"/>
      <c r="Z784" s="18"/>
      <c r="AA784" s="18"/>
      <c r="AB784" s="7" t="s">
        <v>1052</v>
      </c>
      <c r="AC784" s="8" t="s">
        <v>726</v>
      </c>
      <c r="AD784" s="8"/>
      <c r="AE784" s="8" t="s">
        <v>726</v>
      </c>
      <c r="AF784" s="8"/>
      <c r="AG784" s="8" t="s">
        <v>726</v>
      </c>
      <c r="AH784" s="8" t="s">
        <v>726</v>
      </c>
      <c r="AI784" s="8" t="s">
        <v>726</v>
      </c>
      <c r="AJ784" s="8" t="s">
        <v>726</v>
      </c>
      <c r="AK784" s="8" t="s">
        <v>726</v>
      </c>
      <c r="AL784" s="8" t="s">
        <v>726</v>
      </c>
      <c r="AM784" s="8"/>
      <c r="AN784" s="8"/>
      <c r="AO784" s="8"/>
      <c r="AP784" s="8"/>
      <c r="AQ784" s="8"/>
      <c r="AR784" s="8"/>
      <c r="AS784" s="8"/>
      <c r="AT784" s="8"/>
      <c r="AU784" s="8"/>
      <c r="AV784" s="8"/>
      <c r="AX784" s="142">
        <v>28.818443804034583</v>
      </c>
    </row>
    <row r="785" spans="2:50" ht="25.5">
      <c r="B785" s="27">
        <v>772</v>
      </c>
      <c r="C785" s="31">
        <v>615</v>
      </c>
      <c r="D785" s="43">
        <v>517</v>
      </c>
      <c r="E785" s="32">
        <v>0.7680555555555556</v>
      </c>
      <c r="F785" s="32">
        <v>0.78541666666666676</v>
      </c>
      <c r="G785" s="31" t="s">
        <v>46</v>
      </c>
      <c r="H785" s="31" t="s">
        <v>505</v>
      </c>
      <c r="I785" s="33">
        <v>22</v>
      </c>
      <c r="J785" s="34" t="s">
        <v>93</v>
      </c>
      <c r="K785" s="35">
        <v>12</v>
      </c>
      <c r="L785" s="36">
        <f>+K785*I785</f>
        <v>264</v>
      </c>
      <c r="M785" s="37" t="s">
        <v>728</v>
      </c>
      <c r="N785" s="23" t="s">
        <v>898</v>
      </c>
      <c r="O785" s="23">
        <v>24</v>
      </c>
      <c r="P785" s="23" t="s">
        <v>897</v>
      </c>
      <c r="Q785" s="23">
        <v>21</v>
      </c>
      <c r="R785" s="23"/>
      <c r="S785" s="23"/>
      <c r="T785" s="7">
        <v>6127</v>
      </c>
      <c r="U785" s="7" t="s">
        <v>1627</v>
      </c>
      <c r="V785" s="7">
        <v>6120</v>
      </c>
      <c r="W785" s="7" t="s">
        <v>1238</v>
      </c>
      <c r="X785" s="17"/>
      <c r="Y785" s="18"/>
      <c r="Z785" s="18"/>
      <c r="AA785" s="18"/>
      <c r="AB785" s="7" t="s">
        <v>1058</v>
      </c>
      <c r="AC785" s="8"/>
      <c r="AD785" s="8" t="s">
        <v>726</v>
      </c>
      <c r="AE785" s="8" t="s">
        <v>726</v>
      </c>
      <c r="AF785" s="8"/>
      <c r="AG785" s="8"/>
      <c r="AH785" s="8"/>
      <c r="AI785" s="8"/>
      <c r="AJ785" s="8"/>
      <c r="AK785" s="8"/>
      <c r="AL785" s="8" t="s">
        <v>726</v>
      </c>
      <c r="AM785" s="8"/>
      <c r="AN785" s="8"/>
      <c r="AO785" s="8"/>
      <c r="AP785" s="8"/>
      <c r="AQ785" s="8"/>
      <c r="AR785" s="8"/>
      <c r="AS785" s="8"/>
      <c r="AT785" s="8"/>
      <c r="AU785" s="8"/>
      <c r="AV785" s="8"/>
      <c r="AX785" s="142">
        <v>55</v>
      </c>
    </row>
    <row r="786" spans="2:50" ht="38.25">
      <c r="B786" s="27">
        <v>773</v>
      </c>
      <c r="C786" s="31">
        <v>620</v>
      </c>
      <c r="D786" s="31">
        <v>230</v>
      </c>
      <c r="E786" s="42">
        <v>0.25972222222222224</v>
      </c>
      <c r="F786" s="32">
        <v>0.2902777777777778</v>
      </c>
      <c r="G786" s="31" t="s">
        <v>998</v>
      </c>
      <c r="H786" s="31" t="s">
        <v>103</v>
      </c>
      <c r="I786" s="33">
        <v>18</v>
      </c>
      <c r="J786" s="34" t="s">
        <v>93</v>
      </c>
      <c r="K786" s="35">
        <v>174</v>
      </c>
      <c r="L786" s="36">
        <f>+K786*I786</f>
        <v>3132</v>
      </c>
      <c r="M786" s="37" t="s">
        <v>741</v>
      </c>
      <c r="N786" s="49" t="s">
        <v>850</v>
      </c>
      <c r="O786" s="23">
        <v>23</v>
      </c>
      <c r="P786" s="23" t="s">
        <v>1192</v>
      </c>
      <c r="Q786" s="23">
        <v>21</v>
      </c>
      <c r="S786" s="23"/>
      <c r="T786" s="7">
        <v>6146</v>
      </c>
      <c r="U786" s="7" t="s">
        <v>1630</v>
      </c>
      <c r="V786" s="7">
        <v>6220</v>
      </c>
      <c r="W786" s="7" t="s">
        <v>1281</v>
      </c>
      <c r="X786" s="18"/>
      <c r="Y786" s="17"/>
      <c r="Z786" s="17"/>
      <c r="AA786" s="17"/>
      <c r="AB786" s="7" t="s">
        <v>1042</v>
      </c>
      <c r="AC786" s="8"/>
      <c r="AD786" s="8"/>
      <c r="AE786" s="8"/>
      <c r="AF786" s="8" t="s">
        <v>726</v>
      </c>
      <c r="AG786" s="8" t="s">
        <v>726</v>
      </c>
      <c r="AH786" s="8" t="s">
        <v>726</v>
      </c>
      <c r="AI786" s="8" t="s">
        <v>726</v>
      </c>
      <c r="AJ786" s="8" t="s">
        <v>726</v>
      </c>
      <c r="AK786" s="8" t="s">
        <v>726</v>
      </c>
      <c r="AL786" s="8"/>
      <c r="AM786" s="8"/>
      <c r="AN786" s="8"/>
      <c r="AO786" s="8"/>
      <c r="AP786" s="8"/>
      <c r="AQ786" s="8"/>
      <c r="AR786" s="8"/>
      <c r="AS786" s="8"/>
      <c r="AT786" s="8"/>
      <c r="AU786" s="8"/>
      <c r="AV786" s="8"/>
      <c r="AX786" s="142">
        <v>56.400000000000006</v>
      </c>
    </row>
    <row r="787" spans="2:50" ht="25.5">
      <c r="B787" s="27">
        <v>774</v>
      </c>
      <c r="C787" s="43">
        <v>620</v>
      </c>
      <c r="D787" s="31">
        <v>223</v>
      </c>
      <c r="E787" s="32">
        <v>0.26944444444444443</v>
      </c>
      <c r="F787" s="32">
        <v>0.31527777777777777</v>
      </c>
      <c r="G787" s="31" t="s">
        <v>472</v>
      </c>
      <c r="H787" s="31" t="s">
        <v>424</v>
      </c>
      <c r="I787" s="33">
        <v>32.5</v>
      </c>
      <c r="J787" s="34" t="s">
        <v>188</v>
      </c>
      <c r="K787" s="35">
        <v>55</v>
      </c>
      <c r="L787" s="36">
        <f>+K787*I787</f>
        <v>1787.5</v>
      </c>
      <c r="M787" s="37" t="s">
        <v>728</v>
      </c>
      <c r="N787" s="23" t="s">
        <v>966</v>
      </c>
      <c r="O787" s="23">
        <v>31</v>
      </c>
      <c r="P787" s="23" t="s">
        <v>1841</v>
      </c>
      <c r="Q787" s="23">
        <v>54</v>
      </c>
      <c r="S787" s="23"/>
      <c r="T787" s="7">
        <v>6220</v>
      </c>
      <c r="U787" s="7" t="s">
        <v>1281</v>
      </c>
      <c r="V787" s="7" t="s">
        <v>1332</v>
      </c>
      <c r="W787" s="7" t="s">
        <v>1333</v>
      </c>
      <c r="X787" s="17"/>
      <c r="Y787" s="18"/>
      <c r="Z787" s="18"/>
      <c r="AA787" s="18"/>
      <c r="AB787" s="7" t="s">
        <v>1049</v>
      </c>
      <c r="AC787" s="8"/>
      <c r="AD787" s="8" t="s">
        <v>726</v>
      </c>
      <c r="AE787" s="8" t="s">
        <v>726</v>
      </c>
      <c r="AF787" s="8"/>
      <c r="AG787" s="8" t="s">
        <v>726</v>
      </c>
      <c r="AH787" s="8" t="s">
        <v>726</v>
      </c>
      <c r="AI787" s="8" t="s">
        <v>726</v>
      </c>
      <c r="AJ787" s="8" t="s">
        <v>726</v>
      </c>
      <c r="AK787" s="8" t="s">
        <v>726</v>
      </c>
      <c r="AL787" s="8"/>
      <c r="AM787" s="8"/>
      <c r="AN787" s="8"/>
      <c r="AO787" s="8"/>
      <c r="AP787" s="8"/>
      <c r="AQ787" s="8"/>
      <c r="AR787" s="8"/>
      <c r="AS787" s="8"/>
      <c r="AT787" s="8"/>
      <c r="AU787" s="8"/>
      <c r="AV787" s="8"/>
      <c r="AX787" s="142">
        <v>97.5</v>
      </c>
    </row>
    <row r="788" spans="2:50" ht="33.75">
      <c r="B788" s="27">
        <v>775</v>
      </c>
      <c r="C788" s="31">
        <v>620</v>
      </c>
      <c r="D788" s="31">
        <v>237</v>
      </c>
      <c r="E788" s="32">
        <v>0.53749999999999998</v>
      </c>
      <c r="F788" s="32">
        <v>0.54166666666666663</v>
      </c>
      <c r="G788" s="31" t="s">
        <v>179</v>
      </c>
      <c r="H788" s="31" t="s">
        <v>97</v>
      </c>
      <c r="I788" s="33">
        <v>3</v>
      </c>
      <c r="J788" s="34" t="s">
        <v>116</v>
      </c>
      <c r="K788" s="35">
        <v>208</v>
      </c>
      <c r="L788" s="36">
        <f>+K788*I788</f>
        <v>624</v>
      </c>
      <c r="M788" s="37" t="s">
        <v>772</v>
      </c>
      <c r="N788" s="23" t="s">
        <v>915</v>
      </c>
      <c r="O788" s="23">
        <v>9</v>
      </c>
      <c r="P788" s="23" t="s">
        <v>916</v>
      </c>
      <c r="Q788" s="23">
        <v>9</v>
      </c>
      <c r="R788" s="23" t="s">
        <v>1193</v>
      </c>
      <c r="S788" s="24">
        <v>9</v>
      </c>
      <c r="T788" s="7">
        <v>6144</v>
      </c>
      <c r="U788" s="7" t="s">
        <v>1631</v>
      </c>
      <c r="V788" s="7">
        <v>6143</v>
      </c>
      <c r="W788" s="7" t="s">
        <v>1632</v>
      </c>
      <c r="X788" s="18"/>
      <c r="Y788" s="17"/>
      <c r="Z788" s="17"/>
      <c r="AA788" s="17"/>
      <c r="AB788" s="7" t="s">
        <v>1046</v>
      </c>
      <c r="AC788" s="8"/>
      <c r="AD788" s="8"/>
      <c r="AE788" s="8"/>
      <c r="AF788" s="8" t="s">
        <v>726</v>
      </c>
      <c r="AG788" s="8" t="s">
        <v>726</v>
      </c>
      <c r="AH788" s="8" t="s">
        <v>726</v>
      </c>
      <c r="AI788" s="8" t="s">
        <v>726</v>
      </c>
      <c r="AJ788" s="8" t="s">
        <v>726</v>
      </c>
      <c r="AK788" s="8" t="s">
        <v>726</v>
      </c>
      <c r="AL788" s="8" t="s">
        <v>726</v>
      </c>
      <c r="AM788" s="8"/>
      <c r="AN788" s="8"/>
      <c r="AO788" s="8"/>
      <c r="AP788" s="8"/>
      <c r="AQ788" s="8"/>
      <c r="AR788" s="8"/>
      <c r="AS788" s="8"/>
      <c r="AT788" s="8"/>
      <c r="AU788" s="8"/>
      <c r="AV788" s="8"/>
      <c r="AX788" s="142">
        <v>7.91</v>
      </c>
    </row>
    <row r="789" spans="2:50" ht="38.25">
      <c r="B789" s="27">
        <v>776</v>
      </c>
      <c r="C789" s="31">
        <v>620</v>
      </c>
      <c r="D789" s="31">
        <v>420</v>
      </c>
      <c r="E789" s="32">
        <v>0.56111111111111112</v>
      </c>
      <c r="F789" s="32">
        <v>0.57291666666666663</v>
      </c>
      <c r="G789" s="31" t="s">
        <v>177</v>
      </c>
      <c r="H789" s="31" t="s">
        <v>97</v>
      </c>
      <c r="I789" s="33">
        <v>11.4</v>
      </c>
      <c r="J789" s="34" t="s">
        <v>116</v>
      </c>
      <c r="K789" s="35">
        <v>208</v>
      </c>
      <c r="L789" s="36">
        <f>+K789*I789</f>
        <v>2371.2000000000003</v>
      </c>
      <c r="M789" s="37" t="s">
        <v>772</v>
      </c>
      <c r="N789" s="23" t="s">
        <v>916</v>
      </c>
      <c r="O789" s="23">
        <v>9</v>
      </c>
      <c r="P789" s="23" t="s">
        <v>1193</v>
      </c>
      <c r="Q789" s="23">
        <v>9</v>
      </c>
      <c r="R789" s="23" t="s">
        <v>1194</v>
      </c>
      <c r="S789" s="24">
        <v>9</v>
      </c>
      <c r="T789" s="7">
        <v>6140</v>
      </c>
      <c r="U789" s="7" t="s">
        <v>1622</v>
      </c>
      <c r="V789" s="7">
        <v>6143</v>
      </c>
      <c r="W789" s="7" t="s">
        <v>1632</v>
      </c>
      <c r="X789" s="18"/>
      <c r="Y789" s="17"/>
      <c r="Z789" s="17"/>
      <c r="AA789" s="17"/>
      <c r="AB789" s="7" t="s">
        <v>1046</v>
      </c>
      <c r="AC789" s="8"/>
      <c r="AD789" s="8"/>
      <c r="AE789" s="8"/>
      <c r="AF789" s="8" t="s">
        <v>726</v>
      </c>
      <c r="AG789" s="8" t="s">
        <v>726</v>
      </c>
      <c r="AH789" s="8" t="s">
        <v>726</v>
      </c>
      <c r="AI789" s="8" t="s">
        <v>726</v>
      </c>
      <c r="AJ789" s="8" t="s">
        <v>726</v>
      </c>
      <c r="AK789" s="8" t="s">
        <v>726</v>
      </c>
      <c r="AL789" s="8" t="s">
        <v>726</v>
      </c>
      <c r="AM789" s="8"/>
      <c r="AN789" s="8"/>
      <c r="AO789" s="8"/>
      <c r="AP789" s="8"/>
      <c r="AQ789" s="8"/>
      <c r="AR789" s="8"/>
      <c r="AS789" s="8"/>
      <c r="AT789" s="8"/>
      <c r="AU789" s="8"/>
      <c r="AV789" s="8"/>
      <c r="AX789" s="142">
        <v>38.65</v>
      </c>
    </row>
    <row r="790" spans="2:50" ht="33.75">
      <c r="B790" s="27">
        <v>777</v>
      </c>
      <c r="C790" s="31">
        <v>620</v>
      </c>
      <c r="D790" s="31">
        <v>420</v>
      </c>
      <c r="E790" s="32">
        <v>0.56111111111111112</v>
      </c>
      <c r="F790" s="32">
        <v>0.56597222222222221</v>
      </c>
      <c r="G790" s="31" t="s">
        <v>178</v>
      </c>
      <c r="H790" s="31" t="s">
        <v>97</v>
      </c>
      <c r="I790" s="33">
        <v>3.9</v>
      </c>
      <c r="J790" s="34" t="s">
        <v>116</v>
      </c>
      <c r="K790" s="35">
        <v>208</v>
      </c>
      <c r="L790" s="36">
        <f>+K790*I790</f>
        <v>811.19999999999993</v>
      </c>
      <c r="M790" s="37" t="s">
        <v>772</v>
      </c>
      <c r="N790" s="23" t="s">
        <v>915</v>
      </c>
      <c r="O790" s="23">
        <v>9</v>
      </c>
      <c r="P790" s="23" t="s">
        <v>1193</v>
      </c>
      <c r="Q790" s="23">
        <v>9</v>
      </c>
      <c r="R790" s="23" t="s">
        <v>2028</v>
      </c>
      <c r="S790" s="24">
        <v>9</v>
      </c>
      <c r="T790" s="7">
        <v>6140</v>
      </c>
      <c r="U790" s="7" t="s">
        <v>1622</v>
      </c>
      <c r="V790" s="7">
        <v>6143</v>
      </c>
      <c r="W790" s="7" t="s">
        <v>1632</v>
      </c>
      <c r="X790" s="18"/>
      <c r="Y790" s="17"/>
      <c r="Z790" s="17"/>
      <c r="AA790" s="17"/>
      <c r="AB790" s="7" t="s">
        <v>1046</v>
      </c>
      <c r="AC790" s="8"/>
      <c r="AD790" s="8"/>
      <c r="AE790" s="8"/>
      <c r="AF790" s="8" t="s">
        <v>726</v>
      </c>
      <c r="AG790" s="8" t="s">
        <v>726</v>
      </c>
      <c r="AH790" s="8" t="s">
        <v>726</v>
      </c>
      <c r="AI790" s="8" t="s">
        <v>726</v>
      </c>
      <c r="AJ790" s="8" t="s">
        <v>726</v>
      </c>
      <c r="AK790" s="8" t="s">
        <v>726</v>
      </c>
      <c r="AL790" s="8" t="s">
        <v>726</v>
      </c>
      <c r="AM790" s="8"/>
      <c r="AN790" s="8"/>
      <c r="AO790" s="8"/>
      <c r="AP790" s="8"/>
      <c r="AQ790" s="8"/>
      <c r="AR790" s="8"/>
      <c r="AS790" s="8"/>
      <c r="AT790" s="8"/>
      <c r="AU790" s="8"/>
      <c r="AV790" s="8"/>
      <c r="AX790" s="142">
        <v>11.7</v>
      </c>
    </row>
    <row r="791" spans="2:50" ht="25.5">
      <c r="B791" s="27">
        <v>778</v>
      </c>
      <c r="C791" s="31">
        <v>620</v>
      </c>
      <c r="D791" s="31">
        <v>973</v>
      </c>
      <c r="E791" s="32">
        <v>0.58194444444444449</v>
      </c>
      <c r="F791" s="32">
        <v>0.62777777777777777</v>
      </c>
      <c r="G791" s="31" t="s">
        <v>472</v>
      </c>
      <c r="H791" s="31" t="s">
        <v>505</v>
      </c>
      <c r="I791" s="33">
        <v>32.5</v>
      </c>
      <c r="J791" s="34" t="s">
        <v>188</v>
      </c>
      <c r="K791" s="35">
        <v>12</v>
      </c>
      <c r="L791" s="36">
        <f>+K791*I791</f>
        <v>390</v>
      </c>
      <c r="M791" s="37" t="s">
        <v>771</v>
      </c>
      <c r="N791" s="23" t="s">
        <v>1004</v>
      </c>
      <c r="O791" s="23">
        <v>23</v>
      </c>
      <c r="P791" s="23" t="s">
        <v>864</v>
      </c>
      <c r="Q791" s="23">
        <v>23</v>
      </c>
      <c r="R791" s="23" t="s">
        <v>866</v>
      </c>
      <c r="S791" s="24">
        <v>21</v>
      </c>
      <c r="T791" s="7">
        <v>6220</v>
      </c>
      <c r="U791" s="7" t="s">
        <v>1281</v>
      </c>
      <c r="V791" s="7" t="s">
        <v>1332</v>
      </c>
      <c r="W791" s="7" t="s">
        <v>1333</v>
      </c>
      <c r="X791" s="17"/>
      <c r="Y791" s="18"/>
      <c r="Z791" s="18"/>
      <c r="AA791" s="18"/>
      <c r="AB791" s="7" t="s">
        <v>1058</v>
      </c>
      <c r="AC791" s="8"/>
      <c r="AD791" s="8" t="s">
        <v>726</v>
      </c>
      <c r="AE791" s="8" t="s">
        <v>726</v>
      </c>
      <c r="AF791" s="8"/>
      <c r="AG791" s="8"/>
      <c r="AH791" s="8"/>
      <c r="AI791" s="8"/>
      <c r="AJ791" s="8"/>
      <c r="AK791" s="8"/>
      <c r="AL791" s="8" t="s">
        <v>726</v>
      </c>
      <c r="AM791" s="8"/>
      <c r="AN791" s="8"/>
      <c r="AO791" s="8"/>
      <c r="AP791" s="8"/>
      <c r="AQ791" s="8"/>
      <c r="AR791" s="8"/>
      <c r="AS791" s="8"/>
      <c r="AT791" s="8"/>
      <c r="AU791" s="8"/>
      <c r="AV791" s="8"/>
      <c r="AX791" s="142">
        <v>97.5</v>
      </c>
    </row>
    <row r="792" spans="2:50" ht="33.75">
      <c r="B792" s="27">
        <v>779</v>
      </c>
      <c r="C792" s="31">
        <v>620</v>
      </c>
      <c r="D792" s="31">
        <v>646</v>
      </c>
      <c r="E792" s="32">
        <v>0.58194444444444449</v>
      </c>
      <c r="F792" s="32">
        <v>0.58680555555555558</v>
      </c>
      <c r="G792" s="31" t="s">
        <v>176</v>
      </c>
      <c r="H792" s="31" t="s">
        <v>97</v>
      </c>
      <c r="I792" s="33">
        <v>3.9</v>
      </c>
      <c r="J792" s="34" t="s">
        <v>116</v>
      </c>
      <c r="K792" s="35">
        <v>208</v>
      </c>
      <c r="L792" s="36">
        <f>+K792*I792</f>
        <v>811.19999999999993</v>
      </c>
      <c r="M792" s="37" t="s">
        <v>772</v>
      </c>
      <c r="N792" s="23" t="s">
        <v>915</v>
      </c>
      <c r="O792" s="23">
        <v>9</v>
      </c>
      <c r="P792" s="23" t="s">
        <v>916</v>
      </c>
      <c r="Q792" s="23">
        <v>9</v>
      </c>
      <c r="R792" s="23" t="s">
        <v>1193</v>
      </c>
      <c r="S792" s="24">
        <v>9</v>
      </c>
      <c r="T792" s="7">
        <v>6140</v>
      </c>
      <c r="U792" s="7" t="s">
        <v>1622</v>
      </c>
      <c r="V792" s="7" t="s">
        <v>1633</v>
      </c>
      <c r="W792" s="7" t="s">
        <v>1634</v>
      </c>
      <c r="X792" s="18"/>
      <c r="Y792" s="17"/>
      <c r="Z792" s="17"/>
      <c r="AA792" s="17"/>
      <c r="AB792" s="7" t="s">
        <v>1046</v>
      </c>
      <c r="AC792" s="8"/>
      <c r="AD792" s="8"/>
      <c r="AE792" s="8"/>
      <c r="AF792" s="8" t="s">
        <v>726</v>
      </c>
      <c r="AG792" s="8" t="s">
        <v>726</v>
      </c>
      <c r="AH792" s="8" t="s">
        <v>726</v>
      </c>
      <c r="AI792" s="8" t="s">
        <v>726</v>
      </c>
      <c r="AJ792" s="8" t="s">
        <v>726</v>
      </c>
      <c r="AK792" s="8" t="s">
        <v>726</v>
      </c>
      <c r="AL792" s="8" t="s">
        <v>726</v>
      </c>
      <c r="AM792" s="8"/>
      <c r="AN792" s="8"/>
      <c r="AO792" s="8"/>
      <c r="AP792" s="8"/>
      <c r="AQ792" s="8"/>
      <c r="AR792" s="8"/>
      <c r="AS792" s="8"/>
      <c r="AT792" s="8"/>
      <c r="AU792" s="8"/>
      <c r="AV792" s="8"/>
      <c r="AX792" s="142">
        <v>12.88</v>
      </c>
    </row>
    <row r="793" spans="2:50" ht="33.75">
      <c r="B793" s="27">
        <v>780</v>
      </c>
      <c r="C793" s="31">
        <v>620</v>
      </c>
      <c r="D793" s="31">
        <v>426</v>
      </c>
      <c r="E793" s="42">
        <v>0.60625000000000007</v>
      </c>
      <c r="F793" s="42">
        <v>0.61111111111111105</v>
      </c>
      <c r="G793" s="31" t="s">
        <v>176</v>
      </c>
      <c r="H793" s="31" t="s">
        <v>97</v>
      </c>
      <c r="I793" s="33">
        <v>3.9</v>
      </c>
      <c r="J793" s="34" t="s">
        <v>116</v>
      </c>
      <c r="K793" s="35">
        <v>208</v>
      </c>
      <c r="L793" s="36">
        <f>+K793*I793</f>
        <v>811.19999999999993</v>
      </c>
      <c r="M793" s="37" t="s">
        <v>772</v>
      </c>
      <c r="N793" s="23" t="s">
        <v>915</v>
      </c>
      <c r="O793" s="23">
        <v>9</v>
      </c>
      <c r="P793" s="23" t="s">
        <v>916</v>
      </c>
      <c r="Q793" s="23">
        <v>9</v>
      </c>
      <c r="R793" s="23" t="s">
        <v>1193</v>
      </c>
      <c r="S793" s="24">
        <v>9</v>
      </c>
      <c r="T793" s="7">
        <v>6140</v>
      </c>
      <c r="U793" s="7" t="s">
        <v>1622</v>
      </c>
      <c r="V793" s="7" t="s">
        <v>1633</v>
      </c>
      <c r="W793" s="7" t="s">
        <v>1634</v>
      </c>
      <c r="X793" s="18"/>
      <c r="Y793" s="17"/>
      <c r="Z793" s="17"/>
      <c r="AA793" s="17"/>
      <c r="AB793" s="7" t="s">
        <v>1046</v>
      </c>
      <c r="AC793" s="8"/>
      <c r="AD793" s="8"/>
      <c r="AE793" s="8"/>
      <c r="AF793" s="8" t="s">
        <v>726</v>
      </c>
      <c r="AG793" s="8" t="s">
        <v>726</v>
      </c>
      <c r="AH793" s="8" t="s">
        <v>726</v>
      </c>
      <c r="AI793" s="8" t="s">
        <v>726</v>
      </c>
      <c r="AJ793" s="8" t="s">
        <v>726</v>
      </c>
      <c r="AK793" s="8" t="s">
        <v>726</v>
      </c>
      <c r="AL793" s="8" t="s">
        <v>726</v>
      </c>
      <c r="AM793" s="8"/>
      <c r="AN793" s="8"/>
      <c r="AO793" s="8"/>
      <c r="AP793" s="8"/>
      <c r="AQ793" s="8"/>
      <c r="AR793" s="8"/>
      <c r="AS793" s="8"/>
      <c r="AT793" s="8"/>
      <c r="AU793" s="8"/>
      <c r="AV793" s="8"/>
      <c r="AX793" s="142">
        <v>12.88</v>
      </c>
    </row>
    <row r="794" spans="2:50" ht="33.75">
      <c r="B794" s="27">
        <v>781</v>
      </c>
      <c r="C794" s="31">
        <v>620</v>
      </c>
      <c r="D794" s="31">
        <v>982</v>
      </c>
      <c r="E794" s="32">
        <v>0.62013888888888891</v>
      </c>
      <c r="F794" s="32">
        <v>0.66597222222222219</v>
      </c>
      <c r="G794" s="31" t="s">
        <v>470</v>
      </c>
      <c r="H794" s="31" t="s">
        <v>499</v>
      </c>
      <c r="I794" s="33">
        <v>32.5</v>
      </c>
      <c r="J794" s="34" t="s">
        <v>188</v>
      </c>
      <c r="K794" s="35">
        <v>67</v>
      </c>
      <c r="L794" s="36">
        <f>+K794*I794</f>
        <v>2177.5</v>
      </c>
      <c r="M794" s="37" t="s">
        <v>728</v>
      </c>
      <c r="N794" s="23" t="s">
        <v>966</v>
      </c>
      <c r="O794" s="23">
        <v>31</v>
      </c>
      <c r="P794" s="23" t="s">
        <v>1841</v>
      </c>
      <c r="Q794" s="23">
        <v>54</v>
      </c>
      <c r="S794" s="23"/>
      <c r="T794" s="7" t="s">
        <v>1332</v>
      </c>
      <c r="U794" s="7" t="s">
        <v>1333</v>
      </c>
      <c r="V794" s="7">
        <v>6220</v>
      </c>
      <c r="W794" s="7" t="s">
        <v>1281</v>
      </c>
      <c r="X794" s="17"/>
      <c r="Y794" s="18"/>
      <c r="Z794" s="18"/>
      <c r="AA794" s="18"/>
      <c r="AB794" s="8" t="s">
        <v>1047</v>
      </c>
      <c r="AC794" s="8"/>
      <c r="AD794" s="8" t="s">
        <v>726</v>
      </c>
      <c r="AE794" s="8" t="s">
        <v>726</v>
      </c>
      <c r="AF794" s="8"/>
      <c r="AG794" s="8" t="s">
        <v>726</v>
      </c>
      <c r="AH794" s="8" t="s">
        <v>726</v>
      </c>
      <c r="AI794" s="8" t="s">
        <v>726</v>
      </c>
      <c r="AJ794" s="8" t="s">
        <v>726</v>
      </c>
      <c r="AK794" s="8" t="s">
        <v>726</v>
      </c>
      <c r="AL794" s="8" t="s">
        <v>726</v>
      </c>
      <c r="AM794" s="8"/>
      <c r="AN794" s="8"/>
      <c r="AO794" s="8"/>
      <c r="AP794" s="8"/>
      <c r="AQ794" s="8"/>
      <c r="AR794" s="8"/>
      <c r="AS794" s="8"/>
      <c r="AT794" s="8"/>
      <c r="AU794" s="8"/>
      <c r="AV794" s="8"/>
      <c r="AX794" s="142">
        <v>97.5</v>
      </c>
    </row>
    <row r="795" spans="2:50" ht="33.75">
      <c r="B795" s="27">
        <v>782</v>
      </c>
      <c r="C795" s="31">
        <v>620</v>
      </c>
      <c r="D795" s="31">
        <v>982</v>
      </c>
      <c r="E795" s="32">
        <v>0.62013888888888891</v>
      </c>
      <c r="F795" s="32">
        <v>0.66597222222222219</v>
      </c>
      <c r="G795" s="31" t="s">
        <v>470</v>
      </c>
      <c r="H795" s="31" t="s">
        <v>477</v>
      </c>
      <c r="I795" s="33">
        <v>32.5</v>
      </c>
      <c r="J795" s="34" t="s">
        <v>188</v>
      </c>
      <c r="K795" s="35">
        <v>240</v>
      </c>
      <c r="L795" s="36">
        <f>+K795*I795</f>
        <v>7800</v>
      </c>
      <c r="M795" s="37" t="s">
        <v>728</v>
      </c>
      <c r="N795" s="23" t="s">
        <v>966</v>
      </c>
      <c r="O795" s="23">
        <v>31</v>
      </c>
      <c r="P795" s="23" t="s">
        <v>1841</v>
      </c>
      <c r="Q795" s="23">
        <v>54</v>
      </c>
      <c r="S795" s="23"/>
      <c r="T795" s="7" t="s">
        <v>1332</v>
      </c>
      <c r="U795" s="7" t="s">
        <v>1333</v>
      </c>
      <c r="V795" s="7">
        <v>6220</v>
      </c>
      <c r="W795" s="7" t="s">
        <v>1281</v>
      </c>
      <c r="X795" s="18"/>
      <c r="Y795" s="17"/>
      <c r="Z795" s="18"/>
      <c r="AA795" s="18"/>
      <c r="AB795" s="7" t="s">
        <v>1052</v>
      </c>
      <c r="AC795" s="8" t="s">
        <v>726</v>
      </c>
      <c r="AD795" s="8"/>
      <c r="AE795" s="8" t="s">
        <v>726</v>
      </c>
      <c r="AF795" s="8"/>
      <c r="AG795" s="8" t="s">
        <v>726</v>
      </c>
      <c r="AH795" s="8" t="s">
        <v>726</v>
      </c>
      <c r="AI795" s="8" t="s">
        <v>726</v>
      </c>
      <c r="AJ795" s="8" t="s">
        <v>726</v>
      </c>
      <c r="AK795" s="8" t="s">
        <v>726</v>
      </c>
      <c r="AL795" s="8" t="s">
        <v>726</v>
      </c>
      <c r="AM795" s="8"/>
      <c r="AN795" s="8"/>
      <c r="AO795" s="8"/>
      <c r="AP795" s="8"/>
      <c r="AQ795" s="8"/>
      <c r="AR795" s="8"/>
      <c r="AS795" s="8"/>
      <c r="AT795" s="8"/>
      <c r="AU795" s="8"/>
      <c r="AV795" s="8"/>
      <c r="AX795" s="142">
        <v>97.5</v>
      </c>
    </row>
    <row r="796" spans="2:50" ht="33.75">
      <c r="B796" s="27">
        <v>783</v>
      </c>
      <c r="C796" s="31">
        <v>620</v>
      </c>
      <c r="D796" s="31">
        <v>984</v>
      </c>
      <c r="E796" s="32">
        <v>0.66180555555555554</v>
      </c>
      <c r="F796" s="32">
        <v>0.69513888888888886</v>
      </c>
      <c r="G796" s="31" t="s">
        <v>526</v>
      </c>
      <c r="H796" s="31" t="s">
        <v>505</v>
      </c>
      <c r="I796" s="33">
        <v>29</v>
      </c>
      <c r="J796" s="34" t="s">
        <v>93</v>
      </c>
      <c r="K796" s="35">
        <v>12</v>
      </c>
      <c r="L796" s="36">
        <f>+K796*I796</f>
        <v>348</v>
      </c>
      <c r="M796" s="37" t="s">
        <v>771</v>
      </c>
      <c r="N796" s="23" t="s">
        <v>1004</v>
      </c>
      <c r="O796" s="23">
        <v>23</v>
      </c>
      <c r="P796" s="23" t="s">
        <v>864</v>
      </c>
      <c r="Q796" s="23">
        <v>23</v>
      </c>
      <c r="R796" s="23" t="s">
        <v>866</v>
      </c>
      <c r="S796" s="24">
        <v>21</v>
      </c>
      <c r="T796" s="7" t="s">
        <v>1332</v>
      </c>
      <c r="U796" s="7" t="s">
        <v>1333</v>
      </c>
      <c r="V796" s="7">
        <v>6220</v>
      </c>
      <c r="W796" s="7" t="s">
        <v>1281</v>
      </c>
      <c r="X796" s="17"/>
      <c r="Y796" s="18"/>
      <c r="Z796" s="18"/>
      <c r="AA796" s="18"/>
      <c r="AB796" s="7" t="s">
        <v>1058</v>
      </c>
      <c r="AC796" s="8"/>
      <c r="AD796" s="8" t="s">
        <v>726</v>
      </c>
      <c r="AE796" s="8" t="s">
        <v>726</v>
      </c>
      <c r="AF796" s="8"/>
      <c r="AG796" s="8"/>
      <c r="AH796" s="8"/>
      <c r="AI796" s="8"/>
      <c r="AJ796" s="8"/>
      <c r="AK796" s="8"/>
      <c r="AL796" s="8" t="s">
        <v>726</v>
      </c>
      <c r="AM796" s="8"/>
      <c r="AN796" s="8"/>
      <c r="AO796" s="8"/>
      <c r="AP796" s="8"/>
      <c r="AQ796" s="8"/>
      <c r="AR796" s="8"/>
      <c r="AS796" s="8"/>
      <c r="AT796" s="8"/>
      <c r="AU796" s="8"/>
      <c r="AV796" s="8"/>
      <c r="AX796" s="142">
        <v>87</v>
      </c>
    </row>
    <row r="797" spans="2:50" ht="25.5">
      <c r="B797" s="27">
        <v>784</v>
      </c>
      <c r="C797" s="31">
        <v>620</v>
      </c>
      <c r="D797" s="31">
        <v>979</v>
      </c>
      <c r="E797" s="32">
        <v>0.66875000000000007</v>
      </c>
      <c r="F797" s="32">
        <v>0.71458333333333324</v>
      </c>
      <c r="G797" s="31" t="s">
        <v>472</v>
      </c>
      <c r="H797" s="31" t="s">
        <v>499</v>
      </c>
      <c r="I797" s="33">
        <v>32.5</v>
      </c>
      <c r="J797" s="34" t="s">
        <v>188</v>
      </c>
      <c r="K797" s="35">
        <v>67</v>
      </c>
      <c r="L797" s="36">
        <f>+K797*I797</f>
        <v>2177.5</v>
      </c>
      <c r="M797" s="37" t="s">
        <v>728</v>
      </c>
      <c r="N797" s="23" t="s">
        <v>966</v>
      </c>
      <c r="O797" s="23">
        <v>31</v>
      </c>
      <c r="P797" s="23" t="s">
        <v>1841</v>
      </c>
      <c r="Q797" s="23">
        <v>54</v>
      </c>
      <c r="S797" s="23"/>
      <c r="T797" s="7">
        <v>6220</v>
      </c>
      <c r="U797" s="7" t="s">
        <v>1281</v>
      </c>
      <c r="V797" s="7" t="s">
        <v>1332</v>
      </c>
      <c r="W797" s="7" t="s">
        <v>1333</v>
      </c>
      <c r="X797" s="17"/>
      <c r="Y797" s="18"/>
      <c r="Z797" s="18"/>
      <c r="AA797" s="18"/>
      <c r="AB797" s="8" t="s">
        <v>1047</v>
      </c>
      <c r="AC797" s="8"/>
      <c r="AD797" s="8" t="s">
        <v>726</v>
      </c>
      <c r="AE797" s="8" t="s">
        <v>726</v>
      </c>
      <c r="AF797" s="8"/>
      <c r="AG797" s="8" t="s">
        <v>726</v>
      </c>
      <c r="AH797" s="8" t="s">
        <v>726</v>
      </c>
      <c r="AI797" s="8" t="s">
        <v>726</v>
      </c>
      <c r="AJ797" s="8" t="s">
        <v>726</v>
      </c>
      <c r="AK797" s="8" t="s">
        <v>726</v>
      </c>
      <c r="AL797" s="8" t="s">
        <v>726</v>
      </c>
      <c r="AM797" s="8"/>
      <c r="AN797" s="8"/>
      <c r="AO797" s="8"/>
      <c r="AP797" s="8"/>
      <c r="AQ797" s="8"/>
      <c r="AR797" s="8"/>
      <c r="AS797" s="8"/>
      <c r="AT797" s="8"/>
      <c r="AU797" s="8"/>
      <c r="AV797" s="8"/>
      <c r="AX797" s="142">
        <v>97.5</v>
      </c>
    </row>
    <row r="798" spans="2:50" ht="25.5">
      <c r="B798" s="27">
        <v>785</v>
      </c>
      <c r="C798" s="31">
        <v>620</v>
      </c>
      <c r="D798" s="31">
        <v>979</v>
      </c>
      <c r="E798" s="32">
        <v>0.66875000000000007</v>
      </c>
      <c r="F798" s="32">
        <v>0.71458333333333324</v>
      </c>
      <c r="G798" s="31" t="s">
        <v>472</v>
      </c>
      <c r="H798" s="31" t="s">
        <v>477</v>
      </c>
      <c r="I798" s="33">
        <v>32.5</v>
      </c>
      <c r="J798" s="34" t="s">
        <v>188</v>
      </c>
      <c r="K798" s="35">
        <v>240</v>
      </c>
      <c r="L798" s="36">
        <f>+K798*I798</f>
        <v>7800</v>
      </c>
      <c r="M798" s="37" t="s">
        <v>728</v>
      </c>
      <c r="N798" s="23" t="s">
        <v>966</v>
      </c>
      <c r="O798" s="23">
        <v>31</v>
      </c>
      <c r="P798" s="23" t="s">
        <v>1841</v>
      </c>
      <c r="Q798" s="23">
        <v>54</v>
      </c>
      <c r="S798" s="23"/>
      <c r="T798" s="7">
        <v>6220</v>
      </c>
      <c r="U798" s="7" t="s">
        <v>1281</v>
      </c>
      <c r="V798" s="7" t="s">
        <v>1332</v>
      </c>
      <c r="W798" s="7" t="s">
        <v>1333</v>
      </c>
      <c r="X798" s="18"/>
      <c r="Y798" s="17"/>
      <c r="Z798" s="18"/>
      <c r="AA798" s="18"/>
      <c r="AB798" s="7" t="s">
        <v>1052</v>
      </c>
      <c r="AC798" s="8" t="s">
        <v>726</v>
      </c>
      <c r="AD798" s="8"/>
      <c r="AE798" s="8" t="s">
        <v>726</v>
      </c>
      <c r="AF798" s="8"/>
      <c r="AG798" s="8" t="s">
        <v>726</v>
      </c>
      <c r="AH798" s="8" t="s">
        <v>726</v>
      </c>
      <c r="AI798" s="8" t="s">
        <v>726</v>
      </c>
      <c r="AJ798" s="8" t="s">
        <v>726</v>
      </c>
      <c r="AK798" s="8" t="s">
        <v>726</v>
      </c>
      <c r="AL798" s="8" t="s">
        <v>726</v>
      </c>
      <c r="AM798" s="8"/>
      <c r="AN798" s="8"/>
      <c r="AO798" s="8"/>
      <c r="AP798" s="8"/>
      <c r="AQ798" s="8"/>
      <c r="AR798" s="8"/>
      <c r="AS798" s="8"/>
      <c r="AT798" s="8"/>
      <c r="AU798" s="8"/>
      <c r="AV798" s="8"/>
      <c r="AX798" s="142">
        <v>97.5</v>
      </c>
    </row>
    <row r="799" spans="2:50" ht="25.5">
      <c r="B799" s="27">
        <v>786</v>
      </c>
      <c r="C799" s="31">
        <v>620</v>
      </c>
      <c r="D799" s="31">
        <v>226</v>
      </c>
      <c r="E799" s="32">
        <v>0.70277777777777783</v>
      </c>
      <c r="F799" s="32">
        <v>0.71458333333333324</v>
      </c>
      <c r="G799" s="31" t="s">
        <v>560</v>
      </c>
      <c r="H799" s="31" t="s">
        <v>103</v>
      </c>
      <c r="I799" s="33">
        <v>9.4</v>
      </c>
      <c r="J799" s="34" t="s">
        <v>93</v>
      </c>
      <c r="K799" s="35">
        <v>174</v>
      </c>
      <c r="L799" s="36">
        <f>+K799*I799</f>
        <v>1635.6000000000001</v>
      </c>
      <c r="M799" s="37" t="s">
        <v>729</v>
      </c>
      <c r="N799" s="23" t="s">
        <v>896</v>
      </c>
      <c r="O799" s="23">
        <v>21</v>
      </c>
      <c r="P799" s="23" t="s">
        <v>1838</v>
      </c>
      <c r="Q799" s="23">
        <v>24</v>
      </c>
      <c r="S799" s="23"/>
      <c r="T799" s="7">
        <v>6140</v>
      </c>
      <c r="U799" s="7" t="s">
        <v>1622</v>
      </c>
      <c r="V799" s="7">
        <v>6143</v>
      </c>
      <c r="W799" s="7" t="s">
        <v>1632</v>
      </c>
      <c r="X799" s="18"/>
      <c r="Y799" s="17"/>
      <c r="Z799" s="17"/>
      <c r="AA799" s="17"/>
      <c r="AB799" s="7" t="s">
        <v>1042</v>
      </c>
      <c r="AC799" s="8"/>
      <c r="AD799" s="8"/>
      <c r="AE799" s="8"/>
      <c r="AF799" s="8" t="s">
        <v>726</v>
      </c>
      <c r="AG799" s="8" t="s">
        <v>726</v>
      </c>
      <c r="AH799" s="8" t="s">
        <v>726</v>
      </c>
      <c r="AI799" s="8" t="s">
        <v>726</v>
      </c>
      <c r="AJ799" s="8" t="s">
        <v>726</v>
      </c>
      <c r="AK799" s="8" t="s">
        <v>726</v>
      </c>
      <c r="AL799" s="8"/>
      <c r="AM799" s="8"/>
      <c r="AN799" s="8"/>
      <c r="AO799" s="8"/>
      <c r="AP799" s="8"/>
      <c r="AQ799" s="8"/>
      <c r="AR799" s="8"/>
      <c r="AS799" s="8"/>
      <c r="AT799" s="8"/>
      <c r="AU799" s="8"/>
      <c r="AV799" s="8"/>
      <c r="AX799" s="142">
        <v>34.200000000000003</v>
      </c>
    </row>
    <row r="800" spans="2:50" ht="33.75">
      <c r="B800" s="27">
        <v>787</v>
      </c>
      <c r="C800" s="31">
        <v>620</v>
      </c>
      <c r="D800" s="31">
        <v>228</v>
      </c>
      <c r="E800" s="32">
        <v>0.74305555555555547</v>
      </c>
      <c r="F800" s="42">
        <v>0.77222222222222225</v>
      </c>
      <c r="G800" s="31" t="s">
        <v>471</v>
      </c>
      <c r="H800" s="31" t="s">
        <v>474</v>
      </c>
      <c r="I800" s="33">
        <v>26</v>
      </c>
      <c r="J800" s="34" t="s">
        <v>188</v>
      </c>
      <c r="K800" s="35">
        <v>38</v>
      </c>
      <c r="L800" s="36">
        <f>+K800*I800</f>
        <v>988</v>
      </c>
      <c r="M800" s="37" t="s">
        <v>728</v>
      </c>
      <c r="N800" s="23" t="s">
        <v>966</v>
      </c>
      <c r="O800" s="23">
        <v>31</v>
      </c>
      <c r="P800" s="23" t="s">
        <v>1841</v>
      </c>
      <c r="Q800" s="23">
        <v>54</v>
      </c>
      <c r="S800" s="23"/>
      <c r="T800" s="7">
        <v>6120</v>
      </c>
      <c r="U800" s="7" t="s">
        <v>1238</v>
      </c>
      <c r="V800" s="7">
        <v>6220</v>
      </c>
      <c r="W800" s="7" t="s">
        <v>1281</v>
      </c>
      <c r="X800" s="18"/>
      <c r="Y800" s="17"/>
      <c r="Z800" s="18"/>
      <c r="AA800" s="18"/>
      <c r="AB800" s="8" t="s">
        <v>1065</v>
      </c>
      <c r="AC800" s="8" t="s">
        <v>726</v>
      </c>
      <c r="AD800" s="8"/>
      <c r="AE800" s="8" t="s">
        <v>726</v>
      </c>
      <c r="AF800" s="8"/>
      <c r="AG800" s="8"/>
      <c r="AH800" s="8"/>
      <c r="AI800" s="8"/>
      <c r="AJ800" s="8"/>
      <c r="AK800" s="8"/>
      <c r="AL800" s="8" t="s">
        <v>726</v>
      </c>
      <c r="AM800" s="8"/>
      <c r="AN800" s="8"/>
      <c r="AO800" s="8"/>
      <c r="AP800" s="8"/>
      <c r="AQ800" s="8"/>
      <c r="AR800" s="8"/>
      <c r="AS800" s="8"/>
      <c r="AT800" s="8"/>
      <c r="AU800" s="8"/>
      <c r="AV800" s="8"/>
      <c r="AX800" s="142">
        <v>78</v>
      </c>
    </row>
    <row r="801" spans="2:50" ht="33.75">
      <c r="B801" s="27">
        <v>788</v>
      </c>
      <c r="C801" s="31">
        <v>620</v>
      </c>
      <c r="D801" s="31">
        <v>228</v>
      </c>
      <c r="E801" s="32">
        <v>0.74305555555555547</v>
      </c>
      <c r="F801" s="32">
        <v>0.77013888888888893</v>
      </c>
      <c r="G801" s="31" t="s">
        <v>504</v>
      </c>
      <c r="H801" s="31" t="s">
        <v>505</v>
      </c>
      <c r="I801" s="33">
        <v>26</v>
      </c>
      <c r="J801" s="34" t="s">
        <v>188</v>
      </c>
      <c r="K801" s="35">
        <v>12</v>
      </c>
      <c r="L801" s="36">
        <f>+K801*I801</f>
        <v>312</v>
      </c>
      <c r="M801" s="37" t="s">
        <v>728</v>
      </c>
      <c r="N801" s="23" t="s">
        <v>966</v>
      </c>
      <c r="O801" s="23">
        <v>31</v>
      </c>
      <c r="P801" s="23" t="s">
        <v>1841</v>
      </c>
      <c r="Q801" s="23">
        <v>54</v>
      </c>
      <c r="S801" s="23"/>
      <c r="T801" s="7">
        <v>6120</v>
      </c>
      <c r="U801" s="7" t="s">
        <v>1238</v>
      </c>
      <c r="V801" s="7">
        <v>6220</v>
      </c>
      <c r="W801" s="7" t="s">
        <v>1281</v>
      </c>
      <c r="X801" s="17"/>
      <c r="Y801" s="18"/>
      <c r="Z801" s="18"/>
      <c r="AA801" s="18"/>
      <c r="AB801" s="7" t="s">
        <v>1058</v>
      </c>
      <c r="AC801" s="8"/>
      <c r="AD801" s="8" t="s">
        <v>726</v>
      </c>
      <c r="AE801" s="8" t="s">
        <v>726</v>
      </c>
      <c r="AF801" s="8"/>
      <c r="AG801" s="8"/>
      <c r="AH801" s="8"/>
      <c r="AI801" s="8"/>
      <c r="AJ801" s="8"/>
      <c r="AK801" s="8"/>
      <c r="AL801" s="8" t="s">
        <v>726</v>
      </c>
      <c r="AM801" s="8"/>
      <c r="AN801" s="8"/>
      <c r="AO801" s="8"/>
      <c r="AP801" s="8"/>
      <c r="AQ801" s="8"/>
      <c r="AR801" s="8"/>
      <c r="AS801" s="8"/>
      <c r="AT801" s="8"/>
      <c r="AU801" s="8"/>
      <c r="AV801" s="8"/>
      <c r="AX801" s="142">
        <v>78</v>
      </c>
    </row>
    <row r="802" spans="2:50" ht="33.75">
      <c r="B802" s="27">
        <v>789</v>
      </c>
      <c r="C802" s="31">
        <v>620</v>
      </c>
      <c r="D802" s="31">
        <v>988</v>
      </c>
      <c r="E802" s="32">
        <v>0.77222222222222225</v>
      </c>
      <c r="F802" s="32">
        <v>0.79652777777777783</v>
      </c>
      <c r="G802" s="31" t="s">
        <v>523</v>
      </c>
      <c r="H802" s="31" t="s">
        <v>477</v>
      </c>
      <c r="I802" s="33">
        <v>16</v>
      </c>
      <c r="J802" s="34" t="s">
        <v>93</v>
      </c>
      <c r="K802" s="35">
        <v>240</v>
      </c>
      <c r="L802" s="36">
        <f>+K802*I802</f>
        <v>3840</v>
      </c>
      <c r="M802" s="37" t="s">
        <v>728</v>
      </c>
      <c r="N802" s="23" t="s">
        <v>897</v>
      </c>
      <c r="O802" s="23">
        <v>21</v>
      </c>
      <c r="P802" s="23" t="s">
        <v>966</v>
      </c>
      <c r="Q802" s="23">
        <v>31</v>
      </c>
      <c r="R802" s="23" t="s">
        <v>1841</v>
      </c>
      <c r="S802" s="23">
        <v>54</v>
      </c>
      <c r="T802" s="7">
        <v>6120</v>
      </c>
      <c r="U802" s="7" t="s">
        <v>1238</v>
      </c>
      <c r="V802" s="7">
        <v>6147</v>
      </c>
      <c r="W802" s="7" t="s">
        <v>1635</v>
      </c>
      <c r="X802" s="18"/>
      <c r="Y802" s="17"/>
      <c r="Z802" s="18"/>
      <c r="AA802" s="18"/>
      <c r="AB802" s="7" t="s">
        <v>1052</v>
      </c>
      <c r="AC802" s="8" t="s">
        <v>726</v>
      </c>
      <c r="AD802" s="8"/>
      <c r="AE802" s="8" t="s">
        <v>726</v>
      </c>
      <c r="AF802" s="8"/>
      <c r="AG802" s="8" t="s">
        <v>726</v>
      </c>
      <c r="AH802" s="8" t="s">
        <v>726</v>
      </c>
      <c r="AI802" s="8" t="s">
        <v>726</v>
      </c>
      <c r="AJ802" s="8" t="s">
        <v>726</v>
      </c>
      <c r="AK802" s="8" t="s">
        <v>726</v>
      </c>
      <c r="AL802" s="8" t="s">
        <v>726</v>
      </c>
      <c r="AM802" s="8"/>
      <c r="AN802" s="8"/>
      <c r="AO802" s="8"/>
      <c r="AP802" s="8"/>
      <c r="AQ802" s="8"/>
      <c r="AR802" s="8"/>
      <c r="AS802" s="8"/>
      <c r="AT802" s="8"/>
      <c r="AU802" s="8"/>
      <c r="AV802" s="8"/>
      <c r="AX802" s="142">
        <v>48</v>
      </c>
    </row>
    <row r="803" spans="2:50" ht="33.75">
      <c r="B803" s="27">
        <v>790</v>
      </c>
      <c r="C803" s="31">
        <v>620</v>
      </c>
      <c r="D803" s="118">
        <v>988</v>
      </c>
      <c r="E803" s="123">
        <v>0.77777777777777779</v>
      </c>
      <c r="F803" s="123">
        <v>0.80208333333333337</v>
      </c>
      <c r="G803" s="31" t="s">
        <v>503</v>
      </c>
      <c r="H803" s="31" t="s">
        <v>499</v>
      </c>
      <c r="I803" s="33">
        <v>16</v>
      </c>
      <c r="J803" s="34" t="s">
        <v>93</v>
      </c>
      <c r="K803" s="35">
        <v>67</v>
      </c>
      <c r="L803" s="36">
        <f>+K803*I803</f>
        <v>1072</v>
      </c>
      <c r="M803" s="37" t="s">
        <v>728</v>
      </c>
      <c r="N803" s="23" t="s">
        <v>899</v>
      </c>
      <c r="O803" s="23">
        <v>21</v>
      </c>
      <c r="P803" s="23" t="s">
        <v>897</v>
      </c>
      <c r="Q803" s="23">
        <v>21</v>
      </c>
      <c r="S803" s="23"/>
      <c r="T803" s="7">
        <v>6120</v>
      </c>
      <c r="U803" s="7" t="s">
        <v>1238</v>
      </c>
      <c r="V803" s="7">
        <v>6147</v>
      </c>
      <c r="W803" s="7" t="s">
        <v>1635</v>
      </c>
      <c r="X803" s="17"/>
      <c r="Y803" s="18"/>
      <c r="Z803" s="18"/>
      <c r="AA803" s="18"/>
      <c r="AB803" s="8" t="s">
        <v>1047</v>
      </c>
      <c r="AC803" s="8"/>
      <c r="AD803" s="8" t="s">
        <v>726</v>
      </c>
      <c r="AE803" s="8" t="s">
        <v>726</v>
      </c>
      <c r="AF803" s="8"/>
      <c r="AG803" s="8" t="s">
        <v>726</v>
      </c>
      <c r="AH803" s="8" t="s">
        <v>726</v>
      </c>
      <c r="AI803" s="8" t="s">
        <v>726</v>
      </c>
      <c r="AJ803" s="8" t="s">
        <v>726</v>
      </c>
      <c r="AK803" s="8" t="s">
        <v>726</v>
      </c>
      <c r="AL803" s="8" t="s">
        <v>726</v>
      </c>
      <c r="AM803" s="8"/>
      <c r="AN803" s="8"/>
      <c r="AO803" s="8"/>
      <c r="AP803" s="8"/>
      <c r="AQ803" s="8"/>
      <c r="AR803" s="8"/>
      <c r="AS803" s="8"/>
      <c r="AT803" s="8"/>
      <c r="AU803" s="8"/>
      <c r="AV803" s="8"/>
      <c r="AX803" s="142">
        <v>48</v>
      </c>
    </row>
    <row r="804" spans="2:50" ht="25.5">
      <c r="B804" s="27">
        <v>791</v>
      </c>
      <c r="C804" s="31">
        <v>620</v>
      </c>
      <c r="D804" s="31">
        <v>983</v>
      </c>
      <c r="E804" s="32">
        <v>0.79513888888888884</v>
      </c>
      <c r="F804" s="32">
        <v>0.84027777777777779</v>
      </c>
      <c r="G804" s="31" t="s">
        <v>472</v>
      </c>
      <c r="H804" s="31" t="s">
        <v>505</v>
      </c>
      <c r="I804" s="33">
        <v>32.5</v>
      </c>
      <c r="J804" s="34" t="s">
        <v>188</v>
      </c>
      <c r="K804" s="35">
        <v>12</v>
      </c>
      <c r="L804" s="36">
        <f>+K804*I804</f>
        <v>390</v>
      </c>
      <c r="M804" s="37" t="s">
        <v>728</v>
      </c>
      <c r="N804" s="23" t="s">
        <v>966</v>
      </c>
      <c r="O804" s="23">
        <v>31</v>
      </c>
      <c r="P804" s="23" t="s">
        <v>1841</v>
      </c>
      <c r="Q804" s="23">
        <v>54</v>
      </c>
      <c r="S804" s="23"/>
      <c r="T804" s="7">
        <v>6220</v>
      </c>
      <c r="U804" s="7" t="s">
        <v>1281</v>
      </c>
      <c r="V804" s="7" t="s">
        <v>1332</v>
      </c>
      <c r="W804" s="7" t="s">
        <v>1333</v>
      </c>
      <c r="X804" s="17"/>
      <c r="Y804" s="18"/>
      <c r="Z804" s="18"/>
      <c r="AA804" s="18"/>
      <c r="AB804" s="7" t="s">
        <v>1058</v>
      </c>
      <c r="AC804" s="8"/>
      <c r="AD804" s="8" t="s">
        <v>726</v>
      </c>
      <c r="AE804" s="8" t="s">
        <v>726</v>
      </c>
      <c r="AF804" s="8"/>
      <c r="AG804" s="8"/>
      <c r="AH804" s="8"/>
      <c r="AI804" s="8"/>
      <c r="AJ804" s="8"/>
      <c r="AK804" s="8"/>
      <c r="AL804" s="8" t="s">
        <v>726</v>
      </c>
      <c r="AM804" s="8"/>
      <c r="AN804" s="8"/>
      <c r="AO804" s="8"/>
      <c r="AP804" s="8"/>
      <c r="AQ804" s="8"/>
      <c r="AR804" s="8"/>
      <c r="AS804" s="8"/>
      <c r="AT804" s="8"/>
      <c r="AU804" s="8"/>
      <c r="AV804" s="8"/>
      <c r="AX804" s="142">
        <v>97.5</v>
      </c>
    </row>
    <row r="805" spans="2:50" ht="25.5">
      <c r="B805" s="27">
        <v>792</v>
      </c>
      <c r="C805" s="31">
        <v>620</v>
      </c>
      <c r="D805" s="31">
        <v>983</v>
      </c>
      <c r="E805" s="32">
        <v>0.79513888888888884</v>
      </c>
      <c r="F805" s="32">
        <v>0.84097222222222223</v>
      </c>
      <c r="G805" s="31" t="s">
        <v>472</v>
      </c>
      <c r="H805" s="31" t="s">
        <v>97</v>
      </c>
      <c r="I805" s="33">
        <v>32.5</v>
      </c>
      <c r="J805" s="34" t="s">
        <v>188</v>
      </c>
      <c r="K805" s="35">
        <v>208</v>
      </c>
      <c r="L805" s="36">
        <f>+K805*I805</f>
        <v>6760</v>
      </c>
      <c r="M805" s="37" t="s">
        <v>728</v>
      </c>
      <c r="N805" s="23" t="s">
        <v>897</v>
      </c>
      <c r="O805" s="23">
        <v>21</v>
      </c>
      <c r="P805" s="23" t="s">
        <v>966</v>
      </c>
      <c r="Q805" s="23">
        <v>31</v>
      </c>
      <c r="R805" s="23" t="s">
        <v>899</v>
      </c>
      <c r="S805" s="23">
        <v>21</v>
      </c>
      <c r="T805" s="7">
        <v>6220</v>
      </c>
      <c r="U805" s="7" t="s">
        <v>1281</v>
      </c>
      <c r="V805" s="7" t="s">
        <v>1332</v>
      </c>
      <c r="W805" s="7" t="s">
        <v>1333</v>
      </c>
      <c r="X805" s="18"/>
      <c r="Y805" s="17"/>
      <c r="Z805" s="17"/>
      <c r="AA805" s="17"/>
      <c r="AB805" s="7" t="s">
        <v>1046</v>
      </c>
      <c r="AC805" s="8"/>
      <c r="AD805" s="8"/>
      <c r="AE805" s="8"/>
      <c r="AF805" s="8" t="s">
        <v>726</v>
      </c>
      <c r="AG805" s="8" t="s">
        <v>726</v>
      </c>
      <c r="AH805" s="8" t="s">
        <v>726</v>
      </c>
      <c r="AI805" s="8" t="s">
        <v>726</v>
      </c>
      <c r="AJ805" s="8" t="s">
        <v>726</v>
      </c>
      <c r="AK805" s="8" t="s">
        <v>726</v>
      </c>
      <c r="AL805" s="8" t="s">
        <v>726</v>
      </c>
      <c r="AM805" s="8"/>
      <c r="AN805" s="8"/>
      <c r="AO805" s="8"/>
      <c r="AP805" s="8"/>
      <c r="AQ805" s="8"/>
      <c r="AR805" s="8"/>
      <c r="AS805" s="8"/>
      <c r="AT805" s="8"/>
      <c r="AU805" s="8"/>
      <c r="AV805" s="8"/>
      <c r="AX805" s="142">
        <v>97.5</v>
      </c>
    </row>
    <row r="806" spans="2:50" ht="33.75">
      <c r="B806" s="27">
        <v>793</v>
      </c>
      <c r="C806" s="31">
        <v>620</v>
      </c>
      <c r="D806" s="31">
        <v>214</v>
      </c>
      <c r="E806" s="32">
        <v>0.87013888888888891</v>
      </c>
      <c r="F806" s="32">
        <v>0.90347222222222223</v>
      </c>
      <c r="G806" s="31" t="s">
        <v>526</v>
      </c>
      <c r="H806" s="31" t="s">
        <v>103</v>
      </c>
      <c r="I806" s="33">
        <v>29</v>
      </c>
      <c r="J806" s="34" t="s">
        <v>146</v>
      </c>
      <c r="K806" s="35">
        <v>174</v>
      </c>
      <c r="L806" s="36">
        <f>+K806*I806</f>
        <v>5046</v>
      </c>
      <c r="M806" s="37" t="s">
        <v>728</v>
      </c>
      <c r="N806" s="23" t="s">
        <v>897</v>
      </c>
      <c r="O806" s="23">
        <v>21</v>
      </c>
      <c r="P806" s="23" t="s">
        <v>966</v>
      </c>
      <c r="Q806" s="23">
        <v>31</v>
      </c>
      <c r="R806" s="23" t="s">
        <v>899</v>
      </c>
      <c r="S806" s="23">
        <v>21</v>
      </c>
      <c r="T806" s="7" t="s">
        <v>1332</v>
      </c>
      <c r="U806" s="7" t="s">
        <v>1333</v>
      </c>
      <c r="V806" s="7">
        <v>6220</v>
      </c>
      <c r="W806" s="7" t="s">
        <v>1281</v>
      </c>
      <c r="X806" s="18"/>
      <c r="Y806" s="17"/>
      <c r="Z806" s="17"/>
      <c r="AA806" s="17"/>
      <c r="AB806" s="7" t="s">
        <v>1042</v>
      </c>
      <c r="AC806" s="8"/>
      <c r="AD806" s="8"/>
      <c r="AE806" s="8"/>
      <c r="AF806" s="8" t="s">
        <v>726</v>
      </c>
      <c r="AG806" s="8" t="s">
        <v>726</v>
      </c>
      <c r="AH806" s="8" t="s">
        <v>726</v>
      </c>
      <c r="AI806" s="8" t="s">
        <v>726</v>
      </c>
      <c r="AJ806" s="8" t="s">
        <v>726</v>
      </c>
      <c r="AK806" s="8" t="s">
        <v>726</v>
      </c>
      <c r="AL806" s="8"/>
      <c r="AM806" s="8"/>
      <c r="AN806" s="8"/>
      <c r="AO806" s="8"/>
      <c r="AP806" s="8"/>
      <c r="AQ806" s="8"/>
      <c r="AR806" s="8"/>
      <c r="AS806" s="8"/>
      <c r="AT806" s="8"/>
      <c r="AU806" s="8"/>
      <c r="AV806" s="8"/>
      <c r="AX806" s="142">
        <v>87</v>
      </c>
    </row>
    <row r="807" spans="2:50" ht="38.25">
      <c r="B807" s="27">
        <v>794</v>
      </c>
      <c r="C807" s="31">
        <v>621</v>
      </c>
      <c r="D807" s="43" t="s">
        <v>999</v>
      </c>
      <c r="E807" s="32">
        <v>0.29930555555555555</v>
      </c>
      <c r="F807" s="32">
        <v>0.32083333333333336</v>
      </c>
      <c r="G807" s="40" t="s">
        <v>407</v>
      </c>
      <c r="H807" s="31" t="s">
        <v>103</v>
      </c>
      <c r="I807" s="33">
        <v>15</v>
      </c>
      <c r="J807" s="34" t="s">
        <v>111</v>
      </c>
      <c r="K807" s="35">
        <v>174</v>
      </c>
      <c r="L807" s="36">
        <f>+K807*I807</f>
        <v>2610</v>
      </c>
      <c r="M807" s="37" t="s">
        <v>770</v>
      </c>
      <c r="N807" s="23" t="s">
        <v>849</v>
      </c>
      <c r="O807" s="23">
        <v>57</v>
      </c>
      <c r="P807" s="72" t="s">
        <v>1195</v>
      </c>
      <c r="Q807" s="72" t="s">
        <v>1196</v>
      </c>
      <c r="R807" s="23" t="s">
        <v>1197</v>
      </c>
      <c r="S807" s="23">
        <v>31</v>
      </c>
      <c r="T807" s="7">
        <v>6120</v>
      </c>
      <c r="U807" s="7" t="s">
        <v>1238</v>
      </c>
      <c r="V807" s="7" t="s">
        <v>1636</v>
      </c>
      <c r="W807" s="7" t="s">
        <v>1637</v>
      </c>
      <c r="X807" s="18"/>
      <c r="Y807" s="17"/>
      <c r="Z807" s="17"/>
      <c r="AA807" s="17"/>
      <c r="AB807" s="7" t="s">
        <v>1042</v>
      </c>
      <c r="AC807" s="8"/>
      <c r="AD807" s="8"/>
      <c r="AE807" s="8"/>
      <c r="AF807" s="8" t="s">
        <v>726</v>
      </c>
      <c r="AG807" s="8" t="s">
        <v>726</v>
      </c>
      <c r="AH807" s="8" t="s">
        <v>726</v>
      </c>
      <c r="AI807" s="8" t="s">
        <v>726</v>
      </c>
      <c r="AJ807" s="8" t="s">
        <v>726</v>
      </c>
      <c r="AK807" s="8" t="s">
        <v>726</v>
      </c>
      <c r="AL807" s="8"/>
      <c r="AM807" s="8"/>
      <c r="AN807" s="8"/>
      <c r="AO807" s="8"/>
      <c r="AP807" s="8"/>
      <c r="AQ807" s="8"/>
      <c r="AR807" s="8"/>
      <c r="AS807" s="8"/>
      <c r="AT807" s="8"/>
      <c r="AU807" s="8"/>
      <c r="AV807" s="8"/>
      <c r="AX807" s="142">
        <v>218.07</v>
      </c>
    </row>
    <row r="808" spans="2:50" ht="38.25">
      <c r="B808" s="27">
        <v>795</v>
      </c>
      <c r="C808" s="31">
        <v>621</v>
      </c>
      <c r="D808" s="31">
        <v>968</v>
      </c>
      <c r="E808" s="32">
        <v>0.41319444444444442</v>
      </c>
      <c r="F808" s="32">
        <v>0.42986111111111108</v>
      </c>
      <c r="G808" s="31" t="s">
        <v>475</v>
      </c>
      <c r="H808" s="31" t="s">
        <v>477</v>
      </c>
      <c r="I808" s="33">
        <v>13.2</v>
      </c>
      <c r="J808" s="34" t="s">
        <v>93</v>
      </c>
      <c r="K808" s="35">
        <v>240</v>
      </c>
      <c r="L808" s="36">
        <f>+K808*I808</f>
        <v>3168</v>
      </c>
      <c r="M808" s="37" t="s">
        <v>729</v>
      </c>
      <c r="N808" s="23" t="s">
        <v>896</v>
      </c>
      <c r="O808" s="23">
        <v>21</v>
      </c>
      <c r="P808" s="79" t="s">
        <v>1906</v>
      </c>
      <c r="Q808" s="79">
        <v>42</v>
      </c>
      <c r="R808" s="23" t="s">
        <v>895</v>
      </c>
      <c r="S808" s="24">
        <v>24</v>
      </c>
      <c r="T808" s="7" t="s">
        <v>1276</v>
      </c>
      <c r="U808" s="7" t="s">
        <v>1277</v>
      </c>
      <c r="V808" s="7">
        <v>6120</v>
      </c>
      <c r="W808" s="7" t="s">
        <v>1238</v>
      </c>
      <c r="X808" s="18"/>
      <c r="Y808" s="17"/>
      <c r="Z808" s="18"/>
      <c r="AA808" s="18"/>
      <c r="AB808" s="7" t="s">
        <v>1052</v>
      </c>
      <c r="AC808" s="8" t="s">
        <v>726</v>
      </c>
      <c r="AD808" s="8"/>
      <c r="AE808" s="8" t="s">
        <v>726</v>
      </c>
      <c r="AF808" s="8"/>
      <c r="AG808" s="8" t="s">
        <v>726</v>
      </c>
      <c r="AH808" s="8" t="s">
        <v>726</v>
      </c>
      <c r="AI808" s="8" t="s">
        <v>726</v>
      </c>
      <c r="AJ808" s="8" t="s">
        <v>726</v>
      </c>
      <c r="AK808" s="8" t="s">
        <v>726</v>
      </c>
      <c r="AL808" s="8" t="s">
        <v>726</v>
      </c>
      <c r="AM808" s="8"/>
      <c r="AN808" s="8"/>
      <c r="AO808" s="8"/>
      <c r="AP808" s="8"/>
      <c r="AQ808" s="8"/>
      <c r="AR808" s="8"/>
      <c r="AS808" s="8"/>
      <c r="AT808" s="8"/>
      <c r="AU808" s="8"/>
      <c r="AV808" s="8"/>
      <c r="AX808" s="142">
        <v>39.6</v>
      </c>
    </row>
    <row r="809" spans="2:50" ht="33.75">
      <c r="B809" s="27">
        <v>796</v>
      </c>
      <c r="C809" s="31">
        <v>621</v>
      </c>
      <c r="D809" s="31">
        <v>989</v>
      </c>
      <c r="E809" s="32">
        <v>0.47916666666666669</v>
      </c>
      <c r="F809" s="32">
        <v>0.49236111111111108</v>
      </c>
      <c r="G809" s="31" t="s">
        <v>476</v>
      </c>
      <c r="H809" s="31" t="s">
        <v>477</v>
      </c>
      <c r="I809" s="33">
        <v>11.3</v>
      </c>
      <c r="J809" s="34" t="s">
        <v>93</v>
      </c>
      <c r="K809" s="35">
        <v>240</v>
      </c>
      <c r="L809" s="36">
        <f>+K809*I809</f>
        <v>2712</v>
      </c>
      <c r="M809" s="37" t="s">
        <v>729</v>
      </c>
      <c r="N809" s="23" t="s">
        <v>896</v>
      </c>
      <c r="O809" s="23">
        <v>21</v>
      </c>
      <c r="P809" s="79" t="s">
        <v>1906</v>
      </c>
      <c r="Q809" s="79">
        <v>42</v>
      </c>
      <c r="R809" s="23" t="s">
        <v>895</v>
      </c>
      <c r="S809" s="24">
        <v>24</v>
      </c>
      <c r="T809" s="7">
        <v>6120</v>
      </c>
      <c r="U809" s="7" t="s">
        <v>1238</v>
      </c>
      <c r="V809" s="7" t="s">
        <v>1276</v>
      </c>
      <c r="W809" s="7" t="s">
        <v>1277</v>
      </c>
      <c r="X809" s="18"/>
      <c r="Y809" s="17"/>
      <c r="Z809" s="18"/>
      <c r="AA809" s="18"/>
      <c r="AB809" s="7" t="s">
        <v>1052</v>
      </c>
      <c r="AC809" s="8" t="s">
        <v>726</v>
      </c>
      <c r="AD809" s="8"/>
      <c r="AE809" s="8" t="s">
        <v>726</v>
      </c>
      <c r="AF809" s="8"/>
      <c r="AG809" s="8" t="s">
        <v>726</v>
      </c>
      <c r="AH809" s="8" t="s">
        <v>726</v>
      </c>
      <c r="AI809" s="8" t="s">
        <v>726</v>
      </c>
      <c r="AJ809" s="8" t="s">
        <v>726</v>
      </c>
      <c r="AK809" s="8" t="s">
        <v>726</v>
      </c>
      <c r="AL809" s="8" t="s">
        <v>726</v>
      </c>
      <c r="AM809" s="8"/>
      <c r="AN809" s="8"/>
      <c r="AO809" s="8"/>
      <c r="AP809" s="8"/>
      <c r="AQ809" s="8"/>
      <c r="AR809" s="8"/>
      <c r="AS809" s="8"/>
      <c r="AT809" s="8"/>
      <c r="AU809" s="8"/>
      <c r="AV809" s="8"/>
      <c r="AX809" s="142">
        <v>33.9</v>
      </c>
    </row>
    <row r="810" spans="2:50" ht="33.75">
      <c r="B810" s="27">
        <v>797</v>
      </c>
      <c r="C810" s="31">
        <v>621</v>
      </c>
      <c r="D810" s="43">
        <v>991</v>
      </c>
      <c r="E810" s="42">
        <v>0.72222222222222221</v>
      </c>
      <c r="F810" s="42">
        <v>0.73541666666666661</v>
      </c>
      <c r="G810" s="31" t="s">
        <v>476</v>
      </c>
      <c r="H810" s="31" t="s">
        <v>499</v>
      </c>
      <c r="I810" s="33">
        <v>11.3</v>
      </c>
      <c r="J810" s="34" t="s">
        <v>93</v>
      </c>
      <c r="K810" s="35">
        <v>67</v>
      </c>
      <c r="L810" s="36">
        <f>+K810*I810</f>
        <v>757.1</v>
      </c>
      <c r="M810" s="37" t="s">
        <v>729</v>
      </c>
      <c r="N810" s="23" t="s">
        <v>896</v>
      </c>
      <c r="O810" s="23">
        <v>21</v>
      </c>
      <c r="P810" s="79" t="s">
        <v>1906</v>
      </c>
      <c r="Q810" s="79">
        <v>42</v>
      </c>
      <c r="S810" s="23"/>
      <c r="T810" s="7">
        <v>6120</v>
      </c>
      <c r="U810" s="7" t="s">
        <v>1238</v>
      </c>
      <c r="V810" s="7" t="s">
        <v>1276</v>
      </c>
      <c r="W810" s="7" t="s">
        <v>1277</v>
      </c>
      <c r="X810" s="17"/>
      <c r="Y810" s="18"/>
      <c r="Z810" s="18"/>
      <c r="AA810" s="18"/>
      <c r="AB810" s="8" t="s">
        <v>1047</v>
      </c>
      <c r="AC810" s="8"/>
      <c r="AD810" s="8" t="s">
        <v>726</v>
      </c>
      <c r="AE810" s="8" t="s">
        <v>726</v>
      </c>
      <c r="AF810" s="8"/>
      <c r="AG810" s="8" t="s">
        <v>726</v>
      </c>
      <c r="AH810" s="8" t="s">
        <v>726</v>
      </c>
      <c r="AI810" s="8" t="s">
        <v>726</v>
      </c>
      <c r="AJ810" s="8" t="s">
        <v>726</v>
      </c>
      <c r="AK810" s="8" t="s">
        <v>726</v>
      </c>
      <c r="AL810" s="8" t="s">
        <v>726</v>
      </c>
      <c r="AM810" s="8"/>
      <c r="AN810" s="8"/>
      <c r="AO810" s="8"/>
      <c r="AP810" s="8"/>
      <c r="AQ810" s="8"/>
      <c r="AR810" s="8"/>
      <c r="AS810" s="8"/>
      <c r="AT810" s="8"/>
      <c r="AU810" s="8"/>
      <c r="AV810" s="8"/>
      <c r="AX810" s="142">
        <v>33.9</v>
      </c>
    </row>
    <row r="811" spans="2:50" ht="25.5">
      <c r="B811" s="27">
        <v>798</v>
      </c>
      <c r="C811" s="38">
        <v>623</v>
      </c>
      <c r="D811" s="38">
        <v>256</v>
      </c>
      <c r="E811" s="39">
        <v>0.72222222222222221</v>
      </c>
      <c r="F811" s="39">
        <v>0.74097222222222225</v>
      </c>
      <c r="G811" s="40" t="s">
        <v>61</v>
      </c>
      <c r="H811" s="31" t="s">
        <v>477</v>
      </c>
      <c r="I811" s="38">
        <v>12</v>
      </c>
      <c r="J811" s="41">
        <v>19</v>
      </c>
      <c r="K811" s="35">
        <v>240</v>
      </c>
      <c r="L811" s="36">
        <f>+K811*I811</f>
        <v>2880</v>
      </c>
      <c r="M811" s="121" t="s">
        <v>771</v>
      </c>
      <c r="N811" s="79" t="s">
        <v>2100</v>
      </c>
      <c r="O811" s="79">
        <v>20</v>
      </c>
      <c r="P811" s="23" t="s">
        <v>2087</v>
      </c>
      <c r="Q811" s="23">
        <v>21</v>
      </c>
      <c r="S811" s="23"/>
      <c r="T811" s="7">
        <v>6220</v>
      </c>
      <c r="U811" s="7" t="s">
        <v>1281</v>
      </c>
      <c r="V811" s="7">
        <v>6216</v>
      </c>
      <c r="W811" s="7" t="s">
        <v>1638</v>
      </c>
      <c r="X811" s="18"/>
      <c r="Y811" s="17"/>
      <c r="Z811" s="18"/>
      <c r="AA811" s="18"/>
      <c r="AB811" s="7" t="s">
        <v>1052</v>
      </c>
      <c r="AC811" s="8" t="s">
        <v>726</v>
      </c>
      <c r="AD811" s="8"/>
      <c r="AE811" s="8" t="s">
        <v>726</v>
      </c>
      <c r="AF811" s="8"/>
      <c r="AG811" s="8" t="s">
        <v>726</v>
      </c>
      <c r="AH811" s="8" t="s">
        <v>726</v>
      </c>
      <c r="AI811" s="8" t="s">
        <v>726</v>
      </c>
      <c r="AJ811" s="8" t="s">
        <v>726</v>
      </c>
      <c r="AK811" s="8" t="s">
        <v>726</v>
      </c>
      <c r="AL811" s="8" t="s">
        <v>726</v>
      </c>
      <c r="AM811" s="8"/>
      <c r="AN811" s="8"/>
      <c r="AO811" s="8"/>
      <c r="AP811" s="8"/>
      <c r="AQ811" s="8"/>
      <c r="AR811" s="8"/>
      <c r="AS811" s="8"/>
      <c r="AT811" s="8"/>
      <c r="AU811" s="8"/>
      <c r="AV811" s="8"/>
      <c r="AX811" s="142">
        <v>21.198916499823341</v>
      </c>
    </row>
    <row r="812" spans="2:50" ht="25.5">
      <c r="B812" s="27">
        <v>799</v>
      </c>
      <c r="C812" s="38">
        <v>623</v>
      </c>
      <c r="D812" s="38">
        <v>264</v>
      </c>
      <c r="E812" s="134">
        <v>0.72222222222222221</v>
      </c>
      <c r="F812" s="134">
        <v>0.74097222222222225</v>
      </c>
      <c r="G812" s="40" t="s">
        <v>57</v>
      </c>
      <c r="H812" s="31" t="s">
        <v>423</v>
      </c>
      <c r="I812" s="38">
        <v>12</v>
      </c>
      <c r="J812" s="41">
        <v>19</v>
      </c>
      <c r="K812" s="35">
        <v>67</v>
      </c>
      <c r="L812" s="36">
        <f>+K812*I812</f>
        <v>804</v>
      </c>
      <c r="M812" s="121" t="s">
        <v>771</v>
      </c>
      <c r="N812" s="79" t="s">
        <v>2100</v>
      </c>
      <c r="O812" s="79">
        <v>20</v>
      </c>
      <c r="P812" s="23" t="s">
        <v>2087</v>
      </c>
      <c r="Q812" s="23">
        <v>21</v>
      </c>
      <c r="S812" s="23"/>
      <c r="T812" s="7">
        <v>6220</v>
      </c>
      <c r="U812" s="7" t="s">
        <v>1281</v>
      </c>
      <c r="V812" s="7">
        <v>6216</v>
      </c>
      <c r="W812" s="7" t="s">
        <v>1638</v>
      </c>
      <c r="X812" s="17"/>
      <c r="Y812" s="18"/>
      <c r="Z812" s="18"/>
      <c r="AA812" s="18"/>
      <c r="AB812" s="8" t="s">
        <v>1047</v>
      </c>
      <c r="AC812" s="8"/>
      <c r="AD812" s="8" t="s">
        <v>726</v>
      </c>
      <c r="AE812" s="8" t="s">
        <v>726</v>
      </c>
      <c r="AF812" s="8"/>
      <c r="AG812" s="8" t="s">
        <v>726</v>
      </c>
      <c r="AH812" s="8" t="s">
        <v>726</v>
      </c>
      <c r="AI812" s="8" t="s">
        <v>726</v>
      </c>
      <c r="AJ812" s="8" t="s">
        <v>726</v>
      </c>
      <c r="AK812" s="8" t="s">
        <v>726</v>
      </c>
      <c r="AL812" s="8" t="s">
        <v>726</v>
      </c>
      <c r="AM812" s="8"/>
      <c r="AN812" s="8"/>
      <c r="AO812" s="8"/>
      <c r="AP812" s="8"/>
      <c r="AQ812" s="8"/>
      <c r="AR812" s="8"/>
      <c r="AS812" s="8"/>
      <c r="AT812" s="8"/>
      <c r="AU812" s="8"/>
      <c r="AV812" s="8"/>
      <c r="AX812" s="142">
        <v>21.6</v>
      </c>
    </row>
    <row r="813" spans="2:50" ht="25.5">
      <c r="B813" s="27">
        <v>800</v>
      </c>
      <c r="C813" s="38">
        <v>623</v>
      </c>
      <c r="D813" s="38">
        <v>261</v>
      </c>
      <c r="E813" s="39">
        <v>0.74444444444444446</v>
      </c>
      <c r="F813" s="39">
        <v>0.75486111111111109</v>
      </c>
      <c r="G813" s="40" t="s">
        <v>60</v>
      </c>
      <c r="H813" s="31" t="s">
        <v>477</v>
      </c>
      <c r="I813" s="38">
        <v>10</v>
      </c>
      <c r="J813" s="41">
        <v>19</v>
      </c>
      <c r="K813" s="35">
        <v>240</v>
      </c>
      <c r="L813" s="36">
        <f>+K813*I813</f>
        <v>2400</v>
      </c>
      <c r="M813" s="121" t="s">
        <v>771</v>
      </c>
      <c r="N813" s="79" t="s">
        <v>2100</v>
      </c>
      <c r="O813" s="79">
        <v>20</v>
      </c>
      <c r="P813" s="23" t="s">
        <v>2087</v>
      </c>
      <c r="Q813" s="23">
        <v>21</v>
      </c>
      <c r="S813" s="23"/>
      <c r="T813" s="7">
        <v>6216</v>
      </c>
      <c r="U813" s="7" t="s">
        <v>1638</v>
      </c>
      <c r="V813" s="7">
        <v>6220</v>
      </c>
      <c r="W813" s="7" t="s">
        <v>1281</v>
      </c>
      <c r="X813" s="18"/>
      <c r="Y813" s="17"/>
      <c r="Z813" s="18"/>
      <c r="AA813" s="18"/>
      <c r="AB813" s="7" t="s">
        <v>1052</v>
      </c>
      <c r="AC813" s="8" t="s">
        <v>726</v>
      </c>
      <c r="AD813" s="8"/>
      <c r="AE813" s="8" t="s">
        <v>726</v>
      </c>
      <c r="AF813" s="8"/>
      <c r="AG813" s="8" t="s">
        <v>726</v>
      </c>
      <c r="AH813" s="8" t="s">
        <v>726</v>
      </c>
      <c r="AI813" s="8" t="s">
        <v>726</v>
      </c>
      <c r="AJ813" s="8" t="s">
        <v>726</v>
      </c>
      <c r="AK813" s="8" t="s">
        <v>726</v>
      </c>
      <c r="AL813" s="8" t="s">
        <v>726</v>
      </c>
      <c r="AM813" s="8"/>
      <c r="AN813" s="8"/>
      <c r="AO813" s="8"/>
      <c r="AP813" s="8"/>
      <c r="AQ813" s="8"/>
      <c r="AR813" s="8"/>
      <c r="AS813" s="8"/>
      <c r="AT813" s="8"/>
      <c r="AU813" s="8"/>
      <c r="AV813" s="8"/>
      <c r="AX813" s="142">
        <v>17.665763749852786</v>
      </c>
    </row>
    <row r="814" spans="2:50" ht="25.5">
      <c r="B814" s="27">
        <v>801</v>
      </c>
      <c r="C814" s="38">
        <v>623</v>
      </c>
      <c r="D814" s="38">
        <v>261</v>
      </c>
      <c r="E814" s="44">
        <v>0.74305555555555547</v>
      </c>
      <c r="F814" s="44">
        <v>0.75347222222222221</v>
      </c>
      <c r="G814" s="40" t="s">
        <v>627</v>
      </c>
      <c r="H814" s="31" t="s">
        <v>423</v>
      </c>
      <c r="I814" s="38">
        <v>10</v>
      </c>
      <c r="J814" s="41">
        <v>19</v>
      </c>
      <c r="K814" s="35">
        <v>67</v>
      </c>
      <c r="L814" s="36">
        <f>+K814*I814</f>
        <v>670</v>
      </c>
      <c r="M814" s="121" t="s">
        <v>771</v>
      </c>
      <c r="N814" s="79" t="s">
        <v>2100</v>
      </c>
      <c r="O814" s="79">
        <v>20</v>
      </c>
      <c r="P814" s="23" t="s">
        <v>2087</v>
      </c>
      <c r="Q814" s="23">
        <v>21</v>
      </c>
      <c r="S814" s="23"/>
      <c r="T814" s="7">
        <v>6216</v>
      </c>
      <c r="U814" s="7" t="s">
        <v>1638</v>
      </c>
      <c r="V814" s="7">
        <v>6220</v>
      </c>
      <c r="W814" s="7" t="s">
        <v>1281</v>
      </c>
      <c r="X814" s="17"/>
      <c r="Y814" s="18"/>
      <c r="Z814" s="18"/>
      <c r="AA814" s="18"/>
      <c r="AB814" s="8" t="s">
        <v>1047</v>
      </c>
      <c r="AC814" s="8"/>
      <c r="AD814" s="8" t="s">
        <v>726</v>
      </c>
      <c r="AE814" s="8" t="s">
        <v>726</v>
      </c>
      <c r="AF814" s="8"/>
      <c r="AG814" s="8" t="s">
        <v>726</v>
      </c>
      <c r="AH814" s="8" t="s">
        <v>726</v>
      </c>
      <c r="AI814" s="8" t="s">
        <v>726</v>
      </c>
      <c r="AJ814" s="8" t="s">
        <v>726</v>
      </c>
      <c r="AK814" s="8" t="s">
        <v>726</v>
      </c>
      <c r="AL814" s="8" t="s">
        <v>726</v>
      </c>
      <c r="AM814" s="8"/>
      <c r="AN814" s="8"/>
      <c r="AO814" s="8"/>
      <c r="AP814" s="8"/>
      <c r="AQ814" s="8"/>
      <c r="AR814" s="8"/>
      <c r="AS814" s="8"/>
      <c r="AT814" s="8"/>
      <c r="AU814" s="8"/>
      <c r="AV814" s="8"/>
      <c r="AX814" s="142">
        <v>18</v>
      </c>
    </row>
    <row r="815" spans="2:50" ht="25.5">
      <c r="B815" s="27">
        <v>802</v>
      </c>
      <c r="C815" s="31">
        <v>624</v>
      </c>
      <c r="D815" s="31">
        <v>272</v>
      </c>
      <c r="E815" s="32">
        <v>0.30625000000000002</v>
      </c>
      <c r="F815" s="32">
        <v>0.31041666666666667</v>
      </c>
      <c r="G815" s="31" t="s">
        <v>115</v>
      </c>
      <c r="H815" s="43" t="s">
        <v>103</v>
      </c>
      <c r="I815" s="33">
        <v>4</v>
      </c>
      <c r="J815" s="34" t="s">
        <v>101</v>
      </c>
      <c r="K815" s="46">
        <f>208-K816</f>
        <v>174</v>
      </c>
      <c r="L815" s="36">
        <f>+K815*I815</f>
        <v>696</v>
      </c>
      <c r="M815" s="37" t="s">
        <v>1136</v>
      </c>
      <c r="N815" s="23" t="s">
        <v>963</v>
      </c>
      <c r="O815" s="23">
        <v>51</v>
      </c>
      <c r="P815" s="23" t="s">
        <v>964</v>
      </c>
      <c r="Q815" s="23">
        <v>58</v>
      </c>
      <c r="R815" s="112" t="s">
        <v>965</v>
      </c>
      <c r="S815" s="79">
        <v>45</v>
      </c>
      <c r="T815" s="7" t="s">
        <v>1639</v>
      </c>
      <c r="U815" s="7" t="s">
        <v>1640</v>
      </c>
      <c r="V815" s="7">
        <v>6157</v>
      </c>
      <c r="W815" s="7" t="s">
        <v>1641</v>
      </c>
      <c r="X815" s="18"/>
      <c r="Y815" s="17"/>
      <c r="Z815" s="17"/>
      <c r="AA815" s="17"/>
      <c r="AB815" s="7" t="s">
        <v>1042</v>
      </c>
      <c r="AC815" s="8"/>
      <c r="AD815" s="8"/>
      <c r="AE815" s="8"/>
      <c r="AF815" s="8" t="s">
        <v>726</v>
      </c>
      <c r="AG815" s="8" t="s">
        <v>726</v>
      </c>
      <c r="AH815" s="8" t="s">
        <v>726</v>
      </c>
      <c r="AI815" s="8" t="s">
        <v>726</v>
      </c>
      <c r="AJ815" s="8" t="s">
        <v>726</v>
      </c>
      <c r="AK815" s="8" t="s">
        <v>726</v>
      </c>
      <c r="AL815" s="8"/>
      <c r="AM815" s="8"/>
      <c r="AN815" s="8"/>
      <c r="AO815" s="8"/>
      <c r="AP815" s="8"/>
      <c r="AQ815" s="8"/>
      <c r="AR815" s="8"/>
      <c r="AS815" s="8"/>
      <c r="AT815" s="8"/>
      <c r="AU815" s="8"/>
      <c r="AV815" s="8"/>
      <c r="AX815" s="142">
        <v>30.77</v>
      </c>
    </row>
    <row r="816" spans="2:50" ht="45">
      <c r="B816" s="48" t="s">
        <v>1134</v>
      </c>
      <c r="C816" s="31">
        <v>624</v>
      </c>
      <c r="D816" s="31">
        <v>272</v>
      </c>
      <c r="E816" s="32">
        <v>0.30625000000000002</v>
      </c>
      <c r="F816" s="32">
        <v>0.31041666666666667</v>
      </c>
      <c r="G816" s="31" t="s">
        <v>115</v>
      </c>
      <c r="H816" s="43" t="s">
        <v>1133</v>
      </c>
      <c r="I816" s="33">
        <v>4</v>
      </c>
      <c r="J816" s="34" t="s">
        <v>101</v>
      </c>
      <c r="K816" s="46">
        <v>34</v>
      </c>
      <c r="L816" s="36">
        <f>+K816*I816</f>
        <v>136</v>
      </c>
      <c r="M816" s="37" t="s">
        <v>1138</v>
      </c>
      <c r="N816" s="23" t="s">
        <v>944</v>
      </c>
      <c r="O816" s="23">
        <v>21</v>
      </c>
      <c r="P816" s="23" t="s">
        <v>788</v>
      </c>
      <c r="Q816" s="23">
        <v>21</v>
      </c>
      <c r="R816" s="23" t="s">
        <v>1198</v>
      </c>
      <c r="S816" s="24">
        <v>24</v>
      </c>
      <c r="T816" s="7" t="s">
        <v>1639</v>
      </c>
      <c r="U816" s="7" t="s">
        <v>1640</v>
      </c>
      <c r="V816" s="7">
        <v>6157</v>
      </c>
      <c r="W816" s="7" t="s">
        <v>1641</v>
      </c>
      <c r="X816" s="18"/>
      <c r="Y816" s="17"/>
      <c r="Z816" s="17"/>
      <c r="AA816" s="17"/>
      <c r="AB816" s="7" t="s">
        <v>1051</v>
      </c>
      <c r="AC816" s="8"/>
      <c r="AD816" s="8"/>
      <c r="AE816" s="8"/>
      <c r="AF816" s="8" t="s">
        <v>726</v>
      </c>
      <c r="AG816" s="8"/>
      <c r="AH816" s="8"/>
      <c r="AI816" s="8"/>
      <c r="AJ816" s="8"/>
      <c r="AK816" s="8"/>
      <c r="AL816" s="8" t="s">
        <v>726</v>
      </c>
      <c r="AM816" s="8"/>
      <c r="AN816" s="8"/>
      <c r="AO816" s="8"/>
      <c r="AP816" s="8"/>
      <c r="AQ816" s="8"/>
      <c r="AR816" s="8"/>
      <c r="AS816" s="8"/>
      <c r="AT816" s="8"/>
      <c r="AU816" s="8"/>
      <c r="AV816" s="8"/>
      <c r="AX816" s="142">
        <v>12.46</v>
      </c>
    </row>
    <row r="817" spans="1:50" ht="25.5">
      <c r="B817" s="27">
        <v>803</v>
      </c>
      <c r="C817" s="31">
        <v>624</v>
      </c>
      <c r="D817" s="31">
        <v>271</v>
      </c>
      <c r="E817" s="32">
        <v>0.31111111111111112</v>
      </c>
      <c r="F817" s="42">
        <v>0.32013888888888892</v>
      </c>
      <c r="G817" s="31" t="s">
        <v>114</v>
      </c>
      <c r="H817" s="43" t="s">
        <v>103</v>
      </c>
      <c r="I817" s="33">
        <v>3</v>
      </c>
      <c r="J817" s="34" t="s">
        <v>101</v>
      </c>
      <c r="K817" s="46">
        <f>208-K818</f>
        <v>174</v>
      </c>
      <c r="L817" s="36">
        <f>+K817*I817</f>
        <v>522</v>
      </c>
      <c r="M817" s="37" t="s">
        <v>1136</v>
      </c>
      <c r="N817" s="23" t="s">
        <v>963</v>
      </c>
      <c r="O817" s="23">
        <v>51</v>
      </c>
      <c r="P817" s="23" t="s">
        <v>964</v>
      </c>
      <c r="Q817" s="23">
        <v>58</v>
      </c>
      <c r="R817" s="112" t="s">
        <v>965</v>
      </c>
      <c r="S817" s="79">
        <v>45</v>
      </c>
      <c r="T817" s="7">
        <v>6157</v>
      </c>
      <c r="U817" s="7" t="s">
        <v>1641</v>
      </c>
      <c r="V817" s="7">
        <v>6220</v>
      </c>
      <c r="W817" s="7" t="s">
        <v>1281</v>
      </c>
      <c r="X817" s="18"/>
      <c r="Y817" s="17"/>
      <c r="Z817" s="17"/>
      <c r="AA817" s="17"/>
      <c r="AB817" s="7" t="s">
        <v>1042</v>
      </c>
      <c r="AC817" s="8"/>
      <c r="AD817" s="8"/>
      <c r="AE817" s="8"/>
      <c r="AF817" s="8" t="s">
        <v>726</v>
      </c>
      <c r="AG817" s="8" t="s">
        <v>726</v>
      </c>
      <c r="AH817" s="8" t="s">
        <v>726</v>
      </c>
      <c r="AI817" s="8" t="s">
        <v>726</v>
      </c>
      <c r="AJ817" s="8" t="s">
        <v>726</v>
      </c>
      <c r="AK817" s="8" t="s">
        <v>726</v>
      </c>
      <c r="AL817" s="8"/>
      <c r="AM817" s="8"/>
      <c r="AN817" s="8"/>
      <c r="AO817" s="8"/>
      <c r="AP817" s="8"/>
      <c r="AQ817" s="8"/>
      <c r="AR817" s="8"/>
      <c r="AS817" s="8"/>
      <c r="AT817" s="8"/>
      <c r="AU817" s="8"/>
      <c r="AV817" s="8"/>
      <c r="AX817" s="142">
        <v>23.08</v>
      </c>
    </row>
    <row r="818" spans="1:50" ht="45">
      <c r="B818" s="48" t="s">
        <v>1135</v>
      </c>
      <c r="C818" s="31">
        <v>624</v>
      </c>
      <c r="D818" s="31">
        <v>271</v>
      </c>
      <c r="E818" s="32">
        <v>0.31111111111111112</v>
      </c>
      <c r="F818" s="42">
        <v>0.32013888888888892</v>
      </c>
      <c r="G818" s="31" t="s">
        <v>114</v>
      </c>
      <c r="H818" s="43" t="s">
        <v>1133</v>
      </c>
      <c r="I818" s="33">
        <v>3</v>
      </c>
      <c r="J818" s="34" t="s">
        <v>101</v>
      </c>
      <c r="K818" s="46">
        <v>34</v>
      </c>
      <c r="L818" s="36">
        <f>+K818*I818</f>
        <v>102</v>
      </c>
      <c r="M818" s="37" t="s">
        <v>1138</v>
      </c>
      <c r="N818" s="23" t="s">
        <v>944</v>
      </c>
      <c r="O818" s="23">
        <v>21</v>
      </c>
      <c r="P818" s="23" t="s">
        <v>788</v>
      </c>
      <c r="Q818" s="23">
        <v>21</v>
      </c>
      <c r="R818" s="23" t="s">
        <v>1198</v>
      </c>
      <c r="S818" s="24">
        <v>24</v>
      </c>
      <c r="T818" s="7">
        <v>6157</v>
      </c>
      <c r="U818" s="7" t="s">
        <v>1641</v>
      </c>
      <c r="V818" s="7">
        <v>6220</v>
      </c>
      <c r="W818" s="7" t="s">
        <v>1281</v>
      </c>
      <c r="X818" s="18"/>
      <c r="Y818" s="17"/>
      <c r="Z818" s="17"/>
      <c r="AA818" s="17"/>
      <c r="AB818" s="7" t="s">
        <v>1051</v>
      </c>
      <c r="AC818" s="8"/>
      <c r="AD818" s="8"/>
      <c r="AE818" s="8"/>
      <c r="AF818" s="8" t="s">
        <v>726</v>
      </c>
      <c r="AG818" s="8"/>
      <c r="AH818" s="8"/>
      <c r="AI818" s="8"/>
      <c r="AJ818" s="8"/>
      <c r="AK818" s="8"/>
      <c r="AL818" s="8" t="s">
        <v>726</v>
      </c>
      <c r="AM818" s="8"/>
      <c r="AN818" s="8"/>
      <c r="AO818" s="8"/>
      <c r="AP818" s="8"/>
      <c r="AQ818" s="8"/>
      <c r="AR818" s="8"/>
      <c r="AS818" s="8"/>
      <c r="AT818" s="8"/>
      <c r="AU818" s="8"/>
      <c r="AV818" s="8"/>
      <c r="AX818" s="142">
        <v>9.35</v>
      </c>
    </row>
    <row r="819" spans="1:50" ht="25.5">
      <c r="B819" s="27">
        <v>804</v>
      </c>
      <c r="C819" s="38">
        <v>624</v>
      </c>
      <c r="D819" s="38">
        <v>276</v>
      </c>
      <c r="E819" s="39">
        <v>0.76388888888888884</v>
      </c>
      <c r="F819" s="39">
        <v>0.76874999999999993</v>
      </c>
      <c r="G819" s="40" t="s">
        <v>54</v>
      </c>
      <c r="H819" s="31" t="s">
        <v>423</v>
      </c>
      <c r="I819" s="38">
        <v>4</v>
      </c>
      <c r="J819" s="41">
        <v>19</v>
      </c>
      <c r="K819" s="35">
        <v>67</v>
      </c>
      <c r="L819" s="36">
        <f>+K819*I819</f>
        <v>268</v>
      </c>
      <c r="M819" s="37" t="s">
        <v>771</v>
      </c>
      <c r="N819" s="23" t="s">
        <v>786</v>
      </c>
      <c r="O819" s="23">
        <v>21</v>
      </c>
      <c r="P819" s="23"/>
      <c r="Q819" s="23"/>
      <c r="R819" s="70"/>
      <c r="S819" s="23"/>
      <c r="T819" s="7">
        <v>6220</v>
      </c>
      <c r="U819" s="7" t="s">
        <v>1281</v>
      </c>
      <c r="V819" s="7">
        <v>6157</v>
      </c>
      <c r="W819" s="7" t="s">
        <v>1641</v>
      </c>
      <c r="X819" s="17"/>
      <c r="Y819" s="18"/>
      <c r="Z819" s="18"/>
      <c r="AA819" s="18"/>
      <c r="AB819" s="8" t="s">
        <v>1047</v>
      </c>
      <c r="AC819" s="8"/>
      <c r="AD819" s="8" t="s">
        <v>726</v>
      </c>
      <c r="AE819" s="8" t="s">
        <v>726</v>
      </c>
      <c r="AF819" s="8"/>
      <c r="AG819" s="8" t="s">
        <v>726</v>
      </c>
      <c r="AH819" s="8" t="s">
        <v>726</v>
      </c>
      <c r="AI819" s="8" t="s">
        <v>726</v>
      </c>
      <c r="AJ819" s="8" t="s">
        <v>726</v>
      </c>
      <c r="AK819" s="8" t="s">
        <v>726</v>
      </c>
      <c r="AL819" s="8" t="s">
        <v>726</v>
      </c>
      <c r="AM819" s="8"/>
      <c r="AN819" s="8"/>
      <c r="AO819" s="8"/>
      <c r="AP819" s="8"/>
      <c r="AQ819" s="8"/>
      <c r="AR819" s="8"/>
      <c r="AS819" s="8"/>
      <c r="AT819" s="8"/>
      <c r="AU819" s="8"/>
      <c r="AV819" s="8"/>
      <c r="AX819" s="142">
        <v>8</v>
      </c>
    </row>
    <row r="820" spans="1:50" ht="25.5">
      <c r="B820" s="27">
        <v>805</v>
      </c>
      <c r="C820" s="38">
        <v>624</v>
      </c>
      <c r="D820" s="38">
        <v>276</v>
      </c>
      <c r="E820" s="39">
        <v>0.76527777777777783</v>
      </c>
      <c r="F820" s="39">
        <v>0.76944444444444438</v>
      </c>
      <c r="G820" s="40" t="s">
        <v>54</v>
      </c>
      <c r="H820" s="31" t="s">
        <v>477</v>
      </c>
      <c r="I820" s="38">
        <v>4</v>
      </c>
      <c r="J820" s="41">
        <v>19</v>
      </c>
      <c r="K820" s="35">
        <v>240</v>
      </c>
      <c r="L820" s="36">
        <f>+K820*I820</f>
        <v>960</v>
      </c>
      <c r="M820" s="121" t="s">
        <v>771</v>
      </c>
      <c r="N820" s="79" t="s">
        <v>2100</v>
      </c>
      <c r="O820" s="79">
        <v>20</v>
      </c>
      <c r="P820" s="23" t="s">
        <v>2087</v>
      </c>
      <c r="Q820" s="23">
        <v>21</v>
      </c>
      <c r="S820" s="23"/>
      <c r="T820" s="7">
        <v>6220</v>
      </c>
      <c r="U820" s="7" t="s">
        <v>1281</v>
      </c>
      <c r="V820" s="7">
        <v>6157</v>
      </c>
      <c r="W820" s="7" t="s">
        <v>1641</v>
      </c>
      <c r="X820" s="18"/>
      <c r="Y820" s="17"/>
      <c r="Z820" s="18"/>
      <c r="AA820" s="18"/>
      <c r="AB820" s="7" t="s">
        <v>1052</v>
      </c>
      <c r="AC820" s="8" t="s">
        <v>726</v>
      </c>
      <c r="AD820" s="8"/>
      <c r="AE820" s="8" t="s">
        <v>726</v>
      </c>
      <c r="AF820" s="8"/>
      <c r="AG820" s="8" t="s">
        <v>726</v>
      </c>
      <c r="AH820" s="8" t="s">
        <v>726</v>
      </c>
      <c r="AI820" s="8" t="s">
        <v>726</v>
      </c>
      <c r="AJ820" s="8" t="s">
        <v>726</v>
      </c>
      <c r="AK820" s="8" t="s">
        <v>726</v>
      </c>
      <c r="AL820" s="8" t="s">
        <v>726</v>
      </c>
      <c r="AM820" s="8"/>
      <c r="AN820" s="8"/>
      <c r="AO820" s="8"/>
      <c r="AP820" s="8"/>
      <c r="AQ820" s="8"/>
      <c r="AR820" s="8"/>
      <c r="AS820" s="8"/>
      <c r="AT820" s="8"/>
      <c r="AU820" s="8"/>
      <c r="AV820" s="8"/>
      <c r="AX820" s="142">
        <v>7.0663054999411141</v>
      </c>
    </row>
    <row r="821" spans="1:50" ht="25.5">
      <c r="B821" s="27">
        <v>806</v>
      </c>
      <c r="C821" s="38">
        <v>624</v>
      </c>
      <c r="D821" s="38">
        <v>275</v>
      </c>
      <c r="E821" s="39">
        <v>0.76944444444444438</v>
      </c>
      <c r="F821" s="39">
        <v>0.7729166666666667</v>
      </c>
      <c r="G821" s="40" t="s">
        <v>53</v>
      </c>
      <c r="H821" s="31" t="s">
        <v>477</v>
      </c>
      <c r="I821" s="38">
        <v>4</v>
      </c>
      <c r="J821" s="41">
        <v>19</v>
      </c>
      <c r="K821" s="35">
        <v>240</v>
      </c>
      <c r="L821" s="36">
        <f>+K821*I821</f>
        <v>960</v>
      </c>
      <c r="M821" s="121" t="s">
        <v>771</v>
      </c>
      <c r="N821" s="79" t="s">
        <v>2100</v>
      </c>
      <c r="O821" s="79">
        <v>20</v>
      </c>
      <c r="P821" s="23" t="s">
        <v>2087</v>
      </c>
      <c r="Q821" s="23">
        <v>21</v>
      </c>
      <c r="S821" s="23"/>
      <c r="T821" s="7">
        <v>6157</v>
      </c>
      <c r="U821" s="7" t="s">
        <v>1641</v>
      </c>
      <c r="V821" s="7">
        <v>6220</v>
      </c>
      <c r="W821" s="7" t="s">
        <v>1281</v>
      </c>
      <c r="X821" s="18"/>
      <c r="Y821" s="17"/>
      <c r="Z821" s="18"/>
      <c r="AA821" s="18"/>
      <c r="AB821" s="7" t="s">
        <v>1052</v>
      </c>
      <c r="AC821" s="8" t="s">
        <v>726</v>
      </c>
      <c r="AD821" s="8"/>
      <c r="AE821" s="8" t="s">
        <v>726</v>
      </c>
      <c r="AF821" s="8"/>
      <c r="AG821" s="8" t="s">
        <v>726</v>
      </c>
      <c r="AH821" s="8" t="s">
        <v>726</v>
      </c>
      <c r="AI821" s="8" t="s">
        <v>726</v>
      </c>
      <c r="AJ821" s="8" t="s">
        <v>726</v>
      </c>
      <c r="AK821" s="8" t="s">
        <v>726</v>
      </c>
      <c r="AL821" s="8" t="s">
        <v>726</v>
      </c>
      <c r="AM821" s="8"/>
      <c r="AN821" s="8"/>
      <c r="AO821" s="8"/>
      <c r="AP821" s="8"/>
      <c r="AQ821" s="8"/>
      <c r="AR821" s="8"/>
      <c r="AS821" s="8"/>
      <c r="AT821" s="8"/>
      <c r="AU821" s="8"/>
      <c r="AV821" s="8"/>
      <c r="AX821" s="142">
        <v>7.0663054999411141</v>
      </c>
    </row>
    <row r="822" spans="1:50" ht="25.5">
      <c r="B822" s="27">
        <v>807</v>
      </c>
      <c r="C822" s="38">
        <v>624</v>
      </c>
      <c r="D822" s="38">
        <v>275</v>
      </c>
      <c r="E822" s="39">
        <v>0.76944444444444438</v>
      </c>
      <c r="F822" s="39">
        <v>0.77430555555555547</v>
      </c>
      <c r="G822" s="40" t="s">
        <v>53</v>
      </c>
      <c r="H822" s="31" t="s">
        <v>423</v>
      </c>
      <c r="I822" s="38">
        <v>4</v>
      </c>
      <c r="J822" s="41">
        <v>19</v>
      </c>
      <c r="K822" s="35">
        <v>67</v>
      </c>
      <c r="L822" s="36">
        <f>+K822*I822</f>
        <v>268</v>
      </c>
      <c r="M822" s="37" t="s">
        <v>771</v>
      </c>
      <c r="N822" s="23" t="s">
        <v>786</v>
      </c>
      <c r="O822" s="23">
        <v>21</v>
      </c>
      <c r="P822" s="23"/>
      <c r="Q822" s="23"/>
      <c r="R822" s="70"/>
      <c r="S822" s="23"/>
      <c r="T822" s="7">
        <v>6157</v>
      </c>
      <c r="U822" s="7" t="s">
        <v>1641</v>
      </c>
      <c r="V822" s="7">
        <v>6220</v>
      </c>
      <c r="W822" s="7" t="s">
        <v>1281</v>
      </c>
      <c r="X822" s="17"/>
      <c r="Y822" s="18"/>
      <c r="Z822" s="18"/>
      <c r="AA822" s="18"/>
      <c r="AB822" s="8" t="s">
        <v>1047</v>
      </c>
      <c r="AC822" s="8"/>
      <c r="AD822" s="8" t="s">
        <v>726</v>
      </c>
      <c r="AE822" s="8" t="s">
        <v>726</v>
      </c>
      <c r="AF822" s="8"/>
      <c r="AG822" s="8" t="s">
        <v>726</v>
      </c>
      <c r="AH822" s="8" t="s">
        <v>726</v>
      </c>
      <c r="AI822" s="8" t="s">
        <v>726</v>
      </c>
      <c r="AJ822" s="8" t="s">
        <v>726</v>
      </c>
      <c r="AK822" s="8" t="s">
        <v>726</v>
      </c>
      <c r="AL822" s="8" t="s">
        <v>726</v>
      </c>
      <c r="AM822" s="8"/>
      <c r="AN822" s="8"/>
      <c r="AO822" s="8"/>
      <c r="AP822" s="8"/>
      <c r="AQ822" s="8"/>
      <c r="AR822" s="8"/>
      <c r="AS822" s="8"/>
      <c r="AT822" s="8"/>
      <c r="AU822" s="8"/>
      <c r="AV822" s="8"/>
      <c r="AX822" s="142">
        <v>8</v>
      </c>
    </row>
    <row r="823" spans="1:50" ht="45">
      <c r="B823" s="27">
        <v>808</v>
      </c>
      <c r="C823" s="31">
        <v>625</v>
      </c>
      <c r="D823" s="31">
        <v>583</v>
      </c>
      <c r="E823" s="32">
        <v>0.28819444444444448</v>
      </c>
      <c r="F823" s="32">
        <v>0.2951388888888889</v>
      </c>
      <c r="G823" s="31" t="s">
        <v>129</v>
      </c>
      <c r="H823" s="31" t="s">
        <v>97</v>
      </c>
      <c r="I823" s="33">
        <v>5</v>
      </c>
      <c r="J823" s="34" t="s">
        <v>127</v>
      </c>
      <c r="K823" s="35">
        <v>208</v>
      </c>
      <c r="L823" s="36">
        <f>+K823*I823</f>
        <v>1040</v>
      </c>
      <c r="M823" s="37" t="s">
        <v>1138</v>
      </c>
      <c r="N823" s="23" t="s">
        <v>946</v>
      </c>
      <c r="O823" s="23">
        <v>43</v>
      </c>
      <c r="P823" s="23" t="s">
        <v>1199</v>
      </c>
      <c r="Q823" s="23">
        <v>54</v>
      </c>
      <c r="R823" s="23" t="s">
        <v>1845</v>
      </c>
      <c r="S823" s="24" t="s">
        <v>1757</v>
      </c>
      <c r="T823" s="7" t="s">
        <v>1642</v>
      </c>
      <c r="U823" s="7" t="s">
        <v>1643</v>
      </c>
      <c r="V823" s="7" t="s">
        <v>1644</v>
      </c>
      <c r="W823" s="7" t="s">
        <v>1645</v>
      </c>
      <c r="X823" s="18"/>
      <c r="Y823" s="17"/>
      <c r="Z823" s="17"/>
      <c r="AA823" s="17"/>
      <c r="AB823" s="7" t="s">
        <v>1046</v>
      </c>
      <c r="AC823" s="8"/>
      <c r="AD823" s="8"/>
      <c r="AE823" s="8"/>
      <c r="AF823" s="8" t="s">
        <v>726</v>
      </c>
      <c r="AG823" s="8" t="s">
        <v>726</v>
      </c>
      <c r="AH823" s="8" t="s">
        <v>726</v>
      </c>
      <c r="AI823" s="8" t="s">
        <v>726</v>
      </c>
      <c r="AJ823" s="8" t="s">
        <v>726</v>
      </c>
      <c r="AK823" s="8" t="s">
        <v>726</v>
      </c>
      <c r="AL823" s="8" t="s">
        <v>726</v>
      </c>
      <c r="AM823" s="8"/>
      <c r="AN823" s="8"/>
      <c r="AO823" s="8"/>
      <c r="AP823" s="8"/>
      <c r="AQ823" s="8"/>
      <c r="AR823" s="8"/>
      <c r="AS823" s="8"/>
      <c r="AT823" s="8"/>
      <c r="AU823" s="8"/>
      <c r="AV823" s="8"/>
      <c r="AX823" s="142">
        <v>21.12</v>
      </c>
    </row>
    <row r="824" spans="1:50" ht="45">
      <c r="B824" s="27">
        <v>809</v>
      </c>
      <c r="C824" s="31">
        <v>625</v>
      </c>
      <c r="D824" s="31">
        <v>581</v>
      </c>
      <c r="E824" s="32">
        <v>0.3</v>
      </c>
      <c r="F824" s="32">
        <v>0.30694444444444441</v>
      </c>
      <c r="G824" s="31" t="s">
        <v>128</v>
      </c>
      <c r="H824" s="31" t="s">
        <v>103</v>
      </c>
      <c r="I824" s="33">
        <f>4+1</f>
        <v>5</v>
      </c>
      <c r="J824" s="34" t="s">
        <v>127</v>
      </c>
      <c r="K824" s="35">
        <v>174</v>
      </c>
      <c r="L824" s="36">
        <f>+K824*I824</f>
        <v>870</v>
      </c>
      <c r="M824" s="37" t="s">
        <v>1138</v>
      </c>
      <c r="N824" s="23" t="s">
        <v>946</v>
      </c>
      <c r="O824" s="23">
        <v>43</v>
      </c>
      <c r="P824" s="23" t="s">
        <v>1199</v>
      </c>
      <c r="Q824" s="23">
        <v>54</v>
      </c>
      <c r="R824" s="23" t="s">
        <v>1200</v>
      </c>
      <c r="S824" s="24">
        <v>55</v>
      </c>
      <c r="T824" s="7" t="s">
        <v>1642</v>
      </c>
      <c r="U824" s="7" t="s">
        <v>1643</v>
      </c>
      <c r="V824" s="7" t="s">
        <v>1644</v>
      </c>
      <c r="W824" s="7" t="s">
        <v>1645</v>
      </c>
      <c r="X824" s="18"/>
      <c r="Y824" s="17"/>
      <c r="Z824" s="17"/>
      <c r="AA824" s="17"/>
      <c r="AB824" s="7" t="s">
        <v>1042</v>
      </c>
      <c r="AC824" s="8"/>
      <c r="AD824" s="8"/>
      <c r="AE824" s="8"/>
      <c r="AF824" s="8" t="s">
        <v>726</v>
      </c>
      <c r="AG824" s="8" t="s">
        <v>726</v>
      </c>
      <c r="AH824" s="8" t="s">
        <v>726</v>
      </c>
      <c r="AI824" s="8" t="s">
        <v>726</v>
      </c>
      <c r="AJ824" s="8" t="s">
        <v>726</v>
      </c>
      <c r="AK824" s="8" t="s">
        <v>726</v>
      </c>
      <c r="AL824" s="8"/>
      <c r="AM824" s="8"/>
      <c r="AN824" s="8"/>
      <c r="AO824" s="8"/>
      <c r="AP824" s="8"/>
      <c r="AQ824" s="8"/>
      <c r="AR824" s="8"/>
      <c r="AS824" s="8"/>
      <c r="AT824" s="8"/>
      <c r="AU824" s="8"/>
      <c r="AV824" s="8"/>
      <c r="AX824" s="142">
        <v>21.12</v>
      </c>
    </row>
    <row r="825" spans="1:50" ht="45">
      <c r="B825" s="27">
        <v>810</v>
      </c>
      <c r="C825" s="38">
        <v>625</v>
      </c>
      <c r="D825" s="38">
        <v>506</v>
      </c>
      <c r="E825" s="39">
        <v>0.72916666666666663</v>
      </c>
      <c r="F825" s="39">
        <v>0.75069444444444444</v>
      </c>
      <c r="G825" s="40" t="s">
        <v>63</v>
      </c>
      <c r="H825" s="31" t="s">
        <v>477</v>
      </c>
      <c r="I825" s="38">
        <v>14</v>
      </c>
      <c r="J825" s="41">
        <v>19</v>
      </c>
      <c r="K825" s="35">
        <v>240</v>
      </c>
      <c r="L825" s="36">
        <f>+K825*I825</f>
        <v>3360</v>
      </c>
      <c r="M825" s="37" t="s">
        <v>1138</v>
      </c>
      <c r="N825" s="23" t="s">
        <v>943</v>
      </c>
      <c r="O825" s="23">
        <v>24</v>
      </c>
      <c r="P825" s="23" t="s">
        <v>788</v>
      </c>
      <c r="Q825" s="23">
        <v>21</v>
      </c>
      <c r="R825" s="23" t="s">
        <v>944</v>
      </c>
      <c r="S825" s="24">
        <v>21</v>
      </c>
      <c r="T825" s="7" t="s">
        <v>1646</v>
      </c>
      <c r="U825" s="7" t="s">
        <v>1647</v>
      </c>
      <c r="V825" s="7">
        <v>6191</v>
      </c>
      <c r="W825" s="7" t="s">
        <v>1648</v>
      </c>
      <c r="X825" s="18"/>
      <c r="Y825" s="17"/>
      <c r="Z825" s="18"/>
      <c r="AA825" s="18"/>
      <c r="AB825" s="7" t="s">
        <v>1052</v>
      </c>
      <c r="AC825" s="8" t="s">
        <v>726</v>
      </c>
      <c r="AD825" s="8"/>
      <c r="AE825" s="8" t="s">
        <v>726</v>
      </c>
      <c r="AF825" s="8"/>
      <c r="AG825" s="8" t="s">
        <v>726</v>
      </c>
      <c r="AH825" s="8" t="s">
        <v>726</v>
      </c>
      <c r="AI825" s="8" t="s">
        <v>726</v>
      </c>
      <c r="AJ825" s="8" t="s">
        <v>726</v>
      </c>
      <c r="AK825" s="8" t="s">
        <v>726</v>
      </c>
      <c r="AL825" s="8" t="s">
        <v>726</v>
      </c>
      <c r="AM825" s="8"/>
      <c r="AN825" s="8"/>
      <c r="AO825" s="8"/>
      <c r="AP825" s="8"/>
      <c r="AQ825" s="8"/>
      <c r="AR825" s="8"/>
      <c r="AS825" s="8"/>
      <c r="AT825" s="8"/>
      <c r="AU825" s="8"/>
      <c r="AV825" s="8"/>
      <c r="AX825" s="142">
        <v>28</v>
      </c>
    </row>
    <row r="826" spans="1:50" ht="45">
      <c r="B826" s="27">
        <v>811</v>
      </c>
      <c r="C826" s="38">
        <v>625</v>
      </c>
      <c r="D826" s="38">
        <v>701</v>
      </c>
      <c r="E826" s="39">
        <v>0.75069444444444444</v>
      </c>
      <c r="F826" s="39">
        <v>0.76388888888888884</v>
      </c>
      <c r="G826" s="40" t="s">
        <v>62</v>
      </c>
      <c r="H826" s="31" t="s">
        <v>477</v>
      </c>
      <c r="I826" s="38">
        <v>14</v>
      </c>
      <c r="J826" s="41">
        <v>19</v>
      </c>
      <c r="K826" s="35">
        <v>240</v>
      </c>
      <c r="L826" s="36">
        <f>+K826*I826</f>
        <v>3360</v>
      </c>
      <c r="M826" s="37" t="s">
        <v>1138</v>
      </c>
      <c r="N826" s="23" t="s">
        <v>943</v>
      </c>
      <c r="O826" s="23">
        <v>24</v>
      </c>
      <c r="P826" s="23" t="s">
        <v>788</v>
      </c>
      <c r="Q826" s="23">
        <v>21</v>
      </c>
      <c r="R826" s="23" t="s">
        <v>944</v>
      </c>
      <c r="S826" s="24">
        <v>21</v>
      </c>
      <c r="T826" s="7">
        <v>6191</v>
      </c>
      <c r="U826" s="7" t="s">
        <v>1648</v>
      </c>
      <c r="V826" s="7">
        <v>6220</v>
      </c>
      <c r="W826" s="7" t="s">
        <v>1281</v>
      </c>
      <c r="X826" s="18"/>
      <c r="Y826" s="17"/>
      <c r="Z826" s="18"/>
      <c r="AA826" s="18"/>
      <c r="AB826" s="7" t="s">
        <v>1052</v>
      </c>
      <c r="AC826" s="8" t="s">
        <v>726</v>
      </c>
      <c r="AD826" s="8"/>
      <c r="AE826" s="8" t="s">
        <v>726</v>
      </c>
      <c r="AF826" s="8"/>
      <c r="AG826" s="8" t="s">
        <v>726</v>
      </c>
      <c r="AH826" s="8" t="s">
        <v>726</v>
      </c>
      <c r="AI826" s="8" t="s">
        <v>726</v>
      </c>
      <c r="AJ826" s="8" t="s">
        <v>726</v>
      </c>
      <c r="AK826" s="8" t="s">
        <v>726</v>
      </c>
      <c r="AL826" s="8" t="s">
        <v>726</v>
      </c>
      <c r="AM826" s="8"/>
      <c r="AN826" s="8"/>
      <c r="AO826" s="8"/>
      <c r="AP826" s="8"/>
      <c r="AQ826" s="8"/>
      <c r="AR826" s="8"/>
      <c r="AS826" s="8"/>
      <c r="AT826" s="8"/>
      <c r="AU826" s="8"/>
      <c r="AV826" s="8"/>
      <c r="AX826" s="142">
        <v>28</v>
      </c>
    </row>
    <row r="827" spans="1:50" s="10" customFormat="1" ht="45">
      <c r="A827" s="2"/>
      <c r="B827" s="27">
        <v>812</v>
      </c>
      <c r="C827" s="31">
        <v>627</v>
      </c>
      <c r="D827" s="31">
        <v>403</v>
      </c>
      <c r="E827" s="32">
        <v>0.25208333333333333</v>
      </c>
      <c r="F827" s="32">
        <v>0.27083333333333331</v>
      </c>
      <c r="G827" s="31" t="s">
        <v>652</v>
      </c>
      <c r="H827" s="31" t="s">
        <v>103</v>
      </c>
      <c r="I827" s="33">
        <v>12</v>
      </c>
      <c r="J827" s="34" t="s">
        <v>93</v>
      </c>
      <c r="K827" s="35">
        <v>174</v>
      </c>
      <c r="L827" s="36">
        <f>+K827*I827</f>
        <v>2088</v>
      </c>
      <c r="M827" s="121" t="s">
        <v>771</v>
      </c>
      <c r="N827" s="79" t="s">
        <v>786</v>
      </c>
      <c r="O827" s="79">
        <v>21</v>
      </c>
      <c r="P827" s="79" t="s">
        <v>864</v>
      </c>
      <c r="Q827" s="79">
        <v>23</v>
      </c>
      <c r="R827" s="23" t="s">
        <v>1854</v>
      </c>
      <c r="S827" s="23" t="s">
        <v>1819</v>
      </c>
      <c r="T827" s="7" t="s">
        <v>1649</v>
      </c>
      <c r="U827" s="7" t="s">
        <v>1650</v>
      </c>
      <c r="V827" s="7">
        <v>6200</v>
      </c>
      <c r="W827" s="7" t="s">
        <v>1618</v>
      </c>
      <c r="X827" s="18"/>
      <c r="Y827" s="17"/>
      <c r="Z827" s="17"/>
      <c r="AA827" s="17"/>
      <c r="AB827" s="7" t="s">
        <v>1042</v>
      </c>
      <c r="AC827" s="8"/>
      <c r="AD827" s="8"/>
      <c r="AE827" s="8"/>
      <c r="AF827" s="8" t="s">
        <v>726</v>
      </c>
      <c r="AG827" s="8" t="s">
        <v>726</v>
      </c>
      <c r="AH827" s="8" t="s">
        <v>726</v>
      </c>
      <c r="AI827" s="8" t="s">
        <v>726</v>
      </c>
      <c r="AJ827" s="8" t="s">
        <v>726</v>
      </c>
      <c r="AK827" s="8" t="s">
        <v>726</v>
      </c>
      <c r="AL827" s="8"/>
      <c r="AM827" s="8"/>
      <c r="AN827" s="8"/>
      <c r="AO827" s="8"/>
      <c r="AP827" s="8"/>
      <c r="AQ827" s="8"/>
      <c r="AR827" s="8"/>
      <c r="AS827" s="8"/>
      <c r="AT827" s="8"/>
      <c r="AU827" s="8"/>
      <c r="AV827" s="8"/>
      <c r="AX827" s="144">
        <v>48</v>
      </c>
    </row>
    <row r="828" spans="1:50" s="10" customFormat="1" ht="45">
      <c r="A828" s="2"/>
      <c r="B828" s="27">
        <v>813</v>
      </c>
      <c r="C828" s="38">
        <v>627</v>
      </c>
      <c r="D828" s="38">
        <v>403</v>
      </c>
      <c r="E828" s="44">
        <v>0.25347222222222221</v>
      </c>
      <c r="F828" s="44">
        <v>0.27083333333333331</v>
      </c>
      <c r="G828" s="40" t="s">
        <v>653</v>
      </c>
      <c r="H828" s="31" t="s">
        <v>530</v>
      </c>
      <c r="I828" s="38">
        <v>11</v>
      </c>
      <c r="J828" s="41">
        <v>19</v>
      </c>
      <c r="K828" s="35">
        <v>34</v>
      </c>
      <c r="L828" s="36">
        <f>+K828*I828</f>
        <v>374</v>
      </c>
      <c r="M828" s="121" t="s">
        <v>771</v>
      </c>
      <c r="N828" s="79" t="s">
        <v>786</v>
      </c>
      <c r="O828" s="79">
        <v>21</v>
      </c>
      <c r="P828" s="79" t="s">
        <v>864</v>
      </c>
      <c r="Q828" s="79">
        <v>23</v>
      </c>
      <c r="R828" s="23" t="s">
        <v>1854</v>
      </c>
      <c r="S828" s="23" t="s">
        <v>1819</v>
      </c>
      <c r="T828" s="7">
        <v>6504</v>
      </c>
      <c r="U828" s="7" t="s">
        <v>1651</v>
      </c>
      <c r="V828" s="7">
        <v>6200</v>
      </c>
      <c r="W828" s="7" t="s">
        <v>1618</v>
      </c>
      <c r="X828" s="18"/>
      <c r="Y828" s="17"/>
      <c r="Z828" s="17"/>
      <c r="AA828" s="17"/>
      <c r="AB828" s="8" t="s">
        <v>1051</v>
      </c>
      <c r="AC828" s="8"/>
      <c r="AD828" s="8"/>
      <c r="AE828" s="8"/>
      <c r="AF828" s="8" t="s">
        <v>726</v>
      </c>
      <c r="AG828" s="8"/>
      <c r="AH828" s="8"/>
      <c r="AI828" s="8"/>
      <c r="AJ828" s="8"/>
      <c r="AK828" s="8"/>
      <c r="AL828" s="8" t="s">
        <v>726</v>
      </c>
      <c r="AM828" s="8"/>
      <c r="AN828" s="8"/>
      <c r="AO828" s="8"/>
      <c r="AP828" s="8"/>
      <c r="AQ828" s="8"/>
      <c r="AR828" s="8"/>
      <c r="AS828" s="8"/>
      <c r="AT828" s="8"/>
      <c r="AU828" s="8"/>
      <c r="AV828" s="8"/>
      <c r="AX828" s="144">
        <v>38</v>
      </c>
    </row>
    <row r="829" spans="1:50" s="10" customFormat="1" ht="25.5">
      <c r="A829" s="2"/>
      <c r="B829" s="27">
        <v>814</v>
      </c>
      <c r="C829" s="31">
        <v>627</v>
      </c>
      <c r="D829" s="31">
        <v>243</v>
      </c>
      <c r="E829" s="32">
        <v>0.28819444444444448</v>
      </c>
      <c r="F829" s="32">
        <v>0.30625000000000002</v>
      </c>
      <c r="G829" s="31" t="s">
        <v>113</v>
      </c>
      <c r="H829" s="31" t="s">
        <v>103</v>
      </c>
      <c r="I829" s="33">
        <v>13</v>
      </c>
      <c r="J829" s="34" t="s">
        <v>111</v>
      </c>
      <c r="K829" s="35">
        <v>174</v>
      </c>
      <c r="L829" s="36">
        <f>+K829*I829</f>
        <v>2262</v>
      </c>
      <c r="M829" s="37" t="s">
        <v>773</v>
      </c>
      <c r="N829" s="23" t="s">
        <v>963</v>
      </c>
      <c r="O829" s="23">
        <v>51</v>
      </c>
      <c r="P829" s="23" t="s">
        <v>964</v>
      </c>
      <c r="Q829" s="23">
        <v>58</v>
      </c>
      <c r="R829" s="112" t="s">
        <v>965</v>
      </c>
      <c r="S829" s="79">
        <v>45</v>
      </c>
      <c r="T829" s="7">
        <v>6502</v>
      </c>
      <c r="U829" s="7" t="s">
        <v>1652</v>
      </c>
      <c r="V829" s="7" t="s">
        <v>1639</v>
      </c>
      <c r="W829" s="7" t="s">
        <v>1640</v>
      </c>
      <c r="X829" s="18"/>
      <c r="Y829" s="17"/>
      <c r="Z829" s="17"/>
      <c r="AA829" s="17"/>
      <c r="AB829" s="7" t="s">
        <v>1042</v>
      </c>
      <c r="AC829" s="8"/>
      <c r="AD829" s="8"/>
      <c r="AE829" s="8"/>
      <c r="AF829" s="8" t="s">
        <v>726</v>
      </c>
      <c r="AG829" s="8" t="s">
        <v>726</v>
      </c>
      <c r="AH829" s="8" t="s">
        <v>726</v>
      </c>
      <c r="AI829" s="8" t="s">
        <v>726</v>
      </c>
      <c r="AJ829" s="8" t="s">
        <v>726</v>
      </c>
      <c r="AK829" s="8" t="s">
        <v>726</v>
      </c>
      <c r="AL829" s="8"/>
      <c r="AM829" s="8"/>
      <c r="AN829" s="8"/>
      <c r="AO829" s="8"/>
      <c r="AP829" s="8"/>
      <c r="AQ829" s="8"/>
      <c r="AR829" s="8"/>
      <c r="AS829" s="8"/>
      <c r="AT829" s="8"/>
      <c r="AU829" s="8"/>
      <c r="AV829" s="8"/>
      <c r="AX829" s="144">
        <v>100</v>
      </c>
    </row>
    <row r="830" spans="1:50" s="10" customFormat="1" ht="45">
      <c r="A830" s="2"/>
      <c r="B830" s="27">
        <v>815</v>
      </c>
      <c r="C830" s="31">
        <v>627</v>
      </c>
      <c r="D830" s="31">
        <v>778</v>
      </c>
      <c r="E830" s="32">
        <v>0.54999999999999993</v>
      </c>
      <c r="F830" s="32">
        <v>0.56736111111111109</v>
      </c>
      <c r="G830" s="31" t="s">
        <v>130</v>
      </c>
      <c r="H830" s="31" t="s">
        <v>645</v>
      </c>
      <c r="I830" s="33">
        <v>14</v>
      </c>
      <c r="J830" s="34" t="s">
        <v>127</v>
      </c>
      <c r="K830" s="35">
        <v>34</v>
      </c>
      <c r="L830" s="36">
        <f>+K830*I830</f>
        <v>476</v>
      </c>
      <c r="M830" s="37" t="s">
        <v>1138</v>
      </c>
      <c r="N830" s="23" t="s">
        <v>947</v>
      </c>
      <c r="O830" s="23">
        <v>43</v>
      </c>
      <c r="P830" s="23" t="s">
        <v>1201</v>
      </c>
      <c r="Q830" s="23">
        <v>24</v>
      </c>
      <c r="R830" s="23" t="s">
        <v>1200</v>
      </c>
      <c r="S830" s="24">
        <v>55</v>
      </c>
      <c r="T830" s="7">
        <v>6200</v>
      </c>
      <c r="U830" s="7" t="s">
        <v>1618</v>
      </c>
      <c r="V830" s="7">
        <v>6504</v>
      </c>
      <c r="W830" s="7" t="s">
        <v>1651</v>
      </c>
      <c r="X830" s="18"/>
      <c r="Y830" s="17"/>
      <c r="Z830" s="17"/>
      <c r="AA830" s="17"/>
      <c r="AB830" s="7" t="s">
        <v>1051</v>
      </c>
      <c r="AC830" s="8"/>
      <c r="AD830" s="8"/>
      <c r="AE830" s="8"/>
      <c r="AF830" s="8" t="s">
        <v>726</v>
      </c>
      <c r="AG830" s="8"/>
      <c r="AH830" s="8"/>
      <c r="AI830" s="8"/>
      <c r="AJ830" s="8"/>
      <c r="AK830" s="8"/>
      <c r="AL830" s="8" t="s">
        <v>726</v>
      </c>
      <c r="AM830" s="8"/>
      <c r="AN830" s="8"/>
      <c r="AO830" s="8"/>
      <c r="AP830" s="8"/>
      <c r="AQ830" s="8"/>
      <c r="AR830" s="8"/>
      <c r="AS830" s="8"/>
      <c r="AT830" s="8"/>
      <c r="AU830" s="8"/>
      <c r="AV830" s="8"/>
      <c r="AX830" s="144">
        <v>42</v>
      </c>
    </row>
    <row r="831" spans="1:50" s="10" customFormat="1" ht="45">
      <c r="A831" s="2"/>
      <c r="B831" s="27">
        <v>816</v>
      </c>
      <c r="C831" s="31">
        <v>627</v>
      </c>
      <c r="D831" s="31">
        <v>778</v>
      </c>
      <c r="E831" s="32">
        <v>0.55902777777777779</v>
      </c>
      <c r="F831" s="32">
        <v>0.57638888888888895</v>
      </c>
      <c r="G831" s="31" t="s">
        <v>130</v>
      </c>
      <c r="H831" s="31" t="s">
        <v>103</v>
      </c>
      <c r="I831" s="33">
        <v>14</v>
      </c>
      <c r="J831" s="34" t="s">
        <v>127</v>
      </c>
      <c r="K831" s="35">
        <v>174</v>
      </c>
      <c r="L831" s="36">
        <f>+K831*I831</f>
        <v>2436</v>
      </c>
      <c r="M831" s="37" t="s">
        <v>1138</v>
      </c>
      <c r="N831" s="23" t="s">
        <v>947</v>
      </c>
      <c r="O831" s="23">
        <v>43</v>
      </c>
      <c r="P831" s="23" t="s">
        <v>1199</v>
      </c>
      <c r="Q831" s="23">
        <v>54</v>
      </c>
      <c r="R831" s="23" t="s">
        <v>1200</v>
      </c>
      <c r="S831" s="24">
        <v>55</v>
      </c>
      <c r="T831" s="7">
        <v>6200</v>
      </c>
      <c r="U831" s="7" t="s">
        <v>1618</v>
      </c>
      <c r="V831" s="7">
        <v>6504</v>
      </c>
      <c r="W831" s="7" t="s">
        <v>1651</v>
      </c>
      <c r="X831" s="18"/>
      <c r="Y831" s="17"/>
      <c r="Z831" s="17"/>
      <c r="AA831" s="17"/>
      <c r="AB831" s="7" t="s">
        <v>1042</v>
      </c>
      <c r="AC831" s="8"/>
      <c r="AD831" s="8"/>
      <c r="AE831" s="8"/>
      <c r="AF831" s="8" t="s">
        <v>726</v>
      </c>
      <c r="AG831" s="8" t="s">
        <v>726</v>
      </c>
      <c r="AH831" s="8" t="s">
        <v>726</v>
      </c>
      <c r="AI831" s="8" t="s">
        <v>726</v>
      </c>
      <c r="AJ831" s="8" t="s">
        <v>726</v>
      </c>
      <c r="AK831" s="8" t="s">
        <v>726</v>
      </c>
      <c r="AL831" s="8"/>
      <c r="AM831" s="8"/>
      <c r="AN831" s="8"/>
      <c r="AO831" s="8"/>
      <c r="AP831" s="8"/>
      <c r="AQ831" s="8"/>
      <c r="AR831" s="8"/>
      <c r="AS831" s="8"/>
      <c r="AT831" s="8"/>
      <c r="AU831" s="8"/>
      <c r="AV831" s="8"/>
      <c r="AX831" s="144">
        <v>42</v>
      </c>
    </row>
    <row r="832" spans="1:50" s="10" customFormat="1" ht="51">
      <c r="A832" s="2"/>
      <c r="B832" s="27">
        <v>817</v>
      </c>
      <c r="C832" s="31">
        <v>627</v>
      </c>
      <c r="D832" s="31">
        <v>778</v>
      </c>
      <c r="E832" s="42">
        <v>0.57638888888888895</v>
      </c>
      <c r="F832" s="42">
        <v>0.57847222222222217</v>
      </c>
      <c r="G832" s="31" t="s">
        <v>482</v>
      </c>
      <c r="H832" s="31" t="s">
        <v>655</v>
      </c>
      <c r="I832" s="33">
        <v>1</v>
      </c>
      <c r="J832" s="34" t="s">
        <v>127</v>
      </c>
      <c r="K832" s="35">
        <f>34+36+36</f>
        <v>106</v>
      </c>
      <c r="L832" s="36">
        <f>+K832*I832</f>
        <v>106</v>
      </c>
      <c r="M832" s="37" t="s">
        <v>1138</v>
      </c>
      <c r="N832" s="23" t="s">
        <v>947</v>
      </c>
      <c r="O832" s="23">
        <v>43</v>
      </c>
      <c r="P832" s="23" t="s">
        <v>1199</v>
      </c>
      <c r="Q832" s="23">
        <v>54</v>
      </c>
      <c r="R832" s="23" t="s">
        <v>1200</v>
      </c>
      <c r="S832" s="24">
        <v>55</v>
      </c>
      <c r="T832" s="7">
        <v>6504</v>
      </c>
      <c r="U832" s="7" t="s">
        <v>1651</v>
      </c>
      <c r="V832" s="7" t="s">
        <v>1649</v>
      </c>
      <c r="W832" s="7" t="s">
        <v>1650</v>
      </c>
      <c r="X832" s="18"/>
      <c r="Y832" s="17"/>
      <c r="Z832" s="17"/>
      <c r="AA832" s="17"/>
      <c r="AB832" s="7" t="s">
        <v>1092</v>
      </c>
      <c r="AC832" s="8"/>
      <c r="AD832" s="8"/>
      <c r="AE832" s="8"/>
      <c r="AF832" s="8" t="s">
        <v>726</v>
      </c>
      <c r="AG832" s="8"/>
      <c r="AH832" s="8" t="s">
        <v>726</v>
      </c>
      <c r="AI832" s="8" t="s">
        <v>726</v>
      </c>
      <c r="AJ832" s="8"/>
      <c r="AK832" s="8" t="s">
        <v>726</v>
      </c>
      <c r="AL832" s="8"/>
      <c r="AM832" s="8"/>
      <c r="AN832" s="8"/>
      <c r="AO832" s="8"/>
      <c r="AP832" s="8"/>
      <c r="AQ832" s="8"/>
      <c r="AR832" s="8"/>
      <c r="AS832" s="8"/>
      <c r="AT832" s="8"/>
      <c r="AU832" s="8"/>
      <c r="AV832" s="8"/>
      <c r="AX832" s="144">
        <v>3</v>
      </c>
    </row>
    <row r="833" spans="1:50" s="10" customFormat="1" ht="45">
      <c r="A833" s="2"/>
      <c r="B833" s="27">
        <v>818</v>
      </c>
      <c r="C833" s="31">
        <v>627</v>
      </c>
      <c r="D833" s="31">
        <v>916</v>
      </c>
      <c r="E833" s="32">
        <v>0.61805555555555558</v>
      </c>
      <c r="F833" s="32">
        <v>0.63055555555555554</v>
      </c>
      <c r="G833" s="31" t="s">
        <v>418</v>
      </c>
      <c r="H833" s="31" t="s">
        <v>103</v>
      </c>
      <c r="I833" s="33">
        <v>12</v>
      </c>
      <c r="J833" s="34" t="s">
        <v>188</v>
      </c>
      <c r="K833" s="35">
        <v>174</v>
      </c>
      <c r="L833" s="36">
        <f>+K833*I833</f>
        <v>2088</v>
      </c>
      <c r="M833" s="121" t="s">
        <v>771</v>
      </c>
      <c r="N833" s="79" t="s">
        <v>786</v>
      </c>
      <c r="O833" s="79">
        <v>21</v>
      </c>
      <c r="P833" s="79" t="s">
        <v>864</v>
      </c>
      <c r="Q833" s="79">
        <v>23</v>
      </c>
      <c r="R833" s="23" t="s">
        <v>1848</v>
      </c>
      <c r="S833" s="23" t="s">
        <v>1818</v>
      </c>
      <c r="T833" s="7">
        <v>6200</v>
      </c>
      <c r="U833" s="7" t="s">
        <v>1618</v>
      </c>
      <c r="V833" s="7">
        <v>6504</v>
      </c>
      <c r="W833" s="7" t="s">
        <v>1651</v>
      </c>
      <c r="X833" s="18"/>
      <c r="Y833" s="17"/>
      <c r="Z833" s="17"/>
      <c r="AA833" s="17"/>
      <c r="AB833" s="7" t="s">
        <v>1042</v>
      </c>
      <c r="AC833" s="8"/>
      <c r="AD833" s="8"/>
      <c r="AE833" s="8"/>
      <c r="AF833" s="8" t="s">
        <v>726</v>
      </c>
      <c r="AG833" s="8" t="s">
        <v>726</v>
      </c>
      <c r="AH833" s="8" t="s">
        <v>726</v>
      </c>
      <c r="AI833" s="8" t="s">
        <v>726</v>
      </c>
      <c r="AJ833" s="8" t="s">
        <v>726</v>
      </c>
      <c r="AK833" s="8" t="s">
        <v>726</v>
      </c>
      <c r="AL833" s="8"/>
      <c r="AM833" s="8"/>
      <c r="AN833" s="8"/>
      <c r="AO833" s="8"/>
      <c r="AP833" s="8"/>
      <c r="AQ833" s="8"/>
      <c r="AR833" s="8"/>
      <c r="AS833" s="8"/>
      <c r="AT833" s="8"/>
      <c r="AU833" s="8"/>
      <c r="AV833" s="8"/>
      <c r="AX833" s="144">
        <v>24</v>
      </c>
    </row>
    <row r="834" spans="1:50" s="10" customFormat="1" ht="25.5">
      <c r="A834" s="2"/>
      <c r="B834" s="27">
        <v>819</v>
      </c>
      <c r="C834" s="38">
        <v>627</v>
      </c>
      <c r="D834" s="38">
        <v>246</v>
      </c>
      <c r="E834" s="39">
        <v>0.71388888888888891</v>
      </c>
      <c r="F834" s="39">
        <v>0.7402777777777777</v>
      </c>
      <c r="G834" s="40" t="s">
        <v>651</v>
      </c>
      <c r="H834" s="31" t="s">
        <v>103</v>
      </c>
      <c r="I834" s="38">
        <v>14.5</v>
      </c>
      <c r="J834" s="41">
        <v>30</v>
      </c>
      <c r="K834" s="35">
        <v>174</v>
      </c>
      <c r="L834" s="36">
        <f>+K834*I834</f>
        <v>2523</v>
      </c>
      <c r="M834" s="37" t="s">
        <v>770</v>
      </c>
      <c r="N834" s="23" t="s">
        <v>849</v>
      </c>
      <c r="O834" s="23">
        <v>57</v>
      </c>
      <c r="P834" s="72" t="s">
        <v>1188</v>
      </c>
      <c r="Q834" s="72" t="s">
        <v>1196</v>
      </c>
      <c r="R834" s="23" t="s">
        <v>1197</v>
      </c>
      <c r="S834" s="23">
        <v>31</v>
      </c>
      <c r="T834" s="7" t="s">
        <v>1639</v>
      </c>
      <c r="U834" s="7" t="s">
        <v>1640</v>
      </c>
      <c r="V834" s="7">
        <v>6504</v>
      </c>
      <c r="W834" s="7" t="s">
        <v>1651</v>
      </c>
      <c r="X834" s="18"/>
      <c r="Y834" s="17"/>
      <c r="Z834" s="17"/>
      <c r="AA834" s="17"/>
      <c r="AB834" s="7" t="s">
        <v>1042</v>
      </c>
      <c r="AC834" s="8"/>
      <c r="AD834" s="8"/>
      <c r="AE834" s="8"/>
      <c r="AF834" s="8" t="s">
        <v>726</v>
      </c>
      <c r="AG834" s="8" t="s">
        <v>726</v>
      </c>
      <c r="AH834" s="8" t="s">
        <v>726</v>
      </c>
      <c r="AI834" s="8" t="s">
        <v>726</v>
      </c>
      <c r="AJ834" s="8" t="s">
        <v>726</v>
      </c>
      <c r="AK834" s="8" t="s">
        <v>726</v>
      </c>
      <c r="AL834" s="8"/>
      <c r="AM834" s="8"/>
      <c r="AN834" s="8"/>
      <c r="AO834" s="8"/>
      <c r="AP834" s="8"/>
      <c r="AQ834" s="8"/>
      <c r="AR834" s="8"/>
      <c r="AS834" s="8"/>
      <c r="AT834" s="8"/>
      <c r="AU834" s="8"/>
      <c r="AV834" s="8"/>
      <c r="AX834" s="144">
        <v>28.6</v>
      </c>
    </row>
    <row r="835" spans="1:50" s="10" customFormat="1" ht="25.5">
      <c r="A835" s="2"/>
      <c r="B835" s="27">
        <v>820</v>
      </c>
      <c r="C835" s="38">
        <v>627</v>
      </c>
      <c r="D835" s="38">
        <v>247</v>
      </c>
      <c r="E835" s="39">
        <v>0.74097222222222225</v>
      </c>
      <c r="F835" s="39">
        <v>0.76041666666666663</v>
      </c>
      <c r="G835" s="40" t="s">
        <v>74</v>
      </c>
      <c r="H835" s="31" t="s">
        <v>103</v>
      </c>
      <c r="I835" s="38">
        <v>12</v>
      </c>
      <c r="J835" s="41">
        <v>30</v>
      </c>
      <c r="K835" s="35">
        <v>174</v>
      </c>
      <c r="L835" s="36">
        <f>+K835*I835</f>
        <v>2088</v>
      </c>
      <c r="M835" s="37" t="s">
        <v>770</v>
      </c>
      <c r="N835" s="23" t="s">
        <v>849</v>
      </c>
      <c r="O835" s="23">
        <v>57</v>
      </c>
      <c r="P835" s="72" t="s">
        <v>1188</v>
      </c>
      <c r="Q835" s="72" t="s">
        <v>1196</v>
      </c>
      <c r="R835" s="23" t="s">
        <v>1197</v>
      </c>
      <c r="S835" s="23">
        <v>31</v>
      </c>
      <c r="T835" s="7">
        <v>6504</v>
      </c>
      <c r="U835" s="7" t="s">
        <v>1651</v>
      </c>
      <c r="V835" s="7">
        <v>6220</v>
      </c>
      <c r="W835" s="7" t="s">
        <v>1281</v>
      </c>
      <c r="X835" s="18"/>
      <c r="Y835" s="17"/>
      <c r="Z835" s="17"/>
      <c r="AA835" s="17"/>
      <c r="AB835" s="7" t="s">
        <v>1042</v>
      </c>
      <c r="AC835" s="8"/>
      <c r="AD835" s="8"/>
      <c r="AE835" s="8"/>
      <c r="AF835" s="8" t="s">
        <v>726</v>
      </c>
      <c r="AG835" s="8" t="s">
        <v>726</v>
      </c>
      <c r="AH835" s="8" t="s">
        <v>726</v>
      </c>
      <c r="AI835" s="8" t="s">
        <v>726</v>
      </c>
      <c r="AJ835" s="8" t="s">
        <v>726</v>
      </c>
      <c r="AK835" s="8" t="s">
        <v>726</v>
      </c>
      <c r="AL835" s="8"/>
      <c r="AM835" s="8"/>
      <c r="AN835" s="8"/>
      <c r="AO835" s="8"/>
      <c r="AP835" s="8"/>
      <c r="AQ835" s="8"/>
      <c r="AR835" s="8"/>
      <c r="AS835" s="8"/>
      <c r="AT835" s="8"/>
      <c r="AU835" s="8"/>
      <c r="AV835" s="8"/>
      <c r="AX835" s="144">
        <v>26.400000000000002</v>
      </c>
    </row>
    <row r="836" spans="1:50" s="10" customFormat="1" ht="25.5">
      <c r="A836" s="2"/>
      <c r="B836" s="27">
        <v>821</v>
      </c>
      <c r="C836" s="38">
        <v>627</v>
      </c>
      <c r="D836" s="38">
        <v>248</v>
      </c>
      <c r="E836" s="39">
        <v>0.77430555555555547</v>
      </c>
      <c r="F836" s="39">
        <v>0.7909722222222223</v>
      </c>
      <c r="G836" s="40" t="s">
        <v>654</v>
      </c>
      <c r="H836" s="31" t="s">
        <v>97</v>
      </c>
      <c r="I836" s="38">
        <v>11</v>
      </c>
      <c r="J836" s="41">
        <v>19</v>
      </c>
      <c r="K836" s="35">
        <v>208</v>
      </c>
      <c r="L836" s="36">
        <f>+K836*I836</f>
        <v>2288</v>
      </c>
      <c r="M836" s="37" t="s">
        <v>771</v>
      </c>
      <c r="N836" s="23" t="s">
        <v>1004</v>
      </c>
      <c r="O836" s="23">
        <v>23</v>
      </c>
      <c r="P836" s="23" t="s">
        <v>866</v>
      </c>
      <c r="Q836" s="23">
        <v>21</v>
      </c>
      <c r="R836" s="23" t="s">
        <v>1202</v>
      </c>
      <c r="S836" s="24">
        <v>29</v>
      </c>
      <c r="T836" s="7">
        <v>6200</v>
      </c>
      <c r="U836" s="7" t="s">
        <v>1618</v>
      </c>
      <c r="V836" s="7">
        <v>6504</v>
      </c>
      <c r="W836" s="7" t="s">
        <v>1651</v>
      </c>
      <c r="X836" s="18"/>
      <c r="Y836" s="17"/>
      <c r="Z836" s="17"/>
      <c r="AA836" s="17"/>
      <c r="AB836" s="7" t="s">
        <v>1046</v>
      </c>
      <c r="AC836" s="8"/>
      <c r="AD836" s="8"/>
      <c r="AE836" s="8"/>
      <c r="AF836" s="8" t="s">
        <v>726</v>
      </c>
      <c r="AG836" s="8" t="s">
        <v>726</v>
      </c>
      <c r="AH836" s="8" t="s">
        <v>726</v>
      </c>
      <c r="AI836" s="8" t="s">
        <v>726</v>
      </c>
      <c r="AJ836" s="8" t="s">
        <v>726</v>
      </c>
      <c r="AK836" s="8" t="s">
        <v>726</v>
      </c>
      <c r="AL836" s="8" t="s">
        <v>726</v>
      </c>
      <c r="AM836" s="8"/>
      <c r="AN836" s="8"/>
      <c r="AO836" s="8"/>
      <c r="AP836" s="8"/>
      <c r="AQ836" s="8"/>
      <c r="AR836" s="8"/>
      <c r="AS836" s="8"/>
      <c r="AT836" s="8"/>
      <c r="AU836" s="8"/>
      <c r="AV836" s="8"/>
      <c r="AX836" s="144">
        <v>22</v>
      </c>
    </row>
    <row r="837" spans="1:50" s="10" customFormat="1" ht="25.5">
      <c r="A837" s="2"/>
      <c r="B837" s="27">
        <v>822</v>
      </c>
      <c r="C837" s="38">
        <v>627</v>
      </c>
      <c r="D837" s="38">
        <v>249</v>
      </c>
      <c r="E837" s="39">
        <v>0.79166666666666663</v>
      </c>
      <c r="F837" s="39">
        <v>0.80555555555555547</v>
      </c>
      <c r="G837" s="40" t="s">
        <v>73</v>
      </c>
      <c r="H837" s="31" t="s">
        <v>97</v>
      </c>
      <c r="I837" s="38">
        <v>7</v>
      </c>
      <c r="J837" s="41">
        <v>19</v>
      </c>
      <c r="K837" s="35">
        <v>208</v>
      </c>
      <c r="L837" s="36">
        <f>+K837*I837</f>
        <v>1456</v>
      </c>
      <c r="M837" s="37" t="s">
        <v>771</v>
      </c>
      <c r="N837" s="23" t="s">
        <v>1004</v>
      </c>
      <c r="O837" s="23">
        <v>23</v>
      </c>
      <c r="P837" s="23" t="s">
        <v>866</v>
      </c>
      <c r="Q837" s="23">
        <v>21</v>
      </c>
      <c r="R837" s="23" t="s">
        <v>1202</v>
      </c>
      <c r="S837" s="24">
        <v>29</v>
      </c>
      <c r="T837" s="7">
        <v>6504</v>
      </c>
      <c r="U837" s="7" t="s">
        <v>1651</v>
      </c>
      <c r="V837" s="7">
        <v>6200</v>
      </c>
      <c r="W837" s="7" t="s">
        <v>1618</v>
      </c>
      <c r="X837" s="18"/>
      <c r="Y837" s="17"/>
      <c r="Z837" s="17"/>
      <c r="AA837" s="17"/>
      <c r="AB837" s="7" t="s">
        <v>1046</v>
      </c>
      <c r="AC837" s="8"/>
      <c r="AD837" s="8"/>
      <c r="AE837" s="8"/>
      <c r="AF837" s="8" t="s">
        <v>726</v>
      </c>
      <c r="AG837" s="8" t="s">
        <v>726</v>
      </c>
      <c r="AH837" s="8" t="s">
        <v>726</v>
      </c>
      <c r="AI837" s="8" t="s">
        <v>726</v>
      </c>
      <c r="AJ837" s="8" t="s">
        <v>726</v>
      </c>
      <c r="AK837" s="8" t="s">
        <v>726</v>
      </c>
      <c r="AL837" s="8" t="s">
        <v>726</v>
      </c>
      <c r="AM837" s="8"/>
      <c r="AN837" s="8"/>
      <c r="AO837" s="8"/>
      <c r="AP837" s="8"/>
      <c r="AQ837" s="8"/>
      <c r="AR837" s="8"/>
      <c r="AS837" s="8"/>
      <c r="AT837" s="8"/>
      <c r="AU837" s="8"/>
      <c r="AV837" s="8"/>
      <c r="AX837" s="144">
        <v>14</v>
      </c>
    </row>
    <row r="838" spans="1:50" s="10" customFormat="1" ht="25.5">
      <c r="A838" s="2"/>
      <c r="B838" s="27">
        <v>823</v>
      </c>
      <c r="C838" s="31">
        <v>630</v>
      </c>
      <c r="D838" s="31">
        <v>121</v>
      </c>
      <c r="E838" s="42">
        <v>0.65625</v>
      </c>
      <c r="F838" s="42">
        <v>0.68472222222222223</v>
      </c>
      <c r="G838" s="31" t="s">
        <v>495</v>
      </c>
      <c r="H838" s="31" t="s">
        <v>534</v>
      </c>
      <c r="I838" s="33">
        <v>23</v>
      </c>
      <c r="J838" s="34" t="s">
        <v>93</v>
      </c>
      <c r="K838" s="35">
        <v>36</v>
      </c>
      <c r="L838" s="36">
        <f>+K838*I838</f>
        <v>828</v>
      </c>
      <c r="M838" s="37" t="s">
        <v>771</v>
      </c>
      <c r="N838" s="23" t="s">
        <v>786</v>
      </c>
      <c r="O838" s="23">
        <v>21</v>
      </c>
      <c r="P838" s="23" t="s">
        <v>866</v>
      </c>
      <c r="Q838" s="23">
        <v>21</v>
      </c>
      <c r="R838" s="73"/>
      <c r="S838" s="23"/>
      <c r="T838" s="7" t="s">
        <v>1653</v>
      </c>
      <c r="U838" s="7" t="s">
        <v>1654</v>
      </c>
      <c r="V838" s="7">
        <v>6220</v>
      </c>
      <c r="W838" s="7" t="s">
        <v>1281</v>
      </c>
      <c r="X838" s="18"/>
      <c r="Y838" s="17"/>
      <c r="Z838" s="17"/>
      <c r="AA838" s="17"/>
      <c r="AB838" s="8" t="s">
        <v>1060</v>
      </c>
      <c r="AC838" s="3"/>
      <c r="AD838" s="3"/>
      <c r="AE838" s="3"/>
      <c r="AF838" s="8" t="s">
        <v>726</v>
      </c>
      <c r="AG838" s="8"/>
      <c r="AH838" s="8"/>
      <c r="AI838" s="8"/>
      <c r="AJ838" s="8"/>
      <c r="AK838" s="8" t="s">
        <v>726</v>
      </c>
      <c r="AL838" s="3"/>
      <c r="AM838" s="3"/>
      <c r="AN838" s="3"/>
      <c r="AO838" s="3"/>
      <c r="AP838" s="3"/>
      <c r="AQ838" s="3"/>
      <c r="AR838" s="3"/>
      <c r="AS838" s="3"/>
      <c r="AT838" s="3"/>
      <c r="AU838" s="3"/>
      <c r="AV838" s="3"/>
      <c r="AX838" s="144">
        <v>69</v>
      </c>
    </row>
    <row r="839" spans="1:50" s="10" customFormat="1" ht="25.5">
      <c r="A839" s="2"/>
      <c r="B839" s="27">
        <v>824</v>
      </c>
      <c r="C839" s="38">
        <v>630</v>
      </c>
      <c r="D839" s="38">
        <v>117</v>
      </c>
      <c r="E839" s="39">
        <v>0.72222222222222221</v>
      </c>
      <c r="F839" s="39">
        <v>0.74583333333333324</v>
      </c>
      <c r="G839" s="40" t="s">
        <v>72</v>
      </c>
      <c r="H839" s="31" t="s">
        <v>477</v>
      </c>
      <c r="I839" s="38">
        <v>17</v>
      </c>
      <c r="J839" s="41">
        <v>19</v>
      </c>
      <c r="K839" s="35">
        <v>240</v>
      </c>
      <c r="L839" s="36">
        <f>+K839*I839</f>
        <v>4080</v>
      </c>
      <c r="M839" s="37" t="s">
        <v>771</v>
      </c>
      <c r="N839" s="23" t="s">
        <v>866</v>
      </c>
      <c r="O839" s="23">
        <v>21</v>
      </c>
      <c r="P839" s="23" t="s">
        <v>1202</v>
      </c>
      <c r="Q839" s="23">
        <v>29</v>
      </c>
      <c r="R839" s="73"/>
      <c r="S839" s="23"/>
      <c r="T839" s="7" t="s">
        <v>1653</v>
      </c>
      <c r="U839" s="7" t="s">
        <v>1654</v>
      </c>
      <c r="V839" s="7">
        <v>6200</v>
      </c>
      <c r="W839" s="7" t="s">
        <v>1618</v>
      </c>
      <c r="X839" s="18"/>
      <c r="Y839" s="17"/>
      <c r="Z839" s="18"/>
      <c r="AA839" s="18"/>
      <c r="AB839" s="7" t="s">
        <v>1052</v>
      </c>
      <c r="AC839" s="8" t="s">
        <v>726</v>
      </c>
      <c r="AD839" s="8"/>
      <c r="AE839" s="8" t="s">
        <v>726</v>
      </c>
      <c r="AF839" s="8"/>
      <c r="AG839" s="8" t="s">
        <v>726</v>
      </c>
      <c r="AH839" s="8" t="s">
        <v>726</v>
      </c>
      <c r="AI839" s="8" t="s">
        <v>726</v>
      </c>
      <c r="AJ839" s="8" t="s">
        <v>726</v>
      </c>
      <c r="AK839" s="8" t="s">
        <v>726</v>
      </c>
      <c r="AL839" s="8" t="s">
        <v>726</v>
      </c>
      <c r="AM839" s="3"/>
      <c r="AN839" s="3"/>
      <c r="AO839" s="3"/>
      <c r="AP839" s="3"/>
      <c r="AQ839" s="8"/>
      <c r="AR839" s="8"/>
      <c r="AS839" s="8"/>
      <c r="AT839" s="8"/>
      <c r="AU839" s="8"/>
      <c r="AV839" s="8"/>
      <c r="AX839" s="144">
        <v>34</v>
      </c>
    </row>
    <row r="840" spans="1:50" s="10" customFormat="1" ht="45">
      <c r="A840" s="24"/>
      <c r="B840" s="27">
        <v>825</v>
      </c>
      <c r="C840" s="31">
        <v>630</v>
      </c>
      <c r="D840" s="31">
        <v>578</v>
      </c>
      <c r="E840" s="32">
        <v>0.73749999999999993</v>
      </c>
      <c r="F840" s="32">
        <v>0.76666666666666661</v>
      </c>
      <c r="G840" s="31" t="s">
        <v>657</v>
      </c>
      <c r="H840" s="31" t="s">
        <v>103</v>
      </c>
      <c r="I840" s="33">
        <v>25.5</v>
      </c>
      <c r="J840" s="34" t="s">
        <v>127</v>
      </c>
      <c r="K840" s="35">
        <v>174</v>
      </c>
      <c r="L840" s="36">
        <f>+K840*I840</f>
        <v>4437</v>
      </c>
      <c r="M840" s="37" t="s">
        <v>1138</v>
      </c>
      <c r="N840" s="23" t="s">
        <v>946</v>
      </c>
      <c r="O840" s="23">
        <v>43</v>
      </c>
      <c r="P840" s="23" t="s">
        <v>1199</v>
      </c>
      <c r="Q840" s="23">
        <v>54</v>
      </c>
      <c r="R840" s="23" t="s">
        <v>1200</v>
      </c>
      <c r="S840" s="24">
        <v>55</v>
      </c>
      <c r="T840" s="7">
        <v>6200</v>
      </c>
      <c r="U840" s="7" t="s">
        <v>1618</v>
      </c>
      <c r="V840" s="7" t="s">
        <v>1653</v>
      </c>
      <c r="W840" s="7" t="s">
        <v>1654</v>
      </c>
      <c r="X840" s="18"/>
      <c r="Y840" s="17"/>
      <c r="Z840" s="17"/>
      <c r="AA840" s="17"/>
      <c r="AB840" s="7" t="s">
        <v>1042</v>
      </c>
      <c r="AC840" s="3"/>
      <c r="AD840" s="3"/>
      <c r="AE840" s="3"/>
      <c r="AF840" s="8" t="s">
        <v>726</v>
      </c>
      <c r="AG840" s="8" t="s">
        <v>726</v>
      </c>
      <c r="AH840" s="8" t="s">
        <v>726</v>
      </c>
      <c r="AI840" s="8" t="s">
        <v>726</v>
      </c>
      <c r="AJ840" s="8" t="s">
        <v>726</v>
      </c>
      <c r="AK840" s="8" t="s">
        <v>726</v>
      </c>
      <c r="AL840" s="3"/>
      <c r="AM840" s="3"/>
      <c r="AN840" s="3"/>
      <c r="AO840" s="3"/>
      <c r="AP840" s="3"/>
      <c r="AQ840" s="8"/>
      <c r="AR840" s="8"/>
      <c r="AS840" s="8"/>
      <c r="AT840" s="8"/>
      <c r="AU840" s="8"/>
      <c r="AV840" s="3"/>
      <c r="AX840" s="144">
        <v>82.14</v>
      </c>
    </row>
    <row r="841" spans="1:50" s="10" customFormat="1" ht="25.5">
      <c r="A841" s="23"/>
      <c r="B841" s="27">
        <v>826</v>
      </c>
      <c r="C841" s="38">
        <v>630</v>
      </c>
      <c r="D841" s="38">
        <v>116</v>
      </c>
      <c r="E841" s="39">
        <v>0.76736111111111116</v>
      </c>
      <c r="F841" s="44">
        <v>0.81111111111111101</v>
      </c>
      <c r="G841" s="40" t="s">
        <v>71</v>
      </c>
      <c r="H841" s="31" t="s">
        <v>477</v>
      </c>
      <c r="I841" s="38">
        <v>33</v>
      </c>
      <c r="J841" s="41">
        <v>30</v>
      </c>
      <c r="K841" s="35">
        <v>240</v>
      </c>
      <c r="L841" s="36">
        <f>+K841*I841</f>
        <v>7920</v>
      </c>
      <c r="M841" s="37" t="s">
        <v>770</v>
      </c>
      <c r="N841" s="23" t="s">
        <v>849</v>
      </c>
      <c r="O841" s="23">
        <v>57</v>
      </c>
      <c r="P841" s="72" t="s">
        <v>1188</v>
      </c>
      <c r="Q841" s="72" t="s">
        <v>1196</v>
      </c>
      <c r="R841" s="23" t="s">
        <v>1197</v>
      </c>
      <c r="S841" s="23">
        <v>31</v>
      </c>
      <c r="T841" s="7">
        <v>6220</v>
      </c>
      <c r="U841" s="7" t="s">
        <v>1281</v>
      </c>
      <c r="V841" s="7">
        <v>6630</v>
      </c>
      <c r="W841" s="7" t="s">
        <v>1655</v>
      </c>
      <c r="X841" s="18"/>
      <c r="Y841" s="17"/>
      <c r="Z841" s="18"/>
      <c r="AA841" s="18"/>
      <c r="AB841" s="7" t="s">
        <v>1052</v>
      </c>
      <c r="AC841" s="8" t="s">
        <v>726</v>
      </c>
      <c r="AD841" s="8"/>
      <c r="AE841" s="8" t="s">
        <v>726</v>
      </c>
      <c r="AF841" s="8"/>
      <c r="AG841" s="8" t="s">
        <v>726</v>
      </c>
      <c r="AH841" s="8" t="s">
        <v>726</v>
      </c>
      <c r="AI841" s="8" t="s">
        <v>726</v>
      </c>
      <c r="AJ841" s="8" t="s">
        <v>726</v>
      </c>
      <c r="AK841" s="8" t="s">
        <v>726</v>
      </c>
      <c r="AL841" s="8" t="s">
        <v>726</v>
      </c>
      <c r="AM841" s="3"/>
      <c r="AN841" s="3"/>
      <c r="AO841" s="3"/>
      <c r="AP841" s="3"/>
      <c r="AQ841" s="8"/>
      <c r="AR841" s="8"/>
      <c r="AS841" s="8"/>
      <c r="AT841" s="8"/>
      <c r="AU841" s="8"/>
      <c r="AV841" s="8"/>
      <c r="AX841" s="144">
        <v>84.558916666666676</v>
      </c>
    </row>
    <row r="842" spans="1:50" s="10" customFormat="1" ht="25.5">
      <c r="A842" s="23"/>
      <c r="B842" s="27">
        <v>827</v>
      </c>
      <c r="C842" s="38">
        <v>630</v>
      </c>
      <c r="D842" s="38">
        <v>119</v>
      </c>
      <c r="E842" s="44">
        <v>0.8125</v>
      </c>
      <c r="F842" s="44">
        <v>0.8256944444444444</v>
      </c>
      <c r="G842" s="40" t="s">
        <v>70</v>
      </c>
      <c r="H842" s="31" t="s">
        <v>477</v>
      </c>
      <c r="I842" s="38">
        <v>12</v>
      </c>
      <c r="J842" s="41">
        <v>30</v>
      </c>
      <c r="K842" s="35">
        <v>240</v>
      </c>
      <c r="L842" s="36">
        <f>+K842*I842</f>
        <v>2880</v>
      </c>
      <c r="M842" s="37" t="s">
        <v>770</v>
      </c>
      <c r="N842" s="23" t="s">
        <v>849</v>
      </c>
      <c r="O842" s="23">
        <v>57</v>
      </c>
      <c r="P842" s="72" t="s">
        <v>1188</v>
      </c>
      <c r="Q842" s="72" t="s">
        <v>1196</v>
      </c>
      <c r="R842" s="23" t="s">
        <v>1197</v>
      </c>
      <c r="S842" s="23">
        <v>31</v>
      </c>
      <c r="T842" s="7">
        <v>6630</v>
      </c>
      <c r="U842" s="7" t="s">
        <v>1655</v>
      </c>
      <c r="V842" s="7" t="s">
        <v>1653</v>
      </c>
      <c r="W842" s="7" t="s">
        <v>1654</v>
      </c>
      <c r="X842" s="18"/>
      <c r="Y842" s="17"/>
      <c r="Z842" s="18"/>
      <c r="AA842" s="18"/>
      <c r="AB842" s="7" t="s">
        <v>1052</v>
      </c>
      <c r="AC842" s="8" t="s">
        <v>726</v>
      </c>
      <c r="AD842" s="8"/>
      <c r="AE842" s="8" t="s">
        <v>726</v>
      </c>
      <c r="AF842" s="8"/>
      <c r="AG842" s="8" t="s">
        <v>726</v>
      </c>
      <c r="AH842" s="8" t="s">
        <v>726</v>
      </c>
      <c r="AI842" s="8" t="s">
        <v>726</v>
      </c>
      <c r="AJ842" s="8" t="s">
        <v>726</v>
      </c>
      <c r="AK842" s="8" t="s">
        <v>726</v>
      </c>
      <c r="AL842" s="8" t="s">
        <v>726</v>
      </c>
      <c r="AM842" s="3"/>
      <c r="AN842" s="3"/>
      <c r="AO842" s="3"/>
      <c r="AP842" s="3"/>
      <c r="AQ842" s="8"/>
      <c r="AR842" s="8"/>
      <c r="AS842" s="8"/>
      <c r="AT842" s="8"/>
      <c r="AU842" s="8"/>
      <c r="AV842" s="8"/>
      <c r="AX842" s="144">
        <v>30.749416666666669</v>
      </c>
    </row>
    <row r="843" spans="1:50" s="10" customFormat="1" ht="25.5">
      <c r="A843" s="2"/>
      <c r="B843" s="27">
        <v>828</v>
      </c>
      <c r="C843" s="31">
        <v>630</v>
      </c>
      <c r="D843" s="31">
        <v>118</v>
      </c>
      <c r="E843" s="32">
        <v>0.81597222222222221</v>
      </c>
      <c r="F843" s="42">
        <v>0.85</v>
      </c>
      <c r="G843" s="31" t="s">
        <v>658</v>
      </c>
      <c r="H843" s="31" t="s">
        <v>203</v>
      </c>
      <c r="I843" s="33">
        <v>24</v>
      </c>
      <c r="J843" s="34" t="s">
        <v>93</v>
      </c>
      <c r="K843" s="35">
        <v>202</v>
      </c>
      <c r="L843" s="36">
        <f>+K843*I843</f>
        <v>4848</v>
      </c>
      <c r="M843" s="37" t="s">
        <v>771</v>
      </c>
      <c r="N843" s="23" t="s">
        <v>1004</v>
      </c>
      <c r="O843" s="23">
        <v>23</v>
      </c>
      <c r="P843" s="23" t="s">
        <v>866</v>
      </c>
      <c r="Q843" s="23">
        <v>21</v>
      </c>
      <c r="R843" s="23" t="s">
        <v>1202</v>
      </c>
      <c r="S843" s="24">
        <v>29</v>
      </c>
      <c r="T843" s="7">
        <v>6220</v>
      </c>
      <c r="U843" s="7" t="s">
        <v>1281</v>
      </c>
      <c r="V843" s="7" t="s">
        <v>1653</v>
      </c>
      <c r="W843" s="7" t="s">
        <v>1654</v>
      </c>
      <c r="X843" s="18"/>
      <c r="Y843" s="17"/>
      <c r="Z843" s="18"/>
      <c r="AA843" s="18"/>
      <c r="AB843" s="7" t="s">
        <v>1048</v>
      </c>
      <c r="AC843" s="8" t="s">
        <v>726</v>
      </c>
      <c r="AD843" s="8"/>
      <c r="AE843" s="8" t="s">
        <v>726</v>
      </c>
      <c r="AF843" s="8"/>
      <c r="AG843" s="8" t="s">
        <v>726</v>
      </c>
      <c r="AH843" s="8" t="s">
        <v>726</v>
      </c>
      <c r="AI843" s="8" t="s">
        <v>726</v>
      </c>
      <c r="AJ843" s="8" t="s">
        <v>726</v>
      </c>
      <c r="AK843" s="8" t="s">
        <v>726</v>
      </c>
      <c r="AL843" s="3"/>
      <c r="AM843" s="3"/>
      <c r="AN843" s="3"/>
      <c r="AO843" s="3"/>
      <c r="AP843" s="8"/>
      <c r="AQ843" s="8"/>
      <c r="AR843" s="8"/>
      <c r="AS843" s="8"/>
      <c r="AT843" s="8"/>
      <c r="AU843" s="8"/>
      <c r="AV843" s="8"/>
      <c r="AX843" s="144">
        <v>48</v>
      </c>
    </row>
    <row r="844" spans="1:50" s="10" customFormat="1" ht="25.5">
      <c r="A844" s="2"/>
      <c r="B844" s="27">
        <v>829</v>
      </c>
      <c r="C844" s="31">
        <v>632</v>
      </c>
      <c r="D844" s="31">
        <v>153</v>
      </c>
      <c r="E844" s="32">
        <v>0.27083333333333331</v>
      </c>
      <c r="F844" s="42">
        <v>0.2951388888888889</v>
      </c>
      <c r="G844" s="31" t="s">
        <v>318</v>
      </c>
      <c r="H844" s="31" t="s">
        <v>97</v>
      </c>
      <c r="I844" s="31">
        <v>18.5</v>
      </c>
      <c r="J844" s="34" t="s">
        <v>406</v>
      </c>
      <c r="K844" s="35">
        <v>208</v>
      </c>
      <c r="L844" s="36">
        <f>+K844*I844</f>
        <v>3848</v>
      </c>
      <c r="M844" s="37" t="s">
        <v>771</v>
      </c>
      <c r="N844" s="23" t="s">
        <v>863</v>
      </c>
      <c r="O844" s="23">
        <v>23</v>
      </c>
      <c r="P844" s="23" t="s">
        <v>786</v>
      </c>
      <c r="Q844" s="23">
        <v>21</v>
      </c>
      <c r="R844" s="73"/>
      <c r="S844" s="23"/>
      <c r="T844" s="7">
        <v>6686</v>
      </c>
      <c r="U844" s="7" t="s">
        <v>1656</v>
      </c>
      <c r="V844" s="7">
        <v>6220</v>
      </c>
      <c r="W844" s="7" t="s">
        <v>1281</v>
      </c>
      <c r="X844" s="18"/>
      <c r="Y844" s="17"/>
      <c r="Z844" s="17"/>
      <c r="AA844" s="17"/>
      <c r="AB844" s="7" t="s">
        <v>1046</v>
      </c>
      <c r="AC844" s="3"/>
      <c r="AD844" s="3"/>
      <c r="AE844" s="3"/>
      <c r="AF844" s="8" t="s">
        <v>726</v>
      </c>
      <c r="AG844" s="8" t="s">
        <v>726</v>
      </c>
      <c r="AH844" s="8" t="s">
        <v>726</v>
      </c>
      <c r="AI844" s="8" t="s">
        <v>726</v>
      </c>
      <c r="AJ844" s="8" t="s">
        <v>726</v>
      </c>
      <c r="AK844" s="8" t="s">
        <v>726</v>
      </c>
      <c r="AL844" s="8" t="s">
        <v>726</v>
      </c>
      <c r="AM844" s="3"/>
      <c r="AN844" s="3"/>
      <c r="AO844" s="3"/>
      <c r="AP844" s="3"/>
      <c r="AQ844" s="8"/>
      <c r="AR844" s="8"/>
      <c r="AS844" s="8"/>
      <c r="AT844" s="8"/>
      <c r="AU844" s="8"/>
      <c r="AV844" s="8"/>
      <c r="AX844" s="144">
        <v>131.41</v>
      </c>
    </row>
    <row r="845" spans="1:50" s="10" customFormat="1" ht="25.5">
      <c r="A845" s="2"/>
      <c r="B845" s="27">
        <v>830</v>
      </c>
      <c r="C845" s="31">
        <v>632</v>
      </c>
      <c r="D845" s="31">
        <v>776</v>
      </c>
      <c r="E845" s="32">
        <v>0.28333333333333333</v>
      </c>
      <c r="F845" s="32">
        <v>0.28680555555555554</v>
      </c>
      <c r="G845" s="31" t="s">
        <v>118</v>
      </c>
      <c r="H845" s="31" t="s">
        <v>97</v>
      </c>
      <c r="I845" s="33">
        <v>2</v>
      </c>
      <c r="J845" s="34" t="s">
        <v>116</v>
      </c>
      <c r="K845" s="35">
        <v>208</v>
      </c>
      <c r="L845" s="36">
        <f>+K845*I845</f>
        <v>416</v>
      </c>
      <c r="M845" s="37" t="s">
        <v>771</v>
      </c>
      <c r="N845" s="23" t="s">
        <v>865</v>
      </c>
      <c r="O845" s="23">
        <v>9</v>
      </c>
      <c r="P845" s="23" t="s">
        <v>866</v>
      </c>
      <c r="Q845" s="23">
        <v>21</v>
      </c>
      <c r="R845" s="23"/>
      <c r="S845" s="23"/>
      <c r="T845" s="7">
        <v>6579</v>
      </c>
      <c r="U845" s="7" t="s">
        <v>1657</v>
      </c>
      <c r="V845" s="7" t="s">
        <v>1653</v>
      </c>
      <c r="W845" s="7" t="s">
        <v>1654</v>
      </c>
      <c r="X845" s="18"/>
      <c r="Y845" s="17"/>
      <c r="Z845" s="17"/>
      <c r="AA845" s="17"/>
      <c r="AB845" s="7" t="s">
        <v>1046</v>
      </c>
      <c r="AC845" s="3"/>
      <c r="AD845" s="3"/>
      <c r="AE845" s="3"/>
      <c r="AF845" s="8" t="s">
        <v>726</v>
      </c>
      <c r="AG845" s="8" t="s">
        <v>726</v>
      </c>
      <c r="AH845" s="8" t="s">
        <v>726</v>
      </c>
      <c r="AI845" s="8" t="s">
        <v>726</v>
      </c>
      <c r="AJ845" s="8" t="s">
        <v>726</v>
      </c>
      <c r="AK845" s="8" t="s">
        <v>726</v>
      </c>
      <c r="AL845" s="8" t="s">
        <v>726</v>
      </c>
      <c r="AM845" s="3"/>
      <c r="AN845" s="3"/>
      <c r="AO845" s="3"/>
      <c r="AP845" s="3"/>
      <c r="AQ845" s="8"/>
      <c r="AR845" s="8"/>
      <c r="AS845" s="8"/>
      <c r="AT845" s="8"/>
      <c r="AU845" s="8"/>
      <c r="AV845" s="8"/>
      <c r="AX845" s="144">
        <v>20</v>
      </c>
    </row>
    <row r="846" spans="1:50" s="10" customFormat="1" ht="25.5">
      <c r="A846" s="24"/>
      <c r="B846" s="27">
        <v>831</v>
      </c>
      <c r="C846" s="31">
        <v>632</v>
      </c>
      <c r="D846" s="31">
        <v>737</v>
      </c>
      <c r="E846" s="32">
        <v>0.28333333333333333</v>
      </c>
      <c r="F846" s="32">
        <v>0.2951388888888889</v>
      </c>
      <c r="G846" s="31" t="s">
        <v>317</v>
      </c>
      <c r="H846" s="31" t="s">
        <v>97</v>
      </c>
      <c r="I846" s="33">
        <v>4</v>
      </c>
      <c r="J846" s="34" t="s">
        <v>269</v>
      </c>
      <c r="K846" s="35">
        <v>208</v>
      </c>
      <c r="L846" s="36">
        <f>+K846*I846</f>
        <v>832</v>
      </c>
      <c r="M846" s="37" t="s">
        <v>771</v>
      </c>
      <c r="N846" s="23" t="s">
        <v>864</v>
      </c>
      <c r="O846" s="23">
        <v>23</v>
      </c>
      <c r="P846" s="23" t="s">
        <v>863</v>
      </c>
      <c r="Q846" s="23">
        <v>23</v>
      </c>
      <c r="R846" s="23" t="s">
        <v>786</v>
      </c>
      <c r="S846" s="24">
        <v>21</v>
      </c>
      <c r="T846" s="7" t="s">
        <v>1658</v>
      </c>
      <c r="U846" s="7" t="s">
        <v>1659</v>
      </c>
      <c r="V846" s="7">
        <v>6675</v>
      </c>
      <c r="W846" s="7" t="s">
        <v>1660</v>
      </c>
      <c r="X846" s="18"/>
      <c r="Y846" s="17"/>
      <c r="Z846" s="17"/>
      <c r="AA846" s="17"/>
      <c r="AB846" s="7" t="s">
        <v>1046</v>
      </c>
      <c r="AC846" s="3"/>
      <c r="AD846" s="3"/>
      <c r="AE846" s="3"/>
      <c r="AF846" s="8" t="s">
        <v>726</v>
      </c>
      <c r="AG846" s="8" t="s">
        <v>726</v>
      </c>
      <c r="AH846" s="8" t="s">
        <v>726</v>
      </c>
      <c r="AI846" s="8" t="s">
        <v>726</v>
      </c>
      <c r="AJ846" s="8" t="s">
        <v>726</v>
      </c>
      <c r="AK846" s="8" t="s">
        <v>726</v>
      </c>
      <c r="AL846" s="8" t="s">
        <v>726</v>
      </c>
      <c r="AM846" s="3"/>
      <c r="AN846" s="3"/>
      <c r="AO846" s="3"/>
      <c r="AP846" s="3"/>
      <c r="AQ846" s="8"/>
      <c r="AR846" s="8"/>
      <c r="AS846" s="8"/>
      <c r="AT846" s="8"/>
      <c r="AU846" s="8"/>
      <c r="AV846" s="8"/>
      <c r="AX846" s="144">
        <v>48.25</v>
      </c>
    </row>
    <row r="847" spans="1:50" s="10" customFormat="1" ht="25.5">
      <c r="A847" s="2"/>
      <c r="B847" s="27">
        <v>832</v>
      </c>
      <c r="C847" s="43">
        <v>637</v>
      </c>
      <c r="D847" s="31">
        <v>747</v>
      </c>
      <c r="E847" s="32">
        <v>0.29166666666666669</v>
      </c>
      <c r="F847" s="32">
        <v>0.30208333333333331</v>
      </c>
      <c r="G847" s="31" t="s">
        <v>314</v>
      </c>
      <c r="H847" s="31" t="s">
        <v>97</v>
      </c>
      <c r="I847" s="33">
        <v>9</v>
      </c>
      <c r="J847" s="34" t="s">
        <v>99</v>
      </c>
      <c r="K847" s="35">
        <v>208</v>
      </c>
      <c r="L847" s="36">
        <f>+K847*I847</f>
        <v>1872</v>
      </c>
      <c r="M847" s="37" t="s">
        <v>771</v>
      </c>
      <c r="N847" s="23" t="s">
        <v>1004</v>
      </c>
      <c r="O847" s="23">
        <v>23</v>
      </c>
      <c r="P847" s="23" t="s">
        <v>786</v>
      </c>
      <c r="Q847" s="23">
        <v>21</v>
      </c>
      <c r="R847" s="23"/>
      <c r="S847" s="23"/>
      <c r="T847" s="7">
        <v>6640</v>
      </c>
      <c r="U847" s="7" t="s">
        <v>1661</v>
      </c>
      <c r="V847" s="7">
        <v>6655</v>
      </c>
      <c r="W847" s="7" t="s">
        <v>1662</v>
      </c>
      <c r="X847" s="18"/>
      <c r="Y847" s="17"/>
      <c r="Z847" s="17"/>
      <c r="AA847" s="17"/>
      <c r="AB847" s="7" t="s">
        <v>1046</v>
      </c>
      <c r="AC847" s="3"/>
      <c r="AD847" s="3"/>
      <c r="AE847" s="3"/>
      <c r="AF847" s="8" t="s">
        <v>726</v>
      </c>
      <c r="AG847" s="8" t="s">
        <v>726</v>
      </c>
      <c r="AH847" s="8" t="s">
        <v>726</v>
      </c>
      <c r="AI847" s="8" t="s">
        <v>726</v>
      </c>
      <c r="AJ847" s="8" t="s">
        <v>726</v>
      </c>
      <c r="AK847" s="8" t="s">
        <v>726</v>
      </c>
      <c r="AL847" s="8" t="s">
        <v>726</v>
      </c>
      <c r="AM847" s="3"/>
      <c r="AN847" s="3"/>
      <c r="AO847" s="3"/>
      <c r="AP847" s="3"/>
      <c r="AQ847" s="8"/>
      <c r="AR847" s="8"/>
      <c r="AS847" s="8"/>
      <c r="AT847" s="8"/>
      <c r="AU847" s="8"/>
      <c r="AV847" s="8"/>
      <c r="AX847" s="144">
        <v>18</v>
      </c>
    </row>
    <row r="848" spans="1:50" s="10" customFormat="1" ht="25.5">
      <c r="A848" s="23"/>
      <c r="B848" s="27">
        <v>833</v>
      </c>
      <c r="C848" s="43">
        <v>632</v>
      </c>
      <c r="D848" s="31">
        <v>135</v>
      </c>
      <c r="E848" s="32">
        <v>0.3034722222222222</v>
      </c>
      <c r="F848" s="32">
        <v>0.31388888888888888</v>
      </c>
      <c r="G848" s="31" t="s">
        <v>58</v>
      </c>
      <c r="H848" s="31" t="s">
        <v>530</v>
      </c>
      <c r="I848" s="31">
        <v>7</v>
      </c>
      <c r="J848" s="34" t="s">
        <v>101</v>
      </c>
      <c r="K848" s="35">
        <v>34</v>
      </c>
      <c r="L848" s="36">
        <f>+K848*I848</f>
        <v>238</v>
      </c>
      <c r="M848" s="37" t="s">
        <v>773</v>
      </c>
      <c r="N848" s="23" t="s">
        <v>963</v>
      </c>
      <c r="O848" s="23">
        <v>51</v>
      </c>
      <c r="P848" s="23" t="s">
        <v>964</v>
      </c>
      <c r="Q848" s="23">
        <v>58</v>
      </c>
      <c r="R848" s="23"/>
      <c r="S848" s="23"/>
      <c r="T848" s="7">
        <v>6660</v>
      </c>
      <c r="U848" s="7" t="s">
        <v>1663</v>
      </c>
      <c r="V848" s="7">
        <v>6220</v>
      </c>
      <c r="W848" s="7" t="s">
        <v>1281</v>
      </c>
      <c r="X848" s="18"/>
      <c r="Y848" s="17"/>
      <c r="Z848" s="17"/>
      <c r="AA848" s="17"/>
      <c r="AB848" s="8" t="s">
        <v>1051</v>
      </c>
      <c r="AC848" s="3"/>
      <c r="AD848" s="3"/>
      <c r="AE848" s="3"/>
      <c r="AF848" s="8" t="s">
        <v>726</v>
      </c>
      <c r="AG848" s="8"/>
      <c r="AH848" s="8"/>
      <c r="AI848" s="8"/>
      <c r="AJ848" s="8"/>
      <c r="AK848" s="8"/>
      <c r="AL848" s="8" t="s">
        <v>726</v>
      </c>
      <c r="AM848" s="3"/>
      <c r="AN848" s="3"/>
      <c r="AO848" s="3"/>
      <c r="AP848" s="3"/>
      <c r="AQ848" s="3"/>
      <c r="AR848" s="3"/>
      <c r="AS848" s="3"/>
      <c r="AT848" s="3"/>
      <c r="AU848" s="3"/>
      <c r="AV848" s="3"/>
      <c r="AX848" s="144">
        <v>285.51</v>
      </c>
    </row>
    <row r="849" spans="1:50" s="10" customFormat="1" ht="25.5">
      <c r="A849" s="24"/>
      <c r="B849" s="27">
        <v>834</v>
      </c>
      <c r="C849" s="31">
        <v>632</v>
      </c>
      <c r="D849" s="31">
        <v>736</v>
      </c>
      <c r="E849" s="32">
        <v>0.53819444444444442</v>
      </c>
      <c r="F849" s="32">
        <v>0.55208333333333337</v>
      </c>
      <c r="G849" s="31" t="s">
        <v>316</v>
      </c>
      <c r="H849" s="31" t="s">
        <v>97</v>
      </c>
      <c r="I849" s="33">
        <v>4</v>
      </c>
      <c r="J849" s="34" t="s">
        <v>269</v>
      </c>
      <c r="K849" s="35">
        <v>208</v>
      </c>
      <c r="L849" s="36">
        <f>+K849*I849</f>
        <v>832</v>
      </c>
      <c r="M849" s="37" t="s">
        <v>771</v>
      </c>
      <c r="N849" s="23" t="s">
        <v>864</v>
      </c>
      <c r="O849" s="23">
        <v>23</v>
      </c>
      <c r="P849" s="23" t="s">
        <v>863</v>
      </c>
      <c r="Q849" s="23">
        <v>23</v>
      </c>
      <c r="R849" s="23"/>
      <c r="S849" s="23"/>
      <c r="T849" s="7">
        <v>6675</v>
      </c>
      <c r="U849" s="7" t="s">
        <v>1660</v>
      </c>
      <c r="V849" s="7" t="s">
        <v>1658</v>
      </c>
      <c r="W849" s="7" t="s">
        <v>1659</v>
      </c>
      <c r="X849" s="18"/>
      <c r="Y849" s="17"/>
      <c r="Z849" s="17"/>
      <c r="AA849" s="17"/>
      <c r="AB849" s="7" t="s">
        <v>1046</v>
      </c>
      <c r="AC849" s="3"/>
      <c r="AD849" s="3"/>
      <c r="AE849" s="3"/>
      <c r="AF849" s="8" t="s">
        <v>726</v>
      </c>
      <c r="AG849" s="8" t="s">
        <v>726</v>
      </c>
      <c r="AH849" s="8" t="s">
        <v>726</v>
      </c>
      <c r="AI849" s="8" t="s">
        <v>726</v>
      </c>
      <c r="AJ849" s="8" t="s">
        <v>726</v>
      </c>
      <c r="AK849" s="8" t="s">
        <v>726</v>
      </c>
      <c r="AL849" s="8" t="s">
        <v>726</v>
      </c>
      <c r="AM849" s="3"/>
      <c r="AN849" s="3"/>
      <c r="AO849" s="3"/>
      <c r="AP849" s="3"/>
      <c r="AQ849" s="8"/>
      <c r="AR849" s="8"/>
      <c r="AS849" s="8"/>
      <c r="AT849" s="8"/>
      <c r="AU849" s="8"/>
      <c r="AV849" s="8"/>
      <c r="AX849" s="144">
        <v>48.25</v>
      </c>
    </row>
    <row r="850" spans="1:50" s="10" customFormat="1" ht="25.5">
      <c r="A850" s="45" t="s">
        <v>1104</v>
      </c>
      <c r="B850" s="27">
        <v>835</v>
      </c>
      <c r="C850" s="31">
        <v>632</v>
      </c>
      <c r="D850" s="31">
        <v>777</v>
      </c>
      <c r="E850" s="32">
        <v>0.54513888888888895</v>
      </c>
      <c r="F850" s="32">
        <v>0.55208333333333337</v>
      </c>
      <c r="G850" s="31" t="s">
        <v>117</v>
      </c>
      <c r="H850" s="31" t="s">
        <v>985</v>
      </c>
      <c r="I850" s="33">
        <v>2</v>
      </c>
      <c r="J850" s="34" t="s">
        <v>116</v>
      </c>
      <c r="K850" s="35">
        <v>34</v>
      </c>
      <c r="L850" s="36">
        <f>+K850*I850</f>
        <v>68</v>
      </c>
      <c r="M850" s="37" t="s">
        <v>771</v>
      </c>
      <c r="N850" s="23" t="s">
        <v>866</v>
      </c>
      <c r="O850" s="23">
        <v>21</v>
      </c>
      <c r="P850" s="23" t="s">
        <v>1004</v>
      </c>
      <c r="Q850" s="23">
        <v>23</v>
      </c>
      <c r="R850" s="23"/>
      <c r="S850" s="23"/>
      <c r="T850" s="7" t="s">
        <v>1653</v>
      </c>
      <c r="U850" s="7" t="s">
        <v>1654</v>
      </c>
      <c r="V850" s="7">
        <v>6579</v>
      </c>
      <c r="W850" s="7" t="s">
        <v>1657</v>
      </c>
      <c r="X850" s="18"/>
      <c r="Y850" s="17"/>
      <c r="Z850" s="17"/>
      <c r="AA850" s="17"/>
      <c r="AB850" s="7" t="s">
        <v>1057</v>
      </c>
      <c r="AC850" s="3"/>
      <c r="AD850" s="3"/>
      <c r="AE850" s="3"/>
      <c r="AF850" s="3" t="s">
        <v>726</v>
      </c>
      <c r="AG850" s="3"/>
      <c r="AH850" s="3" t="s">
        <v>726</v>
      </c>
      <c r="AI850" s="3"/>
      <c r="AJ850" s="3"/>
      <c r="AK850" s="3"/>
      <c r="AL850" s="3"/>
      <c r="AM850" s="3"/>
      <c r="AN850" s="3"/>
      <c r="AO850" s="3"/>
      <c r="AP850" s="3"/>
      <c r="AQ850" s="3"/>
      <c r="AR850" s="3"/>
      <c r="AS850" s="3"/>
      <c r="AT850" s="3"/>
      <c r="AU850" s="3"/>
      <c r="AV850" s="3"/>
      <c r="AX850" s="144">
        <v>9.2999999999999989</v>
      </c>
    </row>
    <row r="851" spans="1:50" s="10" customFormat="1" ht="25.5">
      <c r="A851" s="24"/>
      <c r="B851" s="27">
        <v>836</v>
      </c>
      <c r="C851" s="31">
        <v>632</v>
      </c>
      <c r="D851" s="31">
        <v>712</v>
      </c>
      <c r="E851" s="32">
        <v>0.54861111111111105</v>
      </c>
      <c r="F851" s="32">
        <v>0.57291666666666663</v>
      </c>
      <c r="G851" s="31" t="s">
        <v>112</v>
      </c>
      <c r="H851" s="31" t="s">
        <v>103</v>
      </c>
      <c r="I851" s="33">
        <v>19</v>
      </c>
      <c r="J851" s="34" t="s">
        <v>111</v>
      </c>
      <c r="K851" s="35">
        <v>174</v>
      </c>
      <c r="L851" s="36">
        <f>+K851*I851</f>
        <v>3306</v>
      </c>
      <c r="M851" s="37" t="s">
        <v>773</v>
      </c>
      <c r="N851" s="23" t="s">
        <v>964</v>
      </c>
      <c r="O851" s="23">
        <v>58</v>
      </c>
      <c r="P851" s="23" t="s">
        <v>963</v>
      </c>
      <c r="Q851" s="23">
        <v>51</v>
      </c>
      <c r="R851" s="112" t="s">
        <v>965</v>
      </c>
      <c r="S851" s="79">
        <v>45</v>
      </c>
      <c r="T851" s="7">
        <v>6220</v>
      </c>
      <c r="U851" s="7" t="s">
        <v>1281</v>
      </c>
      <c r="V851" s="7">
        <v>6686</v>
      </c>
      <c r="W851" s="7" t="s">
        <v>1656</v>
      </c>
      <c r="X851" s="18"/>
      <c r="Y851" s="17"/>
      <c r="Z851" s="17"/>
      <c r="AA851" s="17"/>
      <c r="AB851" s="7" t="s">
        <v>1042</v>
      </c>
      <c r="AC851" s="3"/>
      <c r="AD851" s="3"/>
      <c r="AE851" s="3"/>
      <c r="AF851" s="8" t="s">
        <v>726</v>
      </c>
      <c r="AG851" s="8" t="s">
        <v>726</v>
      </c>
      <c r="AH851" s="8" t="s">
        <v>726</v>
      </c>
      <c r="AI851" s="8" t="s">
        <v>726</v>
      </c>
      <c r="AJ851" s="8" t="s">
        <v>726</v>
      </c>
      <c r="AK851" s="8" t="s">
        <v>726</v>
      </c>
      <c r="AL851" s="3"/>
      <c r="AM851" s="3"/>
      <c r="AN851" s="3"/>
      <c r="AO851" s="3"/>
      <c r="AP851" s="3"/>
      <c r="AQ851" s="8"/>
      <c r="AR851" s="8"/>
      <c r="AS851" s="8"/>
      <c r="AT851" s="8"/>
      <c r="AU851" s="8"/>
      <c r="AV851" s="3"/>
      <c r="AX851" s="144">
        <v>146.15</v>
      </c>
    </row>
    <row r="852" spans="1:50" s="10" customFormat="1" ht="25.5">
      <c r="A852" s="45" t="s">
        <v>1104</v>
      </c>
      <c r="B852" s="27">
        <v>837</v>
      </c>
      <c r="C852" s="31">
        <v>632</v>
      </c>
      <c r="D852" s="31">
        <v>780</v>
      </c>
      <c r="E852" s="32">
        <v>0.55208333333333337</v>
      </c>
      <c r="F852" s="32">
        <v>0.55902777777777779</v>
      </c>
      <c r="G852" s="43" t="s">
        <v>117</v>
      </c>
      <c r="H852" s="43" t="s">
        <v>986</v>
      </c>
      <c r="I852" s="33">
        <v>5</v>
      </c>
      <c r="J852" s="34" t="s">
        <v>116</v>
      </c>
      <c r="K852" s="35">
        <v>34</v>
      </c>
      <c r="L852" s="36">
        <f>+K852*I852</f>
        <v>170</v>
      </c>
      <c r="M852" s="37" t="s">
        <v>771</v>
      </c>
      <c r="N852" s="23" t="s">
        <v>866</v>
      </c>
      <c r="O852" s="23">
        <v>21</v>
      </c>
      <c r="P852" s="23" t="s">
        <v>1004</v>
      </c>
      <c r="Q852" s="23">
        <v>23</v>
      </c>
      <c r="R852" s="23"/>
      <c r="S852" s="23"/>
      <c r="T852" s="7" t="s">
        <v>1653</v>
      </c>
      <c r="U852" s="7" t="s">
        <v>1654</v>
      </c>
      <c r="V852" s="7">
        <v>6579</v>
      </c>
      <c r="W852" s="7" t="s">
        <v>1657</v>
      </c>
      <c r="X852" s="18"/>
      <c r="Y852" s="17"/>
      <c r="Z852" s="17"/>
      <c r="AA852" s="17"/>
      <c r="AB852" s="7" t="s">
        <v>1093</v>
      </c>
      <c r="AC852" s="3"/>
      <c r="AD852" s="3"/>
      <c r="AE852" s="3"/>
      <c r="AF852" s="3" t="s">
        <v>726</v>
      </c>
      <c r="AG852" s="3"/>
      <c r="AH852" s="3"/>
      <c r="AI852" s="3"/>
      <c r="AJ852" s="3" t="s">
        <v>726</v>
      </c>
      <c r="AK852" s="3"/>
      <c r="AL852" s="3"/>
      <c r="AM852" s="3"/>
      <c r="AN852" s="3"/>
      <c r="AO852" s="3"/>
      <c r="AP852" s="3"/>
      <c r="AQ852" s="3"/>
      <c r="AR852" s="3"/>
      <c r="AS852" s="3"/>
      <c r="AT852" s="3"/>
      <c r="AU852" s="3"/>
      <c r="AV852" s="3"/>
      <c r="AX852" s="144">
        <v>10</v>
      </c>
    </row>
    <row r="853" spans="1:50" s="10" customFormat="1" ht="25.5">
      <c r="A853" s="2" t="s">
        <v>794</v>
      </c>
      <c r="B853" s="27">
        <v>838</v>
      </c>
      <c r="C853" s="31">
        <v>632</v>
      </c>
      <c r="D853" s="43">
        <v>730</v>
      </c>
      <c r="E853" s="42">
        <v>0.57638888888888895</v>
      </c>
      <c r="F853" s="42">
        <v>0.58333333333333337</v>
      </c>
      <c r="G853" s="31" t="s">
        <v>316</v>
      </c>
      <c r="H853" s="31" t="s">
        <v>103</v>
      </c>
      <c r="I853" s="33">
        <v>4</v>
      </c>
      <c r="J853" s="34" t="s">
        <v>93</v>
      </c>
      <c r="K853" s="35">
        <v>174</v>
      </c>
      <c r="L853" s="36">
        <f>+K853*I853</f>
        <v>696</v>
      </c>
      <c r="M853" s="37" t="s">
        <v>771</v>
      </c>
      <c r="N853" s="23" t="s">
        <v>1004</v>
      </c>
      <c r="O853" s="23">
        <v>23</v>
      </c>
      <c r="P853" s="23" t="s">
        <v>864</v>
      </c>
      <c r="Q853" s="23">
        <v>23</v>
      </c>
      <c r="R853" s="23" t="s">
        <v>1203</v>
      </c>
      <c r="S853" s="24">
        <v>9</v>
      </c>
      <c r="T853" s="7">
        <v>6675</v>
      </c>
      <c r="U853" s="7" t="s">
        <v>1660</v>
      </c>
      <c r="V853" s="7" t="s">
        <v>1664</v>
      </c>
      <c r="W853" s="7" t="s">
        <v>1665</v>
      </c>
      <c r="X853" s="18"/>
      <c r="Y853" s="17"/>
      <c r="Z853" s="17"/>
      <c r="AA853" s="17"/>
      <c r="AB853" s="7" t="s">
        <v>1042</v>
      </c>
      <c r="AC853" s="3"/>
      <c r="AD853" s="3"/>
      <c r="AE853" s="3"/>
      <c r="AF853" s="8" t="s">
        <v>726</v>
      </c>
      <c r="AG853" s="8" t="s">
        <v>726</v>
      </c>
      <c r="AH853" s="8" t="s">
        <v>726</v>
      </c>
      <c r="AI853" s="8" t="s">
        <v>726</v>
      </c>
      <c r="AJ853" s="8" t="s">
        <v>726</v>
      </c>
      <c r="AK853" s="8" t="s">
        <v>726</v>
      </c>
      <c r="AL853" s="3"/>
      <c r="AM853" s="3"/>
      <c r="AN853" s="3"/>
      <c r="AO853" s="3"/>
      <c r="AP853" s="3"/>
      <c r="AQ853" s="8"/>
      <c r="AR853" s="8"/>
      <c r="AS853" s="8"/>
      <c r="AT853" s="8"/>
      <c r="AU853" s="8"/>
      <c r="AV853" s="3"/>
      <c r="AX853" s="144">
        <v>12</v>
      </c>
    </row>
    <row r="854" spans="1:50" s="10" customFormat="1" ht="25.5">
      <c r="A854" s="24"/>
      <c r="B854" s="27">
        <v>839</v>
      </c>
      <c r="C854" s="38">
        <v>632</v>
      </c>
      <c r="D854" s="38">
        <v>151</v>
      </c>
      <c r="E854" s="39">
        <v>0.68541666666666667</v>
      </c>
      <c r="F854" s="39">
        <v>0.69444444444444453</v>
      </c>
      <c r="G854" s="40" t="s">
        <v>58</v>
      </c>
      <c r="H854" s="40" t="s">
        <v>656</v>
      </c>
      <c r="I854" s="38">
        <v>7</v>
      </c>
      <c r="J854" s="41">
        <v>19</v>
      </c>
      <c r="K854" s="35">
        <f>174-36</f>
        <v>138</v>
      </c>
      <c r="L854" s="36">
        <f>+K854*I854</f>
        <v>966</v>
      </c>
      <c r="M854" s="37" t="s">
        <v>774</v>
      </c>
      <c r="N854" s="23" t="s">
        <v>820</v>
      </c>
      <c r="O854" s="23" t="s">
        <v>821</v>
      </c>
      <c r="P854" s="23" t="s">
        <v>819</v>
      </c>
      <c r="Q854" s="23">
        <v>21</v>
      </c>
      <c r="R854" s="23" t="s">
        <v>1204</v>
      </c>
      <c r="S854" s="24">
        <v>17</v>
      </c>
      <c r="T854" s="7">
        <v>6660</v>
      </c>
      <c r="U854" s="7" t="s">
        <v>1663</v>
      </c>
      <c r="V854" s="7">
        <v>6220</v>
      </c>
      <c r="W854" s="7" t="s">
        <v>1281</v>
      </c>
      <c r="X854" s="18"/>
      <c r="Y854" s="17"/>
      <c r="Z854" s="17"/>
      <c r="AA854" s="17"/>
      <c r="AB854" s="7" t="s">
        <v>1045</v>
      </c>
      <c r="AC854" s="3"/>
      <c r="AD854" s="3"/>
      <c r="AE854" s="3"/>
      <c r="AF854" s="3" t="s">
        <v>726</v>
      </c>
      <c r="AG854" s="3" t="s">
        <v>726</v>
      </c>
      <c r="AH854" s="3" t="s">
        <v>726</v>
      </c>
      <c r="AI854" s="3" t="s">
        <v>726</v>
      </c>
      <c r="AJ854" s="3" t="s">
        <v>726</v>
      </c>
      <c r="AK854" s="3"/>
      <c r="AL854" s="3"/>
      <c r="AM854" s="3"/>
      <c r="AN854" s="3"/>
      <c r="AO854" s="3"/>
      <c r="AP854" s="3"/>
      <c r="AQ854" s="3"/>
      <c r="AR854" s="3"/>
      <c r="AS854" s="3"/>
      <c r="AT854" s="3"/>
      <c r="AU854" s="3"/>
      <c r="AV854" s="3"/>
      <c r="AX854" s="144">
        <v>10.379938708933338</v>
      </c>
    </row>
    <row r="855" spans="1:50" s="10" customFormat="1" ht="25.5">
      <c r="A855" s="24"/>
      <c r="B855" s="27">
        <v>840</v>
      </c>
      <c r="C855" s="38">
        <v>632</v>
      </c>
      <c r="D855" s="38">
        <v>152</v>
      </c>
      <c r="E855" s="39">
        <v>0.6875</v>
      </c>
      <c r="F855" s="39">
        <v>0.7006944444444444</v>
      </c>
      <c r="G855" s="40" t="s">
        <v>59</v>
      </c>
      <c r="H855" s="31" t="s">
        <v>587</v>
      </c>
      <c r="I855" s="38">
        <v>7</v>
      </c>
      <c r="J855" s="41">
        <v>19</v>
      </c>
      <c r="K855" s="35">
        <v>44</v>
      </c>
      <c r="L855" s="36">
        <f>+K855*I855</f>
        <v>308</v>
      </c>
      <c r="M855" s="121" t="s">
        <v>771</v>
      </c>
      <c r="N855" s="79" t="s">
        <v>2100</v>
      </c>
      <c r="O855" s="79">
        <v>20</v>
      </c>
      <c r="P855" s="23" t="s">
        <v>2087</v>
      </c>
      <c r="Q855" s="23">
        <v>21</v>
      </c>
      <c r="R855" s="2"/>
      <c r="S855" s="23"/>
      <c r="T855" s="7">
        <v>6220</v>
      </c>
      <c r="U855" s="7" t="s">
        <v>1281</v>
      </c>
      <c r="V855" s="7">
        <v>6660</v>
      </c>
      <c r="W855" s="7" t="s">
        <v>1663</v>
      </c>
      <c r="X855" s="17"/>
      <c r="Y855" s="18"/>
      <c r="Z855" s="18"/>
      <c r="AA855" s="18"/>
      <c r="AB855" s="7" t="s">
        <v>1080</v>
      </c>
      <c r="AC855" s="3"/>
      <c r="AD855" s="8" t="s">
        <v>726</v>
      </c>
      <c r="AE855" s="8" t="s">
        <v>726</v>
      </c>
      <c r="AF855" s="8"/>
      <c r="AG855" s="8" t="s">
        <v>726</v>
      </c>
      <c r="AH855" s="8" t="s">
        <v>726</v>
      </c>
      <c r="AI855" s="8" t="s">
        <v>726</v>
      </c>
      <c r="AJ855" s="8" t="s">
        <v>726</v>
      </c>
      <c r="AK855" s="3"/>
      <c r="AL855" s="3"/>
      <c r="AM855" s="3"/>
      <c r="AN855" s="3"/>
      <c r="AO855" s="3"/>
      <c r="AP855" s="3"/>
      <c r="AQ855" s="8"/>
      <c r="AR855" s="8"/>
      <c r="AS855" s="8"/>
      <c r="AT855" s="8"/>
      <c r="AU855" s="3"/>
      <c r="AV855" s="3"/>
      <c r="AX855" s="144">
        <v>12.366034624896949</v>
      </c>
    </row>
    <row r="856" spans="1:50" s="10" customFormat="1" ht="25.5">
      <c r="A856" s="24"/>
      <c r="B856" s="27">
        <v>841</v>
      </c>
      <c r="C856" s="38">
        <v>632</v>
      </c>
      <c r="D856" s="53">
        <v>147</v>
      </c>
      <c r="E856" s="39">
        <v>0.69791666666666663</v>
      </c>
      <c r="F856" s="39">
        <v>0.70833333333333337</v>
      </c>
      <c r="G856" s="40" t="s">
        <v>58</v>
      </c>
      <c r="H856" s="31" t="s">
        <v>587</v>
      </c>
      <c r="I856" s="38">
        <v>6</v>
      </c>
      <c r="J856" s="41">
        <v>19</v>
      </c>
      <c r="K856" s="35">
        <v>44</v>
      </c>
      <c r="L856" s="36">
        <f>+K856*I856</f>
        <v>264</v>
      </c>
      <c r="M856" s="121" t="s">
        <v>771</v>
      </c>
      <c r="N856" s="79" t="s">
        <v>2100</v>
      </c>
      <c r="O856" s="79">
        <v>20</v>
      </c>
      <c r="P856" s="23" t="s">
        <v>2087</v>
      </c>
      <c r="Q856" s="23">
        <v>21</v>
      </c>
      <c r="R856" s="2"/>
      <c r="S856" s="23"/>
      <c r="T856" s="7">
        <v>6660</v>
      </c>
      <c r="U856" s="7" t="s">
        <v>1663</v>
      </c>
      <c r="V856" s="7">
        <v>6220</v>
      </c>
      <c r="W856" s="7" t="s">
        <v>1281</v>
      </c>
      <c r="X856" s="17"/>
      <c r="Y856" s="18"/>
      <c r="Z856" s="18"/>
      <c r="AA856" s="18"/>
      <c r="AB856" s="7" t="s">
        <v>1080</v>
      </c>
      <c r="AC856" s="3"/>
      <c r="AD856" s="8" t="s">
        <v>726</v>
      </c>
      <c r="AE856" s="8" t="s">
        <v>726</v>
      </c>
      <c r="AF856" s="8"/>
      <c r="AG856" s="8" t="s">
        <v>726</v>
      </c>
      <c r="AH856" s="8" t="s">
        <v>726</v>
      </c>
      <c r="AI856" s="8" t="s">
        <v>726</v>
      </c>
      <c r="AJ856" s="8" t="s">
        <v>726</v>
      </c>
      <c r="AK856" s="3"/>
      <c r="AL856" s="3"/>
      <c r="AM856" s="3"/>
      <c r="AN856" s="3"/>
      <c r="AO856" s="3"/>
      <c r="AP856" s="3"/>
      <c r="AQ856" s="8"/>
      <c r="AR856" s="8"/>
      <c r="AS856" s="8"/>
      <c r="AT856" s="8"/>
      <c r="AU856" s="3"/>
      <c r="AV856" s="3"/>
      <c r="AX856" s="144">
        <v>10.59945824991167</v>
      </c>
    </row>
    <row r="857" spans="1:50" s="10" customFormat="1" ht="25.5">
      <c r="A857" s="45" t="s">
        <v>1104</v>
      </c>
      <c r="B857" s="27">
        <v>842</v>
      </c>
      <c r="C857" s="38">
        <v>632</v>
      </c>
      <c r="D857" s="38">
        <v>147</v>
      </c>
      <c r="E857" s="39">
        <v>0.70833333333333337</v>
      </c>
      <c r="F857" s="44">
        <v>0.74097222222222225</v>
      </c>
      <c r="G857" s="40" t="s">
        <v>56</v>
      </c>
      <c r="H857" s="50" t="s">
        <v>987</v>
      </c>
      <c r="I857" s="38">
        <v>23</v>
      </c>
      <c r="J857" s="41">
        <v>19</v>
      </c>
      <c r="K857" s="46">
        <v>240</v>
      </c>
      <c r="L857" s="36">
        <f>+K857*I857</f>
        <v>5520</v>
      </c>
      <c r="M857" s="37" t="s">
        <v>771</v>
      </c>
      <c r="N857" s="23" t="s">
        <v>786</v>
      </c>
      <c r="O857" s="23">
        <v>21</v>
      </c>
      <c r="P857" s="23" t="s">
        <v>864</v>
      </c>
      <c r="Q857" s="23">
        <v>23</v>
      </c>
      <c r="R857" s="73"/>
      <c r="S857" s="23"/>
      <c r="T857" s="7" t="s">
        <v>1653</v>
      </c>
      <c r="U857" s="7" t="s">
        <v>1654</v>
      </c>
      <c r="V857" s="7">
        <v>6220</v>
      </c>
      <c r="W857" s="7" t="s">
        <v>1281</v>
      </c>
      <c r="X857" s="18"/>
      <c r="Y857" s="17"/>
      <c r="Z857" s="18"/>
      <c r="AA857" s="18"/>
      <c r="AB857" s="145" t="s">
        <v>1052</v>
      </c>
      <c r="AC857" s="8" t="s">
        <v>726</v>
      </c>
      <c r="AD857" s="8"/>
      <c r="AE857" s="8" t="s">
        <v>726</v>
      </c>
      <c r="AF857" s="8"/>
      <c r="AG857" s="8" t="s">
        <v>726</v>
      </c>
      <c r="AH857" s="8" t="s">
        <v>726</v>
      </c>
      <c r="AI857" s="8" t="s">
        <v>726</v>
      </c>
      <c r="AJ857" s="8" t="s">
        <v>726</v>
      </c>
      <c r="AK857" s="8" t="s">
        <v>726</v>
      </c>
      <c r="AL857" s="8" t="s">
        <v>726</v>
      </c>
      <c r="AM857" s="3"/>
      <c r="AN857" s="3"/>
      <c r="AO857" s="3"/>
      <c r="AP857" s="8"/>
      <c r="AQ857" s="8"/>
      <c r="AR857" s="8"/>
      <c r="AS857" s="8"/>
      <c r="AT857" s="8"/>
      <c r="AU857" s="8"/>
      <c r="AV857" s="8"/>
      <c r="AX857" s="144">
        <v>46</v>
      </c>
    </row>
    <row r="858" spans="1:50" s="10" customFormat="1" ht="25.5">
      <c r="A858" s="24"/>
      <c r="B858" s="27">
        <v>843</v>
      </c>
      <c r="C858" s="38">
        <v>632</v>
      </c>
      <c r="D858" s="53">
        <v>143</v>
      </c>
      <c r="E858" s="39">
        <v>0.72222222222222221</v>
      </c>
      <c r="F858" s="39">
        <v>0.75486111111111109</v>
      </c>
      <c r="G858" s="40" t="s">
        <v>56</v>
      </c>
      <c r="H858" s="40" t="s">
        <v>105</v>
      </c>
      <c r="I858" s="38">
        <v>23</v>
      </c>
      <c r="J858" s="41">
        <v>40</v>
      </c>
      <c r="K858" s="35">
        <v>67</v>
      </c>
      <c r="L858" s="36">
        <f>+K858*I858</f>
        <v>1541</v>
      </c>
      <c r="M858" s="37" t="s">
        <v>771</v>
      </c>
      <c r="N858" s="23" t="s">
        <v>786</v>
      </c>
      <c r="O858" s="23">
        <v>21</v>
      </c>
      <c r="P858" s="23"/>
      <c r="Q858" s="23"/>
      <c r="R858" s="73"/>
      <c r="S858" s="23"/>
      <c r="T858" s="7" t="s">
        <v>1653</v>
      </c>
      <c r="U858" s="7" t="s">
        <v>1654</v>
      </c>
      <c r="V858" s="7">
        <v>6220</v>
      </c>
      <c r="W858" s="7" t="s">
        <v>1281</v>
      </c>
      <c r="X858" s="17"/>
      <c r="Y858" s="18"/>
      <c r="Z858" s="18"/>
      <c r="AA858" s="18"/>
      <c r="AB858" s="8" t="s">
        <v>1047</v>
      </c>
      <c r="AC858" s="3"/>
      <c r="AD858" s="8" t="s">
        <v>726</v>
      </c>
      <c r="AE858" s="8" t="s">
        <v>726</v>
      </c>
      <c r="AF858" s="8"/>
      <c r="AG858" s="8" t="s">
        <v>726</v>
      </c>
      <c r="AH858" s="8" t="s">
        <v>726</v>
      </c>
      <c r="AI858" s="8" t="s">
        <v>726</v>
      </c>
      <c r="AJ858" s="8" t="s">
        <v>726</v>
      </c>
      <c r="AK858" s="8" t="s">
        <v>726</v>
      </c>
      <c r="AL858" s="8" t="s">
        <v>726</v>
      </c>
      <c r="AM858" s="3"/>
      <c r="AN858" s="3"/>
      <c r="AO858" s="3"/>
      <c r="AP858" s="3"/>
      <c r="AQ858" s="8"/>
      <c r="AR858" s="8"/>
      <c r="AS858" s="8"/>
      <c r="AT858" s="8"/>
      <c r="AU858" s="8"/>
      <c r="AV858" s="8"/>
      <c r="AX858" s="144">
        <v>69</v>
      </c>
    </row>
    <row r="859" spans="1:50" s="10" customFormat="1" ht="25.5">
      <c r="A859" s="23"/>
      <c r="B859" s="27">
        <v>844</v>
      </c>
      <c r="C859" s="31">
        <v>632</v>
      </c>
      <c r="D859" s="31">
        <v>152</v>
      </c>
      <c r="E859" s="32">
        <v>0.77916666666666667</v>
      </c>
      <c r="F859" s="32">
        <v>0.80347222222222225</v>
      </c>
      <c r="G859" s="31" t="s">
        <v>112</v>
      </c>
      <c r="H859" s="31" t="s">
        <v>477</v>
      </c>
      <c r="I859" s="31">
        <v>18.5</v>
      </c>
      <c r="J859" s="34" t="s">
        <v>101</v>
      </c>
      <c r="K859" s="35">
        <v>240</v>
      </c>
      <c r="L859" s="36">
        <f>+K859*I859</f>
        <v>4440</v>
      </c>
      <c r="M859" s="37" t="s">
        <v>771</v>
      </c>
      <c r="N859" s="23" t="s">
        <v>786</v>
      </c>
      <c r="O859" s="23">
        <v>21</v>
      </c>
      <c r="P859" s="23"/>
      <c r="Q859" s="23"/>
      <c r="R859" s="73"/>
      <c r="S859" s="23"/>
      <c r="T859" s="7">
        <v>6220</v>
      </c>
      <c r="U859" s="7" t="s">
        <v>1281</v>
      </c>
      <c r="V859" s="7">
        <v>6686</v>
      </c>
      <c r="W859" s="7" t="s">
        <v>1656</v>
      </c>
      <c r="X859" s="18"/>
      <c r="Y859" s="17"/>
      <c r="Z859" s="18"/>
      <c r="AA859" s="18"/>
      <c r="AB859" s="7" t="s">
        <v>1052</v>
      </c>
      <c r="AC859" s="8" t="s">
        <v>726</v>
      </c>
      <c r="AD859" s="8"/>
      <c r="AE859" s="8" t="s">
        <v>726</v>
      </c>
      <c r="AF859" s="8"/>
      <c r="AG859" s="8" t="s">
        <v>726</v>
      </c>
      <c r="AH859" s="8" t="s">
        <v>726</v>
      </c>
      <c r="AI859" s="8" t="s">
        <v>726</v>
      </c>
      <c r="AJ859" s="8" t="s">
        <v>726</v>
      </c>
      <c r="AK859" s="8" t="s">
        <v>726</v>
      </c>
      <c r="AL859" s="8" t="s">
        <v>726</v>
      </c>
      <c r="AM859" s="3"/>
      <c r="AN859" s="3"/>
      <c r="AO859" s="3"/>
      <c r="AP859" s="3"/>
      <c r="AQ859" s="8"/>
      <c r="AR859" s="8"/>
      <c r="AS859" s="8"/>
      <c r="AT859" s="8"/>
      <c r="AU859" s="8"/>
      <c r="AV859" s="8"/>
      <c r="AX859" s="144">
        <v>94.01</v>
      </c>
    </row>
    <row r="860" spans="1:50" s="10" customFormat="1" ht="25.5">
      <c r="A860" s="24"/>
      <c r="B860" s="27">
        <v>845</v>
      </c>
      <c r="C860" s="38">
        <v>632</v>
      </c>
      <c r="D860" s="38">
        <v>148</v>
      </c>
      <c r="E860" s="39">
        <v>0.8125</v>
      </c>
      <c r="F860" s="44">
        <v>0.84375</v>
      </c>
      <c r="G860" s="40" t="s">
        <v>55</v>
      </c>
      <c r="H860" s="40" t="s">
        <v>105</v>
      </c>
      <c r="I860" s="38">
        <v>23</v>
      </c>
      <c r="J860" s="41">
        <v>19</v>
      </c>
      <c r="K860" s="35">
        <v>67</v>
      </c>
      <c r="L860" s="36">
        <f>+K860*I860</f>
        <v>1541</v>
      </c>
      <c r="M860" s="37" t="s">
        <v>771</v>
      </c>
      <c r="N860" s="23" t="s">
        <v>786</v>
      </c>
      <c r="O860" s="23">
        <v>21</v>
      </c>
      <c r="P860" s="23"/>
      <c r="Q860" s="23"/>
      <c r="R860" s="73"/>
      <c r="S860" s="23"/>
      <c r="T860" s="7">
        <v>6220</v>
      </c>
      <c r="U860" s="7" t="s">
        <v>1281</v>
      </c>
      <c r="V860" s="7" t="s">
        <v>1653</v>
      </c>
      <c r="W860" s="7" t="s">
        <v>1654</v>
      </c>
      <c r="X860" s="17"/>
      <c r="Y860" s="18"/>
      <c r="Z860" s="18"/>
      <c r="AA860" s="18"/>
      <c r="AB860" s="8" t="s">
        <v>1047</v>
      </c>
      <c r="AC860" s="3"/>
      <c r="AD860" s="8" t="s">
        <v>726</v>
      </c>
      <c r="AE860" s="8" t="s">
        <v>726</v>
      </c>
      <c r="AF860" s="8"/>
      <c r="AG860" s="8" t="s">
        <v>726</v>
      </c>
      <c r="AH860" s="8" t="s">
        <v>726</v>
      </c>
      <c r="AI860" s="8" t="s">
        <v>726</v>
      </c>
      <c r="AJ860" s="8" t="s">
        <v>726</v>
      </c>
      <c r="AK860" s="8" t="s">
        <v>726</v>
      </c>
      <c r="AL860" s="8" t="s">
        <v>726</v>
      </c>
      <c r="AM860" s="3"/>
      <c r="AN860" s="3"/>
      <c r="AO860" s="3"/>
      <c r="AP860" s="3"/>
      <c r="AQ860" s="8"/>
      <c r="AR860" s="8"/>
      <c r="AS860" s="8"/>
      <c r="AT860" s="8"/>
      <c r="AU860" s="8"/>
      <c r="AV860" s="8"/>
      <c r="AX860" s="144">
        <v>46</v>
      </c>
    </row>
    <row r="861" spans="1:50" s="10" customFormat="1" ht="25.5">
      <c r="A861" s="45" t="s">
        <v>1104</v>
      </c>
      <c r="B861" s="27">
        <v>846</v>
      </c>
      <c r="C861" s="38">
        <v>632</v>
      </c>
      <c r="D861" s="38">
        <v>148</v>
      </c>
      <c r="E861" s="39">
        <v>0.82777777777777783</v>
      </c>
      <c r="F861" s="39">
        <v>0.85902777777777783</v>
      </c>
      <c r="G861" s="40" t="s">
        <v>55</v>
      </c>
      <c r="H861" s="50" t="s">
        <v>987</v>
      </c>
      <c r="I861" s="38">
        <v>23</v>
      </c>
      <c r="J861" s="41">
        <v>19</v>
      </c>
      <c r="K861" s="46">
        <v>240</v>
      </c>
      <c r="L861" s="36">
        <f>+K861*I861</f>
        <v>5520</v>
      </c>
      <c r="M861" s="37" t="s">
        <v>771</v>
      </c>
      <c r="N861" s="23" t="s">
        <v>786</v>
      </c>
      <c r="O861" s="23">
        <v>21</v>
      </c>
      <c r="P861" s="23" t="s">
        <v>864</v>
      </c>
      <c r="Q861" s="23">
        <v>23</v>
      </c>
      <c r="R861" s="73"/>
      <c r="S861" s="23"/>
      <c r="T861" s="7">
        <v>6220</v>
      </c>
      <c r="U861" s="7" t="s">
        <v>1281</v>
      </c>
      <c r="V861" s="7" t="s">
        <v>1653</v>
      </c>
      <c r="W861" s="7" t="s">
        <v>1654</v>
      </c>
      <c r="X861" s="18"/>
      <c r="Y861" s="17"/>
      <c r="Z861" s="18"/>
      <c r="AA861" s="18"/>
      <c r="AB861" s="145" t="s">
        <v>1052</v>
      </c>
      <c r="AC861" s="8" t="s">
        <v>726</v>
      </c>
      <c r="AD861" s="8"/>
      <c r="AE861" s="8" t="s">
        <v>726</v>
      </c>
      <c r="AF861" s="8"/>
      <c r="AG861" s="8" t="s">
        <v>726</v>
      </c>
      <c r="AH861" s="8" t="s">
        <v>726</v>
      </c>
      <c r="AI861" s="8" t="s">
        <v>726</v>
      </c>
      <c r="AJ861" s="8" t="s">
        <v>726</v>
      </c>
      <c r="AK861" s="8" t="s">
        <v>726</v>
      </c>
      <c r="AL861" s="8" t="s">
        <v>726</v>
      </c>
      <c r="AM861" s="3"/>
      <c r="AN861" s="3"/>
      <c r="AO861" s="3"/>
      <c r="AP861" s="8"/>
      <c r="AQ861" s="8"/>
      <c r="AR861" s="8"/>
      <c r="AS861" s="8"/>
      <c r="AT861" s="8"/>
      <c r="AU861" s="8"/>
      <c r="AV861" s="8"/>
      <c r="AX861" s="144">
        <v>68.91</v>
      </c>
    </row>
    <row r="862" spans="1:50" s="10" customFormat="1" ht="45">
      <c r="A862" s="24"/>
      <c r="B862" s="27">
        <v>847</v>
      </c>
      <c r="C862" s="31">
        <v>633</v>
      </c>
      <c r="D862" s="31">
        <v>170</v>
      </c>
      <c r="E862" s="32">
        <v>0.29305555555555557</v>
      </c>
      <c r="F862" s="32">
        <v>0.3034722222222222</v>
      </c>
      <c r="G862" s="31" t="s">
        <v>126</v>
      </c>
      <c r="H862" s="31" t="s">
        <v>103</v>
      </c>
      <c r="I862" s="33">
        <v>7.5</v>
      </c>
      <c r="J862" s="34" t="s">
        <v>406</v>
      </c>
      <c r="K862" s="35">
        <v>174</v>
      </c>
      <c r="L862" s="36">
        <f>+K862*I862</f>
        <v>1305</v>
      </c>
      <c r="M862" s="37" t="s">
        <v>1138</v>
      </c>
      <c r="N862" s="23" t="s">
        <v>944</v>
      </c>
      <c r="O862" s="23">
        <v>21</v>
      </c>
      <c r="P862" s="23" t="s">
        <v>788</v>
      </c>
      <c r="Q862" s="23">
        <v>21</v>
      </c>
      <c r="R862" s="23" t="s">
        <v>943</v>
      </c>
      <c r="S862" s="24">
        <v>24</v>
      </c>
      <c r="T862" s="7">
        <v>6220</v>
      </c>
      <c r="U862" s="7" t="s">
        <v>1281</v>
      </c>
      <c r="V862" s="7">
        <v>6700</v>
      </c>
      <c r="W862" s="7" t="s">
        <v>1666</v>
      </c>
      <c r="X862" s="18"/>
      <c r="Y862" s="17"/>
      <c r="Z862" s="17"/>
      <c r="AA862" s="17"/>
      <c r="AB862" s="7" t="s">
        <v>1042</v>
      </c>
      <c r="AC862" s="3"/>
      <c r="AD862" s="3"/>
      <c r="AE862" s="3"/>
      <c r="AF862" s="8" t="s">
        <v>726</v>
      </c>
      <c r="AG862" s="8" t="s">
        <v>726</v>
      </c>
      <c r="AH862" s="8" t="s">
        <v>726</v>
      </c>
      <c r="AI862" s="8" t="s">
        <v>726</v>
      </c>
      <c r="AJ862" s="8" t="s">
        <v>726</v>
      </c>
      <c r="AK862" s="8" t="s">
        <v>726</v>
      </c>
      <c r="AL862" s="3"/>
      <c r="AM862" s="3"/>
      <c r="AN862" s="3"/>
      <c r="AO862" s="3"/>
      <c r="AP862" s="3"/>
      <c r="AQ862" s="8"/>
      <c r="AR862" s="8"/>
      <c r="AS862" s="8"/>
      <c r="AT862" s="8"/>
      <c r="AU862" s="8"/>
      <c r="AV862" s="3"/>
      <c r="AX862" s="144">
        <v>22.5</v>
      </c>
    </row>
    <row r="863" spans="1:50" s="10" customFormat="1" ht="45">
      <c r="A863" s="23"/>
      <c r="B863" s="27">
        <v>848</v>
      </c>
      <c r="C863" s="31">
        <v>633</v>
      </c>
      <c r="D863" s="31">
        <v>171</v>
      </c>
      <c r="E863" s="32">
        <v>0.30416666666666664</v>
      </c>
      <c r="F863" s="32">
        <v>0.31458333333333333</v>
      </c>
      <c r="G863" s="31" t="s">
        <v>1020</v>
      </c>
      <c r="H863" s="31" t="s">
        <v>645</v>
      </c>
      <c r="I863" s="33">
        <v>7.5</v>
      </c>
      <c r="J863" s="34" t="s">
        <v>93</v>
      </c>
      <c r="K863" s="35">
        <v>34</v>
      </c>
      <c r="L863" s="36">
        <f>+K863*I863</f>
        <v>255</v>
      </c>
      <c r="M863" s="37" t="s">
        <v>1138</v>
      </c>
      <c r="N863" s="23" t="s">
        <v>943</v>
      </c>
      <c r="O863" s="23">
        <v>24</v>
      </c>
      <c r="P863" s="23" t="s">
        <v>944</v>
      </c>
      <c r="Q863" s="23">
        <v>21</v>
      </c>
      <c r="R863" s="23" t="s">
        <v>788</v>
      </c>
      <c r="S863" s="24">
        <v>21</v>
      </c>
      <c r="T863" s="7">
        <v>6700</v>
      </c>
      <c r="U863" s="7" t="s">
        <v>1666</v>
      </c>
      <c r="V863" s="7">
        <v>6220</v>
      </c>
      <c r="W863" s="7" t="s">
        <v>1281</v>
      </c>
      <c r="X863" s="18"/>
      <c r="Y863" s="17"/>
      <c r="Z863" s="17"/>
      <c r="AA863" s="17"/>
      <c r="AB863" s="7" t="s">
        <v>1051</v>
      </c>
      <c r="AC863" s="3"/>
      <c r="AD863" s="3"/>
      <c r="AE863" s="3"/>
      <c r="AF863" s="8" t="s">
        <v>726</v>
      </c>
      <c r="AG863" s="8"/>
      <c r="AH863" s="8"/>
      <c r="AI863" s="8"/>
      <c r="AJ863" s="8"/>
      <c r="AK863" s="8"/>
      <c r="AL863" s="8" t="s">
        <v>726</v>
      </c>
      <c r="AM863" s="3"/>
      <c r="AN863" s="3"/>
      <c r="AO863" s="3"/>
      <c r="AP863" s="3"/>
      <c r="AQ863" s="3"/>
      <c r="AR863" s="3"/>
      <c r="AS863" s="3"/>
      <c r="AT863" s="3"/>
      <c r="AU863" s="3"/>
      <c r="AV863" s="3"/>
      <c r="AX863" s="144">
        <v>15</v>
      </c>
    </row>
    <row r="864" spans="1:50" s="10" customFormat="1" ht="45">
      <c r="A864" s="23" t="s">
        <v>1022</v>
      </c>
      <c r="B864" s="27">
        <v>849</v>
      </c>
      <c r="C864" s="31">
        <v>633</v>
      </c>
      <c r="D864" s="31">
        <v>171</v>
      </c>
      <c r="E864" s="32">
        <v>0.30416666666666664</v>
      </c>
      <c r="F864" s="32">
        <v>0.31458333333333333</v>
      </c>
      <c r="G864" s="43" t="s">
        <v>1021</v>
      </c>
      <c r="H864" s="31" t="s">
        <v>103</v>
      </c>
      <c r="I864" s="33">
        <v>8.5</v>
      </c>
      <c r="J864" s="34" t="s">
        <v>406</v>
      </c>
      <c r="K864" s="35">
        <v>174</v>
      </c>
      <c r="L864" s="36">
        <f>+K864*I864</f>
        <v>1479</v>
      </c>
      <c r="M864" s="37" t="s">
        <v>1138</v>
      </c>
      <c r="N864" s="23" t="s">
        <v>1023</v>
      </c>
      <c r="O864" s="23" t="s">
        <v>1024</v>
      </c>
      <c r="P864" s="23" t="s">
        <v>788</v>
      </c>
      <c r="Q864" s="23">
        <v>21</v>
      </c>
      <c r="R864" s="23"/>
      <c r="S864" s="23"/>
      <c r="T864" s="7">
        <v>6700</v>
      </c>
      <c r="U864" s="7" t="s">
        <v>1666</v>
      </c>
      <c r="V864" s="9" t="s">
        <v>1667</v>
      </c>
      <c r="W864" s="7" t="s">
        <v>1668</v>
      </c>
      <c r="X864" s="18"/>
      <c r="Y864" s="17"/>
      <c r="Z864" s="17"/>
      <c r="AA864" s="17"/>
      <c r="AB864" s="7" t="s">
        <v>1042</v>
      </c>
      <c r="AC864" s="3"/>
      <c r="AD864" s="3"/>
      <c r="AE864" s="3"/>
      <c r="AF864" s="8" t="s">
        <v>726</v>
      </c>
      <c r="AG864" s="8" t="s">
        <v>726</v>
      </c>
      <c r="AH864" s="8" t="s">
        <v>726</v>
      </c>
      <c r="AI864" s="8" t="s">
        <v>726</v>
      </c>
      <c r="AJ864" s="8" t="s">
        <v>726</v>
      </c>
      <c r="AK864" s="8" t="s">
        <v>726</v>
      </c>
      <c r="AL864" s="3"/>
      <c r="AM864" s="3"/>
      <c r="AN864" s="3"/>
      <c r="AO864" s="3"/>
      <c r="AP864" s="3"/>
      <c r="AQ864" s="8"/>
      <c r="AR864" s="8"/>
      <c r="AS864" s="8"/>
      <c r="AT864" s="8"/>
      <c r="AU864" s="8"/>
      <c r="AV864" s="3"/>
      <c r="AX864" s="144">
        <v>32.379999999999995</v>
      </c>
    </row>
    <row r="865" spans="1:50" s="10" customFormat="1" ht="25.5">
      <c r="A865" s="24"/>
      <c r="B865" s="27">
        <v>850</v>
      </c>
      <c r="C865" s="31">
        <v>633</v>
      </c>
      <c r="D865" s="31">
        <v>172</v>
      </c>
      <c r="E865" s="32">
        <v>0.54861111111111105</v>
      </c>
      <c r="F865" s="32">
        <v>0.55902777777777779</v>
      </c>
      <c r="G865" s="31" t="s">
        <v>485</v>
      </c>
      <c r="H865" s="31" t="s">
        <v>103</v>
      </c>
      <c r="I865" s="33">
        <v>7</v>
      </c>
      <c r="J865" s="34" t="s">
        <v>93</v>
      </c>
      <c r="K865" s="35">
        <v>174</v>
      </c>
      <c r="L865" s="36">
        <f>+K865*I865</f>
        <v>1218</v>
      </c>
      <c r="M865" s="37" t="s">
        <v>774</v>
      </c>
      <c r="N865" s="23" t="s">
        <v>819</v>
      </c>
      <c r="O865" s="23">
        <v>21</v>
      </c>
      <c r="P865" s="23" t="s">
        <v>820</v>
      </c>
      <c r="Q865" s="23" t="s">
        <v>821</v>
      </c>
      <c r="R865" s="23" t="s">
        <v>1204</v>
      </c>
      <c r="S865" s="24">
        <v>17</v>
      </c>
      <c r="T865" s="7">
        <v>6220</v>
      </c>
      <c r="U865" s="7" t="s">
        <v>1281</v>
      </c>
      <c r="V865" s="7">
        <v>6700</v>
      </c>
      <c r="W865" s="7" t="s">
        <v>1666</v>
      </c>
      <c r="X865" s="18"/>
      <c r="Y865" s="17"/>
      <c r="Z865" s="17"/>
      <c r="AA865" s="17"/>
      <c r="AB865" s="7" t="s">
        <v>1042</v>
      </c>
      <c r="AC865" s="3"/>
      <c r="AD865" s="3"/>
      <c r="AE865" s="3"/>
      <c r="AF865" s="8" t="s">
        <v>726</v>
      </c>
      <c r="AG865" s="8" t="s">
        <v>726</v>
      </c>
      <c r="AH865" s="8" t="s">
        <v>726</v>
      </c>
      <c r="AI865" s="8" t="s">
        <v>726</v>
      </c>
      <c r="AJ865" s="8" t="s">
        <v>726</v>
      </c>
      <c r="AK865" s="8" t="s">
        <v>726</v>
      </c>
      <c r="AL865" s="3"/>
      <c r="AM865" s="3"/>
      <c r="AN865" s="3"/>
      <c r="AO865" s="3"/>
      <c r="AP865" s="3"/>
      <c r="AQ865" s="8"/>
      <c r="AR865" s="8"/>
      <c r="AS865" s="8"/>
      <c r="AT865" s="8"/>
      <c r="AU865" s="8"/>
      <c r="AV865" s="3"/>
      <c r="AX865" s="144">
        <v>21</v>
      </c>
    </row>
    <row r="866" spans="1:50" s="10" customFormat="1" ht="25.5">
      <c r="A866" s="24"/>
      <c r="B866" s="27">
        <v>851</v>
      </c>
      <c r="C866" s="31">
        <v>633</v>
      </c>
      <c r="D866" s="31">
        <v>173</v>
      </c>
      <c r="E866" s="32">
        <v>0.55902777777777779</v>
      </c>
      <c r="F866" s="32">
        <v>0.56944444444444442</v>
      </c>
      <c r="G866" s="31" t="s">
        <v>486</v>
      </c>
      <c r="H866" s="31" t="s">
        <v>103</v>
      </c>
      <c r="I866" s="33">
        <v>7</v>
      </c>
      <c r="J866" s="34" t="s">
        <v>93</v>
      </c>
      <c r="K866" s="35">
        <v>174</v>
      </c>
      <c r="L866" s="36">
        <f>+K866*I866</f>
        <v>1218</v>
      </c>
      <c r="M866" s="37" t="s">
        <v>774</v>
      </c>
      <c r="N866" s="23" t="s">
        <v>819</v>
      </c>
      <c r="O866" s="23">
        <v>21</v>
      </c>
      <c r="P866" s="23" t="s">
        <v>820</v>
      </c>
      <c r="Q866" s="23" t="s">
        <v>821</v>
      </c>
      <c r="R866" s="23" t="s">
        <v>1204</v>
      </c>
      <c r="S866" s="24">
        <v>17</v>
      </c>
      <c r="T866" s="7">
        <v>6700</v>
      </c>
      <c r="U866" s="7" t="s">
        <v>1666</v>
      </c>
      <c r="V866" s="7">
        <v>6220</v>
      </c>
      <c r="W866" s="7" t="s">
        <v>1281</v>
      </c>
      <c r="X866" s="18"/>
      <c r="Y866" s="17"/>
      <c r="Z866" s="17"/>
      <c r="AA866" s="17"/>
      <c r="AB866" s="7" t="s">
        <v>1042</v>
      </c>
      <c r="AC866" s="3"/>
      <c r="AD866" s="3"/>
      <c r="AE866" s="3"/>
      <c r="AF866" s="8" t="s">
        <v>726</v>
      </c>
      <c r="AG866" s="8" t="s">
        <v>726</v>
      </c>
      <c r="AH866" s="8" t="s">
        <v>726</v>
      </c>
      <c r="AI866" s="8" t="s">
        <v>726</v>
      </c>
      <c r="AJ866" s="8" t="s">
        <v>726</v>
      </c>
      <c r="AK866" s="8" t="s">
        <v>726</v>
      </c>
      <c r="AL866" s="3"/>
      <c r="AM866" s="3"/>
      <c r="AN866" s="3"/>
      <c r="AO866" s="3"/>
      <c r="AP866" s="3"/>
      <c r="AQ866" s="8"/>
      <c r="AR866" s="8"/>
      <c r="AS866" s="8"/>
      <c r="AT866" s="8"/>
      <c r="AU866" s="8"/>
      <c r="AV866" s="3"/>
      <c r="AX866" s="144">
        <v>21</v>
      </c>
    </row>
    <row r="867" spans="1:50" s="10" customFormat="1" ht="25.5">
      <c r="A867" s="24"/>
      <c r="B867" s="27">
        <v>852</v>
      </c>
      <c r="C867" s="38">
        <v>633</v>
      </c>
      <c r="D867" s="38">
        <v>174</v>
      </c>
      <c r="E867" s="39">
        <v>0.68402777777777779</v>
      </c>
      <c r="F867" s="39">
        <v>0.69444444444444453</v>
      </c>
      <c r="G867" s="40" t="s">
        <v>76</v>
      </c>
      <c r="H867" s="40" t="s">
        <v>20</v>
      </c>
      <c r="I867" s="38">
        <v>7</v>
      </c>
      <c r="J867" s="41">
        <v>19</v>
      </c>
      <c r="K867" s="35">
        <v>55</v>
      </c>
      <c r="L867" s="36">
        <f>+K867*I867</f>
        <v>385</v>
      </c>
      <c r="M867" s="37" t="s">
        <v>774</v>
      </c>
      <c r="N867" s="23" t="s">
        <v>820</v>
      </c>
      <c r="O867" s="23" t="s">
        <v>821</v>
      </c>
      <c r="P867" s="23" t="s">
        <v>819</v>
      </c>
      <c r="Q867" s="23">
        <v>21</v>
      </c>
      <c r="R867" s="23" t="s">
        <v>1204</v>
      </c>
      <c r="S867" s="24">
        <v>17</v>
      </c>
      <c r="T867" s="7">
        <v>6220</v>
      </c>
      <c r="U867" s="7" t="s">
        <v>1281</v>
      </c>
      <c r="V867" s="7">
        <v>6700</v>
      </c>
      <c r="W867" s="7" t="s">
        <v>1666</v>
      </c>
      <c r="X867" s="17"/>
      <c r="Y867" s="18"/>
      <c r="Z867" s="18"/>
      <c r="AA867" s="18"/>
      <c r="AB867" s="7" t="s">
        <v>1049</v>
      </c>
      <c r="AC867" s="3"/>
      <c r="AD867" s="3" t="s">
        <v>726</v>
      </c>
      <c r="AE867" s="3" t="s">
        <v>726</v>
      </c>
      <c r="AF867" s="3"/>
      <c r="AG867" s="3" t="s">
        <v>726</v>
      </c>
      <c r="AH867" s="3" t="s">
        <v>726</v>
      </c>
      <c r="AI867" s="3" t="s">
        <v>726</v>
      </c>
      <c r="AJ867" s="3" t="s">
        <v>726</v>
      </c>
      <c r="AK867" s="3" t="s">
        <v>726</v>
      </c>
      <c r="AL867" s="3"/>
      <c r="AM867" s="3"/>
      <c r="AN867" s="3"/>
      <c r="AO867" s="3"/>
      <c r="AP867" s="3"/>
      <c r="AQ867" s="3"/>
      <c r="AR867" s="3"/>
      <c r="AS867" s="3"/>
      <c r="AT867" s="3"/>
      <c r="AU867" s="3"/>
      <c r="AV867" s="3"/>
      <c r="AX867" s="144">
        <v>10.379938708933338</v>
      </c>
    </row>
    <row r="868" spans="1:50" s="10" customFormat="1" ht="25.5">
      <c r="A868" s="24"/>
      <c r="B868" s="27">
        <v>853</v>
      </c>
      <c r="C868" s="38">
        <v>633</v>
      </c>
      <c r="D868" s="38">
        <v>175</v>
      </c>
      <c r="E868" s="39">
        <v>0.69791666666666663</v>
      </c>
      <c r="F868" s="39">
        <v>0.70763888888888893</v>
      </c>
      <c r="G868" s="40" t="s">
        <v>75</v>
      </c>
      <c r="H868" s="40" t="s">
        <v>20</v>
      </c>
      <c r="I868" s="38">
        <v>7</v>
      </c>
      <c r="J868" s="41">
        <v>19</v>
      </c>
      <c r="K868" s="35">
        <v>55</v>
      </c>
      <c r="L868" s="36">
        <f>+K868*I868</f>
        <v>385</v>
      </c>
      <c r="M868" s="37" t="s">
        <v>774</v>
      </c>
      <c r="N868" s="23" t="s">
        <v>820</v>
      </c>
      <c r="O868" s="23" t="s">
        <v>821</v>
      </c>
      <c r="P868" s="23" t="s">
        <v>819</v>
      </c>
      <c r="Q868" s="23">
        <v>21</v>
      </c>
      <c r="R868" s="23" t="s">
        <v>1204</v>
      </c>
      <c r="S868" s="24">
        <v>17</v>
      </c>
      <c r="T868" s="7">
        <v>6700</v>
      </c>
      <c r="U868" s="7" t="s">
        <v>1666</v>
      </c>
      <c r="V868" s="7">
        <v>6220</v>
      </c>
      <c r="W868" s="7" t="s">
        <v>1281</v>
      </c>
      <c r="X868" s="17"/>
      <c r="Y868" s="18"/>
      <c r="Z868" s="18"/>
      <c r="AA868" s="18"/>
      <c r="AB868" s="7" t="s">
        <v>1049</v>
      </c>
      <c r="AC868" s="3"/>
      <c r="AD868" s="3" t="s">
        <v>726</v>
      </c>
      <c r="AE868" s="3" t="s">
        <v>726</v>
      </c>
      <c r="AF868" s="3"/>
      <c r="AG868" s="3" t="s">
        <v>726</v>
      </c>
      <c r="AH868" s="3" t="s">
        <v>726</v>
      </c>
      <c r="AI868" s="3" t="s">
        <v>726</v>
      </c>
      <c r="AJ868" s="3" t="s">
        <v>726</v>
      </c>
      <c r="AK868" s="3" t="s">
        <v>726</v>
      </c>
      <c r="AL868" s="3"/>
      <c r="AM868" s="3"/>
      <c r="AN868" s="3"/>
      <c r="AO868" s="3"/>
      <c r="AP868" s="3"/>
      <c r="AQ868" s="3"/>
      <c r="AR868" s="3"/>
      <c r="AS868" s="3"/>
      <c r="AT868" s="3"/>
      <c r="AU868" s="3"/>
      <c r="AV868" s="3"/>
      <c r="AX868" s="144">
        <v>10.379938708933338</v>
      </c>
    </row>
    <row r="869" spans="1:50" s="10" customFormat="1" ht="25.5">
      <c r="A869" s="24"/>
      <c r="B869" s="27">
        <v>854</v>
      </c>
      <c r="C869" s="38">
        <v>633</v>
      </c>
      <c r="D869" s="38">
        <v>174</v>
      </c>
      <c r="E869" s="39">
        <v>0.71527777777777779</v>
      </c>
      <c r="F869" s="44">
        <v>0.72569444444444453</v>
      </c>
      <c r="G869" s="40" t="s">
        <v>76</v>
      </c>
      <c r="H869" s="31" t="s">
        <v>97</v>
      </c>
      <c r="I869" s="38">
        <v>7</v>
      </c>
      <c r="J869" s="41">
        <v>19</v>
      </c>
      <c r="K869" s="35">
        <v>208</v>
      </c>
      <c r="L869" s="36">
        <f>+K869*I869</f>
        <v>1456</v>
      </c>
      <c r="M869" s="37" t="s">
        <v>774</v>
      </c>
      <c r="N869" s="23" t="s">
        <v>819</v>
      </c>
      <c r="O869" s="23">
        <v>21</v>
      </c>
      <c r="P869" s="23" t="s">
        <v>820</v>
      </c>
      <c r="Q869" s="23" t="s">
        <v>821</v>
      </c>
      <c r="R869" s="23" t="s">
        <v>1204</v>
      </c>
      <c r="S869" s="24">
        <v>17</v>
      </c>
      <c r="T869" s="7">
        <v>6220</v>
      </c>
      <c r="U869" s="7" t="s">
        <v>1281</v>
      </c>
      <c r="V869" s="7">
        <v>6700</v>
      </c>
      <c r="W869" s="7" t="s">
        <v>1666</v>
      </c>
      <c r="X869" s="18"/>
      <c r="Y869" s="17"/>
      <c r="Z869" s="17"/>
      <c r="AA869" s="17"/>
      <c r="AB869" s="7" t="s">
        <v>1046</v>
      </c>
      <c r="AC869" s="3"/>
      <c r="AD869" s="3"/>
      <c r="AE869" s="3"/>
      <c r="AF869" s="8" t="s">
        <v>726</v>
      </c>
      <c r="AG869" s="8" t="s">
        <v>726</v>
      </c>
      <c r="AH869" s="8" t="s">
        <v>726</v>
      </c>
      <c r="AI869" s="8" t="s">
        <v>726</v>
      </c>
      <c r="AJ869" s="8" t="s">
        <v>726</v>
      </c>
      <c r="AK869" s="8" t="s">
        <v>726</v>
      </c>
      <c r="AL869" s="8" t="s">
        <v>726</v>
      </c>
      <c r="AM869" s="3"/>
      <c r="AN869" s="3"/>
      <c r="AO869" s="3"/>
      <c r="AP869" s="3"/>
      <c r="AQ869" s="8"/>
      <c r="AR869" s="8"/>
      <c r="AS869" s="8"/>
      <c r="AT869" s="8"/>
      <c r="AU869" s="8"/>
      <c r="AV869" s="8"/>
      <c r="AX869" s="144">
        <v>10.379938708933338</v>
      </c>
    </row>
    <row r="870" spans="1:50" s="10" customFormat="1" ht="25.5">
      <c r="A870" s="24"/>
      <c r="B870" s="27">
        <v>855</v>
      </c>
      <c r="C870" s="38">
        <v>633</v>
      </c>
      <c r="D870" s="38">
        <v>175</v>
      </c>
      <c r="E870" s="39">
        <v>0.72638888888888886</v>
      </c>
      <c r="F870" s="39">
        <v>0.7368055555555556</v>
      </c>
      <c r="G870" s="40" t="s">
        <v>75</v>
      </c>
      <c r="H870" s="31" t="s">
        <v>97</v>
      </c>
      <c r="I870" s="38">
        <v>7</v>
      </c>
      <c r="J870" s="41">
        <v>19</v>
      </c>
      <c r="K870" s="35">
        <v>208</v>
      </c>
      <c r="L870" s="36">
        <f>+K870*I870</f>
        <v>1456</v>
      </c>
      <c r="M870" s="37" t="s">
        <v>774</v>
      </c>
      <c r="N870" s="23" t="s">
        <v>819</v>
      </c>
      <c r="O870" s="23">
        <v>21</v>
      </c>
      <c r="P870" s="23" t="s">
        <v>820</v>
      </c>
      <c r="Q870" s="23" t="s">
        <v>821</v>
      </c>
      <c r="R870" s="23" t="s">
        <v>1204</v>
      </c>
      <c r="S870" s="24">
        <v>17</v>
      </c>
      <c r="T870" s="7">
        <v>6700</v>
      </c>
      <c r="U870" s="7" t="s">
        <v>1666</v>
      </c>
      <c r="V870" s="7">
        <v>6220</v>
      </c>
      <c r="W870" s="7" t="s">
        <v>1281</v>
      </c>
      <c r="X870" s="18"/>
      <c r="Y870" s="17"/>
      <c r="Z870" s="17"/>
      <c r="AA870" s="17"/>
      <c r="AB870" s="7" t="s">
        <v>1046</v>
      </c>
      <c r="AC870" s="3"/>
      <c r="AD870" s="3"/>
      <c r="AE870" s="3"/>
      <c r="AF870" s="8" t="s">
        <v>726</v>
      </c>
      <c r="AG870" s="8" t="s">
        <v>726</v>
      </c>
      <c r="AH870" s="8" t="s">
        <v>726</v>
      </c>
      <c r="AI870" s="8" t="s">
        <v>726</v>
      </c>
      <c r="AJ870" s="8" t="s">
        <v>726</v>
      </c>
      <c r="AK870" s="8" t="s">
        <v>726</v>
      </c>
      <c r="AL870" s="8" t="s">
        <v>726</v>
      </c>
      <c r="AM870" s="3"/>
      <c r="AN870" s="3"/>
      <c r="AO870" s="3"/>
      <c r="AP870" s="3"/>
      <c r="AQ870" s="8"/>
      <c r="AR870" s="8"/>
      <c r="AS870" s="8"/>
      <c r="AT870" s="8"/>
      <c r="AU870" s="8"/>
      <c r="AV870" s="8"/>
      <c r="AX870" s="144">
        <v>10.379938708933338</v>
      </c>
    </row>
    <row r="871" spans="1:50" s="10" customFormat="1" ht="25.5">
      <c r="A871" s="24"/>
      <c r="B871" s="27">
        <v>856</v>
      </c>
      <c r="C871" s="38">
        <v>634</v>
      </c>
      <c r="D871" s="38">
        <v>533</v>
      </c>
      <c r="E871" s="44">
        <v>0.25208333333333333</v>
      </c>
      <c r="F871" s="44">
        <v>0.2722222222222222</v>
      </c>
      <c r="G871" s="40" t="s">
        <v>68</v>
      </c>
      <c r="H871" s="31" t="s">
        <v>477</v>
      </c>
      <c r="I871" s="38">
        <v>20</v>
      </c>
      <c r="J871" s="41">
        <v>19</v>
      </c>
      <c r="K871" s="35">
        <v>240</v>
      </c>
      <c r="L871" s="36">
        <f>+K871*I871</f>
        <v>4800</v>
      </c>
      <c r="M871" s="37" t="s">
        <v>774</v>
      </c>
      <c r="N871" s="23" t="s">
        <v>819</v>
      </c>
      <c r="O871" s="23">
        <v>21</v>
      </c>
      <c r="P871" s="23" t="s">
        <v>820</v>
      </c>
      <c r="Q871" s="23" t="s">
        <v>821</v>
      </c>
      <c r="R871" s="23" t="s">
        <v>1204</v>
      </c>
      <c r="S871" s="24">
        <v>17</v>
      </c>
      <c r="T871" s="7">
        <v>6765</v>
      </c>
      <c r="U871" s="7" t="s">
        <v>1669</v>
      </c>
      <c r="V871" s="7">
        <v>6220</v>
      </c>
      <c r="W871" s="7" t="s">
        <v>1281</v>
      </c>
      <c r="X871" s="18"/>
      <c r="Y871" s="17"/>
      <c r="Z871" s="18"/>
      <c r="AA871" s="18"/>
      <c r="AB871" s="7" t="s">
        <v>1052</v>
      </c>
      <c r="AC871" s="8" t="s">
        <v>726</v>
      </c>
      <c r="AD871" s="8"/>
      <c r="AE871" s="8" t="s">
        <v>726</v>
      </c>
      <c r="AF871" s="8"/>
      <c r="AG871" s="8" t="s">
        <v>726</v>
      </c>
      <c r="AH871" s="8" t="s">
        <v>726</v>
      </c>
      <c r="AI871" s="8" t="s">
        <v>726</v>
      </c>
      <c r="AJ871" s="8" t="s">
        <v>726</v>
      </c>
      <c r="AK871" s="8" t="s">
        <v>726</v>
      </c>
      <c r="AL871" s="8" t="s">
        <v>726</v>
      </c>
      <c r="AM871" s="3"/>
      <c r="AN871" s="3"/>
      <c r="AO871" s="3"/>
      <c r="AP871" s="3"/>
      <c r="AQ871" s="8"/>
      <c r="AR871" s="8"/>
      <c r="AS871" s="8"/>
      <c r="AT871" s="8"/>
      <c r="AU871" s="8"/>
      <c r="AV871" s="8"/>
      <c r="AX871" s="144">
        <v>29.656967739809534</v>
      </c>
    </row>
    <row r="872" spans="1:50" s="10" customFormat="1" ht="22.5">
      <c r="A872" s="24"/>
      <c r="B872" s="27">
        <v>857</v>
      </c>
      <c r="C872" s="38">
        <v>634</v>
      </c>
      <c r="D872" s="38">
        <v>533</v>
      </c>
      <c r="E872" s="39">
        <v>0.29444444444444445</v>
      </c>
      <c r="F872" s="39">
        <v>0.30555555555555552</v>
      </c>
      <c r="G872" s="40" t="s">
        <v>628</v>
      </c>
      <c r="H872" s="40" t="s">
        <v>1</v>
      </c>
      <c r="I872" s="38">
        <v>9</v>
      </c>
      <c r="J872" s="41">
        <v>19</v>
      </c>
      <c r="K872" s="35">
        <v>67</v>
      </c>
      <c r="L872" s="36">
        <f>+K872*I872</f>
        <v>603</v>
      </c>
      <c r="M872" s="37" t="s">
        <v>774</v>
      </c>
      <c r="N872" s="23" t="s">
        <v>819</v>
      </c>
      <c r="O872" s="23">
        <v>21</v>
      </c>
      <c r="P872" s="23" t="s">
        <v>820</v>
      </c>
      <c r="Q872" s="23" t="s">
        <v>821</v>
      </c>
      <c r="R872" s="23" t="s">
        <v>1204</v>
      </c>
      <c r="S872" s="24">
        <v>17</v>
      </c>
      <c r="T872" s="7">
        <v>6755</v>
      </c>
      <c r="U872" s="7" t="s">
        <v>1280</v>
      </c>
      <c r="V872" s="7">
        <v>6715</v>
      </c>
      <c r="W872" s="7" t="s">
        <v>1670</v>
      </c>
      <c r="X872" s="17"/>
      <c r="Y872" s="18"/>
      <c r="Z872" s="18"/>
      <c r="AA872" s="18"/>
      <c r="AB872" s="8" t="s">
        <v>1047</v>
      </c>
      <c r="AC872" s="3"/>
      <c r="AD872" s="8" t="s">
        <v>726</v>
      </c>
      <c r="AE872" s="8" t="s">
        <v>726</v>
      </c>
      <c r="AF872" s="8"/>
      <c r="AG872" s="8" t="s">
        <v>726</v>
      </c>
      <c r="AH872" s="8" t="s">
        <v>726</v>
      </c>
      <c r="AI872" s="8" t="s">
        <v>726</v>
      </c>
      <c r="AJ872" s="8" t="s">
        <v>726</v>
      </c>
      <c r="AK872" s="8" t="s">
        <v>726</v>
      </c>
      <c r="AL872" s="8" t="s">
        <v>726</v>
      </c>
      <c r="AM872" s="3"/>
      <c r="AN872" s="3"/>
      <c r="AO872" s="3"/>
      <c r="AP872" s="8"/>
      <c r="AQ872" s="8"/>
      <c r="AR872" s="8"/>
      <c r="AS872" s="8"/>
      <c r="AT872" s="8"/>
      <c r="AU872" s="8"/>
      <c r="AV872" s="8"/>
      <c r="AX872" s="144">
        <v>13.34563548291429</v>
      </c>
    </row>
    <row r="873" spans="1:50" s="10" customFormat="1" ht="22.5">
      <c r="A873" s="24"/>
      <c r="B873" s="27">
        <v>858</v>
      </c>
      <c r="C873" s="53">
        <v>634</v>
      </c>
      <c r="D873" s="38">
        <v>541</v>
      </c>
      <c r="E873" s="39">
        <v>0.56597222222222221</v>
      </c>
      <c r="F873" s="39">
        <v>0.58819444444444446</v>
      </c>
      <c r="G873" s="40" t="s">
        <v>68</v>
      </c>
      <c r="H873" s="40" t="s">
        <v>1</v>
      </c>
      <c r="I873" s="38">
        <v>28</v>
      </c>
      <c r="J873" s="41">
        <v>19</v>
      </c>
      <c r="K873" s="35">
        <v>67</v>
      </c>
      <c r="L873" s="36">
        <f>+K873*I873</f>
        <v>1876</v>
      </c>
      <c r="M873" s="37" t="s">
        <v>774</v>
      </c>
      <c r="N873" s="23" t="s">
        <v>819</v>
      </c>
      <c r="O873" s="23">
        <v>21</v>
      </c>
      <c r="P873" s="23" t="s">
        <v>820</v>
      </c>
      <c r="Q873" s="23" t="s">
        <v>821</v>
      </c>
      <c r="R873" s="23" t="s">
        <v>1204</v>
      </c>
      <c r="S873" s="24">
        <v>17</v>
      </c>
      <c r="T873" s="7">
        <v>6765</v>
      </c>
      <c r="U873" s="7" t="s">
        <v>1669</v>
      </c>
      <c r="V873" s="7">
        <v>6220</v>
      </c>
      <c r="W873" s="7" t="s">
        <v>1281</v>
      </c>
      <c r="X873" s="17"/>
      <c r="Y873" s="18"/>
      <c r="Z873" s="18"/>
      <c r="AA873" s="18"/>
      <c r="AB873" s="8" t="s">
        <v>1047</v>
      </c>
      <c r="AC873" s="3"/>
      <c r="AD873" s="8" t="s">
        <v>726</v>
      </c>
      <c r="AE873" s="8" t="s">
        <v>726</v>
      </c>
      <c r="AF873" s="8"/>
      <c r="AG873" s="8" t="s">
        <v>726</v>
      </c>
      <c r="AH873" s="8" t="s">
        <v>726</v>
      </c>
      <c r="AI873" s="8" t="s">
        <v>726</v>
      </c>
      <c r="AJ873" s="8" t="s">
        <v>726</v>
      </c>
      <c r="AK873" s="8" t="s">
        <v>726</v>
      </c>
      <c r="AL873" s="8" t="s">
        <v>726</v>
      </c>
      <c r="AM873" s="3"/>
      <c r="AN873" s="3"/>
      <c r="AO873" s="3"/>
      <c r="AP873" s="8"/>
      <c r="AQ873" s="8"/>
      <c r="AR873" s="8"/>
      <c r="AS873" s="8"/>
      <c r="AT873" s="8"/>
      <c r="AU873" s="8"/>
      <c r="AV873" s="8"/>
      <c r="AX873" s="144">
        <v>41.519754835733352</v>
      </c>
    </row>
    <row r="874" spans="1:50" s="10" customFormat="1" ht="25.5">
      <c r="A874" s="24"/>
      <c r="B874" s="27">
        <v>859</v>
      </c>
      <c r="C874" s="38">
        <v>634</v>
      </c>
      <c r="D874" s="133">
        <v>536</v>
      </c>
      <c r="E874" s="39">
        <v>0.72569444444444453</v>
      </c>
      <c r="F874" s="39">
        <v>0.74791666666666667</v>
      </c>
      <c r="G874" s="40" t="s">
        <v>64</v>
      </c>
      <c r="H874" s="40" t="s">
        <v>105</v>
      </c>
      <c r="I874" s="38">
        <v>20</v>
      </c>
      <c r="J874" s="41">
        <v>19</v>
      </c>
      <c r="K874" s="35">
        <v>67</v>
      </c>
      <c r="L874" s="36">
        <f>+K874*I874</f>
        <v>1340</v>
      </c>
      <c r="M874" s="37" t="s">
        <v>774</v>
      </c>
      <c r="N874" s="23" t="s">
        <v>820</v>
      </c>
      <c r="O874" s="23" t="s">
        <v>821</v>
      </c>
      <c r="P874" s="23" t="s">
        <v>819</v>
      </c>
      <c r="Q874" s="23">
        <v>21</v>
      </c>
      <c r="R874" s="23" t="s">
        <v>1204</v>
      </c>
      <c r="S874" s="24">
        <v>17</v>
      </c>
      <c r="T874" s="7">
        <v>6220</v>
      </c>
      <c r="U874" s="7" t="s">
        <v>1281</v>
      </c>
      <c r="V874" s="7">
        <v>6755</v>
      </c>
      <c r="W874" s="7" t="s">
        <v>1280</v>
      </c>
      <c r="X874" s="17"/>
      <c r="Y874" s="18"/>
      <c r="Z874" s="18"/>
      <c r="AA874" s="18"/>
      <c r="AB874" s="8" t="s">
        <v>1047</v>
      </c>
      <c r="AC874" s="3"/>
      <c r="AD874" s="8" t="s">
        <v>726</v>
      </c>
      <c r="AE874" s="8" t="s">
        <v>726</v>
      </c>
      <c r="AF874" s="8"/>
      <c r="AG874" s="8" t="s">
        <v>726</v>
      </c>
      <c r="AH874" s="8" t="s">
        <v>726</v>
      </c>
      <c r="AI874" s="8" t="s">
        <v>726</v>
      </c>
      <c r="AJ874" s="8" t="s">
        <v>726</v>
      </c>
      <c r="AK874" s="8" t="s">
        <v>726</v>
      </c>
      <c r="AL874" s="8" t="s">
        <v>726</v>
      </c>
      <c r="AM874" s="3"/>
      <c r="AN874" s="3"/>
      <c r="AO874" s="3"/>
      <c r="AP874" s="3"/>
      <c r="AQ874" s="8"/>
      <c r="AR874" s="8"/>
      <c r="AS874" s="8"/>
      <c r="AT874" s="8"/>
      <c r="AU874" s="8"/>
      <c r="AV874" s="8"/>
      <c r="AX874" s="144">
        <v>29.656967739809534</v>
      </c>
    </row>
    <row r="875" spans="1:50" s="10" customFormat="1" ht="25.5">
      <c r="A875" s="24"/>
      <c r="B875" s="27">
        <v>860</v>
      </c>
      <c r="C875" s="38">
        <v>634</v>
      </c>
      <c r="D875" s="38">
        <v>540</v>
      </c>
      <c r="E875" s="39">
        <v>0.74305555555555547</v>
      </c>
      <c r="F875" s="44">
        <v>0.76666666666666661</v>
      </c>
      <c r="G875" s="40" t="s">
        <v>64</v>
      </c>
      <c r="H875" s="31" t="s">
        <v>477</v>
      </c>
      <c r="I875" s="38">
        <v>20</v>
      </c>
      <c r="J875" s="41">
        <v>19</v>
      </c>
      <c r="K875" s="35">
        <v>240</v>
      </c>
      <c r="L875" s="36">
        <f>+K875*I875</f>
        <v>4800</v>
      </c>
      <c r="M875" s="37" t="s">
        <v>774</v>
      </c>
      <c r="N875" s="23" t="s">
        <v>819</v>
      </c>
      <c r="O875" s="23">
        <v>21</v>
      </c>
      <c r="P875" s="23" t="s">
        <v>820</v>
      </c>
      <c r="Q875" s="23" t="s">
        <v>821</v>
      </c>
      <c r="R875" s="23" t="s">
        <v>1204</v>
      </c>
      <c r="S875" s="24">
        <v>17</v>
      </c>
      <c r="T875" s="7">
        <v>6220</v>
      </c>
      <c r="U875" s="7" t="s">
        <v>1281</v>
      </c>
      <c r="V875" s="7">
        <v>6755</v>
      </c>
      <c r="W875" s="7" t="s">
        <v>1280</v>
      </c>
      <c r="X875" s="18"/>
      <c r="Y875" s="17"/>
      <c r="Z875" s="18"/>
      <c r="AA875" s="18"/>
      <c r="AB875" s="7" t="s">
        <v>1052</v>
      </c>
      <c r="AC875" s="8" t="s">
        <v>726</v>
      </c>
      <c r="AD875" s="8"/>
      <c r="AE875" s="8" t="s">
        <v>726</v>
      </c>
      <c r="AF875" s="8"/>
      <c r="AG875" s="8" t="s">
        <v>726</v>
      </c>
      <c r="AH875" s="8" t="s">
        <v>726</v>
      </c>
      <c r="AI875" s="8" t="s">
        <v>726</v>
      </c>
      <c r="AJ875" s="8" t="s">
        <v>726</v>
      </c>
      <c r="AK875" s="8" t="s">
        <v>726</v>
      </c>
      <c r="AL875" s="8" t="s">
        <v>726</v>
      </c>
      <c r="AM875" s="3"/>
      <c r="AN875" s="3"/>
      <c r="AO875" s="3"/>
      <c r="AP875" s="3"/>
      <c r="AQ875" s="8"/>
      <c r="AR875" s="8"/>
      <c r="AS875" s="8"/>
      <c r="AT875" s="8"/>
      <c r="AU875" s="8"/>
      <c r="AV875" s="8"/>
      <c r="AX875" s="144">
        <v>29.656967739809534</v>
      </c>
    </row>
    <row r="876" spans="1:50" s="10" customFormat="1" ht="25.5">
      <c r="A876" s="23"/>
      <c r="B876" s="27">
        <v>861</v>
      </c>
      <c r="C876" s="38">
        <v>634</v>
      </c>
      <c r="D876" s="38">
        <v>538</v>
      </c>
      <c r="E876" s="44">
        <v>0.76388888888888884</v>
      </c>
      <c r="F876" s="44">
        <v>0.78333333333333333</v>
      </c>
      <c r="G876" s="40" t="s">
        <v>66</v>
      </c>
      <c r="H876" s="40" t="s">
        <v>105</v>
      </c>
      <c r="I876" s="38">
        <v>15</v>
      </c>
      <c r="J876" s="41">
        <v>19</v>
      </c>
      <c r="K876" s="35">
        <v>67</v>
      </c>
      <c r="L876" s="36">
        <f>+K876*I876</f>
        <v>1005</v>
      </c>
      <c r="M876" s="121" t="s">
        <v>771</v>
      </c>
      <c r="N876" s="79" t="s">
        <v>2100</v>
      </c>
      <c r="O876" s="79">
        <v>20</v>
      </c>
      <c r="P876" s="23" t="s">
        <v>2087</v>
      </c>
      <c r="Q876" s="23">
        <v>21</v>
      </c>
      <c r="R876" s="2"/>
      <c r="S876" s="23"/>
      <c r="T876" s="7">
        <v>6220</v>
      </c>
      <c r="U876" s="7" t="s">
        <v>1281</v>
      </c>
      <c r="V876" s="7">
        <v>6765</v>
      </c>
      <c r="W876" s="7" t="s">
        <v>1669</v>
      </c>
      <c r="X876" s="17"/>
      <c r="Y876" s="18"/>
      <c r="Z876" s="18"/>
      <c r="AA876" s="18"/>
      <c r="AB876" s="8" t="s">
        <v>1047</v>
      </c>
      <c r="AC876" s="3"/>
      <c r="AD876" s="8" t="s">
        <v>726</v>
      </c>
      <c r="AE876" s="8" t="s">
        <v>726</v>
      </c>
      <c r="AF876" s="8"/>
      <c r="AG876" s="8" t="s">
        <v>726</v>
      </c>
      <c r="AH876" s="8" t="s">
        <v>726</v>
      </c>
      <c r="AI876" s="8" t="s">
        <v>726</v>
      </c>
      <c r="AJ876" s="8" t="s">
        <v>726</v>
      </c>
      <c r="AK876" s="8" t="s">
        <v>726</v>
      </c>
      <c r="AL876" s="8" t="s">
        <v>726</v>
      </c>
      <c r="AM876" s="3"/>
      <c r="AN876" s="3"/>
      <c r="AO876" s="3"/>
      <c r="AP876" s="3"/>
      <c r="AQ876" s="8"/>
      <c r="AR876" s="8"/>
      <c r="AS876" s="8"/>
      <c r="AT876" s="8"/>
      <c r="AU876" s="8"/>
      <c r="AV876" s="8"/>
      <c r="AX876" s="144">
        <v>26.498645624779179</v>
      </c>
    </row>
    <row r="877" spans="1:50" s="10" customFormat="1" ht="25.5">
      <c r="A877" s="24"/>
      <c r="B877" s="27">
        <v>862</v>
      </c>
      <c r="C877" s="38">
        <v>634</v>
      </c>
      <c r="D877" s="38">
        <v>545</v>
      </c>
      <c r="E877" s="39">
        <v>0.77430555555555547</v>
      </c>
      <c r="F877" s="44">
        <v>0.79791666666666661</v>
      </c>
      <c r="G877" s="40" t="s">
        <v>65</v>
      </c>
      <c r="H877" s="31" t="s">
        <v>477</v>
      </c>
      <c r="I877" s="38">
        <v>20</v>
      </c>
      <c r="J877" s="41">
        <v>19</v>
      </c>
      <c r="K877" s="35">
        <v>240</v>
      </c>
      <c r="L877" s="36">
        <f>+K877*I877</f>
        <v>4800</v>
      </c>
      <c r="M877" s="37" t="s">
        <v>774</v>
      </c>
      <c r="N877" s="23" t="s">
        <v>819</v>
      </c>
      <c r="O877" s="23">
        <v>21</v>
      </c>
      <c r="P877" s="23" t="s">
        <v>820</v>
      </c>
      <c r="Q877" s="23" t="s">
        <v>821</v>
      </c>
      <c r="R877" s="23" t="s">
        <v>1204</v>
      </c>
      <c r="S877" s="24">
        <v>17</v>
      </c>
      <c r="T877" s="7">
        <v>6755</v>
      </c>
      <c r="U877" s="7" t="s">
        <v>1280</v>
      </c>
      <c r="V877" s="7">
        <v>6220</v>
      </c>
      <c r="W877" s="7" t="s">
        <v>1281</v>
      </c>
      <c r="X877" s="18"/>
      <c r="Y877" s="17"/>
      <c r="Z877" s="18"/>
      <c r="AA877" s="18"/>
      <c r="AB877" s="7" t="s">
        <v>1052</v>
      </c>
      <c r="AC877" s="8" t="s">
        <v>726</v>
      </c>
      <c r="AD877" s="8"/>
      <c r="AE877" s="8" t="s">
        <v>726</v>
      </c>
      <c r="AF877" s="8"/>
      <c r="AG877" s="8" t="s">
        <v>726</v>
      </c>
      <c r="AH877" s="8" t="s">
        <v>726</v>
      </c>
      <c r="AI877" s="8" t="s">
        <v>726</v>
      </c>
      <c r="AJ877" s="8" t="s">
        <v>726</v>
      </c>
      <c r="AK877" s="8" t="s">
        <v>726</v>
      </c>
      <c r="AL877" s="8" t="s">
        <v>726</v>
      </c>
      <c r="AM877" s="3"/>
      <c r="AN877" s="3"/>
      <c r="AO877" s="3"/>
      <c r="AP877" s="3"/>
      <c r="AQ877" s="8"/>
      <c r="AR877" s="8"/>
      <c r="AS877" s="8"/>
      <c r="AT877" s="8"/>
      <c r="AU877" s="8"/>
      <c r="AV877" s="8"/>
      <c r="AX877" s="144">
        <v>29.656967739809534</v>
      </c>
    </row>
    <row r="878" spans="1:50" s="10" customFormat="1" ht="25.5">
      <c r="A878" s="24"/>
      <c r="B878" s="27">
        <v>863</v>
      </c>
      <c r="C878" s="38">
        <v>634</v>
      </c>
      <c r="D878" s="38">
        <v>542</v>
      </c>
      <c r="E878" s="39">
        <v>0.77569444444444446</v>
      </c>
      <c r="F878" s="39">
        <v>0.79513888888888884</v>
      </c>
      <c r="G878" s="40" t="s">
        <v>66</v>
      </c>
      <c r="H878" s="31" t="s">
        <v>477</v>
      </c>
      <c r="I878" s="38">
        <v>15</v>
      </c>
      <c r="J878" s="41">
        <v>19</v>
      </c>
      <c r="K878" s="35">
        <v>240</v>
      </c>
      <c r="L878" s="36">
        <f>+K878*I878</f>
        <v>3600</v>
      </c>
      <c r="M878" s="121" t="s">
        <v>771</v>
      </c>
      <c r="N878" s="79" t="s">
        <v>2100</v>
      </c>
      <c r="O878" s="79">
        <v>20</v>
      </c>
      <c r="P878" s="23" t="s">
        <v>2087</v>
      </c>
      <c r="Q878" s="23">
        <v>21</v>
      </c>
      <c r="R878" s="2"/>
      <c r="S878" s="23"/>
      <c r="T878" s="7">
        <v>6220</v>
      </c>
      <c r="U878" s="7" t="s">
        <v>1281</v>
      </c>
      <c r="V878" s="7">
        <v>6765</v>
      </c>
      <c r="W878" s="7" t="s">
        <v>1669</v>
      </c>
      <c r="X878" s="18"/>
      <c r="Y878" s="17"/>
      <c r="Z878" s="18"/>
      <c r="AA878" s="18"/>
      <c r="AB878" s="7" t="s">
        <v>1052</v>
      </c>
      <c r="AC878" s="8" t="s">
        <v>726</v>
      </c>
      <c r="AD878" s="8"/>
      <c r="AE878" s="8" t="s">
        <v>726</v>
      </c>
      <c r="AF878" s="8"/>
      <c r="AG878" s="8" t="s">
        <v>726</v>
      </c>
      <c r="AH878" s="8" t="s">
        <v>726</v>
      </c>
      <c r="AI878" s="8" t="s">
        <v>726</v>
      </c>
      <c r="AJ878" s="8" t="s">
        <v>726</v>
      </c>
      <c r="AK878" s="8" t="s">
        <v>726</v>
      </c>
      <c r="AL878" s="8" t="s">
        <v>726</v>
      </c>
      <c r="AM878" s="3"/>
      <c r="AN878" s="3"/>
      <c r="AO878" s="3"/>
      <c r="AP878" s="3"/>
      <c r="AQ878" s="8"/>
      <c r="AR878" s="8"/>
      <c r="AS878" s="8"/>
      <c r="AT878" s="8"/>
      <c r="AU878" s="8"/>
      <c r="AV878" s="8"/>
      <c r="AX878" s="144">
        <v>26.498645624779179</v>
      </c>
    </row>
    <row r="879" spans="1:50" s="10" customFormat="1" ht="25.5">
      <c r="A879" s="24"/>
      <c r="B879" s="27">
        <v>864</v>
      </c>
      <c r="C879" s="38">
        <v>634</v>
      </c>
      <c r="D879" s="53">
        <v>543</v>
      </c>
      <c r="E879" s="44">
        <v>0.75694444444444453</v>
      </c>
      <c r="F879" s="44">
        <v>0.77777777777777779</v>
      </c>
      <c r="G879" s="40" t="s">
        <v>65</v>
      </c>
      <c r="H879" s="40" t="s">
        <v>105</v>
      </c>
      <c r="I879" s="38">
        <v>20</v>
      </c>
      <c r="J879" s="41">
        <v>19</v>
      </c>
      <c r="K879" s="35">
        <v>67</v>
      </c>
      <c r="L879" s="36">
        <f>+K879*I879</f>
        <v>1340</v>
      </c>
      <c r="M879" s="37" t="s">
        <v>774</v>
      </c>
      <c r="N879" s="23" t="s">
        <v>820</v>
      </c>
      <c r="O879" s="23" t="s">
        <v>821</v>
      </c>
      <c r="P879" s="23" t="s">
        <v>819</v>
      </c>
      <c r="Q879" s="23">
        <v>21</v>
      </c>
      <c r="R879" s="23" t="s">
        <v>1204</v>
      </c>
      <c r="S879" s="24">
        <v>17</v>
      </c>
      <c r="T879" s="7">
        <v>6755</v>
      </c>
      <c r="U879" s="7" t="s">
        <v>1280</v>
      </c>
      <c r="V879" s="7">
        <v>6220</v>
      </c>
      <c r="W879" s="7" t="s">
        <v>1281</v>
      </c>
      <c r="X879" s="17"/>
      <c r="Y879" s="18"/>
      <c r="Z879" s="18"/>
      <c r="AA879" s="18"/>
      <c r="AB879" s="8" t="s">
        <v>1047</v>
      </c>
      <c r="AC879" s="3"/>
      <c r="AD879" s="8" t="s">
        <v>726</v>
      </c>
      <c r="AE879" s="8" t="s">
        <v>726</v>
      </c>
      <c r="AF879" s="8"/>
      <c r="AG879" s="8" t="s">
        <v>726</v>
      </c>
      <c r="AH879" s="8" t="s">
        <v>726</v>
      </c>
      <c r="AI879" s="8" t="s">
        <v>726</v>
      </c>
      <c r="AJ879" s="8" t="s">
        <v>726</v>
      </c>
      <c r="AK879" s="8" t="s">
        <v>726</v>
      </c>
      <c r="AL879" s="8" t="s">
        <v>726</v>
      </c>
      <c r="AM879" s="3"/>
      <c r="AN879" s="3"/>
      <c r="AO879" s="3"/>
      <c r="AP879" s="3"/>
      <c r="AQ879" s="8"/>
      <c r="AR879" s="8"/>
      <c r="AS879" s="8"/>
      <c r="AT879" s="8"/>
      <c r="AU879" s="8"/>
      <c r="AV879" s="8"/>
      <c r="AX879" s="144">
        <v>29.656967739809534</v>
      </c>
    </row>
    <row r="880" spans="1:50" s="10" customFormat="1" ht="25.5">
      <c r="A880" s="24"/>
      <c r="B880" s="27">
        <v>865</v>
      </c>
      <c r="C880" s="38">
        <v>634</v>
      </c>
      <c r="D880" s="38">
        <v>547</v>
      </c>
      <c r="E880" s="39">
        <v>0.79652777777777783</v>
      </c>
      <c r="F880" s="44">
        <v>0.81666666666666676</v>
      </c>
      <c r="G880" s="40" t="s">
        <v>68</v>
      </c>
      <c r="H880" s="31" t="s">
        <v>477</v>
      </c>
      <c r="I880" s="38">
        <v>15</v>
      </c>
      <c r="J880" s="41">
        <v>19</v>
      </c>
      <c r="K880" s="35">
        <v>240</v>
      </c>
      <c r="L880" s="36">
        <f>+K880*I880</f>
        <v>3600</v>
      </c>
      <c r="M880" s="121" t="s">
        <v>771</v>
      </c>
      <c r="N880" s="79" t="s">
        <v>2100</v>
      </c>
      <c r="O880" s="79">
        <v>20</v>
      </c>
      <c r="P880" s="23" t="s">
        <v>2087</v>
      </c>
      <c r="Q880" s="23">
        <v>21</v>
      </c>
      <c r="R880" s="2"/>
      <c r="S880" s="23"/>
      <c r="T880" s="7">
        <v>6765</v>
      </c>
      <c r="U880" s="7" t="s">
        <v>1669</v>
      </c>
      <c r="V880" s="7">
        <v>6220</v>
      </c>
      <c r="W880" s="7" t="s">
        <v>1281</v>
      </c>
      <c r="X880" s="18"/>
      <c r="Y880" s="17"/>
      <c r="Z880" s="18"/>
      <c r="AA880" s="18"/>
      <c r="AB880" s="7" t="s">
        <v>1052</v>
      </c>
      <c r="AC880" s="8" t="s">
        <v>726</v>
      </c>
      <c r="AD880" s="8"/>
      <c r="AE880" s="8" t="s">
        <v>726</v>
      </c>
      <c r="AF880" s="8"/>
      <c r="AG880" s="8" t="s">
        <v>726</v>
      </c>
      <c r="AH880" s="8" t="s">
        <v>726</v>
      </c>
      <c r="AI880" s="8" t="s">
        <v>726</v>
      </c>
      <c r="AJ880" s="8" t="s">
        <v>726</v>
      </c>
      <c r="AK880" s="8" t="s">
        <v>726</v>
      </c>
      <c r="AL880" s="8" t="s">
        <v>726</v>
      </c>
      <c r="AM880" s="3"/>
      <c r="AN880" s="3"/>
      <c r="AO880" s="3"/>
      <c r="AP880" s="3"/>
      <c r="AQ880" s="8"/>
      <c r="AR880" s="8"/>
      <c r="AS880" s="8"/>
      <c r="AT880" s="8"/>
      <c r="AU880" s="8"/>
      <c r="AV880" s="8"/>
      <c r="AX880" s="144">
        <v>26.498645624779179</v>
      </c>
    </row>
    <row r="881" spans="1:50" s="10" customFormat="1" ht="25.5">
      <c r="A881" s="24"/>
      <c r="B881" s="27">
        <v>866</v>
      </c>
      <c r="C881" s="38">
        <v>634</v>
      </c>
      <c r="D881" s="53">
        <v>545</v>
      </c>
      <c r="E881" s="39">
        <v>0.79999999999999993</v>
      </c>
      <c r="F881" s="39">
        <v>0.82013888888888886</v>
      </c>
      <c r="G881" s="40" t="s">
        <v>68</v>
      </c>
      <c r="H881" s="40" t="s">
        <v>105</v>
      </c>
      <c r="I881" s="38">
        <v>15</v>
      </c>
      <c r="J881" s="41">
        <v>19</v>
      </c>
      <c r="K881" s="35">
        <v>67</v>
      </c>
      <c r="L881" s="36">
        <f>+K881*I881</f>
        <v>1005</v>
      </c>
      <c r="M881" s="121" t="s">
        <v>771</v>
      </c>
      <c r="N881" s="79" t="s">
        <v>2100</v>
      </c>
      <c r="O881" s="79">
        <v>20</v>
      </c>
      <c r="P881" s="23" t="s">
        <v>2087</v>
      </c>
      <c r="Q881" s="23">
        <v>21</v>
      </c>
      <c r="R881" s="23"/>
      <c r="S881" s="23"/>
      <c r="T881" s="7">
        <v>6765</v>
      </c>
      <c r="U881" s="7" t="s">
        <v>1669</v>
      </c>
      <c r="V881" s="7">
        <v>6220</v>
      </c>
      <c r="W881" s="7" t="s">
        <v>1281</v>
      </c>
      <c r="X881" s="17"/>
      <c r="Y881" s="18"/>
      <c r="Z881" s="18"/>
      <c r="AA881" s="18"/>
      <c r="AB881" s="8" t="s">
        <v>1047</v>
      </c>
      <c r="AC881" s="3"/>
      <c r="AD881" s="8" t="s">
        <v>726</v>
      </c>
      <c r="AE881" s="8" t="s">
        <v>726</v>
      </c>
      <c r="AF881" s="8"/>
      <c r="AG881" s="8" t="s">
        <v>726</v>
      </c>
      <c r="AH881" s="8" t="s">
        <v>726</v>
      </c>
      <c r="AI881" s="8" t="s">
        <v>726</v>
      </c>
      <c r="AJ881" s="8" t="s">
        <v>726</v>
      </c>
      <c r="AK881" s="8" t="s">
        <v>726</v>
      </c>
      <c r="AL881" s="8" t="s">
        <v>726</v>
      </c>
      <c r="AM881" s="3"/>
      <c r="AN881" s="3"/>
      <c r="AO881" s="3"/>
      <c r="AP881" s="3"/>
      <c r="AQ881" s="8"/>
      <c r="AR881" s="8"/>
      <c r="AS881" s="8"/>
      <c r="AT881" s="8"/>
      <c r="AU881" s="8"/>
      <c r="AV881" s="8"/>
      <c r="AX881" s="144">
        <v>26.498645624779179</v>
      </c>
    </row>
    <row r="882" spans="1:50" s="10" customFormat="1" ht="25.5">
      <c r="A882" s="24"/>
      <c r="B882" s="27">
        <v>867</v>
      </c>
      <c r="C882" s="38">
        <v>634</v>
      </c>
      <c r="D882" s="53">
        <v>540</v>
      </c>
      <c r="E882" s="44">
        <v>0.78125</v>
      </c>
      <c r="F882" s="44">
        <v>0.80486111111111114</v>
      </c>
      <c r="G882" s="40" t="s">
        <v>64</v>
      </c>
      <c r="H882" s="40" t="s">
        <v>105</v>
      </c>
      <c r="I882" s="38">
        <v>20</v>
      </c>
      <c r="J882" s="41">
        <v>19</v>
      </c>
      <c r="K882" s="35">
        <v>67</v>
      </c>
      <c r="L882" s="36">
        <f>+K882*I882</f>
        <v>1340</v>
      </c>
      <c r="M882" s="37" t="s">
        <v>774</v>
      </c>
      <c r="N882" s="23" t="s">
        <v>820</v>
      </c>
      <c r="O882" s="23" t="s">
        <v>821</v>
      </c>
      <c r="P882" s="23" t="s">
        <v>819</v>
      </c>
      <c r="Q882" s="23">
        <v>21</v>
      </c>
      <c r="R882" s="23" t="s">
        <v>1204</v>
      </c>
      <c r="S882" s="24">
        <v>17</v>
      </c>
      <c r="T882" s="7">
        <v>6220</v>
      </c>
      <c r="U882" s="7" t="s">
        <v>1281</v>
      </c>
      <c r="V882" s="7">
        <v>6755</v>
      </c>
      <c r="W882" s="7" t="s">
        <v>1280</v>
      </c>
      <c r="X882" s="17"/>
      <c r="Y882" s="18"/>
      <c r="Z882" s="18"/>
      <c r="AA882" s="18"/>
      <c r="AB882" s="8" t="s">
        <v>1047</v>
      </c>
      <c r="AC882" s="3"/>
      <c r="AD882" s="8" t="s">
        <v>726</v>
      </c>
      <c r="AE882" s="8" t="s">
        <v>726</v>
      </c>
      <c r="AF882" s="8"/>
      <c r="AG882" s="8" t="s">
        <v>726</v>
      </c>
      <c r="AH882" s="8" t="s">
        <v>726</v>
      </c>
      <c r="AI882" s="8" t="s">
        <v>726</v>
      </c>
      <c r="AJ882" s="8" t="s">
        <v>726</v>
      </c>
      <c r="AK882" s="8" t="s">
        <v>726</v>
      </c>
      <c r="AL882" s="8" t="s">
        <v>726</v>
      </c>
      <c r="AM882" s="3"/>
      <c r="AN882" s="3"/>
      <c r="AO882" s="3"/>
      <c r="AP882" s="3"/>
      <c r="AQ882" s="8"/>
      <c r="AR882" s="8"/>
      <c r="AS882" s="8"/>
      <c r="AT882" s="8"/>
      <c r="AU882" s="8"/>
      <c r="AV882" s="8"/>
      <c r="AX882" s="144">
        <v>29.656967739809534</v>
      </c>
    </row>
    <row r="883" spans="1:50" s="10" customFormat="1" ht="25.5">
      <c r="A883" s="24"/>
      <c r="B883" s="27">
        <v>868</v>
      </c>
      <c r="C883" s="38">
        <v>634</v>
      </c>
      <c r="D883" s="38">
        <v>546</v>
      </c>
      <c r="E883" s="39">
        <v>0.82777777777777783</v>
      </c>
      <c r="F883" s="39">
        <v>0.85138888888888886</v>
      </c>
      <c r="G883" s="40" t="s">
        <v>64</v>
      </c>
      <c r="H883" s="31" t="s">
        <v>477</v>
      </c>
      <c r="I883" s="38">
        <v>20</v>
      </c>
      <c r="J883" s="41">
        <v>19</v>
      </c>
      <c r="K883" s="35">
        <v>240</v>
      </c>
      <c r="L883" s="36">
        <f>+K883*I883</f>
        <v>4800</v>
      </c>
      <c r="M883" s="37" t="s">
        <v>774</v>
      </c>
      <c r="N883" s="23" t="s">
        <v>819</v>
      </c>
      <c r="O883" s="23">
        <v>21</v>
      </c>
      <c r="P883" s="23" t="s">
        <v>820</v>
      </c>
      <c r="Q883" s="23" t="s">
        <v>821</v>
      </c>
      <c r="R883" s="23" t="s">
        <v>1204</v>
      </c>
      <c r="S883" s="24">
        <v>17</v>
      </c>
      <c r="T883" s="7">
        <v>6220</v>
      </c>
      <c r="U883" s="7" t="s">
        <v>1281</v>
      </c>
      <c r="V883" s="7">
        <v>6755</v>
      </c>
      <c r="W883" s="7" t="s">
        <v>1280</v>
      </c>
      <c r="X883" s="18"/>
      <c r="Y883" s="17"/>
      <c r="Z883" s="18"/>
      <c r="AA883" s="18"/>
      <c r="AB883" s="7" t="s">
        <v>1052</v>
      </c>
      <c r="AC883" s="8" t="s">
        <v>726</v>
      </c>
      <c r="AD883" s="8"/>
      <c r="AE883" s="8" t="s">
        <v>726</v>
      </c>
      <c r="AF883" s="8"/>
      <c r="AG883" s="8" t="s">
        <v>726</v>
      </c>
      <c r="AH883" s="8" t="s">
        <v>726</v>
      </c>
      <c r="AI883" s="8" t="s">
        <v>726</v>
      </c>
      <c r="AJ883" s="8" t="s">
        <v>726</v>
      </c>
      <c r="AK883" s="8" t="s">
        <v>726</v>
      </c>
      <c r="AL883" s="8" t="s">
        <v>726</v>
      </c>
      <c r="AM883" s="3"/>
      <c r="AN883" s="3"/>
      <c r="AO883" s="3"/>
      <c r="AP883" s="3"/>
      <c r="AQ883" s="8"/>
      <c r="AR883" s="8"/>
      <c r="AS883" s="8"/>
      <c r="AT883" s="8"/>
      <c r="AU883" s="8"/>
      <c r="AV883" s="8"/>
      <c r="AX883" s="144">
        <v>29.656967739809534</v>
      </c>
    </row>
    <row r="884" spans="1:50" s="10" customFormat="1" ht="63.75">
      <c r="A884" s="2"/>
      <c r="B884" s="27">
        <v>869</v>
      </c>
      <c r="C884" s="31">
        <v>637</v>
      </c>
      <c r="D884" s="43">
        <v>745</v>
      </c>
      <c r="E884" s="42">
        <v>0.21527777777777779</v>
      </c>
      <c r="F884" s="42">
        <v>0.23194444444444443</v>
      </c>
      <c r="G884" s="43" t="s">
        <v>988</v>
      </c>
      <c r="H884" s="31" t="s">
        <v>593</v>
      </c>
      <c r="I884" s="33">
        <v>17</v>
      </c>
      <c r="J884" s="34" t="s">
        <v>99</v>
      </c>
      <c r="K884" s="35">
        <v>152</v>
      </c>
      <c r="L884" s="36">
        <f>+K884*I884</f>
        <v>2584</v>
      </c>
      <c r="M884" s="37" t="s">
        <v>1138</v>
      </c>
      <c r="N884" s="23" t="s">
        <v>788</v>
      </c>
      <c r="O884" s="23">
        <v>21</v>
      </c>
      <c r="P884" s="23" t="s">
        <v>943</v>
      </c>
      <c r="Q884" s="23">
        <v>24</v>
      </c>
      <c r="R884" s="23" t="s">
        <v>944</v>
      </c>
      <c r="S884" s="24">
        <v>21</v>
      </c>
      <c r="T884" s="7">
        <v>6290</v>
      </c>
      <c r="U884" s="7" t="s">
        <v>1671</v>
      </c>
      <c r="V884" s="7" t="s">
        <v>1672</v>
      </c>
      <c r="W884" s="7" t="s">
        <v>1673</v>
      </c>
      <c r="X884" s="18"/>
      <c r="Y884" s="17"/>
      <c r="Z884" s="18"/>
      <c r="AA884" s="18"/>
      <c r="AB884" s="7" t="s">
        <v>1748</v>
      </c>
      <c r="AC884" s="3" t="s">
        <v>726</v>
      </c>
      <c r="AD884" s="3"/>
      <c r="AE884" s="3" t="s">
        <v>726</v>
      </c>
      <c r="AF884" s="3"/>
      <c r="AG884" s="3" t="s">
        <v>726</v>
      </c>
      <c r="AH884" s="3" t="s">
        <v>726</v>
      </c>
      <c r="AI884" s="3" t="s">
        <v>726</v>
      </c>
      <c r="AJ884" s="3" t="s">
        <v>726</v>
      </c>
      <c r="AK884" s="3" t="s">
        <v>726</v>
      </c>
      <c r="AL884" s="3" t="s">
        <v>726</v>
      </c>
      <c r="AM884" s="3"/>
      <c r="AN884" s="3"/>
      <c r="AO884" s="3"/>
      <c r="AP884" s="3"/>
      <c r="AQ884" s="3"/>
      <c r="AR884" s="3"/>
      <c r="AS884" s="3"/>
      <c r="AT884" s="3"/>
      <c r="AU884" s="3"/>
      <c r="AV884" s="3"/>
      <c r="AX884" s="144">
        <v>70.430000000000007</v>
      </c>
    </row>
    <row r="885" spans="1:50" s="10" customFormat="1" ht="51">
      <c r="A885" s="2"/>
      <c r="B885" s="27">
        <v>870</v>
      </c>
      <c r="C885" s="31">
        <v>637</v>
      </c>
      <c r="D885" s="43">
        <v>751</v>
      </c>
      <c r="E885" s="42">
        <v>0.21527777777777779</v>
      </c>
      <c r="F885" s="42">
        <v>0.23194444444444443</v>
      </c>
      <c r="G885" s="31" t="s">
        <v>592</v>
      </c>
      <c r="H885" s="31" t="s">
        <v>808</v>
      </c>
      <c r="I885" s="33">
        <v>17</v>
      </c>
      <c r="J885" s="34" t="s">
        <v>99</v>
      </c>
      <c r="K885" s="35">
        <v>67</v>
      </c>
      <c r="L885" s="36">
        <f>+K885*I885</f>
        <v>1139</v>
      </c>
      <c r="M885" s="37" t="s">
        <v>1138</v>
      </c>
      <c r="N885" s="23" t="s">
        <v>788</v>
      </c>
      <c r="O885" s="23">
        <v>21</v>
      </c>
      <c r="P885" s="23" t="s">
        <v>943</v>
      </c>
      <c r="Q885" s="23">
        <v>24</v>
      </c>
      <c r="R885" s="23" t="s">
        <v>944</v>
      </c>
      <c r="S885" s="24">
        <v>21</v>
      </c>
      <c r="T885" s="7">
        <v>6290</v>
      </c>
      <c r="U885" s="7" t="s">
        <v>1671</v>
      </c>
      <c r="V885" s="7" t="s">
        <v>1672</v>
      </c>
      <c r="W885" s="7" t="s">
        <v>1673</v>
      </c>
      <c r="X885" s="17"/>
      <c r="Y885" s="18"/>
      <c r="Z885" s="18"/>
      <c r="AA885" s="18"/>
      <c r="AB885" s="7" t="s">
        <v>1746</v>
      </c>
      <c r="AC885" s="3"/>
      <c r="AD885" s="3" t="s">
        <v>726</v>
      </c>
      <c r="AE885" s="3" t="s">
        <v>726</v>
      </c>
      <c r="AF885" s="3"/>
      <c r="AG885" s="3" t="s">
        <v>726</v>
      </c>
      <c r="AH885" s="3" t="s">
        <v>726</v>
      </c>
      <c r="AI885" s="3" t="s">
        <v>726</v>
      </c>
      <c r="AJ885" s="3" t="s">
        <v>726</v>
      </c>
      <c r="AK885" s="3" t="s">
        <v>726</v>
      </c>
      <c r="AL885" s="3" t="s">
        <v>726</v>
      </c>
      <c r="AM885" s="3"/>
      <c r="AN885" s="3"/>
      <c r="AO885" s="3"/>
      <c r="AP885" s="3"/>
      <c r="AQ885" s="3"/>
      <c r="AR885" s="3"/>
      <c r="AS885" s="3"/>
      <c r="AT885" s="3"/>
      <c r="AU885" s="3"/>
      <c r="AV885" s="3"/>
      <c r="AX885" s="144">
        <v>70.430000000000007</v>
      </c>
    </row>
    <row r="886" spans="1:50" s="10" customFormat="1" ht="63.75">
      <c r="A886" s="24"/>
      <c r="B886" s="27">
        <v>871</v>
      </c>
      <c r="C886" s="31">
        <v>637</v>
      </c>
      <c r="D886" s="43">
        <v>639</v>
      </c>
      <c r="E886" s="32">
        <v>0.2986111111111111</v>
      </c>
      <c r="F886" s="32">
        <v>0.31944444444444448</v>
      </c>
      <c r="G886" s="31" t="s">
        <v>596</v>
      </c>
      <c r="H886" s="31" t="s">
        <v>809</v>
      </c>
      <c r="I886" s="33">
        <v>17</v>
      </c>
      <c r="J886" s="34" t="s">
        <v>99</v>
      </c>
      <c r="K886" s="74">
        <v>0</v>
      </c>
      <c r="L886" s="36">
        <f>+K886*I886</f>
        <v>0</v>
      </c>
      <c r="M886" s="37" t="s">
        <v>1138</v>
      </c>
      <c r="N886" s="23" t="s">
        <v>788</v>
      </c>
      <c r="O886" s="23">
        <v>21</v>
      </c>
      <c r="P886" s="23" t="s">
        <v>943</v>
      </c>
      <c r="Q886" s="23">
        <v>24</v>
      </c>
      <c r="R886" s="23" t="s">
        <v>944</v>
      </c>
      <c r="S886" s="24">
        <v>21</v>
      </c>
      <c r="T886" s="7">
        <v>6290</v>
      </c>
      <c r="U886" s="7" t="s">
        <v>1671</v>
      </c>
      <c r="V886" s="7" t="s">
        <v>1672</v>
      </c>
      <c r="W886" s="7" t="s">
        <v>1673</v>
      </c>
      <c r="X886" s="17"/>
      <c r="Y886" s="18"/>
      <c r="Z886" s="18"/>
      <c r="AA886" s="18"/>
      <c r="AB886" s="7" t="s">
        <v>1749</v>
      </c>
      <c r="AC886" s="3"/>
      <c r="AD886" s="3" t="s">
        <v>726</v>
      </c>
      <c r="AE886" s="3" t="s">
        <v>726</v>
      </c>
      <c r="AF886" s="3"/>
      <c r="AG886" s="3" t="s">
        <v>726</v>
      </c>
      <c r="AH886" s="3" t="s">
        <v>726</v>
      </c>
      <c r="AI886" s="3" t="s">
        <v>726</v>
      </c>
      <c r="AJ886" s="3" t="s">
        <v>726</v>
      </c>
      <c r="AK886" s="3" t="s">
        <v>726</v>
      </c>
      <c r="AL886" s="3"/>
      <c r="AM886" s="3"/>
      <c r="AN886" s="3"/>
      <c r="AO886" s="3"/>
      <c r="AP886" s="3"/>
      <c r="AQ886" s="3"/>
      <c r="AR886" s="3"/>
      <c r="AS886" s="3"/>
      <c r="AT886" s="3"/>
      <c r="AU886" s="3"/>
      <c r="AV886" s="3"/>
      <c r="AX886" s="144">
        <v>70.430000000000007</v>
      </c>
    </row>
    <row r="887" spans="1:50" s="10" customFormat="1" ht="63.75">
      <c r="A887" s="2"/>
      <c r="B887" s="27">
        <v>872</v>
      </c>
      <c r="C887" s="31">
        <v>637</v>
      </c>
      <c r="D887" s="31">
        <v>629</v>
      </c>
      <c r="E887" s="42">
        <v>0.29166666666666669</v>
      </c>
      <c r="F887" s="42">
        <v>0.30833333333333335</v>
      </c>
      <c r="G887" s="31" t="s">
        <v>594</v>
      </c>
      <c r="H887" s="31" t="s">
        <v>595</v>
      </c>
      <c r="I887" s="33">
        <v>17</v>
      </c>
      <c r="J887" s="34" t="s">
        <v>99</v>
      </c>
      <c r="K887" s="35">
        <v>73</v>
      </c>
      <c r="L887" s="36">
        <f>+K887*I887</f>
        <v>1241</v>
      </c>
      <c r="M887" s="37" t="s">
        <v>1138</v>
      </c>
      <c r="N887" s="23" t="s">
        <v>788</v>
      </c>
      <c r="O887" s="23">
        <v>21</v>
      </c>
      <c r="P887" s="23" t="s">
        <v>943</v>
      </c>
      <c r="Q887" s="23">
        <v>24</v>
      </c>
      <c r="R887" s="23" t="s">
        <v>944</v>
      </c>
      <c r="S887" s="24">
        <v>21</v>
      </c>
      <c r="T887" s="7">
        <v>6290</v>
      </c>
      <c r="U887" s="7" t="s">
        <v>1671</v>
      </c>
      <c r="V887" s="7" t="s">
        <v>1672</v>
      </c>
      <c r="W887" s="7" t="s">
        <v>1673</v>
      </c>
      <c r="X887" s="18"/>
      <c r="Y887" s="17"/>
      <c r="Z887" s="18"/>
      <c r="AA887" s="18"/>
      <c r="AB887" s="7" t="s">
        <v>1750</v>
      </c>
      <c r="AC887" s="3" t="s">
        <v>726</v>
      </c>
      <c r="AD887" s="3"/>
      <c r="AE887" s="3" t="s">
        <v>726</v>
      </c>
      <c r="AF887" s="3"/>
      <c r="AG887" s="3" t="s">
        <v>726</v>
      </c>
      <c r="AH887" s="3" t="s">
        <v>726</v>
      </c>
      <c r="AI887" s="3" t="s">
        <v>726</v>
      </c>
      <c r="AJ887" s="3" t="s">
        <v>726</v>
      </c>
      <c r="AK887" s="3" t="s">
        <v>726</v>
      </c>
      <c r="AL887" s="3"/>
      <c r="AM887" s="3"/>
      <c r="AN887" s="3"/>
      <c r="AO887" s="3"/>
      <c r="AP887" s="3"/>
      <c r="AQ887" s="3"/>
      <c r="AR887" s="3"/>
      <c r="AS887" s="3"/>
      <c r="AT887" s="3"/>
      <c r="AU887" s="3"/>
      <c r="AV887" s="3"/>
      <c r="AX887" s="144">
        <v>70.430000000000007</v>
      </c>
    </row>
    <row r="888" spans="1:50" s="10" customFormat="1" ht="25.5">
      <c r="A888" s="2"/>
      <c r="B888" s="27">
        <v>873</v>
      </c>
      <c r="C888" s="31">
        <v>637</v>
      </c>
      <c r="D888" s="31">
        <v>746</v>
      </c>
      <c r="E888" s="32">
        <v>0.53125</v>
      </c>
      <c r="F888" s="32">
        <v>0.54166666666666663</v>
      </c>
      <c r="G888" s="31" t="s">
        <v>462</v>
      </c>
      <c r="H888" s="31" t="s">
        <v>463</v>
      </c>
      <c r="I888" s="33">
        <v>9</v>
      </c>
      <c r="J888" s="34" t="s">
        <v>116</v>
      </c>
      <c r="K888" s="35">
        <f>34+34+36+34</f>
        <v>138</v>
      </c>
      <c r="L888" s="36">
        <f>+K888*I888</f>
        <v>1242</v>
      </c>
      <c r="M888" s="37" t="s">
        <v>775</v>
      </c>
      <c r="N888" s="23" t="s">
        <v>858</v>
      </c>
      <c r="O888" s="23">
        <v>9</v>
      </c>
      <c r="P888" s="23" t="s">
        <v>1205</v>
      </c>
      <c r="Q888" s="23">
        <v>9</v>
      </c>
      <c r="R888" s="23"/>
      <c r="S888" s="23"/>
      <c r="T888" s="7">
        <v>6655</v>
      </c>
      <c r="U888" s="7" t="s">
        <v>1662</v>
      </c>
      <c r="V888" s="7">
        <v>6640</v>
      </c>
      <c r="W888" s="7" t="s">
        <v>1661</v>
      </c>
      <c r="X888" s="18"/>
      <c r="Y888" s="17"/>
      <c r="Z888" s="17"/>
      <c r="AA888" s="17"/>
      <c r="AB888" s="7" t="s">
        <v>1094</v>
      </c>
      <c r="AC888" s="3"/>
      <c r="AD888" s="3"/>
      <c r="AE888" s="3"/>
      <c r="AF888" s="3" t="s">
        <v>726</v>
      </c>
      <c r="AG888" s="3"/>
      <c r="AH888" s="3" t="s">
        <v>726</v>
      </c>
      <c r="AI888" s="3"/>
      <c r="AJ888" s="3" t="s">
        <v>726</v>
      </c>
      <c r="AK888" s="3" t="s">
        <v>726</v>
      </c>
      <c r="AL888" s="3" t="s">
        <v>726</v>
      </c>
      <c r="AM888" s="3"/>
      <c r="AN888" s="3"/>
      <c r="AO888" s="3"/>
      <c r="AP888" s="3"/>
      <c r="AQ888" s="3"/>
      <c r="AR888" s="3"/>
      <c r="AS888" s="3"/>
      <c r="AT888" s="3"/>
      <c r="AU888" s="3"/>
      <c r="AV888" s="3"/>
      <c r="AX888" s="144">
        <v>27</v>
      </c>
    </row>
    <row r="889" spans="1:50" s="10" customFormat="1" ht="63.75">
      <c r="A889" s="2"/>
      <c r="B889" s="27">
        <v>874</v>
      </c>
      <c r="C889" s="31">
        <v>637</v>
      </c>
      <c r="D889" s="31">
        <v>742</v>
      </c>
      <c r="E889" s="42">
        <v>0.53125</v>
      </c>
      <c r="F889" s="42">
        <v>0.5444444444444444</v>
      </c>
      <c r="G889" s="31" t="s">
        <v>597</v>
      </c>
      <c r="H889" s="31" t="s">
        <v>593</v>
      </c>
      <c r="I889" s="33">
        <v>17</v>
      </c>
      <c r="J889" s="34" t="s">
        <v>99</v>
      </c>
      <c r="K889" s="35">
        <v>152</v>
      </c>
      <c r="L889" s="36">
        <f>+K889*I889</f>
        <v>2584</v>
      </c>
      <c r="M889" s="37" t="s">
        <v>1138</v>
      </c>
      <c r="N889" s="23" t="s">
        <v>788</v>
      </c>
      <c r="O889" s="23">
        <v>21</v>
      </c>
      <c r="P889" s="23" t="s">
        <v>943</v>
      </c>
      <c r="Q889" s="23">
        <v>24</v>
      </c>
      <c r="R889" s="23" t="s">
        <v>944</v>
      </c>
      <c r="S889" s="24">
        <v>21</v>
      </c>
      <c r="T889" s="7" t="s">
        <v>1672</v>
      </c>
      <c r="U889" s="7" t="s">
        <v>1673</v>
      </c>
      <c r="V889" s="7">
        <v>6290</v>
      </c>
      <c r="W889" s="7" t="s">
        <v>1671</v>
      </c>
      <c r="X889" s="18"/>
      <c r="Y889" s="17"/>
      <c r="Z889" s="18"/>
      <c r="AA889" s="18"/>
      <c r="AB889" s="7" t="s">
        <v>1748</v>
      </c>
      <c r="AC889" s="3" t="s">
        <v>726</v>
      </c>
      <c r="AD889" s="3"/>
      <c r="AE889" s="3" t="s">
        <v>726</v>
      </c>
      <c r="AF889" s="3"/>
      <c r="AG889" s="3" t="s">
        <v>726</v>
      </c>
      <c r="AH889" s="3" t="s">
        <v>726</v>
      </c>
      <c r="AI889" s="3" t="s">
        <v>726</v>
      </c>
      <c r="AJ889" s="3" t="s">
        <v>726</v>
      </c>
      <c r="AK889" s="3" t="s">
        <v>726</v>
      </c>
      <c r="AL889" s="3" t="s">
        <v>726</v>
      </c>
      <c r="AM889" s="3"/>
      <c r="AN889" s="3"/>
      <c r="AO889" s="3"/>
      <c r="AP889" s="3"/>
      <c r="AQ889" s="3"/>
      <c r="AR889" s="3"/>
      <c r="AS889" s="3"/>
      <c r="AT889" s="3"/>
      <c r="AU889" s="3"/>
      <c r="AV889" s="3"/>
      <c r="AX889" s="144">
        <v>70.430000000000007</v>
      </c>
    </row>
    <row r="890" spans="1:50" s="10" customFormat="1" ht="51">
      <c r="A890" s="2"/>
      <c r="B890" s="27">
        <v>875</v>
      </c>
      <c r="C890" s="31">
        <v>637</v>
      </c>
      <c r="D890" s="43">
        <v>748</v>
      </c>
      <c r="E890" s="42">
        <v>0.53125</v>
      </c>
      <c r="F890" s="42">
        <v>0.5444444444444444</v>
      </c>
      <c r="G890" s="31" t="s">
        <v>597</v>
      </c>
      <c r="H890" s="31" t="s">
        <v>808</v>
      </c>
      <c r="I890" s="33">
        <v>17</v>
      </c>
      <c r="J890" s="34" t="s">
        <v>99</v>
      </c>
      <c r="K890" s="35">
        <v>67</v>
      </c>
      <c r="L890" s="36">
        <f>+K890*I890</f>
        <v>1139</v>
      </c>
      <c r="M890" s="37" t="s">
        <v>1138</v>
      </c>
      <c r="N890" s="23" t="s">
        <v>788</v>
      </c>
      <c r="O890" s="23">
        <v>21</v>
      </c>
      <c r="P890" s="23" t="s">
        <v>943</v>
      </c>
      <c r="Q890" s="23">
        <v>24</v>
      </c>
      <c r="R890" s="23" t="s">
        <v>944</v>
      </c>
      <c r="S890" s="24">
        <v>21</v>
      </c>
      <c r="T890" s="7" t="s">
        <v>1672</v>
      </c>
      <c r="U890" s="7" t="s">
        <v>1673</v>
      </c>
      <c r="V890" s="7">
        <v>6290</v>
      </c>
      <c r="W890" s="7" t="s">
        <v>1671</v>
      </c>
      <c r="X890" s="17"/>
      <c r="Y890" s="18"/>
      <c r="Z890" s="18"/>
      <c r="AA890" s="18"/>
      <c r="AB890" s="7" t="s">
        <v>1746</v>
      </c>
      <c r="AC890" s="3"/>
      <c r="AD890" s="3" t="s">
        <v>726</v>
      </c>
      <c r="AE890" s="3" t="s">
        <v>726</v>
      </c>
      <c r="AF890" s="3"/>
      <c r="AG890" s="3" t="s">
        <v>726</v>
      </c>
      <c r="AH890" s="3" t="s">
        <v>726</v>
      </c>
      <c r="AI890" s="3" t="s">
        <v>726</v>
      </c>
      <c r="AJ890" s="3" t="s">
        <v>726</v>
      </c>
      <c r="AK890" s="3" t="s">
        <v>726</v>
      </c>
      <c r="AL890" s="3" t="s">
        <v>726</v>
      </c>
      <c r="AM890" s="3"/>
      <c r="AN890" s="3"/>
      <c r="AO890" s="3"/>
      <c r="AP890" s="3"/>
      <c r="AQ890" s="3"/>
      <c r="AR890" s="3"/>
      <c r="AS890" s="3"/>
      <c r="AT890" s="3"/>
      <c r="AU890" s="3"/>
      <c r="AV890" s="3"/>
      <c r="AX890" s="144">
        <v>70.430000000000007</v>
      </c>
    </row>
    <row r="891" spans="1:50" s="10" customFormat="1" ht="25.5">
      <c r="A891" s="2"/>
      <c r="B891" s="27">
        <v>876</v>
      </c>
      <c r="C891" s="31">
        <v>637</v>
      </c>
      <c r="D891" s="31">
        <v>738</v>
      </c>
      <c r="E891" s="32">
        <v>0.55902777777777779</v>
      </c>
      <c r="F891" s="32">
        <v>0.56944444444444442</v>
      </c>
      <c r="G891" s="31" t="s">
        <v>315</v>
      </c>
      <c r="H891" s="31" t="s">
        <v>103</v>
      </c>
      <c r="I891" s="33">
        <v>9</v>
      </c>
      <c r="J891" s="34" t="s">
        <v>99</v>
      </c>
      <c r="K891" s="35">
        <v>174</v>
      </c>
      <c r="L891" s="36">
        <f>+K891*I891</f>
        <v>1566</v>
      </c>
      <c r="M891" s="37" t="s">
        <v>771</v>
      </c>
      <c r="N891" s="23" t="s">
        <v>1004</v>
      </c>
      <c r="O891" s="23">
        <v>23</v>
      </c>
      <c r="P891" s="23" t="s">
        <v>786</v>
      </c>
      <c r="Q891" s="23">
        <v>21</v>
      </c>
      <c r="R891" s="23" t="s">
        <v>864</v>
      </c>
      <c r="S891" s="24">
        <v>23</v>
      </c>
      <c r="T891" s="7">
        <v>6655</v>
      </c>
      <c r="U891" s="7" t="s">
        <v>1662</v>
      </c>
      <c r="V891" s="7">
        <v>6640</v>
      </c>
      <c r="W891" s="7" t="s">
        <v>1661</v>
      </c>
      <c r="X891" s="18"/>
      <c r="Y891" s="17"/>
      <c r="Z891" s="17"/>
      <c r="AA891" s="17"/>
      <c r="AB891" s="7" t="s">
        <v>1042</v>
      </c>
      <c r="AC891" s="3"/>
      <c r="AD891" s="3"/>
      <c r="AE891" s="3"/>
      <c r="AF891" s="8" t="s">
        <v>726</v>
      </c>
      <c r="AG891" s="8" t="s">
        <v>726</v>
      </c>
      <c r="AH891" s="8" t="s">
        <v>726</v>
      </c>
      <c r="AI891" s="8" t="s">
        <v>726</v>
      </c>
      <c r="AJ891" s="8" t="s">
        <v>726</v>
      </c>
      <c r="AK891" s="8" t="s">
        <v>726</v>
      </c>
      <c r="AL891" s="3"/>
      <c r="AM891" s="3"/>
      <c r="AN891" s="3"/>
      <c r="AO891" s="3"/>
      <c r="AP891" s="3"/>
      <c r="AQ891" s="8"/>
      <c r="AR891" s="8"/>
      <c r="AS891" s="8"/>
      <c r="AT891" s="8"/>
      <c r="AU891" s="8"/>
      <c r="AV891" s="3"/>
      <c r="AX891" s="144">
        <v>18</v>
      </c>
    </row>
    <row r="892" spans="1:50" s="10" customFormat="1" ht="25.5">
      <c r="A892" s="2"/>
      <c r="B892" s="27">
        <v>877</v>
      </c>
      <c r="C892" s="31">
        <v>637</v>
      </c>
      <c r="D892" s="31">
        <v>748</v>
      </c>
      <c r="E892" s="32">
        <v>0.72916666666666663</v>
      </c>
      <c r="F892" s="32">
        <v>0.73958333333333337</v>
      </c>
      <c r="G892" s="31" t="s">
        <v>315</v>
      </c>
      <c r="H892" s="31" t="s">
        <v>103</v>
      </c>
      <c r="I892" s="33">
        <v>9</v>
      </c>
      <c r="J892" s="34" t="s">
        <v>99</v>
      </c>
      <c r="K892" s="35">
        <v>174</v>
      </c>
      <c r="L892" s="36">
        <f>+K892*I892</f>
        <v>1566</v>
      </c>
      <c r="M892" s="37" t="s">
        <v>771</v>
      </c>
      <c r="N892" s="23" t="s">
        <v>1004</v>
      </c>
      <c r="O892" s="23">
        <v>23</v>
      </c>
      <c r="P892" s="23" t="s">
        <v>863</v>
      </c>
      <c r="Q892" s="23">
        <v>23</v>
      </c>
      <c r="R892" s="23" t="s">
        <v>786</v>
      </c>
      <c r="S892" s="24">
        <v>21</v>
      </c>
      <c r="T892" s="7">
        <v>6655</v>
      </c>
      <c r="U892" s="7" t="s">
        <v>1662</v>
      </c>
      <c r="V892" s="7">
        <v>6640</v>
      </c>
      <c r="W892" s="7" t="s">
        <v>1661</v>
      </c>
      <c r="X892" s="18"/>
      <c r="Y892" s="17"/>
      <c r="Z892" s="17"/>
      <c r="AA892" s="17"/>
      <c r="AB892" s="7" t="s">
        <v>1042</v>
      </c>
      <c r="AC892" s="3"/>
      <c r="AD892" s="3"/>
      <c r="AE892" s="3"/>
      <c r="AF892" s="8" t="s">
        <v>726</v>
      </c>
      <c r="AG892" s="8" t="s">
        <v>726</v>
      </c>
      <c r="AH892" s="8" t="s">
        <v>726</v>
      </c>
      <c r="AI892" s="8" t="s">
        <v>726</v>
      </c>
      <c r="AJ892" s="8" t="s">
        <v>726</v>
      </c>
      <c r="AK892" s="8" t="s">
        <v>726</v>
      </c>
      <c r="AL892" s="3"/>
      <c r="AM892" s="3"/>
      <c r="AN892" s="3"/>
      <c r="AO892" s="3"/>
      <c r="AP892" s="3"/>
      <c r="AQ892" s="8"/>
      <c r="AR892" s="8"/>
      <c r="AS892" s="8"/>
      <c r="AT892" s="8"/>
      <c r="AU892" s="8"/>
      <c r="AV892" s="3"/>
      <c r="AX892" s="144">
        <v>53.22</v>
      </c>
    </row>
    <row r="893" spans="1:50" s="10" customFormat="1" ht="25.5">
      <c r="A893" s="2"/>
      <c r="B893" s="27">
        <v>878</v>
      </c>
      <c r="C893" s="31">
        <v>637</v>
      </c>
      <c r="D893" s="31">
        <v>751</v>
      </c>
      <c r="E893" s="32">
        <v>0.7402777777777777</v>
      </c>
      <c r="F893" s="32">
        <v>0.75</v>
      </c>
      <c r="G893" s="31" t="s">
        <v>314</v>
      </c>
      <c r="H893" s="31" t="s">
        <v>103</v>
      </c>
      <c r="I893" s="33">
        <v>9</v>
      </c>
      <c r="J893" s="34" t="s">
        <v>99</v>
      </c>
      <c r="K893" s="35">
        <v>174</v>
      </c>
      <c r="L893" s="36">
        <f>+K893*I893</f>
        <v>1566</v>
      </c>
      <c r="M893" s="37" t="s">
        <v>771</v>
      </c>
      <c r="N893" s="23" t="s">
        <v>1004</v>
      </c>
      <c r="O893" s="23">
        <v>23</v>
      </c>
      <c r="P893" s="23" t="s">
        <v>786</v>
      </c>
      <c r="Q893" s="23">
        <v>21</v>
      </c>
      <c r="R893" s="23"/>
      <c r="S893" s="23"/>
      <c r="T893" s="7">
        <v>6640</v>
      </c>
      <c r="U893" s="7" t="s">
        <v>1661</v>
      </c>
      <c r="V893" s="7">
        <v>6655</v>
      </c>
      <c r="W893" s="7" t="s">
        <v>1662</v>
      </c>
      <c r="X893" s="18"/>
      <c r="Y893" s="17"/>
      <c r="Z893" s="17"/>
      <c r="AA893" s="17"/>
      <c r="AB893" s="7" t="s">
        <v>1042</v>
      </c>
      <c r="AC893" s="3"/>
      <c r="AD893" s="3"/>
      <c r="AE893" s="3"/>
      <c r="AF893" s="8" t="s">
        <v>726</v>
      </c>
      <c r="AG893" s="8" t="s">
        <v>726</v>
      </c>
      <c r="AH893" s="8" t="s">
        <v>726</v>
      </c>
      <c r="AI893" s="8" t="s">
        <v>726</v>
      </c>
      <c r="AJ893" s="8" t="s">
        <v>726</v>
      </c>
      <c r="AK893" s="8" t="s">
        <v>726</v>
      </c>
      <c r="AL893" s="3"/>
      <c r="AM893" s="3"/>
      <c r="AN893" s="3"/>
      <c r="AO893" s="3"/>
      <c r="AP893" s="3"/>
      <c r="AQ893" s="8"/>
      <c r="AR893" s="8"/>
      <c r="AS893" s="8"/>
      <c r="AT893" s="8"/>
      <c r="AU893" s="8"/>
      <c r="AV893" s="3"/>
      <c r="AX893" s="144">
        <v>18</v>
      </c>
    </row>
    <row r="894" spans="1:50" s="10" customFormat="1" ht="76.5">
      <c r="A894" s="24"/>
      <c r="B894" s="27">
        <v>879</v>
      </c>
      <c r="C894" s="31">
        <v>637</v>
      </c>
      <c r="D894" s="43">
        <v>640</v>
      </c>
      <c r="E894" s="32">
        <v>0.75347222222222221</v>
      </c>
      <c r="F894" s="32">
        <v>0.76666666666666661</v>
      </c>
      <c r="G894" s="31" t="s">
        <v>598</v>
      </c>
      <c r="H894" s="31" t="s">
        <v>599</v>
      </c>
      <c r="I894" s="33">
        <v>17</v>
      </c>
      <c r="J894" s="34" t="s">
        <v>99</v>
      </c>
      <c r="K894" s="35">
        <v>73</v>
      </c>
      <c r="L894" s="36">
        <f>+K894*I894</f>
        <v>1241</v>
      </c>
      <c r="M894" s="37" t="s">
        <v>1138</v>
      </c>
      <c r="N894" s="23" t="s">
        <v>788</v>
      </c>
      <c r="O894" s="23">
        <v>21</v>
      </c>
      <c r="P894" s="23" t="s">
        <v>943</v>
      </c>
      <c r="Q894" s="23">
        <v>24</v>
      </c>
      <c r="R894" s="23" t="s">
        <v>944</v>
      </c>
      <c r="S894" s="24">
        <v>21</v>
      </c>
      <c r="T894" s="7" t="s">
        <v>1672</v>
      </c>
      <c r="U894" s="7" t="s">
        <v>1673</v>
      </c>
      <c r="V894" s="7">
        <v>6290</v>
      </c>
      <c r="W894" s="7" t="s">
        <v>1671</v>
      </c>
      <c r="X894" s="17"/>
      <c r="Y894" s="17"/>
      <c r="Z894" s="17"/>
      <c r="AA894" s="17"/>
      <c r="AB894" s="7" t="s">
        <v>1747</v>
      </c>
      <c r="AC894" s="3" t="s">
        <v>726</v>
      </c>
      <c r="AD894" s="3" t="s">
        <v>726</v>
      </c>
      <c r="AE894" s="3" t="s">
        <v>726</v>
      </c>
      <c r="AF894" s="3"/>
      <c r="AG894" s="3" t="s">
        <v>726</v>
      </c>
      <c r="AH894" s="3" t="s">
        <v>726</v>
      </c>
      <c r="AI894" s="3" t="s">
        <v>726</v>
      </c>
      <c r="AJ894" s="3" t="s">
        <v>726</v>
      </c>
      <c r="AK894" s="3" t="s">
        <v>726</v>
      </c>
      <c r="AL894" s="3"/>
      <c r="AM894" s="3"/>
      <c r="AN894" s="3"/>
      <c r="AO894" s="3"/>
      <c r="AP894" s="3"/>
      <c r="AQ894" s="3"/>
      <c r="AR894" s="3"/>
      <c r="AS894" s="3"/>
      <c r="AT894" s="3"/>
      <c r="AU894" s="3"/>
      <c r="AV894" s="3"/>
      <c r="AX894" s="144">
        <v>70.430000000000007</v>
      </c>
    </row>
    <row r="895" spans="1:50" s="10" customFormat="1" ht="45">
      <c r="A895" s="2" t="s">
        <v>1105</v>
      </c>
      <c r="B895" s="27">
        <v>880</v>
      </c>
      <c r="C895" s="31">
        <v>640</v>
      </c>
      <c r="D895" s="31">
        <v>630</v>
      </c>
      <c r="E895" s="32">
        <v>0.58333333333333337</v>
      </c>
      <c r="F895" s="32">
        <v>0.60763888888888895</v>
      </c>
      <c r="G895" s="31" t="s">
        <v>120</v>
      </c>
      <c r="H895" s="31" t="s">
        <v>119</v>
      </c>
      <c r="I895" s="52">
        <v>18.5</v>
      </c>
      <c r="J895" s="34" t="s">
        <v>125</v>
      </c>
      <c r="K895" s="35">
        <v>36</v>
      </c>
      <c r="L895" s="36">
        <f>+K895*I895</f>
        <v>666</v>
      </c>
      <c r="M895" s="37" t="s">
        <v>1138</v>
      </c>
      <c r="N895" s="23" t="s">
        <v>943</v>
      </c>
      <c r="O895" s="23">
        <v>24</v>
      </c>
      <c r="P895" s="23" t="s">
        <v>788</v>
      </c>
      <c r="Q895" s="23">
        <v>21</v>
      </c>
      <c r="R895" s="23" t="s">
        <v>944</v>
      </c>
      <c r="S895" s="24">
        <v>21</v>
      </c>
      <c r="T895" s="7">
        <v>6300</v>
      </c>
      <c r="U895" s="7" t="s">
        <v>1282</v>
      </c>
      <c r="V895" s="7">
        <v>6328</v>
      </c>
      <c r="W895" s="7" t="s">
        <v>1283</v>
      </c>
      <c r="X895" s="18"/>
      <c r="Y895" s="17"/>
      <c r="Z895" s="17"/>
      <c r="AA895" s="17"/>
      <c r="AB895" s="8" t="s">
        <v>1060</v>
      </c>
      <c r="AC895" s="3"/>
      <c r="AD895" s="3"/>
      <c r="AE895" s="3"/>
      <c r="AF895" s="8" t="s">
        <v>726</v>
      </c>
      <c r="AG895" s="8"/>
      <c r="AH895" s="8"/>
      <c r="AI895" s="8"/>
      <c r="AJ895" s="8"/>
      <c r="AK895" s="8" t="s">
        <v>726</v>
      </c>
      <c r="AL895" s="3"/>
      <c r="AM895" s="3"/>
      <c r="AN895" s="3"/>
      <c r="AO895" s="3"/>
      <c r="AP895" s="3"/>
      <c r="AQ895" s="3"/>
      <c r="AR895" s="3"/>
      <c r="AS895" s="3"/>
      <c r="AT895" s="3"/>
      <c r="AU895" s="3"/>
      <c r="AV895" s="3"/>
      <c r="AX895" s="144">
        <v>37</v>
      </c>
    </row>
    <row r="896" spans="1:50" s="10" customFormat="1" ht="45">
      <c r="A896" s="24"/>
      <c r="B896" s="27">
        <v>881</v>
      </c>
      <c r="C896" s="31">
        <v>641</v>
      </c>
      <c r="D896" s="31">
        <v>385</v>
      </c>
      <c r="E896" s="32">
        <v>0.28125</v>
      </c>
      <c r="F896" s="32">
        <v>0.2951388888888889</v>
      </c>
      <c r="G896" s="31" t="s">
        <v>124</v>
      </c>
      <c r="H896" s="31" t="s">
        <v>123</v>
      </c>
      <c r="I896" s="33">
        <v>7.5</v>
      </c>
      <c r="J896" s="34" t="s">
        <v>116</v>
      </c>
      <c r="K896" s="35">
        <v>34</v>
      </c>
      <c r="L896" s="36">
        <f>+K896*I896</f>
        <v>255</v>
      </c>
      <c r="M896" s="37" t="s">
        <v>1138</v>
      </c>
      <c r="N896" s="23" t="s">
        <v>945</v>
      </c>
      <c r="O896" s="23">
        <v>9</v>
      </c>
      <c r="P896" s="23" t="s">
        <v>788</v>
      </c>
      <c r="Q896" s="23">
        <v>21</v>
      </c>
      <c r="R896" s="23" t="s">
        <v>943</v>
      </c>
      <c r="S896" s="24">
        <v>24</v>
      </c>
      <c r="T896" s="7">
        <v>6302</v>
      </c>
      <c r="U896" s="7" t="s">
        <v>1674</v>
      </c>
      <c r="V896" s="7">
        <v>6300</v>
      </c>
      <c r="W896" s="7" t="s">
        <v>1282</v>
      </c>
      <c r="X896" s="18"/>
      <c r="Y896" s="17"/>
      <c r="Z896" s="17"/>
      <c r="AA896" s="17"/>
      <c r="AB896" s="7" t="s">
        <v>1051</v>
      </c>
      <c r="AC896" s="3"/>
      <c r="AD896" s="3"/>
      <c r="AE896" s="3"/>
      <c r="AF896" s="8" t="s">
        <v>726</v>
      </c>
      <c r="AG896" s="8"/>
      <c r="AH896" s="8"/>
      <c r="AI896" s="8"/>
      <c r="AJ896" s="8"/>
      <c r="AK896" s="8"/>
      <c r="AL896" s="8" t="s">
        <v>726</v>
      </c>
      <c r="AM896" s="3"/>
      <c r="AN896" s="3"/>
      <c r="AO896" s="3"/>
      <c r="AP896" s="3"/>
      <c r="AQ896" s="3"/>
      <c r="AR896" s="3"/>
      <c r="AS896" s="3"/>
      <c r="AT896" s="3"/>
      <c r="AU896" s="3"/>
      <c r="AV896" s="3"/>
      <c r="AX896" s="144">
        <v>20</v>
      </c>
    </row>
    <row r="897" spans="1:50" s="10" customFormat="1" ht="45">
      <c r="A897" s="24"/>
      <c r="B897" s="27">
        <v>882</v>
      </c>
      <c r="C897" s="31">
        <v>641</v>
      </c>
      <c r="D897" s="31">
        <v>382</v>
      </c>
      <c r="E897" s="32">
        <v>0.53125</v>
      </c>
      <c r="F897" s="32">
        <v>0.54166666666666663</v>
      </c>
      <c r="G897" s="31" t="s">
        <v>122</v>
      </c>
      <c r="H897" s="31" t="s">
        <v>97</v>
      </c>
      <c r="I897" s="33">
        <v>7</v>
      </c>
      <c r="J897" s="34" t="s">
        <v>116</v>
      </c>
      <c r="K897" s="35">
        <v>208</v>
      </c>
      <c r="L897" s="36">
        <f>+K897*I897</f>
        <v>1456</v>
      </c>
      <c r="M897" s="37" t="s">
        <v>1138</v>
      </c>
      <c r="N897" s="23" t="s">
        <v>945</v>
      </c>
      <c r="O897" s="23">
        <v>9</v>
      </c>
      <c r="P897" s="23" t="s">
        <v>788</v>
      </c>
      <c r="Q897" s="23">
        <v>21</v>
      </c>
      <c r="R897" s="23" t="s">
        <v>943</v>
      </c>
      <c r="S897" s="24">
        <v>24</v>
      </c>
      <c r="T897" s="7">
        <v>6300</v>
      </c>
      <c r="U897" s="7" t="s">
        <v>1282</v>
      </c>
      <c r="V897" s="7">
        <v>6302</v>
      </c>
      <c r="W897" s="7" t="s">
        <v>1674</v>
      </c>
      <c r="X897" s="18"/>
      <c r="Y897" s="17"/>
      <c r="Z897" s="17"/>
      <c r="AA897" s="17"/>
      <c r="AB897" s="7" t="s">
        <v>1046</v>
      </c>
      <c r="AC897" s="3"/>
      <c r="AD897" s="3"/>
      <c r="AE897" s="3"/>
      <c r="AF897" s="8" t="s">
        <v>726</v>
      </c>
      <c r="AG897" s="8" t="s">
        <v>726</v>
      </c>
      <c r="AH897" s="8" t="s">
        <v>726</v>
      </c>
      <c r="AI897" s="8" t="s">
        <v>726</v>
      </c>
      <c r="AJ897" s="8" t="s">
        <v>726</v>
      </c>
      <c r="AK897" s="8" t="s">
        <v>726</v>
      </c>
      <c r="AL897" s="8" t="s">
        <v>726</v>
      </c>
      <c r="AM897" s="3"/>
      <c r="AN897" s="3"/>
      <c r="AO897" s="3"/>
      <c r="AP897" s="3"/>
      <c r="AQ897" s="8"/>
      <c r="AR897" s="8"/>
      <c r="AS897" s="8"/>
      <c r="AT897" s="8"/>
      <c r="AU897" s="8"/>
      <c r="AV897" s="8"/>
      <c r="AX897" s="144">
        <v>17.739999999999998</v>
      </c>
    </row>
    <row r="898" spans="1:50" s="10" customFormat="1" ht="45">
      <c r="A898" s="2"/>
      <c r="B898" s="27">
        <v>883</v>
      </c>
      <c r="C898" s="31">
        <v>641</v>
      </c>
      <c r="D898" s="31">
        <v>383</v>
      </c>
      <c r="E898" s="32">
        <v>0.54166666666666663</v>
      </c>
      <c r="F898" s="42">
        <v>0.55555555555555558</v>
      </c>
      <c r="G898" s="31" t="s">
        <v>121</v>
      </c>
      <c r="H898" s="31" t="s">
        <v>97</v>
      </c>
      <c r="I898" s="33">
        <v>7</v>
      </c>
      <c r="J898" s="34" t="s">
        <v>116</v>
      </c>
      <c r="K898" s="35">
        <v>208</v>
      </c>
      <c r="L898" s="36">
        <f>+K898*I898</f>
        <v>1456</v>
      </c>
      <c r="M898" s="37" t="s">
        <v>1138</v>
      </c>
      <c r="N898" s="23" t="s">
        <v>945</v>
      </c>
      <c r="O898" s="23">
        <v>9</v>
      </c>
      <c r="P898" s="23" t="s">
        <v>788</v>
      </c>
      <c r="Q898" s="23">
        <v>21</v>
      </c>
      <c r="R898" s="23" t="s">
        <v>943</v>
      </c>
      <c r="S898" s="24">
        <v>24</v>
      </c>
      <c r="T898" s="7">
        <v>6302</v>
      </c>
      <c r="U898" s="7" t="s">
        <v>1674</v>
      </c>
      <c r="V898" s="7">
        <v>6300</v>
      </c>
      <c r="W898" s="7" t="s">
        <v>1282</v>
      </c>
      <c r="X898" s="18"/>
      <c r="Y898" s="17"/>
      <c r="Z898" s="17"/>
      <c r="AA898" s="17"/>
      <c r="AB898" s="7" t="s">
        <v>1046</v>
      </c>
      <c r="AC898" s="3"/>
      <c r="AD898" s="3"/>
      <c r="AE898" s="3"/>
      <c r="AF898" s="8" t="s">
        <v>726</v>
      </c>
      <c r="AG898" s="8" t="s">
        <v>726</v>
      </c>
      <c r="AH898" s="8" t="s">
        <v>726</v>
      </c>
      <c r="AI898" s="8" t="s">
        <v>726</v>
      </c>
      <c r="AJ898" s="8" t="s">
        <v>726</v>
      </c>
      <c r="AK898" s="8" t="s">
        <v>726</v>
      </c>
      <c r="AL898" s="8" t="s">
        <v>726</v>
      </c>
      <c r="AM898" s="3"/>
      <c r="AN898" s="3"/>
      <c r="AO898" s="3"/>
      <c r="AP898" s="3"/>
      <c r="AQ898" s="8"/>
      <c r="AR898" s="8"/>
      <c r="AS898" s="8"/>
      <c r="AT898" s="8"/>
      <c r="AU898" s="8"/>
      <c r="AV898" s="8"/>
      <c r="AX898" s="144">
        <v>17.739999999999998</v>
      </c>
    </row>
    <row r="899" spans="1:50" s="10" customFormat="1" ht="38.25">
      <c r="A899" s="24"/>
      <c r="B899" s="27">
        <v>884</v>
      </c>
      <c r="C899" s="31">
        <v>642</v>
      </c>
      <c r="D899" s="31">
        <v>349</v>
      </c>
      <c r="E899" s="32">
        <v>0.2638888888888889</v>
      </c>
      <c r="F899" s="32">
        <v>0.29166666666666669</v>
      </c>
      <c r="G899" s="69" t="s">
        <v>551</v>
      </c>
      <c r="H899" s="31" t="s">
        <v>97</v>
      </c>
      <c r="I899" s="33">
        <v>25</v>
      </c>
      <c r="J899" s="34" t="s">
        <v>93</v>
      </c>
      <c r="K899" s="35">
        <v>208</v>
      </c>
      <c r="L899" s="36">
        <f>+K899*I899</f>
        <v>5200</v>
      </c>
      <c r="M899" s="37" t="s">
        <v>776</v>
      </c>
      <c r="N899" s="23" t="s">
        <v>835</v>
      </c>
      <c r="O899" s="23">
        <v>23</v>
      </c>
      <c r="P899" s="23" t="s">
        <v>1206</v>
      </c>
      <c r="Q899" s="23">
        <v>9</v>
      </c>
      <c r="R899" s="23" t="s">
        <v>1207</v>
      </c>
      <c r="S899" s="23">
        <v>8</v>
      </c>
      <c r="T899" s="7">
        <v>2470</v>
      </c>
      <c r="U899" s="7" t="s">
        <v>1675</v>
      </c>
      <c r="V899" s="7" t="s">
        <v>1676</v>
      </c>
      <c r="W899" s="7" t="s">
        <v>1677</v>
      </c>
      <c r="X899" s="18"/>
      <c r="Y899" s="17"/>
      <c r="Z899" s="17"/>
      <c r="AA899" s="17"/>
      <c r="AB899" s="7" t="s">
        <v>1046</v>
      </c>
      <c r="AC899" s="3"/>
      <c r="AD899" s="3"/>
      <c r="AE899" s="3"/>
      <c r="AF899" s="8" t="s">
        <v>726</v>
      </c>
      <c r="AG899" s="8" t="s">
        <v>726</v>
      </c>
      <c r="AH899" s="8" t="s">
        <v>726</v>
      </c>
      <c r="AI899" s="8" t="s">
        <v>726</v>
      </c>
      <c r="AJ899" s="8" t="s">
        <v>726</v>
      </c>
      <c r="AK899" s="8" t="s">
        <v>726</v>
      </c>
      <c r="AL899" s="8" t="s">
        <v>726</v>
      </c>
      <c r="AM899" s="3"/>
      <c r="AN899" s="3"/>
      <c r="AO899" s="3"/>
      <c r="AP899" s="3"/>
      <c r="AQ899" s="8"/>
      <c r="AR899" s="8"/>
      <c r="AS899" s="8"/>
      <c r="AT899" s="8"/>
      <c r="AU899" s="8"/>
      <c r="AV899" s="8"/>
      <c r="AX899" s="144">
        <v>75</v>
      </c>
    </row>
    <row r="900" spans="1:50" s="10" customFormat="1" ht="33.75">
      <c r="A900" s="23"/>
      <c r="B900" s="27">
        <v>885</v>
      </c>
      <c r="C900" s="31">
        <v>642</v>
      </c>
      <c r="D900" s="31">
        <v>348</v>
      </c>
      <c r="E900" s="32">
        <v>0.58472222222222225</v>
      </c>
      <c r="F900" s="32">
        <v>0.61249999999999993</v>
      </c>
      <c r="G900" s="31" t="s">
        <v>490</v>
      </c>
      <c r="H900" s="31" t="s">
        <v>103</v>
      </c>
      <c r="I900" s="33">
        <v>25</v>
      </c>
      <c r="J900" s="34" t="s">
        <v>93</v>
      </c>
      <c r="K900" s="35">
        <v>174</v>
      </c>
      <c r="L900" s="36">
        <f>+K900*I900</f>
        <v>4350</v>
      </c>
      <c r="M900" s="37" t="s">
        <v>777</v>
      </c>
      <c r="N900" s="23" t="s">
        <v>917</v>
      </c>
      <c r="O900" s="23">
        <v>21</v>
      </c>
      <c r="P900" s="23" t="s">
        <v>918</v>
      </c>
      <c r="Q900" s="23">
        <v>17</v>
      </c>
      <c r="R900" s="23"/>
      <c r="S900" s="23"/>
      <c r="T900" s="7" t="s">
        <v>1676</v>
      </c>
      <c r="U900" s="7" t="s">
        <v>1677</v>
      </c>
      <c r="V900" s="7" t="s">
        <v>1678</v>
      </c>
      <c r="W900" s="7" t="s">
        <v>1679</v>
      </c>
      <c r="X900" s="18"/>
      <c r="Y900" s="17"/>
      <c r="Z900" s="17"/>
      <c r="AA900" s="17"/>
      <c r="AB900" s="7" t="s">
        <v>1042</v>
      </c>
      <c r="AC900" s="3"/>
      <c r="AD900" s="3"/>
      <c r="AE900" s="3"/>
      <c r="AF900" s="8" t="s">
        <v>726</v>
      </c>
      <c r="AG900" s="8" t="s">
        <v>726</v>
      </c>
      <c r="AH900" s="8" t="s">
        <v>726</v>
      </c>
      <c r="AI900" s="8" t="s">
        <v>726</v>
      </c>
      <c r="AJ900" s="8" t="s">
        <v>726</v>
      </c>
      <c r="AK900" s="8" t="s">
        <v>726</v>
      </c>
      <c r="AL900" s="3"/>
      <c r="AM900" s="3"/>
      <c r="AN900" s="3"/>
      <c r="AO900" s="3"/>
      <c r="AP900" s="3"/>
      <c r="AQ900" s="8"/>
      <c r="AR900" s="8"/>
      <c r="AS900" s="8"/>
      <c r="AT900" s="8"/>
      <c r="AU900" s="8"/>
      <c r="AV900" s="3"/>
      <c r="AX900" s="144">
        <v>75</v>
      </c>
    </row>
    <row r="901" spans="1:50" s="10" customFormat="1" ht="25.5">
      <c r="A901" s="24"/>
      <c r="B901" s="27">
        <v>886</v>
      </c>
      <c r="C901" s="31">
        <v>643</v>
      </c>
      <c r="D901" s="31">
        <v>395</v>
      </c>
      <c r="E901" s="32">
        <v>0.27430555555555552</v>
      </c>
      <c r="F901" s="32">
        <v>0.28611111111111115</v>
      </c>
      <c r="G901" s="31" t="s">
        <v>552</v>
      </c>
      <c r="H901" s="31" t="s">
        <v>97</v>
      </c>
      <c r="I901" s="33">
        <v>9.5</v>
      </c>
      <c r="J901" s="34" t="s">
        <v>116</v>
      </c>
      <c r="K901" s="35">
        <v>208</v>
      </c>
      <c r="L901" s="36">
        <f>+K901*I901</f>
        <v>1976</v>
      </c>
      <c r="M901" s="37" t="s">
        <v>778</v>
      </c>
      <c r="N901" s="23" t="s">
        <v>971</v>
      </c>
      <c r="O901" s="23">
        <v>8</v>
      </c>
      <c r="P901" s="23" t="s">
        <v>1208</v>
      </c>
      <c r="Q901" s="23">
        <v>5</v>
      </c>
      <c r="R901" s="73"/>
      <c r="S901" s="23"/>
      <c r="T901" s="7" t="s">
        <v>1680</v>
      </c>
      <c r="U901" s="7" t="s">
        <v>1681</v>
      </c>
      <c r="V901" s="7">
        <v>6381</v>
      </c>
      <c r="W901" s="7" t="s">
        <v>1682</v>
      </c>
      <c r="X901" s="18"/>
      <c r="Y901" s="17"/>
      <c r="Z901" s="17"/>
      <c r="AA901" s="17"/>
      <c r="AB901" s="7" t="s">
        <v>1046</v>
      </c>
      <c r="AC901" s="3"/>
      <c r="AD901" s="3"/>
      <c r="AE901" s="3"/>
      <c r="AF901" s="8" t="s">
        <v>726</v>
      </c>
      <c r="AG901" s="8" t="s">
        <v>726</v>
      </c>
      <c r="AH901" s="8" t="s">
        <v>726</v>
      </c>
      <c r="AI901" s="8" t="s">
        <v>726</v>
      </c>
      <c r="AJ901" s="8" t="s">
        <v>726</v>
      </c>
      <c r="AK901" s="8" t="s">
        <v>726</v>
      </c>
      <c r="AL901" s="8" t="s">
        <v>726</v>
      </c>
      <c r="AM901" s="3"/>
      <c r="AN901" s="3"/>
      <c r="AO901" s="3"/>
      <c r="AP901" s="3"/>
      <c r="AQ901" s="8"/>
      <c r="AR901" s="8"/>
      <c r="AS901" s="8"/>
      <c r="AT901" s="8"/>
      <c r="AU901" s="8"/>
      <c r="AV901" s="8"/>
      <c r="AX901" s="144">
        <v>31.95</v>
      </c>
    </row>
    <row r="902" spans="1:50" s="10" customFormat="1" ht="25.5">
      <c r="A902" s="2"/>
      <c r="B902" s="27">
        <v>887</v>
      </c>
      <c r="C902" s="31">
        <v>643</v>
      </c>
      <c r="D902" s="43">
        <v>390</v>
      </c>
      <c r="E902" s="42">
        <v>0.38194444444444442</v>
      </c>
      <c r="F902" s="42">
        <v>0.41319444444444442</v>
      </c>
      <c r="G902" s="31" t="s">
        <v>578</v>
      </c>
      <c r="H902" s="31" t="s">
        <v>423</v>
      </c>
      <c r="I902" s="33">
        <v>22</v>
      </c>
      <c r="J902" s="34" t="s">
        <v>99</v>
      </c>
      <c r="K902" s="35">
        <v>67</v>
      </c>
      <c r="L902" s="36">
        <f>+K902*I902</f>
        <v>1474</v>
      </c>
      <c r="M902" s="37" t="s">
        <v>779</v>
      </c>
      <c r="N902" s="23" t="s">
        <v>957</v>
      </c>
      <c r="O902" s="23">
        <v>24</v>
      </c>
      <c r="P902" s="23" t="s">
        <v>958</v>
      </c>
      <c r="Q902" s="23">
        <v>20</v>
      </c>
      <c r="R902" s="23"/>
      <c r="S902" s="23"/>
      <c r="T902" s="7">
        <v>6300</v>
      </c>
      <c r="U902" s="7" t="s">
        <v>1282</v>
      </c>
      <c r="V902" s="7" t="s">
        <v>1683</v>
      </c>
      <c r="W902" s="7" t="s">
        <v>1684</v>
      </c>
      <c r="X902" s="17"/>
      <c r="Y902" s="18"/>
      <c r="Z902" s="18"/>
      <c r="AA902" s="18"/>
      <c r="AB902" s="8" t="s">
        <v>1047</v>
      </c>
      <c r="AC902" s="3"/>
      <c r="AD902" s="8" t="s">
        <v>726</v>
      </c>
      <c r="AE902" s="8" t="s">
        <v>726</v>
      </c>
      <c r="AF902" s="8"/>
      <c r="AG902" s="8" t="s">
        <v>726</v>
      </c>
      <c r="AH902" s="8" t="s">
        <v>726</v>
      </c>
      <c r="AI902" s="8" t="s">
        <v>726</v>
      </c>
      <c r="AJ902" s="8" t="s">
        <v>726</v>
      </c>
      <c r="AK902" s="8" t="s">
        <v>726</v>
      </c>
      <c r="AL902" s="8" t="s">
        <v>726</v>
      </c>
      <c r="AM902" s="3"/>
      <c r="AN902" s="3"/>
      <c r="AO902" s="3"/>
      <c r="AP902" s="8"/>
      <c r="AQ902" s="8"/>
      <c r="AR902" s="8"/>
      <c r="AS902" s="8"/>
      <c r="AT902" s="8"/>
      <c r="AU902" s="8"/>
      <c r="AV902" s="8"/>
      <c r="AX902" s="144">
        <v>98.143488042255569</v>
      </c>
    </row>
    <row r="903" spans="1:50" s="10" customFormat="1" ht="25.5">
      <c r="A903" s="2"/>
      <c r="B903" s="27">
        <v>888</v>
      </c>
      <c r="C903" s="31">
        <v>643</v>
      </c>
      <c r="D903" s="31">
        <v>391</v>
      </c>
      <c r="E903" s="123">
        <v>0.41666666666666669</v>
      </c>
      <c r="F903" s="123">
        <v>0.44791666666666669</v>
      </c>
      <c r="G903" s="31" t="s">
        <v>579</v>
      </c>
      <c r="H903" s="31" t="s">
        <v>423</v>
      </c>
      <c r="I903" s="33">
        <v>22</v>
      </c>
      <c r="J903" s="34" t="s">
        <v>99</v>
      </c>
      <c r="K903" s="35">
        <v>67</v>
      </c>
      <c r="L903" s="36">
        <f>+K903*I903</f>
        <v>1474</v>
      </c>
      <c r="M903" s="37" t="s">
        <v>779</v>
      </c>
      <c r="N903" s="23" t="s">
        <v>957</v>
      </c>
      <c r="O903" s="23">
        <v>24</v>
      </c>
      <c r="P903" s="23" t="s">
        <v>958</v>
      </c>
      <c r="Q903" s="23">
        <v>20</v>
      </c>
      <c r="R903" s="23"/>
      <c r="S903" s="23"/>
      <c r="T903" s="7" t="s">
        <v>1683</v>
      </c>
      <c r="U903" s="7" t="s">
        <v>1684</v>
      </c>
      <c r="V903" s="7">
        <v>6300</v>
      </c>
      <c r="W903" s="7" t="s">
        <v>1282</v>
      </c>
      <c r="X903" s="17"/>
      <c r="Y903" s="18"/>
      <c r="Z903" s="18"/>
      <c r="AA903" s="18"/>
      <c r="AB903" s="8" t="s">
        <v>1047</v>
      </c>
      <c r="AC903" s="3"/>
      <c r="AD903" s="8" t="s">
        <v>726</v>
      </c>
      <c r="AE903" s="8" t="s">
        <v>726</v>
      </c>
      <c r="AF903" s="8"/>
      <c r="AG903" s="8" t="s">
        <v>726</v>
      </c>
      <c r="AH903" s="8" t="s">
        <v>726</v>
      </c>
      <c r="AI903" s="8" t="s">
        <v>726</v>
      </c>
      <c r="AJ903" s="8" t="s">
        <v>726</v>
      </c>
      <c r="AK903" s="8" t="s">
        <v>726</v>
      </c>
      <c r="AL903" s="8" t="s">
        <v>726</v>
      </c>
      <c r="AM903" s="3"/>
      <c r="AN903" s="3"/>
      <c r="AO903" s="3"/>
      <c r="AP903" s="8"/>
      <c r="AQ903" s="8"/>
      <c r="AR903" s="8"/>
      <c r="AS903" s="8"/>
      <c r="AT903" s="8"/>
      <c r="AU903" s="8"/>
      <c r="AV903" s="8"/>
      <c r="AX903" s="144">
        <v>98.143488042255569</v>
      </c>
    </row>
    <row r="904" spans="1:50" s="10" customFormat="1" ht="33.75">
      <c r="A904" s="24"/>
      <c r="B904" s="27">
        <v>889</v>
      </c>
      <c r="C904" s="31">
        <v>644</v>
      </c>
      <c r="D904" s="34">
        <v>311</v>
      </c>
      <c r="E904" s="32">
        <v>0.2673611111111111</v>
      </c>
      <c r="F904" s="32">
        <v>0.27986111111111112</v>
      </c>
      <c r="G904" s="31" t="s">
        <v>250</v>
      </c>
      <c r="H904" s="31" t="s">
        <v>97</v>
      </c>
      <c r="I904" s="33">
        <v>9</v>
      </c>
      <c r="J904" s="34">
        <v>16</v>
      </c>
      <c r="K904" s="35">
        <v>208</v>
      </c>
      <c r="L904" s="36">
        <f>+K904*I904</f>
        <v>1872</v>
      </c>
      <c r="M904" s="37" t="s">
        <v>780</v>
      </c>
      <c r="N904" s="23" t="s">
        <v>948</v>
      </c>
      <c r="O904" s="23">
        <v>17</v>
      </c>
      <c r="P904" s="23" t="s">
        <v>1209</v>
      </c>
      <c r="Q904" s="23">
        <v>17</v>
      </c>
      <c r="R904" s="23" t="s">
        <v>1210</v>
      </c>
      <c r="S904" s="23">
        <v>23</v>
      </c>
      <c r="T904" s="7">
        <v>6391</v>
      </c>
      <c r="U904" s="7" t="s">
        <v>1685</v>
      </c>
      <c r="V904" s="7">
        <v>6386</v>
      </c>
      <c r="W904" s="7" t="s">
        <v>1686</v>
      </c>
      <c r="X904" s="18"/>
      <c r="Y904" s="17"/>
      <c r="Z904" s="17"/>
      <c r="AA904" s="17"/>
      <c r="AB904" s="7" t="s">
        <v>1046</v>
      </c>
      <c r="AC904" s="3"/>
      <c r="AD904" s="3"/>
      <c r="AE904" s="3"/>
      <c r="AF904" s="8" t="s">
        <v>726</v>
      </c>
      <c r="AG904" s="8" t="s">
        <v>726</v>
      </c>
      <c r="AH904" s="8" t="s">
        <v>726</v>
      </c>
      <c r="AI904" s="8" t="s">
        <v>726</v>
      </c>
      <c r="AJ904" s="8" t="s">
        <v>726</v>
      </c>
      <c r="AK904" s="8" t="s">
        <v>726</v>
      </c>
      <c r="AL904" s="8" t="s">
        <v>726</v>
      </c>
      <c r="AM904" s="3"/>
      <c r="AN904" s="3"/>
      <c r="AO904" s="3"/>
      <c r="AP904" s="3"/>
      <c r="AQ904" s="8"/>
      <c r="AR904" s="8"/>
      <c r="AS904" s="8"/>
      <c r="AT904" s="8"/>
      <c r="AU904" s="8"/>
      <c r="AV904" s="8"/>
      <c r="AX904" s="144">
        <v>36.797251907039595</v>
      </c>
    </row>
    <row r="905" spans="1:50" s="10" customFormat="1" ht="33.75">
      <c r="A905" s="24"/>
      <c r="B905" s="27">
        <v>890</v>
      </c>
      <c r="C905" s="38">
        <v>644</v>
      </c>
      <c r="D905" s="38">
        <v>370</v>
      </c>
      <c r="E905" s="39">
        <v>0.34722222222222227</v>
      </c>
      <c r="F905" s="39">
        <v>0.35972222222222222</v>
      </c>
      <c r="G905" s="40" t="s">
        <v>43</v>
      </c>
      <c r="H905" s="40" t="s">
        <v>20</v>
      </c>
      <c r="I905" s="38">
        <v>8</v>
      </c>
      <c r="J905" s="41">
        <v>19</v>
      </c>
      <c r="K905" s="35">
        <v>55</v>
      </c>
      <c r="L905" s="36">
        <f>+K905*I905</f>
        <v>440</v>
      </c>
      <c r="M905" s="37" t="s">
        <v>780</v>
      </c>
      <c r="N905" s="23" t="s">
        <v>948</v>
      </c>
      <c r="O905" s="23">
        <v>17</v>
      </c>
      <c r="P905" s="23" t="s">
        <v>1209</v>
      </c>
      <c r="Q905" s="23">
        <v>17</v>
      </c>
      <c r="R905" s="23"/>
      <c r="S905" s="23"/>
      <c r="T905" s="7">
        <v>6386</v>
      </c>
      <c r="U905" s="7" t="s">
        <v>1686</v>
      </c>
      <c r="V905" s="7">
        <v>6391</v>
      </c>
      <c r="W905" s="7" t="s">
        <v>1685</v>
      </c>
      <c r="X905" s="17"/>
      <c r="Y905" s="18"/>
      <c r="Z905" s="18"/>
      <c r="AA905" s="18"/>
      <c r="AB905" s="7" t="s">
        <v>1049</v>
      </c>
      <c r="AC905" s="3"/>
      <c r="AD905" s="3" t="s">
        <v>726</v>
      </c>
      <c r="AE905" s="3" t="s">
        <v>726</v>
      </c>
      <c r="AF905" s="3"/>
      <c r="AG905" s="3" t="s">
        <v>726</v>
      </c>
      <c r="AH905" s="3" t="s">
        <v>726</v>
      </c>
      <c r="AI905" s="3" t="s">
        <v>726</v>
      </c>
      <c r="AJ905" s="3" t="s">
        <v>726</v>
      </c>
      <c r="AK905" s="3" t="s">
        <v>726</v>
      </c>
      <c r="AL905" s="3"/>
      <c r="AM905" s="3"/>
      <c r="AN905" s="3"/>
      <c r="AO905" s="3"/>
      <c r="AP905" s="3"/>
      <c r="AQ905" s="3"/>
      <c r="AR905" s="3"/>
      <c r="AS905" s="3"/>
      <c r="AT905" s="3"/>
      <c r="AU905" s="3"/>
      <c r="AV905" s="3"/>
      <c r="AX905" s="144">
        <v>32.708668361812975</v>
      </c>
    </row>
    <row r="906" spans="1:50" s="10" customFormat="1" ht="33.75">
      <c r="A906" s="2"/>
      <c r="B906" s="27">
        <v>891</v>
      </c>
      <c r="C906" s="38">
        <v>644</v>
      </c>
      <c r="D906" s="38">
        <v>371</v>
      </c>
      <c r="E906" s="39">
        <v>0.36319444444444443</v>
      </c>
      <c r="F906" s="39">
        <v>0.3756944444444445</v>
      </c>
      <c r="G906" s="40" t="s">
        <v>42</v>
      </c>
      <c r="H906" s="40" t="s">
        <v>20</v>
      </c>
      <c r="I906" s="38">
        <v>8</v>
      </c>
      <c r="J906" s="41">
        <v>19</v>
      </c>
      <c r="K906" s="35">
        <v>55</v>
      </c>
      <c r="L906" s="36">
        <f>+K906*I906</f>
        <v>440</v>
      </c>
      <c r="M906" s="37" t="s">
        <v>780</v>
      </c>
      <c r="N906" s="23" t="s">
        <v>948</v>
      </c>
      <c r="O906" s="23">
        <v>17</v>
      </c>
      <c r="P906" s="23" t="s">
        <v>1209</v>
      </c>
      <c r="Q906" s="23">
        <v>17</v>
      </c>
      <c r="R906" s="23"/>
      <c r="S906" s="23"/>
      <c r="T906" s="7">
        <v>6391</v>
      </c>
      <c r="U906" s="7" t="s">
        <v>1685</v>
      </c>
      <c r="V906" s="7">
        <v>6386</v>
      </c>
      <c r="W906" s="7" t="s">
        <v>1686</v>
      </c>
      <c r="X906" s="17"/>
      <c r="Y906" s="18"/>
      <c r="Z906" s="18"/>
      <c r="AA906" s="18"/>
      <c r="AB906" s="7" t="s">
        <v>1049</v>
      </c>
      <c r="AC906" s="3"/>
      <c r="AD906" s="3" t="s">
        <v>726</v>
      </c>
      <c r="AE906" s="3" t="s">
        <v>726</v>
      </c>
      <c r="AF906" s="3"/>
      <c r="AG906" s="3" t="s">
        <v>726</v>
      </c>
      <c r="AH906" s="3" t="s">
        <v>726</v>
      </c>
      <c r="AI906" s="3" t="s">
        <v>726</v>
      </c>
      <c r="AJ906" s="3" t="s">
        <v>726</v>
      </c>
      <c r="AK906" s="3" t="s">
        <v>726</v>
      </c>
      <c r="AL906" s="3"/>
      <c r="AM906" s="3"/>
      <c r="AN906" s="3"/>
      <c r="AO906" s="3"/>
      <c r="AP906" s="3"/>
      <c r="AQ906" s="3"/>
      <c r="AR906" s="3"/>
      <c r="AS906" s="3"/>
      <c r="AT906" s="3"/>
      <c r="AU906" s="3"/>
      <c r="AV906" s="3"/>
      <c r="AX906" s="144">
        <v>32.708668361812975</v>
      </c>
    </row>
    <row r="907" spans="1:50" ht="33.75">
      <c r="B907" s="27">
        <v>892</v>
      </c>
      <c r="C907" s="31">
        <v>644</v>
      </c>
      <c r="D907" s="34">
        <v>374</v>
      </c>
      <c r="E907" s="32">
        <v>0.46180555555555558</v>
      </c>
      <c r="F907" s="32">
        <v>0.47430555555555554</v>
      </c>
      <c r="G907" s="31" t="s">
        <v>661</v>
      </c>
      <c r="H907" s="31" t="s">
        <v>426</v>
      </c>
      <c r="I907" s="33">
        <v>8.1999999999999993</v>
      </c>
      <c r="J907" s="34" t="s">
        <v>125</v>
      </c>
      <c r="K907" s="35">
        <v>39</v>
      </c>
      <c r="L907" s="36">
        <f>+K907*I907</f>
        <v>319.79999999999995</v>
      </c>
      <c r="M907" s="37" t="s">
        <v>780</v>
      </c>
      <c r="N907" s="23" t="s">
        <v>949</v>
      </c>
      <c r="O907" s="23">
        <v>9</v>
      </c>
      <c r="P907" s="23" t="s">
        <v>1211</v>
      </c>
      <c r="Q907" s="23">
        <v>9</v>
      </c>
      <c r="R907" s="23" t="s">
        <v>1210</v>
      </c>
      <c r="S907" s="23">
        <v>23</v>
      </c>
      <c r="T907" s="7">
        <v>6386</v>
      </c>
      <c r="U907" s="7" t="s">
        <v>1686</v>
      </c>
      <c r="V907" s="7">
        <v>6391</v>
      </c>
      <c r="W907" s="7" t="s">
        <v>1685</v>
      </c>
      <c r="X907" s="18"/>
      <c r="Y907" s="17"/>
      <c r="Z907" s="18"/>
      <c r="AA907" s="18"/>
      <c r="AB907" s="7" t="s">
        <v>1081</v>
      </c>
      <c r="AC907" s="8" t="s">
        <v>726</v>
      </c>
      <c r="AD907" s="8"/>
      <c r="AE907" s="8" t="s">
        <v>726</v>
      </c>
      <c r="AF907" s="8"/>
      <c r="AG907" s="8"/>
      <c r="AH907" s="8"/>
      <c r="AI907" s="8"/>
      <c r="AJ907" s="8" t="s">
        <v>726</v>
      </c>
      <c r="AK907" s="8"/>
      <c r="AL907" s="8"/>
      <c r="AM907" s="8"/>
      <c r="AN907" s="8"/>
      <c r="AO907" s="8"/>
      <c r="AP907" s="8"/>
      <c r="AQ907" s="8"/>
      <c r="AR907" s="8"/>
      <c r="AS907" s="8"/>
      <c r="AT907" s="8"/>
      <c r="AU907" s="8"/>
      <c r="AV907" s="8"/>
      <c r="AW907" s="10"/>
      <c r="AX907" s="142">
        <v>33.526385070858296</v>
      </c>
    </row>
    <row r="908" spans="1:50" ht="25.5">
      <c r="B908" s="27">
        <v>893</v>
      </c>
      <c r="C908" s="38">
        <v>644</v>
      </c>
      <c r="D908" s="38">
        <v>372</v>
      </c>
      <c r="E908" s="39">
        <v>0.47222222222222227</v>
      </c>
      <c r="F908" s="39">
        <v>0.48472222222222222</v>
      </c>
      <c r="G908" s="40" t="s">
        <v>43</v>
      </c>
      <c r="H908" s="31" t="s">
        <v>290</v>
      </c>
      <c r="I908" s="38">
        <v>8</v>
      </c>
      <c r="J908" s="41">
        <v>19</v>
      </c>
      <c r="K908" s="35">
        <v>11</v>
      </c>
      <c r="L908" s="36">
        <f>+K908*I908</f>
        <v>88</v>
      </c>
      <c r="M908" s="37" t="s">
        <v>779</v>
      </c>
      <c r="N908" s="23" t="s">
        <v>957</v>
      </c>
      <c r="O908" s="23">
        <v>24</v>
      </c>
      <c r="P908" s="23" t="s">
        <v>958</v>
      </c>
      <c r="Q908" s="23">
        <v>20</v>
      </c>
      <c r="S908" s="23"/>
      <c r="T908" s="7">
        <v>6386</v>
      </c>
      <c r="U908" s="7" t="s">
        <v>1686</v>
      </c>
      <c r="V908" s="7">
        <v>6391</v>
      </c>
      <c r="W908" s="7" t="s">
        <v>1685</v>
      </c>
      <c r="X908" s="17"/>
      <c r="Y908" s="18"/>
      <c r="Z908" s="18"/>
      <c r="AA908" s="18"/>
      <c r="AB908" s="7" t="s">
        <v>1079</v>
      </c>
      <c r="AC908" s="8"/>
      <c r="AD908" s="8" t="s">
        <v>726</v>
      </c>
      <c r="AE908" s="8" t="s">
        <v>726</v>
      </c>
      <c r="AF908" s="8"/>
      <c r="AG908" s="8"/>
      <c r="AH908" s="8"/>
      <c r="AI908" s="8"/>
      <c r="AJ908" s="8" t="s">
        <v>726</v>
      </c>
      <c r="AK908" s="8"/>
      <c r="AL908" s="8"/>
      <c r="AM908" s="8"/>
      <c r="AN908" s="8"/>
      <c r="AO908" s="8"/>
      <c r="AP908" s="8"/>
      <c r="AQ908" s="8"/>
      <c r="AR908" s="8"/>
      <c r="AS908" s="8"/>
      <c r="AT908" s="8"/>
      <c r="AU908" s="8"/>
      <c r="AV908" s="8"/>
      <c r="AW908" s="10"/>
      <c r="AX908" s="142">
        <v>35.688541106274755</v>
      </c>
    </row>
    <row r="909" spans="1:50" ht="33.75">
      <c r="B909" s="27">
        <v>894</v>
      </c>
      <c r="C909" s="31">
        <v>644</v>
      </c>
      <c r="D909" s="34">
        <v>375</v>
      </c>
      <c r="E909" s="32">
        <v>0.47430555555555554</v>
      </c>
      <c r="F909" s="32">
        <v>0.48680555555555555</v>
      </c>
      <c r="G909" s="31" t="s">
        <v>662</v>
      </c>
      <c r="H909" s="31" t="s">
        <v>426</v>
      </c>
      <c r="I909" s="33">
        <v>8.1999999999999993</v>
      </c>
      <c r="J909" s="34" t="s">
        <v>125</v>
      </c>
      <c r="K909" s="35">
        <v>39</v>
      </c>
      <c r="L909" s="36">
        <f>+K909*I909</f>
        <v>319.79999999999995</v>
      </c>
      <c r="M909" s="37" t="s">
        <v>780</v>
      </c>
      <c r="N909" s="23" t="s">
        <v>949</v>
      </c>
      <c r="O909" s="23">
        <v>9</v>
      </c>
      <c r="P909" s="23" t="s">
        <v>1211</v>
      </c>
      <c r="Q909" s="23">
        <v>9</v>
      </c>
      <c r="R909" s="23" t="s">
        <v>1210</v>
      </c>
      <c r="S909" s="23">
        <v>23</v>
      </c>
      <c r="T909" s="7">
        <v>6391</v>
      </c>
      <c r="U909" s="7" t="s">
        <v>1685</v>
      </c>
      <c r="V909" s="7">
        <v>6386</v>
      </c>
      <c r="W909" s="7" t="s">
        <v>1686</v>
      </c>
      <c r="X909" s="18"/>
      <c r="Y909" s="17"/>
      <c r="Z909" s="18"/>
      <c r="AA909" s="18"/>
      <c r="AB909" s="7" t="s">
        <v>1081</v>
      </c>
      <c r="AC909" s="8" t="s">
        <v>726</v>
      </c>
      <c r="AD909" s="8"/>
      <c r="AE909" s="8" t="s">
        <v>726</v>
      </c>
      <c r="AF909" s="8"/>
      <c r="AG909" s="8"/>
      <c r="AH909" s="8"/>
      <c r="AI909" s="8"/>
      <c r="AJ909" s="8" t="s">
        <v>726</v>
      </c>
      <c r="AK909" s="8"/>
      <c r="AL909" s="8"/>
      <c r="AM909" s="8"/>
      <c r="AN909" s="8"/>
      <c r="AO909" s="8"/>
      <c r="AP909" s="8"/>
      <c r="AQ909" s="8"/>
      <c r="AR909" s="8"/>
      <c r="AS909" s="8"/>
      <c r="AT909" s="8"/>
      <c r="AU909" s="8"/>
      <c r="AV909" s="8"/>
      <c r="AW909" s="10"/>
      <c r="AX909" s="142">
        <v>33.526385070858296</v>
      </c>
    </row>
    <row r="910" spans="1:50" ht="25.5">
      <c r="B910" s="27">
        <v>895</v>
      </c>
      <c r="C910" s="38">
        <v>644</v>
      </c>
      <c r="D910" s="38">
        <v>373</v>
      </c>
      <c r="E910" s="39">
        <v>0.48819444444444443</v>
      </c>
      <c r="F910" s="39">
        <v>0.50069444444444444</v>
      </c>
      <c r="G910" s="40" t="s">
        <v>42</v>
      </c>
      <c r="H910" s="31" t="s">
        <v>290</v>
      </c>
      <c r="I910" s="38">
        <v>8</v>
      </c>
      <c r="J910" s="41">
        <v>19</v>
      </c>
      <c r="K910" s="35">
        <v>11</v>
      </c>
      <c r="L910" s="36">
        <f>+K910*I910</f>
        <v>88</v>
      </c>
      <c r="M910" s="37" t="s">
        <v>779</v>
      </c>
      <c r="N910" s="23" t="s">
        <v>957</v>
      </c>
      <c r="O910" s="23">
        <v>24</v>
      </c>
      <c r="P910" s="23" t="s">
        <v>958</v>
      </c>
      <c r="Q910" s="23">
        <v>20</v>
      </c>
      <c r="S910" s="23"/>
      <c r="T910" s="7">
        <v>6391</v>
      </c>
      <c r="U910" s="7" t="s">
        <v>1685</v>
      </c>
      <c r="V910" s="7">
        <v>6386</v>
      </c>
      <c r="W910" s="7" t="s">
        <v>1686</v>
      </c>
      <c r="X910" s="17"/>
      <c r="Y910" s="18"/>
      <c r="Z910" s="18"/>
      <c r="AA910" s="18"/>
      <c r="AB910" s="7" t="s">
        <v>1079</v>
      </c>
      <c r="AC910" s="8"/>
      <c r="AD910" s="8" t="s">
        <v>726</v>
      </c>
      <c r="AE910" s="8" t="s">
        <v>726</v>
      </c>
      <c r="AF910" s="8"/>
      <c r="AG910" s="8"/>
      <c r="AH910" s="8"/>
      <c r="AI910" s="8"/>
      <c r="AJ910" s="8" t="s">
        <v>726</v>
      </c>
      <c r="AK910" s="8"/>
      <c r="AL910" s="8"/>
      <c r="AM910" s="8"/>
      <c r="AN910" s="8"/>
      <c r="AO910" s="8"/>
      <c r="AP910" s="8"/>
      <c r="AQ910" s="8"/>
      <c r="AR910" s="8"/>
      <c r="AS910" s="8"/>
      <c r="AT910" s="8"/>
      <c r="AU910" s="8"/>
      <c r="AV910" s="8"/>
      <c r="AW910" s="10"/>
      <c r="AX910" s="142">
        <v>35.688541106274755</v>
      </c>
    </row>
    <row r="911" spans="1:50" ht="25.5">
      <c r="B911" s="27">
        <v>896</v>
      </c>
      <c r="C911" s="38">
        <v>644</v>
      </c>
      <c r="D911" s="31">
        <v>374</v>
      </c>
      <c r="E911" s="32">
        <v>0.51388888888888895</v>
      </c>
      <c r="F911" s="32">
        <v>0.52638888888888891</v>
      </c>
      <c r="G911" s="31" t="s">
        <v>43</v>
      </c>
      <c r="H911" s="31" t="s">
        <v>424</v>
      </c>
      <c r="I911" s="38">
        <v>8</v>
      </c>
      <c r="J911" s="41">
        <v>19</v>
      </c>
      <c r="K911" s="35">
        <v>55</v>
      </c>
      <c r="L911" s="36">
        <f>+K911*I911</f>
        <v>440</v>
      </c>
      <c r="M911" s="37" t="s">
        <v>779</v>
      </c>
      <c r="N911" s="23" t="s">
        <v>957</v>
      </c>
      <c r="O911" s="23">
        <v>24</v>
      </c>
      <c r="P911" s="23" t="s">
        <v>958</v>
      </c>
      <c r="Q911" s="23">
        <v>20</v>
      </c>
      <c r="S911" s="23"/>
      <c r="T911" s="7">
        <v>6386</v>
      </c>
      <c r="U911" s="7" t="s">
        <v>1686</v>
      </c>
      <c r="V911" s="7">
        <v>6391</v>
      </c>
      <c r="W911" s="7" t="s">
        <v>1685</v>
      </c>
      <c r="X911" s="17"/>
      <c r="Y911" s="18"/>
      <c r="Z911" s="18"/>
      <c r="AA911" s="18"/>
      <c r="AB911" s="7" t="s">
        <v>1049</v>
      </c>
      <c r="AC911" s="8"/>
      <c r="AD911" s="8" t="s">
        <v>726</v>
      </c>
      <c r="AE911" s="8" t="s">
        <v>726</v>
      </c>
      <c r="AF911" s="8"/>
      <c r="AG911" s="8" t="s">
        <v>726</v>
      </c>
      <c r="AH911" s="8" t="s">
        <v>726</v>
      </c>
      <c r="AI911" s="8" t="s">
        <v>726</v>
      </c>
      <c r="AJ911" s="8" t="s">
        <v>726</v>
      </c>
      <c r="AK911" s="8" t="s">
        <v>726</v>
      </c>
      <c r="AL911" s="8"/>
      <c r="AM911" s="8"/>
      <c r="AN911" s="8"/>
      <c r="AO911" s="8"/>
      <c r="AP911" s="8"/>
      <c r="AQ911" s="8"/>
      <c r="AR911" s="8"/>
      <c r="AS911" s="8"/>
      <c r="AT911" s="8"/>
      <c r="AU911" s="8"/>
      <c r="AV911" s="8"/>
      <c r="AW911" s="10"/>
      <c r="AX911" s="142">
        <v>35.688541106274755</v>
      </c>
    </row>
    <row r="912" spans="1:50" ht="25.5">
      <c r="B912" s="27">
        <v>897</v>
      </c>
      <c r="C912" s="38">
        <v>644</v>
      </c>
      <c r="D912" s="31">
        <v>375</v>
      </c>
      <c r="E912" s="32">
        <v>0.52986111111111112</v>
      </c>
      <c r="F912" s="32">
        <v>0.54236111111111118</v>
      </c>
      <c r="G912" s="31" t="s">
        <v>42</v>
      </c>
      <c r="H912" s="31" t="s">
        <v>424</v>
      </c>
      <c r="I912" s="38">
        <v>8</v>
      </c>
      <c r="J912" s="41">
        <v>19</v>
      </c>
      <c r="K912" s="35">
        <v>55</v>
      </c>
      <c r="L912" s="36">
        <f>+K912*I912</f>
        <v>440</v>
      </c>
      <c r="M912" s="37" t="s">
        <v>779</v>
      </c>
      <c r="N912" s="23" t="s">
        <v>957</v>
      </c>
      <c r="O912" s="23">
        <v>24</v>
      </c>
      <c r="P912" s="23" t="s">
        <v>958</v>
      </c>
      <c r="Q912" s="23">
        <v>20</v>
      </c>
      <c r="S912" s="23"/>
      <c r="T912" s="7">
        <v>6391</v>
      </c>
      <c r="U912" s="7" t="s">
        <v>1685</v>
      </c>
      <c r="V912" s="7">
        <v>6386</v>
      </c>
      <c r="W912" s="7" t="s">
        <v>1686</v>
      </c>
      <c r="X912" s="17"/>
      <c r="Y912" s="18"/>
      <c r="Z912" s="18"/>
      <c r="AA912" s="18"/>
      <c r="AB912" s="7" t="s">
        <v>1049</v>
      </c>
      <c r="AC912" s="8"/>
      <c r="AD912" s="8" t="s">
        <v>726</v>
      </c>
      <c r="AE912" s="8" t="s">
        <v>726</v>
      </c>
      <c r="AF912" s="8"/>
      <c r="AG912" s="8" t="s">
        <v>726</v>
      </c>
      <c r="AH912" s="8" t="s">
        <v>726</v>
      </c>
      <c r="AI912" s="8" t="s">
        <v>726</v>
      </c>
      <c r="AJ912" s="8" t="s">
        <v>726</v>
      </c>
      <c r="AK912" s="8" t="s">
        <v>726</v>
      </c>
      <c r="AL912" s="8"/>
      <c r="AM912" s="8"/>
      <c r="AN912" s="8"/>
      <c r="AO912" s="8"/>
      <c r="AP912" s="8"/>
      <c r="AQ912" s="8"/>
      <c r="AR912" s="8"/>
      <c r="AS912" s="8"/>
      <c r="AT912" s="8"/>
      <c r="AU912" s="8"/>
      <c r="AV912" s="8"/>
      <c r="AW912" s="10"/>
      <c r="AX912" s="142">
        <v>35.688541106274755</v>
      </c>
    </row>
    <row r="913" spans="2:50" ht="33.75">
      <c r="B913" s="27">
        <v>898</v>
      </c>
      <c r="C913" s="31">
        <v>644</v>
      </c>
      <c r="D913" s="34">
        <v>378</v>
      </c>
      <c r="E913" s="32">
        <v>0.57986111111111105</v>
      </c>
      <c r="F913" s="32">
        <v>0.59236111111111112</v>
      </c>
      <c r="G913" s="31" t="s">
        <v>446</v>
      </c>
      <c r="H913" s="31" t="s">
        <v>203</v>
      </c>
      <c r="I913" s="33">
        <v>8</v>
      </c>
      <c r="J913" s="34" t="s">
        <v>125</v>
      </c>
      <c r="K913" s="35">
        <v>202</v>
      </c>
      <c r="L913" s="36">
        <f>+K913*I913</f>
        <v>1616</v>
      </c>
      <c r="M913" s="37" t="s">
        <v>780</v>
      </c>
      <c r="N913" s="23" t="s">
        <v>948</v>
      </c>
      <c r="O913" s="23">
        <v>17</v>
      </c>
      <c r="P913" s="23" t="s">
        <v>1209</v>
      </c>
      <c r="Q913" s="23">
        <v>17</v>
      </c>
      <c r="S913" s="23"/>
      <c r="T913" s="7">
        <v>6386</v>
      </c>
      <c r="U913" s="7" t="s">
        <v>1686</v>
      </c>
      <c r="V913" s="7">
        <v>6391</v>
      </c>
      <c r="W913" s="7" t="s">
        <v>1685</v>
      </c>
      <c r="X913" s="18"/>
      <c r="Y913" s="17"/>
      <c r="Z913" s="18"/>
      <c r="AA913" s="18"/>
      <c r="AB913" s="7" t="s">
        <v>1048</v>
      </c>
      <c r="AC913" s="8" t="s">
        <v>726</v>
      </c>
      <c r="AD913" s="8"/>
      <c r="AE913" s="8" t="s">
        <v>726</v>
      </c>
      <c r="AF913" s="8"/>
      <c r="AG913" s="8" t="s">
        <v>726</v>
      </c>
      <c r="AH913" s="8" t="s">
        <v>726</v>
      </c>
      <c r="AI913" s="8" t="s">
        <v>726</v>
      </c>
      <c r="AJ913" s="8" t="s">
        <v>726</v>
      </c>
      <c r="AK913" s="8" t="s">
        <v>726</v>
      </c>
      <c r="AL913" s="8"/>
      <c r="AM913" s="8"/>
      <c r="AN913" s="8"/>
      <c r="AO913" s="8"/>
      <c r="AP913" s="8"/>
      <c r="AQ913" s="8"/>
      <c r="AR913" s="8"/>
      <c r="AS913" s="8"/>
      <c r="AT913" s="8"/>
      <c r="AU913" s="8"/>
      <c r="AV913" s="8"/>
      <c r="AW913" s="10"/>
      <c r="AX913" s="142">
        <v>32.708668361812975</v>
      </c>
    </row>
    <row r="914" spans="2:50" ht="33.75">
      <c r="B914" s="27">
        <v>899</v>
      </c>
      <c r="C914" s="31">
        <v>644</v>
      </c>
      <c r="D914" s="34">
        <v>660</v>
      </c>
      <c r="E914" s="32">
        <v>0.76388888888888884</v>
      </c>
      <c r="F914" s="42">
        <v>0.77500000000000002</v>
      </c>
      <c r="G914" s="31" t="s">
        <v>246</v>
      </c>
      <c r="H914" s="31" t="s">
        <v>245</v>
      </c>
      <c r="I914" s="33">
        <v>6.5</v>
      </c>
      <c r="J914" s="34" t="s">
        <v>167</v>
      </c>
      <c r="K914" s="35">
        <f>174-34</f>
        <v>140</v>
      </c>
      <c r="L914" s="36">
        <f>+K914*I914</f>
        <v>910</v>
      </c>
      <c r="M914" s="37" t="s">
        <v>780</v>
      </c>
      <c r="N914" s="23" t="s">
        <v>948</v>
      </c>
      <c r="O914" s="23">
        <v>17</v>
      </c>
      <c r="P914" s="23" t="s">
        <v>1209</v>
      </c>
      <c r="Q914" s="23">
        <v>17</v>
      </c>
      <c r="S914" s="23"/>
      <c r="T914" s="7">
        <v>6387</v>
      </c>
      <c r="U914" s="7" t="s">
        <v>1687</v>
      </c>
      <c r="V914" s="7">
        <v>6391</v>
      </c>
      <c r="W914" s="7" t="s">
        <v>1685</v>
      </c>
      <c r="X914" s="18"/>
      <c r="Y914" s="17"/>
      <c r="Z914" s="17"/>
      <c r="AA914" s="17"/>
      <c r="AB914" s="8" t="s">
        <v>1095</v>
      </c>
      <c r="AC914" s="8"/>
      <c r="AD914" s="8"/>
      <c r="AE914" s="8"/>
      <c r="AF914" s="8" t="s">
        <v>726</v>
      </c>
      <c r="AG914" s="8" t="s">
        <v>726</v>
      </c>
      <c r="AH914" s="8"/>
      <c r="AI914" s="8" t="s">
        <v>726</v>
      </c>
      <c r="AJ914" s="8" t="s">
        <v>726</v>
      </c>
      <c r="AK914" s="8" t="s">
        <v>726</v>
      </c>
      <c r="AL914" s="8"/>
      <c r="AM914" s="8"/>
      <c r="AN914" s="8"/>
      <c r="AO914" s="8"/>
      <c r="AP914" s="8"/>
      <c r="AQ914" s="8"/>
      <c r="AR914" s="8"/>
      <c r="AS914" s="8"/>
      <c r="AT914" s="8"/>
      <c r="AU914" s="8"/>
      <c r="AV914" s="8"/>
      <c r="AW914" s="10"/>
      <c r="AX914" s="142">
        <v>26.575793043973043</v>
      </c>
    </row>
    <row r="915" spans="2:50" ht="38.25">
      <c r="B915" s="27">
        <v>900</v>
      </c>
      <c r="C915" s="31">
        <v>645</v>
      </c>
      <c r="D915" s="34">
        <v>784</v>
      </c>
      <c r="E915" s="32">
        <v>0.2638888888888889</v>
      </c>
      <c r="F915" s="32">
        <v>0.2673611111111111</v>
      </c>
      <c r="G915" s="31" t="s">
        <v>695</v>
      </c>
      <c r="H915" s="31" t="s">
        <v>242</v>
      </c>
      <c r="I915" s="33">
        <v>2.5</v>
      </c>
      <c r="J915" s="34" t="s">
        <v>116</v>
      </c>
      <c r="K915" s="35">
        <v>34</v>
      </c>
      <c r="L915" s="36">
        <f>+K915*I915</f>
        <v>85</v>
      </c>
      <c r="M915" s="37" t="s">
        <v>781</v>
      </c>
      <c r="N915" s="23" t="s">
        <v>901</v>
      </c>
      <c r="O915" s="23">
        <v>9</v>
      </c>
      <c r="P915" s="23" t="s">
        <v>1212</v>
      </c>
      <c r="Q915" s="23">
        <v>8</v>
      </c>
      <c r="S915" s="23"/>
      <c r="T915" s="7">
        <v>6402</v>
      </c>
      <c r="U915" s="7" t="s">
        <v>1688</v>
      </c>
      <c r="V915" s="7" t="s">
        <v>1689</v>
      </c>
      <c r="W915" s="7" t="s">
        <v>1690</v>
      </c>
      <c r="X915" s="18"/>
      <c r="Y915" s="17"/>
      <c r="Z915" s="17"/>
      <c r="AA915" s="17"/>
      <c r="AB915" s="8" t="s">
        <v>1051</v>
      </c>
      <c r="AC915" s="8"/>
      <c r="AD915" s="8"/>
      <c r="AE915" s="8"/>
      <c r="AF915" s="8" t="s">
        <v>726</v>
      </c>
      <c r="AG915" s="8"/>
      <c r="AH915" s="8"/>
      <c r="AI915" s="8"/>
      <c r="AJ915" s="8"/>
      <c r="AK915" s="8"/>
      <c r="AL915" s="8" t="s">
        <v>726</v>
      </c>
      <c r="AM915" s="8"/>
      <c r="AN915" s="8"/>
      <c r="AO915" s="8"/>
      <c r="AP915" s="8"/>
      <c r="AQ915" s="8"/>
      <c r="AR915" s="8"/>
      <c r="AS915" s="8"/>
      <c r="AT915" s="8"/>
      <c r="AU915" s="8"/>
      <c r="AV915" s="8"/>
      <c r="AX915" s="142">
        <v>20</v>
      </c>
    </row>
    <row r="916" spans="2:50" ht="25.5">
      <c r="B916" s="27">
        <v>901</v>
      </c>
      <c r="C916" s="31">
        <v>645</v>
      </c>
      <c r="D916" s="34">
        <v>639</v>
      </c>
      <c r="E916" s="32">
        <v>0.26805555555555555</v>
      </c>
      <c r="F916" s="32">
        <v>0.27083333333333331</v>
      </c>
      <c r="G916" s="31" t="s">
        <v>244</v>
      </c>
      <c r="H916" s="31" t="s">
        <v>242</v>
      </c>
      <c r="I916" s="33">
        <v>2.5</v>
      </c>
      <c r="J916" s="34" t="s">
        <v>116</v>
      </c>
      <c r="K916" s="35">
        <v>34</v>
      </c>
      <c r="L916" s="36">
        <f>+K916*I916</f>
        <v>85</v>
      </c>
      <c r="M916" s="37" t="s">
        <v>781</v>
      </c>
      <c r="N916" s="23" t="s">
        <v>901</v>
      </c>
      <c r="O916" s="23">
        <v>9</v>
      </c>
      <c r="P916" s="23" t="s">
        <v>1212</v>
      </c>
      <c r="Q916" s="23">
        <v>8</v>
      </c>
      <c r="S916" s="23"/>
      <c r="T916" s="7" t="s">
        <v>1689</v>
      </c>
      <c r="U916" s="7" t="s">
        <v>1690</v>
      </c>
      <c r="V916" s="7">
        <v>6402</v>
      </c>
      <c r="W916" s="7" t="s">
        <v>1688</v>
      </c>
      <c r="X916" s="18"/>
      <c r="Y916" s="17"/>
      <c r="Z916" s="17"/>
      <c r="AA916" s="17"/>
      <c r="AB916" s="8" t="s">
        <v>1051</v>
      </c>
      <c r="AC916" s="8"/>
      <c r="AD916" s="8"/>
      <c r="AE916" s="8"/>
      <c r="AF916" s="8" t="s">
        <v>726</v>
      </c>
      <c r="AG916" s="8"/>
      <c r="AH916" s="8"/>
      <c r="AI916" s="8"/>
      <c r="AJ916" s="8"/>
      <c r="AK916" s="8"/>
      <c r="AL916" s="8" t="s">
        <v>726</v>
      </c>
      <c r="AM916" s="8"/>
      <c r="AN916" s="8"/>
      <c r="AO916" s="8"/>
      <c r="AP916" s="8"/>
      <c r="AQ916" s="8"/>
      <c r="AR916" s="8"/>
      <c r="AS916" s="8"/>
      <c r="AT916" s="8"/>
      <c r="AU916" s="8"/>
      <c r="AV916" s="8"/>
      <c r="AX916" s="142">
        <v>20</v>
      </c>
    </row>
    <row r="917" spans="2:50" ht="38.25">
      <c r="B917" s="27">
        <v>902</v>
      </c>
      <c r="C917" s="31">
        <v>645</v>
      </c>
      <c r="D917" s="34">
        <v>784</v>
      </c>
      <c r="E917" s="32">
        <v>0.27083333333333331</v>
      </c>
      <c r="F917" s="32">
        <v>0.27430555555555552</v>
      </c>
      <c r="G917" s="31" t="s">
        <v>695</v>
      </c>
      <c r="H917" s="31" t="s">
        <v>103</v>
      </c>
      <c r="I917" s="33">
        <v>2.5</v>
      </c>
      <c r="J917" s="34" t="s">
        <v>116</v>
      </c>
      <c r="K917" s="35">
        <v>174</v>
      </c>
      <c r="L917" s="36">
        <f>+K917*I917</f>
        <v>435</v>
      </c>
      <c r="M917" s="37" t="s">
        <v>781</v>
      </c>
      <c r="N917" s="23" t="s">
        <v>901</v>
      </c>
      <c r="O917" s="23">
        <v>9</v>
      </c>
      <c r="P917" s="23" t="s">
        <v>1212</v>
      </c>
      <c r="Q917" s="23">
        <v>8</v>
      </c>
      <c r="S917" s="23"/>
      <c r="T917" s="7">
        <v>6402</v>
      </c>
      <c r="U917" s="7" t="s">
        <v>1688</v>
      </c>
      <c r="V917" s="7" t="s">
        <v>1689</v>
      </c>
      <c r="W917" s="7" t="s">
        <v>1690</v>
      </c>
      <c r="X917" s="18"/>
      <c r="Y917" s="17"/>
      <c r="Z917" s="17"/>
      <c r="AA917" s="17"/>
      <c r="AB917" s="7" t="s">
        <v>1042</v>
      </c>
      <c r="AC917" s="8"/>
      <c r="AD917" s="8"/>
      <c r="AE917" s="8"/>
      <c r="AF917" s="8" t="s">
        <v>726</v>
      </c>
      <c r="AG917" s="8" t="s">
        <v>726</v>
      </c>
      <c r="AH917" s="8" t="s">
        <v>726</v>
      </c>
      <c r="AI917" s="8" t="s">
        <v>726</v>
      </c>
      <c r="AJ917" s="8" t="s">
        <v>726</v>
      </c>
      <c r="AK917" s="8" t="s">
        <v>726</v>
      </c>
      <c r="AL917" s="8"/>
      <c r="AM917" s="8"/>
      <c r="AN917" s="8"/>
      <c r="AO917" s="8"/>
      <c r="AP917" s="8"/>
      <c r="AQ917" s="8"/>
      <c r="AR917" s="8"/>
      <c r="AS917" s="8"/>
      <c r="AT917" s="8"/>
      <c r="AU917" s="8"/>
      <c r="AV917" s="8"/>
      <c r="AX917" s="142">
        <v>20</v>
      </c>
    </row>
    <row r="918" spans="2:50" ht="25.5">
      <c r="B918" s="27">
        <v>903</v>
      </c>
      <c r="C918" s="31">
        <v>645</v>
      </c>
      <c r="D918" s="34">
        <v>639</v>
      </c>
      <c r="E918" s="32">
        <v>0.27430555555555552</v>
      </c>
      <c r="F918" s="32">
        <v>0.27777777777777779</v>
      </c>
      <c r="G918" s="31" t="s">
        <v>244</v>
      </c>
      <c r="H918" s="31" t="s">
        <v>103</v>
      </c>
      <c r="I918" s="33">
        <v>2.5</v>
      </c>
      <c r="J918" s="34" t="s">
        <v>116</v>
      </c>
      <c r="K918" s="35">
        <v>174</v>
      </c>
      <c r="L918" s="36">
        <f>+K918*I918</f>
        <v>435</v>
      </c>
      <c r="M918" s="37" t="s">
        <v>781</v>
      </c>
      <c r="N918" s="23" t="s">
        <v>901</v>
      </c>
      <c r="O918" s="23">
        <v>9</v>
      </c>
      <c r="P918" s="23" t="s">
        <v>1212</v>
      </c>
      <c r="Q918" s="23">
        <v>8</v>
      </c>
      <c r="S918" s="23"/>
      <c r="T918" s="7" t="s">
        <v>1689</v>
      </c>
      <c r="U918" s="7" t="s">
        <v>1690</v>
      </c>
      <c r="V918" s="7">
        <v>6402</v>
      </c>
      <c r="W918" s="7" t="s">
        <v>1688</v>
      </c>
      <c r="X918" s="18"/>
      <c r="Y918" s="17"/>
      <c r="Z918" s="17"/>
      <c r="AA918" s="17"/>
      <c r="AB918" s="7" t="s">
        <v>1042</v>
      </c>
      <c r="AC918" s="8"/>
      <c r="AD918" s="8"/>
      <c r="AE918" s="8"/>
      <c r="AF918" s="8" t="s">
        <v>726</v>
      </c>
      <c r="AG918" s="8" t="s">
        <v>726</v>
      </c>
      <c r="AH918" s="8" t="s">
        <v>726</v>
      </c>
      <c r="AI918" s="8" t="s">
        <v>726</v>
      </c>
      <c r="AJ918" s="8" t="s">
        <v>726</v>
      </c>
      <c r="AK918" s="8" t="s">
        <v>726</v>
      </c>
      <c r="AL918" s="8"/>
      <c r="AM918" s="8"/>
      <c r="AN918" s="8"/>
      <c r="AO918" s="8"/>
      <c r="AP918" s="8"/>
      <c r="AQ918" s="8"/>
      <c r="AR918" s="8"/>
      <c r="AS918" s="8"/>
      <c r="AT918" s="8"/>
      <c r="AU918" s="8"/>
      <c r="AV918" s="8"/>
      <c r="AX918" s="142">
        <v>20</v>
      </c>
    </row>
    <row r="919" spans="2:50" ht="25.5">
      <c r="B919" s="27">
        <v>904</v>
      </c>
      <c r="C919" s="31">
        <v>645</v>
      </c>
      <c r="D919" s="34">
        <v>639</v>
      </c>
      <c r="E919" s="32">
        <v>0.27430555555555552</v>
      </c>
      <c r="F919" s="32">
        <v>0.27638888888888885</v>
      </c>
      <c r="G919" s="31" t="s">
        <v>243</v>
      </c>
      <c r="H919" s="31" t="s">
        <v>242</v>
      </c>
      <c r="I919" s="33">
        <v>1.5</v>
      </c>
      <c r="J919" s="34" t="s">
        <v>116</v>
      </c>
      <c r="K919" s="35">
        <v>34</v>
      </c>
      <c r="L919" s="36">
        <f>+K919*I919</f>
        <v>51</v>
      </c>
      <c r="M919" s="37" t="s">
        <v>781</v>
      </c>
      <c r="N919" s="23" t="s">
        <v>901</v>
      </c>
      <c r="O919" s="23">
        <v>9</v>
      </c>
      <c r="P919" s="23" t="s">
        <v>1212</v>
      </c>
      <c r="Q919" s="23">
        <v>8</v>
      </c>
      <c r="S919" s="23"/>
      <c r="T919" s="7" t="s">
        <v>1691</v>
      </c>
      <c r="U919" s="7" t="s">
        <v>1692</v>
      </c>
      <c r="V919" s="7">
        <v>6402</v>
      </c>
      <c r="W919" s="7" t="s">
        <v>1688</v>
      </c>
      <c r="X919" s="18"/>
      <c r="Y919" s="17"/>
      <c r="Z919" s="17"/>
      <c r="AA919" s="17"/>
      <c r="AB919" s="8" t="s">
        <v>1051</v>
      </c>
      <c r="AC919" s="8"/>
      <c r="AD919" s="8"/>
      <c r="AE919" s="8"/>
      <c r="AF919" s="8" t="s">
        <v>726</v>
      </c>
      <c r="AG919" s="8"/>
      <c r="AH919" s="8"/>
      <c r="AI919" s="8"/>
      <c r="AJ919" s="8"/>
      <c r="AK919" s="8"/>
      <c r="AL919" s="8" t="s">
        <v>726</v>
      </c>
      <c r="AM919" s="8"/>
      <c r="AN919" s="8"/>
      <c r="AO919" s="8"/>
      <c r="AP919" s="8"/>
      <c r="AQ919" s="8"/>
      <c r="AR919" s="8"/>
      <c r="AS919" s="8"/>
      <c r="AT919" s="8"/>
      <c r="AU919" s="8"/>
      <c r="AV919" s="8"/>
      <c r="AX919" s="142">
        <v>20</v>
      </c>
    </row>
    <row r="920" spans="2:50" ht="33.75">
      <c r="B920" s="27">
        <v>905</v>
      </c>
      <c r="C920" s="31">
        <v>645</v>
      </c>
      <c r="D920" s="31">
        <v>418</v>
      </c>
      <c r="E920" s="32">
        <v>0.28819444444444448</v>
      </c>
      <c r="F920" s="32">
        <v>0.2902777777777778</v>
      </c>
      <c r="G920" s="31" t="s">
        <v>479</v>
      </c>
      <c r="H920" s="31" t="s">
        <v>97</v>
      </c>
      <c r="I920" s="33">
        <v>2</v>
      </c>
      <c r="J920" s="34" t="s">
        <v>167</v>
      </c>
      <c r="K920" s="35">
        <v>208</v>
      </c>
      <c r="L920" s="36">
        <f>+K920*I920</f>
        <v>416</v>
      </c>
      <c r="M920" s="37" t="s">
        <v>777</v>
      </c>
      <c r="N920" s="23" t="s">
        <v>919</v>
      </c>
      <c r="O920" s="23">
        <v>9</v>
      </c>
      <c r="P920" s="23" t="s">
        <v>918</v>
      </c>
      <c r="Q920" s="23">
        <v>17</v>
      </c>
      <c r="R920" s="23" t="s">
        <v>920</v>
      </c>
      <c r="S920" s="24">
        <v>7</v>
      </c>
      <c r="T920" s="7" t="s">
        <v>1693</v>
      </c>
      <c r="U920" s="7" t="s">
        <v>1694</v>
      </c>
      <c r="V920" s="7">
        <v>6350</v>
      </c>
      <c r="W920" s="7" t="s">
        <v>1695</v>
      </c>
      <c r="X920" s="18"/>
      <c r="Y920" s="17"/>
      <c r="Z920" s="17"/>
      <c r="AA920" s="17"/>
      <c r="AB920" s="7" t="s">
        <v>1046</v>
      </c>
      <c r="AC920" s="8"/>
      <c r="AD920" s="8"/>
      <c r="AE920" s="8"/>
      <c r="AF920" s="8" t="s">
        <v>726</v>
      </c>
      <c r="AG920" s="8" t="s">
        <v>726</v>
      </c>
      <c r="AH920" s="8" t="s">
        <v>726</v>
      </c>
      <c r="AI920" s="8" t="s">
        <v>726</v>
      </c>
      <c r="AJ920" s="8" t="s">
        <v>726</v>
      </c>
      <c r="AK920" s="8" t="s">
        <v>726</v>
      </c>
      <c r="AL920" s="8" t="s">
        <v>726</v>
      </c>
      <c r="AM920" s="8"/>
      <c r="AN920" s="8"/>
      <c r="AO920" s="8"/>
      <c r="AP920" s="8"/>
      <c r="AQ920" s="8"/>
      <c r="AR920" s="8"/>
      <c r="AS920" s="8"/>
      <c r="AT920" s="8"/>
      <c r="AU920" s="8"/>
      <c r="AV920" s="8"/>
      <c r="AX920" s="142">
        <v>20</v>
      </c>
    </row>
    <row r="921" spans="2:50" ht="45">
      <c r="B921" s="27">
        <v>906</v>
      </c>
      <c r="C921" s="31">
        <v>645</v>
      </c>
      <c r="D921" s="31">
        <v>43</v>
      </c>
      <c r="E921" s="32">
        <v>0.3611111111111111</v>
      </c>
      <c r="F921" s="32">
        <v>0.36805555555555558</v>
      </c>
      <c r="G921" s="31" t="s">
        <v>572</v>
      </c>
      <c r="H921" s="31" t="s">
        <v>573</v>
      </c>
      <c r="I921" s="33">
        <v>6</v>
      </c>
      <c r="J921" s="58">
        <v>23</v>
      </c>
      <c r="K921" s="35">
        <v>4</v>
      </c>
      <c r="L921" s="36">
        <f>+K921*I921</f>
        <v>24</v>
      </c>
      <c r="M921" s="37" t="s">
        <v>1138</v>
      </c>
      <c r="N921" s="23" t="s">
        <v>943</v>
      </c>
      <c r="O921" s="23">
        <v>24</v>
      </c>
      <c r="P921" s="23" t="s">
        <v>944</v>
      </c>
      <c r="Q921" s="23">
        <v>21</v>
      </c>
      <c r="S921" s="23"/>
      <c r="T921" s="7" t="s">
        <v>1696</v>
      </c>
      <c r="U921" s="7" t="s">
        <v>1697</v>
      </c>
      <c r="V921" s="7">
        <v>6300</v>
      </c>
      <c r="W921" s="7" t="s">
        <v>1282</v>
      </c>
      <c r="X921" s="17"/>
      <c r="Y921" s="18"/>
      <c r="Z921" s="18"/>
      <c r="AA921" s="18"/>
      <c r="AB921" s="8" t="s">
        <v>1096</v>
      </c>
      <c r="AC921" s="8"/>
      <c r="AD921" s="8" t="s">
        <v>726</v>
      </c>
      <c r="AE921" s="8" t="s">
        <v>726</v>
      </c>
      <c r="AF921" s="8"/>
      <c r="AG921" s="8"/>
      <c r="AH921" s="8"/>
      <c r="AI921" s="8" t="s">
        <v>726</v>
      </c>
      <c r="AJ921" s="8"/>
      <c r="AK921" s="8"/>
      <c r="AL921" s="8"/>
      <c r="AM921" s="8"/>
      <c r="AN921" s="8"/>
      <c r="AO921" s="8"/>
      <c r="AP921" s="8"/>
      <c r="AQ921" s="8"/>
      <c r="AR921" s="8"/>
      <c r="AS921" s="8"/>
      <c r="AT921" s="8"/>
      <c r="AU921" s="8"/>
      <c r="AV921" s="8"/>
      <c r="AX921" s="142">
        <v>18</v>
      </c>
    </row>
    <row r="922" spans="2:50" ht="38.25">
      <c r="B922" s="27">
        <v>907</v>
      </c>
      <c r="C922" s="31">
        <v>645</v>
      </c>
      <c r="D922" s="34">
        <v>739</v>
      </c>
      <c r="E922" s="32">
        <v>0.3611111111111111</v>
      </c>
      <c r="F922" s="32">
        <v>0.375</v>
      </c>
      <c r="G922" s="31" t="s">
        <v>241</v>
      </c>
      <c r="H922" s="31" t="s">
        <v>239</v>
      </c>
      <c r="I922" s="33">
        <v>9</v>
      </c>
      <c r="J922" s="34" t="s">
        <v>93</v>
      </c>
      <c r="K922" s="35">
        <v>104</v>
      </c>
      <c r="L922" s="36">
        <f>+K922*I922</f>
        <v>936</v>
      </c>
      <c r="M922" s="37" t="s">
        <v>781</v>
      </c>
      <c r="N922" s="23" t="s">
        <v>902</v>
      </c>
      <c r="O922" s="23">
        <v>23</v>
      </c>
      <c r="P922" s="23" t="s">
        <v>903</v>
      </c>
      <c r="Q922" s="23">
        <v>21</v>
      </c>
      <c r="R922" s="23"/>
      <c r="S922" s="23"/>
      <c r="T922" s="7" t="s">
        <v>1698</v>
      </c>
      <c r="U922" s="7" t="s">
        <v>1699</v>
      </c>
      <c r="V922" s="7">
        <v>6405</v>
      </c>
      <c r="W922" s="7" t="s">
        <v>1700</v>
      </c>
      <c r="X922" s="17"/>
      <c r="Y922" s="17"/>
      <c r="Z922" s="17"/>
      <c r="AA922" s="17"/>
      <c r="AB922" s="7" t="s">
        <v>1097</v>
      </c>
      <c r="AC922" s="8" t="s">
        <v>726</v>
      </c>
      <c r="AD922" s="8" t="s">
        <v>726</v>
      </c>
      <c r="AE922" s="8" t="s">
        <v>726</v>
      </c>
      <c r="AF922" s="8"/>
      <c r="AG922" s="8"/>
      <c r="AH922" s="8" t="s">
        <v>726</v>
      </c>
      <c r="AI922" s="8"/>
      <c r="AJ922" s="8"/>
      <c r="AK922" s="8" t="s">
        <v>726</v>
      </c>
      <c r="AL922" s="8"/>
      <c r="AM922" s="8"/>
      <c r="AN922" s="8"/>
      <c r="AO922" s="8"/>
      <c r="AP922" s="8"/>
      <c r="AQ922" s="8"/>
      <c r="AR922" s="8"/>
      <c r="AS922" s="8"/>
      <c r="AT922" s="8"/>
      <c r="AU922" s="8"/>
      <c r="AV922" s="8"/>
      <c r="AX922" s="142">
        <v>50.17</v>
      </c>
    </row>
    <row r="923" spans="2:50" ht="38.25">
      <c r="B923" s="27">
        <v>908</v>
      </c>
      <c r="C923" s="31">
        <v>645</v>
      </c>
      <c r="D923" s="31">
        <v>741</v>
      </c>
      <c r="E923" s="32">
        <v>0.45833333333333331</v>
      </c>
      <c r="F923" s="32">
        <v>0.47222222222222227</v>
      </c>
      <c r="G923" s="31" t="s">
        <v>240</v>
      </c>
      <c r="H923" s="31" t="s">
        <v>239</v>
      </c>
      <c r="I923" s="33">
        <v>9</v>
      </c>
      <c r="J923" s="34" t="s">
        <v>93</v>
      </c>
      <c r="K923" s="35">
        <v>104</v>
      </c>
      <c r="L923" s="36">
        <f>+K923*I923</f>
        <v>936</v>
      </c>
      <c r="M923" s="37" t="s">
        <v>781</v>
      </c>
      <c r="N923" s="23" t="s">
        <v>902</v>
      </c>
      <c r="O923" s="23">
        <v>23</v>
      </c>
      <c r="P923" s="23" t="s">
        <v>903</v>
      </c>
      <c r="Q923" s="23">
        <v>21</v>
      </c>
      <c r="R923" s="23"/>
      <c r="S923" s="23"/>
      <c r="T923" s="7">
        <v>6405</v>
      </c>
      <c r="U923" s="7" t="s">
        <v>1700</v>
      </c>
      <c r="V923" s="7" t="s">
        <v>1689</v>
      </c>
      <c r="W923" s="7" t="s">
        <v>1690</v>
      </c>
      <c r="X923" s="17"/>
      <c r="Y923" s="17"/>
      <c r="Z923" s="17"/>
      <c r="AA923" s="17"/>
      <c r="AB923" s="7" t="s">
        <v>1097</v>
      </c>
      <c r="AC923" s="8" t="s">
        <v>726</v>
      </c>
      <c r="AD923" s="8" t="s">
        <v>726</v>
      </c>
      <c r="AE923" s="8" t="s">
        <v>726</v>
      </c>
      <c r="AF923" s="8"/>
      <c r="AG923" s="8"/>
      <c r="AH923" s="8" t="s">
        <v>726</v>
      </c>
      <c r="AI923" s="8"/>
      <c r="AJ923" s="8"/>
      <c r="AK923" s="8" t="s">
        <v>726</v>
      </c>
      <c r="AL923" s="8"/>
      <c r="AM923" s="8"/>
      <c r="AN923" s="8"/>
      <c r="AO923" s="8"/>
      <c r="AP923" s="8"/>
      <c r="AQ923" s="8"/>
      <c r="AR923" s="8"/>
      <c r="AS923" s="8"/>
      <c r="AT923" s="8"/>
      <c r="AU923" s="8"/>
      <c r="AV923" s="8"/>
      <c r="AX923" s="142">
        <v>50.17</v>
      </c>
    </row>
    <row r="924" spans="2:50" ht="45">
      <c r="B924" s="27">
        <v>909</v>
      </c>
      <c r="C924" s="31">
        <v>645</v>
      </c>
      <c r="D924" s="31">
        <v>44</v>
      </c>
      <c r="E924" s="123">
        <v>0.45833333333333331</v>
      </c>
      <c r="F924" s="123">
        <v>0.46527777777777773</v>
      </c>
      <c r="G924" s="31" t="s">
        <v>574</v>
      </c>
      <c r="H924" s="31" t="s">
        <v>573</v>
      </c>
      <c r="I924" s="33">
        <v>6</v>
      </c>
      <c r="J924" s="58">
        <v>23</v>
      </c>
      <c r="K924" s="35">
        <v>4</v>
      </c>
      <c r="L924" s="36">
        <f>+K924*I924</f>
        <v>24</v>
      </c>
      <c r="M924" s="37" t="s">
        <v>1138</v>
      </c>
      <c r="N924" s="23" t="s">
        <v>943</v>
      </c>
      <c r="O924" s="23">
        <v>24</v>
      </c>
      <c r="P924" s="23" t="s">
        <v>944</v>
      </c>
      <c r="Q924" s="23">
        <v>21</v>
      </c>
      <c r="S924" s="23"/>
      <c r="T924" s="7">
        <v>6300</v>
      </c>
      <c r="U924" s="7" t="s">
        <v>1282</v>
      </c>
      <c r="V924" s="7" t="s">
        <v>1696</v>
      </c>
      <c r="W924" s="7" t="s">
        <v>1697</v>
      </c>
      <c r="X924" s="17"/>
      <c r="Y924" s="18"/>
      <c r="Z924" s="18"/>
      <c r="AA924" s="18"/>
      <c r="AB924" s="8" t="s">
        <v>1096</v>
      </c>
      <c r="AC924" s="8"/>
      <c r="AD924" s="8" t="s">
        <v>726</v>
      </c>
      <c r="AE924" s="8" t="s">
        <v>726</v>
      </c>
      <c r="AF924" s="8"/>
      <c r="AG924" s="8"/>
      <c r="AH924" s="8"/>
      <c r="AI924" s="8" t="s">
        <v>726</v>
      </c>
      <c r="AJ924" s="8"/>
      <c r="AK924" s="8"/>
      <c r="AL924" s="8"/>
      <c r="AM924" s="8"/>
      <c r="AN924" s="8"/>
      <c r="AO924" s="8"/>
      <c r="AP924" s="8"/>
      <c r="AQ924" s="8"/>
      <c r="AR924" s="8"/>
      <c r="AS924" s="8"/>
      <c r="AT924" s="8"/>
      <c r="AU924" s="8"/>
      <c r="AV924" s="8"/>
      <c r="AX924" s="142">
        <v>18</v>
      </c>
    </row>
    <row r="925" spans="2:50" ht="25.5">
      <c r="B925" s="27">
        <v>910</v>
      </c>
      <c r="C925" s="31">
        <v>645</v>
      </c>
      <c r="D925" s="31">
        <v>786</v>
      </c>
      <c r="E925" s="32">
        <v>0.54583333333333328</v>
      </c>
      <c r="F925" s="32">
        <v>0.54722222222222217</v>
      </c>
      <c r="G925" s="31" t="s">
        <v>437</v>
      </c>
      <c r="H925" s="31" t="s">
        <v>97</v>
      </c>
      <c r="I925" s="33">
        <v>3</v>
      </c>
      <c r="J925" s="34" t="s">
        <v>93</v>
      </c>
      <c r="K925" s="35">
        <v>208</v>
      </c>
      <c r="L925" s="36">
        <f>+K925*I925</f>
        <v>624</v>
      </c>
      <c r="M925" s="37" t="s">
        <v>781</v>
      </c>
      <c r="N925" s="23" t="s">
        <v>975</v>
      </c>
      <c r="O925" s="23">
        <v>21</v>
      </c>
      <c r="P925" s="23" t="s">
        <v>1213</v>
      </c>
      <c r="Q925" s="23">
        <v>23</v>
      </c>
      <c r="R925" s="23"/>
      <c r="S925" s="23"/>
      <c r="T925" s="7">
        <v>6403</v>
      </c>
      <c r="U925" s="7" t="s">
        <v>1701</v>
      </c>
      <c r="V925" s="7">
        <v>6403</v>
      </c>
      <c r="W925" s="7" t="s">
        <v>1701</v>
      </c>
      <c r="X925" s="18"/>
      <c r="Y925" s="17"/>
      <c r="Z925" s="17"/>
      <c r="AA925" s="17"/>
      <c r="AB925" s="7" t="s">
        <v>1046</v>
      </c>
      <c r="AC925" s="8"/>
      <c r="AD925" s="8"/>
      <c r="AE925" s="8"/>
      <c r="AF925" s="8" t="s">
        <v>726</v>
      </c>
      <c r="AG925" s="8" t="s">
        <v>726</v>
      </c>
      <c r="AH925" s="8" t="s">
        <v>726</v>
      </c>
      <c r="AI925" s="8" t="s">
        <v>726</v>
      </c>
      <c r="AJ925" s="8" t="s">
        <v>726</v>
      </c>
      <c r="AK925" s="8" t="s">
        <v>726</v>
      </c>
      <c r="AL925" s="8" t="s">
        <v>726</v>
      </c>
      <c r="AM925" s="8"/>
      <c r="AN925" s="8"/>
      <c r="AO925" s="8"/>
      <c r="AP925" s="8"/>
      <c r="AQ925" s="8"/>
      <c r="AR925" s="8"/>
      <c r="AS925" s="8"/>
      <c r="AT925" s="8"/>
      <c r="AU925" s="8"/>
      <c r="AV925" s="8"/>
      <c r="AX925" s="142">
        <v>9</v>
      </c>
    </row>
    <row r="926" spans="2:50" ht="25.5">
      <c r="B926" s="27">
        <v>911</v>
      </c>
      <c r="C926" s="31">
        <v>645</v>
      </c>
      <c r="D926" s="31">
        <v>786</v>
      </c>
      <c r="E926" s="32">
        <v>0.54722222222222217</v>
      </c>
      <c r="F926" s="32">
        <v>0.55277777777777781</v>
      </c>
      <c r="G926" s="31" t="s">
        <v>435</v>
      </c>
      <c r="H926" s="31" t="s">
        <v>436</v>
      </c>
      <c r="I926" s="33">
        <v>3.1</v>
      </c>
      <c r="J926" s="34" t="s">
        <v>125</v>
      </c>
      <c r="K926" s="35">
        <f>174-33-34</f>
        <v>107</v>
      </c>
      <c r="L926" s="36">
        <f>+K926*I926</f>
        <v>331.7</v>
      </c>
      <c r="M926" s="37" t="s">
        <v>781</v>
      </c>
      <c r="N926" s="23" t="s">
        <v>903</v>
      </c>
      <c r="O926" s="23">
        <v>21</v>
      </c>
      <c r="P926" s="23" t="s">
        <v>902</v>
      </c>
      <c r="Q926" s="23">
        <v>23</v>
      </c>
      <c r="R926" s="23" t="s">
        <v>901</v>
      </c>
      <c r="S926" s="24">
        <v>9</v>
      </c>
      <c r="T926" s="7">
        <v>6403</v>
      </c>
      <c r="U926" s="7" t="s">
        <v>1701</v>
      </c>
      <c r="V926" s="7" t="s">
        <v>1689</v>
      </c>
      <c r="W926" s="7" t="s">
        <v>1690</v>
      </c>
      <c r="X926" s="18"/>
      <c r="Y926" s="17"/>
      <c r="Z926" s="17"/>
      <c r="AA926" s="17"/>
      <c r="AB926" s="7" t="s">
        <v>1092</v>
      </c>
      <c r="AC926" s="8"/>
      <c r="AD926" s="8"/>
      <c r="AE926" s="8"/>
      <c r="AF926" s="8" t="s">
        <v>726</v>
      </c>
      <c r="AG926" s="8"/>
      <c r="AH926" s="8" t="s">
        <v>726</v>
      </c>
      <c r="AI926" s="8" t="s">
        <v>726</v>
      </c>
      <c r="AJ926" s="8"/>
      <c r="AK926" s="8" t="s">
        <v>726</v>
      </c>
      <c r="AL926" s="8"/>
      <c r="AM926" s="8"/>
      <c r="AN926" s="8"/>
      <c r="AO926" s="8"/>
      <c r="AP926" s="8"/>
      <c r="AQ926" s="8"/>
      <c r="AR926" s="8"/>
      <c r="AS926" s="8"/>
      <c r="AT926" s="8"/>
      <c r="AU926" s="8"/>
      <c r="AV926" s="8"/>
      <c r="AX926" s="142">
        <v>6.2</v>
      </c>
    </row>
    <row r="927" spans="2:50" ht="33.75">
      <c r="B927" s="27">
        <v>912</v>
      </c>
      <c r="C927" s="31">
        <v>645</v>
      </c>
      <c r="D927" s="31">
        <v>682</v>
      </c>
      <c r="E927" s="32">
        <v>0.5541666666666667</v>
      </c>
      <c r="F927" s="32">
        <v>0.59861111111111109</v>
      </c>
      <c r="G927" s="31" t="s">
        <v>429</v>
      </c>
      <c r="H927" s="31" t="s">
        <v>103</v>
      </c>
      <c r="I927" s="33">
        <f>41.5+3.2</f>
        <v>44.7</v>
      </c>
      <c r="J927" s="34" t="s">
        <v>111</v>
      </c>
      <c r="K927" s="35">
        <v>174</v>
      </c>
      <c r="L927" s="36">
        <f>+K927*I927</f>
        <v>7777.8</v>
      </c>
      <c r="M927" s="37" t="s">
        <v>781</v>
      </c>
      <c r="N927" s="23" t="s">
        <v>904</v>
      </c>
      <c r="O927" s="23">
        <v>61</v>
      </c>
      <c r="P927" s="23" t="s">
        <v>1214</v>
      </c>
      <c r="Q927" s="23">
        <v>45</v>
      </c>
      <c r="R927" s="23" t="s">
        <v>1851</v>
      </c>
      <c r="S927" s="24">
        <v>58</v>
      </c>
      <c r="T927" s="7" t="s">
        <v>1702</v>
      </c>
      <c r="U927" s="7" t="s">
        <v>1703</v>
      </c>
      <c r="V927" s="7">
        <v>6407</v>
      </c>
      <c r="W927" s="7" t="s">
        <v>1704</v>
      </c>
      <c r="X927" s="18"/>
      <c r="Y927" s="17"/>
      <c r="Z927" s="17"/>
      <c r="AA927" s="17"/>
      <c r="AB927" s="7" t="s">
        <v>1042</v>
      </c>
      <c r="AC927" s="8"/>
      <c r="AD927" s="8"/>
      <c r="AE927" s="8"/>
      <c r="AF927" s="8" t="s">
        <v>726</v>
      </c>
      <c r="AG927" s="8" t="s">
        <v>726</v>
      </c>
      <c r="AH927" s="8" t="s">
        <v>726</v>
      </c>
      <c r="AI927" s="8" t="s">
        <v>726</v>
      </c>
      <c r="AJ927" s="8" t="s">
        <v>726</v>
      </c>
      <c r="AK927" s="8" t="s">
        <v>726</v>
      </c>
      <c r="AL927" s="8"/>
      <c r="AM927" s="8"/>
      <c r="AN927" s="8"/>
      <c r="AO927" s="8"/>
      <c r="AP927" s="8"/>
      <c r="AQ927" s="8"/>
      <c r="AR927" s="8"/>
      <c r="AS927" s="8"/>
      <c r="AT927" s="8"/>
      <c r="AU927" s="8"/>
      <c r="AV927" s="8"/>
      <c r="AX927" s="142">
        <v>134.1</v>
      </c>
    </row>
    <row r="928" spans="2:50" ht="33.75">
      <c r="B928" s="27">
        <v>913</v>
      </c>
      <c r="C928" s="31">
        <v>645</v>
      </c>
      <c r="D928" s="31">
        <v>314</v>
      </c>
      <c r="E928" s="32">
        <v>0.7631944444444444</v>
      </c>
      <c r="F928" s="32">
        <v>0.77986111111111101</v>
      </c>
      <c r="G928" s="31" t="s">
        <v>412</v>
      </c>
      <c r="H928" s="31" t="s">
        <v>477</v>
      </c>
      <c r="I928" s="33">
        <v>12.4</v>
      </c>
      <c r="J928" s="34" t="s">
        <v>146</v>
      </c>
      <c r="K928" s="35">
        <v>240</v>
      </c>
      <c r="L928" s="36">
        <f>+K928*I928</f>
        <v>2976</v>
      </c>
      <c r="M928" s="37" t="s">
        <v>777</v>
      </c>
      <c r="N928" s="23" t="s">
        <v>918</v>
      </c>
      <c r="O928" s="23">
        <v>17</v>
      </c>
      <c r="P928" s="23" t="s">
        <v>917</v>
      </c>
      <c r="Q928" s="23">
        <v>21</v>
      </c>
      <c r="R928" s="23"/>
      <c r="S928" s="23"/>
      <c r="T928" s="7">
        <v>6401</v>
      </c>
      <c r="U928" s="7" t="s">
        <v>1705</v>
      </c>
      <c r="V928" s="7">
        <v>6407</v>
      </c>
      <c r="W928" s="7" t="s">
        <v>1704</v>
      </c>
      <c r="X928" s="18"/>
      <c r="Y928" s="17"/>
      <c r="Z928" s="18"/>
      <c r="AA928" s="18"/>
      <c r="AB928" s="7" t="s">
        <v>1052</v>
      </c>
      <c r="AC928" s="8" t="s">
        <v>726</v>
      </c>
      <c r="AD928" s="8"/>
      <c r="AE928" s="8" t="s">
        <v>726</v>
      </c>
      <c r="AF928" s="8"/>
      <c r="AG928" s="8" t="s">
        <v>726</v>
      </c>
      <c r="AH928" s="8" t="s">
        <v>726</v>
      </c>
      <c r="AI928" s="8" t="s">
        <v>726</v>
      </c>
      <c r="AJ928" s="8" t="s">
        <v>726</v>
      </c>
      <c r="AK928" s="8" t="s">
        <v>726</v>
      </c>
      <c r="AL928" s="8" t="s">
        <v>726</v>
      </c>
      <c r="AM928" s="8"/>
      <c r="AN928" s="8"/>
      <c r="AO928" s="8"/>
      <c r="AP928" s="8"/>
      <c r="AQ928" s="8"/>
      <c r="AR928" s="8"/>
      <c r="AS928" s="8"/>
      <c r="AT928" s="8"/>
      <c r="AU928" s="8"/>
      <c r="AV928" s="8"/>
      <c r="AX928" s="142">
        <v>31</v>
      </c>
    </row>
    <row r="929" spans="1:50" ht="25.5">
      <c r="B929" s="27">
        <v>914</v>
      </c>
      <c r="C929" s="31">
        <v>645</v>
      </c>
      <c r="D929" s="43">
        <v>312</v>
      </c>
      <c r="E929" s="42">
        <v>0.79166666666666663</v>
      </c>
      <c r="F929" s="42">
        <v>0.81805555555555554</v>
      </c>
      <c r="G929" s="31" t="s">
        <v>580</v>
      </c>
      <c r="H929" s="31" t="s">
        <v>423</v>
      </c>
      <c r="I929" s="33">
        <v>19</v>
      </c>
      <c r="J929" s="34" t="s">
        <v>93</v>
      </c>
      <c r="K929" s="35">
        <v>67</v>
      </c>
      <c r="L929" s="36">
        <f>+K929*I929</f>
        <v>1273</v>
      </c>
      <c r="M929" s="37" t="s">
        <v>779</v>
      </c>
      <c r="N929" s="23" t="s">
        <v>957</v>
      </c>
      <c r="O929" s="23">
        <v>24</v>
      </c>
      <c r="P929" s="23" t="s">
        <v>958</v>
      </c>
      <c r="Q929" s="23">
        <v>20</v>
      </c>
      <c r="S929" s="23"/>
      <c r="T929" s="7" t="s">
        <v>1706</v>
      </c>
      <c r="U929" s="7" t="s">
        <v>1707</v>
      </c>
      <c r="V929" s="7">
        <v>6407</v>
      </c>
      <c r="W929" s="7" t="s">
        <v>1704</v>
      </c>
      <c r="X929" s="17"/>
      <c r="Y929" s="18"/>
      <c r="Z929" s="18"/>
      <c r="AA929" s="18"/>
      <c r="AB929" s="8" t="s">
        <v>1047</v>
      </c>
      <c r="AC929" s="8"/>
      <c r="AD929" s="8" t="s">
        <v>726</v>
      </c>
      <c r="AE929" s="8" t="s">
        <v>726</v>
      </c>
      <c r="AF929" s="8"/>
      <c r="AG929" s="8" t="s">
        <v>726</v>
      </c>
      <c r="AH929" s="8" t="s">
        <v>726</v>
      </c>
      <c r="AI929" s="8" t="s">
        <v>726</v>
      </c>
      <c r="AJ929" s="8" t="s">
        <v>726</v>
      </c>
      <c r="AK929" s="8" t="s">
        <v>726</v>
      </c>
      <c r="AL929" s="8" t="s">
        <v>726</v>
      </c>
      <c r="AM929" s="8"/>
      <c r="AN929" s="8"/>
      <c r="AO929" s="8"/>
      <c r="AP929" s="8"/>
      <c r="AQ929" s="8"/>
      <c r="AR929" s="8"/>
      <c r="AS929" s="8"/>
      <c r="AT929" s="8"/>
      <c r="AU929" s="8"/>
      <c r="AV929" s="8"/>
      <c r="AW929" s="10"/>
      <c r="AX929" s="142">
        <v>84.76028512740254</v>
      </c>
    </row>
    <row r="930" spans="1:50" ht="25.5">
      <c r="B930" s="27">
        <v>915</v>
      </c>
      <c r="C930" s="31">
        <v>645</v>
      </c>
      <c r="D930" s="31">
        <v>418</v>
      </c>
      <c r="E930" s="32">
        <v>0.79861111111111116</v>
      </c>
      <c r="F930" s="32">
        <v>0.83263888888888893</v>
      </c>
      <c r="G930" s="31" t="s">
        <v>411</v>
      </c>
      <c r="H930" s="31" t="s">
        <v>477</v>
      </c>
      <c r="I930" s="33">
        <v>25.7</v>
      </c>
      <c r="J930" s="34" t="s">
        <v>125</v>
      </c>
      <c r="K930" s="35">
        <v>240</v>
      </c>
      <c r="L930" s="36">
        <f>+K930*I930</f>
        <v>6168</v>
      </c>
      <c r="M930" s="37" t="s">
        <v>779</v>
      </c>
      <c r="N930" s="79" t="s">
        <v>957</v>
      </c>
      <c r="O930" s="79">
        <v>24</v>
      </c>
      <c r="P930" s="23" t="s">
        <v>1215</v>
      </c>
      <c r="Q930" s="23">
        <v>56</v>
      </c>
      <c r="R930" s="23" t="s">
        <v>958</v>
      </c>
      <c r="S930" s="24">
        <v>20</v>
      </c>
      <c r="T930" s="7">
        <v>6300</v>
      </c>
      <c r="U930" s="7" t="s">
        <v>1282</v>
      </c>
      <c r="V930" s="7">
        <v>6405</v>
      </c>
      <c r="W930" s="7" t="s">
        <v>1700</v>
      </c>
      <c r="X930" s="18"/>
      <c r="Y930" s="17"/>
      <c r="Z930" s="18"/>
      <c r="AA930" s="18"/>
      <c r="AB930" s="7" t="s">
        <v>1052</v>
      </c>
      <c r="AC930" s="8" t="s">
        <v>726</v>
      </c>
      <c r="AD930" s="8"/>
      <c r="AE930" s="8" t="s">
        <v>726</v>
      </c>
      <c r="AF930" s="8"/>
      <c r="AG930" s="8" t="s">
        <v>726</v>
      </c>
      <c r="AH930" s="8" t="s">
        <v>726</v>
      </c>
      <c r="AI930" s="8" t="s">
        <v>726</v>
      </c>
      <c r="AJ930" s="8" t="s">
        <v>726</v>
      </c>
      <c r="AK930" s="8" t="s">
        <v>726</v>
      </c>
      <c r="AL930" s="8" t="s">
        <v>726</v>
      </c>
      <c r="AM930" s="8"/>
      <c r="AN930" s="8"/>
      <c r="AO930" s="8"/>
      <c r="AP930" s="8"/>
      <c r="AQ930" s="8"/>
      <c r="AR930" s="8"/>
      <c r="AS930" s="8"/>
      <c r="AT930" s="8"/>
      <c r="AU930" s="8"/>
      <c r="AV930" s="8"/>
      <c r="AW930" s="10"/>
      <c r="AX930" s="142">
        <v>114.64943830390764</v>
      </c>
    </row>
    <row r="931" spans="1:50" ht="25.5">
      <c r="B931" s="27">
        <v>916</v>
      </c>
      <c r="C931" s="31">
        <v>645</v>
      </c>
      <c r="D931" s="31">
        <v>419</v>
      </c>
      <c r="E931" s="32">
        <v>0.81944444444444453</v>
      </c>
      <c r="F931" s="32">
        <v>0.83611111111111114</v>
      </c>
      <c r="G931" s="31" t="s">
        <v>581</v>
      </c>
      <c r="H931" s="31" t="s">
        <v>423</v>
      </c>
      <c r="I931" s="33">
        <v>12</v>
      </c>
      <c r="J931" s="34" t="s">
        <v>93</v>
      </c>
      <c r="K931" s="35">
        <v>67</v>
      </c>
      <c r="L931" s="36">
        <f>+K931*I931</f>
        <v>804</v>
      </c>
      <c r="M931" s="37" t="s">
        <v>779</v>
      </c>
      <c r="N931" s="23" t="s">
        <v>957</v>
      </c>
      <c r="O931" s="23">
        <v>24</v>
      </c>
      <c r="P931" s="23" t="s">
        <v>958</v>
      </c>
      <c r="Q931" s="23">
        <v>20</v>
      </c>
      <c r="S931" s="23"/>
      <c r="T931" s="7">
        <v>6407</v>
      </c>
      <c r="U931" s="7" t="s">
        <v>1704</v>
      </c>
      <c r="V931" s="7">
        <v>6401</v>
      </c>
      <c r="W931" s="7" t="s">
        <v>1705</v>
      </c>
      <c r="X931" s="17"/>
      <c r="Y931" s="18"/>
      <c r="Z931" s="18"/>
      <c r="AA931" s="18"/>
      <c r="AB931" s="8" t="s">
        <v>1047</v>
      </c>
      <c r="AC931" s="8"/>
      <c r="AD931" s="8" t="s">
        <v>726</v>
      </c>
      <c r="AE931" s="8" t="s">
        <v>726</v>
      </c>
      <c r="AF931" s="8"/>
      <c r="AG931" s="8" t="s">
        <v>726</v>
      </c>
      <c r="AH931" s="8" t="s">
        <v>726</v>
      </c>
      <c r="AI931" s="8" t="s">
        <v>726</v>
      </c>
      <c r="AJ931" s="8" t="s">
        <v>726</v>
      </c>
      <c r="AK931" s="8" t="s">
        <v>726</v>
      </c>
      <c r="AL931" s="8" t="s">
        <v>726</v>
      </c>
      <c r="AM931" s="8"/>
      <c r="AN931" s="8"/>
      <c r="AO931" s="8"/>
      <c r="AP931" s="8"/>
      <c r="AQ931" s="8"/>
      <c r="AR931" s="8"/>
      <c r="AS931" s="8"/>
      <c r="AT931" s="8"/>
      <c r="AU931" s="8"/>
      <c r="AV931" s="8"/>
      <c r="AW931" s="10"/>
      <c r="AX931" s="142">
        <v>53.532811659412133</v>
      </c>
    </row>
    <row r="932" spans="1:50" ht="33.75">
      <c r="B932" s="27">
        <v>917</v>
      </c>
      <c r="C932" s="31">
        <v>646</v>
      </c>
      <c r="D932" s="34">
        <v>653</v>
      </c>
      <c r="E932" s="32">
        <v>0.25694444444444448</v>
      </c>
      <c r="F932" s="32">
        <v>0.2673611111111111</v>
      </c>
      <c r="G932" s="31" t="s">
        <v>249</v>
      </c>
      <c r="H932" s="31" t="s">
        <v>97</v>
      </c>
      <c r="I932" s="33">
        <v>14</v>
      </c>
      <c r="J932" s="34" t="s">
        <v>146</v>
      </c>
      <c r="K932" s="35">
        <v>208</v>
      </c>
      <c r="L932" s="36">
        <f>+K932*I932</f>
        <v>2912</v>
      </c>
      <c r="M932" s="37" t="s">
        <v>780</v>
      </c>
      <c r="N932" s="23" t="s">
        <v>948</v>
      </c>
      <c r="O932" s="23">
        <v>17</v>
      </c>
      <c r="P932" s="23" t="s">
        <v>1209</v>
      </c>
      <c r="Q932" s="23">
        <v>17</v>
      </c>
      <c r="R932" s="23" t="s">
        <v>1210</v>
      </c>
      <c r="S932" s="23">
        <v>23</v>
      </c>
      <c r="T932" s="7">
        <v>6410</v>
      </c>
      <c r="U932" s="7" t="s">
        <v>1708</v>
      </c>
      <c r="V932" s="7">
        <v>6408</v>
      </c>
      <c r="W932" s="7" t="s">
        <v>1709</v>
      </c>
      <c r="X932" s="18"/>
      <c r="Y932" s="17"/>
      <c r="Z932" s="17"/>
      <c r="AA932" s="17"/>
      <c r="AB932" s="7" t="s">
        <v>1046</v>
      </c>
      <c r="AC932" s="8"/>
      <c r="AD932" s="8"/>
      <c r="AE932" s="8"/>
      <c r="AF932" s="8" t="s">
        <v>726</v>
      </c>
      <c r="AG932" s="8" t="s">
        <v>726</v>
      </c>
      <c r="AH932" s="8" t="s">
        <v>726</v>
      </c>
      <c r="AI932" s="8" t="s">
        <v>726</v>
      </c>
      <c r="AJ932" s="8" t="s">
        <v>726</v>
      </c>
      <c r="AK932" s="8" t="s">
        <v>726</v>
      </c>
      <c r="AL932" s="8" t="s">
        <v>726</v>
      </c>
      <c r="AM932" s="8"/>
      <c r="AN932" s="8"/>
      <c r="AO932" s="8"/>
      <c r="AP932" s="8"/>
      <c r="AQ932" s="8"/>
      <c r="AR932" s="8"/>
      <c r="AS932" s="8"/>
      <c r="AT932" s="8"/>
      <c r="AU932" s="8"/>
      <c r="AV932" s="8"/>
      <c r="AW932" s="10"/>
      <c r="AX932" s="142">
        <v>57.240169633172705</v>
      </c>
    </row>
    <row r="933" spans="1:50" ht="33.75">
      <c r="B933" s="27">
        <v>918</v>
      </c>
      <c r="C933" s="31">
        <v>646</v>
      </c>
      <c r="D933" s="34">
        <v>682</v>
      </c>
      <c r="E933" s="32">
        <v>0.59027777777777779</v>
      </c>
      <c r="F933" s="42">
        <v>0.60486111111111118</v>
      </c>
      <c r="G933" s="31" t="s">
        <v>660</v>
      </c>
      <c r="H933" s="31" t="s">
        <v>103</v>
      </c>
      <c r="I933" s="33">
        <v>15</v>
      </c>
      <c r="J933" s="34">
        <v>16</v>
      </c>
      <c r="K933" s="35">
        <v>174</v>
      </c>
      <c r="L933" s="36">
        <f>+K933*I933</f>
        <v>2610</v>
      </c>
      <c r="M933" s="37" t="s">
        <v>780</v>
      </c>
      <c r="N933" s="23" t="s">
        <v>949</v>
      </c>
      <c r="O933" s="23">
        <v>9</v>
      </c>
      <c r="P933" s="23" t="s">
        <v>1209</v>
      </c>
      <c r="Q933" s="23">
        <v>17</v>
      </c>
      <c r="R933" s="23" t="s">
        <v>1211</v>
      </c>
      <c r="S933" s="24">
        <v>9</v>
      </c>
      <c r="T933" s="7" t="s">
        <v>1710</v>
      </c>
      <c r="U933" s="7" t="s">
        <v>1711</v>
      </c>
      <c r="V933" s="7">
        <v>6410</v>
      </c>
      <c r="W933" s="7" t="s">
        <v>1708</v>
      </c>
      <c r="X933" s="18"/>
      <c r="Y933" s="17"/>
      <c r="Z933" s="17"/>
      <c r="AA933" s="17"/>
      <c r="AB933" s="7" t="s">
        <v>1042</v>
      </c>
      <c r="AC933" s="8"/>
      <c r="AD933" s="8"/>
      <c r="AE933" s="8"/>
      <c r="AF933" s="8" t="s">
        <v>726</v>
      </c>
      <c r="AG933" s="8" t="s">
        <v>726</v>
      </c>
      <c r="AH933" s="8" t="s">
        <v>726</v>
      </c>
      <c r="AI933" s="8" t="s">
        <v>726</v>
      </c>
      <c r="AJ933" s="8" t="s">
        <v>726</v>
      </c>
      <c r="AK933" s="8" t="s">
        <v>726</v>
      </c>
      <c r="AL933" s="8"/>
      <c r="AM933" s="8"/>
      <c r="AN933" s="8"/>
      <c r="AO933" s="8"/>
      <c r="AP933" s="8"/>
      <c r="AQ933" s="8"/>
      <c r="AR933" s="8"/>
      <c r="AS933" s="8"/>
      <c r="AT933" s="8"/>
      <c r="AU933" s="8"/>
      <c r="AV933" s="8"/>
      <c r="AW933" s="10"/>
      <c r="AX933" s="142">
        <v>61.328753178399332</v>
      </c>
    </row>
    <row r="934" spans="1:50" ht="33.75">
      <c r="B934" s="27">
        <v>919</v>
      </c>
      <c r="C934" s="31">
        <v>646</v>
      </c>
      <c r="D934" s="54">
        <v>445</v>
      </c>
      <c r="E934" s="32">
        <v>0.60763888888888895</v>
      </c>
      <c r="F934" s="32">
        <v>0.62222222222222223</v>
      </c>
      <c r="G934" s="31" t="s">
        <v>561</v>
      </c>
      <c r="H934" s="31" t="s">
        <v>103</v>
      </c>
      <c r="I934" s="33">
        <v>11</v>
      </c>
      <c r="J934" s="34">
        <v>16</v>
      </c>
      <c r="K934" s="35">
        <v>174</v>
      </c>
      <c r="L934" s="36">
        <f>+K934*I934</f>
        <v>1914</v>
      </c>
      <c r="M934" s="37" t="s">
        <v>780</v>
      </c>
      <c r="N934" s="23" t="s">
        <v>949</v>
      </c>
      <c r="O934" s="23">
        <v>9</v>
      </c>
      <c r="P934" s="23" t="s">
        <v>1209</v>
      </c>
      <c r="Q934" s="23">
        <v>17</v>
      </c>
      <c r="R934" s="23" t="s">
        <v>1211</v>
      </c>
      <c r="S934" s="24">
        <v>9</v>
      </c>
      <c r="T934" s="7">
        <v>6410</v>
      </c>
      <c r="U934" s="7" t="s">
        <v>1708</v>
      </c>
      <c r="V934" s="7">
        <v>6408</v>
      </c>
      <c r="W934" s="7" t="s">
        <v>1709</v>
      </c>
      <c r="X934" s="18"/>
      <c r="Y934" s="17"/>
      <c r="Z934" s="17"/>
      <c r="AA934" s="17"/>
      <c r="AB934" s="7" t="s">
        <v>1042</v>
      </c>
      <c r="AC934" s="8"/>
      <c r="AD934" s="8"/>
      <c r="AE934" s="8"/>
      <c r="AF934" s="8" t="s">
        <v>726</v>
      </c>
      <c r="AG934" s="8" t="s">
        <v>726</v>
      </c>
      <c r="AH934" s="8" t="s">
        <v>726</v>
      </c>
      <c r="AI934" s="8" t="s">
        <v>726</v>
      </c>
      <c r="AJ934" s="8" t="s">
        <v>726</v>
      </c>
      <c r="AK934" s="8" t="s">
        <v>726</v>
      </c>
      <c r="AL934" s="8"/>
      <c r="AM934" s="8"/>
      <c r="AN934" s="8"/>
      <c r="AO934" s="8"/>
      <c r="AP934" s="8"/>
      <c r="AQ934" s="8"/>
      <c r="AR934" s="8"/>
      <c r="AS934" s="8"/>
      <c r="AT934" s="8"/>
      <c r="AU934" s="8"/>
      <c r="AV934" s="8"/>
      <c r="AW934" s="10"/>
      <c r="AX934" s="142">
        <v>44.97441899749284</v>
      </c>
    </row>
    <row r="935" spans="1:50" ht="51">
      <c r="B935" s="27">
        <v>920</v>
      </c>
      <c r="C935" s="31">
        <v>646</v>
      </c>
      <c r="D935" s="34">
        <v>655</v>
      </c>
      <c r="E935" s="32">
        <v>0.64027777777777783</v>
      </c>
      <c r="F935" s="32">
        <v>0.68263888888888891</v>
      </c>
      <c r="G935" s="31" t="s">
        <v>248</v>
      </c>
      <c r="H935" s="31" t="s">
        <v>103</v>
      </c>
      <c r="I935" s="33">
        <v>27</v>
      </c>
      <c r="J935" s="34">
        <v>16</v>
      </c>
      <c r="K935" s="35">
        <v>174</v>
      </c>
      <c r="L935" s="36">
        <f>+K935*I935</f>
        <v>4698</v>
      </c>
      <c r="M935" s="37" t="s">
        <v>780</v>
      </c>
      <c r="N935" s="23" t="s">
        <v>949</v>
      </c>
      <c r="O935" s="23">
        <v>9</v>
      </c>
      <c r="P935" s="23" t="s">
        <v>1209</v>
      </c>
      <c r="Q935" s="23">
        <v>17</v>
      </c>
      <c r="S935" s="23"/>
      <c r="T935" s="7">
        <v>6410</v>
      </c>
      <c r="U935" s="7" t="s">
        <v>1708</v>
      </c>
      <c r="V935" s="7" t="s">
        <v>1712</v>
      </c>
      <c r="W935" s="7" t="s">
        <v>1713</v>
      </c>
      <c r="X935" s="18"/>
      <c r="Y935" s="17"/>
      <c r="Z935" s="17"/>
      <c r="AA935" s="17"/>
      <c r="AB935" s="7" t="s">
        <v>1042</v>
      </c>
      <c r="AC935" s="8"/>
      <c r="AD935" s="8"/>
      <c r="AE935" s="8"/>
      <c r="AF935" s="8" t="s">
        <v>726</v>
      </c>
      <c r="AG935" s="8" t="s">
        <v>726</v>
      </c>
      <c r="AH935" s="8" t="s">
        <v>726</v>
      </c>
      <c r="AI935" s="8" t="s">
        <v>726</v>
      </c>
      <c r="AJ935" s="8" t="s">
        <v>726</v>
      </c>
      <c r="AK935" s="8" t="s">
        <v>726</v>
      </c>
      <c r="AL935" s="8"/>
      <c r="AM935" s="8"/>
      <c r="AN935" s="8"/>
      <c r="AO935" s="8"/>
      <c r="AP935" s="8"/>
      <c r="AQ935" s="8"/>
      <c r="AR935" s="8"/>
      <c r="AS935" s="8"/>
      <c r="AT935" s="8"/>
      <c r="AU935" s="8"/>
      <c r="AV935" s="8"/>
      <c r="AW935" s="10"/>
      <c r="AX935" s="142">
        <v>110.3917557211188</v>
      </c>
    </row>
    <row r="936" spans="1:50" ht="33.75">
      <c r="B936" s="27">
        <v>921</v>
      </c>
      <c r="C936" s="31">
        <v>646</v>
      </c>
      <c r="D936" s="34">
        <v>650</v>
      </c>
      <c r="E936" s="32">
        <v>0.67013888888888884</v>
      </c>
      <c r="F936" s="32">
        <v>0.69097222222222221</v>
      </c>
      <c r="G936" s="31" t="s">
        <v>247</v>
      </c>
      <c r="H936" s="31" t="s">
        <v>194</v>
      </c>
      <c r="I936" s="33">
        <v>17</v>
      </c>
      <c r="J936" s="34" t="s">
        <v>125</v>
      </c>
      <c r="K936" s="35">
        <f>34+34+36+33</f>
        <v>137</v>
      </c>
      <c r="L936" s="36">
        <f>+K936*I936</f>
        <v>2329</v>
      </c>
      <c r="M936" s="37" t="s">
        <v>780</v>
      </c>
      <c r="N936" s="23" t="s">
        <v>948</v>
      </c>
      <c r="O936" s="23">
        <v>17</v>
      </c>
      <c r="P936" s="23" t="s">
        <v>1209</v>
      </c>
      <c r="Q936" s="23">
        <v>17</v>
      </c>
      <c r="S936" s="23"/>
      <c r="T936" s="7">
        <v>6395</v>
      </c>
      <c r="U936" s="7" t="s">
        <v>1714</v>
      </c>
      <c r="V936" s="7">
        <v>6410</v>
      </c>
      <c r="W936" s="7" t="s">
        <v>1708</v>
      </c>
      <c r="X936" s="18"/>
      <c r="Y936" s="17"/>
      <c r="Z936" s="17"/>
      <c r="AA936" s="17"/>
      <c r="AB936" s="7" t="s">
        <v>1045</v>
      </c>
      <c r="AC936" s="8"/>
      <c r="AD936" s="8"/>
      <c r="AE936" s="8"/>
      <c r="AF936" s="8" t="s">
        <v>726</v>
      </c>
      <c r="AG936" s="8" t="s">
        <v>726</v>
      </c>
      <c r="AH936" s="8" t="s">
        <v>726</v>
      </c>
      <c r="AI936" s="8" t="s">
        <v>726</v>
      </c>
      <c r="AJ936" s="8" t="s">
        <v>726</v>
      </c>
      <c r="AK936" s="8"/>
      <c r="AL936" s="8"/>
      <c r="AM936" s="8"/>
      <c r="AN936" s="8"/>
      <c r="AO936" s="8"/>
      <c r="AP936" s="8"/>
      <c r="AQ936" s="8"/>
      <c r="AR936" s="8"/>
      <c r="AS936" s="8"/>
      <c r="AT936" s="8"/>
      <c r="AU936" s="8"/>
      <c r="AV936" s="8"/>
      <c r="AW936" s="10"/>
      <c r="AX936" s="142">
        <v>69.505920268852577</v>
      </c>
    </row>
    <row r="937" spans="1:50" ht="63.75">
      <c r="B937" s="27">
        <v>922</v>
      </c>
      <c r="C937" s="31">
        <v>646</v>
      </c>
      <c r="D937" s="31">
        <v>319</v>
      </c>
      <c r="E937" s="42">
        <v>0.73263888888888884</v>
      </c>
      <c r="F937" s="42">
        <v>0.74791666666666667</v>
      </c>
      <c r="G937" s="31" t="s">
        <v>600</v>
      </c>
      <c r="H937" s="31" t="s">
        <v>477</v>
      </c>
      <c r="I937" s="33">
        <v>11.5</v>
      </c>
      <c r="J937" s="34" t="s">
        <v>146</v>
      </c>
      <c r="K937" s="35">
        <v>240</v>
      </c>
      <c r="L937" s="36">
        <f>+K937*I937</f>
        <v>2760</v>
      </c>
      <c r="M937" s="37" t="s">
        <v>777</v>
      </c>
      <c r="N937" s="23" t="s">
        <v>918</v>
      </c>
      <c r="O937" s="23">
        <v>17</v>
      </c>
      <c r="P937" s="23" t="s">
        <v>917</v>
      </c>
      <c r="Q937" s="23">
        <v>21</v>
      </c>
      <c r="R937" s="23"/>
      <c r="S937" s="23"/>
      <c r="T937" s="7" t="s">
        <v>1710</v>
      </c>
      <c r="U937" s="7" t="s">
        <v>1711</v>
      </c>
      <c r="V937" s="7" t="s">
        <v>1706</v>
      </c>
      <c r="W937" s="7" t="s">
        <v>1707</v>
      </c>
      <c r="X937" s="18"/>
      <c r="Y937" s="18">
        <v>44902</v>
      </c>
      <c r="Z937" s="18">
        <v>45005</v>
      </c>
      <c r="AA937" s="18"/>
      <c r="AB937" s="7" t="s">
        <v>1743</v>
      </c>
      <c r="AC937" s="8" t="s">
        <v>726</v>
      </c>
      <c r="AD937" s="8"/>
      <c r="AE937" s="8" t="s">
        <v>726</v>
      </c>
      <c r="AF937" s="8"/>
      <c r="AG937" s="8" t="s">
        <v>726</v>
      </c>
      <c r="AH937" s="8" t="s">
        <v>726</v>
      </c>
      <c r="AI937" s="8" t="s">
        <v>726</v>
      </c>
      <c r="AJ937" s="8" t="s">
        <v>726</v>
      </c>
      <c r="AK937" s="8" t="s">
        <v>726</v>
      </c>
      <c r="AL937" s="8" t="s">
        <v>726</v>
      </c>
      <c r="AM937" s="8"/>
      <c r="AN937" s="8"/>
      <c r="AO937" s="8"/>
      <c r="AP937" s="8"/>
      <c r="AQ937" s="8"/>
      <c r="AR937" s="8"/>
      <c r="AS937" s="8"/>
      <c r="AT937" s="8"/>
      <c r="AU937" s="8"/>
      <c r="AV937" s="8"/>
      <c r="AX937" s="142">
        <v>28.75</v>
      </c>
    </row>
    <row r="938" spans="1:50" ht="45">
      <c r="B938" s="27">
        <v>923</v>
      </c>
      <c r="C938" s="31">
        <v>646</v>
      </c>
      <c r="D938" s="31">
        <v>406</v>
      </c>
      <c r="E938" s="32">
        <v>0.73611111111111116</v>
      </c>
      <c r="F938" s="32">
        <v>0.79513888888888884</v>
      </c>
      <c r="G938" s="31" t="s">
        <v>145</v>
      </c>
      <c r="H938" s="31" t="s">
        <v>103</v>
      </c>
      <c r="I938" s="33">
        <v>43</v>
      </c>
      <c r="J938" s="34" t="s">
        <v>93</v>
      </c>
      <c r="K938" s="35">
        <v>174</v>
      </c>
      <c r="L938" s="36">
        <f>+K938*I938</f>
        <v>7482</v>
      </c>
      <c r="M938" s="37" t="s">
        <v>779</v>
      </c>
      <c r="N938" s="23" t="s">
        <v>957</v>
      </c>
      <c r="O938" s="23">
        <v>24</v>
      </c>
      <c r="P938" s="23" t="s">
        <v>1215</v>
      </c>
      <c r="Q938" s="23">
        <v>56</v>
      </c>
      <c r="R938" s="23" t="s">
        <v>958</v>
      </c>
      <c r="S938" s="24">
        <v>20</v>
      </c>
      <c r="T938" s="9" t="s">
        <v>1878</v>
      </c>
      <c r="U938" s="7" t="s">
        <v>1879</v>
      </c>
      <c r="V938" s="7">
        <v>6300</v>
      </c>
      <c r="W938" s="7" t="s">
        <v>1282</v>
      </c>
      <c r="X938" s="18"/>
      <c r="Y938" s="17"/>
      <c r="Z938" s="17"/>
      <c r="AA938" s="17"/>
      <c r="AB938" s="7" t="s">
        <v>1042</v>
      </c>
      <c r="AC938" s="8"/>
      <c r="AD938" s="8"/>
      <c r="AE938" s="8"/>
      <c r="AF938" s="8" t="s">
        <v>726</v>
      </c>
      <c r="AG938" s="8" t="s">
        <v>726</v>
      </c>
      <c r="AH938" s="8" t="s">
        <v>726</v>
      </c>
      <c r="AI938" s="8" t="s">
        <v>726</v>
      </c>
      <c r="AJ938" s="8" t="s">
        <v>726</v>
      </c>
      <c r="AK938" s="8" t="s">
        <v>726</v>
      </c>
      <c r="AL938" s="8"/>
      <c r="AM938" s="8"/>
      <c r="AN938" s="8"/>
      <c r="AO938" s="8"/>
      <c r="AP938" s="8"/>
      <c r="AQ938" s="8"/>
      <c r="AR938" s="8"/>
      <c r="AS938" s="8"/>
      <c r="AT938" s="8"/>
      <c r="AU938" s="8"/>
      <c r="AV938" s="8"/>
      <c r="AW938" s="10"/>
      <c r="AX938" s="142">
        <v>191.8259084462268</v>
      </c>
    </row>
    <row r="939" spans="1:50" ht="51">
      <c r="A939" s="45" t="s">
        <v>1104</v>
      </c>
      <c r="B939" s="27">
        <v>924</v>
      </c>
      <c r="C939" s="31">
        <v>646</v>
      </c>
      <c r="D939" s="31">
        <v>319</v>
      </c>
      <c r="E939" s="32">
        <v>0.73958333333333337</v>
      </c>
      <c r="F939" s="32">
        <v>0.74791666666666667</v>
      </c>
      <c r="G939" s="31" t="s">
        <v>601</v>
      </c>
      <c r="H939" s="43" t="s">
        <v>1007</v>
      </c>
      <c r="I939" s="33">
        <v>6</v>
      </c>
      <c r="J939" s="34" t="s">
        <v>146</v>
      </c>
      <c r="K939" s="46">
        <v>225</v>
      </c>
      <c r="L939" s="36">
        <f>+K939*I939</f>
        <v>1350</v>
      </c>
      <c r="M939" s="37" t="s">
        <v>777</v>
      </c>
      <c r="N939" s="23" t="s">
        <v>918</v>
      </c>
      <c r="O939" s="23">
        <v>17</v>
      </c>
      <c r="P939" s="23" t="s">
        <v>917</v>
      </c>
      <c r="Q939" s="23">
        <v>21</v>
      </c>
      <c r="R939" s="23"/>
      <c r="S939" s="23"/>
      <c r="T939" s="7">
        <v>6401</v>
      </c>
      <c r="U939" s="7" t="s">
        <v>1705</v>
      </c>
      <c r="V939" s="7" t="s">
        <v>1706</v>
      </c>
      <c r="W939" s="7" t="s">
        <v>1707</v>
      </c>
      <c r="X939" s="18">
        <v>44903</v>
      </c>
      <c r="Y939" s="18">
        <v>45004</v>
      </c>
      <c r="Z939" s="18"/>
      <c r="AA939" s="18"/>
      <c r="AB939" s="8" t="s">
        <v>1742</v>
      </c>
      <c r="AC939" s="8" t="s">
        <v>726</v>
      </c>
      <c r="AD939" s="8"/>
      <c r="AE939" s="8" t="s">
        <v>726</v>
      </c>
      <c r="AF939" s="8"/>
      <c r="AG939" s="8" t="s">
        <v>726</v>
      </c>
      <c r="AH939" s="8" t="s">
        <v>726</v>
      </c>
      <c r="AI939" s="8" t="s">
        <v>726</v>
      </c>
      <c r="AJ939" s="8" t="s">
        <v>726</v>
      </c>
      <c r="AK939" s="8" t="s">
        <v>726</v>
      </c>
      <c r="AL939" s="8"/>
      <c r="AM939" s="8"/>
      <c r="AN939" s="8"/>
      <c r="AO939" s="8"/>
      <c r="AP939" s="8"/>
      <c r="AQ939" s="8"/>
      <c r="AR939" s="8"/>
      <c r="AS939" s="8"/>
      <c r="AT939" s="8"/>
      <c r="AU939" s="8"/>
      <c r="AV939" s="8"/>
      <c r="AX939" s="142">
        <v>28.75</v>
      </c>
    </row>
    <row r="940" spans="1:50" ht="33.75">
      <c r="B940" s="27">
        <v>925</v>
      </c>
      <c r="C940" s="31">
        <v>646</v>
      </c>
      <c r="D940" s="34">
        <v>314</v>
      </c>
      <c r="E940" s="32">
        <v>0.76874999999999993</v>
      </c>
      <c r="F940" s="42">
        <v>0.78819444444444453</v>
      </c>
      <c r="G940" s="31" t="s">
        <v>660</v>
      </c>
      <c r="H940" s="31" t="s">
        <v>659</v>
      </c>
      <c r="I940" s="33">
        <v>15</v>
      </c>
      <c r="J940" s="34">
        <v>16</v>
      </c>
      <c r="K940" s="35">
        <f>174-33</f>
        <v>141</v>
      </c>
      <c r="L940" s="36">
        <f>+K940*I940</f>
        <v>2115</v>
      </c>
      <c r="M940" s="37" t="s">
        <v>780</v>
      </c>
      <c r="N940" s="23" t="s">
        <v>949</v>
      </c>
      <c r="O940" s="23">
        <v>9</v>
      </c>
      <c r="P940" s="23" t="s">
        <v>1211</v>
      </c>
      <c r="Q940" s="23">
        <v>9</v>
      </c>
      <c r="S940" s="23"/>
      <c r="T940" s="7" t="s">
        <v>1710</v>
      </c>
      <c r="U940" s="7" t="s">
        <v>1711</v>
      </c>
      <c r="V940" s="7">
        <v>6410</v>
      </c>
      <c r="W940" s="7" t="s">
        <v>1708</v>
      </c>
      <c r="X940" s="18"/>
      <c r="Y940" s="17"/>
      <c r="Z940" s="17"/>
      <c r="AA940" s="17"/>
      <c r="AB940" s="8" t="s">
        <v>1098</v>
      </c>
      <c r="AC940" s="8"/>
      <c r="AD940" s="8"/>
      <c r="AE940" s="8"/>
      <c r="AF940" s="8" t="s">
        <v>726</v>
      </c>
      <c r="AG940" s="8"/>
      <c r="AH940" s="8" t="s">
        <v>726</v>
      </c>
      <c r="AI940" s="8" t="s">
        <v>726</v>
      </c>
      <c r="AJ940" s="8" t="s">
        <v>726</v>
      </c>
      <c r="AK940" s="8" t="s">
        <v>726</v>
      </c>
      <c r="AL940" s="8"/>
      <c r="AM940" s="8"/>
      <c r="AN940" s="8"/>
      <c r="AO940" s="8"/>
      <c r="AP940" s="8"/>
      <c r="AQ940" s="8"/>
      <c r="AR940" s="8"/>
      <c r="AS940" s="8"/>
      <c r="AT940" s="8"/>
      <c r="AU940" s="8"/>
      <c r="AV940" s="8"/>
      <c r="AW940" s="10"/>
      <c r="AX940" s="142">
        <v>61.328753178399332</v>
      </c>
    </row>
    <row r="941" spans="1:50" ht="63.75">
      <c r="B941" s="27">
        <v>926</v>
      </c>
      <c r="C941" s="31">
        <v>646</v>
      </c>
      <c r="D941" s="31">
        <v>314</v>
      </c>
      <c r="E941" s="32">
        <v>0.77638888888888891</v>
      </c>
      <c r="F941" s="42">
        <v>0.78194444444444444</v>
      </c>
      <c r="G941" s="31" t="s">
        <v>144</v>
      </c>
      <c r="H941" s="31" t="s">
        <v>143</v>
      </c>
      <c r="I941" s="33">
        <v>7</v>
      </c>
      <c r="J941" s="34" t="s">
        <v>116</v>
      </c>
      <c r="K941" s="35">
        <v>30</v>
      </c>
      <c r="L941" s="36">
        <f>+K941*I941</f>
        <v>210</v>
      </c>
      <c r="M941" s="37" t="s">
        <v>779</v>
      </c>
      <c r="N941" s="23" t="s">
        <v>957</v>
      </c>
      <c r="O941" s="23">
        <v>24</v>
      </c>
      <c r="P941" s="23" t="s">
        <v>1215</v>
      </c>
      <c r="Q941" s="23">
        <v>56</v>
      </c>
      <c r="R941" s="23" t="s">
        <v>958</v>
      </c>
      <c r="S941" s="24">
        <v>20</v>
      </c>
      <c r="T941" s="7">
        <v>6401</v>
      </c>
      <c r="U941" s="7" t="s">
        <v>1705</v>
      </c>
      <c r="V941" s="7" t="s">
        <v>1710</v>
      </c>
      <c r="W941" s="7" t="s">
        <v>1711</v>
      </c>
      <c r="X941" s="18"/>
      <c r="Y941" s="18">
        <v>44902</v>
      </c>
      <c r="Z941" s="18">
        <v>45005</v>
      </c>
      <c r="AA941" s="18"/>
      <c r="AB941" s="7" t="s">
        <v>1744</v>
      </c>
      <c r="AC941" s="8" t="s">
        <v>726</v>
      </c>
      <c r="AD941" s="8"/>
      <c r="AE941" s="8"/>
      <c r="AF941" s="8"/>
      <c r="AG941" s="8"/>
      <c r="AH941" s="8"/>
      <c r="AI941" s="8"/>
      <c r="AJ941" s="8"/>
      <c r="AK941" s="8"/>
      <c r="AL941" s="8"/>
      <c r="AM941" s="8" t="s">
        <v>726</v>
      </c>
      <c r="AN941" s="8"/>
      <c r="AO941" s="8"/>
      <c r="AP941" s="8"/>
      <c r="AQ941" s="8"/>
      <c r="AR941" s="8"/>
      <c r="AS941" s="8"/>
      <c r="AT941" s="8"/>
      <c r="AU941" s="8"/>
      <c r="AV941" s="8"/>
      <c r="AW941" s="10"/>
      <c r="AX941" s="142">
        <v>31.227473467990411</v>
      </c>
    </row>
    <row r="942" spans="1:50" ht="33.75">
      <c r="B942" s="27">
        <v>927</v>
      </c>
      <c r="C942" s="31">
        <v>646</v>
      </c>
      <c r="D942" s="31">
        <v>418</v>
      </c>
      <c r="E942" s="32">
        <v>0.8256944444444444</v>
      </c>
      <c r="F942" s="32">
        <v>0.83124999999999993</v>
      </c>
      <c r="G942" s="31" t="s">
        <v>144</v>
      </c>
      <c r="H942" s="31" t="s">
        <v>477</v>
      </c>
      <c r="I942" s="33">
        <v>4.5</v>
      </c>
      <c r="J942" s="34" t="s">
        <v>146</v>
      </c>
      <c r="K942" s="35">
        <v>240</v>
      </c>
      <c r="L942" s="36">
        <f>+K942*I942</f>
        <v>1080</v>
      </c>
      <c r="M942" s="37" t="s">
        <v>777</v>
      </c>
      <c r="N942" s="23" t="s">
        <v>918</v>
      </c>
      <c r="O942" s="23">
        <v>17</v>
      </c>
      <c r="P942" s="23" t="s">
        <v>917</v>
      </c>
      <c r="Q942" s="23">
        <v>21</v>
      </c>
      <c r="R942" s="23"/>
      <c r="S942" s="23"/>
      <c r="T942" s="7">
        <v>6401</v>
      </c>
      <c r="U942" s="7" t="s">
        <v>1705</v>
      </c>
      <c r="V942" s="7" t="s">
        <v>1710</v>
      </c>
      <c r="W942" s="7" t="s">
        <v>1711</v>
      </c>
      <c r="X942" s="18"/>
      <c r="Y942" s="17"/>
      <c r="Z942" s="18"/>
      <c r="AA942" s="18"/>
      <c r="AB942" s="7" t="s">
        <v>1052</v>
      </c>
      <c r="AC942" s="8" t="s">
        <v>726</v>
      </c>
      <c r="AD942" s="8"/>
      <c r="AE942" s="8" t="s">
        <v>726</v>
      </c>
      <c r="AF942" s="8"/>
      <c r="AG942" s="8" t="s">
        <v>726</v>
      </c>
      <c r="AH942" s="8" t="s">
        <v>726</v>
      </c>
      <c r="AI942" s="8" t="s">
        <v>726</v>
      </c>
      <c r="AJ942" s="8" t="s">
        <v>726</v>
      </c>
      <c r="AK942" s="8" t="s">
        <v>726</v>
      </c>
      <c r="AL942" s="8" t="s">
        <v>726</v>
      </c>
      <c r="AM942" s="8"/>
      <c r="AN942" s="8"/>
      <c r="AO942" s="8"/>
      <c r="AP942" s="8"/>
      <c r="AQ942" s="8"/>
      <c r="AR942" s="8"/>
      <c r="AS942" s="8"/>
      <c r="AT942" s="8"/>
      <c r="AU942" s="8"/>
      <c r="AV942" s="8"/>
      <c r="AX942" s="142">
        <v>11.25</v>
      </c>
    </row>
    <row r="943" spans="1:50" ht="56.25">
      <c r="B943" s="27">
        <v>928</v>
      </c>
      <c r="C943" s="43">
        <v>401</v>
      </c>
      <c r="D943" s="31">
        <v>124</v>
      </c>
      <c r="E943" s="42">
        <v>0.30277777777777776</v>
      </c>
      <c r="F943" s="42">
        <v>0.32777777777777778</v>
      </c>
      <c r="G943" s="31" t="s">
        <v>202</v>
      </c>
      <c r="H943" s="31" t="s">
        <v>97</v>
      </c>
      <c r="I943" s="33">
        <f>20+2.5</f>
        <v>22.5</v>
      </c>
      <c r="J943" s="34" t="s">
        <v>101</v>
      </c>
      <c r="K943" s="35">
        <v>208</v>
      </c>
      <c r="L943" s="36">
        <f>+K943*I943</f>
        <v>4680</v>
      </c>
      <c r="M943" s="37" t="s">
        <v>752</v>
      </c>
      <c r="N943" s="23" t="s">
        <v>1185</v>
      </c>
      <c r="O943" s="23">
        <v>57</v>
      </c>
      <c r="P943" s="112"/>
      <c r="Q943" s="112"/>
      <c r="S943" s="23"/>
      <c r="T943" s="7" t="s">
        <v>1715</v>
      </c>
      <c r="U943" s="7" t="s">
        <v>1716</v>
      </c>
      <c r="V943" s="7">
        <v>4400</v>
      </c>
      <c r="W943" s="7" t="s">
        <v>1576</v>
      </c>
      <c r="X943" s="18"/>
      <c r="Y943" s="17"/>
      <c r="Z943" s="17"/>
      <c r="AA943" s="17"/>
      <c r="AB943" s="7" t="s">
        <v>1046</v>
      </c>
      <c r="AC943" s="8"/>
      <c r="AD943" s="8"/>
      <c r="AE943" s="8"/>
      <c r="AF943" s="8" t="s">
        <v>726</v>
      </c>
      <c r="AG943" s="8" t="s">
        <v>726</v>
      </c>
      <c r="AH943" s="8" t="s">
        <v>726</v>
      </c>
      <c r="AI943" s="8" t="s">
        <v>726</v>
      </c>
      <c r="AJ943" s="8" t="s">
        <v>726</v>
      </c>
      <c r="AK943" s="8" t="s">
        <v>726</v>
      </c>
      <c r="AL943" s="8" t="s">
        <v>726</v>
      </c>
      <c r="AM943" s="8"/>
      <c r="AN943" s="8"/>
      <c r="AO943" s="8"/>
      <c r="AP943" s="8"/>
      <c r="AQ943" s="8"/>
      <c r="AR943" s="8"/>
      <c r="AS943" s="8"/>
      <c r="AT943" s="8"/>
      <c r="AU943" s="8"/>
      <c r="AV943" s="8"/>
      <c r="AX943" s="142">
        <v>182.5</v>
      </c>
    </row>
    <row r="944" spans="1:50" ht="33.75">
      <c r="A944" s="2" t="s">
        <v>2077</v>
      </c>
      <c r="B944" s="126" t="s">
        <v>2073</v>
      </c>
      <c r="C944" s="118">
        <v>123</v>
      </c>
      <c r="D944" s="118">
        <v>170</v>
      </c>
      <c r="E944" s="123">
        <v>0.34722222222222227</v>
      </c>
      <c r="F944" s="123">
        <v>0.36319444444444443</v>
      </c>
      <c r="G944" s="118" t="s">
        <v>336</v>
      </c>
      <c r="H944" s="118" t="s">
        <v>2072</v>
      </c>
      <c r="I944" s="127">
        <v>12</v>
      </c>
      <c r="J944" s="124" t="s">
        <v>101</v>
      </c>
      <c r="K944" s="128">
        <v>80</v>
      </c>
      <c r="L944" s="129">
        <f>+K944*I944</f>
        <v>960</v>
      </c>
      <c r="M944" s="120" t="s">
        <v>731</v>
      </c>
      <c r="N944" s="79" t="s">
        <v>2094</v>
      </c>
      <c r="O944" s="79">
        <v>56</v>
      </c>
      <c r="P944" s="23" t="s">
        <v>1840</v>
      </c>
      <c r="Q944" s="23" t="s">
        <v>1147</v>
      </c>
      <c r="R944" s="112" t="s">
        <v>2136</v>
      </c>
      <c r="S944" s="79">
        <v>57</v>
      </c>
      <c r="T944" s="7" t="s">
        <v>1243</v>
      </c>
      <c r="U944" s="7" t="s">
        <v>1244</v>
      </c>
      <c r="V944" s="7" t="s">
        <v>1246</v>
      </c>
      <c r="W944" s="7" t="s">
        <v>1247</v>
      </c>
      <c r="X944" s="116">
        <v>45101</v>
      </c>
      <c r="Y944" s="17"/>
      <c r="Z944" s="17"/>
      <c r="AA944" s="17"/>
      <c r="AB944" s="7" t="s">
        <v>2072</v>
      </c>
      <c r="AC944" s="8"/>
      <c r="AD944" s="8" t="s">
        <v>726</v>
      </c>
      <c r="AE944" s="8"/>
      <c r="AF944" s="8"/>
      <c r="AG944" s="8" t="s">
        <v>726</v>
      </c>
      <c r="AH944" s="8" t="s">
        <v>726</v>
      </c>
      <c r="AI944" s="8" t="s">
        <v>726</v>
      </c>
      <c r="AJ944" s="8" t="s">
        <v>726</v>
      </c>
      <c r="AK944" s="8" t="s">
        <v>726</v>
      </c>
      <c r="AL944" s="8" t="s">
        <v>726</v>
      </c>
      <c r="AM944" s="8" t="s">
        <v>726</v>
      </c>
      <c r="AN944" s="8"/>
      <c r="AO944" s="8"/>
      <c r="AP944" s="8"/>
      <c r="AQ944" s="8"/>
      <c r="AR944" s="8"/>
      <c r="AS944" s="8"/>
      <c r="AT944" s="8"/>
      <c r="AU944" s="8"/>
      <c r="AV944" s="8"/>
      <c r="AX944" s="142">
        <v>36</v>
      </c>
    </row>
    <row r="945" spans="1:50" ht="33.75">
      <c r="A945" s="2" t="s">
        <v>2077</v>
      </c>
      <c r="B945" s="126" t="s">
        <v>2074</v>
      </c>
      <c r="C945" s="118">
        <v>123</v>
      </c>
      <c r="D945" s="118">
        <v>171</v>
      </c>
      <c r="E945" s="123">
        <v>0.36527777777777781</v>
      </c>
      <c r="F945" s="123">
        <v>0.38125000000000003</v>
      </c>
      <c r="G945" s="118" t="s">
        <v>335</v>
      </c>
      <c r="H945" s="118" t="s">
        <v>2072</v>
      </c>
      <c r="I945" s="127">
        <v>12</v>
      </c>
      <c r="J945" s="124" t="s">
        <v>101</v>
      </c>
      <c r="K945" s="128">
        <v>80</v>
      </c>
      <c r="L945" s="129">
        <f>+K945*I945</f>
        <v>960</v>
      </c>
      <c r="M945" s="120" t="s">
        <v>731</v>
      </c>
      <c r="N945" s="79" t="s">
        <v>2094</v>
      </c>
      <c r="O945" s="79">
        <v>56</v>
      </c>
      <c r="P945" s="23" t="s">
        <v>1840</v>
      </c>
      <c r="Q945" s="23" t="s">
        <v>1147</v>
      </c>
      <c r="R945" s="112" t="s">
        <v>2136</v>
      </c>
      <c r="S945" s="79">
        <v>57</v>
      </c>
      <c r="T945" s="7" t="s">
        <v>1246</v>
      </c>
      <c r="U945" s="7" t="s">
        <v>1248</v>
      </c>
      <c r="V945" s="7" t="s">
        <v>1243</v>
      </c>
      <c r="W945" s="7" t="s">
        <v>1244</v>
      </c>
      <c r="X945" s="116">
        <v>45101</v>
      </c>
      <c r="Y945" s="17"/>
      <c r="Z945" s="17"/>
      <c r="AA945" s="17"/>
      <c r="AB945" s="7" t="s">
        <v>2072</v>
      </c>
      <c r="AC945" s="8"/>
      <c r="AD945" s="8" t="s">
        <v>726</v>
      </c>
      <c r="AE945" s="8"/>
      <c r="AF945" s="8"/>
      <c r="AG945" s="8" t="s">
        <v>726</v>
      </c>
      <c r="AH945" s="8" t="s">
        <v>726</v>
      </c>
      <c r="AI945" s="8" t="s">
        <v>726</v>
      </c>
      <c r="AJ945" s="8" t="s">
        <v>726</v>
      </c>
      <c r="AK945" s="8" t="s">
        <v>726</v>
      </c>
      <c r="AL945" s="8" t="s">
        <v>726</v>
      </c>
      <c r="AM945" s="8" t="s">
        <v>726</v>
      </c>
      <c r="AN945" s="8"/>
      <c r="AO945" s="8"/>
      <c r="AP945" s="8"/>
      <c r="AQ945" s="8"/>
      <c r="AR945" s="8"/>
      <c r="AS945" s="8"/>
      <c r="AT945" s="8"/>
      <c r="AU945" s="8"/>
      <c r="AV945" s="8"/>
      <c r="AX945" s="142">
        <v>36</v>
      </c>
    </row>
    <row r="946" spans="1:50" ht="33.75">
      <c r="A946" s="2" t="s">
        <v>2077</v>
      </c>
      <c r="B946" s="126" t="s">
        <v>2073</v>
      </c>
      <c r="C946" s="118">
        <v>123</v>
      </c>
      <c r="D946" s="118">
        <v>172</v>
      </c>
      <c r="E946" s="123">
        <v>0.3888888888888889</v>
      </c>
      <c r="F946" s="123">
        <v>0.40486111111111112</v>
      </c>
      <c r="G946" s="118" t="s">
        <v>336</v>
      </c>
      <c r="H946" s="118" t="s">
        <v>2072</v>
      </c>
      <c r="I946" s="127">
        <v>12</v>
      </c>
      <c r="J946" s="124" t="s">
        <v>101</v>
      </c>
      <c r="K946" s="128">
        <v>80</v>
      </c>
      <c r="L946" s="129">
        <f>+K946*I946</f>
        <v>960</v>
      </c>
      <c r="M946" s="120" t="s">
        <v>731</v>
      </c>
      <c r="N946" s="79" t="s">
        <v>2094</v>
      </c>
      <c r="O946" s="79">
        <v>56</v>
      </c>
      <c r="P946" s="23" t="s">
        <v>1840</v>
      </c>
      <c r="Q946" s="23" t="s">
        <v>1147</v>
      </c>
      <c r="R946" s="112" t="s">
        <v>2136</v>
      </c>
      <c r="S946" s="79">
        <v>57</v>
      </c>
      <c r="T946" s="7" t="s">
        <v>1243</v>
      </c>
      <c r="U946" s="7" t="s">
        <v>1244</v>
      </c>
      <c r="V946" s="7" t="s">
        <v>1246</v>
      </c>
      <c r="W946" s="7" t="s">
        <v>1247</v>
      </c>
      <c r="X946" s="116">
        <v>45101</v>
      </c>
      <c r="Y946" s="17"/>
      <c r="Z946" s="17"/>
      <c r="AA946" s="17"/>
      <c r="AB946" s="7" t="s">
        <v>2072</v>
      </c>
      <c r="AC946" s="8"/>
      <c r="AD946" s="8" t="s">
        <v>726</v>
      </c>
      <c r="AE946" s="8"/>
      <c r="AF946" s="8"/>
      <c r="AG946" s="8" t="s">
        <v>726</v>
      </c>
      <c r="AH946" s="8" t="s">
        <v>726</v>
      </c>
      <c r="AI946" s="8" t="s">
        <v>726</v>
      </c>
      <c r="AJ946" s="8" t="s">
        <v>726</v>
      </c>
      <c r="AK946" s="8" t="s">
        <v>726</v>
      </c>
      <c r="AL946" s="8" t="s">
        <v>726</v>
      </c>
      <c r="AM946" s="8" t="s">
        <v>726</v>
      </c>
      <c r="AN946" s="8"/>
      <c r="AO946" s="8"/>
      <c r="AP946" s="8"/>
      <c r="AQ946" s="8"/>
      <c r="AR946" s="8"/>
      <c r="AS946" s="8"/>
      <c r="AT946" s="8"/>
      <c r="AU946" s="8"/>
      <c r="AV946" s="8"/>
      <c r="AX946" s="142">
        <v>36</v>
      </c>
    </row>
    <row r="947" spans="1:50" ht="33.75">
      <c r="A947" s="2" t="s">
        <v>2077</v>
      </c>
      <c r="B947" s="126" t="s">
        <v>2074</v>
      </c>
      <c r="C947" s="118">
        <v>123</v>
      </c>
      <c r="D947" s="118">
        <v>173</v>
      </c>
      <c r="E947" s="123">
        <v>0.4069444444444445</v>
      </c>
      <c r="F947" s="123">
        <v>0.42291666666666666</v>
      </c>
      <c r="G947" s="118" t="s">
        <v>335</v>
      </c>
      <c r="H947" s="118" t="s">
        <v>2072</v>
      </c>
      <c r="I947" s="127">
        <v>12</v>
      </c>
      <c r="J947" s="124" t="s">
        <v>101</v>
      </c>
      <c r="K947" s="128">
        <v>80</v>
      </c>
      <c r="L947" s="129">
        <f>+K947*I947</f>
        <v>960</v>
      </c>
      <c r="M947" s="120" t="s">
        <v>731</v>
      </c>
      <c r="N947" s="79" t="s">
        <v>2094</v>
      </c>
      <c r="O947" s="79">
        <v>56</v>
      </c>
      <c r="P947" s="23" t="s">
        <v>1840</v>
      </c>
      <c r="Q947" s="23" t="s">
        <v>1147</v>
      </c>
      <c r="R947" s="112" t="s">
        <v>2136</v>
      </c>
      <c r="S947" s="79">
        <v>57</v>
      </c>
      <c r="T947" s="7" t="s">
        <v>1246</v>
      </c>
      <c r="U947" s="7" t="s">
        <v>1248</v>
      </c>
      <c r="V947" s="7" t="s">
        <v>1243</v>
      </c>
      <c r="W947" s="7" t="s">
        <v>1244</v>
      </c>
      <c r="X947" s="116">
        <v>45101</v>
      </c>
      <c r="Y947" s="17"/>
      <c r="Z947" s="17"/>
      <c r="AA947" s="17"/>
      <c r="AB947" s="7" t="s">
        <v>2072</v>
      </c>
      <c r="AC947" s="8"/>
      <c r="AD947" s="8" t="s">
        <v>726</v>
      </c>
      <c r="AE947" s="8"/>
      <c r="AF947" s="8"/>
      <c r="AG947" s="8" t="s">
        <v>726</v>
      </c>
      <c r="AH947" s="8" t="s">
        <v>726</v>
      </c>
      <c r="AI947" s="8" t="s">
        <v>726</v>
      </c>
      <c r="AJ947" s="8" t="s">
        <v>726</v>
      </c>
      <c r="AK947" s="8" t="s">
        <v>726</v>
      </c>
      <c r="AL947" s="8" t="s">
        <v>726</v>
      </c>
      <c r="AM947" s="8" t="s">
        <v>726</v>
      </c>
      <c r="AN947" s="8"/>
      <c r="AO947" s="8"/>
      <c r="AP947" s="8"/>
      <c r="AQ947" s="8"/>
      <c r="AR947" s="8"/>
      <c r="AS947" s="8"/>
      <c r="AT947" s="8"/>
      <c r="AU947" s="8"/>
      <c r="AV947" s="8"/>
      <c r="AX947" s="142">
        <v>36</v>
      </c>
    </row>
    <row r="948" spans="1:50" ht="33.75">
      <c r="A948" s="2" t="s">
        <v>2077</v>
      </c>
      <c r="B948" s="126" t="s">
        <v>2075</v>
      </c>
      <c r="C948" s="118">
        <v>123</v>
      </c>
      <c r="D948" s="118">
        <v>182</v>
      </c>
      <c r="E948" s="123">
        <v>0.68055555555555547</v>
      </c>
      <c r="F948" s="123">
        <v>0.69652777777777775</v>
      </c>
      <c r="G948" s="118" t="s">
        <v>336</v>
      </c>
      <c r="H948" s="118" t="s">
        <v>2072</v>
      </c>
      <c r="I948" s="127">
        <v>12</v>
      </c>
      <c r="J948" s="124" t="s">
        <v>101</v>
      </c>
      <c r="K948" s="128">
        <v>80</v>
      </c>
      <c r="L948" s="129">
        <f>+K948*I948</f>
        <v>960</v>
      </c>
      <c r="M948" s="120" t="s">
        <v>731</v>
      </c>
      <c r="N948" s="79" t="s">
        <v>2094</v>
      </c>
      <c r="O948" s="79">
        <v>56</v>
      </c>
      <c r="P948" s="23" t="s">
        <v>1840</v>
      </c>
      <c r="Q948" s="23" t="s">
        <v>1147</v>
      </c>
      <c r="R948" s="112" t="s">
        <v>2136</v>
      </c>
      <c r="S948" s="79">
        <v>57</v>
      </c>
      <c r="T948" s="7" t="s">
        <v>1243</v>
      </c>
      <c r="U948" s="7" t="s">
        <v>1244</v>
      </c>
      <c r="V948" s="7" t="s">
        <v>1246</v>
      </c>
      <c r="W948" s="7" t="s">
        <v>1247</v>
      </c>
      <c r="X948" s="116">
        <v>45101</v>
      </c>
      <c r="Y948" s="17"/>
      <c r="Z948" s="17"/>
      <c r="AA948" s="17"/>
      <c r="AB948" s="7" t="s">
        <v>2072</v>
      </c>
      <c r="AC948" s="8"/>
      <c r="AD948" s="8" t="s">
        <v>726</v>
      </c>
      <c r="AE948" s="8"/>
      <c r="AF948" s="8"/>
      <c r="AG948" s="8" t="s">
        <v>726</v>
      </c>
      <c r="AH948" s="8" t="s">
        <v>726</v>
      </c>
      <c r="AI948" s="8" t="s">
        <v>726</v>
      </c>
      <c r="AJ948" s="8" t="s">
        <v>726</v>
      </c>
      <c r="AK948" s="8" t="s">
        <v>726</v>
      </c>
      <c r="AL948" s="8" t="s">
        <v>726</v>
      </c>
      <c r="AM948" s="8" t="s">
        <v>726</v>
      </c>
      <c r="AN948" s="8"/>
      <c r="AO948" s="8"/>
      <c r="AP948" s="8"/>
      <c r="AQ948" s="8"/>
      <c r="AR948" s="8"/>
      <c r="AS948" s="8"/>
      <c r="AT948" s="8"/>
      <c r="AU948" s="8"/>
      <c r="AV948" s="8"/>
      <c r="AX948" s="142">
        <v>36</v>
      </c>
    </row>
    <row r="949" spans="1:50" ht="33.75">
      <c r="A949" s="2" t="s">
        <v>2077</v>
      </c>
      <c r="B949" s="126" t="s">
        <v>2076</v>
      </c>
      <c r="C949" s="118">
        <v>123</v>
      </c>
      <c r="D949" s="118">
        <v>183</v>
      </c>
      <c r="E949" s="123">
        <v>0.69861111111111107</v>
      </c>
      <c r="F949" s="123">
        <v>0.71458333333333324</v>
      </c>
      <c r="G949" s="118" t="s">
        <v>335</v>
      </c>
      <c r="H949" s="118" t="s">
        <v>2072</v>
      </c>
      <c r="I949" s="127">
        <v>12</v>
      </c>
      <c r="J949" s="124" t="s">
        <v>101</v>
      </c>
      <c r="K949" s="128">
        <v>80</v>
      </c>
      <c r="L949" s="129">
        <f>+K949*I949</f>
        <v>960</v>
      </c>
      <c r="M949" s="120" t="s">
        <v>731</v>
      </c>
      <c r="N949" s="79" t="s">
        <v>2094</v>
      </c>
      <c r="O949" s="79">
        <v>56</v>
      </c>
      <c r="P949" s="23" t="s">
        <v>1840</v>
      </c>
      <c r="Q949" s="23" t="s">
        <v>1147</v>
      </c>
      <c r="R949" s="112" t="s">
        <v>2136</v>
      </c>
      <c r="S949" s="79">
        <v>57</v>
      </c>
      <c r="T949" s="7" t="s">
        <v>1246</v>
      </c>
      <c r="U949" s="7" t="s">
        <v>1248</v>
      </c>
      <c r="V949" s="7" t="s">
        <v>1243</v>
      </c>
      <c r="W949" s="7" t="s">
        <v>1244</v>
      </c>
      <c r="X949" s="116">
        <v>45101</v>
      </c>
      <c r="Y949" s="17"/>
      <c r="Z949" s="17"/>
      <c r="AA949" s="17"/>
      <c r="AB949" s="7" t="s">
        <v>2072</v>
      </c>
      <c r="AC949" s="8"/>
      <c r="AD949" s="8" t="s">
        <v>726</v>
      </c>
      <c r="AE949" s="8"/>
      <c r="AF949" s="8"/>
      <c r="AG949" s="8" t="s">
        <v>726</v>
      </c>
      <c r="AH949" s="8" t="s">
        <v>726</v>
      </c>
      <c r="AI949" s="8" t="s">
        <v>726</v>
      </c>
      <c r="AJ949" s="8" t="s">
        <v>726</v>
      </c>
      <c r="AK949" s="8" t="s">
        <v>726</v>
      </c>
      <c r="AL949" s="8" t="s">
        <v>726</v>
      </c>
      <c r="AM949" s="8" t="s">
        <v>726</v>
      </c>
      <c r="AN949" s="8"/>
      <c r="AO949" s="8"/>
      <c r="AP949" s="8"/>
      <c r="AQ949" s="8"/>
      <c r="AR949" s="8"/>
      <c r="AS949" s="8"/>
      <c r="AT949" s="8"/>
      <c r="AU949" s="8"/>
      <c r="AV949" s="8"/>
      <c r="AX949" s="142">
        <v>36</v>
      </c>
    </row>
    <row r="950" spans="1:50" ht="33.75">
      <c r="A950" s="2" t="s">
        <v>1001</v>
      </c>
      <c r="B950" s="27" t="s">
        <v>1755</v>
      </c>
      <c r="C950" s="31">
        <v>645</v>
      </c>
      <c r="D950" s="31">
        <v>307</v>
      </c>
      <c r="E950" s="32">
        <v>0.28333333333333333</v>
      </c>
      <c r="F950" s="32">
        <v>0.28819444444444448</v>
      </c>
      <c r="G950" s="31" t="s">
        <v>1000</v>
      </c>
      <c r="H950" s="31" t="s">
        <v>97</v>
      </c>
      <c r="I950" s="33">
        <v>2.8</v>
      </c>
      <c r="J950" s="34">
        <v>8</v>
      </c>
      <c r="K950" s="35">
        <v>208</v>
      </c>
      <c r="L950" s="36">
        <f>+K950*I950</f>
        <v>582.4</v>
      </c>
      <c r="M950" s="37" t="s">
        <v>777</v>
      </c>
      <c r="N950" s="23" t="s">
        <v>920</v>
      </c>
      <c r="O950" s="23">
        <v>7</v>
      </c>
      <c r="P950" s="23" t="s">
        <v>919</v>
      </c>
      <c r="Q950" s="23">
        <v>9</v>
      </c>
      <c r="R950" s="23"/>
      <c r="T950" s="7" t="s">
        <v>1717</v>
      </c>
      <c r="U950" s="7" t="s">
        <v>1718</v>
      </c>
      <c r="V950" s="7" t="s">
        <v>1719</v>
      </c>
      <c r="W950" s="7" t="s">
        <v>1720</v>
      </c>
      <c r="X950" s="18"/>
      <c r="Y950" s="17"/>
      <c r="Z950" s="17"/>
      <c r="AA950" s="17"/>
      <c r="AB950" s="7" t="s">
        <v>1046</v>
      </c>
      <c r="AC950" s="8"/>
      <c r="AD950" s="8"/>
      <c r="AE950" s="8"/>
      <c r="AF950" s="8" t="s">
        <v>726</v>
      </c>
      <c r="AG950" s="8" t="s">
        <v>726</v>
      </c>
      <c r="AH950" s="8" t="s">
        <v>726</v>
      </c>
      <c r="AI950" s="8" t="s">
        <v>726</v>
      </c>
      <c r="AJ950" s="8" t="s">
        <v>726</v>
      </c>
      <c r="AK950" s="8" t="s">
        <v>726</v>
      </c>
      <c r="AL950" s="8" t="s">
        <v>726</v>
      </c>
      <c r="AM950" s="8"/>
      <c r="AN950" s="8"/>
      <c r="AO950" s="8"/>
      <c r="AP950" s="8"/>
      <c r="AQ950" s="8"/>
      <c r="AR950" s="8"/>
      <c r="AS950" s="8"/>
      <c r="AT950" s="8"/>
      <c r="AU950" s="8"/>
      <c r="AV950" s="8"/>
      <c r="AX950" s="142">
        <v>22.727272727272727</v>
      </c>
    </row>
    <row r="951" spans="1:50" ht="33.75">
      <c r="A951" s="2" t="s">
        <v>1028</v>
      </c>
      <c r="B951" s="27" t="s">
        <v>1755</v>
      </c>
      <c r="C951" s="31">
        <v>101</v>
      </c>
      <c r="D951" s="31">
        <v>57</v>
      </c>
      <c r="E951" s="123">
        <v>0.58333333333333337</v>
      </c>
      <c r="F951" s="123">
        <v>0.66666666666666663</v>
      </c>
      <c r="G951" s="31" t="s">
        <v>1025</v>
      </c>
      <c r="H951" s="31" t="s">
        <v>1026</v>
      </c>
      <c r="I951" s="33">
        <v>92</v>
      </c>
      <c r="J951" s="34">
        <v>19</v>
      </c>
      <c r="K951" s="35">
        <v>18</v>
      </c>
      <c r="L951" s="36">
        <f>+K951*I951</f>
        <v>1656</v>
      </c>
      <c r="M951" s="37" t="s">
        <v>1027</v>
      </c>
      <c r="N951" s="23" t="s">
        <v>848</v>
      </c>
      <c r="O951" s="23">
        <v>21</v>
      </c>
      <c r="P951" s="23" t="s">
        <v>847</v>
      </c>
      <c r="Q951" s="23">
        <v>24</v>
      </c>
      <c r="T951" s="7" t="s">
        <v>1721</v>
      </c>
      <c r="U951" s="7" t="s">
        <v>1722</v>
      </c>
      <c r="V951" s="7">
        <v>1</v>
      </c>
      <c r="W951" s="7" t="s">
        <v>1327</v>
      </c>
      <c r="X951" s="18"/>
      <c r="Y951" s="17"/>
      <c r="Z951" s="17"/>
      <c r="AA951" s="17"/>
      <c r="AB951" s="8" t="s">
        <v>1099</v>
      </c>
      <c r="AC951" s="8"/>
      <c r="AD951" s="8"/>
      <c r="AE951" s="8"/>
      <c r="AF951" s="8" t="s">
        <v>726</v>
      </c>
      <c r="AG951" s="8"/>
      <c r="AH951" s="8"/>
      <c r="AI951" s="8"/>
      <c r="AJ951" s="8"/>
      <c r="AK951" s="8" t="s">
        <v>726</v>
      </c>
      <c r="AL951" s="8"/>
      <c r="AM951" s="8"/>
      <c r="AN951" s="8"/>
      <c r="AO951" s="8"/>
      <c r="AP951" s="8"/>
      <c r="AQ951" s="8"/>
      <c r="AR951" s="8"/>
      <c r="AS951" s="8"/>
      <c r="AT951" s="8"/>
      <c r="AU951" s="8"/>
      <c r="AV951" s="8"/>
      <c r="AX951" s="142">
        <v>276</v>
      </c>
    </row>
    <row r="952" spans="1:50" ht="25.5">
      <c r="A952" s="2" t="s">
        <v>1028</v>
      </c>
      <c r="B952" s="27" t="s">
        <v>1755</v>
      </c>
      <c r="C952" s="31">
        <v>101</v>
      </c>
      <c r="D952" s="31">
        <v>57</v>
      </c>
      <c r="E952" s="123">
        <v>0.58333333333333337</v>
      </c>
      <c r="F952" s="123">
        <v>0.66666666666666663</v>
      </c>
      <c r="G952" s="31" t="s">
        <v>1025</v>
      </c>
      <c r="H952" s="31" t="s">
        <v>1026</v>
      </c>
      <c r="I952" s="33">
        <v>92</v>
      </c>
      <c r="J952" s="34">
        <v>19</v>
      </c>
      <c r="K952" s="35">
        <v>18</v>
      </c>
      <c r="L952" s="36">
        <f>+K952*I952</f>
        <v>1656</v>
      </c>
      <c r="M952" s="37" t="s">
        <v>1029</v>
      </c>
      <c r="N952" s="23" t="s">
        <v>1216</v>
      </c>
      <c r="O952" s="23">
        <v>23</v>
      </c>
      <c r="P952" s="23" t="s">
        <v>1217</v>
      </c>
      <c r="Q952" s="24">
        <v>16</v>
      </c>
      <c r="R952" s="23" t="s">
        <v>1030</v>
      </c>
      <c r="S952" s="23">
        <v>21</v>
      </c>
      <c r="T952" s="7" t="s">
        <v>1721</v>
      </c>
      <c r="U952" s="7" t="s">
        <v>1722</v>
      </c>
      <c r="V952" s="7">
        <v>1</v>
      </c>
      <c r="W952" s="7" t="s">
        <v>1327</v>
      </c>
      <c r="X952" s="18"/>
      <c r="Y952" s="17"/>
      <c r="Z952" s="17"/>
      <c r="AA952" s="17"/>
      <c r="AB952" s="8" t="s">
        <v>1099</v>
      </c>
      <c r="AC952" s="8"/>
      <c r="AD952" s="8"/>
      <c r="AE952" s="8"/>
      <c r="AF952" s="8" t="s">
        <v>726</v>
      </c>
      <c r="AG952" s="8"/>
      <c r="AH952" s="8"/>
      <c r="AI952" s="8"/>
      <c r="AJ952" s="8"/>
      <c r="AK952" s="8" t="s">
        <v>726</v>
      </c>
      <c r="AL952" s="8"/>
      <c r="AM952" s="8"/>
      <c r="AN952" s="8"/>
      <c r="AO952" s="8"/>
      <c r="AP952" s="8"/>
      <c r="AQ952" s="8"/>
      <c r="AR952" s="8"/>
      <c r="AS952" s="8"/>
      <c r="AT952" s="8"/>
      <c r="AU952" s="8"/>
      <c r="AV952" s="8"/>
      <c r="AX952" s="142">
        <v>276</v>
      </c>
    </row>
    <row r="953" spans="1:50" ht="51">
      <c r="A953" s="2" t="s">
        <v>1028</v>
      </c>
      <c r="B953" s="27" t="s">
        <v>1755</v>
      </c>
      <c r="C953" s="31">
        <v>101</v>
      </c>
      <c r="D953" s="31">
        <v>50</v>
      </c>
      <c r="E953" s="32">
        <v>0.76250000000000007</v>
      </c>
      <c r="F953" s="32">
        <v>0.84583333333333333</v>
      </c>
      <c r="G953" s="31" t="s">
        <v>1031</v>
      </c>
      <c r="H953" s="31" t="s">
        <v>1032</v>
      </c>
      <c r="I953" s="33">
        <v>92</v>
      </c>
      <c r="J953" s="34">
        <v>19</v>
      </c>
      <c r="K953" s="35">
        <v>18</v>
      </c>
      <c r="L953" s="36">
        <f>+K953*I953</f>
        <v>1656</v>
      </c>
      <c r="M953" s="37" t="s">
        <v>1027</v>
      </c>
      <c r="N953" s="23" t="s">
        <v>848</v>
      </c>
      <c r="O953" s="23">
        <v>21</v>
      </c>
      <c r="P953" s="23" t="s">
        <v>847</v>
      </c>
      <c r="Q953" s="23">
        <v>24</v>
      </c>
      <c r="T953" s="7">
        <v>1</v>
      </c>
      <c r="U953" s="7" t="s">
        <v>1327</v>
      </c>
      <c r="V953" s="7" t="s">
        <v>1723</v>
      </c>
      <c r="W953" s="7" t="s">
        <v>1724</v>
      </c>
      <c r="X953" s="18"/>
      <c r="Y953" s="17"/>
      <c r="Z953" s="17"/>
      <c r="AA953" s="17"/>
      <c r="AB953" s="8" t="s">
        <v>1100</v>
      </c>
      <c r="AC953" s="8"/>
      <c r="AD953" s="8"/>
      <c r="AE953" s="8"/>
      <c r="AF953" s="8" t="s">
        <v>726</v>
      </c>
      <c r="AG953" s="8"/>
      <c r="AH953" s="8"/>
      <c r="AI953" s="8"/>
      <c r="AJ953" s="8"/>
      <c r="AK953" s="8"/>
      <c r="AL953" s="8"/>
      <c r="AM953" s="8" t="s">
        <v>726</v>
      </c>
      <c r="AN953" s="8"/>
      <c r="AO953" s="8"/>
      <c r="AP953" s="8"/>
      <c r="AQ953" s="8"/>
      <c r="AR953" s="8"/>
      <c r="AS953" s="8"/>
      <c r="AT953" s="8"/>
      <c r="AU953" s="8"/>
      <c r="AV953" s="8"/>
      <c r="AX953" s="142">
        <v>276</v>
      </c>
    </row>
    <row r="954" spans="1:50" ht="51">
      <c r="A954" s="2" t="s">
        <v>1028</v>
      </c>
      <c r="B954" s="27" t="s">
        <v>1755</v>
      </c>
      <c r="C954" s="31">
        <v>101</v>
      </c>
      <c r="D954" s="31">
        <v>50</v>
      </c>
      <c r="E954" s="32">
        <v>0.76250000000000007</v>
      </c>
      <c r="F954" s="32">
        <v>0.84583333333333333</v>
      </c>
      <c r="G954" s="31" t="s">
        <v>1031</v>
      </c>
      <c r="H954" s="31" t="s">
        <v>1032</v>
      </c>
      <c r="I954" s="33">
        <v>92</v>
      </c>
      <c r="J954" s="34">
        <v>19</v>
      </c>
      <c r="K954" s="35">
        <v>18</v>
      </c>
      <c r="L954" s="36">
        <f>+K954*I954</f>
        <v>1656</v>
      </c>
      <c r="M954" s="37" t="s">
        <v>1029</v>
      </c>
      <c r="N954" s="23" t="s">
        <v>1216</v>
      </c>
      <c r="O954" s="23">
        <v>23</v>
      </c>
      <c r="P954" s="23" t="s">
        <v>1217</v>
      </c>
      <c r="Q954" s="24">
        <v>16</v>
      </c>
      <c r="R954" s="23" t="s">
        <v>1030</v>
      </c>
      <c r="S954" s="23">
        <v>21</v>
      </c>
      <c r="T954" s="7">
        <v>1</v>
      </c>
      <c r="U954" s="7" t="s">
        <v>1327</v>
      </c>
      <c r="V954" s="7" t="s">
        <v>1723</v>
      </c>
      <c r="W954" s="7" t="s">
        <v>1724</v>
      </c>
      <c r="X954" s="18"/>
      <c r="Y954" s="17"/>
      <c r="Z954" s="17"/>
      <c r="AA954" s="17"/>
      <c r="AB954" s="8" t="s">
        <v>1100</v>
      </c>
      <c r="AC954" s="8"/>
      <c r="AD954" s="8"/>
      <c r="AE954" s="8"/>
      <c r="AF954" s="8" t="s">
        <v>726</v>
      </c>
      <c r="AG954" s="8"/>
      <c r="AH954" s="8"/>
      <c r="AI954" s="8"/>
      <c r="AJ954" s="8"/>
      <c r="AK954" s="8"/>
      <c r="AL954" s="8"/>
      <c r="AM954" s="8" t="s">
        <v>726</v>
      </c>
      <c r="AN954" s="8"/>
      <c r="AO954" s="8"/>
      <c r="AP954" s="8"/>
      <c r="AQ954" s="8"/>
      <c r="AR954" s="8"/>
      <c r="AS954" s="8"/>
      <c r="AT954" s="8"/>
      <c r="AU954" s="8"/>
      <c r="AV954" s="8"/>
      <c r="AX954" s="142">
        <v>276</v>
      </c>
    </row>
    <row r="955" spans="1:50" ht="45">
      <c r="A955" s="2" t="s">
        <v>1034</v>
      </c>
      <c r="B955" s="27" t="s">
        <v>1755</v>
      </c>
      <c r="C955" s="31">
        <v>102</v>
      </c>
      <c r="D955" s="31">
        <v>145</v>
      </c>
      <c r="E955" s="32">
        <v>0.59097222222222223</v>
      </c>
      <c r="F955" s="32">
        <v>0.60277777777777775</v>
      </c>
      <c r="G955" s="31" t="s">
        <v>663</v>
      </c>
      <c r="H955" s="31" t="s">
        <v>1033</v>
      </c>
      <c r="I955" s="33">
        <v>8</v>
      </c>
      <c r="J955" s="34" t="s">
        <v>167</v>
      </c>
      <c r="K955" s="35">
        <f>103-6</f>
        <v>97</v>
      </c>
      <c r="L955" s="36">
        <f>+K955*I955</f>
        <v>776</v>
      </c>
      <c r="M955" s="37" t="s">
        <v>719</v>
      </c>
      <c r="N955" s="23" t="s">
        <v>829</v>
      </c>
      <c r="O955" s="23">
        <v>9</v>
      </c>
      <c r="P955" s="23" t="s">
        <v>1157</v>
      </c>
      <c r="Q955" s="23">
        <v>9</v>
      </c>
      <c r="R955" s="23"/>
      <c r="S955" s="23"/>
      <c r="T955" s="7">
        <v>1084</v>
      </c>
      <c r="U955" s="7" t="s">
        <v>1725</v>
      </c>
      <c r="V955" s="7">
        <v>1082</v>
      </c>
      <c r="W955" s="7" t="s">
        <v>1726</v>
      </c>
      <c r="X955" s="17">
        <v>44830</v>
      </c>
      <c r="Y955" s="17"/>
      <c r="Z955" s="17"/>
      <c r="AA955" s="17"/>
      <c r="AB955" s="7" t="s">
        <v>1101</v>
      </c>
      <c r="AC955" s="8"/>
      <c r="AD955" s="8"/>
      <c r="AE955" s="8"/>
      <c r="AF955" s="8" t="s">
        <v>726</v>
      </c>
      <c r="AG955" s="8" t="s">
        <v>726</v>
      </c>
      <c r="AH955" s="8"/>
      <c r="AI955" s="8"/>
      <c r="AJ955" s="8" t="s">
        <v>726</v>
      </c>
      <c r="AK955" s="8" t="s">
        <v>726</v>
      </c>
      <c r="AL955" s="8"/>
      <c r="AM955" s="8"/>
      <c r="AN955" s="8"/>
      <c r="AO955" s="8"/>
      <c r="AP955" s="8"/>
      <c r="AQ955" s="8"/>
      <c r="AR955" s="8"/>
      <c r="AS955" s="8"/>
      <c r="AT955" s="8"/>
      <c r="AU955" s="8"/>
      <c r="AV955" s="8"/>
      <c r="AX955" s="142">
        <v>45</v>
      </c>
    </row>
    <row r="956" spans="1:50" ht="25.5">
      <c r="A956" s="2" t="s">
        <v>1037</v>
      </c>
      <c r="B956" s="27" t="s">
        <v>1755</v>
      </c>
      <c r="C956" s="31">
        <v>210</v>
      </c>
      <c r="D956" s="34">
        <v>458</v>
      </c>
      <c r="E956" s="32">
        <v>0.6875</v>
      </c>
      <c r="F956" s="32">
        <v>0.70763888888888893</v>
      </c>
      <c r="G956" s="31" t="s">
        <v>277</v>
      </c>
      <c r="H956" s="31" t="s">
        <v>1036</v>
      </c>
      <c r="I956" s="33">
        <v>11</v>
      </c>
      <c r="J956" s="34">
        <v>44</v>
      </c>
      <c r="K956" s="35">
        <f>36-2</f>
        <v>34</v>
      </c>
      <c r="L956" s="36">
        <f>+K956*I956</f>
        <v>374</v>
      </c>
      <c r="M956" s="37" t="s">
        <v>735</v>
      </c>
      <c r="N956" s="23" t="s">
        <v>959</v>
      </c>
      <c r="O956" s="23">
        <v>29</v>
      </c>
      <c r="P956" s="23" t="s">
        <v>792</v>
      </c>
      <c r="Q956" s="23">
        <v>29</v>
      </c>
      <c r="R956" s="23" t="s">
        <v>962</v>
      </c>
      <c r="S956" s="24">
        <v>25</v>
      </c>
      <c r="T956" s="7">
        <v>2180</v>
      </c>
      <c r="U956" s="7" t="s">
        <v>1380</v>
      </c>
      <c r="V956" s="7">
        <v>2208</v>
      </c>
      <c r="W956" s="7" t="s">
        <v>1426</v>
      </c>
      <c r="X956" s="17">
        <v>44832</v>
      </c>
      <c r="Y956" s="17"/>
      <c r="Z956" s="17"/>
      <c r="AA956" s="17"/>
      <c r="AB956" s="7" t="s">
        <v>1102</v>
      </c>
      <c r="AC956" s="8"/>
      <c r="AD956" s="8"/>
      <c r="AE956" s="8"/>
      <c r="AF956" s="8" t="s">
        <v>726</v>
      </c>
      <c r="AG956" s="8"/>
      <c r="AH956" s="8"/>
      <c r="AI956" s="8" t="s">
        <v>726</v>
      </c>
      <c r="AJ956" s="8"/>
      <c r="AK956" s="8"/>
      <c r="AL956" s="8"/>
      <c r="AM956" s="8"/>
      <c r="AN956" s="8"/>
      <c r="AO956" s="8"/>
      <c r="AP956" s="8"/>
      <c r="AQ956" s="8"/>
      <c r="AR956" s="8"/>
      <c r="AS956" s="8"/>
      <c r="AT956" s="8"/>
      <c r="AU956" s="8"/>
      <c r="AV956" s="8"/>
      <c r="AX956" s="142">
        <v>33</v>
      </c>
    </row>
    <row r="957" spans="1:50" ht="25.5">
      <c r="A957" s="2" t="s">
        <v>1754</v>
      </c>
      <c r="B957" s="27" t="s">
        <v>1755</v>
      </c>
      <c r="C957" s="31">
        <v>645</v>
      </c>
      <c r="D957" s="31">
        <v>682</v>
      </c>
      <c r="E957" s="32">
        <v>0.5541666666666667</v>
      </c>
      <c r="F957" s="32">
        <v>0.58333333333333337</v>
      </c>
      <c r="G957" s="31" t="s">
        <v>1218</v>
      </c>
      <c r="H957" s="31" t="s">
        <v>1116</v>
      </c>
      <c r="I957" s="33">
        <v>31.5</v>
      </c>
      <c r="J957" s="34" t="s">
        <v>111</v>
      </c>
      <c r="K957" s="35">
        <v>54</v>
      </c>
      <c r="L957" s="36">
        <f>+K957*I957</f>
        <v>1701</v>
      </c>
      <c r="M957" s="37" t="s">
        <v>778</v>
      </c>
      <c r="N957" s="2" t="s">
        <v>1219</v>
      </c>
      <c r="O957" s="2">
        <v>21</v>
      </c>
      <c r="P957" s="2" t="s">
        <v>1220</v>
      </c>
      <c r="Q957" s="2">
        <v>31</v>
      </c>
      <c r="R957" s="2" t="s">
        <v>1221</v>
      </c>
      <c r="S957" s="2">
        <v>57</v>
      </c>
      <c r="T957" s="7" t="s">
        <v>1702</v>
      </c>
      <c r="U957" s="7" t="s">
        <v>1703</v>
      </c>
      <c r="V957" s="7">
        <v>6401</v>
      </c>
      <c r="W957" s="7" t="s">
        <v>1729</v>
      </c>
      <c r="X957" s="17">
        <v>44845</v>
      </c>
      <c r="Y957" s="17"/>
      <c r="Z957" s="17"/>
      <c r="AA957" s="17"/>
      <c r="AB957" s="7" t="s">
        <v>1061</v>
      </c>
      <c r="AC957" s="8"/>
      <c r="AD957" s="8"/>
      <c r="AE957" s="8"/>
      <c r="AF957" s="8" t="s">
        <v>726</v>
      </c>
      <c r="AG957" s="8"/>
      <c r="AH957" s="8" t="s">
        <v>726</v>
      </c>
      <c r="AI957" s="8"/>
      <c r="AJ957" s="8" t="s">
        <v>726</v>
      </c>
      <c r="AK957" s="8"/>
      <c r="AL957" s="8"/>
      <c r="AM957" s="8"/>
      <c r="AN957" s="8"/>
      <c r="AO957" s="8"/>
      <c r="AP957" s="8"/>
      <c r="AQ957" s="8"/>
      <c r="AR957" s="8"/>
      <c r="AS957" s="8"/>
      <c r="AT957" s="8"/>
      <c r="AU957" s="8"/>
      <c r="AV957" s="8"/>
      <c r="AX957" s="142">
        <v>94.5</v>
      </c>
    </row>
    <row r="958" spans="1:50" ht="25.5">
      <c r="A958" s="2" t="s">
        <v>1880</v>
      </c>
      <c r="B958" s="27" t="s">
        <v>1755</v>
      </c>
      <c r="C958" s="31">
        <v>634</v>
      </c>
      <c r="D958" s="31">
        <v>548</v>
      </c>
      <c r="E958" s="32">
        <v>0.58194444444444449</v>
      </c>
      <c r="F958" s="32">
        <v>0.60972222222222217</v>
      </c>
      <c r="G958" s="31" t="s">
        <v>1881</v>
      </c>
      <c r="H958" s="31" t="s">
        <v>103</v>
      </c>
      <c r="I958" s="33">
        <v>20</v>
      </c>
      <c r="J958" s="34">
        <v>19</v>
      </c>
      <c r="K958" s="35">
        <v>144</v>
      </c>
      <c r="L958" s="36">
        <f>+K958*I958</f>
        <v>2880</v>
      </c>
      <c r="M958" s="37" t="s">
        <v>774</v>
      </c>
      <c r="N958" s="23" t="s">
        <v>819</v>
      </c>
      <c r="O958" s="23">
        <v>21</v>
      </c>
      <c r="P958" s="23" t="s">
        <v>820</v>
      </c>
      <c r="Q958" s="23" t="s">
        <v>821</v>
      </c>
      <c r="R958" s="23" t="s">
        <v>1204</v>
      </c>
      <c r="S958" s="24">
        <v>17</v>
      </c>
      <c r="T958" s="7">
        <v>6220</v>
      </c>
      <c r="U958" s="7" t="s">
        <v>1882</v>
      </c>
      <c r="V958" s="7">
        <v>6755</v>
      </c>
      <c r="W958" s="7" t="s">
        <v>1883</v>
      </c>
      <c r="X958" s="17">
        <v>44886</v>
      </c>
      <c r="Y958" s="17"/>
      <c r="AB958" s="7" t="s">
        <v>1042</v>
      </c>
      <c r="AC958" s="8"/>
      <c r="AD958" s="8"/>
      <c r="AE958" s="8"/>
      <c r="AF958" s="8" t="s">
        <v>726</v>
      </c>
      <c r="AG958" s="8" t="s">
        <v>726</v>
      </c>
      <c r="AH958" s="8" t="s">
        <v>726</v>
      </c>
      <c r="AI958" s="8" t="s">
        <v>726</v>
      </c>
      <c r="AJ958" s="8" t="s">
        <v>726</v>
      </c>
      <c r="AK958" s="8" t="s">
        <v>726</v>
      </c>
      <c r="AL958" s="8"/>
      <c r="AM958" s="8"/>
      <c r="AN958" s="8"/>
      <c r="AO958" s="8"/>
      <c r="AP958" s="8"/>
      <c r="AQ958" s="8"/>
      <c r="AR958" s="8"/>
      <c r="AS958" s="8"/>
      <c r="AT958" s="8"/>
      <c r="AU958" s="8"/>
      <c r="AV958" s="8"/>
      <c r="AX958" s="142">
        <v>60</v>
      </c>
    </row>
    <row r="959" spans="1:50" ht="27" customHeight="1">
      <c r="A959" s="2" t="s">
        <v>1857</v>
      </c>
      <c r="B959" s="27" t="s">
        <v>1755</v>
      </c>
      <c r="C959" s="31">
        <v>205</v>
      </c>
      <c r="D959" s="31">
        <v>368</v>
      </c>
      <c r="E959" s="32">
        <v>0.71875</v>
      </c>
      <c r="F959" s="32">
        <v>0.73055555555555562</v>
      </c>
      <c r="G959" s="31" t="s">
        <v>494</v>
      </c>
      <c r="H959" s="31" t="s">
        <v>1007</v>
      </c>
      <c r="I959" s="33">
        <v>9</v>
      </c>
      <c r="J959" s="34" t="s">
        <v>93</v>
      </c>
      <c r="K959" s="35">
        <v>143</v>
      </c>
      <c r="L959" s="36">
        <f>+K959*I959</f>
        <v>1287</v>
      </c>
      <c r="M959" s="37" t="s">
        <v>734</v>
      </c>
      <c r="N959" s="23" t="s">
        <v>937</v>
      </c>
      <c r="O959" s="23">
        <v>17</v>
      </c>
      <c r="P959" s="23" t="s">
        <v>1791</v>
      </c>
      <c r="Q959" s="23">
        <v>37</v>
      </c>
      <c r="R959" s="23"/>
      <c r="S959" s="23"/>
      <c r="T959" s="7">
        <v>2120</v>
      </c>
      <c r="U959" s="7" t="s">
        <v>1398</v>
      </c>
      <c r="V959" s="7" t="s">
        <v>1394</v>
      </c>
      <c r="W959" s="7" t="s">
        <v>1395</v>
      </c>
      <c r="X959" s="18">
        <v>44895</v>
      </c>
      <c r="Y959" s="17"/>
      <c r="Z959" s="18"/>
      <c r="AA959" s="18"/>
      <c r="AB959" s="7" t="s">
        <v>1048</v>
      </c>
      <c r="AC959" s="8" t="s">
        <v>726</v>
      </c>
      <c r="AD959" s="8"/>
      <c r="AE959" s="8" t="s">
        <v>726</v>
      </c>
      <c r="AF959" s="8"/>
      <c r="AG959" s="8" t="s">
        <v>726</v>
      </c>
      <c r="AH959" s="8" t="s">
        <v>726</v>
      </c>
      <c r="AI959" s="8" t="s">
        <v>726</v>
      </c>
      <c r="AJ959" s="8" t="s">
        <v>726</v>
      </c>
      <c r="AK959" s="8" t="s">
        <v>726</v>
      </c>
      <c r="AL959" s="8"/>
      <c r="AM959" s="8"/>
      <c r="AN959" s="8"/>
      <c r="AO959" s="8"/>
      <c r="AP959" s="8"/>
      <c r="AQ959" s="8"/>
      <c r="AR959" s="8"/>
      <c r="AS959" s="8"/>
      <c r="AT959" s="8"/>
      <c r="AU959" s="8"/>
      <c r="AV959" s="8"/>
      <c r="AX959" s="142">
        <v>27</v>
      </c>
    </row>
    <row r="960" spans="1:50" ht="27" customHeight="1">
      <c r="A960" s="2" t="s">
        <v>1857</v>
      </c>
      <c r="B960" s="27" t="s">
        <v>1755</v>
      </c>
      <c r="C960" s="31">
        <v>205</v>
      </c>
      <c r="D960" s="31">
        <v>366</v>
      </c>
      <c r="E960" s="32">
        <v>0.70277777777777783</v>
      </c>
      <c r="F960" s="32">
        <v>0.70624999999999993</v>
      </c>
      <c r="G960" s="31" t="s">
        <v>187</v>
      </c>
      <c r="H960" s="31" t="s">
        <v>1856</v>
      </c>
      <c r="I960" s="33">
        <v>4</v>
      </c>
      <c r="J960" s="34" t="s">
        <v>93</v>
      </c>
      <c r="K960" s="35">
        <v>120</v>
      </c>
      <c r="L960" s="36">
        <f>+K960*I960</f>
        <v>480</v>
      </c>
      <c r="M960" s="37" t="s">
        <v>734</v>
      </c>
      <c r="N960" s="23" t="s">
        <v>937</v>
      </c>
      <c r="O960" s="23">
        <v>17</v>
      </c>
      <c r="P960" s="23" t="s">
        <v>1791</v>
      </c>
      <c r="Q960" s="23">
        <v>37</v>
      </c>
      <c r="R960" s="23"/>
      <c r="S960" s="23"/>
      <c r="T960" s="7">
        <v>2120</v>
      </c>
      <c r="U960" s="7" t="s">
        <v>1398</v>
      </c>
      <c r="V960" s="7">
        <v>2122</v>
      </c>
      <c r="W960" s="7" t="s">
        <v>1858</v>
      </c>
      <c r="X960" s="17">
        <v>44895</v>
      </c>
      <c r="Y960" s="17"/>
      <c r="Z960" s="18"/>
      <c r="AA960" s="18"/>
      <c r="AB960" s="7" t="s">
        <v>1046</v>
      </c>
      <c r="AC960" s="8"/>
      <c r="AD960" s="8"/>
      <c r="AE960" s="8"/>
      <c r="AF960" s="8" t="s">
        <v>726</v>
      </c>
      <c r="AG960" s="8" t="s">
        <v>726</v>
      </c>
      <c r="AH960" s="8" t="s">
        <v>726</v>
      </c>
      <c r="AI960" s="8" t="s">
        <v>726</v>
      </c>
      <c r="AJ960" s="8" t="s">
        <v>726</v>
      </c>
      <c r="AK960" s="8" t="s">
        <v>726</v>
      </c>
      <c r="AL960" s="8" t="s">
        <v>726</v>
      </c>
      <c r="AM960" s="8"/>
      <c r="AN960" s="8"/>
      <c r="AO960" s="8"/>
      <c r="AP960" s="8"/>
      <c r="AQ960" s="8"/>
      <c r="AR960" s="8"/>
      <c r="AS960" s="8"/>
      <c r="AT960" s="8"/>
      <c r="AU960" s="8"/>
      <c r="AV960" s="8"/>
      <c r="AX960" s="142">
        <v>12</v>
      </c>
    </row>
    <row r="961" spans="1:50" ht="25.5">
      <c r="A961" s="2" t="s">
        <v>1869</v>
      </c>
      <c r="B961" s="27" t="s">
        <v>1755</v>
      </c>
      <c r="C961" s="31" t="s">
        <v>1870</v>
      </c>
      <c r="D961" s="31">
        <v>645</v>
      </c>
      <c r="E961" s="32">
        <v>0.32083333333333336</v>
      </c>
      <c r="F961" s="32">
        <v>0.34375</v>
      </c>
      <c r="G961" s="31" t="s">
        <v>1871</v>
      </c>
      <c r="H961" s="31" t="s">
        <v>103</v>
      </c>
      <c r="I961" s="33">
        <v>22</v>
      </c>
      <c r="J961" s="34">
        <v>24</v>
      </c>
      <c r="K961" s="35">
        <f>174-35</f>
        <v>139</v>
      </c>
      <c r="L961" s="36">
        <f>+K961*I961</f>
        <v>3058</v>
      </c>
      <c r="M961" s="37" t="s">
        <v>1863</v>
      </c>
      <c r="N961" s="23" t="s">
        <v>1868</v>
      </c>
      <c r="O961" s="23">
        <v>23</v>
      </c>
      <c r="P961" s="23" t="s">
        <v>1867</v>
      </c>
      <c r="Q961" s="23">
        <v>22</v>
      </c>
      <c r="R961" s="4"/>
      <c r="S961" s="4"/>
      <c r="T961" s="7">
        <v>1078</v>
      </c>
      <c r="U961" s="7" t="s">
        <v>1294</v>
      </c>
      <c r="V961" s="7" t="s">
        <v>1349</v>
      </c>
      <c r="W961" s="7" t="s">
        <v>1350</v>
      </c>
      <c r="X961" s="17">
        <v>44893</v>
      </c>
      <c r="Y961" s="17"/>
      <c r="Z961" s="18"/>
      <c r="AA961" s="18"/>
      <c r="AB961" s="7" t="s">
        <v>1042</v>
      </c>
      <c r="AC961" s="8"/>
      <c r="AD961" s="8"/>
      <c r="AE961" s="8"/>
      <c r="AF961" s="8" t="s">
        <v>726</v>
      </c>
      <c r="AG961" s="8" t="s">
        <v>726</v>
      </c>
      <c r="AH961" s="8" t="s">
        <v>726</v>
      </c>
      <c r="AI961" s="8" t="s">
        <v>726</v>
      </c>
      <c r="AJ961" s="8" t="s">
        <v>726</v>
      </c>
      <c r="AK961" s="8" t="s">
        <v>726</v>
      </c>
      <c r="AL961" s="8"/>
      <c r="AM961" s="8"/>
      <c r="AN961" s="8"/>
      <c r="AO961" s="8"/>
      <c r="AP961" s="8"/>
      <c r="AQ961" s="8"/>
      <c r="AR961" s="8"/>
      <c r="AS961" s="8"/>
      <c r="AT961" s="8"/>
      <c r="AU961" s="8"/>
      <c r="AV961" s="8"/>
      <c r="AX961" s="142">
        <v>66</v>
      </c>
    </row>
    <row r="962" spans="1:50" ht="39.75" customHeight="1">
      <c r="A962" s="2" t="s">
        <v>1869</v>
      </c>
      <c r="B962" s="27" t="s">
        <v>1755</v>
      </c>
      <c r="C962" s="31">
        <v>646</v>
      </c>
      <c r="D962" s="31">
        <v>406</v>
      </c>
      <c r="E962" s="32">
        <v>0.66666666666666663</v>
      </c>
      <c r="F962" s="32">
        <v>0.69861111111111107</v>
      </c>
      <c r="G962" s="31" t="s">
        <v>1877</v>
      </c>
      <c r="H962" s="31" t="s">
        <v>1874</v>
      </c>
      <c r="I962" s="33">
        <v>22</v>
      </c>
      <c r="J962" s="34">
        <v>19</v>
      </c>
      <c r="K962" s="35">
        <v>23</v>
      </c>
      <c r="L962" s="36">
        <f>+K962*I962</f>
        <v>506</v>
      </c>
      <c r="M962" s="37" t="s">
        <v>779</v>
      </c>
      <c r="N962" s="23" t="s">
        <v>957</v>
      </c>
      <c r="O962" s="23">
        <v>24</v>
      </c>
      <c r="P962" s="23" t="s">
        <v>1215</v>
      </c>
      <c r="Q962" s="23">
        <v>56</v>
      </c>
      <c r="R962" s="23" t="s">
        <v>958</v>
      </c>
      <c r="S962" s="24">
        <v>20</v>
      </c>
      <c r="T962" s="9" t="s">
        <v>1878</v>
      </c>
      <c r="U962" s="7" t="s">
        <v>1879</v>
      </c>
      <c r="V962" s="7" t="s">
        <v>1875</v>
      </c>
      <c r="W962" s="7" t="s">
        <v>1876</v>
      </c>
      <c r="X962" s="17">
        <v>44893</v>
      </c>
      <c r="Y962" s="17"/>
      <c r="Z962" s="18"/>
      <c r="AA962" s="18"/>
      <c r="AB962" s="7" t="s">
        <v>1059</v>
      </c>
      <c r="AC962" s="8"/>
      <c r="AD962" s="8"/>
      <c r="AE962" s="8"/>
      <c r="AF962" s="8" t="s">
        <v>726</v>
      </c>
      <c r="AG962" s="8" t="s">
        <v>726</v>
      </c>
      <c r="AH962" s="8"/>
      <c r="AI962" s="8"/>
      <c r="AJ962" s="8"/>
      <c r="AK962" s="8"/>
      <c r="AL962" s="8"/>
      <c r="AM962" s="8"/>
      <c r="AN962" s="8"/>
      <c r="AO962" s="8"/>
      <c r="AP962" s="8"/>
      <c r="AQ962" s="8"/>
      <c r="AR962" s="8"/>
      <c r="AS962" s="8"/>
      <c r="AT962" s="8"/>
      <c r="AU962" s="8"/>
      <c r="AV962" s="8"/>
      <c r="AW962" s="10"/>
      <c r="AX962" s="142">
        <v>98.143488042255569</v>
      </c>
    </row>
    <row r="963" spans="1:50" ht="33.75">
      <c r="A963" s="2" t="s">
        <v>1872</v>
      </c>
      <c r="B963" s="27" t="s">
        <v>1755</v>
      </c>
      <c r="C963" s="31">
        <v>644</v>
      </c>
      <c r="D963" s="34">
        <v>660</v>
      </c>
      <c r="E963" s="32">
        <v>0.76388888888888884</v>
      </c>
      <c r="F963" s="42">
        <v>0.77500000000000002</v>
      </c>
      <c r="G963" s="31" t="s">
        <v>246</v>
      </c>
      <c r="H963" s="31" t="s">
        <v>1873</v>
      </c>
      <c r="I963" s="33">
        <v>6.5</v>
      </c>
      <c r="J963" s="34" t="s">
        <v>167</v>
      </c>
      <c r="K963" s="35">
        <v>23</v>
      </c>
      <c r="L963" s="36">
        <f>+K963*I963</f>
        <v>149.5</v>
      </c>
      <c r="M963" s="37" t="s">
        <v>780</v>
      </c>
      <c r="N963" s="23" t="s">
        <v>948</v>
      </c>
      <c r="O963" s="23">
        <v>17</v>
      </c>
      <c r="P963" s="23" t="s">
        <v>1209</v>
      </c>
      <c r="Q963" s="23">
        <v>17</v>
      </c>
      <c r="S963" s="23"/>
      <c r="T963" s="7">
        <v>6387</v>
      </c>
      <c r="U963" s="7" t="s">
        <v>1687</v>
      </c>
      <c r="V963" s="7">
        <v>6391</v>
      </c>
      <c r="W963" s="7" t="s">
        <v>1685</v>
      </c>
      <c r="X963" s="17">
        <v>44894</v>
      </c>
      <c r="Y963" s="17"/>
      <c r="Z963" s="17"/>
      <c r="AA963" s="17"/>
      <c r="AB963" s="8" t="s">
        <v>1057</v>
      </c>
      <c r="AC963" s="8"/>
      <c r="AD963" s="8"/>
      <c r="AE963" s="8"/>
      <c r="AF963" s="8" t="s">
        <v>726</v>
      </c>
      <c r="AG963" s="8"/>
      <c r="AH963" s="8" t="s">
        <v>726</v>
      </c>
      <c r="AI963" s="8"/>
      <c r="AJ963" s="8"/>
      <c r="AK963" s="8"/>
      <c r="AL963" s="8"/>
      <c r="AM963" s="8"/>
      <c r="AN963" s="8"/>
      <c r="AO963" s="8"/>
      <c r="AP963" s="8"/>
      <c r="AQ963" s="8"/>
      <c r="AR963" s="8"/>
      <c r="AS963" s="8"/>
      <c r="AT963" s="8"/>
      <c r="AU963" s="8"/>
      <c r="AV963" s="8"/>
      <c r="AW963" s="10"/>
      <c r="AX963" s="142">
        <v>19.5</v>
      </c>
    </row>
    <row r="964" spans="1:50" ht="33.75">
      <c r="A964" s="2" t="s">
        <v>1857</v>
      </c>
      <c r="B964" s="27" t="s">
        <v>1755</v>
      </c>
      <c r="C964" s="31">
        <v>103</v>
      </c>
      <c r="D964" s="31">
        <v>203</v>
      </c>
      <c r="E964" s="32">
        <v>0.60416666666666663</v>
      </c>
      <c r="F964" s="32">
        <v>0.6166666666666667</v>
      </c>
      <c r="G964" s="31" t="s">
        <v>1861</v>
      </c>
      <c r="H964" s="31" t="s">
        <v>1862</v>
      </c>
      <c r="I964" s="33">
        <v>12.5</v>
      </c>
      <c r="J964" s="34">
        <v>19</v>
      </c>
      <c r="K964" s="35">
        <v>48</v>
      </c>
      <c r="L964" s="36">
        <f>+K964*I964</f>
        <v>600</v>
      </c>
      <c r="M964" s="37" t="s">
        <v>1863</v>
      </c>
      <c r="N964" s="23" t="s">
        <v>1867</v>
      </c>
      <c r="O964" s="23">
        <v>22</v>
      </c>
      <c r="P964" s="23" t="s">
        <v>1868</v>
      </c>
      <c r="Q964" s="23">
        <v>23</v>
      </c>
      <c r="R964" s="23" t="s">
        <v>2029</v>
      </c>
      <c r="S964" s="23">
        <v>17</v>
      </c>
      <c r="T964" s="7" t="s">
        <v>1865</v>
      </c>
      <c r="U964" s="7" t="s">
        <v>1864</v>
      </c>
      <c r="V964" s="7">
        <v>1122</v>
      </c>
      <c r="W964" s="7" t="s">
        <v>1866</v>
      </c>
      <c r="X964" s="17">
        <v>44895</v>
      </c>
      <c r="Y964" s="17"/>
      <c r="Z964" s="18"/>
      <c r="AA964" s="18"/>
      <c r="AB964" s="7" t="s">
        <v>1056</v>
      </c>
      <c r="AC964" s="8"/>
      <c r="AD964" s="8"/>
      <c r="AE964" s="8"/>
      <c r="AF964" s="8" t="s">
        <v>726</v>
      </c>
      <c r="AG964" s="8"/>
      <c r="AH964" s="8" t="s">
        <v>726</v>
      </c>
      <c r="AI964" s="8" t="s">
        <v>726</v>
      </c>
      <c r="AJ964" s="8"/>
      <c r="AK964" s="8"/>
      <c r="AL964" s="8"/>
      <c r="AM964" s="8"/>
      <c r="AN964" s="8"/>
      <c r="AO964" s="8"/>
      <c r="AP964" s="8"/>
      <c r="AQ964" s="8"/>
      <c r="AR964" s="8"/>
      <c r="AS964" s="8"/>
      <c r="AT964" s="8"/>
      <c r="AU964" s="8"/>
      <c r="AV964" s="8"/>
      <c r="AX964" s="142">
        <v>37.5</v>
      </c>
    </row>
    <row r="965" spans="1:50" ht="33.75">
      <c r="A965" s="2" t="s">
        <v>1969</v>
      </c>
      <c r="B965" s="27" t="s">
        <v>1755</v>
      </c>
      <c r="C965" s="53">
        <v>334</v>
      </c>
      <c r="D965" s="53">
        <v>401</v>
      </c>
      <c r="E965" s="44">
        <v>0.69236111111111109</v>
      </c>
      <c r="F965" s="44">
        <v>0.69861111111111107</v>
      </c>
      <c r="G965" s="50" t="s">
        <v>29</v>
      </c>
      <c r="H965" s="31" t="s">
        <v>242</v>
      </c>
      <c r="I965" s="53">
        <v>4</v>
      </c>
      <c r="J965" s="41">
        <v>19</v>
      </c>
      <c r="K965" s="35">
        <v>34</v>
      </c>
      <c r="L965" s="36">
        <f>+K965*I965</f>
        <v>136</v>
      </c>
      <c r="M965" s="37" t="s">
        <v>756</v>
      </c>
      <c r="N965" s="23" t="s">
        <v>938</v>
      </c>
      <c r="O965" s="23">
        <v>22</v>
      </c>
      <c r="P965" s="23" t="s">
        <v>1810</v>
      </c>
      <c r="Q965" s="23">
        <v>29</v>
      </c>
      <c r="R965" s="2" t="s">
        <v>1181</v>
      </c>
      <c r="S965" s="23">
        <v>21</v>
      </c>
      <c r="T965" s="7" t="s">
        <v>1561</v>
      </c>
      <c r="U965" s="7" t="s">
        <v>1562</v>
      </c>
      <c r="V965" s="7" t="s">
        <v>1559</v>
      </c>
      <c r="W965" s="7" t="s">
        <v>1560</v>
      </c>
      <c r="X965" s="17">
        <v>44870</v>
      </c>
      <c r="Y965" s="17"/>
      <c r="Z965" s="17"/>
      <c r="AA965" s="17"/>
      <c r="AB965" s="8" t="s">
        <v>1051</v>
      </c>
      <c r="AC965" s="8"/>
      <c r="AD965" s="8"/>
      <c r="AE965" s="8"/>
      <c r="AF965" s="8" t="s">
        <v>726</v>
      </c>
      <c r="AG965" s="8"/>
      <c r="AH965" s="8"/>
      <c r="AI965" s="8"/>
      <c r="AJ965" s="8"/>
      <c r="AK965" s="8"/>
      <c r="AL965" s="8" t="s">
        <v>726</v>
      </c>
      <c r="AM965" s="8"/>
      <c r="AN965" s="8"/>
      <c r="AO965" s="8"/>
      <c r="AP965" s="8"/>
      <c r="AQ965" s="8"/>
      <c r="AR965" s="8"/>
      <c r="AS965" s="8"/>
      <c r="AT965" s="8"/>
      <c r="AU965" s="8"/>
      <c r="AV965" s="8"/>
      <c r="AX965" s="142">
        <v>6.1094275166675835</v>
      </c>
    </row>
    <row r="966" spans="1:50" ht="25.5">
      <c r="A966" s="2" t="s">
        <v>1886</v>
      </c>
      <c r="B966" s="27" t="s">
        <v>1755</v>
      </c>
      <c r="C966" s="31">
        <v>611</v>
      </c>
      <c r="D966" s="31">
        <v>757</v>
      </c>
      <c r="E966" s="32">
        <v>0.30208333333333331</v>
      </c>
      <c r="F966" s="32">
        <v>0.31944444444444448</v>
      </c>
      <c r="G966" s="31" t="s">
        <v>1888</v>
      </c>
      <c r="H966" s="31" t="s">
        <v>103</v>
      </c>
      <c r="I966" s="52">
        <v>13.5</v>
      </c>
      <c r="J966" s="34" t="s">
        <v>165</v>
      </c>
      <c r="K966" s="35">
        <v>174</v>
      </c>
      <c r="L966" s="36">
        <f>+K966*I966</f>
        <v>2349</v>
      </c>
      <c r="M966" s="37" t="s">
        <v>1915</v>
      </c>
      <c r="N966" s="112" t="s">
        <v>2056</v>
      </c>
      <c r="O966" s="112">
        <v>57</v>
      </c>
      <c r="P966" s="23" t="s">
        <v>1931</v>
      </c>
      <c r="Q966" s="6">
        <v>57</v>
      </c>
      <c r="R966" s="5" t="s">
        <v>1885</v>
      </c>
      <c r="S966" s="5">
        <v>57</v>
      </c>
      <c r="T966" s="7">
        <v>6136</v>
      </c>
      <c r="U966" s="7" t="s">
        <v>1889</v>
      </c>
      <c r="V966" s="7">
        <v>6120</v>
      </c>
      <c r="W966" s="7" t="s">
        <v>1238</v>
      </c>
      <c r="X966" s="17">
        <v>44867</v>
      </c>
      <c r="Y966" s="17"/>
      <c r="Z966" s="17"/>
      <c r="AA966" s="17"/>
      <c r="AB966" s="7" t="s">
        <v>1042</v>
      </c>
      <c r="AC966" s="8"/>
      <c r="AD966" s="8"/>
      <c r="AE966" s="8"/>
      <c r="AF966" s="8" t="s">
        <v>726</v>
      </c>
      <c r="AG966" s="8" t="s">
        <v>726</v>
      </c>
      <c r="AH966" s="8" t="s">
        <v>726</v>
      </c>
      <c r="AI966" s="8" t="s">
        <v>726</v>
      </c>
      <c r="AJ966" s="8" t="s">
        <v>726</v>
      </c>
      <c r="AK966" s="8" t="s">
        <v>726</v>
      </c>
      <c r="AL966" s="8"/>
      <c r="AM966" s="8"/>
      <c r="AN966" s="8"/>
      <c r="AO966" s="8"/>
      <c r="AP966" s="8"/>
      <c r="AQ966" s="8"/>
      <c r="AR966" s="8"/>
      <c r="AS966" s="8"/>
      <c r="AT966" s="8"/>
      <c r="AU966" s="8"/>
      <c r="AV966" s="8"/>
      <c r="AX966" s="142">
        <v>153.79</v>
      </c>
    </row>
    <row r="967" spans="1:50" ht="38.25">
      <c r="A967" s="2" t="s">
        <v>1977</v>
      </c>
      <c r="B967" s="27" t="s">
        <v>1755</v>
      </c>
      <c r="C967" s="31">
        <v>205</v>
      </c>
      <c r="D967" s="53">
        <v>803</v>
      </c>
      <c r="E967" s="39">
        <v>0.3263888888888889</v>
      </c>
      <c r="F967" s="39">
        <v>0.33194444444444443</v>
      </c>
      <c r="G967" s="40" t="s">
        <v>1978</v>
      </c>
      <c r="H967" s="31" t="s">
        <v>2089</v>
      </c>
      <c r="I967" s="38">
        <v>6</v>
      </c>
      <c r="J967" s="34">
        <v>50</v>
      </c>
      <c r="K967" s="35">
        <v>21</v>
      </c>
      <c r="L967" s="36">
        <f>+K967*I967</f>
        <v>126</v>
      </c>
      <c r="M967" s="37" t="s">
        <v>734</v>
      </c>
      <c r="N967" s="79" t="s">
        <v>936</v>
      </c>
      <c r="O967" s="79">
        <v>57</v>
      </c>
      <c r="P967" s="79" t="s">
        <v>1148</v>
      </c>
      <c r="Q967" s="79">
        <v>54</v>
      </c>
      <c r="R967" s="79" t="s">
        <v>935</v>
      </c>
      <c r="S967" s="79">
        <v>55</v>
      </c>
      <c r="T967" s="7">
        <v>960</v>
      </c>
      <c r="U967" s="7" t="s">
        <v>1929</v>
      </c>
      <c r="V967" s="7" t="s">
        <v>1981</v>
      </c>
      <c r="W967" s="7" t="s">
        <v>1982</v>
      </c>
      <c r="X967" s="122">
        <v>44986</v>
      </c>
      <c r="Y967" s="17"/>
      <c r="Z967" s="17"/>
      <c r="AA967" s="17"/>
      <c r="AB967" s="7" t="s">
        <v>2090</v>
      </c>
      <c r="AC967" s="8"/>
      <c r="AD967" s="8"/>
      <c r="AE967" s="8"/>
      <c r="AF967" s="8" t="s">
        <v>726</v>
      </c>
      <c r="AG967" s="8"/>
      <c r="AH967" s="8" t="s">
        <v>726</v>
      </c>
      <c r="AI967" s="8" t="s">
        <v>726</v>
      </c>
      <c r="AJ967" s="8" t="s">
        <v>726</v>
      </c>
      <c r="AK967" s="8" t="s">
        <v>726</v>
      </c>
      <c r="AL967" s="8"/>
      <c r="AM967" s="8"/>
      <c r="AN967" s="8"/>
      <c r="AO967" s="8"/>
      <c r="AP967" s="8"/>
      <c r="AQ967" s="8"/>
      <c r="AR967" s="8"/>
      <c r="AS967" s="8"/>
      <c r="AT967" s="8"/>
      <c r="AU967" s="8"/>
      <c r="AV967" s="8"/>
      <c r="AX967" s="142">
        <v>150</v>
      </c>
    </row>
    <row r="968" spans="1:50" ht="25.5">
      <c r="A968" s="2" t="s">
        <v>1977</v>
      </c>
      <c r="B968" s="27" t="s">
        <v>1755</v>
      </c>
      <c r="C968" s="31">
        <v>205</v>
      </c>
      <c r="D968" s="38">
        <v>358</v>
      </c>
      <c r="E968" s="39">
        <v>0.80555555555555547</v>
      </c>
      <c r="F968" s="39">
        <v>0.83958333333333324</v>
      </c>
      <c r="G968" s="40" t="s">
        <v>1979</v>
      </c>
      <c r="H968" s="31" t="s">
        <v>103</v>
      </c>
      <c r="I968" s="38">
        <v>23</v>
      </c>
      <c r="J968" s="34">
        <v>50</v>
      </c>
      <c r="K968" s="35">
        <v>26</v>
      </c>
      <c r="L968" s="36">
        <f>+K968*I968</f>
        <v>598</v>
      </c>
      <c r="M968" s="37" t="s">
        <v>734</v>
      </c>
      <c r="N968" s="79" t="s">
        <v>936</v>
      </c>
      <c r="O968" s="79">
        <v>57</v>
      </c>
      <c r="P968" s="79" t="s">
        <v>1148</v>
      </c>
      <c r="Q968" s="79">
        <v>54</v>
      </c>
      <c r="R968" s="79" t="s">
        <v>935</v>
      </c>
      <c r="S968" s="79">
        <v>55</v>
      </c>
      <c r="T968" s="7" t="s">
        <v>1396</v>
      </c>
      <c r="U968" s="7" t="s">
        <v>1397</v>
      </c>
      <c r="V968" s="7">
        <v>960</v>
      </c>
      <c r="W968" s="7" t="s">
        <v>1929</v>
      </c>
      <c r="X968" s="122">
        <v>44986</v>
      </c>
      <c r="Y968" s="17"/>
      <c r="Z968" s="17"/>
      <c r="AA968" s="17"/>
      <c r="AB968" s="7" t="s">
        <v>1042</v>
      </c>
      <c r="AC968" s="8"/>
      <c r="AD968" s="8"/>
      <c r="AE968" s="8"/>
      <c r="AF968" s="8" t="s">
        <v>726</v>
      </c>
      <c r="AG968" s="8" t="s">
        <v>726</v>
      </c>
      <c r="AH968" s="8" t="s">
        <v>726</v>
      </c>
      <c r="AI968" s="8" t="s">
        <v>726</v>
      </c>
      <c r="AJ968" s="8" t="s">
        <v>726</v>
      </c>
      <c r="AK968" s="8" t="s">
        <v>726</v>
      </c>
      <c r="AL968" s="8"/>
      <c r="AM968" s="8"/>
      <c r="AN968" s="8"/>
      <c r="AO968" s="8"/>
      <c r="AP968" s="8"/>
      <c r="AQ968" s="8"/>
      <c r="AR968" s="8"/>
      <c r="AS968" s="8"/>
      <c r="AT968" s="8"/>
      <c r="AU968" s="8"/>
      <c r="AV968" s="8"/>
      <c r="AX968" s="142">
        <v>69</v>
      </c>
    </row>
    <row r="969" spans="1:50" ht="25.5">
      <c r="A969" s="2" t="s">
        <v>1977</v>
      </c>
      <c r="B969" s="27" t="s">
        <v>1755</v>
      </c>
      <c r="C969" s="31">
        <v>205</v>
      </c>
      <c r="D969" s="38">
        <v>197</v>
      </c>
      <c r="E969" s="39">
        <v>0.85416666666666663</v>
      </c>
      <c r="F969" s="39">
        <v>0.88611111111111107</v>
      </c>
      <c r="G969" s="40" t="s">
        <v>1980</v>
      </c>
      <c r="H969" s="31" t="s">
        <v>103</v>
      </c>
      <c r="I969" s="38">
        <v>23</v>
      </c>
      <c r="J969" s="34">
        <v>50</v>
      </c>
      <c r="K969" s="35">
        <v>26</v>
      </c>
      <c r="L969" s="36">
        <f>+K969*I969</f>
        <v>598</v>
      </c>
      <c r="M969" s="37" t="s">
        <v>734</v>
      </c>
      <c r="N969" s="79" t="s">
        <v>936</v>
      </c>
      <c r="O969" s="79">
        <v>57</v>
      </c>
      <c r="P969" s="79" t="s">
        <v>1148</v>
      </c>
      <c r="Q969" s="79">
        <v>54</v>
      </c>
      <c r="R969" s="79" t="s">
        <v>935</v>
      </c>
      <c r="S969" s="79">
        <v>55</v>
      </c>
      <c r="T969" s="7">
        <v>960</v>
      </c>
      <c r="U969" s="7" t="s">
        <v>1929</v>
      </c>
      <c r="V969" s="7" t="s">
        <v>1396</v>
      </c>
      <c r="W969" s="7" t="s">
        <v>1397</v>
      </c>
      <c r="X969" s="122">
        <v>44986</v>
      </c>
      <c r="Y969" s="17"/>
      <c r="Z969" s="17"/>
      <c r="AA969" s="17"/>
      <c r="AB969" s="7" t="s">
        <v>1042</v>
      </c>
      <c r="AC969" s="8"/>
      <c r="AD969" s="8"/>
      <c r="AE969" s="8"/>
      <c r="AF969" s="8" t="s">
        <v>726</v>
      </c>
      <c r="AG969" s="8" t="s">
        <v>726</v>
      </c>
      <c r="AH969" s="8" t="s">
        <v>726</v>
      </c>
      <c r="AI969" s="8" t="s">
        <v>726</v>
      </c>
      <c r="AJ969" s="8" t="s">
        <v>726</v>
      </c>
      <c r="AK969" s="8" t="s">
        <v>726</v>
      </c>
      <c r="AL969" s="8"/>
      <c r="AM969" s="8"/>
      <c r="AN969" s="8"/>
      <c r="AO969" s="8"/>
      <c r="AP969" s="8"/>
      <c r="AQ969" s="8"/>
      <c r="AR969" s="8"/>
      <c r="AS969" s="8"/>
      <c r="AT969" s="8"/>
      <c r="AU969" s="8"/>
      <c r="AV969" s="8"/>
      <c r="AX969" s="142">
        <v>69</v>
      </c>
    </row>
    <row r="970" spans="1:50" ht="25.5">
      <c r="A970" s="2" t="s">
        <v>1977</v>
      </c>
      <c r="B970" s="27" t="s">
        <v>1755</v>
      </c>
      <c r="C970" s="31">
        <v>205</v>
      </c>
      <c r="D970" s="38">
        <v>360</v>
      </c>
      <c r="E970" s="39">
        <v>0.88888888888888884</v>
      </c>
      <c r="F970" s="39">
        <v>0.92291666666666661</v>
      </c>
      <c r="G970" s="40" t="s">
        <v>1979</v>
      </c>
      <c r="H970" s="31" t="s">
        <v>103</v>
      </c>
      <c r="I970" s="38">
        <v>23</v>
      </c>
      <c r="J970" s="34">
        <v>50</v>
      </c>
      <c r="K970" s="35">
        <v>26</v>
      </c>
      <c r="L970" s="36">
        <f>+K970*I970</f>
        <v>598</v>
      </c>
      <c r="M970" s="37" t="s">
        <v>734</v>
      </c>
      <c r="N970" s="79" t="s">
        <v>936</v>
      </c>
      <c r="O970" s="79">
        <v>57</v>
      </c>
      <c r="P970" s="79" t="s">
        <v>1148</v>
      </c>
      <c r="Q970" s="79">
        <v>54</v>
      </c>
      <c r="R970" s="79" t="s">
        <v>935</v>
      </c>
      <c r="S970" s="79">
        <v>55</v>
      </c>
      <c r="T970" s="7" t="s">
        <v>1396</v>
      </c>
      <c r="U970" s="7" t="s">
        <v>1397</v>
      </c>
      <c r="V970" s="7">
        <v>960</v>
      </c>
      <c r="W970" s="7" t="s">
        <v>1929</v>
      </c>
      <c r="X970" s="122">
        <v>44986</v>
      </c>
      <c r="Y970" s="17"/>
      <c r="Z970" s="17"/>
      <c r="AA970" s="17"/>
      <c r="AB970" s="7" t="s">
        <v>1042</v>
      </c>
      <c r="AC970" s="8"/>
      <c r="AD970" s="8"/>
      <c r="AE970" s="8"/>
      <c r="AF970" s="8" t="s">
        <v>726</v>
      </c>
      <c r="AG970" s="8" t="s">
        <v>726</v>
      </c>
      <c r="AH970" s="8" t="s">
        <v>726</v>
      </c>
      <c r="AI970" s="8" t="s">
        <v>726</v>
      </c>
      <c r="AJ970" s="8" t="s">
        <v>726</v>
      </c>
      <c r="AK970" s="8" t="s">
        <v>726</v>
      </c>
      <c r="AL970" s="8"/>
      <c r="AM970" s="8"/>
      <c r="AN970" s="8"/>
      <c r="AO970" s="8"/>
      <c r="AP970" s="8"/>
      <c r="AQ970" s="8"/>
      <c r="AR970" s="8"/>
      <c r="AS970" s="8"/>
      <c r="AT970" s="8"/>
      <c r="AU970" s="8"/>
      <c r="AV970" s="8"/>
      <c r="AX970" s="142">
        <v>69</v>
      </c>
    </row>
    <row r="971" spans="1:50" ht="25.5">
      <c r="A971" s="2" t="s">
        <v>2000</v>
      </c>
      <c r="B971" s="27" t="s">
        <v>1755</v>
      </c>
      <c r="C971" s="31">
        <v>620</v>
      </c>
      <c r="D971" s="38">
        <v>223</v>
      </c>
      <c r="E971" s="39">
        <v>0.27083333333333331</v>
      </c>
      <c r="F971" s="39">
        <v>0.29652777777777778</v>
      </c>
      <c r="G971" s="40" t="s">
        <v>2001</v>
      </c>
      <c r="H971" s="31" t="s">
        <v>103</v>
      </c>
      <c r="I971" s="33">
        <v>16</v>
      </c>
      <c r="J971" s="34">
        <v>31</v>
      </c>
      <c r="K971" s="35">
        <v>54</v>
      </c>
      <c r="L971" s="36">
        <f>+K971*I971</f>
        <v>864</v>
      </c>
      <c r="M971" s="37" t="s">
        <v>728</v>
      </c>
      <c r="N971" s="79" t="s">
        <v>966</v>
      </c>
      <c r="O971" s="79">
        <v>31</v>
      </c>
      <c r="P971" s="79"/>
      <c r="Q971" s="79"/>
      <c r="R971" s="79"/>
      <c r="S971" s="79"/>
      <c r="T971" s="7">
        <v>6147</v>
      </c>
      <c r="U971" s="7" t="s">
        <v>1635</v>
      </c>
      <c r="V971" s="7">
        <v>6120</v>
      </c>
      <c r="W971" s="7" t="s">
        <v>1238</v>
      </c>
      <c r="X971" s="122">
        <v>45005</v>
      </c>
      <c r="Y971" s="17"/>
      <c r="Z971" s="17"/>
      <c r="AA971" s="17"/>
      <c r="AB971" s="7" t="s">
        <v>1042</v>
      </c>
      <c r="AC971" s="8"/>
      <c r="AD971" s="8"/>
      <c r="AE971" s="8"/>
      <c r="AF971" s="8" t="s">
        <v>726</v>
      </c>
      <c r="AG971" s="8" t="s">
        <v>726</v>
      </c>
      <c r="AH971" s="8" t="s">
        <v>726</v>
      </c>
      <c r="AI971" s="8" t="s">
        <v>726</v>
      </c>
      <c r="AJ971" s="8" t="s">
        <v>726</v>
      </c>
      <c r="AK971" s="8" t="s">
        <v>726</v>
      </c>
      <c r="AL971" s="8"/>
      <c r="AM971" s="8"/>
      <c r="AN971" s="8"/>
      <c r="AO971" s="8"/>
      <c r="AP971" s="8"/>
      <c r="AQ971" s="8"/>
      <c r="AR971" s="8"/>
      <c r="AS971" s="8"/>
      <c r="AT971" s="8"/>
      <c r="AU971" s="8"/>
      <c r="AV971" s="8"/>
      <c r="AX971" s="142">
        <v>48</v>
      </c>
    </row>
    <row r="972" spans="1:50" ht="25.5">
      <c r="A972" s="2" t="s">
        <v>2105</v>
      </c>
      <c r="B972" s="27" t="s">
        <v>1755</v>
      </c>
      <c r="C972" s="31">
        <v>332</v>
      </c>
      <c r="D972" s="38">
        <v>798</v>
      </c>
      <c r="E972" s="39">
        <v>0.7680555555555556</v>
      </c>
      <c r="F972" s="39">
        <v>0.78194444444444444</v>
      </c>
      <c r="G972" s="40" t="s">
        <v>2002</v>
      </c>
      <c r="H972" s="31" t="s">
        <v>103</v>
      </c>
      <c r="I972" s="33">
        <v>7</v>
      </c>
      <c r="J972" s="34">
        <v>50</v>
      </c>
      <c r="K972" s="35">
        <v>51</v>
      </c>
      <c r="L972" s="36">
        <f>+K972*I972</f>
        <v>357</v>
      </c>
      <c r="M972" s="37" t="s">
        <v>739</v>
      </c>
      <c r="N972" s="79" t="s">
        <v>892</v>
      </c>
      <c r="O972" s="79">
        <v>57</v>
      </c>
      <c r="P972" s="79" t="s">
        <v>1817</v>
      </c>
      <c r="Q972" s="112">
        <v>50</v>
      </c>
      <c r="R972" s="79"/>
      <c r="S972" s="79"/>
      <c r="T972" s="7">
        <v>960</v>
      </c>
      <c r="U972" s="7" t="s">
        <v>2003</v>
      </c>
      <c r="V972" s="7">
        <v>3530</v>
      </c>
      <c r="W972" s="7" t="s">
        <v>2004</v>
      </c>
      <c r="X972" s="122">
        <v>45008</v>
      </c>
      <c r="Y972" s="17"/>
      <c r="Z972" s="17"/>
      <c r="AA972" s="17"/>
      <c r="AB972" s="7" t="s">
        <v>1042</v>
      </c>
      <c r="AC972" s="8"/>
      <c r="AD972" s="8"/>
      <c r="AE972" s="8"/>
      <c r="AF972" s="8" t="s">
        <v>726</v>
      </c>
      <c r="AG972" s="8" t="s">
        <v>726</v>
      </c>
      <c r="AH972" s="8" t="s">
        <v>726</v>
      </c>
      <c r="AI972" s="8" t="s">
        <v>726</v>
      </c>
      <c r="AJ972" s="8" t="s">
        <v>726</v>
      </c>
      <c r="AK972" s="8" t="s">
        <v>726</v>
      </c>
      <c r="AL972" s="8"/>
      <c r="AM972" s="8"/>
      <c r="AN972" s="8"/>
      <c r="AO972" s="8"/>
      <c r="AP972" s="8"/>
      <c r="AQ972" s="8"/>
      <c r="AR972" s="8"/>
      <c r="AS972" s="8"/>
      <c r="AT972" s="8"/>
      <c r="AU972" s="8"/>
      <c r="AV972" s="8"/>
      <c r="AX972" s="142">
        <v>21</v>
      </c>
    </row>
    <row r="973" spans="1:50" ht="25.5">
      <c r="A973" s="2" t="s">
        <v>2105</v>
      </c>
      <c r="B973" s="27" t="s">
        <v>1755</v>
      </c>
      <c r="C973" s="31">
        <v>332</v>
      </c>
      <c r="D973" s="38">
        <v>245</v>
      </c>
      <c r="E973" s="39">
        <v>0.80555555555555547</v>
      </c>
      <c r="F973" s="39">
        <v>0.85486111111111107</v>
      </c>
      <c r="G973" s="40" t="s">
        <v>2005</v>
      </c>
      <c r="H973" s="31" t="s">
        <v>103</v>
      </c>
      <c r="I973" s="33">
        <v>31</v>
      </c>
      <c r="J973" s="34">
        <v>50</v>
      </c>
      <c r="K973" s="35">
        <v>51</v>
      </c>
      <c r="L973" s="36">
        <f>+K973*I973</f>
        <v>1581</v>
      </c>
      <c r="M973" s="37" t="s">
        <v>739</v>
      </c>
      <c r="N973" s="79" t="s">
        <v>892</v>
      </c>
      <c r="O973" s="79">
        <v>57</v>
      </c>
      <c r="P973" s="79" t="s">
        <v>1817</v>
      </c>
      <c r="Q973" s="112">
        <v>50</v>
      </c>
      <c r="R973" s="79"/>
      <c r="S973" s="79"/>
      <c r="T973" s="7">
        <v>3530</v>
      </c>
      <c r="U973" s="7" t="s">
        <v>2004</v>
      </c>
      <c r="V973" s="7" t="s">
        <v>1925</v>
      </c>
      <c r="W973" s="7" t="s">
        <v>2006</v>
      </c>
      <c r="X973" s="122">
        <v>45008</v>
      </c>
      <c r="Y973" s="17"/>
      <c r="Z973" s="17"/>
      <c r="AA973" s="17"/>
      <c r="AB973" s="7" t="s">
        <v>1042</v>
      </c>
      <c r="AC973" s="8"/>
      <c r="AD973" s="8"/>
      <c r="AE973" s="8"/>
      <c r="AF973" s="8" t="s">
        <v>726</v>
      </c>
      <c r="AG973" s="8" t="s">
        <v>726</v>
      </c>
      <c r="AH973" s="8" t="s">
        <v>726</v>
      </c>
      <c r="AI973" s="8" t="s">
        <v>726</v>
      </c>
      <c r="AJ973" s="8" t="s">
        <v>726</v>
      </c>
      <c r="AK973" s="8" t="s">
        <v>726</v>
      </c>
      <c r="AL973" s="8"/>
      <c r="AM973" s="8"/>
      <c r="AN973" s="8"/>
      <c r="AO973" s="8"/>
      <c r="AP973" s="8"/>
      <c r="AQ973" s="8"/>
      <c r="AR973" s="8"/>
      <c r="AS973" s="8"/>
      <c r="AT973" s="8"/>
      <c r="AU973" s="8"/>
      <c r="AV973" s="8"/>
      <c r="AX973" s="142">
        <v>93</v>
      </c>
    </row>
    <row r="974" spans="1:50" ht="25.5">
      <c r="A974" s="2" t="s">
        <v>2105</v>
      </c>
      <c r="B974" s="27" t="s">
        <v>1755</v>
      </c>
      <c r="C974" s="31">
        <v>332</v>
      </c>
      <c r="D974" s="38">
        <v>388</v>
      </c>
      <c r="E974" s="39">
        <v>0.87013888888888891</v>
      </c>
      <c r="F974" s="39">
        <v>0.9159722222222223</v>
      </c>
      <c r="G974" s="40" t="s">
        <v>2007</v>
      </c>
      <c r="H974" s="31" t="s">
        <v>103</v>
      </c>
      <c r="I974" s="33">
        <v>30</v>
      </c>
      <c r="J974" s="34">
        <v>50</v>
      </c>
      <c r="K974" s="35">
        <v>51</v>
      </c>
      <c r="L974" s="36">
        <f>+K974*I974</f>
        <v>1530</v>
      </c>
      <c r="M974" s="37" t="s">
        <v>739</v>
      </c>
      <c r="N974" s="79" t="s">
        <v>892</v>
      </c>
      <c r="O974" s="79">
        <v>57</v>
      </c>
      <c r="P974" s="79" t="s">
        <v>1817</v>
      </c>
      <c r="Q974" s="112">
        <v>50</v>
      </c>
      <c r="R974" s="79"/>
      <c r="S974" s="79"/>
      <c r="T974" s="7">
        <v>3100</v>
      </c>
      <c r="U974" s="7" t="s">
        <v>2008</v>
      </c>
      <c r="V974" s="7">
        <v>3530</v>
      </c>
      <c r="W974" s="7" t="s">
        <v>2004</v>
      </c>
      <c r="X974" s="122">
        <v>45008</v>
      </c>
      <c r="Y974" s="17"/>
      <c r="Z974" s="17"/>
      <c r="AA974" s="17"/>
      <c r="AB974" s="7" t="s">
        <v>1042</v>
      </c>
      <c r="AC974" s="8"/>
      <c r="AD974" s="8"/>
      <c r="AE974" s="8"/>
      <c r="AF974" s="8" t="s">
        <v>726</v>
      </c>
      <c r="AG974" s="8" t="s">
        <v>726</v>
      </c>
      <c r="AH974" s="8" t="s">
        <v>726</v>
      </c>
      <c r="AI974" s="8" t="s">
        <v>726</v>
      </c>
      <c r="AJ974" s="8" t="s">
        <v>726</v>
      </c>
      <c r="AK974" s="8" t="s">
        <v>726</v>
      </c>
      <c r="AL974" s="8"/>
      <c r="AM974" s="8"/>
      <c r="AN974" s="8"/>
      <c r="AO974" s="8"/>
      <c r="AP974" s="8"/>
      <c r="AQ974" s="8"/>
      <c r="AR974" s="8"/>
      <c r="AS974" s="8"/>
      <c r="AT974" s="8"/>
      <c r="AU974" s="8"/>
      <c r="AV974" s="8"/>
      <c r="AX974" s="142">
        <v>90</v>
      </c>
    </row>
    <row r="975" spans="1:50" ht="25.5">
      <c r="A975" s="2" t="s">
        <v>2105</v>
      </c>
      <c r="B975" s="27" t="s">
        <v>1755</v>
      </c>
      <c r="C975" s="31">
        <v>332</v>
      </c>
      <c r="D975" s="38">
        <v>525</v>
      </c>
      <c r="E975" s="39">
        <v>0.9159722222222223</v>
      </c>
      <c r="F975" s="39">
        <v>0.9375</v>
      </c>
      <c r="G975" s="40" t="s">
        <v>2009</v>
      </c>
      <c r="H975" s="31" t="s">
        <v>103</v>
      </c>
      <c r="I975" s="33">
        <v>7.2</v>
      </c>
      <c r="J975" s="34">
        <v>50</v>
      </c>
      <c r="K975" s="35">
        <v>51</v>
      </c>
      <c r="L975" s="36">
        <f>+K975*I975</f>
        <v>367.2</v>
      </c>
      <c r="M975" s="37" t="s">
        <v>739</v>
      </c>
      <c r="N975" s="79" t="s">
        <v>892</v>
      </c>
      <c r="O975" s="79">
        <v>57</v>
      </c>
      <c r="P975" s="79" t="s">
        <v>1817</v>
      </c>
      <c r="Q975" s="112">
        <v>50</v>
      </c>
      <c r="R975" s="79"/>
      <c r="S975" s="79"/>
      <c r="T975" s="7">
        <v>3530</v>
      </c>
      <c r="U975" s="7" t="s">
        <v>2004</v>
      </c>
      <c r="V975" s="7">
        <v>960</v>
      </c>
      <c r="W975" s="7" t="s">
        <v>2003</v>
      </c>
      <c r="X975" s="122">
        <v>45008</v>
      </c>
      <c r="Y975" s="17"/>
      <c r="Z975" s="17"/>
      <c r="AA975" s="17"/>
      <c r="AB975" s="7" t="s">
        <v>1042</v>
      </c>
      <c r="AC975" s="8"/>
      <c r="AD975" s="8"/>
      <c r="AE975" s="8"/>
      <c r="AF975" s="8" t="s">
        <v>726</v>
      </c>
      <c r="AG975" s="8" t="s">
        <v>726</v>
      </c>
      <c r="AH975" s="8" t="s">
        <v>726</v>
      </c>
      <c r="AI975" s="8" t="s">
        <v>726</v>
      </c>
      <c r="AJ975" s="8" t="s">
        <v>726</v>
      </c>
      <c r="AK975" s="8" t="s">
        <v>726</v>
      </c>
      <c r="AL975" s="8"/>
      <c r="AM975" s="8"/>
      <c r="AN975" s="8"/>
      <c r="AO975" s="8"/>
      <c r="AP975" s="8"/>
      <c r="AQ975" s="8"/>
      <c r="AR975" s="8"/>
      <c r="AS975" s="8"/>
      <c r="AT975" s="8"/>
      <c r="AU975" s="8"/>
      <c r="AV975" s="8"/>
      <c r="AX975" s="142">
        <v>21.6</v>
      </c>
    </row>
    <row r="976" spans="1:50" ht="25.5">
      <c r="A976" s="2" t="s">
        <v>2132</v>
      </c>
      <c r="B976" s="126" t="s">
        <v>1755</v>
      </c>
      <c r="C976" s="118">
        <v>314</v>
      </c>
      <c r="D976" s="118">
        <v>671</v>
      </c>
      <c r="E976" s="123">
        <v>0.51250000000000007</v>
      </c>
      <c r="F976" s="123">
        <v>0.54722222222222217</v>
      </c>
      <c r="G976" s="118" t="s">
        <v>2133</v>
      </c>
      <c r="H976" s="118" t="s">
        <v>20</v>
      </c>
      <c r="I976" s="127">
        <v>28</v>
      </c>
      <c r="J976" s="124">
        <v>19</v>
      </c>
      <c r="K976" s="128">
        <f>55+5</f>
        <v>60</v>
      </c>
      <c r="L976" s="129">
        <f>+K976*I976</f>
        <v>1680</v>
      </c>
      <c r="M976" s="135" t="s">
        <v>716</v>
      </c>
      <c r="N976" s="23" t="s">
        <v>854</v>
      </c>
      <c r="O976" s="23">
        <v>16</v>
      </c>
      <c r="P976" s="23"/>
      <c r="Q976" s="23"/>
      <c r="S976" s="23"/>
      <c r="T976" s="7">
        <v>3168</v>
      </c>
      <c r="U976" s="7" t="s">
        <v>2135</v>
      </c>
      <c r="V976" s="7" t="s">
        <v>1546</v>
      </c>
      <c r="W976" s="7" t="s">
        <v>1926</v>
      </c>
      <c r="X976" s="122">
        <v>45096</v>
      </c>
      <c r="Y976" s="116"/>
      <c r="AB976" s="7" t="s">
        <v>2134</v>
      </c>
      <c r="AC976" s="8"/>
      <c r="AD976" s="8" t="s">
        <v>726</v>
      </c>
      <c r="AE976" s="8"/>
      <c r="AF976" s="8"/>
      <c r="AG976" s="8" t="s">
        <v>726</v>
      </c>
      <c r="AH976" s="8" t="s">
        <v>726</v>
      </c>
      <c r="AI976" s="8" t="s">
        <v>726</v>
      </c>
      <c r="AJ976" s="8" t="s">
        <v>726</v>
      </c>
      <c r="AK976" s="8" t="s">
        <v>726</v>
      </c>
      <c r="AL976" s="8"/>
      <c r="AM976" s="8"/>
      <c r="AN976" s="8"/>
      <c r="AO976" s="8"/>
      <c r="AP976" s="8"/>
      <c r="AQ976" s="8"/>
      <c r="AR976" s="8"/>
      <c r="AS976" s="8"/>
      <c r="AT976" s="8"/>
      <c r="AU976" s="8"/>
      <c r="AV976" s="8"/>
      <c r="AX976" s="142">
        <v>84</v>
      </c>
    </row>
    <row r="977" spans="1:50" ht="22.5">
      <c r="A977" s="2" t="s">
        <v>2110</v>
      </c>
      <c r="B977" s="126" t="s">
        <v>1755</v>
      </c>
      <c r="C977" s="138">
        <v>202</v>
      </c>
      <c r="D977" s="124">
        <v>210</v>
      </c>
      <c r="E977" s="123">
        <v>0.36458333333333331</v>
      </c>
      <c r="F977" s="123">
        <v>0.375</v>
      </c>
      <c r="G977" s="118" t="s">
        <v>496</v>
      </c>
      <c r="H977" s="118" t="s">
        <v>2115</v>
      </c>
      <c r="I977" s="127">
        <v>10</v>
      </c>
      <c r="J977" s="124" t="s">
        <v>93</v>
      </c>
      <c r="K977" s="128">
        <v>7</v>
      </c>
      <c r="L977" s="129">
        <f>K977*I977</f>
        <v>70</v>
      </c>
      <c r="M977" s="139" t="s">
        <v>737</v>
      </c>
      <c r="N977" s="49" t="s">
        <v>906</v>
      </c>
      <c r="O977" s="23">
        <v>21</v>
      </c>
      <c r="P977" s="23" t="s">
        <v>905</v>
      </c>
      <c r="Q977" s="23">
        <v>17</v>
      </c>
      <c r="S977" s="23"/>
      <c r="T977" s="7">
        <v>2049</v>
      </c>
      <c r="U977" s="7" t="s">
        <v>1383</v>
      </c>
      <c r="V977" s="7">
        <v>2670</v>
      </c>
      <c r="W977" s="7" t="s">
        <v>1382</v>
      </c>
      <c r="X977" s="122">
        <v>45128</v>
      </c>
      <c r="Y977" s="122">
        <v>45149</v>
      </c>
      <c r="Z977" s="17"/>
      <c r="AA977" s="17"/>
      <c r="AB977" s="7" t="s">
        <v>2137</v>
      </c>
      <c r="AC977" s="8"/>
      <c r="AD977" s="8"/>
      <c r="AE977" s="8"/>
      <c r="AF977" s="8"/>
      <c r="AG977" s="8"/>
      <c r="AH977" s="8"/>
      <c r="AI977" s="8"/>
      <c r="AJ977" s="8"/>
      <c r="AK977" s="8"/>
      <c r="AL977" s="8"/>
      <c r="AM977" s="8"/>
      <c r="AN977" s="8"/>
      <c r="AO977" s="8"/>
      <c r="AP977" s="8"/>
      <c r="AQ977" s="8"/>
      <c r="AR977" s="8"/>
      <c r="AS977" s="8"/>
      <c r="AT977" s="8"/>
      <c r="AU977" s="8"/>
      <c r="AV977" s="8"/>
      <c r="AX977" s="142">
        <v>30</v>
      </c>
    </row>
    <row r="978" spans="1:50" ht="22.5">
      <c r="A978" s="2" t="s">
        <v>2111</v>
      </c>
      <c r="B978" s="126" t="s">
        <v>1755</v>
      </c>
      <c r="C978" s="138">
        <v>202</v>
      </c>
      <c r="D978" s="124">
        <v>211</v>
      </c>
      <c r="E978" s="123">
        <v>0.38541666666666669</v>
      </c>
      <c r="F978" s="123">
        <v>0.39583333333333331</v>
      </c>
      <c r="G978" s="118" t="s">
        <v>467</v>
      </c>
      <c r="H978" s="118" t="s">
        <v>2115</v>
      </c>
      <c r="I978" s="127">
        <v>10</v>
      </c>
      <c r="J978" s="124" t="s">
        <v>93</v>
      </c>
      <c r="K978" s="128">
        <v>7</v>
      </c>
      <c r="L978" s="129">
        <f>K978*I978</f>
        <v>70</v>
      </c>
      <c r="M978" s="139" t="s">
        <v>737</v>
      </c>
      <c r="N978" s="49" t="s">
        <v>906</v>
      </c>
      <c r="O978" s="23">
        <v>21</v>
      </c>
      <c r="P978" s="23" t="s">
        <v>905</v>
      </c>
      <c r="Q978" s="23">
        <v>17</v>
      </c>
      <c r="S978" s="23"/>
      <c r="T978" s="7">
        <v>2670</v>
      </c>
      <c r="U978" s="7" t="s">
        <v>1382</v>
      </c>
      <c r="V978" s="7">
        <v>2049</v>
      </c>
      <c r="W978" s="7" t="s">
        <v>1383</v>
      </c>
      <c r="X978" s="122">
        <v>45128</v>
      </c>
      <c r="Y978" s="122">
        <v>45149</v>
      </c>
      <c r="Z978" s="17"/>
      <c r="AA978" s="17"/>
      <c r="AB978" s="7" t="s">
        <v>2137</v>
      </c>
      <c r="AC978" s="8"/>
      <c r="AD978" s="8"/>
      <c r="AE978" s="8"/>
      <c r="AF978" s="8"/>
      <c r="AG978" s="8"/>
      <c r="AH978" s="8"/>
      <c r="AI978" s="8"/>
      <c r="AJ978" s="8"/>
      <c r="AK978" s="8"/>
      <c r="AL978" s="8"/>
      <c r="AM978" s="8"/>
      <c r="AN978" s="8"/>
      <c r="AO978" s="8"/>
      <c r="AP978" s="8"/>
      <c r="AQ978" s="8"/>
      <c r="AR978" s="8"/>
      <c r="AS978" s="8"/>
      <c r="AT978" s="8"/>
      <c r="AU978" s="8"/>
      <c r="AV978" s="8"/>
      <c r="AX978" s="142">
        <v>30</v>
      </c>
    </row>
    <row r="979" spans="1:50" ht="22.5">
      <c r="A979" s="2" t="s">
        <v>2112</v>
      </c>
      <c r="B979" s="126" t="s">
        <v>1755</v>
      </c>
      <c r="C979" s="138">
        <v>202</v>
      </c>
      <c r="D979" s="124">
        <v>216</v>
      </c>
      <c r="E979" s="123">
        <v>0.49652777777777773</v>
      </c>
      <c r="F979" s="123">
        <v>0.50694444444444442</v>
      </c>
      <c r="G979" s="118" t="s">
        <v>496</v>
      </c>
      <c r="H979" s="118" t="s">
        <v>2115</v>
      </c>
      <c r="I979" s="127">
        <v>10</v>
      </c>
      <c r="J979" s="124" t="s">
        <v>93</v>
      </c>
      <c r="K979" s="128">
        <v>7</v>
      </c>
      <c r="L979" s="129">
        <f>K979*I979</f>
        <v>70</v>
      </c>
      <c r="M979" s="139" t="s">
        <v>737</v>
      </c>
      <c r="N979" s="49" t="s">
        <v>906</v>
      </c>
      <c r="O979" s="23">
        <v>21</v>
      </c>
      <c r="P979" s="23" t="s">
        <v>905</v>
      </c>
      <c r="Q979" s="23">
        <v>17</v>
      </c>
      <c r="S979" s="23"/>
      <c r="T979" s="7">
        <v>2049</v>
      </c>
      <c r="U979" s="7" t="s">
        <v>1383</v>
      </c>
      <c r="V979" s="7">
        <v>2670</v>
      </c>
      <c r="W979" s="7" t="s">
        <v>1382</v>
      </c>
      <c r="X979" s="122">
        <v>45128</v>
      </c>
      <c r="Y979" s="122">
        <v>45149</v>
      </c>
      <c r="Z979" s="17"/>
      <c r="AA979" s="17"/>
      <c r="AB979" s="7" t="s">
        <v>2137</v>
      </c>
      <c r="AC979" s="8"/>
      <c r="AD979" s="8"/>
      <c r="AE979" s="8"/>
      <c r="AF979" s="8"/>
      <c r="AG979" s="8"/>
      <c r="AH979" s="8"/>
      <c r="AI979" s="8"/>
      <c r="AJ979" s="8"/>
      <c r="AK979" s="8"/>
      <c r="AL979" s="8"/>
      <c r="AM979" s="8"/>
      <c r="AN979" s="8"/>
      <c r="AO979" s="8"/>
      <c r="AP979" s="8"/>
      <c r="AQ979" s="8"/>
      <c r="AR979" s="8"/>
      <c r="AS979" s="8"/>
      <c r="AT979" s="8"/>
      <c r="AU979" s="8"/>
      <c r="AV979" s="8"/>
      <c r="AX979" s="142">
        <v>30</v>
      </c>
    </row>
    <row r="980" spans="1:50" ht="22.5">
      <c r="A980" s="2" t="s">
        <v>2113</v>
      </c>
      <c r="B980" s="126" t="s">
        <v>1755</v>
      </c>
      <c r="C980" s="138">
        <v>202</v>
      </c>
      <c r="D980" s="124">
        <v>212</v>
      </c>
      <c r="E980" s="123">
        <v>0.71875</v>
      </c>
      <c r="F980" s="123">
        <v>0.72916666666666663</v>
      </c>
      <c r="G980" s="118" t="s">
        <v>496</v>
      </c>
      <c r="H980" s="118" t="s">
        <v>2115</v>
      </c>
      <c r="I980" s="127">
        <v>10</v>
      </c>
      <c r="J980" s="124" t="s">
        <v>93</v>
      </c>
      <c r="K980" s="128">
        <v>7</v>
      </c>
      <c r="L980" s="129">
        <f>K980*I980</f>
        <v>70</v>
      </c>
      <c r="M980" s="139" t="s">
        <v>737</v>
      </c>
      <c r="N980" s="49" t="s">
        <v>906</v>
      </c>
      <c r="O980" s="23">
        <v>21</v>
      </c>
      <c r="P980" s="23" t="s">
        <v>905</v>
      </c>
      <c r="Q980" s="23">
        <v>17</v>
      </c>
      <c r="S980" s="23"/>
      <c r="T980" s="7">
        <v>2049</v>
      </c>
      <c r="U980" s="7" t="s">
        <v>1383</v>
      </c>
      <c r="V980" s="7">
        <v>2670</v>
      </c>
      <c r="W980" s="7" t="s">
        <v>1382</v>
      </c>
      <c r="X980" s="122">
        <v>45128</v>
      </c>
      <c r="Y980" s="122">
        <v>45149</v>
      </c>
      <c r="Z980" s="17"/>
      <c r="AA980" s="17"/>
      <c r="AB980" s="7" t="s">
        <v>2137</v>
      </c>
      <c r="AC980" s="8"/>
      <c r="AD980" s="8"/>
      <c r="AE980" s="8"/>
      <c r="AF980" s="8"/>
      <c r="AG980" s="8"/>
      <c r="AH980" s="8"/>
      <c r="AI980" s="8"/>
      <c r="AJ980" s="8"/>
      <c r="AK980" s="8"/>
      <c r="AL980" s="8"/>
      <c r="AM980" s="8"/>
      <c r="AN980" s="8"/>
      <c r="AO980" s="8"/>
      <c r="AP980" s="8"/>
      <c r="AQ980" s="8"/>
      <c r="AR980" s="8"/>
      <c r="AS980" s="8"/>
      <c r="AT980" s="8"/>
      <c r="AU980" s="8"/>
      <c r="AV980" s="8"/>
      <c r="AX980" s="142">
        <v>30</v>
      </c>
    </row>
    <row r="981" spans="1:50" ht="22.5">
      <c r="A981" s="2" t="s">
        <v>2114</v>
      </c>
      <c r="B981" s="126" t="s">
        <v>1755</v>
      </c>
      <c r="C981" s="138">
        <v>202</v>
      </c>
      <c r="D981" s="124">
        <v>213</v>
      </c>
      <c r="E981" s="123">
        <v>0.74305555555555547</v>
      </c>
      <c r="F981" s="123">
        <v>0.76041666666666663</v>
      </c>
      <c r="G981" s="118" t="s">
        <v>498</v>
      </c>
      <c r="H981" s="118" t="s">
        <v>2115</v>
      </c>
      <c r="I981" s="127">
        <v>17.5</v>
      </c>
      <c r="J981" s="124" t="s">
        <v>93</v>
      </c>
      <c r="K981" s="128">
        <v>7</v>
      </c>
      <c r="L981" s="129">
        <f>K981*I981</f>
        <v>122.5</v>
      </c>
      <c r="M981" s="139" t="s">
        <v>737</v>
      </c>
      <c r="N981" s="49" t="s">
        <v>906</v>
      </c>
      <c r="O981" s="23">
        <v>21</v>
      </c>
      <c r="P981" s="23" t="s">
        <v>905</v>
      </c>
      <c r="Q981" s="23">
        <v>17</v>
      </c>
      <c r="S981" s="23"/>
      <c r="T981" s="7">
        <v>2670</v>
      </c>
      <c r="U981" s="7" t="s">
        <v>1382</v>
      </c>
      <c r="V981" s="7" t="s">
        <v>1253</v>
      </c>
      <c r="W981" s="7" t="s">
        <v>1254</v>
      </c>
      <c r="X981" s="122">
        <v>45128</v>
      </c>
      <c r="Y981" s="122">
        <v>45149</v>
      </c>
      <c r="Z981" s="17"/>
      <c r="AA981" s="17"/>
      <c r="AB981" s="7" t="s">
        <v>2137</v>
      </c>
      <c r="AC981" s="8"/>
      <c r="AD981" s="8"/>
      <c r="AE981" s="8"/>
      <c r="AF981" s="8"/>
      <c r="AG981" s="8"/>
      <c r="AH981" s="8"/>
      <c r="AI981" s="8"/>
      <c r="AJ981" s="8"/>
      <c r="AK981" s="8"/>
      <c r="AL981" s="8"/>
      <c r="AM981" s="8"/>
      <c r="AN981" s="8"/>
      <c r="AO981" s="8"/>
      <c r="AP981" s="8"/>
      <c r="AQ981" s="8"/>
      <c r="AR981" s="8"/>
      <c r="AS981" s="8"/>
      <c r="AT981" s="8"/>
      <c r="AU981" s="8"/>
      <c r="AV981" s="8"/>
      <c r="AX981" s="142">
        <v>52.5</v>
      </c>
    </row>
  </sheetData>
  <autoFilter ref="A1:VRS1010" xr:uid="{00000000-0001-0000-0000-000000000000}"/>
  <phoneticPr fontId="23" type="noConversion"/>
  <conditionalFormatting sqref="AB783:AB784">
    <cfRule type="cellIs" dxfId="569" priority="936" operator="equal">
      <formula>#REF!</formula>
    </cfRule>
  </conditionalFormatting>
  <conditionalFormatting sqref="AB894 A900 A417 A484 A413 A466 A450 A426 AB345 AB614 AB676 AB774 AB753:AB754 AB432 AB226:AB227 AB763 AB907 AB241 AB81 AB619 AB605:AB606 AB561 AB956 AB51 AB215:AB216 AB628 AB630 AB684 AB743:AB746 AB243:AB244 AB422:AB423 AB706:AB707 AB909 AB13:AB14 AB374:AB375 AB97:AB98 AB100:AB101 AB103 AB472 AB542 AB546 AB549 AB555 AB574 AB580 AB610:AB611 AB310 AB517:AB526 AB85 AB87 AB91 AB93:AB94 AB125 AB161:AB162 AB170:AB171 AB180:AB181 AB183 AB185 AB187 AB190:AB191 AB194 AB196 AB198 AB200 AB205 AB218 AB221 AB223 AB252:AB261 AB263:AB267 AB276:AB277 AB304 AB321 AB333 AB337 AB355:AB357 AB360 AB539:AB540 AB446 AB450 AB457 AB469 AB477:AB479 AB498 AB500 AB282:AB283 AB296 AB300 AB302 AB462 AB570 AB681 AB858 AB860 AB874 AB876 AB879 AB881:AB882 AB279:AB280 AB292:AB293 AB643:AB644 AB326 AB509 AB850 AB511 AB71:AB74 AB465:AB466 AB481 AB316:AB317 AB10 AB122 AB134 AB229 AB382 AB396 AB408 AB411 AB489:AB490 AB493:AB494 AB854 AB936 AB564 AB503:AB504 AB496 AB319 AB285:AB290 AB342 AB55 AB2:AB6 AB529:AB530">
    <cfRule type="expression" dxfId="568" priority="937">
      <formula>A2=#REF!</formula>
    </cfRule>
  </conditionalFormatting>
  <conditionalFormatting sqref="AB7 AB57 AB155:AB158 AB189 AB192 AB213:AB214 AB682 AB53 AB59 AB80 AB104 AB112:AB114 AB119:AB121 AB124 AB126:AB127 AB133 AB139:AB140 AB143 AB145:AB146 AB164:AB165 AB178 AB197 AB203 AB207:AB209 AB231 AB248:AB250 AB314 AB327 AB329 AB336 AB339:AB340 AB343 AB362 AB364 AB366 AB368:AB369 AB378 AB380:AB381 AB383:AB384 AB389 AB392:AB394 AB398 AB410 AB413:AB414 AB417 AB435 AB458 AB473 AB484:AB485 AB488 AB501:AB502 AB510 AB527:AB528 AB550:AB551 AB566:AB569 AB591:AB592 AB596 AB601:AB602 AB604 AB607 AB615 AB617 AB627 AB654 AB656 AB658:AB659 AB661 AB686:AB687 AB690 AB696:AB697 AB712:AB715 AB721 AB733:AB735 AB737 AB741:AB742 AB748:AB749 AB751 AB755 AB767:AB768 AB770:AB772 AB775 AB779 AB781 AB786 AB799 AB806:AB807 AB824 AB827 AB829 AB831 AB833:AB835 AB840 AB851 AB853 AB862 AB864:AB866 AB891:AB893 AB900 AB917:AB918 AB927 AB933:AB935 AB938 AB65:AB70 AB562:AB563 X956 N308:Q312 N314:Q314 N313:O313 X944:X949 AB971:AB975 R967:S975 AB406:AB407 Z943:AA949 Y950:AA954 X955:AA955 Z956:AA956">
    <cfRule type="expression" dxfId="567" priority="935">
      <formula>N7=#REF!</formula>
    </cfRule>
  </conditionalFormatting>
  <conditionalFormatting sqref="N825:Q826 R827:S827 R828 N827:O828 N830:O839 P171:P174 Q174 S976 Z406 AA407 X407:Y407">
    <cfRule type="expression" dxfId="566" priority="930">
      <formula>N171=#REF!</formula>
    </cfRule>
  </conditionalFormatting>
  <conditionalFormatting sqref="N961:O961 Q961 N617:Q617 R616:S616 N616:O616 Z55:AA55 N54:O54 X2:AA2 Z530:AA530 N382:Q392 N393:O393 R393:S393 Q613:Q614 X958:Y958 S255:S262 S264:S267 N263:Q263 R269:S272 N273:O273 R274:S275 R277:S277 N276:O276 N279:O279 R286:R289 N285 N419:N421 N476:O476 R513:R514 N513:O514 P453:R453 R454 N454:O454 P15:Q15 P17:Q17 S63:S64 Q62 R751 N751:O751 N2:S2 N84:O84 P3:S6 N3:O8 N12:O14 N530:S530 R476:S476 Z3:AA6 X11 X14:X16 X20 X22:X51 X57:X58 X85 X89:X91 X93 X96:X97 X100 X103 X117:X118 X122 X124 X130 X138:X139 X145 X149 X151 X153:X154 X156:X161 X165 X167:X168 X183 X185 X187 X189:X190 X193:X194 X196 X200 X202 X210:X218 X220 X225:X226 X263 X269 X279 X282 X285 X292:X304 X306:X307 X317 X319 X323:X324 X327 X329 X333 X335 X339 X342 X351:X352 X359:X360 X362 X366 X371:X372 X386 X389 X391:X392 X398 X401:X402 X406 X410 X413 X419 X423:X425 X427:X429 X431:X432 X434:X435 X438:X439 X441 X443 X445:X446 X449:X450 X454:X455 X462 X464:X466 X468:X469 X471:X472 X477 X492:X493 X496 X498 X500 X513:X514 X534 X536 X538 X541 X543 X545 X548 X553:X554 X556 X558 X561 X570:X571 X573 X576:X579 X581 X589 X593:X594 X597 X605 X608:X609 X613:X614 X633:X641 X644:X645 X647 X679:X684 X688:X689 X691:X692 X698:X700 X709 X711 X719:X720 X723:X725 X728 X736 X752 X760 X762:X763 X765 X776:X778 X782 X785 X787 X791 X794 X796:X797 X801 X803:X804 X810 X812 X814 X819 X822 X855:X856 X858 X860 X867:X868 X872:X874 X876 X879 X881:X882 X885:X886 X890 X902:X903 X905:X906 X908 X910:X912 X921:X924 X929 X931 X3:Y8 Y15:Y16 X53:Y53 X72:Y75 X106:Y107 Y117 Y139 X173:Y174 Y216:Y218 X223:Y223 Y226 X231:Y231 X244:Y245 Y295:Y296 X345:Y349 Y351 X354:Y356 X364:Y364 X377:Y378 Y423:Y424 X458:Y458 Y466 X519:Y527 Y608 X611:Y611 Y614 X619:Y626 X628:Y628 X630:Y630 Y633:Y640 X669:Y671 Y684 X706:Y707 Y720 Y723 X730:Y730 X738:Y739 X743:Y746 X754:Y754 X894:Y894 Y922:Y923 Y944:Y949 Y959:Y966">
    <cfRule type="expression" dxfId="565" priority="929">
      <formula>N2=#REF!</formula>
    </cfRule>
  </conditionalFormatting>
  <conditionalFormatting sqref="G692 G596">
    <cfRule type="containsText" dxfId="564" priority="865" operator="containsText" text="esti">
      <formula>NOT(ISERROR(SEARCH("esti",G596)))</formula>
    </cfRule>
  </conditionalFormatting>
  <conditionalFormatting sqref="A430 A433 A437 A440 A445 A448 A473 A496 A509 A515">
    <cfRule type="expression" dxfId="563" priority="868">
      <formula>A430=#REF!</formula>
    </cfRule>
  </conditionalFormatting>
  <conditionalFormatting sqref="N950:R950 N956:R956">
    <cfRule type="expression" dxfId="562" priority="805">
      <formula>N950=#REF!</formula>
    </cfRule>
  </conditionalFormatting>
  <conditionalFormatting sqref="N951 P952">
    <cfRule type="expression" dxfId="561" priority="804">
      <formula>N951=#REF!</formula>
    </cfRule>
  </conditionalFormatting>
  <conditionalFormatting sqref="O951">
    <cfRule type="expression" dxfId="560" priority="803">
      <formula>O951=#REF!</formula>
    </cfRule>
  </conditionalFormatting>
  <conditionalFormatting sqref="P951">
    <cfRule type="expression" dxfId="559" priority="802">
      <formula>P951=#REF!</formula>
    </cfRule>
  </conditionalFormatting>
  <conditionalFormatting sqref="Q951">
    <cfRule type="expression" dxfId="558" priority="801">
      <formula>Q951=#REF!</formula>
    </cfRule>
  </conditionalFormatting>
  <conditionalFormatting sqref="N953">
    <cfRule type="expression" dxfId="557" priority="800">
      <formula>N953=#REF!</formula>
    </cfRule>
  </conditionalFormatting>
  <conditionalFormatting sqref="O953">
    <cfRule type="expression" dxfId="556" priority="799">
      <formula>O953=#REF!</formula>
    </cfRule>
  </conditionalFormatting>
  <conditionalFormatting sqref="P953">
    <cfRule type="expression" dxfId="555" priority="798">
      <formula>P953=#REF!</formula>
    </cfRule>
  </conditionalFormatting>
  <conditionalFormatting sqref="Q953">
    <cfRule type="expression" dxfId="554" priority="797">
      <formula>Q953=#REF!</formula>
    </cfRule>
  </conditionalFormatting>
  <conditionalFormatting sqref="R952 N952">
    <cfRule type="expression" dxfId="553" priority="793">
      <formula>N952=#REF!</formula>
    </cfRule>
  </conditionalFormatting>
  <conditionalFormatting sqref="S952">
    <cfRule type="expression" dxfId="552" priority="792">
      <formula>S952=#REF!</formula>
    </cfRule>
  </conditionalFormatting>
  <conditionalFormatting sqref="O952">
    <cfRule type="expression" dxfId="551" priority="791">
      <formula>O952=#REF!</formula>
    </cfRule>
  </conditionalFormatting>
  <conditionalFormatting sqref="N955:Q955">
    <cfRule type="expression" dxfId="550" priority="789">
      <formula>N955=#REF!</formula>
    </cfRule>
  </conditionalFormatting>
  <conditionalFormatting sqref="Z116:AA116 Z222:AA222 Z230:AA230 Z350:AA350 Z363:AA363 Z457:AA457 Z608:AA608 Z611:AA611 Z614:AA614 Z619:AA626 Z628:AA628 Z630:AA630 Z633:AA640 Z669:AA671 Z684:AA684 Z706:AA707 Z720:AA720 Y724:AA724 Z730:AA730 Z738:AA739 Z743:AA746 Z754:AA754 Z894:AA894 Z922:AA923 Y728:AA728 Y736:AA736 Z13:AA13 Y422:AA422 Z71:AA74 Z105:AA106 Z216:AA217 Z243:AA244 Z295:AA295 Z344:AA348 Z353:AA355 Z376:AA377 Z423:AA423 Z518:AA526 Z723:AA723">
    <cfRule type="expression" dxfId="549" priority="784">
      <formula>Y13=#REF!</formula>
    </cfRule>
  </conditionalFormatting>
  <conditionalFormatting sqref="Z7:AA7 X10 Z15:AA16 Z59:AA59 Z61:AA70 Z82:AA83 Z104:AA104 Z126:AA128 Z175:AA179 Z197:AA197 Z206:AA208 X241:AA241 Z272:AA272 Z275:AA275 Z309:AA314 Z325:AA325 Z331:AA331 Y343:AA343 Z349:AA349 Z364:AA364 Z368:AA369 Z408:AA408 Z420:AA421 Z451:AA452 Z473:AA475 Z478:AA480 Z482:AA485 Z494:AA494 Z501:AA503 X505:AA505 Z510:AA510 Z560:AA560 Z582:AA582 Z584:AA585 Z587:AA587 Z591:AA592 Z596:AA596 Z599:AA604 Z607:AA607 Z615:AA615 Z617:AA618 Z642:AA642 Z648:AA648 Y657:AA657 Z672:AA676 Z686:AA687 Z702:AA702 Z704:AA704 Z712:AA717 Z727:AA727 Z766:AA768 Z770:AA772 Z775:AA775 Z799:AA799 Z805:AA807 Z823:AA824 Z827:AA838 Z840:AA840 Z844:AA854 Z862:AA866 Z869:AA870 Z888:AA888 Z914:AA920 Z925:AA927 Z932:AA936 Z938:AA938 Z940:AA940 X957 Z487:AA490 Y547:Z547 Y550:Z551 Y531:Z533 Z119:AA120 Z131:AA135 Z146:AA146 Z203:AA203 Z336:AA336 Z340:AA340 Z373:AA373 Z387:AA387 Z393:AA396 Z399:AA399 Z403:AA404 Z411:AA411 Z414:AA417 Z436:AA436 Z456:AA456 Y115:AA115 Y142:AA142 X12:X13 X17:X19 X21 X52 X54:X56 X59:X71 X76:X84 X86:X88 X92 X94:X95 X98:X99 X101:X102 X104:X105 X108:X116 X119:X121 X123 X125:X129 X131:X137 X140:X144 X146:X148 X150 X152 X155 X162:X164 X166 X169:X172 X175:X182 X184 X186 X188 X191:X192 X195 X197:X199 X201 X203:X209 X219 X221:X222 X224 X227:X230 X232:X238 X240 Z242:AA242 X242:X243 X246:X262 X264:X268 X270:X278 X280:X281 X283:X284 X286:X290 X305 X308:X316 X318 X321:X322 X325:X326 X328 X330:X332 X334 X336:X338 X340:X341 X343:X344 X350 X353 X357:X358 X361 X363 X365 X367:X370 X373:X376 X379:X385 X387:X388 X390 X393:X397 X399:X400 X403:X405 X408:X409 X411:X412 X414:X418 X420:X422 X433 X436:X437 X442 X447:X448 X451:X453 X456:X457 X459:X461 X463 X467 X470 X473:X476 X478:X491 X494:X495 X499 X501:X504 Z506:AA508 X506:X512 X515:X518 X528:X533 X535:Z535 X537 X539:X540 X542 X544:Z544 X546:X547 X549:X552 X555 X557 X559:X560 X562:X563 X565:X569 X572 X574:X575 X580 X582:X588 X590:X592 X595:X596 X598:X604 X606:X607 X610 X612 X615:X618 X627 X629 X631:X632 X642:X643 X646 X648:X668 X672:X678 X685:X687 X690 X693:X697 X701:X705 X708 X710 X712:X718 X721:X722 X726:X727 X729 X731:X735 X737 X740:X742 X747:X751 X753 X755:X759 X761 X764 X766:X775 X779:X781 X783:X784 X786 X788:X790 X792:X793 X795 X798:X800 X802 X805:X809 X811 X813 X815:X818 X820:X821 X823:X854 X857 X859 X861:X866 X869:X871 X875 X877:X878 X880 X883:X884 X887:X889 X891:X893 X895:X901 X904 X907 X909 X913:X920 X925:X928 X930 X932:X938 X940:X943 Z75:AA80 Z226:AA229 Z231:AA236 Z245:AA253 Z378:AA384 Z458:AA459 Z527:AA528 Z957:AA957 Z10:AA10 Z52:AA53 Z107:AA114 Z139:AA141 Z143:AA143 Z562:AA563 Z565:AA569 Z612:AA612 Z627:AA627 Z629:AA629 Z651:AA656 Z658:AA667 Z690:AA690 Z693:AA697 Z721:AA722 Z729:AA729 Z731:AA735 Z737:AA737 Z740:AA742 Z747:AA751 Z755:AA759 Z761:AA761 Z764:AA764 Z779:AA781 Z786:AA786 Z788:AA790 Z792:AA793 Z815:AA818 Z891:AA893 Z895:AA901 Z904:AA904 X950:X954">
    <cfRule type="expression" dxfId="548" priority="782">
      <formula>X7=#REF!</formula>
    </cfRule>
  </conditionalFormatting>
  <conditionalFormatting sqref="X564:AA564">
    <cfRule type="expression" dxfId="547" priority="765">
      <formula>X564=#REF!</formula>
    </cfRule>
  </conditionalFormatting>
  <conditionalFormatting sqref="Z504:AA504">
    <cfRule type="expression" dxfId="546" priority="761">
      <formula>Z504=#REF!</formula>
    </cfRule>
  </conditionalFormatting>
  <conditionalFormatting sqref="Z290:AA290">
    <cfRule type="expression" dxfId="545" priority="749">
      <formula>Z290=#REF!</formula>
    </cfRule>
  </conditionalFormatting>
  <conditionalFormatting sqref="Q952">
    <cfRule type="expression" dxfId="544" priority="683">
      <formula>Q952=#REF!</formula>
    </cfRule>
  </conditionalFormatting>
  <conditionalFormatting sqref="S956">
    <cfRule type="expression" dxfId="543" priority="648">
      <formula>S956=#REF!</formula>
    </cfRule>
  </conditionalFormatting>
  <conditionalFormatting sqref="S430:S431 S440:S441 S444:S449 N900:O900 N417:Q417 N484 N413:R413 N466:R466 P450:R450 N426:R426 S437 S433:S434 R78 R80">
    <cfRule type="expression" dxfId="542" priority="629">
      <formula>N78=#REF!</formula>
    </cfRule>
  </conditionalFormatting>
  <conditionalFormatting sqref="S115:S116 S369 S924 S931 S940 S929 S215 S205 S209 S618:S626 S108:S113 S645 S631:S640 S219 S222 S678 S716 S597 S857:S861 S734 S844:S845 S864 S588:S589 S137 S200 S463 S346 S240 S423:S424 S82 S122 S225:S231 S372:S373 S475 S743:S749 S757 S888 S75:S80 S426:S427 S455 S819 S505:S508 S321:S326 S292:S293 S900:S903 S473 S520 S688:S689 S470 S594:S595 S161:S163 S165 S699:S701 Q313 S935:S936 S794:S795 S583 S768 S452:S453 S457 S376 S378:S379 S315:S316 S246:S247 S250:S251 S298 S302:S303 S681:S682 S410:S411 S243 S781:S787 S500 S581 S390 S392 S398 S651:S666 S893 S838:S839 S330:S331 S91 S119 S125 S921 S722:S732 S268 S510 S512:S513 S400:S401 S148:S152 S139:S144 S328 S668:S671 S674 S415:S416 S847:S850 S177 S684 S385 S394 S803:S804 S775 S358 S797:S801 S599:S602 S691 S905:S906 S908 S910:S919 S93:S103 S751:S755 S127 S296 S168:S170 S459 S720 S736:S738 S740:S741 S706:S712 S182:S198 S852 S406:S407 S20:S49 S943:S949">
    <cfRule type="expression" dxfId="541" priority="627">
      <formula>Q20=#REF!</formula>
    </cfRule>
  </conditionalFormatting>
  <conditionalFormatting sqref="S822">
    <cfRule type="expression" dxfId="540" priority="626">
      <formula>S822=#REF!</formula>
    </cfRule>
  </conditionalFormatting>
  <conditionalFormatting sqref="S70">
    <cfRule type="expression" dxfId="539" priority="623">
      <formula>S70=#REF!</formula>
    </cfRule>
  </conditionalFormatting>
  <conditionalFormatting sqref="N107:O107">
    <cfRule type="expression" dxfId="538" priority="605">
      <formula>N107=#REF!</formula>
    </cfRule>
  </conditionalFormatting>
  <conditionalFormatting sqref="O67">
    <cfRule type="expression" dxfId="537" priority="589">
      <formula>O67=#REF!</formula>
    </cfRule>
  </conditionalFormatting>
  <conditionalFormatting sqref="S425">
    <cfRule type="expression" dxfId="536" priority="620">
      <formula>S425=#REF!</formula>
    </cfRule>
  </conditionalFormatting>
  <conditionalFormatting sqref="O69">
    <cfRule type="expression" dxfId="535" priority="585">
      <formula>O69=#REF!</formula>
    </cfRule>
  </conditionalFormatting>
  <conditionalFormatting sqref="S114 S361 S364 S557 S628:S629 S60 S559">
    <cfRule type="expression" dxfId="534" priority="628">
      <formula>S60=#REF!</formula>
    </cfRule>
  </conditionalFormatting>
  <conditionalFormatting sqref="S66">
    <cfRule type="expression" dxfId="533" priority="625">
      <formula>S66=#REF!</formula>
    </cfRule>
  </conditionalFormatting>
  <conditionalFormatting sqref="S68">
    <cfRule type="expression" dxfId="532" priority="624">
      <formula>S68=#REF!</formula>
    </cfRule>
  </conditionalFormatting>
  <conditionalFormatting sqref="N428:O428">
    <cfRule type="expression" dxfId="531" priority="577">
      <formula>N428=#REF!</formula>
    </cfRule>
  </conditionalFormatting>
  <conditionalFormatting sqref="N429:O429">
    <cfRule type="expression" dxfId="530" priority="576">
      <formula>N429=#REF!</formula>
    </cfRule>
  </conditionalFormatting>
  <conditionalFormatting sqref="N453:O453">
    <cfRule type="expression" dxfId="529" priority="571">
      <formula>N453=#REF!</formula>
    </cfRule>
  </conditionalFormatting>
  <conditionalFormatting sqref="N759:O759">
    <cfRule type="expression" dxfId="528" priority="564">
      <formula>N759=#REF!</formula>
    </cfRule>
  </conditionalFormatting>
  <conditionalFormatting sqref="S429">
    <cfRule type="expression" dxfId="527" priority="618">
      <formula>S429=#REF!</formula>
    </cfRule>
  </conditionalFormatting>
  <conditionalFormatting sqref="S428">
    <cfRule type="expression" dxfId="526" priority="619">
      <formula>S428=#REF!</formula>
    </cfRule>
  </conditionalFormatting>
  <conditionalFormatting sqref="S439">
    <cfRule type="expression" dxfId="525" priority="616">
      <formula>S439=#REF!</formula>
    </cfRule>
  </conditionalFormatting>
  <conditionalFormatting sqref="S438">
    <cfRule type="expression" dxfId="524" priority="617">
      <formula>S438=#REF!</formula>
    </cfRule>
  </conditionalFormatting>
  <conditionalFormatting sqref="S443">
    <cfRule type="expression" dxfId="523" priority="614">
      <formula>S443=#REF!</formula>
    </cfRule>
  </conditionalFormatting>
  <conditionalFormatting sqref="S442">
    <cfRule type="expression" dxfId="522" priority="615">
      <formula>S442=#REF!</formula>
    </cfRule>
  </conditionalFormatting>
  <conditionalFormatting sqref="S454">
    <cfRule type="expression" dxfId="521" priority="613">
      <formula>S454=#REF!</formula>
    </cfRule>
  </conditionalFormatting>
  <conditionalFormatting sqref="N464:O464">
    <cfRule type="expression" dxfId="520" priority="555">
      <formula>N464=#REF!</formula>
    </cfRule>
  </conditionalFormatting>
  <conditionalFormatting sqref="S563">
    <cfRule type="expression" dxfId="519" priority="612">
      <formula>S563=#REF!</formula>
    </cfRule>
  </conditionalFormatting>
  <conditionalFormatting sqref="S759">
    <cfRule type="expression" dxfId="518" priority="611">
      <formula>S759=#REF!</formula>
    </cfRule>
  </conditionalFormatting>
  <conditionalFormatting sqref="N65:O65">
    <cfRule type="expression" dxfId="517" priority="591">
      <formula>N65=#REF!</formula>
    </cfRule>
  </conditionalFormatting>
  <conditionalFormatting sqref="O871 R738 R755 R783:R784">
    <cfRule type="cellIs" dxfId="516" priority="608" operator="equal">
      <formula>#REF!</formula>
    </cfRule>
  </conditionalFormatting>
  <conditionalFormatting sqref="P760:Q760 P763:Q763 P781:Q781">
    <cfRule type="cellIs" dxfId="515" priority="607" operator="equal">
      <formula>#REF!</formula>
    </cfRule>
  </conditionalFormatting>
  <conditionalFormatting sqref="N684:O684 N105:Q106 P48:Q48 N369:Q369 N400:Q403 N901:O901 N161:Q163 N823:O824 N807:Q807 N875:Q875 N877:Q877 N879:Q879 N104:O104 Q21:Q22 N887:Q887 N686:O686 N706:O706 P832:Q832 P834:Q834 N9:O11 N277:O277 P50:Q50 P193:Q194 P281:Q282 N787:O787 N757:O757 N796:Q796 P85:Q85 N240:O240 N242:Q242 N247:Q249 Q705 Q702:Q703 N691:O691 N693:Q693 N694:O694 N701:Q701 P685 P8:Q8 N302:O303 P303:Q303 N788:Q789 N304:Q306 N485 O484:Q485 N315:O318 P377:Q380 N397:Q398 N527:O527 N536:Q536 N87:Q87 P892:Q893 N845:Q853 N910:Q921 N924:Q924 N894:Q895 N931:Q936 N905:Q906 N940:Q940 N465:Q465 N459:Q459 N553:Q553 N902:Q903 N908:Q908 N929:Q929 O327 O467:O468 N356:Q357 N205:Q205 N328:Q338 P815:Q815 N868:O870 N526:Q526 N215:O215 N395:Q395 N702:P705 N197:Q198 N192:O195 N745:Q745 N695:Q695 N707:Q711 P900:Q901 N840:Q841 N772:Q772 N208:Q208 N225:Q225 N231:Q231 N374:O380 N432:Q433 N203:O204 P202:Q204 N416:Q416 N739:Q739 P286:Q288 O462 N95:Q103 N346:N350 N890:O893 N281:O283 N752:Q755 N137:O137 N165:Q166 N209:O209 N618:O626 P836:Q838 N844:O844 N857:Q861 N819:O819 N672:Q673 N61:O61 N470:Q470 N490:O490 P603:Q603 N645:O645 N631:O642 N344:Q345 N569:Q569 N574:Q575 P580:Q583 N741:Q741 N219:Q219 N222:Q222 N560:O561 N570:O572 N576:O583 N587:O587 N687:Q687 N712:O713 P713:Q713 N651:O651 R345 P868:R871 N872:R874 R728:R730 N358:R358 P676:Q676 N151:R152 N786:R786 N381:R381 N601:R602 R833 P835:R835 P890:R891 Q23:R23 N790:R793 R787:R789 R753:R755 O740:R740 R920 N252:R252 P316:R316 R330 R380 N399:R399 N427:R427 R88:R89 N888:R889 R894 N904:R904 N423:R423 R432 N437:R437 N394:R394 N597:Q597 N434:R434 N483:R483 N862:R862 N760:R760 N761:Q765 P84:R84 Q44:R45 N543:R543 N122:R122 N396:R396 N246:R246 N667:R667 Q47 N907:R907 R334 P192:R192 N573:R573 N241:R241 R42 N123:Q125 R210:R211 N734:R734 N414:O415 N409:R409 N843:R843 N854:R854 P107:Q107 N864:R867 P863:R863 N565:R568 R561 R587 P714:R714 R482 R53 R71:R74 O355:Q355 N743:R744 N243:R243 N909:R909 P374:R376 R649:R650 N196:R196 N200:R200 R474 Q25:Q43 P91:R92 N340:Q340 N404:R405 N412:R412 N469:O469 R361 P302:R302 Q462 R94:R95 N284:R284 N351:Q354 N430:R431 R581:R582 R678 R490 N226:R230 N371:R373 P419:Q420 N475:R475 N529:R529 R618:R624 R628:R629 N746:R746 N766:R771 N805:R806 R846:R850 N896:R899 R932:R934 Q327:R327 N451:R452 N440:R441 P65:R70 P424:R425 P428:Q429 P438:R439 P443:R443 N463:O463 R563 P563 P817:Q817 N588:R592 N715:Q720 N722:Q732 N721:O721 R721 N153:P153 R390:R392 N505:R512 N298:R298 R681 N497:R503 R337:R338 O342:R342 N435:Q436 R436 N291:R293 N320:R326 N294:P295 N75:O80 N750:R750 R747:R749 N747:O749 P677 P698:Q700 Q250:R250 Q251 N115:Q119 N138:Q150 N250:P251 N297:Q297 N678:Q683 P692 Q171:Q173 N175:Q191 N108:Q113 Q467:R469 N473:O473 Q473 N479:R479 N477:O477 N688:O689 Q691 P612:Q612 N775:Q775 N799:Q799 Q794:R795 Q798 Q797:R797 N802:Q803 N800:O801 Q800:Q801 N804:O804 Q804:R804 Q240 P733:R733 R742 P605:R606 R608 P611:R611 R641:R644 N126:R128 N455:R458 N794:O798 N487:R489 N299:Q301 O346:Q347 N736:R738 N735:Q735 N531:R531 P93:Q94 P88:Q90 N167:O171 N773:O774 R774 N778:Q782 N776:O777 N785:Q785 N783:O784 N808:O808 N255:R262 R281:R283 N244:Q245 R82 N275:Q275 N278:R278 N286:O289 N444:R446 N472:Q472 R471:S471 N594:R595 N593:P593 N610:P610 N613:P614 N696:O697 N699:O700 N264:R268 P276:Q276 N448:R449 P447:R447 N63:O64 P414 Q477:R477 N491:R494 N534:R534 N599:Q600 P253:S254 R311 N515:R518 N296:R296 P313 P317:Q319 O348:R350 P359:Q361 P364:Q364 N519:Q519 N520:R523 N525:R525 N524:Q524 N478:Q478 N410:Q411 R461:S461 N20:O49 N943:O949 N406:Q408">
    <cfRule type="expression" dxfId="514" priority="609">
      <formula>N8=#REF!</formula>
    </cfRule>
  </conditionalFormatting>
  <conditionalFormatting sqref="N822:O822">
    <cfRule type="expression" dxfId="513" priority="606">
      <formula>N822=#REF!</formula>
    </cfRule>
  </conditionalFormatting>
  <conditionalFormatting sqref="N71:O74">
    <cfRule type="expression" dxfId="512" priority="604">
      <formula>N71=#REF!</formula>
    </cfRule>
  </conditionalFormatting>
  <conditionalFormatting sqref="P490:Q490">
    <cfRule type="expression" dxfId="511" priority="603">
      <formula>P490=#REF!</formula>
    </cfRule>
  </conditionalFormatting>
  <conditionalFormatting sqref="N482:O482">
    <cfRule type="expression" dxfId="510" priority="602">
      <formula>N482=#REF!</formula>
    </cfRule>
  </conditionalFormatting>
  <conditionalFormatting sqref="P482:Q482">
    <cfRule type="expression" dxfId="509" priority="601">
      <formula>P482=#REF!</formula>
    </cfRule>
  </conditionalFormatting>
  <conditionalFormatting sqref="N474:O474">
    <cfRule type="expression" dxfId="508" priority="600">
      <formula>N474=#REF!</formula>
    </cfRule>
  </conditionalFormatting>
  <conditionalFormatting sqref="P474:Q474">
    <cfRule type="expression" dxfId="507" priority="599">
      <formula>P474=#REF!</formula>
    </cfRule>
  </conditionalFormatting>
  <conditionalFormatting sqref="N863:O863">
    <cfRule type="expression" dxfId="506" priority="598">
      <formula>N863=#REF!</formula>
    </cfRule>
  </conditionalFormatting>
  <conditionalFormatting sqref="N627:O627">
    <cfRule type="expression" dxfId="505" priority="597">
      <formula>N627=#REF!</formula>
    </cfRule>
  </conditionalFormatting>
  <conditionalFormatting sqref="N648:O648">
    <cfRule type="expression" dxfId="504" priority="596">
      <formula>N648=#REF!</formula>
    </cfRule>
  </conditionalFormatting>
  <conditionalFormatting sqref="P53:Q53">
    <cfRule type="expression" dxfId="503" priority="595">
      <formula>P53=#REF!</formula>
    </cfRule>
  </conditionalFormatting>
  <conditionalFormatting sqref="N83:O83">
    <cfRule type="expression" dxfId="502" priority="594">
      <formula>N83=#REF!</formula>
    </cfRule>
  </conditionalFormatting>
  <conditionalFormatting sqref="P686:Q686">
    <cfRule type="expression" dxfId="501" priority="593">
      <formula>P686=#REF!</formula>
    </cfRule>
  </conditionalFormatting>
  <conditionalFormatting sqref="N674:O675 N668:O671 N652:O666">
    <cfRule type="expression" dxfId="500" priority="592">
      <formula>N652=#REF!</formula>
    </cfRule>
  </conditionalFormatting>
  <conditionalFormatting sqref="N60:O60 N56:O56 N57:R57 N58:Q59 O81:Q81 N339:O339 Q339:R339 N361:O361 O364 N609:R609 N628:Q630 R630 P560:Q561 P570:Q570 P572:Q572 P576:Q576 P578:Q578 P587:Q587 P596:Q596 R297 R301 R679:R680 R692">
    <cfRule type="expression" dxfId="499" priority="610">
      <formula>N56=#REF!</formula>
    </cfRule>
  </conditionalFormatting>
  <conditionalFormatting sqref="N66:O66">
    <cfRule type="expression" dxfId="498" priority="590">
      <formula>N66=#REF!</formula>
    </cfRule>
  </conditionalFormatting>
  <conditionalFormatting sqref="N443:O443">
    <cfRule type="expression" dxfId="497" priority="572">
      <formula>N443=#REF!</formula>
    </cfRule>
  </conditionalFormatting>
  <conditionalFormatting sqref="N154:P160">
    <cfRule type="expression" dxfId="496" priority="549">
      <formula>N154=#REF!</formula>
    </cfRule>
  </conditionalFormatting>
  <conditionalFormatting sqref="O68">
    <cfRule type="expression" dxfId="495" priority="588">
      <formula>O68=#REF!</formula>
    </cfRule>
  </conditionalFormatting>
  <conditionalFormatting sqref="N67">
    <cfRule type="expression" dxfId="494" priority="587">
      <formula>N67=#REF!</formula>
    </cfRule>
  </conditionalFormatting>
  <conditionalFormatting sqref="N68">
    <cfRule type="expression" dxfId="493" priority="586">
      <formula>N68=#REF!</formula>
    </cfRule>
  </conditionalFormatting>
  <conditionalFormatting sqref="O70">
    <cfRule type="expression" dxfId="492" priority="584">
      <formula>O70=#REF!</formula>
    </cfRule>
  </conditionalFormatting>
  <conditionalFormatting sqref="N69">
    <cfRule type="expression" dxfId="491" priority="583">
      <formula>N69=#REF!</formula>
    </cfRule>
  </conditionalFormatting>
  <conditionalFormatting sqref="N70">
    <cfRule type="expression" dxfId="490" priority="582">
      <formula>N70=#REF!</formula>
    </cfRule>
  </conditionalFormatting>
  <conditionalFormatting sqref="N172:O172">
    <cfRule type="expression" dxfId="489" priority="581">
      <formula>N172=#REF!</formula>
    </cfRule>
  </conditionalFormatting>
  <conditionalFormatting sqref="N173:O173">
    <cfRule type="expression" dxfId="488" priority="580">
      <formula>N173=#REF!</formula>
    </cfRule>
  </conditionalFormatting>
  <conditionalFormatting sqref="P818:Q818">
    <cfRule type="expression" dxfId="487" priority="556">
      <formula>P818=#REF!</formula>
    </cfRule>
  </conditionalFormatting>
  <conditionalFormatting sqref="N424:O424">
    <cfRule type="expression" dxfId="486" priority="579">
      <formula>N424=#REF!</formula>
    </cfRule>
  </conditionalFormatting>
  <conditionalFormatting sqref="N425:O425">
    <cfRule type="expression" dxfId="485" priority="578">
      <formula>N425=#REF!</formula>
    </cfRule>
  </conditionalFormatting>
  <conditionalFormatting sqref="N563:O563">
    <cfRule type="expression" dxfId="484" priority="566">
      <formula>N563=#REF!</formula>
    </cfRule>
  </conditionalFormatting>
  <conditionalFormatting sqref="N439:O439">
    <cfRule type="expression" dxfId="483" priority="574">
      <formula>N439=#REF!</formula>
    </cfRule>
  </conditionalFormatting>
  <conditionalFormatting sqref="N438:O438">
    <cfRule type="expression" dxfId="482" priority="575">
      <formula>N438=#REF!</formula>
    </cfRule>
  </conditionalFormatting>
  <conditionalFormatting sqref="P721:Q721">
    <cfRule type="expression" dxfId="481" priority="550">
      <formula>P721=#REF!</formula>
    </cfRule>
  </conditionalFormatting>
  <conditionalFormatting sqref="P463:Q463">
    <cfRule type="expression" dxfId="480" priority="569">
      <formula>P463=#REF!</formula>
    </cfRule>
  </conditionalFormatting>
  <conditionalFormatting sqref="N562:O562">
    <cfRule type="expression" dxfId="479" priority="567">
      <formula>N562=#REF!</formula>
    </cfRule>
  </conditionalFormatting>
  <conditionalFormatting sqref="N758:O758">
    <cfRule type="expression" dxfId="478" priority="565">
      <formula>N758=#REF!</formula>
    </cfRule>
  </conditionalFormatting>
  <conditionalFormatting sqref="N174:O174">
    <cfRule type="expression" dxfId="477" priority="560">
      <formula>N174=#REF!</formula>
    </cfRule>
  </conditionalFormatting>
  <conditionalFormatting sqref="P816:Q816">
    <cfRule type="expression" dxfId="476" priority="557">
      <formula>P816=#REF!</formula>
    </cfRule>
  </conditionalFormatting>
  <conditionalFormatting sqref="P579">
    <cfRule type="expression" dxfId="475" priority="554">
      <formula>P579=#REF!</formula>
    </cfRule>
  </conditionalFormatting>
  <conditionalFormatting sqref="P577">
    <cfRule type="expression" dxfId="474" priority="553">
      <formula>P577=#REF!</formula>
    </cfRule>
  </conditionalFormatting>
  <conditionalFormatting sqref="P571">
    <cfRule type="expression" dxfId="473" priority="552">
      <formula>P571=#REF!</formula>
    </cfRule>
  </conditionalFormatting>
  <conditionalFormatting sqref="P562">
    <cfRule type="expression" dxfId="472" priority="551">
      <formula>P562=#REF!</formula>
    </cfRule>
  </conditionalFormatting>
  <conditionalFormatting sqref="N164:P164">
    <cfRule type="expression" dxfId="471" priority="548">
      <formula>N164=#REF!</formula>
    </cfRule>
  </conditionalFormatting>
  <conditionalFormatting sqref="S564">
    <cfRule type="expression" dxfId="470" priority="547">
      <formula>S564=#REF!</formula>
    </cfRule>
  </conditionalFormatting>
  <conditionalFormatting sqref="O564 Q564:R564">
    <cfRule type="expression" dxfId="469" priority="546">
      <formula>O564=#REF!</formula>
    </cfRule>
  </conditionalFormatting>
  <conditionalFormatting sqref="S504">
    <cfRule type="expression" dxfId="468" priority="545">
      <formula>S504=#REF!</formula>
    </cfRule>
  </conditionalFormatting>
  <conditionalFormatting sqref="O504 Q504:R504">
    <cfRule type="expression" dxfId="467" priority="544">
      <formula>O504=#REF!</formula>
    </cfRule>
  </conditionalFormatting>
  <conditionalFormatting sqref="S496">
    <cfRule type="expression" dxfId="466" priority="543">
      <formula>S496=#REF!</formula>
    </cfRule>
  </conditionalFormatting>
  <conditionalFormatting sqref="O496 Q496:R496">
    <cfRule type="expression" dxfId="465" priority="542">
      <formula>O496=#REF!</formula>
    </cfRule>
  </conditionalFormatting>
  <conditionalFormatting sqref="S319">
    <cfRule type="expression" dxfId="464" priority="541">
      <formula>S319=#REF!</formula>
    </cfRule>
  </conditionalFormatting>
  <conditionalFormatting sqref="O319 R319">
    <cfRule type="expression" dxfId="463" priority="540">
      <formula>O319=#REF!</formula>
    </cfRule>
  </conditionalFormatting>
  <conditionalFormatting sqref="S290">
    <cfRule type="expression" dxfId="462" priority="539">
      <formula>S290=#REF!</formula>
    </cfRule>
  </conditionalFormatting>
  <conditionalFormatting sqref="O290 Q290:R290">
    <cfRule type="expression" dxfId="461" priority="538">
      <formula>O290=#REF!</formula>
    </cfRule>
  </conditionalFormatting>
  <conditionalFormatting sqref="P925:Q930">
    <cfRule type="expression" dxfId="460" priority="536">
      <formula>P925=#REF!</formula>
    </cfRule>
  </conditionalFormatting>
  <conditionalFormatting sqref="S896:S898 S862">
    <cfRule type="expression" dxfId="459" priority="535">
      <formula>S862=#REF!</formula>
    </cfRule>
  </conditionalFormatting>
  <conditionalFormatting sqref="S627 S71:S74">
    <cfRule type="expression" dxfId="458" priority="534">
      <formula>S71=#REF!</formula>
    </cfRule>
  </conditionalFormatting>
  <conditionalFormatting sqref="S514:S517 S481 S472">
    <cfRule type="expression" dxfId="457" priority="533">
      <formula>S472=#REF!</formula>
    </cfRule>
  </conditionalFormatting>
  <conditionalFormatting sqref="S840 S830:S832 S823:S824">
    <cfRule type="expression" dxfId="456" priority="532">
      <formula>S823=#REF!</formula>
    </cfRule>
  </conditionalFormatting>
  <conditionalFormatting sqref="S686:S687 S128">
    <cfRule type="expression" dxfId="455" priority="531">
      <formula>S128=#REF!</formula>
    </cfRule>
  </conditionalFormatting>
  <conditionalFormatting sqref="S941 S938 S930">
    <cfRule type="expression" dxfId="454" priority="528">
      <formula>S930=#REF!</formula>
    </cfRule>
  </conditionalFormatting>
  <conditionalFormatting sqref="S590">
    <cfRule type="expression" dxfId="453" priority="527">
      <formula>S590=#REF!</formula>
    </cfRule>
  </conditionalFormatting>
  <conditionalFormatting sqref="S882:S883 S879 S877 S865:S875 S854">
    <cfRule type="expression" dxfId="452" priority="526">
      <formula>S854=#REF!</formula>
    </cfRule>
  </conditionalFormatting>
  <conditionalFormatting sqref="S164 S153:S160">
    <cfRule type="expression" dxfId="451" priority="525">
      <formula>S153=#REF!</formula>
    </cfRule>
  </conditionalFormatting>
  <conditionalFormatting sqref="S694:S697">
    <cfRule type="expression" dxfId="450" priority="524">
      <formula>S694=#REF!</formula>
    </cfRule>
  </conditionalFormatting>
  <conditionalFormatting sqref="S933:S934">
    <cfRule type="expression" dxfId="449" priority="522">
      <formula>S933=#REF!</formula>
    </cfRule>
  </conditionalFormatting>
  <conditionalFormatting sqref="S789:S790">
    <cfRule type="expression" dxfId="448" priority="521">
      <formula>S789=#REF!</formula>
    </cfRule>
  </conditionalFormatting>
  <conditionalFormatting sqref="S742 S733 S714 S584:S585 S582 S575 S567:S569 S565">
    <cfRule type="expression" dxfId="447" priority="520">
      <formula>S565=#REF!</formula>
    </cfRule>
  </conditionalFormatting>
  <conditionalFormatting sqref="S529">
    <cfRule type="expression" dxfId="446" priority="519">
      <formula>S529=#REF!</formula>
    </cfRule>
  </conditionalFormatting>
  <conditionalFormatting sqref="S596 S587 S578 S576 S572 S570 S560:S561">
    <cfRule type="expression" dxfId="445" priority="518">
      <formula>S560=#REF!</formula>
    </cfRule>
  </conditionalFormatting>
  <conditionalFormatting sqref="S494">
    <cfRule type="expression" dxfId="444" priority="517">
      <formula>S494=#REF!</formula>
    </cfRule>
  </conditionalFormatting>
  <conditionalFormatting sqref="S764 S105:S107">
    <cfRule type="expression" dxfId="443" priority="516">
      <formula>S105=#REF!</formula>
    </cfRule>
  </conditionalFormatting>
  <conditionalFormatting sqref="S53 S56:S57 S311 S350 S518 S523 S525">
    <cfRule type="expression" dxfId="442" priority="515">
      <formula>S53=#REF!</formula>
    </cfRule>
  </conditionalFormatting>
  <conditionalFormatting sqref="S465 S456 S451">
    <cfRule type="expression" dxfId="441" priority="514">
      <formula>S451=#REF!</formula>
    </cfRule>
  </conditionalFormatting>
  <conditionalFormatting sqref="S377 S374:S375 S370:S371">
    <cfRule type="expression" dxfId="440" priority="513">
      <formula>S370=#REF!</formula>
    </cfRule>
  </conditionalFormatting>
  <conditionalFormatting sqref="S335:S336 S314 S252 S50:S51 S87 S118 S124 S299:S300 S304:S308">
    <cfRule type="expression" dxfId="439" priority="512">
      <formula>S50=#REF!</formula>
    </cfRule>
  </conditionalFormatting>
  <conditionalFormatting sqref="S490 S487:S488 S482 S479:S480 S474">
    <cfRule type="expression" dxfId="438" priority="511">
      <formula>S474=#REF!</formula>
    </cfRule>
  </conditionalFormatting>
  <conditionalFormatting sqref="S248">
    <cfRule type="expression" dxfId="437" priority="510">
      <formula>S248=#REF!</formula>
    </cfRule>
  </conditionalFormatting>
  <conditionalFormatting sqref="S692 S679:S680 S301 S297">
    <cfRule type="expression" dxfId="436" priority="508">
      <formula>S297=#REF!</formula>
    </cfRule>
  </conditionalFormatting>
  <conditionalFormatting sqref="S412 S409 S405">
    <cfRule type="expression" dxfId="435" priority="507">
      <formula>S405=#REF!</formula>
    </cfRule>
  </conditionalFormatting>
  <conditionalFormatting sqref="S242">
    <cfRule type="expression" dxfId="434" priority="506">
      <formula>S242=#REF!</formula>
    </cfRule>
  </conditionalFormatting>
  <conditionalFormatting sqref="S553 S543 S531 S534 S536">
    <cfRule type="expression" dxfId="433" priority="505">
      <formula>S531=#REF!</formula>
    </cfRule>
  </conditionalFormatting>
  <conditionalFormatting sqref="S805:S806 S778 S765 S762 S760">
    <cfRule type="expression" dxfId="432" priority="504">
      <formula>S760=#REF!</formula>
    </cfRule>
  </conditionalFormatting>
  <conditionalFormatting sqref="S853">
    <cfRule type="expression" dxfId="431" priority="503">
      <formula>S853=#REF!</formula>
    </cfRule>
  </conditionalFormatting>
  <conditionalFormatting sqref="S121">
    <cfRule type="expression" dxfId="430" priority="502">
      <formula>S121=#REF!</formula>
    </cfRule>
  </conditionalFormatting>
  <conditionalFormatting sqref="S927">
    <cfRule type="expression" dxfId="429" priority="498">
      <formula>S927=#REF!</formula>
    </cfRule>
  </conditionalFormatting>
  <conditionalFormatting sqref="S566">
    <cfRule type="expression" dxfId="428" priority="500">
      <formula>S566=#REF!</formula>
    </cfRule>
  </conditionalFormatting>
  <conditionalFormatting sqref="S591">
    <cfRule type="expression" dxfId="427" priority="499">
      <formula>S591=#REF!</formula>
    </cfRule>
  </conditionalFormatting>
  <conditionalFormatting sqref="O421">
    <cfRule type="expression" dxfId="426" priority="497">
      <formula>O421=#REF!</formula>
    </cfRule>
  </conditionalFormatting>
  <conditionalFormatting sqref="S133">
    <cfRule type="expression" dxfId="425" priority="496">
      <formula>S133=#REF!</formula>
    </cfRule>
  </conditionalFormatting>
  <conditionalFormatting sqref="S136">
    <cfRule type="expression" dxfId="424" priority="495">
      <formula>S136=#REF!</formula>
    </cfRule>
  </conditionalFormatting>
  <conditionalFormatting sqref="S499 S497 S467">
    <cfRule type="expression" dxfId="423" priority="494">
      <formula>S467=#REF!</formula>
    </cfRule>
  </conditionalFormatting>
  <conditionalFormatting sqref="S586 S580 S573:S574">
    <cfRule type="expression" dxfId="422" priority="493">
      <formula>S573=#REF!</formula>
    </cfRule>
  </conditionalFormatting>
  <conditionalFormatting sqref="S495 S464 S397 S391 S388 S281">
    <cfRule type="expression" dxfId="421" priority="492">
      <formula>S281=#REF!</formula>
    </cfRule>
  </conditionalFormatting>
  <conditionalFormatting sqref="S232">
    <cfRule type="expression" dxfId="420" priority="491">
      <formula>S232=#REF!</formula>
    </cfRule>
  </conditionalFormatting>
  <conditionalFormatting sqref="S233:S236">
    <cfRule type="expression" dxfId="419" priority="490">
      <formula>S233=#REF!</formula>
    </cfRule>
  </conditionalFormatting>
  <conditionalFormatting sqref="S894:S895 S889:S890 S884:S887 S825:S826">
    <cfRule type="expression" dxfId="418" priority="489">
      <formula>S825=#REF!</formula>
    </cfRule>
  </conditionalFormatting>
  <conditionalFormatting sqref="S841:S842 S807 S833:S835">
    <cfRule type="expression" dxfId="417" priority="488">
      <formula>S807=#REF!</formula>
    </cfRule>
  </conditionalFormatting>
  <conditionalFormatting sqref="S340 S332:S333 S329">
    <cfRule type="expression" dxfId="416" priority="487">
      <formula>S329=#REF!</formula>
    </cfRule>
  </conditionalFormatting>
  <conditionalFormatting sqref="S52">
    <cfRule type="expression" dxfId="415" priority="485">
      <formula>S52=#REF!</formula>
    </cfRule>
  </conditionalFormatting>
  <conditionalFormatting sqref="S920">
    <cfRule type="expression" dxfId="414" priority="484">
      <formula>S920=#REF!</formula>
    </cfRule>
  </conditionalFormatting>
  <conditionalFormatting sqref="S395">
    <cfRule type="expression" dxfId="413" priority="483">
      <formula>S395=#REF!</formula>
    </cfRule>
  </conditionalFormatting>
  <conditionalFormatting sqref="S503">
    <cfRule type="expression" dxfId="412" priority="482">
      <formula>S503=#REF!</formula>
    </cfRule>
  </conditionalFormatting>
  <conditionalFormatting sqref="S721">
    <cfRule type="expression" dxfId="411" priority="481">
      <formula>S721=#REF!</formula>
    </cfRule>
  </conditionalFormatting>
  <conditionalFormatting sqref="S511 S509 S382 S289 O285 S283">
    <cfRule type="expression" dxfId="410" priority="480">
      <formula>O283=#REF!</formula>
    </cfRule>
  </conditionalFormatting>
  <conditionalFormatting sqref="S399 S69 S67 S65">
    <cfRule type="expression" dxfId="409" priority="479">
      <formula>S65=#REF!</formula>
    </cfRule>
  </conditionalFormatting>
  <conditionalFormatting sqref="S592">
    <cfRule type="expression" dxfId="408" priority="478">
      <formula>S592=#REF!</formula>
    </cfRule>
  </conditionalFormatting>
  <conditionalFormatting sqref="S249 S145:S147">
    <cfRule type="expression" dxfId="407" priority="477">
      <formula>S145=#REF!</formula>
    </cfRule>
  </conditionalFormatting>
  <conditionalFormatting sqref="S206:S208 S202:S204 S138">
    <cfRule type="expression" dxfId="406" priority="476">
      <formula>S138=#REF!</formula>
    </cfRule>
  </conditionalFormatting>
  <conditionalFormatting sqref="S641 S611 S608 S605:S606">
    <cfRule type="expression" dxfId="405" priority="471">
      <formula>S605=#REF!</formula>
    </cfRule>
  </conditionalFormatting>
  <conditionalFormatting sqref="S210:S212 S135 S129">
    <cfRule type="expression" dxfId="404" priority="474">
      <formula>S129=#REF!</formula>
    </cfRule>
  </conditionalFormatting>
  <conditionalFormatting sqref="S484 S417">
    <cfRule type="expression" dxfId="403" priority="473">
      <formula>S417=#REF!</formula>
    </cfRule>
  </conditionalFormatting>
  <conditionalFormatting sqref="S891">
    <cfRule type="expression" dxfId="402" priority="472">
      <formula>S891=#REF!</formula>
    </cfRule>
  </conditionalFormatting>
  <conditionalFormatting sqref="S327 S337:S338 S342 S436">
    <cfRule type="expression" dxfId="401" priority="470">
      <formula>S327=#REF!</formula>
    </cfRule>
  </conditionalFormatting>
  <conditionalFormatting sqref="S672:S673 S667">
    <cfRule type="expression" dxfId="400" priority="469">
      <formula>S667=#REF!</formula>
    </cfRule>
  </conditionalFormatting>
  <conditionalFormatting sqref="S899">
    <cfRule type="expression" dxfId="399" priority="468">
      <formula>S899=#REF!</formula>
    </cfRule>
  </conditionalFormatting>
  <conditionalFormatting sqref="S489 Q414 S61">
    <cfRule type="expression" dxfId="398" priority="467">
      <formula>Q61=#REF!</formula>
    </cfRule>
  </conditionalFormatting>
  <conditionalFormatting sqref="S892 S846">
    <cfRule type="expression" dxfId="397" priority="466">
      <formula>S846=#REF!</formula>
    </cfRule>
  </conditionalFormatting>
  <conditionalFormatting sqref="S104">
    <cfRule type="expression" dxfId="396" priority="465">
      <formula>S104=#REF!</formula>
    </cfRule>
  </conditionalFormatting>
  <conditionalFormatting sqref="S485 S483 S478 S435 S432">
    <cfRule type="expression" dxfId="395" priority="464">
      <formula>S432=#REF!</formula>
    </cfRule>
  </conditionalFormatting>
  <conditionalFormatting sqref="S176">
    <cfRule type="expression" dxfId="394" priority="463">
      <formula>S176=#REF!</formula>
    </cfRule>
  </conditionalFormatting>
  <conditionalFormatting sqref="S693">
    <cfRule type="expression" dxfId="393" priority="462">
      <formula>S693=#REF!</formula>
    </cfRule>
  </conditionalFormatting>
  <conditionalFormatting sqref="S683">
    <cfRule type="expression" dxfId="392" priority="461">
      <formula>S683=#REF!</formula>
    </cfRule>
  </conditionalFormatting>
  <conditionalFormatting sqref="S402:S404 S389 S386:S387 S384">
    <cfRule type="expression" dxfId="391" priority="460">
      <formula>S384=#REF!</formula>
    </cfRule>
  </conditionalFormatting>
  <conditionalFormatting sqref="S802 S758">
    <cfRule type="expression" dxfId="390" priority="459">
      <formula>S758=#REF!</formula>
    </cfRule>
  </conditionalFormatting>
  <conditionalFormatting sqref="S818 S816">
    <cfRule type="expression" dxfId="389" priority="457">
      <formula>S816=#REF!</formula>
    </cfRule>
  </conditionalFormatting>
  <conditionalFormatting sqref="S769:S772 S766:S767 S381">
    <cfRule type="expression" dxfId="388" priority="456">
      <formula>S381=#REF!</formula>
    </cfRule>
  </conditionalFormatting>
  <conditionalFormatting sqref="S761">
    <cfRule type="expression" dxfId="387" priority="455">
      <formula>S761=#REF!</formula>
    </cfRule>
  </conditionalFormatting>
  <conditionalFormatting sqref="S522 S349 S334 S320">
    <cfRule type="expression" dxfId="386" priority="454">
      <formula>S320=#REF!</formula>
    </cfRule>
  </conditionalFormatting>
  <conditionalFormatting sqref="S796 S791">
    <cfRule type="expression" dxfId="385" priority="453">
      <formula>S791=#REF!</formula>
    </cfRule>
  </conditionalFormatting>
  <conditionalFormatting sqref="S241">
    <cfRule type="expression" dxfId="384" priority="451">
      <formula>S241=#REF!</formula>
    </cfRule>
  </conditionalFormatting>
  <conditionalFormatting sqref="S932 S909 S907 S904">
    <cfRule type="expression" dxfId="383" priority="450">
      <formula>S904=#REF!</formula>
    </cfRule>
  </conditionalFormatting>
  <conditionalFormatting sqref="S120">
    <cfRule type="expression" dxfId="382" priority="449">
      <formula>S120=#REF!</formula>
    </cfRule>
  </conditionalFormatting>
  <conditionalFormatting sqref="S609 S339">
    <cfRule type="expression" dxfId="381" priority="448">
      <formula>S339=#REF!</formula>
    </cfRule>
  </conditionalFormatting>
  <conditionalFormatting sqref="S498 S380">
    <cfRule type="expression" dxfId="380" priority="447">
      <formula>S380=#REF!</formula>
    </cfRule>
  </conditionalFormatting>
  <conditionalFormatting sqref="S808:S809 S776:S777 S773:S774 S92 S88:S90 S84:S85">
    <cfRule type="expression" dxfId="379" priority="446">
      <formula>S84=#REF!</formula>
    </cfRule>
  </conditionalFormatting>
  <conditionalFormatting sqref="S750">
    <cfRule type="expression" dxfId="378" priority="445">
      <formula>S750=#REF!</formula>
    </cfRule>
  </conditionalFormatting>
  <conditionalFormatting sqref="S630 S58:S59">
    <cfRule type="expression" dxfId="377" priority="444">
      <formula>S58=#REF!</formula>
    </cfRule>
  </conditionalFormatting>
  <conditionalFormatting sqref="S792:S793 S788">
    <cfRule type="expression" dxfId="376" priority="443">
      <formula>S788=#REF!</formula>
    </cfRule>
  </conditionalFormatting>
  <conditionalFormatting sqref="S126">
    <cfRule type="expression" dxfId="375" priority="442">
      <formula>S126=#REF!</formula>
    </cfRule>
  </conditionalFormatting>
  <conditionalFormatting sqref="S501:S502 S408 S396 S383">
    <cfRule type="expression" dxfId="374" priority="441">
      <formula>S383=#REF!</formula>
    </cfRule>
  </conditionalFormatting>
  <conditionalFormatting sqref="S863">
    <cfRule type="expression" dxfId="373" priority="440">
      <formula>S863=#REF!</formula>
    </cfRule>
  </conditionalFormatting>
  <conditionalFormatting sqref="S360 S348 S343:S345 S291">
    <cfRule type="expression" dxfId="372" priority="439">
      <formula>S291=#REF!</formula>
    </cfRule>
  </conditionalFormatting>
  <conditionalFormatting sqref="S926">
    <cfRule type="expression" dxfId="371" priority="438">
      <formula>S926=#REF!</formula>
    </cfRule>
  </conditionalFormatting>
  <conditionalFormatting sqref="S521 S317:S318 Q294:Q295">
    <cfRule type="expression" dxfId="370" priority="437">
      <formula>Q294=#REF!</formula>
    </cfRule>
  </conditionalFormatting>
  <conditionalFormatting sqref="S493 S466 S450 S413 S286:S288 S282">
    <cfRule type="expression" dxfId="369" priority="436">
      <formula>S282=#REF!</formula>
    </cfRule>
  </conditionalFormatting>
  <conditionalFormatting sqref="S166:S167">
    <cfRule type="expression" dxfId="368" priority="434">
      <formula>S166=#REF!</formula>
    </cfRule>
  </conditionalFormatting>
  <conditionalFormatting sqref="Q610 Q593 Q579 Q577 Q571 Q562">
    <cfRule type="expression" dxfId="367" priority="432">
      <formula>Q562=#REF!</formula>
    </cfRule>
  </conditionalFormatting>
  <conditionalFormatting sqref="S469 S458 S477 S492">
    <cfRule type="expression" dxfId="366" priority="431">
      <formula>S458=#REF!</formula>
    </cfRule>
  </conditionalFormatting>
  <conditionalFormatting sqref="P75:Q80 P747:Q749">
    <cfRule type="expression" dxfId="365" priority="430">
      <formula>P75=#REF!</formula>
    </cfRule>
  </conditionalFormatting>
  <conditionalFormatting sqref="R7:S7">
    <cfRule type="expression" dxfId="364" priority="427">
      <formula>R7=#REF!</formula>
    </cfRule>
  </conditionalFormatting>
  <conditionalFormatting sqref="R15:S16">
    <cfRule type="expression" dxfId="363" priority="426">
      <formula>R15=#REF!</formula>
    </cfRule>
  </conditionalFormatting>
  <conditionalFormatting sqref="R56">
    <cfRule type="expression" dxfId="362" priority="424">
      <formula>R56=#REF!</formula>
    </cfRule>
  </conditionalFormatting>
  <conditionalFormatting sqref="S828">
    <cfRule type="expression" dxfId="361" priority="423">
      <formula>S828=#REF!</formula>
    </cfRule>
  </conditionalFormatting>
  <conditionalFormatting sqref="P827:Q827 P828 P833">
    <cfRule type="expression" dxfId="360" priority="422">
      <formula>P827=#REF!</formula>
    </cfRule>
  </conditionalFormatting>
  <conditionalFormatting sqref="Q828">
    <cfRule type="expression" dxfId="359" priority="421">
      <formula>Q828=#REF!</formula>
    </cfRule>
  </conditionalFormatting>
  <conditionalFormatting sqref="Q833">
    <cfRule type="expression" dxfId="358" priority="420">
      <formula>Q833=#REF!</formula>
    </cfRule>
  </conditionalFormatting>
  <conditionalFormatting sqref="AB486">
    <cfRule type="expression" dxfId="357" priority="419">
      <formula>AB486=#REF!</formula>
    </cfRule>
  </conditionalFormatting>
  <conditionalFormatting sqref="Z486:AA486">
    <cfRule type="expression" dxfId="356" priority="417">
      <formula>Z486=#REF!</formula>
    </cfRule>
  </conditionalFormatting>
  <conditionalFormatting sqref="S486">
    <cfRule type="expression" dxfId="355" priority="416">
      <formula>S486=#REF!</formula>
    </cfRule>
  </conditionalFormatting>
  <conditionalFormatting sqref="O486 Q486:R486">
    <cfRule type="expression" dxfId="354" priority="415">
      <formula>O486=#REF!</formula>
    </cfRule>
  </conditionalFormatting>
  <conditionalFormatting sqref="AB959">
    <cfRule type="expression" dxfId="353" priority="414">
      <formula>AB959=#REF!</formula>
    </cfRule>
  </conditionalFormatting>
  <conditionalFormatting sqref="R959">
    <cfRule type="expression" dxfId="352" priority="413">
      <formula>R959=#REF!</formula>
    </cfRule>
  </conditionalFormatting>
  <conditionalFormatting sqref="S959">
    <cfRule type="expression" dxfId="351" priority="412">
      <formula>S959=#REF!</formula>
    </cfRule>
  </conditionalFormatting>
  <conditionalFormatting sqref="O960:R960">
    <cfRule type="expression" dxfId="350" priority="410">
      <formula>O960=#REF!</formula>
    </cfRule>
  </conditionalFormatting>
  <conditionalFormatting sqref="S960">
    <cfRule type="expression" dxfId="349" priority="409">
      <formula>S960=#REF!</formula>
    </cfRule>
  </conditionalFormatting>
  <conditionalFormatting sqref="X960">
    <cfRule type="expression" dxfId="348" priority="408">
      <formula>X960=#REF!</formula>
    </cfRule>
  </conditionalFormatting>
  <conditionalFormatting sqref="O959:Q959">
    <cfRule type="expression" dxfId="347" priority="407">
      <formula>O959=#REF!</formula>
    </cfRule>
  </conditionalFormatting>
  <conditionalFormatting sqref="O964:Q964">
    <cfRule type="expression" dxfId="346" priority="402">
      <formula>O964=#REF!</formula>
    </cfRule>
  </conditionalFormatting>
  <conditionalFormatting sqref="X964">
    <cfRule type="expression" dxfId="345" priority="400">
      <formula>X964=#REF!</formula>
    </cfRule>
  </conditionalFormatting>
  <conditionalFormatting sqref="X963 Z963:AA963">
    <cfRule type="expression" dxfId="344" priority="390">
      <formula>X963=#REF!</formula>
    </cfRule>
  </conditionalFormatting>
  <conditionalFormatting sqref="X961">
    <cfRule type="expression" dxfId="343" priority="396">
      <formula>X961=#REF!</formula>
    </cfRule>
  </conditionalFormatting>
  <conditionalFormatting sqref="AB961:AB962">
    <cfRule type="expression" dxfId="342" priority="394">
      <formula>AB961=#REF!</formula>
    </cfRule>
  </conditionalFormatting>
  <conditionalFormatting sqref="S963">
    <cfRule type="expression" dxfId="341" priority="389">
      <formula>S963=#REF!</formula>
    </cfRule>
  </conditionalFormatting>
  <conditionalFormatting sqref="N963:Q963">
    <cfRule type="expression" dxfId="340" priority="388">
      <formula>N963=#REF!</formula>
    </cfRule>
  </conditionalFormatting>
  <conditionalFormatting sqref="X962">
    <cfRule type="expression" dxfId="339" priority="387">
      <formula>X962=#REF!</formula>
    </cfRule>
  </conditionalFormatting>
  <conditionalFormatting sqref="S962">
    <cfRule type="expression" dxfId="338" priority="386">
      <formula>S962=#REF!</formula>
    </cfRule>
  </conditionalFormatting>
  <conditionalFormatting sqref="AB958">
    <cfRule type="expression" dxfId="337" priority="385">
      <formula>AB958=#REF!</formula>
    </cfRule>
  </conditionalFormatting>
  <conditionalFormatting sqref="S958">
    <cfRule type="expression" dxfId="336" priority="384">
      <formula>S958=#REF!</formula>
    </cfRule>
  </conditionalFormatting>
  <conditionalFormatting sqref="N114:Q114">
    <cfRule type="expression" dxfId="335" priority="382">
      <formula>N114=#REF!</formula>
    </cfRule>
  </conditionalFormatting>
  <conditionalFormatting sqref="Y956:Y957">
    <cfRule type="expression" dxfId="334" priority="381">
      <formula>Y956=#REF!</formula>
    </cfRule>
  </conditionalFormatting>
  <conditionalFormatting sqref="S347 S357">
    <cfRule type="expression" dxfId="333" priority="370">
      <formula>S347=#REF!</formula>
    </cfRule>
  </conditionalFormatting>
  <conditionalFormatting sqref="S713">
    <cfRule type="expression" dxfId="332" priority="365">
      <formula>S713=#REF!</formula>
    </cfRule>
  </conditionalFormatting>
  <conditionalFormatting sqref="S715">
    <cfRule type="expression" dxfId="331" priority="363">
      <formula>S715=#REF!</formula>
    </cfRule>
  </conditionalFormatting>
  <conditionalFormatting sqref="S717">
    <cfRule type="expression" dxfId="330" priority="361">
      <formula>S717=#REF!</formula>
    </cfRule>
  </conditionalFormatting>
  <conditionalFormatting sqref="S718">
    <cfRule type="expression" dxfId="329" priority="359">
      <formula>S718=#REF!</formula>
    </cfRule>
  </conditionalFormatting>
  <conditionalFormatting sqref="S719">
    <cfRule type="expression" dxfId="328" priority="357">
      <formula>S719=#REF!</formula>
    </cfRule>
  </conditionalFormatting>
  <conditionalFormatting sqref="S735">
    <cfRule type="expression" dxfId="327" priority="355">
      <formula>S735=#REF!</formula>
    </cfRule>
  </conditionalFormatting>
  <conditionalFormatting sqref="S739">
    <cfRule type="expression" dxfId="326" priority="353">
      <formula>S739=#REF!</formula>
    </cfRule>
  </conditionalFormatting>
  <conditionalFormatting sqref="S491 S468 S284 S278 S607 S418 O419:O420">
    <cfRule type="expression" dxfId="325" priority="948">
      <formula>O278=$Q$530</formula>
    </cfRule>
  </conditionalFormatting>
  <conditionalFormatting sqref="R713 R715 R717:R719 R735 R739">
    <cfRule type="expression" dxfId="324" priority="959">
      <formula>R713=$S$530</formula>
    </cfRule>
  </conditionalFormatting>
  <conditionalFormatting sqref="N85:O86">
    <cfRule type="expression" dxfId="323" priority="350">
      <formula>N85=#REF!</formula>
    </cfRule>
  </conditionalFormatting>
  <conditionalFormatting sqref="N88:O94">
    <cfRule type="expression" dxfId="322" priority="349">
      <formula>N88=#REF!</formula>
    </cfRule>
  </conditionalFormatting>
  <conditionalFormatting sqref="P808:Q810">
    <cfRule type="expression" dxfId="321" priority="338">
      <formula>P808=#REF!</formula>
    </cfRule>
  </conditionalFormatting>
  <conditionalFormatting sqref="P167:Q170">
    <cfRule type="expression" dxfId="320" priority="348">
      <formula>P167=#REF!</formula>
    </cfRule>
  </conditionalFormatting>
  <conditionalFormatting sqref="R763:S763">
    <cfRule type="expression" dxfId="319" priority="347">
      <formula>R763=#REF!</formula>
    </cfRule>
  </conditionalFormatting>
  <conditionalFormatting sqref="P773:Q773">
    <cfRule type="expression" dxfId="318" priority="346">
      <formula>P773=#REF!</formula>
    </cfRule>
  </conditionalFormatting>
  <conditionalFormatting sqref="P774:Q774">
    <cfRule type="expression" dxfId="317" priority="345">
      <formula>P774=#REF!</formula>
    </cfRule>
  </conditionalFormatting>
  <conditionalFormatting sqref="P776:Q776">
    <cfRule type="expression" dxfId="316" priority="344">
      <formula>P776=#REF!</formula>
    </cfRule>
  </conditionalFormatting>
  <conditionalFormatting sqref="P777:Q777">
    <cfRule type="expression" dxfId="315" priority="343">
      <formula>P777=#REF!</formula>
    </cfRule>
  </conditionalFormatting>
  <conditionalFormatting sqref="R779:S779">
    <cfRule type="expression" dxfId="314" priority="342">
      <formula>R779=#REF!</formula>
    </cfRule>
  </conditionalFormatting>
  <conditionalFormatting sqref="R780:S780">
    <cfRule type="expression" dxfId="313" priority="341">
      <formula>R780=#REF!</formula>
    </cfRule>
  </conditionalFormatting>
  <conditionalFormatting sqref="P783:Q783">
    <cfRule type="expression" dxfId="312" priority="340">
      <formula>P783=#REF!</formula>
    </cfRule>
  </conditionalFormatting>
  <conditionalFormatting sqref="P784:Q784">
    <cfRule type="expression" dxfId="311" priority="339">
      <formula>P784=#REF!</formula>
    </cfRule>
  </conditionalFormatting>
  <conditionalFormatting sqref="R244:S244">
    <cfRule type="expression" dxfId="310" priority="337">
      <formula>R244=#REF!</formula>
    </cfRule>
  </conditionalFormatting>
  <conditionalFormatting sqref="R245:S245">
    <cfRule type="expression" dxfId="309" priority="336">
      <formula>R245=#REF!</formula>
    </cfRule>
  </conditionalFormatting>
  <conditionalFormatting sqref="Q537:S537 R538 R541:R542 R554:R556 Q538:Q542 Q545:R546 Q548:R549 Q554:Q559">
    <cfRule type="expression" dxfId="308" priority="330">
      <formula>Q537=#REF!</formula>
    </cfRule>
  </conditionalFormatting>
  <conditionalFormatting sqref="S538">
    <cfRule type="expression" dxfId="307" priority="329">
      <formula>S538=#REF!</formula>
    </cfRule>
  </conditionalFormatting>
  <conditionalFormatting sqref="S539">
    <cfRule type="expression" dxfId="306" priority="328">
      <formula>S539=#REF!</formula>
    </cfRule>
  </conditionalFormatting>
  <conditionalFormatting sqref="S540">
    <cfRule type="expression" dxfId="305" priority="327">
      <formula>S540=#REF!</formula>
    </cfRule>
  </conditionalFormatting>
  <conditionalFormatting sqref="S541">
    <cfRule type="expression" dxfId="304" priority="326">
      <formula>S541=#REF!</formula>
    </cfRule>
  </conditionalFormatting>
  <conditionalFormatting sqref="S542">
    <cfRule type="expression" dxfId="303" priority="325">
      <formula>S542=#REF!</formula>
    </cfRule>
  </conditionalFormatting>
  <conditionalFormatting sqref="S545">
    <cfRule type="expression" dxfId="302" priority="324">
      <formula>S545=#REF!</formula>
    </cfRule>
  </conditionalFormatting>
  <conditionalFormatting sqref="S546">
    <cfRule type="expression" dxfId="301" priority="323">
      <formula>S546=#REF!</formula>
    </cfRule>
  </conditionalFormatting>
  <conditionalFormatting sqref="S548">
    <cfRule type="expression" dxfId="300" priority="322">
      <formula>S548=#REF!</formula>
    </cfRule>
  </conditionalFormatting>
  <conditionalFormatting sqref="S549">
    <cfRule type="expression" dxfId="299" priority="321">
      <formula>S549=#REF!</formula>
    </cfRule>
  </conditionalFormatting>
  <conditionalFormatting sqref="S554">
    <cfRule type="expression" dxfId="298" priority="320">
      <formula>S554=#REF!</formula>
    </cfRule>
  </conditionalFormatting>
  <conditionalFormatting sqref="S555">
    <cfRule type="expression" dxfId="297" priority="319">
      <formula>S555=#REF!</formula>
    </cfRule>
  </conditionalFormatting>
  <conditionalFormatting sqref="S556">
    <cfRule type="expression" dxfId="296" priority="318">
      <formula>S556=#REF!</formula>
    </cfRule>
  </conditionalFormatting>
  <conditionalFormatting sqref="S558">
    <cfRule type="expression" dxfId="295" priority="317">
      <formula>S558=#REF!</formula>
    </cfRule>
  </conditionalFormatting>
  <conditionalFormatting sqref="R557">
    <cfRule type="expression" dxfId="294" priority="316">
      <formula>R557=#REF!</formula>
    </cfRule>
  </conditionalFormatting>
  <conditionalFormatting sqref="Q966:S966">
    <cfRule type="expression" dxfId="293" priority="298">
      <formula>Q966=#REF!</formula>
    </cfRule>
  </conditionalFormatting>
  <conditionalFormatting sqref="X966 Z966:AA966">
    <cfRule type="expression" dxfId="292" priority="300">
      <formula>X966=#REF!</formula>
    </cfRule>
  </conditionalFormatting>
  <conditionalFormatting sqref="Z965:AA965">
    <cfRule type="expression" dxfId="291" priority="294">
      <formula>Z965=#REF!</formula>
    </cfRule>
  </conditionalFormatting>
  <conditionalFormatting sqref="S965">
    <cfRule type="expression" dxfId="290" priority="293">
      <formula>S965=#REF!</formula>
    </cfRule>
  </conditionalFormatting>
  <conditionalFormatting sqref="N965:O965">
    <cfRule type="expression" dxfId="289" priority="292">
      <formula>N965=#REF!</formula>
    </cfRule>
  </conditionalFormatting>
  <conditionalFormatting sqref="X965">
    <cfRule type="expression" dxfId="288" priority="291">
      <formula>X965=#REF!</formula>
    </cfRule>
  </conditionalFormatting>
  <conditionalFormatting sqref="N676:O676">
    <cfRule type="expression" dxfId="287" priority="290">
      <formula>N676=#REF!</formula>
    </cfRule>
  </conditionalFormatting>
  <conditionalFormatting sqref="N677:O677">
    <cfRule type="expression" dxfId="286" priority="289">
      <formula>N677=#REF!</formula>
    </cfRule>
  </conditionalFormatting>
  <conditionalFormatting sqref="N698:O698">
    <cfRule type="expression" dxfId="285" priority="288">
      <formula>N698=#REF!</formula>
    </cfRule>
  </conditionalFormatting>
  <conditionalFormatting sqref="R702:S702">
    <cfRule type="expression" dxfId="284" priority="287">
      <formula>R702=#REF!</formula>
    </cfRule>
  </conditionalFormatting>
  <conditionalFormatting sqref="R703:S703">
    <cfRule type="expression" dxfId="283" priority="286">
      <formula>R703=#REF!</formula>
    </cfRule>
  </conditionalFormatting>
  <conditionalFormatting sqref="R704:S704">
    <cfRule type="expression" dxfId="282" priority="285">
      <formula>R704=#REF!</formula>
    </cfRule>
  </conditionalFormatting>
  <conditionalFormatting sqref="R705:S705">
    <cfRule type="expression" dxfId="281" priority="284">
      <formula>R705=#REF!</formula>
    </cfRule>
  </conditionalFormatting>
  <conditionalFormatting sqref="S675">
    <cfRule type="expression" dxfId="280" priority="283">
      <formula>S675=#REF!</formula>
    </cfRule>
  </conditionalFormatting>
  <conditionalFormatting sqref="N447">
    <cfRule type="expression" dxfId="279" priority="281">
      <formula>N447=#REF!</formula>
    </cfRule>
  </conditionalFormatting>
  <conditionalFormatting sqref="O447">
    <cfRule type="expression" dxfId="278" priority="280">
      <formula>O447=#REF!</formula>
    </cfRule>
  </conditionalFormatting>
  <conditionalFormatting sqref="N450">
    <cfRule type="expression" dxfId="277" priority="279">
      <formula>N450=#REF!</formula>
    </cfRule>
  </conditionalFormatting>
  <conditionalFormatting sqref="O450">
    <cfRule type="expression" dxfId="276" priority="278">
      <formula>O450=#REF!</formula>
    </cfRule>
  </conditionalFormatting>
  <conditionalFormatting sqref="N471">
    <cfRule type="expression" dxfId="275" priority="273">
      <formula>N471=#REF!</formula>
    </cfRule>
  </conditionalFormatting>
  <conditionalFormatting sqref="O471">
    <cfRule type="expression" dxfId="274" priority="272">
      <formula>O471=#REF!</formula>
    </cfRule>
  </conditionalFormatting>
  <conditionalFormatting sqref="N341:Q341">
    <cfRule type="expression" dxfId="273" priority="262">
      <formula>N341=#REF!</formula>
    </cfRule>
  </conditionalFormatting>
  <conditionalFormatting sqref="S341">
    <cfRule type="expression" dxfId="272" priority="261">
      <formula>S341=#REF!</formula>
    </cfRule>
  </conditionalFormatting>
  <conditionalFormatting sqref="O343:Q343">
    <cfRule type="expression" dxfId="271" priority="260">
      <formula>O343=#REF!</formula>
    </cfRule>
  </conditionalFormatting>
  <conditionalFormatting sqref="S422">
    <cfRule type="expression" dxfId="270" priority="259">
      <formula>S422=#REF!</formula>
    </cfRule>
  </conditionalFormatting>
  <conditionalFormatting sqref="P966">
    <cfRule type="expression" dxfId="269" priority="250">
      <formula>P966=#REF!</formula>
    </cfRule>
  </conditionalFormatting>
  <conditionalFormatting sqref="U8">
    <cfRule type="expression" dxfId="268" priority="249">
      <formula>U8=#REF!</formula>
    </cfRule>
  </conditionalFormatting>
  <conditionalFormatting sqref="N532:R532">
    <cfRule type="expression" dxfId="267" priority="215">
      <formula>N532=#REF!</formula>
    </cfRule>
  </conditionalFormatting>
  <conditionalFormatting sqref="S532">
    <cfRule type="expression" dxfId="266" priority="214">
      <formula>S532=#REF!</formula>
    </cfRule>
  </conditionalFormatting>
  <conditionalFormatting sqref="N533:R533">
    <cfRule type="expression" dxfId="265" priority="212">
      <formula>N533=#REF!</formula>
    </cfRule>
  </conditionalFormatting>
  <conditionalFormatting sqref="S533">
    <cfRule type="expression" dxfId="264" priority="211">
      <formula>S533=#REF!</formula>
    </cfRule>
  </conditionalFormatting>
  <conditionalFormatting sqref="N535:R535">
    <cfRule type="expression" dxfId="263" priority="209">
      <formula>N535=#REF!</formula>
    </cfRule>
  </conditionalFormatting>
  <conditionalFormatting sqref="S535">
    <cfRule type="expression" dxfId="262" priority="208">
      <formula>S535=#REF!</formula>
    </cfRule>
  </conditionalFormatting>
  <conditionalFormatting sqref="N544:R544">
    <cfRule type="expression" dxfId="261" priority="206">
      <formula>N544=#REF!</formula>
    </cfRule>
  </conditionalFormatting>
  <conditionalFormatting sqref="S544">
    <cfRule type="expression" dxfId="260" priority="205">
      <formula>S544=#REF!</formula>
    </cfRule>
  </conditionalFormatting>
  <conditionalFormatting sqref="N547:R547">
    <cfRule type="expression" dxfId="259" priority="203">
      <formula>N547=#REF!</formula>
    </cfRule>
  </conditionalFormatting>
  <conditionalFormatting sqref="S547">
    <cfRule type="expression" dxfId="258" priority="202">
      <formula>S547=#REF!</formula>
    </cfRule>
  </conditionalFormatting>
  <conditionalFormatting sqref="N550:R552">
    <cfRule type="expression" dxfId="257" priority="200">
      <formula>N550=#REF!</formula>
    </cfRule>
  </conditionalFormatting>
  <conditionalFormatting sqref="S550:S552">
    <cfRule type="expression" dxfId="256" priority="199">
      <formula>S550=#REF!</formula>
    </cfRule>
  </conditionalFormatting>
  <conditionalFormatting sqref="N615:O615">
    <cfRule type="expression" dxfId="255" priority="160">
      <formula>N615=#REF!</formula>
    </cfRule>
  </conditionalFormatting>
  <conditionalFormatting sqref="N690:O690">
    <cfRule type="expression" dxfId="254" priority="159">
      <formula>N690=#REF!</formula>
    </cfRule>
  </conditionalFormatting>
  <conditionalFormatting sqref="N598">
    <cfRule type="expression" dxfId="253" priority="158">
      <formula>N598=#REF!</formula>
    </cfRule>
  </conditionalFormatting>
  <conditionalFormatting sqref="S598">
    <cfRule type="expression" dxfId="252" priority="157">
      <formula>S598=#REF!</formula>
    </cfRule>
  </conditionalFormatting>
  <conditionalFormatting sqref="R598">
    <cfRule type="expression" dxfId="251" priority="156">
      <formula>R598=#REF!</formula>
    </cfRule>
  </conditionalFormatting>
  <conditionalFormatting sqref="Q690">
    <cfRule type="expression" dxfId="250" priority="155">
      <formula>Q690=#REF!</formula>
    </cfRule>
  </conditionalFormatting>
  <conditionalFormatting sqref="P690">
    <cfRule type="expression" dxfId="249" priority="154">
      <formula>P690=#REF!</formula>
    </cfRule>
  </conditionalFormatting>
  <conditionalFormatting sqref="N52">
    <cfRule type="expression" dxfId="248" priority="153">
      <formula>N52=#REF!</formula>
    </cfRule>
  </conditionalFormatting>
  <conditionalFormatting sqref="O52">
    <cfRule type="expression" dxfId="247" priority="152">
      <formula>O52=#REF!</formula>
    </cfRule>
  </conditionalFormatting>
  <conditionalFormatting sqref="N253:O253">
    <cfRule type="expression" dxfId="246" priority="151">
      <formula>N253=#REF!</formula>
    </cfRule>
  </conditionalFormatting>
  <conditionalFormatting sqref="N254:O254">
    <cfRule type="expression" dxfId="245" priority="150">
      <formula>N254=#REF!</formula>
    </cfRule>
  </conditionalFormatting>
  <conditionalFormatting sqref="N967:N970">
    <cfRule type="expression" dxfId="244" priority="149">
      <formula>N967=#REF!</formula>
    </cfRule>
  </conditionalFormatting>
  <conditionalFormatting sqref="O967:O970">
    <cfRule type="expression" dxfId="243" priority="148">
      <formula>O967=#REF!</formula>
    </cfRule>
  </conditionalFormatting>
  <conditionalFormatting sqref="R309:S309">
    <cfRule type="expression" dxfId="242" priority="145">
      <formula>R309=#REF!</formula>
    </cfRule>
  </conditionalFormatting>
  <conditionalFormatting sqref="R310:S310">
    <cfRule type="expression" dxfId="241" priority="144">
      <formula>R310=#REF!</formula>
    </cfRule>
  </conditionalFormatting>
  <conditionalFormatting sqref="R312:S312">
    <cfRule type="expression" dxfId="240" priority="143">
      <formula>R312=#REF!</formula>
    </cfRule>
  </conditionalFormatting>
  <conditionalFormatting sqref="R351:S351">
    <cfRule type="expression" dxfId="239" priority="142">
      <formula>R351=#REF!</formula>
    </cfRule>
  </conditionalFormatting>
  <conditionalFormatting sqref="R352:S352">
    <cfRule type="expression" dxfId="238" priority="141">
      <formula>R352=#REF!</formula>
    </cfRule>
  </conditionalFormatting>
  <conditionalFormatting sqref="R353:S353">
    <cfRule type="expression" dxfId="237" priority="140">
      <formula>R353=#REF!</formula>
    </cfRule>
  </conditionalFormatting>
  <conditionalFormatting sqref="R354:S354">
    <cfRule type="expression" dxfId="236" priority="139">
      <formula>R354=#REF!</formula>
    </cfRule>
  </conditionalFormatting>
  <conditionalFormatting sqref="R355:S355">
    <cfRule type="expression" dxfId="235" priority="138">
      <formula>R355=#REF!</formula>
    </cfRule>
  </conditionalFormatting>
  <conditionalFormatting sqref="R356:S356">
    <cfRule type="expression" dxfId="234" priority="137">
      <formula>R356=#REF!</formula>
    </cfRule>
  </conditionalFormatting>
  <conditionalFormatting sqref="R519:S519">
    <cfRule type="expression" dxfId="233" priority="136">
      <formula>R519=#REF!</formula>
    </cfRule>
  </conditionalFormatting>
  <conditionalFormatting sqref="R524:S524">
    <cfRule type="expression" dxfId="232" priority="135">
      <formula>R524=#REF!</formula>
    </cfRule>
  </conditionalFormatting>
  <conditionalFormatting sqref="R526:S526">
    <cfRule type="expression" dxfId="231" priority="134">
      <formula>R526=#REF!</formula>
    </cfRule>
  </conditionalFormatting>
  <conditionalFormatting sqref="R527:S527">
    <cfRule type="expression" dxfId="230" priority="133">
      <formula>R527=#REF!</formula>
    </cfRule>
  </conditionalFormatting>
  <conditionalFormatting sqref="S55">
    <cfRule type="expression" dxfId="229" priority="127">
      <formula>S55=#REF!</formula>
    </cfRule>
  </conditionalFormatting>
  <conditionalFormatting sqref="R54">
    <cfRule type="expression" dxfId="228" priority="126">
      <formula>R54=#REF!</formula>
    </cfRule>
  </conditionalFormatting>
  <conditionalFormatting sqref="P55:Q55">
    <cfRule type="expression" dxfId="227" priority="125">
      <formula>P55=#REF!</formula>
    </cfRule>
  </conditionalFormatting>
  <conditionalFormatting sqref="N643:O643">
    <cfRule type="expression" dxfId="226" priority="124">
      <formula>N643=#REF!</formula>
    </cfRule>
  </conditionalFormatting>
  <conditionalFormatting sqref="N644:O644">
    <cfRule type="expression" dxfId="225" priority="123">
      <formula>N644=#REF!</formula>
    </cfRule>
  </conditionalFormatting>
  <conditionalFormatting sqref="N646:O646">
    <cfRule type="expression" dxfId="224" priority="122">
      <formula>N646=#REF!</formula>
    </cfRule>
  </conditionalFormatting>
  <conditionalFormatting sqref="N647:O647">
    <cfRule type="expression" dxfId="223" priority="121">
      <formula>N647=#REF!</formula>
    </cfRule>
  </conditionalFormatting>
  <conditionalFormatting sqref="N971:O971">
    <cfRule type="expression" dxfId="222" priority="120">
      <formula>N971=#REF!</formula>
    </cfRule>
  </conditionalFormatting>
  <conditionalFormatting sqref="N972:O975">
    <cfRule type="expression" dxfId="221" priority="119">
      <formula>N972=#REF!</formula>
    </cfRule>
  </conditionalFormatting>
  <conditionalFormatting sqref="R280:S280">
    <cfRule type="expression" dxfId="220" priority="104">
      <formula>R280=#REF!</formula>
    </cfRule>
  </conditionalFormatting>
  <conditionalFormatting sqref="N280:O280">
    <cfRule type="expression" dxfId="219" priority="103">
      <formula>N280=#REF!</formula>
    </cfRule>
  </conditionalFormatting>
  <conditionalFormatting sqref="R276:S276">
    <cfRule type="expression" dxfId="218" priority="102">
      <formula>R276=#REF!</formula>
    </cfRule>
  </conditionalFormatting>
  <conditionalFormatting sqref="N442:Q442">
    <cfRule type="expression" dxfId="217" priority="97">
      <formula>N442=#REF!</formula>
    </cfRule>
  </conditionalFormatting>
  <conditionalFormatting sqref="R964:S964">
    <cfRule type="expression" dxfId="216" priority="96">
      <formula>R964=#REF!</formula>
    </cfRule>
  </conditionalFormatting>
  <conditionalFormatting sqref="R273">
    <cfRule type="expression" dxfId="215" priority="68">
      <formula>R273=#REF!</formula>
    </cfRule>
  </conditionalFormatting>
  <conditionalFormatting sqref="S273">
    <cfRule type="expression" dxfId="214" priority="67">
      <formula>S273=#REF!</formula>
    </cfRule>
  </conditionalFormatting>
  <conditionalFormatting sqref="R273:S273">
    <cfRule type="expression" dxfId="213" priority="66">
      <formula>R273=#REF!</formula>
    </cfRule>
  </conditionalFormatting>
  <conditionalFormatting sqref="Y552">
    <cfRule type="expression" dxfId="212" priority="53">
      <formula>Y552=#REF!</formula>
    </cfRule>
  </conditionalFormatting>
  <conditionalFormatting sqref="Z552">
    <cfRule type="expression" dxfId="211" priority="52">
      <formula>Z552=#REF!</formula>
    </cfRule>
  </conditionalFormatting>
  <conditionalFormatting sqref="N976:R976">
    <cfRule type="expression" dxfId="210" priority="36">
      <formula>N976=#REF!</formula>
    </cfRule>
  </conditionalFormatting>
  <conditionalFormatting sqref="R558">
    <cfRule type="expression" dxfId="209" priority="35">
      <formula>R558=#REF!</formula>
    </cfRule>
  </conditionalFormatting>
  <conditionalFormatting sqref="R559">
    <cfRule type="expression" dxfId="208" priority="33">
      <formula>R559=#REF!</formula>
    </cfRule>
  </conditionalFormatting>
  <conditionalFormatting sqref="R539">
    <cfRule type="expression" dxfId="207" priority="32">
      <formula>R539=#REF!</formula>
    </cfRule>
  </conditionalFormatting>
  <conditionalFormatting sqref="R540">
    <cfRule type="expression" dxfId="206" priority="31">
      <formula>R540=#REF!</formula>
    </cfRule>
  </conditionalFormatting>
  <conditionalFormatting sqref="Q362:R362">
    <cfRule type="expression" dxfId="205" priority="30">
      <formula>Q362=#REF!</formula>
    </cfRule>
  </conditionalFormatting>
  <conditionalFormatting sqref="S362">
    <cfRule type="expression" dxfId="204" priority="29">
      <formula>S362=#REF!</formula>
    </cfRule>
  </conditionalFormatting>
  <conditionalFormatting sqref="Q363:R363">
    <cfRule type="expression" dxfId="203" priority="28">
      <formula>Q363=#REF!</formula>
    </cfRule>
  </conditionalFormatting>
  <conditionalFormatting sqref="S363">
    <cfRule type="expression" dxfId="202" priority="27">
      <formula>S363=#REF!</formula>
    </cfRule>
  </conditionalFormatting>
  <conditionalFormatting sqref="Q365:R365">
    <cfRule type="expression" dxfId="201" priority="26">
      <formula>Q365=#REF!</formula>
    </cfRule>
  </conditionalFormatting>
  <conditionalFormatting sqref="S365">
    <cfRule type="expression" dxfId="200" priority="25">
      <formula>S365=#REF!</formula>
    </cfRule>
  </conditionalFormatting>
  <conditionalFormatting sqref="Q366:R366">
    <cfRule type="expression" dxfId="199" priority="24">
      <formula>Q366=#REF!</formula>
    </cfRule>
  </conditionalFormatting>
  <conditionalFormatting sqref="S366">
    <cfRule type="expression" dxfId="198" priority="23">
      <formula>S366=#REF!</formula>
    </cfRule>
  </conditionalFormatting>
  <conditionalFormatting sqref="Q367:R367">
    <cfRule type="expression" dxfId="197" priority="22">
      <formula>Q367=#REF!</formula>
    </cfRule>
  </conditionalFormatting>
  <conditionalFormatting sqref="S367">
    <cfRule type="expression" dxfId="196" priority="21">
      <formula>S367=#REF!</formula>
    </cfRule>
  </conditionalFormatting>
  <conditionalFormatting sqref="Q368:R368">
    <cfRule type="expression" dxfId="195" priority="20">
      <formula>Q368=#REF!</formula>
    </cfRule>
  </conditionalFormatting>
  <conditionalFormatting sqref="S368">
    <cfRule type="expression" dxfId="194" priority="19">
      <formula>S368=#REF!</formula>
    </cfRule>
  </conditionalFormatting>
  <conditionalFormatting sqref="Q82">
    <cfRule type="expression" dxfId="193" priority="18">
      <formula>Q82=#REF!</formula>
    </cfRule>
  </conditionalFormatting>
  <conditionalFormatting sqref="R173:S173">
    <cfRule type="expression" dxfId="192" priority="13">
      <formula>R173=#REF!</formula>
    </cfRule>
  </conditionalFormatting>
  <conditionalFormatting sqref="R174:S174">
    <cfRule type="expression" dxfId="191" priority="12">
      <formula>R174=#REF!</formula>
    </cfRule>
  </conditionalFormatting>
  <conditionalFormatting sqref="S981 S977">
    <cfRule type="expression" dxfId="190" priority="10">
      <formula>S977=#REF!</formula>
    </cfRule>
  </conditionalFormatting>
  <conditionalFormatting sqref="N979:Q981 N977:R977 N978:P978">
    <cfRule type="expression" dxfId="189" priority="9">
      <formula>N977=#REF!</formula>
    </cfRule>
  </conditionalFormatting>
  <conditionalFormatting sqref="Q978">
    <cfRule type="expression" dxfId="188" priority="8">
      <formula>Q978=#REF!</formula>
    </cfRule>
  </conditionalFormatting>
  <conditionalFormatting sqref="R979:R980">
    <cfRule type="expression" dxfId="187" priority="7">
      <formula>R979=#REF!</formula>
    </cfRule>
  </conditionalFormatting>
  <conditionalFormatting sqref="S979:S980">
    <cfRule type="expression" dxfId="186" priority="6">
      <formula>S979=#REF!</formula>
    </cfRule>
  </conditionalFormatting>
  <conditionalFormatting sqref="P954">
    <cfRule type="expression" dxfId="185" priority="5">
      <formula>P954=#REF!</formula>
    </cfRule>
  </conditionalFormatting>
  <conditionalFormatting sqref="R954 N954">
    <cfRule type="expression" dxfId="184" priority="4">
      <formula>N954=#REF!</formula>
    </cfRule>
  </conditionalFormatting>
  <conditionalFormatting sqref="S954">
    <cfRule type="expression" dxfId="183" priority="3">
      <formula>S954=#REF!</formula>
    </cfRule>
  </conditionalFormatting>
  <conditionalFormatting sqref="O954">
    <cfRule type="expression" dxfId="182" priority="2">
      <formula>O954=#REF!</formula>
    </cfRule>
  </conditionalFormatting>
  <conditionalFormatting sqref="Q954">
    <cfRule type="expression" dxfId="181" priority="1">
      <formula>Q954=#REF!</formula>
    </cfRule>
  </conditionalFormatting>
  <pageMargins left="0.39370078740157483" right="0.15748031496062992" top="0.43307086614173229" bottom="0.51181102362204722" header="0.31496062992125984" footer="0.31496062992125984"/>
  <pageSetup paperSize="8" scale="96" orientation="landscape" r:id="rId1"/>
  <headerFooter alignWithMargins="0">
    <oddFooter>&amp;L&amp;Z&amp;F</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874E-A256-4DCA-9406-8A39E714AA77}">
  <dimension ref="A1:AX10"/>
  <sheetViews>
    <sheetView workbookViewId="0">
      <selection activeCell="A10" sqref="A10:XFD10"/>
    </sheetView>
  </sheetViews>
  <sheetFormatPr defaultRowHeight="12.75"/>
  <cols>
    <col min="1" max="1" width="16.42578125" customWidth="1"/>
    <col min="7" max="7" width="16.7109375" customWidth="1"/>
    <col min="8" max="8" width="16" customWidth="1"/>
    <col min="13" max="13" width="15.7109375" customWidth="1"/>
  </cols>
  <sheetData>
    <row r="1" spans="1:50" s="22" customFormat="1" ht="45">
      <c r="A1" s="26" t="s">
        <v>92</v>
      </c>
      <c r="B1" s="27" t="s">
        <v>1103</v>
      </c>
      <c r="C1" s="28" t="s">
        <v>91</v>
      </c>
      <c r="D1" s="28" t="s">
        <v>96</v>
      </c>
      <c r="E1" s="28" t="s">
        <v>90</v>
      </c>
      <c r="F1" s="28" t="s">
        <v>89</v>
      </c>
      <c r="G1" s="28" t="s">
        <v>88</v>
      </c>
      <c r="H1" s="28" t="s">
        <v>95</v>
      </c>
      <c r="I1" s="29" t="s">
        <v>603</v>
      </c>
      <c r="J1" s="28" t="s">
        <v>94</v>
      </c>
      <c r="K1" s="28" t="s">
        <v>706</v>
      </c>
      <c r="L1" s="28" t="s">
        <v>707</v>
      </c>
      <c r="M1" s="28" t="s">
        <v>712</v>
      </c>
      <c r="N1" s="26" t="s">
        <v>817</v>
      </c>
      <c r="O1" s="26" t="s">
        <v>818</v>
      </c>
      <c r="P1" s="26" t="s">
        <v>1140</v>
      </c>
      <c r="Q1" s="26" t="s">
        <v>1141</v>
      </c>
      <c r="R1" s="26" t="s">
        <v>1142</v>
      </c>
      <c r="S1" s="26" t="s">
        <v>1734</v>
      </c>
      <c r="T1" s="21" t="s">
        <v>1222</v>
      </c>
      <c r="U1" s="20" t="s">
        <v>1223</v>
      </c>
      <c r="V1" s="21" t="s">
        <v>1224</v>
      </c>
      <c r="W1" s="20" t="s">
        <v>1225</v>
      </c>
      <c r="X1" s="19" t="s">
        <v>1730</v>
      </c>
      <c r="Y1" s="19" t="s">
        <v>1731</v>
      </c>
      <c r="Z1" s="19" t="s">
        <v>1732</v>
      </c>
      <c r="AA1" s="19" t="s">
        <v>1733</v>
      </c>
      <c r="AB1" s="19" t="s">
        <v>1039</v>
      </c>
      <c r="AC1" s="20" t="s">
        <v>795</v>
      </c>
      <c r="AD1" s="20" t="s">
        <v>796</v>
      </c>
      <c r="AE1" s="20" t="s">
        <v>806</v>
      </c>
      <c r="AF1" s="20" t="s">
        <v>807</v>
      </c>
      <c r="AG1" s="20" t="s">
        <v>797</v>
      </c>
      <c r="AH1" s="20" t="s">
        <v>798</v>
      </c>
      <c r="AI1" s="20" t="s">
        <v>799</v>
      </c>
      <c r="AJ1" s="20" t="s">
        <v>800</v>
      </c>
      <c r="AK1" s="20" t="s">
        <v>801</v>
      </c>
      <c r="AL1" s="20" t="s">
        <v>802</v>
      </c>
      <c r="AM1" s="20" t="s">
        <v>803</v>
      </c>
      <c r="AN1" s="20" t="s">
        <v>804</v>
      </c>
      <c r="AO1" s="20" t="s">
        <v>816</v>
      </c>
      <c r="AP1" s="20" t="s">
        <v>805</v>
      </c>
      <c r="AQ1" s="20" t="s">
        <v>810</v>
      </c>
      <c r="AR1" s="20" t="s">
        <v>811</v>
      </c>
      <c r="AS1" s="20" t="s">
        <v>812</v>
      </c>
      <c r="AT1" s="20" t="s">
        <v>813</v>
      </c>
      <c r="AU1" s="20" t="s">
        <v>814</v>
      </c>
      <c r="AV1" s="20" t="s">
        <v>815</v>
      </c>
      <c r="AX1" s="141" t="s">
        <v>2138</v>
      </c>
    </row>
    <row r="2" spans="1:50" s="4" customFormat="1" ht="102">
      <c r="A2" s="2" t="s">
        <v>2106</v>
      </c>
      <c r="B2" s="126" t="s">
        <v>1755</v>
      </c>
      <c r="C2" s="118">
        <v>123</v>
      </c>
      <c r="D2" s="118" t="s">
        <v>2107</v>
      </c>
      <c r="E2" s="123">
        <v>0.34722222222222227</v>
      </c>
      <c r="F2" s="123">
        <v>0.75624999999999998</v>
      </c>
      <c r="G2" s="118" t="s">
        <v>2108</v>
      </c>
      <c r="H2" s="118" t="s">
        <v>2072</v>
      </c>
      <c r="I2" s="127">
        <v>32</v>
      </c>
      <c r="J2" s="124">
        <v>50</v>
      </c>
      <c r="K2" s="128">
        <v>80</v>
      </c>
      <c r="L2" s="129">
        <f>+K2*I2</f>
        <v>2560</v>
      </c>
      <c r="M2" s="135" t="s">
        <v>731</v>
      </c>
      <c r="N2" s="79" t="s">
        <v>2094</v>
      </c>
      <c r="O2" s="79">
        <v>56</v>
      </c>
      <c r="P2" s="23" t="s">
        <v>1840</v>
      </c>
      <c r="Q2" s="23" t="s">
        <v>1147</v>
      </c>
      <c r="R2" s="112" t="s">
        <v>2136</v>
      </c>
      <c r="S2" s="79">
        <v>57</v>
      </c>
      <c r="T2" s="7" t="s">
        <v>1243</v>
      </c>
      <c r="U2" s="7" t="s">
        <v>1244</v>
      </c>
      <c r="V2" s="7" t="s">
        <v>1246</v>
      </c>
      <c r="W2" s="7" t="s">
        <v>1247</v>
      </c>
      <c r="X2" s="122">
        <v>45101</v>
      </c>
      <c r="Y2" s="122"/>
      <c r="Z2" s="17"/>
      <c r="AA2" s="17"/>
      <c r="AB2" s="7" t="s">
        <v>2072</v>
      </c>
      <c r="AC2" s="8"/>
      <c r="AD2" s="8" t="s">
        <v>726</v>
      </c>
      <c r="AE2" s="8"/>
      <c r="AF2" s="8"/>
      <c r="AG2" s="8" t="s">
        <v>726</v>
      </c>
      <c r="AH2" s="8" t="s">
        <v>726</v>
      </c>
      <c r="AI2" s="8" t="s">
        <v>726</v>
      </c>
      <c r="AJ2" s="8" t="s">
        <v>726</v>
      </c>
      <c r="AK2" s="8" t="s">
        <v>726</v>
      </c>
      <c r="AL2" s="8" t="s">
        <v>726</v>
      </c>
      <c r="AM2" s="8" t="s">
        <v>726</v>
      </c>
      <c r="AN2" s="8"/>
      <c r="AO2" s="8"/>
      <c r="AP2" s="8"/>
      <c r="AQ2" s="8"/>
      <c r="AR2" s="8"/>
      <c r="AS2" s="8"/>
      <c r="AT2" s="8"/>
      <c r="AU2" s="8"/>
      <c r="AV2" s="8"/>
      <c r="AX2" s="142">
        <v>144</v>
      </c>
    </row>
    <row r="3" spans="1:50" s="4" customFormat="1" ht="45">
      <c r="A3" s="2" t="s">
        <v>1941</v>
      </c>
      <c r="B3" s="27" t="s">
        <v>1755</v>
      </c>
      <c r="C3" s="31">
        <v>303</v>
      </c>
      <c r="D3" s="31">
        <v>544</v>
      </c>
      <c r="E3" s="32">
        <v>0.59444444444444444</v>
      </c>
      <c r="F3" s="32">
        <v>0.59722222222222221</v>
      </c>
      <c r="G3" s="31" t="s">
        <v>1942</v>
      </c>
      <c r="H3" s="31" t="s">
        <v>97</v>
      </c>
      <c r="I3" s="33">
        <v>3.2</v>
      </c>
      <c r="J3" s="34">
        <v>14</v>
      </c>
      <c r="K3" s="35">
        <f>208-91</f>
        <v>117</v>
      </c>
      <c r="L3" s="36">
        <f>+K3*I3</f>
        <v>374.40000000000003</v>
      </c>
      <c r="M3" s="37" t="s">
        <v>749</v>
      </c>
      <c r="N3" s="23" t="s">
        <v>824</v>
      </c>
      <c r="O3" s="23">
        <v>15</v>
      </c>
      <c r="P3" s="23" t="s">
        <v>1798</v>
      </c>
      <c r="Q3" s="23">
        <v>9</v>
      </c>
      <c r="R3" s="23" t="s">
        <v>1177</v>
      </c>
      <c r="S3" s="24">
        <v>9</v>
      </c>
      <c r="T3" s="7">
        <v>3890</v>
      </c>
      <c r="U3" s="7" t="s">
        <v>1945</v>
      </c>
      <c r="V3" s="9" t="s">
        <v>1943</v>
      </c>
      <c r="W3" s="7" t="s">
        <v>1944</v>
      </c>
      <c r="X3" s="17">
        <v>44942</v>
      </c>
      <c r="Y3" s="17"/>
      <c r="Z3" s="17"/>
      <c r="AA3" s="17"/>
      <c r="AB3" s="7" t="s">
        <v>1046</v>
      </c>
      <c r="AC3" s="8"/>
      <c r="AD3" s="8"/>
      <c r="AE3" s="8"/>
      <c r="AF3" s="8" t="s">
        <v>726</v>
      </c>
      <c r="AG3" s="8" t="s">
        <v>726</v>
      </c>
      <c r="AH3" s="8" t="s">
        <v>726</v>
      </c>
      <c r="AI3" s="8" t="s">
        <v>726</v>
      </c>
      <c r="AJ3" s="8" t="s">
        <v>726</v>
      </c>
      <c r="AK3" s="8" t="s">
        <v>726</v>
      </c>
      <c r="AL3" s="8" t="s">
        <v>726</v>
      </c>
      <c r="AM3" s="8"/>
      <c r="AN3" s="8"/>
      <c r="AO3" s="8"/>
      <c r="AP3" s="8"/>
      <c r="AQ3" s="8"/>
      <c r="AR3" s="8"/>
      <c r="AS3" s="8"/>
      <c r="AT3" s="8"/>
      <c r="AU3" s="8"/>
      <c r="AV3" s="8"/>
      <c r="AX3" s="142">
        <v>9.6000000000000014</v>
      </c>
    </row>
    <row r="4" spans="1:50" s="4" customFormat="1" ht="33.75">
      <c r="A4" s="2" t="s">
        <v>1937</v>
      </c>
      <c r="B4" s="27" t="s">
        <v>1755</v>
      </c>
      <c r="C4" s="31">
        <v>102</v>
      </c>
      <c r="D4" s="34">
        <v>185</v>
      </c>
      <c r="E4" s="32">
        <v>0.65625</v>
      </c>
      <c r="F4" s="32">
        <v>0.66180555555555554</v>
      </c>
      <c r="G4" s="31" t="s">
        <v>1938</v>
      </c>
      <c r="H4" s="31" t="s">
        <v>194</v>
      </c>
      <c r="I4" s="33">
        <v>0.5</v>
      </c>
      <c r="J4" s="34" t="s">
        <v>254</v>
      </c>
      <c r="K4" s="35">
        <f>34+34+36+33-65</f>
        <v>72</v>
      </c>
      <c r="L4" s="36">
        <f>+K4*I4</f>
        <v>36</v>
      </c>
      <c r="M4" s="37" t="s">
        <v>717</v>
      </c>
      <c r="N4" s="23" t="s">
        <v>968</v>
      </c>
      <c r="O4" s="49">
        <v>46</v>
      </c>
      <c r="P4" s="23" t="s">
        <v>887</v>
      </c>
      <c r="Q4" s="49">
        <v>47</v>
      </c>
      <c r="R4" s="2"/>
      <c r="S4" s="49"/>
      <c r="T4" s="7">
        <v>1190</v>
      </c>
      <c r="U4" s="7" t="s">
        <v>1301</v>
      </c>
      <c r="V4" s="7" t="s">
        <v>1939</v>
      </c>
      <c r="W4" s="7" t="s">
        <v>1940</v>
      </c>
      <c r="X4" s="17">
        <v>44949</v>
      </c>
      <c r="Y4" s="17"/>
      <c r="Z4" s="17"/>
      <c r="AA4" s="17"/>
      <c r="AB4" s="7" t="s">
        <v>1045</v>
      </c>
      <c r="AC4" s="8"/>
      <c r="AD4" s="8"/>
      <c r="AE4" s="8"/>
      <c r="AF4" s="8" t="s">
        <v>726</v>
      </c>
      <c r="AG4" s="8" t="s">
        <v>726</v>
      </c>
      <c r="AH4" s="8" t="s">
        <v>726</v>
      </c>
      <c r="AI4" s="8" t="s">
        <v>726</v>
      </c>
      <c r="AJ4" s="8" t="s">
        <v>726</v>
      </c>
      <c r="AK4" s="8"/>
      <c r="AL4" s="8"/>
      <c r="AM4" s="8"/>
      <c r="AN4" s="8"/>
      <c r="AO4" s="8"/>
      <c r="AP4" s="8"/>
      <c r="AQ4" s="8"/>
      <c r="AR4" s="8"/>
      <c r="AS4" s="8"/>
      <c r="AT4" s="8"/>
      <c r="AU4" s="8"/>
      <c r="AV4" s="8"/>
      <c r="AX4" s="142">
        <v>1.5</v>
      </c>
    </row>
    <row r="5" spans="1:50" s="4" customFormat="1" ht="38.25">
      <c r="A5" s="2" t="s">
        <v>1900</v>
      </c>
      <c r="B5" s="27" t="s">
        <v>1755</v>
      </c>
      <c r="C5" s="31">
        <v>620</v>
      </c>
      <c r="D5" s="31">
        <v>230</v>
      </c>
      <c r="E5" s="42">
        <v>0.25972222222222224</v>
      </c>
      <c r="F5" s="32">
        <v>0.2902777777777778</v>
      </c>
      <c r="G5" s="31" t="s">
        <v>1901</v>
      </c>
      <c r="H5" s="31" t="s">
        <v>103</v>
      </c>
      <c r="I5" s="33">
        <f>21.6-18</f>
        <v>3.6000000000000014</v>
      </c>
      <c r="J5" s="34" t="s">
        <v>93</v>
      </c>
      <c r="K5" s="35">
        <v>174</v>
      </c>
      <c r="L5" s="36">
        <f>+K5*I5</f>
        <v>626.4000000000002</v>
      </c>
      <c r="M5" s="37" t="s">
        <v>741</v>
      </c>
      <c r="N5" s="49" t="s">
        <v>850</v>
      </c>
      <c r="O5" s="23">
        <v>23</v>
      </c>
      <c r="P5" s="23" t="s">
        <v>1192</v>
      </c>
      <c r="Q5" s="23">
        <v>21</v>
      </c>
      <c r="R5" s="2"/>
      <c r="S5" s="23"/>
      <c r="T5" s="7">
        <v>6144</v>
      </c>
      <c r="U5" s="7" t="s">
        <v>1631</v>
      </c>
      <c r="V5" s="7">
        <v>6146</v>
      </c>
      <c r="W5" s="7" t="s">
        <v>1630</v>
      </c>
      <c r="X5" s="18"/>
      <c r="Y5" s="17"/>
      <c r="Z5" s="17"/>
      <c r="AA5" s="17"/>
      <c r="AB5" s="7" t="s">
        <v>1042</v>
      </c>
      <c r="AC5" s="8"/>
      <c r="AD5" s="8"/>
      <c r="AE5" s="8"/>
      <c r="AF5" s="8" t="s">
        <v>726</v>
      </c>
      <c r="AG5" s="8" t="s">
        <v>726</v>
      </c>
      <c r="AH5" s="8" t="s">
        <v>726</v>
      </c>
      <c r="AI5" s="8" t="s">
        <v>726</v>
      </c>
      <c r="AJ5" s="8" t="s">
        <v>726</v>
      </c>
      <c r="AK5" s="8" t="s">
        <v>726</v>
      </c>
      <c r="AL5" s="8"/>
      <c r="AM5" s="8"/>
      <c r="AN5" s="8"/>
      <c r="AO5" s="8"/>
      <c r="AP5" s="8"/>
      <c r="AQ5" s="8"/>
      <c r="AR5" s="8"/>
      <c r="AS5" s="8"/>
      <c r="AT5" s="8"/>
      <c r="AU5" s="8"/>
      <c r="AV5" s="8"/>
      <c r="AX5" s="142">
        <v>10.800000000000004</v>
      </c>
    </row>
    <row r="6" spans="1:50" s="4" customFormat="1" ht="38.25">
      <c r="A6" s="2" t="s">
        <v>1752</v>
      </c>
      <c r="B6" s="27" t="s">
        <v>1755</v>
      </c>
      <c r="C6" s="31">
        <v>336</v>
      </c>
      <c r="D6" s="34">
        <v>794</v>
      </c>
      <c r="E6" s="32">
        <v>0.59027777777777779</v>
      </c>
      <c r="F6" s="32">
        <v>0.60416666666666663</v>
      </c>
      <c r="G6" s="31" t="s">
        <v>1038</v>
      </c>
      <c r="H6" s="31" t="s">
        <v>97</v>
      </c>
      <c r="I6" s="33">
        <v>1.8</v>
      </c>
      <c r="J6" s="34" t="s">
        <v>116</v>
      </c>
      <c r="K6" s="35">
        <v>208</v>
      </c>
      <c r="L6" s="36">
        <f>+K6*I6</f>
        <v>374.40000000000003</v>
      </c>
      <c r="M6" s="37" t="s">
        <v>760</v>
      </c>
      <c r="N6" s="23" t="s">
        <v>908</v>
      </c>
      <c r="O6" s="23">
        <v>9</v>
      </c>
      <c r="P6" s="23" t="s">
        <v>1182</v>
      </c>
      <c r="Q6" s="23">
        <v>9</v>
      </c>
      <c r="R6" s="23" t="s">
        <v>1183</v>
      </c>
      <c r="S6" s="24">
        <v>9</v>
      </c>
      <c r="T6" s="7" t="s">
        <v>1559</v>
      </c>
      <c r="U6" s="7" t="s">
        <v>1560</v>
      </c>
      <c r="V6" s="7" t="s">
        <v>1570</v>
      </c>
      <c r="W6" s="7" t="s">
        <v>1571</v>
      </c>
      <c r="X6" s="18"/>
      <c r="Y6" s="17"/>
      <c r="Z6" s="17"/>
      <c r="AA6" s="17"/>
      <c r="AB6" s="7" t="s">
        <v>1046</v>
      </c>
      <c r="AC6" s="8"/>
      <c r="AD6" s="8"/>
      <c r="AE6" s="8"/>
      <c r="AF6" s="8" t="s">
        <v>726</v>
      </c>
      <c r="AG6" s="8" t="s">
        <v>726</v>
      </c>
      <c r="AH6" s="8" t="s">
        <v>726</v>
      </c>
      <c r="AI6" s="8" t="s">
        <v>726</v>
      </c>
      <c r="AJ6" s="8" t="s">
        <v>726</v>
      </c>
      <c r="AK6" s="8" t="s">
        <v>726</v>
      </c>
      <c r="AL6" s="8" t="s">
        <v>726</v>
      </c>
      <c r="AM6" s="8"/>
      <c r="AN6" s="8"/>
      <c r="AO6" s="8"/>
      <c r="AP6" s="8"/>
      <c r="AQ6" s="8"/>
      <c r="AR6" s="8"/>
      <c r="AS6" s="8"/>
      <c r="AT6" s="8"/>
      <c r="AU6" s="8"/>
      <c r="AV6" s="8"/>
      <c r="AX6" s="142">
        <v>5.4</v>
      </c>
    </row>
    <row r="7" spans="1:50" s="4" customFormat="1" ht="38.25">
      <c r="A7" s="2" t="s">
        <v>1753</v>
      </c>
      <c r="B7" s="27" t="s">
        <v>1755</v>
      </c>
      <c r="C7" s="31">
        <v>215</v>
      </c>
      <c r="D7" s="31">
        <v>127</v>
      </c>
      <c r="E7" s="69">
        <v>0.28541666666666665</v>
      </c>
      <c r="F7" s="69">
        <v>0.29166666666666669</v>
      </c>
      <c r="G7" s="57" t="s">
        <v>1110</v>
      </c>
      <c r="H7" s="68" t="s">
        <v>103</v>
      </c>
      <c r="I7" s="55">
        <f>29.7-26.5</f>
        <v>3.1999999999999993</v>
      </c>
      <c r="J7" s="34" t="s">
        <v>101</v>
      </c>
      <c r="K7" s="35">
        <v>174</v>
      </c>
      <c r="L7" s="36">
        <f>+K7*I7</f>
        <v>556.79999999999984</v>
      </c>
      <c r="M7" s="37" t="s">
        <v>742</v>
      </c>
      <c r="N7" s="23" t="s">
        <v>826</v>
      </c>
      <c r="O7" s="23">
        <v>57</v>
      </c>
      <c r="P7" s="23" t="s">
        <v>1837</v>
      </c>
      <c r="Q7" s="23">
        <v>60</v>
      </c>
      <c r="R7" s="23" t="s">
        <v>1844</v>
      </c>
      <c r="S7" s="23">
        <v>57</v>
      </c>
      <c r="T7" s="7" t="s">
        <v>1727</v>
      </c>
      <c r="U7" s="7" t="s">
        <v>1728</v>
      </c>
      <c r="V7" s="7" t="s">
        <v>1469</v>
      </c>
      <c r="W7" s="7" t="s">
        <v>1470</v>
      </c>
      <c r="X7" s="18"/>
      <c r="Y7" s="17"/>
      <c r="Z7" s="17"/>
      <c r="AA7" s="17"/>
      <c r="AB7" s="7" t="s">
        <v>1042</v>
      </c>
      <c r="AC7" s="8"/>
      <c r="AD7" s="8"/>
      <c r="AE7" s="8"/>
      <c r="AF7" s="8" t="s">
        <v>726</v>
      </c>
      <c r="AG7" s="8" t="s">
        <v>726</v>
      </c>
      <c r="AH7" s="8" t="s">
        <v>726</v>
      </c>
      <c r="AI7" s="8" t="s">
        <v>726</v>
      </c>
      <c r="AJ7" s="8" t="s">
        <v>726</v>
      </c>
      <c r="AK7" s="8" t="s">
        <v>726</v>
      </c>
      <c r="AL7" s="8"/>
      <c r="AM7" s="8"/>
      <c r="AN7" s="8"/>
      <c r="AO7" s="8"/>
      <c r="AP7" s="8"/>
      <c r="AQ7" s="8"/>
      <c r="AR7" s="8"/>
      <c r="AS7" s="8"/>
      <c r="AT7" s="8"/>
      <c r="AU7" s="8"/>
      <c r="AV7" s="8"/>
      <c r="AX7" s="142">
        <v>9.5999999999999979</v>
      </c>
    </row>
    <row r="8" spans="1:50" s="4" customFormat="1" ht="38.25">
      <c r="A8" s="2" t="s">
        <v>1764</v>
      </c>
      <c r="B8" s="27" t="s">
        <v>1755</v>
      </c>
      <c r="C8" s="31">
        <v>102</v>
      </c>
      <c r="D8" s="34">
        <v>185</v>
      </c>
      <c r="E8" s="32">
        <v>0.65972222222222221</v>
      </c>
      <c r="F8" s="32">
        <v>0.72291666666666676</v>
      </c>
      <c r="G8" s="31" t="s">
        <v>1761</v>
      </c>
      <c r="H8" s="31" t="s">
        <v>194</v>
      </c>
      <c r="I8" s="33">
        <v>3.5</v>
      </c>
      <c r="J8" s="34" t="s">
        <v>254</v>
      </c>
      <c r="K8" s="35">
        <f>34+34+36+33-12</f>
        <v>125</v>
      </c>
      <c r="L8" s="36">
        <f>+K8*I8</f>
        <v>437.5</v>
      </c>
      <c r="M8" s="37" t="s">
        <v>717</v>
      </c>
      <c r="N8" s="23" t="s">
        <v>968</v>
      </c>
      <c r="O8" s="49">
        <v>46</v>
      </c>
      <c r="P8" s="23" t="s">
        <v>887</v>
      </c>
      <c r="Q8" s="49">
        <v>47</v>
      </c>
      <c r="R8" s="2"/>
      <c r="S8" s="2"/>
      <c r="T8" s="7" t="s">
        <v>1762</v>
      </c>
      <c r="U8" s="7" t="s">
        <v>1763</v>
      </c>
      <c r="V8" s="7" t="s">
        <v>1762</v>
      </c>
      <c r="W8" s="7" t="s">
        <v>1763</v>
      </c>
      <c r="X8" s="17">
        <v>44837</v>
      </c>
      <c r="Y8" s="17"/>
      <c r="Z8" s="17"/>
      <c r="AA8" s="17"/>
      <c r="AB8" s="7" t="s">
        <v>1045</v>
      </c>
      <c r="AC8" s="8"/>
      <c r="AD8" s="8"/>
      <c r="AE8" s="8"/>
      <c r="AF8" s="8" t="s">
        <v>726</v>
      </c>
      <c r="AG8" s="8" t="s">
        <v>726</v>
      </c>
      <c r="AH8" s="8" t="s">
        <v>726</v>
      </c>
      <c r="AI8" s="8" t="s">
        <v>726</v>
      </c>
      <c r="AJ8" s="8" t="s">
        <v>726</v>
      </c>
      <c r="AK8" s="8"/>
      <c r="AL8" s="8"/>
      <c r="AM8" s="8"/>
      <c r="AN8" s="8"/>
      <c r="AO8" s="8"/>
      <c r="AP8" s="8"/>
      <c r="AQ8" s="8"/>
      <c r="AR8" s="8"/>
      <c r="AS8" s="8"/>
      <c r="AT8" s="8"/>
      <c r="AU8" s="8"/>
      <c r="AV8" s="8"/>
      <c r="AX8" s="142">
        <v>10.5</v>
      </c>
    </row>
    <row r="9" spans="1:50" s="4" customFormat="1" ht="45">
      <c r="A9" s="2" t="s">
        <v>1897</v>
      </c>
      <c r="B9" s="27" t="s">
        <v>1755</v>
      </c>
      <c r="C9" s="31">
        <v>625</v>
      </c>
      <c r="D9" s="31">
        <v>581</v>
      </c>
      <c r="E9" s="42">
        <v>0.29791666666666666</v>
      </c>
      <c r="F9" s="32">
        <v>0.3</v>
      </c>
      <c r="G9" s="31" t="s">
        <v>1139</v>
      </c>
      <c r="H9" s="31" t="s">
        <v>103</v>
      </c>
      <c r="I9" s="33">
        <v>1.5</v>
      </c>
      <c r="J9" s="34" t="s">
        <v>127</v>
      </c>
      <c r="K9" s="35">
        <v>174</v>
      </c>
      <c r="L9" s="36">
        <f>+K9*I9</f>
        <v>261</v>
      </c>
      <c r="M9" s="37" t="s">
        <v>1138</v>
      </c>
      <c r="N9" s="23" t="s">
        <v>946</v>
      </c>
      <c r="O9" s="23">
        <v>43</v>
      </c>
      <c r="P9" s="23" t="s">
        <v>1199</v>
      </c>
      <c r="Q9" s="23">
        <v>54</v>
      </c>
      <c r="R9" s="23" t="s">
        <v>1200</v>
      </c>
      <c r="S9" s="24">
        <v>55</v>
      </c>
      <c r="T9" s="7" t="s">
        <v>1642</v>
      </c>
      <c r="U9" s="7" t="s">
        <v>1643</v>
      </c>
      <c r="V9" s="7" t="s">
        <v>1642</v>
      </c>
      <c r="W9" s="7" t="s">
        <v>1643</v>
      </c>
      <c r="X9" s="17">
        <v>44867</v>
      </c>
      <c r="Y9" s="17"/>
      <c r="Z9" s="17"/>
      <c r="AA9" s="17"/>
      <c r="AB9" s="7" t="s">
        <v>1042</v>
      </c>
      <c r="AC9" s="8"/>
      <c r="AD9" s="8"/>
      <c r="AE9" s="8"/>
      <c r="AF9" s="8" t="s">
        <v>726</v>
      </c>
      <c r="AG9" s="8" t="s">
        <v>726</v>
      </c>
      <c r="AH9" s="8" t="s">
        <v>726</v>
      </c>
      <c r="AI9" s="8" t="s">
        <v>726</v>
      </c>
      <c r="AJ9" s="8" t="s">
        <v>726</v>
      </c>
      <c r="AK9" s="8" t="s">
        <v>726</v>
      </c>
      <c r="AL9" s="8"/>
      <c r="AM9" s="8"/>
      <c r="AN9" s="8"/>
      <c r="AO9" s="8"/>
      <c r="AP9" s="8"/>
      <c r="AQ9" s="8"/>
      <c r="AR9" s="8"/>
      <c r="AS9" s="8"/>
      <c r="AT9" s="8"/>
      <c r="AU9" s="8"/>
      <c r="AV9" s="8"/>
      <c r="AX9" s="142">
        <v>4.5</v>
      </c>
    </row>
    <row r="10" spans="1:50" s="4" customFormat="1" ht="25.5">
      <c r="A10" s="2" t="s">
        <v>1769</v>
      </c>
      <c r="B10" s="27" t="s">
        <v>1755</v>
      </c>
      <c r="C10" s="31">
        <v>101</v>
      </c>
      <c r="D10" s="31">
        <v>656</v>
      </c>
      <c r="E10" s="32">
        <v>0.29375000000000001</v>
      </c>
      <c r="F10" s="32">
        <v>0.2986111111111111</v>
      </c>
      <c r="G10" s="31" t="s">
        <v>1770</v>
      </c>
      <c r="H10" s="31" t="s">
        <v>97</v>
      </c>
      <c r="I10" s="33">
        <v>2.1</v>
      </c>
      <c r="J10" s="34" t="s">
        <v>125</v>
      </c>
      <c r="K10" s="35">
        <f>208-17-9</f>
        <v>182</v>
      </c>
      <c r="L10" s="36">
        <f>+K10*I10</f>
        <v>382.2</v>
      </c>
      <c r="M10" s="37" t="s">
        <v>714</v>
      </c>
      <c r="N10" s="23" t="s">
        <v>1010</v>
      </c>
      <c r="O10" s="23">
        <v>17</v>
      </c>
      <c r="P10" s="23" t="s">
        <v>1832</v>
      </c>
      <c r="Q10" s="23">
        <v>24</v>
      </c>
      <c r="R10" s="23" t="s">
        <v>1853</v>
      </c>
      <c r="S10" s="24">
        <v>9</v>
      </c>
      <c r="T10" s="13"/>
      <c r="U10" s="7" t="s">
        <v>1771</v>
      </c>
      <c r="V10" s="7" t="s">
        <v>1284</v>
      </c>
      <c r="W10" s="7" t="s">
        <v>1285</v>
      </c>
      <c r="X10" s="17">
        <v>44846</v>
      </c>
      <c r="Y10" s="17"/>
      <c r="AB10" s="7" t="s">
        <v>1046</v>
      </c>
      <c r="AC10" s="8"/>
      <c r="AD10" s="8"/>
      <c r="AE10" s="8"/>
      <c r="AF10" s="8" t="s">
        <v>726</v>
      </c>
      <c r="AG10" s="8" t="s">
        <v>726</v>
      </c>
      <c r="AH10" s="8" t="s">
        <v>726</v>
      </c>
      <c r="AI10" s="8" t="s">
        <v>726</v>
      </c>
      <c r="AJ10" s="8" t="s">
        <v>726</v>
      </c>
      <c r="AK10" s="8" t="s">
        <v>726</v>
      </c>
      <c r="AL10" s="8" t="s">
        <v>726</v>
      </c>
      <c r="AX10" s="142">
        <v>6.3000000000000007</v>
      </c>
    </row>
  </sheetData>
  <conditionalFormatting sqref="S2">
    <cfRule type="expression" dxfId="180" priority="29">
      <formula>S2=#REF!</formula>
    </cfRule>
  </conditionalFormatting>
  <conditionalFormatting sqref="N2:Q2">
    <cfRule type="expression" dxfId="179" priority="28">
      <formula>N2=#REF!</formula>
    </cfRule>
  </conditionalFormatting>
  <conditionalFormatting sqref="N2:O2">
    <cfRule type="expression" dxfId="178" priority="27">
      <formula>N2=#REF!</formula>
    </cfRule>
  </conditionalFormatting>
  <conditionalFormatting sqref="Y3">
    <cfRule type="expression" dxfId="177" priority="26">
      <formula>Y3=#REF!</formula>
    </cfRule>
  </conditionalFormatting>
  <conditionalFormatting sqref="N4:Q4">
    <cfRule type="expression" dxfId="176" priority="25">
      <formula>N4=#REF!</formula>
    </cfRule>
  </conditionalFormatting>
  <conditionalFormatting sqref="X3 Z3:AA3">
    <cfRule type="expression" dxfId="175" priority="24">
      <formula>X3=#REF!</formula>
    </cfRule>
  </conditionalFormatting>
  <conditionalFormatting sqref="N3:O3 R3">
    <cfRule type="expression" dxfId="174" priority="22">
      <formula>N3=#REF!</formula>
    </cfRule>
  </conditionalFormatting>
  <conditionalFormatting sqref="P3:Q3">
    <cfRule type="expression" dxfId="173" priority="23">
      <formula>P3=#REF!</formula>
    </cfRule>
  </conditionalFormatting>
  <conditionalFormatting sqref="S3">
    <cfRule type="expression" dxfId="172" priority="21">
      <formula>S3=#REF!</formula>
    </cfRule>
  </conditionalFormatting>
  <conditionalFormatting sqref="Y5 Y6:AA7">
    <cfRule type="expression" dxfId="171" priority="20">
      <formula>Y5=#REF!</formula>
    </cfRule>
  </conditionalFormatting>
  <conditionalFormatting sqref="N7:O7 Q7">
    <cfRule type="expression" dxfId="170" priority="19">
      <formula>N7=#REF!</formula>
    </cfRule>
  </conditionalFormatting>
  <conditionalFormatting sqref="N6:Q6">
    <cfRule type="expression" dxfId="169" priority="18">
      <formula>N6=#REF!</formula>
    </cfRule>
  </conditionalFormatting>
  <conditionalFormatting sqref="X5:X7">
    <cfRule type="expression" dxfId="168" priority="17">
      <formula>X5=#REF!</formula>
    </cfRule>
  </conditionalFormatting>
  <conditionalFormatting sqref="S6">
    <cfRule type="expression" dxfId="167" priority="16">
      <formula>S6=#REF!</formula>
    </cfRule>
  </conditionalFormatting>
  <conditionalFormatting sqref="S7">
    <cfRule type="expression" dxfId="166" priority="15">
      <formula>S7=#REF!</formula>
    </cfRule>
  </conditionalFormatting>
  <conditionalFormatting sqref="P7 R7">
    <cfRule type="expression" dxfId="165" priority="14">
      <formula>P7=#REF!</formula>
    </cfRule>
  </conditionalFormatting>
  <conditionalFormatting sqref="AB5">
    <cfRule type="expression" dxfId="164" priority="13">
      <formula>AB5=#REF!</formula>
    </cfRule>
  </conditionalFormatting>
  <conditionalFormatting sqref="Z5:AA5">
    <cfRule type="expression" dxfId="163" priority="12">
      <formula>Z5=#REF!</formula>
    </cfRule>
  </conditionalFormatting>
  <conditionalFormatting sqref="S5">
    <cfRule type="expression" dxfId="162" priority="11">
      <formula>S5=#REF!</formula>
    </cfRule>
  </conditionalFormatting>
  <conditionalFormatting sqref="N5:R5">
    <cfRule type="expression" dxfId="161" priority="10">
      <formula>N5=#REF!</formula>
    </cfRule>
  </conditionalFormatting>
  <conditionalFormatting sqref="N8:Q8">
    <cfRule type="expression" dxfId="160" priority="9">
      <formula>N8=#REF!</formula>
    </cfRule>
  </conditionalFormatting>
  <conditionalFormatting sqref="AB8">
    <cfRule type="expression" dxfId="159" priority="8">
      <formula>AB8=#REF!</formula>
    </cfRule>
  </conditionalFormatting>
  <conditionalFormatting sqref="X8 Z8:AA8">
    <cfRule type="expression" dxfId="158" priority="7">
      <formula>X8=#REF!</formula>
    </cfRule>
  </conditionalFormatting>
  <conditionalFormatting sqref="Y8">
    <cfRule type="expression" dxfId="157" priority="6">
      <formula>Y8=#REF!</formula>
    </cfRule>
  </conditionalFormatting>
  <conditionalFormatting sqref="X9:AB9">
    <cfRule type="expression" dxfId="156" priority="5">
      <formula>X9=#REF!</formula>
    </cfRule>
  </conditionalFormatting>
  <conditionalFormatting sqref="N9:O9">
    <cfRule type="expression" dxfId="155" priority="4">
      <formula>N9=#REF!</formula>
    </cfRule>
  </conditionalFormatting>
  <conditionalFormatting sqref="S9">
    <cfRule type="expression" dxfId="154" priority="3">
      <formula>S9=#REF!</formula>
    </cfRule>
  </conditionalFormatting>
  <conditionalFormatting sqref="X10 N10:S10">
    <cfRule type="expression" dxfId="153" priority="2">
      <formula>N10=#REF!</formula>
    </cfRule>
  </conditionalFormatting>
  <conditionalFormatting sqref="Y10">
    <cfRule type="expression" dxfId="152" priority="1">
      <formula>Y10=#REF!</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CE22C-DA93-473F-B890-32783B019D96}">
  <dimension ref="A1:VRQ49"/>
  <sheetViews>
    <sheetView topLeftCell="A43" workbookViewId="0">
      <selection activeCell="F52" sqref="F52"/>
    </sheetView>
  </sheetViews>
  <sheetFormatPr defaultRowHeight="12.75"/>
  <cols>
    <col min="1" max="1" width="13.85546875" customWidth="1"/>
    <col min="7" max="7" width="27.28515625" customWidth="1"/>
    <col min="8" max="8" width="18.5703125" customWidth="1"/>
    <col min="13" max="13" width="13.28515625" customWidth="1"/>
    <col min="28" max="28" width="14.140625" customWidth="1"/>
  </cols>
  <sheetData>
    <row r="1" spans="1:48" s="22" customFormat="1" ht="38.25">
      <c r="A1" s="26" t="s">
        <v>92</v>
      </c>
      <c r="B1" s="27" t="s">
        <v>1103</v>
      </c>
      <c r="C1" s="28" t="s">
        <v>91</v>
      </c>
      <c r="D1" s="28" t="s">
        <v>96</v>
      </c>
      <c r="E1" s="28" t="s">
        <v>90</v>
      </c>
      <c r="F1" s="28" t="s">
        <v>89</v>
      </c>
      <c r="G1" s="28" t="s">
        <v>88</v>
      </c>
      <c r="H1" s="28" t="s">
        <v>95</v>
      </c>
      <c r="I1" s="29" t="s">
        <v>603</v>
      </c>
      <c r="J1" s="28" t="s">
        <v>94</v>
      </c>
      <c r="K1" s="28" t="s">
        <v>706</v>
      </c>
      <c r="L1" s="28" t="s">
        <v>707</v>
      </c>
      <c r="M1" s="28" t="s">
        <v>712</v>
      </c>
      <c r="N1" s="26" t="s">
        <v>817</v>
      </c>
      <c r="O1" s="26" t="s">
        <v>818</v>
      </c>
      <c r="P1" s="26" t="s">
        <v>1140</v>
      </c>
      <c r="Q1" s="26" t="s">
        <v>1141</v>
      </c>
      <c r="R1" s="26" t="s">
        <v>1142</v>
      </c>
      <c r="S1" s="26" t="s">
        <v>1734</v>
      </c>
      <c r="T1" s="21" t="s">
        <v>1222</v>
      </c>
      <c r="U1" s="20" t="s">
        <v>1223</v>
      </c>
      <c r="V1" s="21" t="s">
        <v>1224</v>
      </c>
      <c r="W1" s="20" t="s">
        <v>1225</v>
      </c>
      <c r="X1" s="19" t="s">
        <v>1730</v>
      </c>
      <c r="Y1" s="19" t="s">
        <v>1731</v>
      </c>
      <c r="Z1" s="19" t="s">
        <v>1732</v>
      </c>
      <c r="AA1" s="19" t="s">
        <v>1733</v>
      </c>
      <c r="AB1" s="146" t="s">
        <v>2139</v>
      </c>
      <c r="AC1" s="20" t="s">
        <v>795</v>
      </c>
      <c r="AD1" s="20" t="s">
        <v>796</v>
      </c>
      <c r="AE1" s="20" t="s">
        <v>806</v>
      </c>
      <c r="AF1" s="20" t="s">
        <v>807</v>
      </c>
      <c r="AG1" s="20" t="s">
        <v>797</v>
      </c>
      <c r="AH1" s="20" t="s">
        <v>798</v>
      </c>
      <c r="AI1" s="20" t="s">
        <v>799</v>
      </c>
      <c r="AJ1" s="20" t="s">
        <v>800</v>
      </c>
      <c r="AK1" s="20" t="s">
        <v>801</v>
      </c>
      <c r="AL1" s="20" t="s">
        <v>802</v>
      </c>
      <c r="AM1" s="20" t="s">
        <v>803</v>
      </c>
      <c r="AN1" s="20" t="s">
        <v>804</v>
      </c>
      <c r="AO1" s="20" t="s">
        <v>816</v>
      </c>
      <c r="AP1" s="20" t="s">
        <v>805</v>
      </c>
      <c r="AQ1" s="20" t="s">
        <v>810</v>
      </c>
      <c r="AR1" s="20" t="s">
        <v>811</v>
      </c>
      <c r="AS1" s="20" t="s">
        <v>812</v>
      </c>
      <c r="AT1" s="20" t="s">
        <v>813</v>
      </c>
      <c r="AU1" s="20" t="s">
        <v>814</v>
      </c>
      <c r="AV1" s="20" t="s">
        <v>815</v>
      </c>
    </row>
    <row r="2" spans="1:48" s="4" customFormat="1" ht="67.5">
      <c r="A2" s="83" t="s">
        <v>1768</v>
      </c>
      <c r="B2" s="84" t="s">
        <v>1755</v>
      </c>
      <c r="C2" s="85">
        <v>211</v>
      </c>
      <c r="D2" s="85">
        <v>8</v>
      </c>
      <c r="E2" s="86">
        <v>0.26944444444444443</v>
      </c>
      <c r="F2" s="86">
        <v>0.28472222222222221</v>
      </c>
      <c r="G2" s="85" t="s">
        <v>1035</v>
      </c>
      <c r="H2" s="85" t="s">
        <v>103</v>
      </c>
      <c r="I2" s="85">
        <v>1.3</v>
      </c>
      <c r="J2" s="88" t="s">
        <v>99</v>
      </c>
      <c r="K2" s="89">
        <v>15</v>
      </c>
      <c r="L2" s="90">
        <f t="shared" ref="L2:L49" si="0">+K2*I2</f>
        <v>19.5</v>
      </c>
      <c r="M2" s="91" t="s">
        <v>743</v>
      </c>
      <c r="N2" s="104" t="s">
        <v>862</v>
      </c>
      <c r="O2" s="104">
        <v>23</v>
      </c>
      <c r="P2" s="104" t="s">
        <v>1170</v>
      </c>
      <c r="Q2" s="104">
        <v>9</v>
      </c>
      <c r="R2" s="83"/>
      <c r="S2" s="83"/>
      <c r="T2" s="95" t="s">
        <v>1432</v>
      </c>
      <c r="U2" s="95" t="s">
        <v>1433</v>
      </c>
      <c r="V2" s="95" t="s">
        <v>1434</v>
      </c>
      <c r="W2" s="95" t="s">
        <v>1435</v>
      </c>
      <c r="X2" s="107">
        <v>44816</v>
      </c>
      <c r="Y2" s="105">
        <v>44834</v>
      </c>
      <c r="Z2" s="105"/>
      <c r="AA2" s="105"/>
      <c r="AB2" s="95" t="s">
        <v>1042</v>
      </c>
      <c r="AC2" s="106"/>
      <c r="AD2" s="106"/>
      <c r="AE2" s="106"/>
      <c r="AF2" s="106" t="s">
        <v>726</v>
      </c>
      <c r="AG2" s="106" t="s">
        <v>726</v>
      </c>
      <c r="AH2" s="106" t="s">
        <v>726</v>
      </c>
      <c r="AI2" s="106" t="s">
        <v>726</v>
      </c>
      <c r="AJ2" s="106" t="s">
        <v>726</v>
      </c>
      <c r="AK2" s="106" t="s">
        <v>726</v>
      </c>
      <c r="AL2" s="106"/>
      <c r="AM2" s="106"/>
      <c r="AN2" s="106"/>
      <c r="AO2" s="106"/>
      <c r="AP2" s="106"/>
      <c r="AQ2" s="106"/>
      <c r="AR2" s="106"/>
      <c r="AS2" s="106"/>
      <c r="AT2" s="106"/>
      <c r="AU2" s="106"/>
      <c r="AV2" s="106"/>
    </row>
    <row r="3" spans="1:48" s="4" customFormat="1" ht="45">
      <c r="A3" s="83" t="s">
        <v>2104</v>
      </c>
      <c r="B3" s="84" t="s">
        <v>1755</v>
      </c>
      <c r="C3" s="85">
        <v>615</v>
      </c>
      <c r="D3" s="85">
        <v>524</v>
      </c>
      <c r="E3" s="86">
        <v>0.57847222222222217</v>
      </c>
      <c r="F3" s="86">
        <v>0.59375</v>
      </c>
      <c r="G3" s="85" t="s">
        <v>1919</v>
      </c>
      <c r="H3" s="85" t="s">
        <v>1069</v>
      </c>
      <c r="I3" s="87">
        <v>6</v>
      </c>
      <c r="J3" s="88">
        <v>19</v>
      </c>
      <c r="K3" s="94">
        <v>10</v>
      </c>
      <c r="L3" s="90">
        <f t="shared" si="0"/>
        <v>60</v>
      </c>
      <c r="M3" s="91" t="s">
        <v>729</v>
      </c>
      <c r="N3" s="104" t="s">
        <v>895</v>
      </c>
      <c r="O3" s="104">
        <v>24</v>
      </c>
      <c r="P3" s="104" t="s">
        <v>896</v>
      </c>
      <c r="Q3" s="104">
        <v>21</v>
      </c>
      <c r="R3" s="104"/>
      <c r="S3" s="108"/>
      <c r="T3" s="95" t="s">
        <v>1628</v>
      </c>
      <c r="U3" s="95" t="s">
        <v>1629</v>
      </c>
      <c r="V3" s="95" t="s">
        <v>1625</v>
      </c>
      <c r="W3" s="95" t="s">
        <v>1626</v>
      </c>
      <c r="X3" s="105">
        <v>44882</v>
      </c>
      <c r="Y3" s="105">
        <v>44904</v>
      </c>
      <c r="Z3" s="107">
        <v>45012</v>
      </c>
      <c r="AA3" s="107">
        <v>45016</v>
      </c>
      <c r="AB3" s="95" t="s">
        <v>1069</v>
      </c>
      <c r="AC3" s="106"/>
      <c r="AD3" s="106"/>
      <c r="AE3" s="106"/>
      <c r="AF3" s="106"/>
      <c r="AG3" s="106"/>
      <c r="AH3" s="106"/>
      <c r="AI3" s="106"/>
      <c r="AJ3" s="106"/>
      <c r="AK3" s="106"/>
      <c r="AL3" s="106"/>
      <c r="AM3" s="93"/>
      <c r="AN3" s="93"/>
      <c r="AO3" s="93"/>
      <c r="AP3" s="93"/>
      <c r="AQ3" s="93"/>
      <c r="AR3" s="93"/>
      <c r="AS3" s="93"/>
      <c r="AT3" s="93"/>
      <c r="AU3" s="93"/>
      <c r="AV3" s="93"/>
    </row>
    <row r="4" spans="1:48" s="4" customFormat="1" ht="45">
      <c r="A4" s="83" t="s">
        <v>2104</v>
      </c>
      <c r="B4" s="84" t="s">
        <v>1755</v>
      </c>
      <c r="C4" s="85">
        <v>615</v>
      </c>
      <c r="D4" s="85">
        <v>524</v>
      </c>
      <c r="E4" s="86">
        <v>0.57847222222222217</v>
      </c>
      <c r="F4" s="86">
        <v>0.59027777777777779</v>
      </c>
      <c r="G4" s="85" t="s">
        <v>522</v>
      </c>
      <c r="H4" s="85" t="s">
        <v>1061</v>
      </c>
      <c r="I4" s="87">
        <v>8.6</v>
      </c>
      <c r="J4" s="88">
        <v>19</v>
      </c>
      <c r="K4" s="94">
        <v>6</v>
      </c>
      <c r="L4" s="90">
        <f t="shared" si="0"/>
        <v>51.599999999999994</v>
      </c>
      <c r="M4" s="91" t="s">
        <v>729</v>
      </c>
      <c r="N4" s="104" t="s">
        <v>895</v>
      </c>
      <c r="O4" s="104">
        <v>24</v>
      </c>
      <c r="P4" s="104" t="s">
        <v>896</v>
      </c>
      <c r="Q4" s="104">
        <v>21</v>
      </c>
      <c r="R4" s="104"/>
      <c r="S4" s="108"/>
      <c r="T4" s="95" t="s">
        <v>1628</v>
      </c>
      <c r="U4" s="95" t="s">
        <v>1629</v>
      </c>
      <c r="V4" s="95">
        <v>6127</v>
      </c>
      <c r="W4" s="95" t="s">
        <v>1627</v>
      </c>
      <c r="X4" s="105">
        <v>44882</v>
      </c>
      <c r="Y4" s="105">
        <v>44904</v>
      </c>
      <c r="Z4" s="107">
        <v>45012</v>
      </c>
      <c r="AA4" s="107">
        <v>45016</v>
      </c>
      <c r="AB4" s="95" t="s">
        <v>1061</v>
      </c>
      <c r="AC4" s="106"/>
      <c r="AD4" s="106"/>
      <c r="AE4" s="106"/>
      <c r="AF4" s="106"/>
      <c r="AG4" s="106"/>
      <c r="AH4" s="106"/>
      <c r="AI4" s="106"/>
      <c r="AJ4" s="106"/>
      <c r="AK4" s="106"/>
      <c r="AL4" s="106"/>
      <c r="AM4" s="93"/>
      <c r="AN4" s="93"/>
      <c r="AO4" s="93"/>
      <c r="AP4" s="93"/>
      <c r="AQ4" s="93"/>
      <c r="AR4" s="93"/>
      <c r="AS4" s="93"/>
      <c r="AT4" s="93"/>
      <c r="AU4" s="93"/>
      <c r="AV4" s="93"/>
    </row>
    <row r="5" spans="1:48" s="4" customFormat="1" ht="45">
      <c r="A5" s="83" t="s">
        <v>2104</v>
      </c>
      <c r="B5" s="84" t="s">
        <v>1755</v>
      </c>
      <c r="C5" s="85">
        <v>615</v>
      </c>
      <c r="D5" s="85">
        <v>522</v>
      </c>
      <c r="E5" s="86">
        <v>0.71527777777777779</v>
      </c>
      <c r="F5" s="86">
        <v>0.72916666666666663</v>
      </c>
      <c r="G5" s="85" t="s">
        <v>47</v>
      </c>
      <c r="H5" s="85" t="s">
        <v>103</v>
      </c>
      <c r="I5" s="87">
        <v>7.7</v>
      </c>
      <c r="J5" s="88">
        <v>19</v>
      </c>
      <c r="K5" s="94">
        <v>16</v>
      </c>
      <c r="L5" s="90">
        <f t="shared" si="0"/>
        <v>123.2</v>
      </c>
      <c r="M5" s="91" t="s">
        <v>729</v>
      </c>
      <c r="N5" s="104" t="s">
        <v>895</v>
      </c>
      <c r="O5" s="104">
        <v>24</v>
      </c>
      <c r="P5" s="104" t="s">
        <v>1838</v>
      </c>
      <c r="Q5" s="104">
        <v>24</v>
      </c>
      <c r="R5" s="104"/>
      <c r="S5" s="108"/>
      <c r="T5" s="95">
        <v>6120</v>
      </c>
      <c r="U5" s="95" t="s">
        <v>1238</v>
      </c>
      <c r="V5" s="95">
        <v>6127</v>
      </c>
      <c r="W5" s="95" t="s">
        <v>1627</v>
      </c>
      <c r="X5" s="105">
        <v>44882</v>
      </c>
      <c r="Y5" s="105">
        <v>44904</v>
      </c>
      <c r="Z5" s="107">
        <v>45012</v>
      </c>
      <c r="AA5" s="107">
        <v>45016</v>
      </c>
      <c r="AB5" s="95" t="s">
        <v>1042</v>
      </c>
      <c r="AC5" s="106"/>
      <c r="AD5" s="106"/>
      <c r="AE5" s="106"/>
      <c r="AF5" s="106"/>
      <c r="AG5" s="106"/>
      <c r="AH5" s="106"/>
      <c r="AI5" s="106"/>
      <c r="AJ5" s="106"/>
      <c r="AK5" s="106"/>
      <c r="AL5" s="106"/>
      <c r="AM5" s="93"/>
      <c r="AN5" s="93"/>
      <c r="AO5" s="93"/>
      <c r="AP5" s="93"/>
      <c r="AQ5" s="93"/>
      <c r="AR5" s="93"/>
      <c r="AS5" s="93"/>
      <c r="AT5" s="93"/>
      <c r="AU5" s="93"/>
      <c r="AV5" s="93"/>
    </row>
    <row r="6" spans="1:48" s="4" customFormat="1" ht="45">
      <c r="A6" s="83" t="s">
        <v>2104</v>
      </c>
      <c r="B6" s="84" t="s">
        <v>1755</v>
      </c>
      <c r="C6" s="96">
        <v>615</v>
      </c>
      <c r="D6" s="96">
        <v>520</v>
      </c>
      <c r="E6" s="97">
        <v>0.75347222222222221</v>
      </c>
      <c r="F6" s="97">
        <v>0.78541666666666676</v>
      </c>
      <c r="G6" s="98" t="s">
        <v>1920</v>
      </c>
      <c r="H6" s="85" t="s">
        <v>477</v>
      </c>
      <c r="I6" s="87">
        <v>5.2</v>
      </c>
      <c r="J6" s="88">
        <v>19</v>
      </c>
      <c r="K6" s="94">
        <v>19</v>
      </c>
      <c r="L6" s="90">
        <f t="shared" si="0"/>
        <v>98.8</v>
      </c>
      <c r="M6" s="91" t="s">
        <v>729</v>
      </c>
      <c r="N6" s="104" t="s">
        <v>895</v>
      </c>
      <c r="O6" s="104">
        <v>24</v>
      </c>
      <c r="P6" s="104" t="s">
        <v>1906</v>
      </c>
      <c r="Q6" s="104">
        <v>42</v>
      </c>
      <c r="R6" s="104"/>
      <c r="S6" s="108"/>
      <c r="T6" s="95">
        <v>6120</v>
      </c>
      <c r="U6" s="95" t="s">
        <v>1238</v>
      </c>
      <c r="V6" s="95">
        <v>6120</v>
      </c>
      <c r="W6" s="95" t="s">
        <v>1238</v>
      </c>
      <c r="X6" s="105">
        <v>44882</v>
      </c>
      <c r="Y6" s="105">
        <v>44904</v>
      </c>
      <c r="Z6" s="107">
        <v>45012</v>
      </c>
      <c r="AA6" s="107">
        <v>45016</v>
      </c>
      <c r="AB6" s="115" t="s">
        <v>1052</v>
      </c>
      <c r="AC6" s="106"/>
      <c r="AD6" s="106"/>
      <c r="AE6" s="106"/>
      <c r="AF6" s="106"/>
      <c r="AG6" s="106"/>
      <c r="AH6" s="106"/>
      <c r="AI6" s="106"/>
      <c r="AJ6" s="106"/>
      <c r="AK6" s="106"/>
      <c r="AL6" s="106"/>
      <c r="AM6" s="93"/>
      <c r="AN6" s="93"/>
      <c r="AO6" s="93"/>
      <c r="AP6" s="93"/>
      <c r="AQ6" s="93"/>
      <c r="AR6" s="93"/>
      <c r="AS6" s="93"/>
      <c r="AT6" s="93"/>
      <c r="AU6" s="93"/>
      <c r="AV6" s="93"/>
    </row>
    <row r="7" spans="1:48" s="4" customFormat="1" ht="45">
      <c r="A7" s="83" t="s">
        <v>2059</v>
      </c>
      <c r="B7" s="84" t="s">
        <v>1755</v>
      </c>
      <c r="C7" s="85">
        <v>302</v>
      </c>
      <c r="D7" s="85">
        <v>149</v>
      </c>
      <c r="E7" s="86">
        <v>0.35972222222222222</v>
      </c>
      <c r="F7" s="86">
        <v>0.3743055555555555</v>
      </c>
      <c r="G7" s="85" t="s">
        <v>1946</v>
      </c>
      <c r="H7" s="85" t="s">
        <v>448</v>
      </c>
      <c r="I7" s="87">
        <v>3.3</v>
      </c>
      <c r="J7" s="88" t="s">
        <v>93</v>
      </c>
      <c r="K7" s="94">
        <f>47-22</f>
        <v>25</v>
      </c>
      <c r="L7" s="90">
        <f t="shared" si="0"/>
        <v>82.5</v>
      </c>
      <c r="M7" s="91" t="s">
        <v>1915</v>
      </c>
      <c r="N7" s="83" t="s">
        <v>1914</v>
      </c>
      <c r="O7" s="83">
        <v>23</v>
      </c>
      <c r="P7" s="104" t="s">
        <v>1912</v>
      </c>
      <c r="Q7" s="104">
        <v>24</v>
      </c>
      <c r="R7" s="104" t="s">
        <v>1913</v>
      </c>
      <c r="S7" s="104">
        <v>23</v>
      </c>
      <c r="T7" s="95">
        <v>3690</v>
      </c>
      <c r="U7" s="95" t="s">
        <v>1500</v>
      </c>
      <c r="V7" s="95" t="s">
        <v>1948</v>
      </c>
      <c r="W7" s="95" t="s">
        <v>1949</v>
      </c>
      <c r="X7" s="107">
        <v>44945</v>
      </c>
      <c r="Y7" s="107">
        <v>45051</v>
      </c>
      <c r="Z7" s="107"/>
      <c r="AA7" s="107"/>
      <c r="AB7" s="106" t="s">
        <v>1043</v>
      </c>
      <c r="AC7" s="106" t="s">
        <v>726</v>
      </c>
      <c r="AD7" s="106"/>
      <c r="AE7" s="106"/>
      <c r="AF7" s="106"/>
      <c r="AG7" s="106"/>
      <c r="AH7" s="106"/>
      <c r="AI7" s="106"/>
      <c r="AJ7" s="106"/>
      <c r="AK7" s="106"/>
      <c r="AL7" s="106"/>
      <c r="AM7" s="106" t="s">
        <v>726</v>
      </c>
      <c r="AN7" s="106"/>
      <c r="AO7" s="106"/>
      <c r="AP7" s="106"/>
      <c r="AQ7" s="106"/>
      <c r="AR7" s="106"/>
      <c r="AS7" s="106"/>
      <c r="AT7" s="106"/>
      <c r="AU7" s="106"/>
      <c r="AV7" s="106"/>
    </row>
    <row r="8" spans="1:48" s="4" customFormat="1" ht="67.5">
      <c r="A8" s="83" t="s">
        <v>2060</v>
      </c>
      <c r="B8" s="84" t="s">
        <v>1755</v>
      </c>
      <c r="C8" s="85">
        <v>302</v>
      </c>
      <c r="D8" s="85">
        <v>154</v>
      </c>
      <c r="E8" s="86">
        <v>0.5</v>
      </c>
      <c r="F8" s="86">
        <v>0.51458333333333328</v>
      </c>
      <c r="G8" s="85" t="s">
        <v>1947</v>
      </c>
      <c r="H8" s="85" t="s">
        <v>477</v>
      </c>
      <c r="I8" s="87">
        <v>3.3</v>
      </c>
      <c r="J8" s="88" t="s">
        <v>156</v>
      </c>
      <c r="K8" s="94">
        <f>240-107</f>
        <v>133</v>
      </c>
      <c r="L8" s="90">
        <f t="shared" si="0"/>
        <v>438.9</v>
      </c>
      <c r="M8" s="91" t="s">
        <v>1915</v>
      </c>
      <c r="N8" s="83" t="s">
        <v>1914</v>
      </c>
      <c r="O8" s="83">
        <v>23</v>
      </c>
      <c r="P8" s="104" t="s">
        <v>1912</v>
      </c>
      <c r="Q8" s="104">
        <v>24</v>
      </c>
      <c r="R8" s="104" t="s">
        <v>1916</v>
      </c>
      <c r="S8" s="104" t="s">
        <v>1917</v>
      </c>
      <c r="T8" s="95" t="s">
        <v>1948</v>
      </c>
      <c r="U8" s="95" t="s">
        <v>1949</v>
      </c>
      <c r="V8" s="95">
        <v>3690</v>
      </c>
      <c r="W8" s="95" t="s">
        <v>1500</v>
      </c>
      <c r="X8" s="107">
        <v>44945</v>
      </c>
      <c r="Y8" s="107">
        <v>45051</v>
      </c>
      <c r="Z8" s="107"/>
      <c r="AA8" s="107"/>
      <c r="AB8" s="95" t="s">
        <v>1052</v>
      </c>
      <c r="AC8" s="106" t="s">
        <v>726</v>
      </c>
      <c r="AD8" s="106"/>
      <c r="AE8" s="106" t="s">
        <v>726</v>
      </c>
      <c r="AF8" s="106"/>
      <c r="AG8" s="106" t="s">
        <v>726</v>
      </c>
      <c r="AH8" s="106" t="s">
        <v>726</v>
      </c>
      <c r="AI8" s="106" t="s">
        <v>726</v>
      </c>
      <c r="AJ8" s="106" t="s">
        <v>726</v>
      </c>
      <c r="AK8" s="106" t="s">
        <v>726</v>
      </c>
      <c r="AL8" s="106" t="s">
        <v>726</v>
      </c>
      <c r="AM8" s="106"/>
      <c r="AN8" s="106"/>
      <c r="AO8" s="106"/>
      <c r="AP8" s="106"/>
      <c r="AQ8" s="106"/>
      <c r="AR8" s="106"/>
      <c r="AS8" s="106"/>
      <c r="AT8" s="106"/>
      <c r="AU8" s="106"/>
      <c r="AV8" s="106"/>
    </row>
    <row r="9" spans="1:48" s="4" customFormat="1" ht="67.5">
      <c r="A9" s="83" t="s">
        <v>2061</v>
      </c>
      <c r="B9" s="84" t="s">
        <v>1755</v>
      </c>
      <c r="C9" s="85">
        <v>302</v>
      </c>
      <c r="D9" s="85">
        <v>537</v>
      </c>
      <c r="E9" s="86">
        <v>0.52708333333333335</v>
      </c>
      <c r="F9" s="86">
        <v>0.54166666666666663</v>
      </c>
      <c r="G9" s="85" t="s">
        <v>1946</v>
      </c>
      <c r="H9" s="85" t="s">
        <v>477</v>
      </c>
      <c r="I9" s="87">
        <v>3.3</v>
      </c>
      <c r="J9" s="88" t="s">
        <v>156</v>
      </c>
      <c r="K9" s="94">
        <f>240-107</f>
        <v>133</v>
      </c>
      <c r="L9" s="90">
        <f t="shared" si="0"/>
        <v>438.9</v>
      </c>
      <c r="M9" s="91" t="s">
        <v>1915</v>
      </c>
      <c r="N9" s="83" t="s">
        <v>1914</v>
      </c>
      <c r="O9" s="83">
        <v>23</v>
      </c>
      <c r="P9" s="104" t="s">
        <v>1912</v>
      </c>
      <c r="Q9" s="104">
        <v>24</v>
      </c>
      <c r="R9" s="104" t="s">
        <v>1916</v>
      </c>
      <c r="S9" s="104" t="s">
        <v>1917</v>
      </c>
      <c r="T9" s="95">
        <v>3690</v>
      </c>
      <c r="U9" s="95" t="s">
        <v>1500</v>
      </c>
      <c r="V9" s="95" t="s">
        <v>1948</v>
      </c>
      <c r="W9" s="95" t="s">
        <v>1949</v>
      </c>
      <c r="X9" s="107">
        <v>44945</v>
      </c>
      <c r="Y9" s="140">
        <v>45052</v>
      </c>
      <c r="Z9" s="107"/>
      <c r="AA9" s="107"/>
      <c r="AB9" s="95" t="s">
        <v>1052</v>
      </c>
      <c r="AC9" s="106" t="s">
        <v>726</v>
      </c>
      <c r="AD9" s="106"/>
      <c r="AE9" s="106" t="s">
        <v>726</v>
      </c>
      <c r="AF9" s="106"/>
      <c r="AG9" s="106" t="s">
        <v>726</v>
      </c>
      <c r="AH9" s="106" t="s">
        <v>726</v>
      </c>
      <c r="AI9" s="106" t="s">
        <v>726</v>
      </c>
      <c r="AJ9" s="106" t="s">
        <v>726</v>
      </c>
      <c r="AK9" s="106" t="s">
        <v>726</v>
      </c>
      <c r="AL9" s="106" t="s">
        <v>726</v>
      </c>
      <c r="AM9" s="106"/>
      <c r="AN9" s="106"/>
      <c r="AO9" s="106"/>
      <c r="AP9" s="106"/>
      <c r="AQ9" s="106"/>
      <c r="AR9" s="106"/>
      <c r="AS9" s="106"/>
      <c r="AT9" s="106"/>
      <c r="AU9" s="106"/>
      <c r="AV9" s="106"/>
    </row>
    <row r="10" spans="1:48" s="4" customFormat="1" ht="45">
      <c r="A10" s="83" t="s">
        <v>2062</v>
      </c>
      <c r="B10" s="84" t="s">
        <v>1755</v>
      </c>
      <c r="C10" s="85">
        <v>302</v>
      </c>
      <c r="D10" s="85">
        <v>156</v>
      </c>
      <c r="E10" s="86">
        <v>0.53402777777777777</v>
      </c>
      <c r="F10" s="86">
        <v>0.54861111111111105</v>
      </c>
      <c r="G10" s="85" t="s">
        <v>1947</v>
      </c>
      <c r="H10" s="85" t="s">
        <v>442</v>
      </c>
      <c r="I10" s="87">
        <v>3.3</v>
      </c>
      <c r="J10" s="88" t="s">
        <v>156</v>
      </c>
      <c r="K10" s="94">
        <f>47-22</f>
        <v>25</v>
      </c>
      <c r="L10" s="90">
        <f t="shared" si="0"/>
        <v>82.5</v>
      </c>
      <c r="M10" s="91" t="s">
        <v>1915</v>
      </c>
      <c r="N10" s="83" t="s">
        <v>1914</v>
      </c>
      <c r="O10" s="83">
        <v>23</v>
      </c>
      <c r="P10" s="104" t="s">
        <v>1912</v>
      </c>
      <c r="Q10" s="104">
        <v>24</v>
      </c>
      <c r="R10" s="104" t="s">
        <v>1913</v>
      </c>
      <c r="S10" s="104">
        <v>23</v>
      </c>
      <c r="T10" s="95" t="s">
        <v>1948</v>
      </c>
      <c r="U10" s="95" t="s">
        <v>1949</v>
      </c>
      <c r="V10" s="95">
        <v>3690</v>
      </c>
      <c r="W10" s="95" t="s">
        <v>1500</v>
      </c>
      <c r="X10" s="107">
        <v>44945</v>
      </c>
      <c r="Y10" s="107">
        <v>45051</v>
      </c>
      <c r="Z10" s="107"/>
      <c r="AA10" s="107"/>
      <c r="AB10" s="95" t="s">
        <v>1043</v>
      </c>
      <c r="AC10" s="106" t="s">
        <v>726</v>
      </c>
      <c r="AD10" s="106"/>
      <c r="AE10" s="106"/>
      <c r="AF10" s="106"/>
      <c r="AG10" s="106"/>
      <c r="AH10" s="106"/>
      <c r="AI10" s="106"/>
      <c r="AJ10" s="106"/>
      <c r="AK10" s="106"/>
      <c r="AL10" s="106"/>
      <c r="AM10" s="106" t="s">
        <v>726</v>
      </c>
      <c r="AN10" s="106"/>
      <c r="AO10" s="106"/>
      <c r="AP10" s="106"/>
      <c r="AQ10" s="106"/>
      <c r="AR10" s="106"/>
      <c r="AS10" s="106"/>
      <c r="AT10" s="106"/>
      <c r="AU10" s="106"/>
      <c r="AV10" s="106"/>
    </row>
    <row r="11" spans="1:48" s="4" customFormat="1" ht="45">
      <c r="A11" s="83" t="s">
        <v>2063</v>
      </c>
      <c r="B11" s="84" t="s">
        <v>1755</v>
      </c>
      <c r="C11" s="85">
        <v>302</v>
      </c>
      <c r="D11" s="85">
        <v>421</v>
      </c>
      <c r="E11" s="86">
        <v>0.57152777777777775</v>
      </c>
      <c r="F11" s="86">
        <v>0.58611111111111114</v>
      </c>
      <c r="G11" s="85" t="s">
        <v>1946</v>
      </c>
      <c r="H11" s="85" t="s">
        <v>442</v>
      </c>
      <c r="I11" s="87">
        <v>3.3</v>
      </c>
      <c r="J11" s="88" t="s">
        <v>156</v>
      </c>
      <c r="K11" s="94">
        <f>47-22</f>
        <v>25</v>
      </c>
      <c r="L11" s="90">
        <f t="shared" si="0"/>
        <v>82.5</v>
      </c>
      <c r="M11" s="91" t="s">
        <v>1915</v>
      </c>
      <c r="N11" s="83" t="s">
        <v>1914</v>
      </c>
      <c r="O11" s="83">
        <v>23</v>
      </c>
      <c r="P11" s="104" t="s">
        <v>1912</v>
      </c>
      <c r="Q11" s="104">
        <v>24</v>
      </c>
      <c r="R11" s="104" t="s">
        <v>1913</v>
      </c>
      <c r="S11" s="104">
        <v>23</v>
      </c>
      <c r="T11" s="95">
        <v>3690</v>
      </c>
      <c r="U11" s="95" t="s">
        <v>1500</v>
      </c>
      <c r="V11" s="95" t="s">
        <v>1948</v>
      </c>
      <c r="W11" s="95" t="s">
        <v>1949</v>
      </c>
      <c r="X11" s="107">
        <v>44945</v>
      </c>
      <c r="Y11" s="107">
        <v>45051</v>
      </c>
      <c r="Z11" s="107"/>
      <c r="AA11" s="107"/>
      <c r="AB11" s="95" t="s">
        <v>1043</v>
      </c>
      <c r="AC11" s="106" t="s">
        <v>726</v>
      </c>
      <c r="AD11" s="106"/>
      <c r="AE11" s="106"/>
      <c r="AF11" s="106"/>
      <c r="AG11" s="106"/>
      <c r="AH11" s="106"/>
      <c r="AI11" s="106"/>
      <c r="AJ11" s="106"/>
      <c r="AK11" s="106"/>
      <c r="AL11" s="106"/>
      <c r="AM11" s="106" t="s">
        <v>726</v>
      </c>
      <c r="AN11" s="106"/>
      <c r="AO11" s="106"/>
      <c r="AP11" s="106"/>
      <c r="AQ11" s="106"/>
      <c r="AR11" s="106"/>
      <c r="AS11" s="106"/>
      <c r="AT11" s="106"/>
      <c r="AU11" s="106"/>
      <c r="AV11" s="106"/>
    </row>
    <row r="12" spans="1:48" s="4" customFormat="1" ht="45">
      <c r="A12" s="83" t="s">
        <v>2064</v>
      </c>
      <c r="B12" s="84" t="s">
        <v>1755</v>
      </c>
      <c r="C12" s="85">
        <v>302</v>
      </c>
      <c r="D12" s="85">
        <v>440</v>
      </c>
      <c r="E12" s="86">
        <v>0.74652777777777779</v>
      </c>
      <c r="F12" s="86">
        <v>0.76111111111111107</v>
      </c>
      <c r="G12" s="85" t="s">
        <v>1947</v>
      </c>
      <c r="H12" s="85" t="s">
        <v>442</v>
      </c>
      <c r="I12" s="87">
        <v>3.3</v>
      </c>
      <c r="J12" s="88" t="s">
        <v>156</v>
      </c>
      <c r="K12" s="94">
        <f>47-22</f>
        <v>25</v>
      </c>
      <c r="L12" s="90">
        <f t="shared" si="0"/>
        <v>82.5</v>
      </c>
      <c r="M12" s="91" t="s">
        <v>1915</v>
      </c>
      <c r="N12" s="83" t="s">
        <v>1914</v>
      </c>
      <c r="O12" s="83">
        <v>23</v>
      </c>
      <c r="P12" s="104" t="s">
        <v>1912</v>
      </c>
      <c r="Q12" s="104">
        <v>24</v>
      </c>
      <c r="R12" s="104" t="s">
        <v>1913</v>
      </c>
      <c r="S12" s="104">
        <v>23</v>
      </c>
      <c r="T12" s="95" t="s">
        <v>1948</v>
      </c>
      <c r="U12" s="95" t="s">
        <v>1949</v>
      </c>
      <c r="V12" s="95">
        <v>3690</v>
      </c>
      <c r="W12" s="95" t="s">
        <v>1500</v>
      </c>
      <c r="X12" s="107">
        <v>44945</v>
      </c>
      <c r="Y12" s="107">
        <v>45051</v>
      </c>
      <c r="Z12" s="107"/>
      <c r="AA12" s="107"/>
      <c r="AB12" s="95" t="s">
        <v>1043</v>
      </c>
      <c r="AC12" s="106" t="s">
        <v>726</v>
      </c>
      <c r="AD12" s="106"/>
      <c r="AE12" s="106"/>
      <c r="AF12" s="106"/>
      <c r="AG12" s="106"/>
      <c r="AH12" s="106"/>
      <c r="AI12" s="106"/>
      <c r="AJ12" s="106"/>
      <c r="AK12" s="106"/>
      <c r="AL12" s="106"/>
      <c r="AM12" s="106" t="s">
        <v>726</v>
      </c>
      <c r="AN12" s="106"/>
      <c r="AO12" s="106"/>
      <c r="AP12" s="106"/>
      <c r="AQ12" s="106"/>
      <c r="AR12" s="106"/>
      <c r="AS12" s="106"/>
      <c r="AT12" s="106"/>
      <c r="AU12" s="106"/>
      <c r="AV12" s="106"/>
    </row>
    <row r="13" spans="1:48" s="4" customFormat="1" ht="45">
      <c r="A13" s="83" t="s">
        <v>2065</v>
      </c>
      <c r="B13" s="84" t="s">
        <v>1755</v>
      </c>
      <c r="C13" s="85">
        <v>302</v>
      </c>
      <c r="D13" s="85">
        <v>167</v>
      </c>
      <c r="E13" s="86">
        <v>0.7729166666666667</v>
      </c>
      <c r="F13" s="86">
        <v>0.78749999999999998</v>
      </c>
      <c r="G13" s="85" t="s">
        <v>1946</v>
      </c>
      <c r="H13" s="85" t="s">
        <v>442</v>
      </c>
      <c r="I13" s="87">
        <v>3.3</v>
      </c>
      <c r="J13" s="88" t="s">
        <v>156</v>
      </c>
      <c r="K13" s="94">
        <f>47-22</f>
        <v>25</v>
      </c>
      <c r="L13" s="90">
        <f t="shared" si="0"/>
        <v>82.5</v>
      </c>
      <c r="M13" s="91" t="s">
        <v>1915</v>
      </c>
      <c r="N13" s="83" t="s">
        <v>1914</v>
      </c>
      <c r="O13" s="83">
        <v>23</v>
      </c>
      <c r="P13" s="104" t="s">
        <v>1912</v>
      </c>
      <c r="Q13" s="104">
        <v>24</v>
      </c>
      <c r="R13" s="104" t="s">
        <v>1913</v>
      </c>
      <c r="S13" s="104">
        <v>23</v>
      </c>
      <c r="T13" s="95">
        <v>3690</v>
      </c>
      <c r="U13" s="95" t="s">
        <v>1500</v>
      </c>
      <c r="V13" s="95" t="s">
        <v>1948</v>
      </c>
      <c r="W13" s="95" t="s">
        <v>1949</v>
      </c>
      <c r="X13" s="107">
        <v>44945</v>
      </c>
      <c r="Y13" s="107">
        <v>45051</v>
      </c>
      <c r="Z13" s="107"/>
      <c r="AA13" s="107"/>
      <c r="AB13" s="95" t="s">
        <v>1043</v>
      </c>
      <c r="AC13" s="106" t="s">
        <v>726</v>
      </c>
      <c r="AD13" s="106"/>
      <c r="AE13" s="106"/>
      <c r="AF13" s="106"/>
      <c r="AG13" s="106"/>
      <c r="AH13" s="106"/>
      <c r="AI13" s="106"/>
      <c r="AJ13" s="106"/>
      <c r="AK13" s="106"/>
      <c r="AL13" s="106"/>
      <c r="AM13" s="106" t="s">
        <v>726</v>
      </c>
      <c r="AN13" s="106"/>
      <c r="AO13" s="106"/>
      <c r="AP13" s="106"/>
      <c r="AQ13" s="106"/>
      <c r="AR13" s="106"/>
      <c r="AS13" s="106"/>
      <c r="AT13" s="106"/>
      <c r="AU13" s="106"/>
      <c r="AV13" s="106"/>
    </row>
    <row r="14" spans="1:48" s="4" customFormat="1" ht="45">
      <c r="A14" s="83" t="s">
        <v>2066</v>
      </c>
      <c r="B14" s="84" t="s">
        <v>1755</v>
      </c>
      <c r="C14" s="85">
        <v>302</v>
      </c>
      <c r="D14" s="85">
        <v>238</v>
      </c>
      <c r="E14" s="86">
        <v>0.87430555555555556</v>
      </c>
      <c r="F14" s="86">
        <v>0.88888888888888884</v>
      </c>
      <c r="G14" s="85" t="s">
        <v>1947</v>
      </c>
      <c r="H14" s="85" t="s">
        <v>203</v>
      </c>
      <c r="I14" s="87">
        <v>3.3</v>
      </c>
      <c r="J14" s="88" t="s">
        <v>93</v>
      </c>
      <c r="K14" s="94">
        <f>202-89</f>
        <v>113</v>
      </c>
      <c r="L14" s="90">
        <f t="shared" si="0"/>
        <v>372.9</v>
      </c>
      <c r="M14" s="91" t="s">
        <v>1915</v>
      </c>
      <c r="N14" s="83" t="s">
        <v>1914</v>
      </c>
      <c r="O14" s="83">
        <v>23</v>
      </c>
      <c r="P14" s="104" t="s">
        <v>1918</v>
      </c>
      <c r="Q14" s="104">
        <v>20</v>
      </c>
      <c r="R14" s="104" t="s">
        <v>1913</v>
      </c>
      <c r="S14" s="104"/>
      <c r="T14" s="95" t="s">
        <v>1948</v>
      </c>
      <c r="U14" s="95" t="s">
        <v>1949</v>
      </c>
      <c r="V14" s="95">
        <v>3690</v>
      </c>
      <c r="W14" s="95" t="s">
        <v>1500</v>
      </c>
      <c r="X14" s="107">
        <v>44945</v>
      </c>
      <c r="Y14" s="107">
        <v>45051</v>
      </c>
      <c r="Z14" s="107"/>
      <c r="AA14" s="107"/>
      <c r="AB14" s="95" t="s">
        <v>1048</v>
      </c>
      <c r="AC14" s="106" t="s">
        <v>726</v>
      </c>
      <c r="AD14" s="106"/>
      <c r="AE14" s="106" t="s">
        <v>726</v>
      </c>
      <c r="AF14" s="106"/>
      <c r="AG14" s="106" t="s">
        <v>726</v>
      </c>
      <c r="AH14" s="106" t="s">
        <v>726</v>
      </c>
      <c r="AI14" s="106" t="s">
        <v>726</v>
      </c>
      <c r="AJ14" s="106" t="s">
        <v>726</v>
      </c>
      <c r="AK14" s="106" t="s">
        <v>726</v>
      </c>
      <c r="AL14" s="106"/>
      <c r="AM14" s="106"/>
      <c r="AN14" s="106"/>
      <c r="AO14" s="106"/>
      <c r="AP14" s="106"/>
      <c r="AQ14" s="106"/>
      <c r="AR14" s="106"/>
      <c r="AS14" s="106"/>
      <c r="AT14" s="106"/>
      <c r="AU14" s="106"/>
      <c r="AV14" s="106"/>
    </row>
    <row r="15" spans="1:48" s="4" customFormat="1" ht="45">
      <c r="A15" s="83" t="s">
        <v>2067</v>
      </c>
      <c r="B15" s="84" t="s">
        <v>1755</v>
      </c>
      <c r="C15" s="85">
        <v>302</v>
      </c>
      <c r="D15" s="85">
        <v>238</v>
      </c>
      <c r="E15" s="86">
        <v>0.93680555555555556</v>
      </c>
      <c r="F15" s="86">
        <v>0.95138888888888884</v>
      </c>
      <c r="G15" s="85" t="s">
        <v>1947</v>
      </c>
      <c r="H15" s="85" t="s">
        <v>161</v>
      </c>
      <c r="I15" s="87">
        <v>3.3</v>
      </c>
      <c r="J15" s="88" t="s">
        <v>93</v>
      </c>
      <c r="K15" s="94">
        <f>38-18</f>
        <v>20</v>
      </c>
      <c r="L15" s="90">
        <f t="shared" si="0"/>
        <v>66</v>
      </c>
      <c r="M15" s="91" t="s">
        <v>1915</v>
      </c>
      <c r="N15" s="83" t="s">
        <v>1914</v>
      </c>
      <c r="O15" s="83">
        <v>23</v>
      </c>
      <c r="P15" s="104" t="s">
        <v>1918</v>
      </c>
      <c r="Q15" s="104">
        <v>20</v>
      </c>
      <c r="R15" s="104" t="s">
        <v>1913</v>
      </c>
      <c r="S15" s="104"/>
      <c r="T15" s="95" t="s">
        <v>1948</v>
      </c>
      <c r="U15" s="95" t="s">
        <v>1949</v>
      </c>
      <c r="V15" s="95">
        <v>3690</v>
      </c>
      <c r="W15" s="95" t="s">
        <v>1500</v>
      </c>
      <c r="X15" s="107">
        <v>44945</v>
      </c>
      <c r="Y15" s="107">
        <v>45051</v>
      </c>
      <c r="Z15" s="107"/>
      <c r="AA15" s="107"/>
      <c r="AB15" s="95" t="s">
        <v>1065</v>
      </c>
      <c r="AC15" s="106" t="s">
        <v>726</v>
      </c>
      <c r="AD15" s="106"/>
      <c r="AE15" s="106" t="s">
        <v>726</v>
      </c>
      <c r="AF15" s="106"/>
      <c r="AG15" s="106"/>
      <c r="AH15" s="106"/>
      <c r="AI15" s="106"/>
      <c r="AJ15" s="106"/>
      <c r="AK15" s="106"/>
      <c r="AL15" s="106" t="s">
        <v>726</v>
      </c>
      <c r="AM15" s="106"/>
      <c r="AN15" s="106"/>
      <c r="AO15" s="106"/>
      <c r="AP15" s="106"/>
      <c r="AQ15" s="106"/>
      <c r="AR15" s="106"/>
      <c r="AS15" s="106"/>
      <c r="AT15" s="106"/>
      <c r="AU15" s="106"/>
      <c r="AV15" s="106"/>
    </row>
    <row r="16" spans="1:48" s="4" customFormat="1" ht="25.5">
      <c r="A16" s="83" t="s">
        <v>2019</v>
      </c>
      <c r="B16" s="84" t="s">
        <v>1755</v>
      </c>
      <c r="C16" s="85">
        <v>332</v>
      </c>
      <c r="D16" s="85">
        <v>223</v>
      </c>
      <c r="E16" s="86">
        <v>0.32777777777777778</v>
      </c>
      <c r="F16" s="86">
        <v>0.36874999999999997</v>
      </c>
      <c r="G16" s="85" t="s">
        <v>1927</v>
      </c>
      <c r="H16" s="85" t="s">
        <v>103</v>
      </c>
      <c r="I16" s="87">
        <v>27</v>
      </c>
      <c r="J16" s="88">
        <v>50</v>
      </c>
      <c r="K16" s="94">
        <v>27</v>
      </c>
      <c r="L16" s="90">
        <f t="shared" si="0"/>
        <v>729</v>
      </c>
      <c r="M16" s="91" t="s">
        <v>734</v>
      </c>
      <c r="N16" s="104" t="s">
        <v>933</v>
      </c>
      <c r="O16" s="104">
        <v>55</v>
      </c>
      <c r="P16" s="104" t="s">
        <v>1148</v>
      </c>
      <c r="Q16" s="104">
        <v>54</v>
      </c>
      <c r="R16" s="104" t="s">
        <v>936</v>
      </c>
      <c r="S16" s="104">
        <v>57</v>
      </c>
      <c r="T16" s="95">
        <v>3520</v>
      </c>
      <c r="U16" s="95" t="s">
        <v>1924</v>
      </c>
      <c r="V16" s="95" t="s">
        <v>1925</v>
      </c>
      <c r="W16" s="95" t="s">
        <v>1926</v>
      </c>
      <c r="X16" s="105">
        <v>44945</v>
      </c>
      <c r="Y16" s="105">
        <v>44985</v>
      </c>
      <c r="Z16" s="105"/>
      <c r="AA16" s="105"/>
      <c r="AB16" s="95" t="s">
        <v>1042</v>
      </c>
      <c r="AC16" s="106"/>
      <c r="AD16" s="106"/>
      <c r="AE16" s="106"/>
      <c r="AF16" s="106" t="s">
        <v>726</v>
      </c>
      <c r="AG16" s="106" t="s">
        <v>726</v>
      </c>
      <c r="AH16" s="106" t="s">
        <v>726</v>
      </c>
      <c r="AI16" s="106" t="s">
        <v>726</v>
      </c>
      <c r="AJ16" s="106" t="s">
        <v>726</v>
      </c>
      <c r="AK16" s="106" t="s">
        <v>726</v>
      </c>
      <c r="AL16" s="106"/>
      <c r="AM16" s="106"/>
      <c r="AN16" s="106"/>
      <c r="AO16" s="106"/>
      <c r="AP16" s="106"/>
      <c r="AQ16" s="106"/>
      <c r="AR16" s="106"/>
      <c r="AS16" s="106"/>
      <c r="AT16" s="106"/>
      <c r="AU16" s="106"/>
      <c r="AV16" s="106"/>
    </row>
    <row r="17" spans="1:2047 2049:5112 5122:7160 7170:8191 8193:11260 11270:13308 13318:14335 14337:15357" s="4" customFormat="1" ht="25.5">
      <c r="A17" s="83" t="s">
        <v>2019</v>
      </c>
      <c r="B17" s="84" t="s">
        <v>1755</v>
      </c>
      <c r="C17" s="85">
        <v>301</v>
      </c>
      <c r="D17" s="85">
        <v>241</v>
      </c>
      <c r="E17" s="86">
        <v>0.37083333333333335</v>
      </c>
      <c r="F17" s="86">
        <v>0.40416666666666662</v>
      </c>
      <c r="G17" s="85" t="s">
        <v>1930</v>
      </c>
      <c r="H17" s="85" t="s">
        <v>103</v>
      </c>
      <c r="I17" s="87">
        <v>27</v>
      </c>
      <c r="J17" s="88">
        <v>50</v>
      </c>
      <c r="K17" s="94">
        <v>27</v>
      </c>
      <c r="L17" s="90">
        <f t="shared" si="0"/>
        <v>729</v>
      </c>
      <c r="M17" s="91" t="s">
        <v>734</v>
      </c>
      <c r="N17" s="104" t="s">
        <v>933</v>
      </c>
      <c r="O17" s="104">
        <v>55</v>
      </c>
      <c r="P17" s="104" t="s">
        <v>1148</v>
      </c>
      <c r="Q17" s="104">
        <v>54</v>
      </c>
      <c r="R17" s="104" t="s">
        <v>936</v>
      </c>
      <c r="S17" s="104">
        <v>57</v>
      </c>
      <c r="T17" s="95" t="s">
        <v>1925</v>
      </c>
      <c r="U17" s="95" t="s">
        <v>1926</v>
      </c>
      <c r="V17" s="95">
        <v>1</v>
      </c>
      <c r="W17" s="95" t="s">
        <v>1327</v>
      </c>
      <c r="X17" s="105">
        <v>44945</v>
      </c>
      <c r="Y17" s="105">
        <v>44985</v>
      </c>
      <c r="Z17" s="105"/>
      <c r="AA17" s="105"/>
      <c r="AB17" s="95" t="s">
        <v>1042</v>
      </c>
      <c r="AC17" s="106"/>
      <c r="AD17" s="106"/>
      <c r="AE17" s="106"/>
      <c r="AF17" s="106" t="s">
        <v>726</v>
      </c>
      <c r="AG17" s="106" t="s">
        <v>726</v>
      </c>
      <c r="AH17" s="106" t="s">
        <v>726</v>
      </c>
      <c r="AI17" s="106" t="s">
        <v>726</v>
      </c>
      <c r="AJ17" s="106" t="s">
        <v>726</v>
      </c>
      <c r="AK17" s="106" t="s">
        <v>726</v>
      </c>
      <c r="AL17" s="106"/>
      <c r="AM17" s="106"/>
      <c r="AN17" s="106"/>
      <c r="AO17" s="106"/>
      <c r="AP17" s="106"/>
      <c r="AQ17" s="106"/>
      <c r="AR17" s="106"/>
      <c r="AS17" s="106"/>
      <c r="AT17" s="106"/>
      <c r="AU17" s="106"/>
      <c r="AV17" s="106"/>
    </row>
    <row r="18" spans="1:2047 2049:5112 5122:7160 7170:8191 8193:11260 11270:13308 13318:14335 14337:15357" s="4" customFormat="1" ht="33.75">
      <c r="A18" s="83" t="s">
        <v>2019</v>
      </c>
      <c r="B18" s="84" t="s">
        <v>1755</v>
      </c>
      <c r="C18" s="85">
        <v>205</v>
      </c>
      <c r="D18" s="85">
        <v>188</v>
      </c>
      <c r="E18" s="86">
        <v>0.42708333333333331</v>
      </c>
      <c r="F18" s="86">
        <v>0.48472222222222222</v>
      </c>
      <c r="G18" s="85" t="s">
        <v>1928</v>
      </c>
      <c r="H18" s="85" t="s">
        <v>103</v>
      </c>
      <c r="I18" s="87">
        <v>43</v>
      </c>
      <c r="J18" s="88">
        <v>50</v>
      </c>
      <c r="K18" s="94">
        <v>27</v>
      </c>
      <c r="L18" s="90">
        <f t="shared" si="0"/>
        <v>1161</v>
      </c>
      <c r="M18" s="91" t="s">
        <v>734</v>
      </c>
      <c r="N18" s="104" t="s">
        <v>933</v>
      </c>
      <c r="O18" s="104">
        <v>55</v>
      </c>
      <c r="P18" s="104" t="s">
        <v>1148</v>
      </c>
      <c r="Q18" s="104">
        <v>54</v>
      </c>
      <c r="R18" s="104" t="s">
        <v>936</v>
      </c>
      <c r="S18" s="104">
        <v>57</v>
      </c>
      <c r="T18" s="95">
        <v>1</v>
      </c>
      <c r="U18" s="95" t="s">
        <v>1327</v>
      </c>
      <c r="V18" s="95">
        <v>960</v>
      </c>
      <c r="W18" s="95" t="s">
        <v>1929</v>
      </c>
      <c r="X18" s="105">
        <v>44945</v>
      </c>
      <c r="Y18" s="105">
        <v>44985</v>
      </c>
      <c r="Z18" s="105"/>
      <c r="AA18" s="105"/>
      <c r="AB18" s="95" t="s">
        <v>1042</v>
      </c>
      <c r="AC18" s="106"/>
      <c r="AD18" s="106"/>
      <c r="AE18" s="106"/>
      <c r="AF18" s="106" t="s">
        <v>726</v>
      </c>
      <c r="AG18" s="106" t="s">
        <v>726</v>
      </c>
      <c r="AH18" s="106" t="s">
        <v>726</v>
      </c>
      <c r="AI18" s="106" t="s">
        <v>726</v>
      </c>
      <c r="AJ18" s="106" t="s">
        <v>726</v>
      </c>
      <c r="AK18" s="106" t="s">
        <v>726</v>
      </c>
      <c r="AL18" s="106"/>
      <c r="AM18" s="106"/>
      <c r="AN18" s="106"/>
      <c r="AO18" s="106"/>
      <c r="AP18" s="106"/>
      <c r="AQ18" s="106"/>
      <c r="AR18" s="106"/>
      <c r="AS18" s="106"/>
      <c r="AT18" s="106"/>
      <c r="AU18" s="106"/>
      <c r="AV18" s="106"/>
    </row>
    <row r="19" spans="1:2047 2049:5112 5122:7160 7170:8191 8193:11260 11270:13308 13318:14335 14337:15357" s="4" customFormat="1" ht="33.75">
      <c r="A19" s="83" t="s">
        <v>2069</v>
      </c>
      <c r="B19" s="84" t="s">
        <v>1755</v>
      </c>
      <c r="C19" s="132">
        <v>302</v>
      </c>
      <c r="D19" s="96">
        <v>143</v>
      </c>
      <c r="E19" s="97">
        <v>0.25347222222222221</v>
      </c>
      <c r="F19" s="97">
        <v>0.27430555555555552</v>
      </c>
      <c r="G19" s="98" t="s">
        <v>1950</v>
      </c>
      <c r="H19" s="98" t="s">
        <v>1951</v>
      </c>
      <c r="I19" s="96">
        <v>11.5</v>
      </c>
      <c r="J19" s="88">
        <v>19</v>
      </c>
      <c r="K19" s="94">
        <v>133</v>
      </c>
      <c r="L19" s="90">
        <f t="shared" si="0"/>
        <v>1529.5</v>
      </c>
      <c r="M19" s="91" t="s">
        <v>713</v>
      </c>
      <c r="N19" s="104" t="s">
        <v>885</v>
      </c>
      <c r="O19" s="104">
        <v>20</v>
      </c>
      <c r="P19" s="104" t="s">
        <v>1797</v>
      </c>
      <c r="Q19" s="104">
        <v>17</v>
      </c>
      <c r="R19" s="104" t="s">
        <v>1176</v>
      </c>
      <c r="S19" s="108">
        <v>24</v>
      </c>
      <c r="T19" s="95"/>
      <c r="U19" s="95"/>
      <c r="V19" s="95"/>
      <c r="W19" s="95"/>
      <c r="X19" s="107">
        <v>44946</v>
      </c>
      <c r="Y19" s="105">
        <v>45051</v>
      </c>
      <c r="Z19" s="105"/>
      <c r="AA19" s="105"/>
      <c r="AB19" s="95" t="s">
        <v>1052</v>
      </c>
      <c r="AC19" s="106"/>
      <c r="AD19" s="106"/>
      <c r="AE19" s="106"/>
      <c r="AF19" s="106"/>
      <c r="AG19" s="106"/>
      <c r="AH19" s="106"/>
      <c r="AI19" s="106"/>
      <c r="AJ19" s="106"/>
      <c r="AK19" s="106"/>
      <c r="AL19" s="106"/>
      <c r="AM19" s="106"/>
      <c r="AN19" s="106"/>
      <c r="AO19" s="106"/>
      <c r="AP19" s="106"/>
      <c r="AQ19" s="106"/>
      <c r="AR19" s="106"/>
      <c r="AS19" s="106"/>
      <c r="AT19" s="106"/>
      <c r="AU19" s="106"/>
      <c r="AV19" s="106"/>
    </row>
    <row r="20" spans="1:2047 2049:5112 5122:7160 7170:8191 8193:11260 11270:13308 13318:14335 14337:15357" s="4" customFormat="1" ht="33.75">
      <c r="A20" s="83" t="s">
        <v>2069</v>
      </c>
      <c r="B20" s="84" t="s">
        <v>1755</v>
      </c>
      <c r="C20" s="132">
        <v>303</v>
      </c>
      <c r="D20" s="96">
        <v>147</v>
      </c>
      <c r="E20" s="97">
        <v>0.29930555555555555</v>
      </c>
      <c r="F20" s="97">
        <v>0.32569444444444445</v>
      </c>
      <c r="G20" s="98" t="s">
        <v>1952</v>
      </c>
      <c r="H20" s="98" t="s">
        <v>1951</v>
      </c>
      <c r="I20" s="96">
        <v>19.5</v>
      </c>
      <c r="J20" s="88">
        <v>19</v>
      </c>
      <c r="K20" s="94">
        <v>133</v>
      </c>
      <c r="L20" s="90">
        <f t="shared" si="0"/>
        <v>2593.5</v>
      </c>
      <c r="M20" s="91" t="s">
        <v>713</v>
      </c>
      <c r="N20" s="104" t="s">
        <v>885</v>
      </c>
      <c r="O20" s="104">
        <v>20</v>
      </c>
      <c r="P20" s="104" t="s">
        <v>1797</v>
      </c>
      <c r="Q20" s="104">
        <v>17</v>
      </c>
      <c r="R20" s="104" t="s">
        <v>1176</v>
      </c>
      <c r="S20" s="108">
        <v>24</v>
      </c>
      <c r="T20" s="95"/>
      <c r="U20" s="95"/>
      <c r="V20" s="95"/>
      <c r="W20" s="95"/>
      <c r="X20" s="107">
        <v>44946</v>
      </c>
      <c r="Y20" s="105">
        <v>45051</v>
      </c>
      <c r="Z20" s="105"/>
      <c r="AA20" s="105"/>
      <c r="AB20" s="95" t="s">
        <v>1052</v>
      </c>
      <c r="AC20" s="106"/>
      <c r="AD20" s="106"/>
      <c r="AE20" s="106"/>
      <c r="AF20" s="106"/>
      <c r="AG20" s="106"/>
      <c r="AH20" s="106"/>
      <c r="AI20" s="106"/>
      <c r="AJ20" s="106"/>
      <c r="AK20" s="106"/>
      <c r="AL20" s="106"/>
      <c r="AM20" s="106"/>
      <c r="AN20" s="106"/>
      <c r="AO20" s="106"/>
      <c r="AP20" s="106"/>
      <c r="AQ20" s="106"/>
      <c r="AR20" s="106"/>
      <c r="AS20" s="106"/>
      <c r="AT20" s="106"/>
      <c r="AU20" s="106"/>
      <c r="AV20" s="106"/>
    </row>
    <row r="21" spans="1:2047 2049:5112 5122:7160 7170:8191 8193:11260 11270:13308 13318:14335 14337:15357" s="4" customFormat="1" ht="33.75">
      <c r="A21" s="83" t="s">
        <v>2070</v>
      </c>
      <c r="B21" s="84" t="s">
        <v>1755</v>
      </c>
      <c r="C21" s="132">
        <v>304</v>
      </c>
      <c r="D21" s="96">
        <v>164</v>
      </c>
      <c r="E21" s="97">
        <v>0.72638888888888886</v>
      </c>
      <c r="F21" s="97">
        <v>0.74097222222222225</v>
      </c>
      <c r="G21" s="98" t="s">
        <v>1953</v>
      </c>
      <c r="H21" s="98" t="s">
        <v>1954</v>
      </c>
      <c r="I21" s="96">
        <v>8.3000000000000007</v>
      </c>
      <c r="J21" s="88">
        <v>19</v>
      </c>
      <c r="K21" s="94">
        <v>113</v>
      </c>
      <c r="L21" s="90">
        <f t="shared" si="0"/>
        <v>937.90000000000009</v>
      </c>
      <c r="M21" s="91" t="s">
        <v>713</v>
      </c>
      <c r="N21" s="104" t="s">
        <v>885</v>
      </c>
      <c r="O21" s="104">
        <v>20</v>
      </c>
      <c r="P21" s="104" t="s">
        <v>1797</v>
      </c>
      <c r="Q21" s="104">
        <v>17</v>
      </c>
      <c r="R21" s="104" t="s">
        <v>1176</v>
      </c>
      <c r="S21" s="108">
        <v>24</v>
      </c>
      <c r="T21" s="95"/>
      <c r="U21" s="95"/>
      <c r="V21" s="95"/>
      <c r="W21" s="95"/>
      <c r="X21" s="107">
        <v>44945</v>
      </c>
      <c r="Y21" s="105">
        <v>45051</v>
      </c>
      <c r="Z21" s="105"/>
      <c r="AA21" s="105"/>
      <c r="AB21" s="95" t="s">
        <v>1048</v>
      </c>
      <c r="AC21" s="106"/>
      <c r="AD21" s="106"/>
      <c r="AE21" s="106"/>
      <c r="AF21" s="106"/>
      <c r="AG21" s="106"/>
      <c r="AH21" s="106"/>
      <c r="AI21" s="106"/>
      <c r="AJ21" s="106"/>
      <c r="AK21" s="106"/>
      <c r="AL21" s="106"/>
      <c r="AM21" s="106"/>
      <c r="AN21" s="106"/>
      <c r="AO21" s="106"/>
      <c r="AP21" s="106"/>
      <c r="AQ21" s="106"/>
      <c r="AR21" s="106"/>
      <c r="AS21" s="106"/>
      <c r="AT21" s="106"/>
      <c r="AU21" s="106"/>
      <c r="AV21" s="106"/>
    </row>
    <row r="22" spans="1:2047 2049:5112 5122:7160 7170:8191 8193:11260 11270:13308 13318:14335 14337:15357" s="4" customFormat="1" ht="33.75">
      <c r="A22" s="83" t="s">
        <v>2070</v>
      </c>
      <c r="B22" s="84" t="s">
        <v>1755</v>
      </c>
      <c r="C22" s="132">
        <v>305</v>
      </c>
      <c r="D22" s="96">
        <v>165</v>
      </c>
      <c r="E22" s="97">
        <v>0.74097222222222225</v>
      </c>
      <c r="F22" s="97">
        <v>0.75138888888888899</v>
      </c>
      <c r="G22" s="98" t="s">
        <v>1955</v>
      </c>
      <c r="H22" s="98" t="s">
        <v>1954</v>
      </c>
      <c r="I22" s="96">
        <v>8.3000000000000007</v>
      </c>
      <c r="J22" s="88">
        <v>19</v>
      </c>
      <c r="K22" s="94">
        <v>113</v>
      </c>
      <c r="L22" s="90">
        <f t="shared" si="0"/>
        <v>937.90000000000009</v>
      </c>
      <c r="M22" s="91" t="s">
        <v>713</v>
      </c>
      <c r="N22" s="104" t="s">
        <v>885</v>
      </c>
      <c r="O22" s="104">
        <v>20</v>
      </c>
      <c r="P22" s="104" t="s">
        <v>1797</v>
      </c>
      <c r="Q22" s="104">
        <v>17</v>
      </c>
      <c r="R22" s="104" t="s">
        <v>1176</v>
      </c>
      <c r="S22" s="108">
        <v>24</v>
      </c>
      <c r="T22" s="95"/>
      <c r="U22" s="95"/>
      <c r="V22" s="95"/>
      <c r="W22" s="95"/>
      <c r="X22" s="107">
        <v>44945</v>
      </c>
      <c r="Y22" s="105">
        <v>45051</v>
      </c>
      <c r="Z22" s="105"/>
      <c r="AA22" s="105"/>
      <c r="AB22" s="95" t="s">
        <v>1048</v>
      </c>
      <c r="AC22" s="106"/>
      <c r="AD22" s="106"/>
      <c r="AE22" s="106"/>
      <c r="AF22" s="106"/>
      <c r="AG22" s="106"/>
      <c r="AH22" s="106"/>
      <c r="AI22" s="106"/>
      <c r="AJ22" s="106"/>
      <c r="AK22" s="106"/>
      <c r="AL22" s="106"/>
      <c r="AM22" s="106"/>
      <c r="AN22" s="106"/>
      <c r="AO22" s="106"/>
      <c r="AP22" s="106"/>
      <c r="AQ22" s="106"/>
      <c r="AR22" s="106"/>
      <c r="AS22" s="106"/>
      <c r="AT22" s="106"/>
      <c r="AU22" s="106"/>
      <c r="AV22" s="106"/>
    </row>
    <row r="23" spans="1:2047 2049:5112 5122:7160 7170:8191 8193:11260 11270:13308 13318:14335 14337:15357" s="4" customFormat="1" ht="33.75">
      <c r="A23" s="83" t="s">
        <v>2070</v>
      </c>
      <c r="B23" s="84" t="s">
        <v>1755</v>
      </c>
      <c r="C23" s="132">
        <v>306</v>
      </c>
      <c r="D23" s="96">
        <v>168</v>
      </c>
      <c r="E23" s="97">
        <v>0.78472222222222221</v>
      </c>
      <c r="F23" s="97">
        <v>0.80972222222222223</v>
      </c>
      <c r="G23" s="98" t="s">
        <v>1956</v>
      </c>
      <c r="H23" s="98" t="s">
        <v>1954</v>
      </c>
      <c r="I23" s="96">
        <v>15.3</v>
      </c>
      <c r="J23" s="88">
        <v>19</v>
      </c>
      <c r="K23" s="94">
        <v>113</v>
      </c>
      <c r="L23" s="90">
        <f t="shared" si="0"/>
        <v>1728.9</v>
      </c>
      <c r="M23" s="91" t="s">
        <v>713</v>
      </c>
      <c r="N23" s="104" t="s">
        <v>885</v>
      </c>
      <c r="O23" s="104">
        <v>20</v>
      </c>
      <c r="P23" s="104" t="s">
        <v>1797</v>
      </c>
      <c r="Q23" s="104">
        <v>17</v>
      </c>
      <c r="R23" s="104" t="s">
        <v>1176</v>
      </c>
      <c r="S23" s="108">
        <v>24</v>
      </c>
      <c r="T23" s="95"/>
      <c r="U23" s="95"/>
      <c r="V23" s="95"/>
      <c r="W23" s="95"/>
      <c r="X23" s="107">
        <v>44945</v>
      </c>
      <c r="Y23" s="105">
        <v>45051</v>
      </c>
      <c r="Z23" s="105"/>
      <c r="AA23" s="105"/>
      <c r="AB23" s="95" t="s">
        <v>1048</v>
      </c>
      <c r="AC23" s="106"/>
      <c r="AD23" s="106"/>
      <c r="AE23" s="106"/>
      <c r="AF23" s="106"/>
      <c r="AG23" s="106"/>
      <c r="AH23" s="106"/>
      <c r="AI23" s="106"/>
      <c r="AJ23" s="106"/>
      <c r="AK23" s="106"/>
      <c r="AL23" s="106"/>
      <c r="AM23" s="106"/>
      <c r="AN23" s="106"/>
      <c r="AO23" s="106"/>
      <c r="AP23" s="106"/>
      <c r="AQ23" s="106"/>
      <c r="AR23" s="106"/>
      <c r="AS23" s="106"/>
      <c r="AT23" s="106"/>
      <c r="AU23" s="106"/>
      <c r="AV23" s="106"/>
    </row>
    <row r="24" spans="1:2047 2049:5112 5122:7160 7170:8191 8193:11260 11270:13308 13318:14335 14337:15357" s="4" customFormat="1" ht="33.75">
      <c r="A24" s="83" t="s">
        <v>2070</v>
      </c>
      <c r="B24" s="84" t="s">
        <v>1755</v>
      </c>
      <c r="C24" s="132">
        <v>307</v>
      </c>
      <c r="D24" s="96">
        <v>168</v>
      </c>
      <c r="E24" s="97">
        <v>0.78680555555555554</v>
      </c>
      <c r="F24" s="97">
        <v>0.81458333333333333</v>
      </c>
      <c r="G24" s="98" t="s">
        <v>1956</v>
      </c>
      <c r="H24" s="98" t="s">
        <v>2027</v>
      </c>
      <c r="I24" s="96">
        <v>15.3</v>
      </c>
      <c r="J24" s="88">
        <v>19</v>
      </c>
      <c r="K24" s="94">
        <v>113</v>
      </c>
      <c r="L24" s="90">
        <f t="shared" si="0"/>
        <v>1728.9</v>
      </c>
      <c r="M24" s="91" t="s">
        <v>713</v>
      </c>
      <c r="N24" s="104" t="s">
        <v>885</v>
      </c>
      <c r="O24" s="104">
        <v>20</v>
      </c>
      <c r="P24" s="104" t="s">
        <v>1797</v>
      </c>
      <c r="Q24" s="104">
        <v>17</v>
      </c>
      <c r="R24" s="104" t="s">
        <v>1176</v>
      </c>
      <c r="S24" s="108">
        <v>24</v>
      </c>
      <c r="T24" s="95"/>
      <c r="U24" s="95"/>
      <c r="V24" s="95"/>
      <c r="W24" s="95"/>
      <c r="X24" s="107">
        <v>44945</v>
      </c>
      <c r="Y24" s="116">
        <v>45051</v>
      </c>
      <c r="Z24" s="105"/>
      <c r="AA24" s="105"/>
      <c r="AB24" s="95" t="s">
        <v>1065</v>
      </c>
      <c r="AC24" s="106"/>
      <c r="AD24" s="106"/>
      <c r="AE24" s="106"/>
      <c r="AF24" s="106"/>
      <c r="AG24" s="106"/>
      <c r="AH24" s="106"/>
      <c r="AI24" s="106"/>
      <c r="AJ24" s="106"/>
      <c r="AK24" s="106"/>
      <c r="AL24" s="106"/>
      <c r="AM24" s="106"/>
      <c r="AN24" s="106"/>
      <c r="AO24" s="106"/>
      <c r="AP24" s="106"/>
      <c r="AQ24" s="106"/>
      <c r="AR24" s="106"/>
      <c r="AS24" s="106"/>
      <c r="AT24" s="106"/>
      <c r="AU24" s="106"/>
      <c r="AV24" s="106"/>
    </row>
    <row r="25" spans="1:2047 2049:5112 5122:7160 7170:8191 8193:11260 11270:13308 13318:14335 14337:15357" s="4" customFormat="1" ht="33.75">
      <c r="A25" s="83" t="s">
        <v>2070</v>
      </c>
      <c r="B25" s="84" t="s">
        <v>1755</v>
      </c>
      <c r="C25" s="132">
        <v>308</v>
      </c>
      <c r="D25" s="96">
        <v>167</v>
      </c>
      <c r="E25" s="97">
        <v>0.76041666666666663</v>
      </c>
      <c r="F25" s="97">
        <v>0.78680555555555554</v>
      </c>
      <c r="G25" s="98" t="s">
        <v>1957</v>
      </c>
      <c r="H25" s="98" t="s">
        <v>1958</v>
      </c>
      <c r="I25" s="96">
        <v>15.3</v>
      </c>
      <c r="J25" s="88">
        <v>19</v>
      </c>
      <c r="K25" s="94">
        <v>20</v>
      </c>
      <c r="L25" s="90">
        <f t="shared" si="0"/>
        <v>306</v>
      </c>
      <c r="M25" s="91" t="s">
        <v>713</v>
      </c>
      <c r="N25" s="104" t="s">
        <v>885</v>
      </c>
      <c r="O25" s="104">
        <v>20</v>
      </c>
      <c r="P25" s="104" t="s">
        <v>1797</v>
      </c>
      <c r="Q25" s="104">
        <v>17</v>
      </c>
      <c r="R25" s="104" t="s">
        <v>1176</v>
      </c>
      <c r="S25" s="108">
        <v>24</v>
      </c>
      <c r="T25" s="95"/>
      <c r="U25" s="95"/>
      <c r="V25" s="95"/>
      <c r="W25" s="95"/>
      <c r="X25" s="107">
        <v>44945</v>
      </c>
      <c r="Y25" s="116">
        <v>45051</v>
      </c>
      <c r="Z25" s="105"/>
      <c r="AA25" s="105"/>
      <c r="AB25" s="95" t="s">
        <v>1065</v>
      </c>
      <c r="AC25" s="106"/>
      <c r="AD25" s="106"/>
      <c r="AE25" s="106"/>
      <c r="AF25" s="106"/>
      <c r="AG25" s="106"/>
      <c r="AH25" s="106"/>
      <c r="AI25" s="106"/>
      <c r="AJ25" s="106"/>
      <c r="AK25" s="106"/>
      <c r="AL25" s="106"/>
      <c r="AM25" s="106"/>
      <c r="AN25" s="106"/>
      <c r="AO25" s="106"/>
      <c r="AP25" s="106"/>
      <c r="AQ25" s="106"/>
      <c r="AR25" s="106"/>
      <c r="AS25" s="106"/>
      <c r="AT25" s="106"/>
      <c r="AU25" s="106"/>
      <c r="AV25" s="106"/>
    </row>
    <row r="26" spans="1:2047 2049:5112 5122:7160 7170:8191 8193:11260 11270:13308 13318:14335 14337:15357" s="4" customFormat="1" ht="45">
      <c r="A26" s="83" t="s">
        <v>1997</v>
      </c>
      <c r="B26" s="84" t="s">
        <v>1755</v>
      </c>
      <c r="C26" s="85">
        <v>212</v>
      </c>
      <c r="D26" s="88">
        <v>308</v>
      </c>
      <c r="E26" s="86">
        <v>0.6958333333333333</v>
      </c>
      <c r="F26" s="86">
        <v>0.69930555555555562</v>
      </c>
      <c r="G26" s="85" t="s">
        <v>1996</v>
      </c>
      <c r="H26" s="85" t="s">
        <v>103</v>
      </c>
      <c r="I26" s="87">
        <v>1.8</v>
      </c>
      <c r="J26" s="88" t="s">
        <v>99</v>
      </c>
      <c r="K26" s="94">
        <v>101</v>
      </c>
      <c r="L26" s="90">
        <f t="shared" si="0"/>
        <v>181.8</v>
      </c>
      <c r="M26" s="91" t="s">
        <v>745</v>
      </c>
      <c r="N26" s="104" t="s">
        <v>878</v>
      </c>
      <c r="O26" s="104">
        <v>21</v>
      </c>
      <c r="P26" s="104" t="s">
        <v>879</v>
      </c>
      <c r="Q26" s="104">
        <v>9</v>
      </c>
      <c r="R26" s="104" t="s">
        <v>880</v>
      </c>
      <c r="S26" s="108">
        <v>9</v>
      </c>
      <c r="T26" s="95">
        <v>2300</v>
      </c>
      <c r="U26" s="95" t="s">
        <v>1446</v>
      </c>
      <c r="V26" s="95">
        <v>2303</v>
      </c>
      <c r="W26" s="95" t="s">
        <v>1998</v>
      </c>
      <c r="X26" s="107"/>
      <c r="Y26" s="105">
        <v>44974</v>
      </c>
      <c r="Z26" s="105"/>
      <c r="AA26" s="105"/>
      <c r="AB26" s="95" t="s">
        <v>1042</v>
      </c>
      <c r="AC26" s="106"/>
      <c r="AD26" s="106"/>
      <c r="AE26" s="106"/>
      <c r="AF26" s="106" t="s">
        <v>726</v>
      </c>
      <c r="AG26" s="106" t="s">
        <v>726</v>
      </c>
      <c r="AH26" s="106" t="s">
        <v>726</v>
      </c>
      <c r="AI26" s="106" t="s">
        <v>726</v>
      </c>
      <c r="AJ26" s="106" t="s">
        <v>726</v>
      </c>
      <c r="AK26" s="106" t="s">
        <v>726</v>
      </c>
      <c r="AL26" s="106"/>
      <c r="AM26" s="106"/>
      <c r="AN26" s="106"/>
      <c r="AO26" s="106"/>
      <c r="AP26" s="106"/>
      <c r="AQ26" s="106"/>
      <c r="AR26" s="106"/>
      <c r="AS26" s="106"/>
      <c r="AT26" s="106"/>
      <c r="AU26" s="106"/>
      <c r="AV26" s="106"/>
    </row>
    <row r="27" spans="1:2047 2049:5112 5122:7160 7170:8191 8193:11260 11270:13308 13318:14335 14337:15357" s="4" customFormat="1" ht="33.75">
      <c r="A27" s="83" t="s">
        <v>2054</v>
      </c>
      <c r="B27" s="84" t="s">
        <v>1755</v>
      </c>
      <c r="C27" s="85">
        <v>121</v>
      </c>
      <c r="D27" s="85">
        <v>69</v>
      </c>
      <c r="E27" s="86">
        <v>0.74652777777777779</v>
      </c>
      <c r="F27" s="86"/>
      <c r="G27" s="85" t="s">
        <v>2053</v>
      </c>
      <c r="H27" s="85" t="s">
        <v>18</v>
      </c>
      <c r="I27" s="87">
        <v>5.2</v>
      </c>
      <c r="J27" s="88">
        <v>18</v>
      </c>
      <c r="K27" s="94">
        <v>3</v>
      </c>
      <c r="L27" s="90">
        <f t="shared" si="0"/>
        <v>15.600000000000001</v>
      </c>
      <c r="M27" s="91" t="s">
        <v>721</v>
      </c>
      <c r="N27" s="104" t="s">
        <v>967</v>
      </c>
      <c r="O27" s="104">
        <v>18</v>
      </c>
      <c r="P27" s="104" t="s">
        <v>872</v>
      </c>
      <c r="Q27" s="104">
        <v>9</v>
      </c>
      <c r="R27" s="104"/>
      <c r="S27" s="108"/>
      <c r="T27" s="95">
        <v>4070</v>
      </c>
      <c r="U27" s="95" t="s">
        <v>1357</v>
      </c>
      <c r="V27" s="95">
        <v>4060</v>
      </c>
      <c r="W27" s="95" t="s">
        <v>1271</v>
      </c>
      <c r="X27" s="107">
        <v>45033</v>
      </c>
      <c r="Y27" s="107">
        <v>45035</v>
      </c>
      <c r="Z27" s="105"/>
      <c r="AA27" s="105"/>
      <c r="AB27" s="95" t="s">
        <v>2058</v>
      </c>
      <c r="AC27" s="106"/>
      <c r="AD27" s="106"/>
      <c r="AE27" s="106"/>
      <c r="AF27" s="106"/>
      <c r="AG27" s="106"/>
      <c r="AH27" s="106"/>
      <c r="AI27" s="106"/>
      <c r="AJ27" s="106"/>
      <c r="AK27" s="106"/>
      <c r="AL27" s="106"/>
      <c r="AM27" s="106"/>
      <c r="AN27" s="106"/>
      <c r="AO27" s="106"/>
      <c r="AP27" s="106"/>
      <c r="AQ27" s="106"/>
      <c r="AR27" s="106"/>
      <c r="AS27" s="106"/>
      <c r="AT27" s="106"/>
      <c r="AU27" s="106"/>
      <c r="AV27" s="106"/>
      <c r="AW27" s="8"/>
      <c r="AX27" s="8"/>
      <c r="AY27" s="8"/>
      <c r="AZ27" s="8"/>
      <c r="BA27" s="8"/>
      <c r="BB27" s="8"/>
      <c r="BC27" s="8"/>
      <c r="BD27" s="8"/>
      <c r="BE27" s="8"/>
      <c r="BF27" s="8"/>
      <c r="BG27" s="8"/>
      <c r="BH27" s="8"/>
      <c r="BI27" s="8"/>
      <c r="BJ27" s="8"/>
      <c r="BK27" s="8"/>
      <c r="BL27" s="8"/>
      <c r="BM27" s="8"/>
      <c r="BN27" s="8"/>
      <c r="BO27" s="11"/>
      <c r="BQ27" s="11"/>
      <c r="BR27" s="11"/>
      <c r="BS27" s="11"/>
      <c r="BU27" s="11"/>
      <c r="BV27" s="11"/>
      <c r="BW27" s="11"/>
      <c r="BY27" s="11"/>
      <c r="BZ27" s="11"/>
      <c r="CA27" s="12"/>
      <c r="CE27" s="11"/>
      <c r="CF27" s="12"/>
      <c r="CP27" s="15"/>
      <c r="CQ27" s="15"/>
      <c r="CR27" s="15"/>
      <c r="CS27" s="15"/>
      <c r="CT27" s="15"/>
      <c r="CU27" s="15"/>
      <c r="CV27" s="15"/>
      <c r="CW27" s="15"/>
      <c r="CX27" s="15"/>
      <c r="CY27" s="15"/>
      <c r="CZ27" s="15"/>
      <c r="DA27" s="15"/>
      <c r="DB27" s="15"/>
      <c r="DC27" s="15"/>
      <c r="DD27" s="15"/>
      <c r="DE27" s="15"/>
      <c r="DF27" s="15"/>
      <c r="DG27" s="15"/>
      <c r="DH27" s="15"/>
      <c r="DI27" s="15"/>
      <c r="DJ27" s="15"/>
      <c r="DL27" s="11"/>
      <c r="DM27" s="11"/>
      <c r="DN27" s="11"/>
      <c r="DO27" s="11"/>
      <c r="DP27" s="11"/>
      <c r="DQ27" s="11"/>
      <c r="DR27" s="11"/>
      <c r="DS27" s="11"/>
      <c r="DT27" s="11"/>
      <c r="ED27" s="2"/>
      <c r="EE27" s="27"/>
      <c r="EF27" s="31"/>
      <c r="EG27" s="31"/>
      <c r="EH27" s="32"/>
      <c r="EI27" s="32"/>
      <c r="EJ27" s="31"/>
      <c r="EK27" s="31"/>
      <c r="EL27" s="33"/>
      <c r="EM27" s="34"/>
      <c r="EN27" s="35"/>
      <c r="EO27" s="36"/>
      <c r="EP27" s="37"/>
      <c r="EQ27" s="23"/>
      <c r="ER27" s="23"/>
      <c r="ES27" s="23"/>
      <c r="ET27" s="23"/>
      <c r="EU27" s="23"/>
      <c r="EV27" s="24"/>
      <c r="EW27" s="7"/>
      <c r="EX27" s="7"/>
      <c r="EY27" s="7"/>
      <c r="EZ27" s="7"/>
      <c r="FA27" s="18"/>
      <c r="FB27" s="18"/>
      <c r="FC27" s="17"/>
      <c r="FD27" s="17"/>
      <c r="FE27" s="7"/>
      <c r="FF27" s="7"/>
      <c r="FG27" s="8"/>
      <c r="FH27" s="8"/>
      <c r="FI27" s="8"/>
      <c r="FJ27" s="8"/>
      <c r="FK27" s="8"/>
      <c r="FL27" s="8"/>
      <c r="FM27" s="8"/>
      <c r="FN27" s="8"/>
      <c r="FO27" s="8"/>
      <c r="FP27" s="8"/>
      <c r="FQ27" s="8"/>
      <c r="FR27" s="8"/>
      <c r="FS27" s="8"/>
      <c r="FT27" s="8"/>
      <c r="FU27" s="8"/>
      <c r="FV27" s="8"/>
      <c r="FW27" s="8"/>
      <c r="FX27" s="8"/>
      <c r="FY27" s="8"/>
      <c r="FZ27" s="8"/>
      <c r="GA27" s="11"/>
      <c r="GC27" s="11"/>
      <c r="GD27" s="11"/>
      <c r="GE27" s="11"/>
      <c r="GG27" s="11"/>
      <c r="GH27" s="11"/>
      <c r="GI27" s="11"/>
      <c r="GK27" s="11"/>
      <c r="GL27" s="11"/>
      <c r="GM27" s="12"/>
      <c r="GQ27" s="11"/>
      <c r="GR27" s="12"/>
      <c r="HB27" s="15"/>
      <c r="HC27" s="15"/>
      <c r="HD27" s="15"/>
      <c r="HE27" s="15"/>
      <c r="HF27" s="15"/>
      <c r="HG27" s="15"/>
      <c r="HH27" s="15"/>
      <c r="HI27" s="15"/>
      <c r="HJ27" s="15"/>
      <c r="HK27" s="15"/>
      <c r="HL27" s="15"/>
      <c r="HM27" s="15"/>
      <c r="HN27" s="15"/>
      <c r="HO27" s="15"/>
      <c r="HP27" s="15"/>
      <c r="HQ27" s="15"/>
      <c r="HR27" s="15"/>
      <c r="HS27" s="15"/>
      <c r="HT27" s="15"/>
      <c r="HU27" s="15"/>
      <c r="HV27" s="15"/>
      <c r="HX27" s="11"/>
      <c r="HY27" s="11"/>
      <c r="HZ27" s="11"/>
      <c r="IA27" s="11"/>
      <c r="IB27" s="11"/>
      <c r="IC27" s="11"/>
      <c r="ID27" s="11"/>
      <c r="IE27" s="11"/>
      <c r="IF27" s="11"/>
      <c r="IP27" s="2"/>
      <c r="IQ27" s="27"/>
      <c r="IR27" s="31"/>
      <c r="IS27" s="31"/>
      <c r="IT27" s="32"/>
      <c r="IU27" s="32"/>
      <c r="IV27" s="31"/>
      <c r="IW27" s="31"/>
      <c r="IX27" s="33"/>
      <c r="IY27" s="34"/>
      <c r="IZ27" s="35"/>
      <c r="JA27" s="36"/>
      <c r="JB27" s="37"/>
      <c r="JC27" s="23"/>
      <c r="JD27" s="23"/>
      <c r="JE27" s="23"/>
      <c r="JF27" s="23"/>
      <c r="JG27" s="23"/>
      <c r="JH27" s="24"/>
      <c r="JI27" s="7"/>
      <c r="JJ27" s="7"/>
      <c r="JK27" s="7"/>
      <c r="JL27" s="7"/>
      <c r="JM27" s="18"/>
      <c r="JN27" s="18"/>
      <c r="JO27" s="17"/>
      <c r="JP27" s="17"/>
      <c r="JQ27" s="7"/>
      <c r="JR27" s="7"/>
      <c r="JS27" s="8"/>
      <c r="JT27" s="8"/>
      <c r="JU27" s="8"/>
      <c r="JV27" s="8"/>
      <c r="JW27" s="8"/>
      <c r="JX27" s="8"/>
      <c r="JY27" s="8"/>
      <c r="JZ27" s="8"/>
      <c r="KA27" s="8"/>
      <c r="KB27" s="8"/>
      <c r="KC27" s="8"/>
      <c r="KD27" s="8"/>
      <c r="KE27" s="8"/>
      <c r="KF27" s="8"/>
      <c r="KG27" s="8"/>
      <c r="KH27" s="8"/>
      <c r="KI27" s="8"/>
      <c r="KJ27" s="8"/>
      <c r="KK27" s="8"/>
      <c r="KL27" s="8"/>
      <c r="KM27" s="11"/>
      <c r="KO27" s="11"/>
      <c r="KP27" s="11"/>
      <c r="KQ27" s="11"/>
      <c r="KS27" s="11"/>
      <c r="KT27" s="11"/>
      <c r="KU27" s="11"/>
      <c r="KW27" s="11"/>
      <c r="KX27" s="11"/>
      <c r="KY27" s="12"/>
      <c r="LC27" s="11"/>
      <c r="LD27" s="12"/>
      <c r="LN27" s="15"/>
      <c r="LO27" s="15"/>
      <c r="LP27" s="15"/>
      <c r="LQ27" s="15"/>
      <c r="LR27" s="15"/>
      <c r="LS27" s="15"/>
      <c r="LT27" s="15"/>
      <c r="LU27" s="15"/>
      <c r="LV27" s="15"/>
      <c r="LW27" s="15"/>
      <c r="LX27" s="15"/>
      <c r="LY27" s="15"/>
      <c r="LZ27" s="15"/>
      <c r="MA27" s="15"/>
      <c r="MB27" s="15"/>
      <c r="MC27" s="15"/>
      <c r="MD27" s="15"/>
      <c r="ME27" s="15"/>
      <c r="MF27" s="15"/>
      <c r="MG27" s="15"/>
      <c r="MH27" s="15"/>
      <c r="MJ27" s="11"/>
      <c r="MK27" s="11"/>
      <c r="ML27" s="11"/>
      <c r="MM27" s="11"/>
      <c r="MN27" s="11"/>
      <c r="MO27" s="11"/>
      <c r="MP27" s="11"/>
      <c r="MQ27" s="11"/>
      <c r="MR27" s="11"/>
      <c r="NB27" s="2"/>
      <c r="NC27" s="27"/>
      <c r="ND27" s="31"/>
      <c r="NE27" s="31"/>
      <c r="NF27" s="32"/>
      <c r="NG27" s="32"/>
      <c r="NH27" s="31"/>
      <c r="NI27" s="31"/>
      <c r="NJ27" s="33"/>
      <c r="NK27" s="34"/>
      <c r="NL27" s="35"/>
      <c r="NM27" s="36"/>
      <c r="NN27" s="37"/>
      <c r="NO27" s="23"/>
      <c r="NP27" s="23"/>
      <c r="NQ27" s="23"/>
      <c r="NR27" s="23"/>
      <c r="NS27" s="23"/>
      <c r="NT27" s="24"/>
      <c r="NU27" s="7"/>
      <c r="NV27" s="7"/>
      <c r="NW27" s="7"/>
      <c r="NX27" s="7"/>
      <c r="NY27" s="18"/>
      <c r="NZ27" s="18"/>
      <c r="OA27" s="17"/>
      <c r="OB27" s="17"/>
      <c r="OC27" s="7"/>
      <c r="OD27" s="7"/>
      <c r="OE27" s="8"/>
      <c r="OF27" s="8"/>
      <c r="OG27" s="8"/>
      <c r="OH27" s="8"/>
      <c r="OI27" s="8"/>
      <c r="OJ27" s="8"/>
      <c r="OK27" s="8"/>
      <c r="OL27" s="8"/>
      <c r="OM27" s="8"/>
      <c r="ON27" s="8"/>
      <c r="OO27" s="8"/>
      <c r="OP27" s="8"/>
      <c r="OQ27" s="8"/>
      <c r="OR27" s="8"/>
      <c r="OS27" s="8"/>
      <c r="OT27" s="8"/>
      <c r="OU27" s="8"/>
      <c r="OV27" s="8"/>
      <c r="OW27" s="8"/>
      <c r="OX27" s="8"/>
      <c r="OY27" s="11"/>
      <c r="PA27" s="11"/>
      <c r="PB27" s="11"/>
      <c r="PC27" s="11"/>
      <c r="PE27" s="11"/>
      <c r="PF27" s="11"/>
      <c r="PG27" s="11"/>
      <c r="PI27" s="11"/>
      <c r="PJ27" s="11"/>
      <c r="PK27" s="12"/>
      <c r="PO27" s="11"/>
      <c r="PP27" s="12"/>
      <c r="PZ27" s="15"/>
      <c r="QA27" s="15"/>
      <c r="QB27" s="15"/>
      <c r="QC27" s="15"/>
      <c r="QD27" s="15"/>
      <c r="QE27" s="15"/>
      <c r="QF27" s="15"/>
      <c r="QG27" s="15"/>
      <c r="QH27" s="15"/>
      <c r="QI27" s="15"/>
      <c r="QJ27" s="15"/>
      <c r="QK27" s="15"/>
      <c r="QL27" s="15"/>
      <c r="QM27" s="15"/>
      <c r="QN27" s="15"/>
      <c r="QO27" s="15"/>
      <c r="QP27" s="15"/>
      <c r="QQ27" s="15"/>
      <c r="QR27" s="15"/>
      <c r="QS27" s="15"/>
      <c r="QT27" s="15"/>
      <c r="QV27" s="11"/>
      <c r="QW27" s="11"/>
      <c r="QX27" s="11"/>
      <c r="QY27" s="11"/>
      <c r="QZ27" s="11"/>
      <c r="RA27" s="11"/>
      <c r="RB27" s="11"/>
      <c r="RC27" s="11"/>
      <c r="RD27" s="11"/>
      <c r="RN27" s="2"/>
      <c r="RO27" s="27"/>
      <c r="RP27" s="31"/>
      <c r="RQ27" s="31"/>
      <c r="RR27" s="32"/>
      <c r="RS27" s="32"/>
      <c r="RT27" s="31"/>
      <c r="RU27" s="31"/>
      <c r="RV27" s="33"/>
      <c r="RW27" s="34"/>
      <c r="RX27" s="35"/>
      <c r="RY27" s="36"/>
      <c r="RZ27" s="37"/>
      <c r="SA27" s="23"/>
      <c r="SB27" s="23"/>
      <c r="SC27" s="23"/>
      <c r="SD27" s="23"/>
      <c r="SE27" s="23"/>
      <c r="SF27" s="24"/>
      <c r="SG27" s="7"/>
      <c r="SH27" s="7"/>
      <c r="SI27" s="7"/>
      <c r="SJ27" s="7"/>
      <c r="SK27" s="18"/>
      <c r="SL27" s="18"/>
      <c r="SM27" s="17"/>
      <c r="SN27" s="17"/>
      <c r="SO27" s="7"/>
      <c r="SP27" s="7"/>
      <c r="SQ27" s="8"/>
      <c r="SR27" s="8"/>
      <c r="SS27" s="8"/>
      <c r="ST27" s="8"/>
      <c r="SU27" s="8"/>
      <c r="SV27" s="8"/>
      <c r="SW27" s="8"/>
      <c r="SX27" s="8"/>
      <c r="SY27" s="8"/>
      <c r="SZ27" s="8"/>
      <c r="TA27" s="8"/>
      <c r="TB27" s="8"/>
      <c r="TC27" s="8"/>
      <c r="TD27" s="8"/>
      <c r="TE27" s="8"/>
      <c r="TF27" s="8"/>
      <c r="TG27" s="8"/>
      <c r="TH27" s="8"/>
      <c r="TI27" s="8"/>
      <c r="TJ27" s="8"/>
      <c r="TK27" s="11"/>
      <c r="TM27" s="11"/>
      <c r="TN27" s="11"/>
      <c r="TO27" s="11"/>
      <c r="TQ27" s="11"/>
      <c r="TR27" s="11"/>
      <c r="TS27" s="11"/>
      <c r="TU27" s="11"/>
      <c r="TV27" s="11"/>
      <c r="TW27" s="12"/>
      <c r="UA27" s="11"/>
      <c r="UB27" s="12"/>
      <c r="UL27" s="15"/>
      <c r="UM27" s="15"/>
      <c r="UN27" s="15"/>
      <c r="UO27" s="15"/>
      <c r="UP27" s="15"/>
      <c r="UQ27" s="15"/>
      <c r="UR27" s="15"/>
      <c r="US27" s="15"/>
      <c r="UT27" s="15"/>
      <c r="UU27" s="15"/>
      <c r="UV27" s="15"/>
      <c r="UW27" s="15"/>
      <c r="UX27" s="15"/>
      <c r="UY27" s="15"/>
      <c r="UZ27" s="15"/>
      <c r="VA27" s="15"/>
      <c r="VB27" s="15"/>
      <c r="VC27" s="15"/>
      <c r="VD27" s="15"/>
      <c r="VE27" s="15"/>
      <c r="VF27" s="15"/>
      <c r="VH27" s="11"/>
      <c r="VI27" s="11"/>
      <c r="VJ27" s="11"/>
      <c r="VK27" s="11"/>
      <c r="VL27" s="11"/>
      <c r="VM27" s="11"/>
      <c r="VN27" s="11"/>
      <c r="VO27" s="11"/>
      <c r="VP27" s="11"/>
      <c r="VZ27" s="2"/>
      <c r="WA27" s="27"/>
      <c r="WB27" s="31"/>
      <c r="WC27" s="31"/>
      <c r="WD27" s="32"/>
      <c r="WE27" s="32"/>
      <c r="WF27" s="31"/>
      <c r="WG27" s="31"/>
      <c r="WH27" s="33"/>
      <c r="WI27" s="34"/>
      <c r="WJ27" s="35"/>
      <c r="WK27" s="36"/>
      <c r="WL27" s="37"/>
      <c r="WM27" s="23"/>
      <c r="WN27" s="23"/>
      <c r="WO27" s="23"/>
      <c r="WP27" s="23"/>
      <c r="WQ27" s="23"/>
      <c r="WR27" s="24"/>
      <c r="WS27" s="7"/>
      <c r="WT27" s="7"/>
      <c r="WU27" s="7"/>
      <c r="WV27" s="7"/>
      <c r="WW27" s="18"/>
      <c r="WX27" s="18"/>
      <c r="WY27" s="17"/>
      <c r="WZ27" s="17"/>
      <c r="XA27" s="7"/>
      <c r="XB27" s="7"/>
      <c r="XC27" s="8"/>
      <c r="XD27" s="8"/>
      <c r="XE27" s="8"/>
      <c r="XF27" s="8"/>
      <c r="XG27" s="8"/>
      <c r="XH27" s="8"/>
      <c r="XI27" s="8"/>
      <c r="XJ27" s="8"/>
      <c r="XK27" s="8"/>
      <c r="XL27" s="8"/>
      <c r="XM27" s="8"/>
      <c r="XN27" s="8"/>
      <c r="XO27" s="8"/>
      <c r="XP27" s="8"/>
      <c r="XQ27" s="8"/>
      <c r="XR27" s="8"/>
      <c r="XS27" s="8"/>
      <c r="XT27" s="8"/>
      <c r="XU27" s="8"/>
      <c r="XV27" s="8"/>
      <c r="XW27" s="11"/>
      <c r="XY27" s="11"/>
      <c r="XZ27" s="11"/>
      <c r="YA27" s="11"/>
      <c r="YC27" s="11"/>
      <c r="YD27" s="11"/>
      <c r="YE27" s="11"/>
      <c r="YG27" s="11"/>
      <c r="YH27" s="11"/>
      <c r="YI27" s="12"/>
      <c r="YM27" s="11"/>
      <c r="YN27" s="12"/>
      <c r="YX27" s="15"/>
      <c r="YY27" s="15"/>
      <c r="YZ27" s="15"/>
      <c r="ZA27" s="15"/>
      <c r="ZB27" s="15"/>
      <c r="ZC27" s="15"/>
      <c r="ZD27" s="15"/>
      <c r="ZE27" s="15"/>
      <c r="ZF27" s="15"/>
      <c r="ZG27" s="15"/>
      <c r="ZH27" s="15"/>
      <c r="ZI27" s="15"/>
      <c r="ZJ27" s="15"/>
      <c r="ZK27" s="15"/>
      <c r="ZL27" s="15"/>
      <c r="ZM27" s="15"/>
      <c r="ZN27" s="15"/>
      <c r="ZO27" s="15"/>
      <c r="ZP27" s="15"/>
      <c r="ZQ27" s="15"/>
      <c r="ZR27" s="15"/>
      <c r="ZT27" s="11"/>
      <c r="ZU27" s="11"/>
      <c r="ZV27" s="11"/>
      <c r="ZW27" s="11"/>
      <c r="ZX27" s="11"/>
      <c r="ZY27" s="11"/>
      <c r="ZZ27" s="11"/>
      <c r="AAA27" s="11"/>
      <c r="AAB27" s="11"/>
      <c r="AAL27" s="2"/>
      <c r="AAM27" s="27"/>
      <c r="AAN27" s="31"/>
      <c r="AAO27" s="31"/>
      <c r="AAP27" s="32"/>
      <c r="AAQ27" s="32"/>
      <c r="AAR27" s="31"/>
      <c r="AAS27" s="31"/>
      <c r="AAT27" s="33"/>
      <c r="AAU27" s="34"/>
      <c r="AAV27" s="35"/>
      <c r="AAW27" s="36"/>
      <c r="AAX27" s="37"/>
      <c r="AAY27" s="23"/>
      <c r="AAZ27" s="23"/>
      <c r="ABA27" s="23"/>
      <c r="ABB27" s="23"/>
      <c r="ABC27" s="23"/>
      <c r="ABD27" s="24"/>
      <c r="ABE27" s="7"/>
      <c r="ABF27" s="7"/>
      <c r="ABG27" s="7"/>
      <c r="ABH27" s="7"/>
      <c r="ABI27" s="18"/>
      <c r="ABJ27" s="18"/>
      <c r="ABK27" s="17"/>
      <c r="ABL27" s="17"/>
      <c r="ABM27" s="7"/>
      <c r="ABN27" s="7"/>
      <c r="ABO27" s="8"/>
      <c r="ABP27" s="8"/>
      <c r="ABQ27" s="8"/>
      <c r="ABR27" s="8"/>
      <c r="ABS27" s="8"/>
      <c r="ABT27" s="8"/>
      <c r="ABU27" s="8"/>
      <c r="ABV27" s="8"/>
      <c r="ABW27" s="8"/>
      <c r="ABX27" s="8"/>
      <c r="ABY27" s="8"/>
      <c r="ABZ27" s="8"/>
      <c r="ACA27" s="8"/>
      <c r="ACB27" s="8"/>
      <c r="ACC27" s="8"/>
      <c r="ACD27" s="8"/>
      <c r="ACE27" s="8"/>
      <c r="ACF27" s="8"/>
      <c r="ACG27" s="8"/>
      <c r="ACH27" s="8"/>
      <c r="ACI27" s="11"/>
      <c r="ACK27" s="11"/>
      <c r="ACL27" s="11"/>
      <c r="ACM27" s="11"/>
      <c r="ACO27" s="11"/>
      <c r="ACP27" s="11"/>
      <c r="ACQ27" s="11"/>
      <c r="ACS27" s="11"/>
      <c r="ACT27" s="11"/>
      <c r="ACU27" s="12"/>
      <c r="ACY27" s="11"/>
      <c r="ACZ27" s="12"/>
      <c r="ADJ27" s="15"/>
      <c r="ADK27" s="15"/>
      <c r="ADL27" s="15"/>
      <c r="ADM27" s="15"/>
      <c r="ADN27" s="15"/>
      <c r="ADO27" s="15"/>
      <c r="ADP27" s="15"/>
      <c r="ADQ27" s="15"/>
      <c r="ADR27" s="15"/>
      <c r="ADS27" s="15"/>
      <c r="ADT27" s="15"/>
      <c r="ADU27" s="15"/>
      <c r="ADV27" s="15"/>
      <c r="ADW27" s="15"/>
      <c r="ADX27" s="15"/>
      <c r="ADY27" s="15"/>
      <c r="ADZ27" s="15"/>
      <c r="AEA27" s="15"/>
      <c r="AEB27" s="15"/>
      <c r="AEC27" s="15"/>
      <c r="AED27" s="15"/>
      <c r="AEF27" s="11"/>
      <c r="AEG27" s="11"/>
      <c r="AEH27" s="11"/>
      <c r="AEI27" s="11"/>
      <c r="AEJ27" s="11"/>
      <c r="AEK27" s="11"/>
      <c r="AEL27" s="11"/>
      <c r="AEM27" s="11"/>
      <c r="AEN27" s="11"/>
      <c r="AEX27" s="2"/>
      <c r="AEY27" s="27"/>
      <c r="AEZ27" s="31"/>
      <c r="AFA27" s="31"/>
      <c r="AFB27" s="32"/>
      <c r="AFC27" s="32"/>
      <c r="AFD27" s="31"/>
      <c r="AFE27" s="31"/>
      <c r="AFF27" s="33"/>
      <c r="AFG27" s="34"/>
      <c r="AFH27" s="35"/>
      <c r="AFI27" s="36"/>
      <c r="AFJ27" s="37"/>
      <c r="AFK27" s="23"/>
      <c r="AFL27" s="23"/>
      <c r="AFM27" s="23"/>
      <c r="AFN27" s="23"/>
      <c r="AFO27" s="23"/>
      <c r="AFP27" s="24"/>
      <c r="AFQ27" s="7"/>
      <c r="AFR27" s="7"/>
      <c r="AFS27" s="7"/>
      <c r="AFT27" s="7"/>
      <c r="AFU27" s="18"/>
      <c r="AFV27" s="18"/>
      <c r="AFW27" s="17"/>
      <c r="AFX27" s="17"/>
      <c r="AFY27" s="7"/>
      <c r="AFZ27" s="7"/>
      <c r="AGA27" s="8"/>
      <c r="AGB27" s="8"/>
      <c r="AGC27" s="8"/>
      <c r="AGD27" s="8"/>
      <c r="AGE27" s="8"/>
      <c r="AGF27" s="8"/>
      <c r="AGG27" s="8"/>
      <c r="AGH27" s="8"/>
      <c r="AGI27" s="8"/>
      <c r="AGJ27" s="8"/>
      <c r="AGK27" s="8"/>
      <c r="AGL27" s="8"/>
      <c r="AGM27" s="8"/>
      <c r="AGN27" s="8"/>
      <c r="AGO27" s="8"/>
      <c r="AGP27" s="8"/>
      <c r="AGQ27" s="8"/>
      <c r="AGR27" s="8"/>
      <c r="AGS27" s="8"/>
      <c r="AGT27" s="8"/>
      <c r="AGU27" s="11"/>
      <c r="AGW27" s="11"/>
      <c r="AGX27" s="11"/>
      <c r="AGY27" s="11"/>
      <c r="AHA27" s="11"/>
      <c r="AHB27" s="11"/>
      <c r="AHC27" s="11"/>
      <c r="AHE27" s="11"/>
      <c r="AHF27" s="11"/>
      <c r="AHG27" s="12"/>
      <c r="AHK27" s="11"/>
      <c r="AHL27" s="12"/>
      <c r="AHV27" s="15"/>
      <c r="AHW27" s="15"/>
      <c r="AHX27" s="15"/>
      <c r="AHY27" s="15"/>
      <c r="AHZ27" s="15"/>
      <c r="AIA27" s="15"/>
      <c r="AIB27" s="15"/>
      <c r="AIC27" s="15"/>
      <c r="AID27" s="15"/>
      <c r="AIE27" s="15"/>
      <c r="AIF27" s="15"/>
      <c r="AIG27" s="15"/>
      <c r="AIH27" s="15"/>
      <c r="AII27" s="15"/>
      <c r="AIJ27" s="15"/>
      <c r="AIK27" s="15"/>
      <c r="AIL27" s="15"/>
      <c r="AIM27" s="15"/>
      <c r="AIN27" s="15"/>
      <c r="AIO27" s="15"/>
      <c r="AIP27" s="15"/>
      <c r="AIR27" s="11"/>
      <c r="AIS27" s="11"/>
      <c r="AIT27" s="11"/>
      <c r="AIU27" s="11"/>
      <c r="AIV27" s="11"/>
      <c r="AIW27" s="11"/>
      <c r="AIX27" s="11"/>
      <c r="AIY27" s="11"/>
      <c r="AIZ27" s="11"/>
      <c r="AJJ27" s="2"/>
      <c r="AJK27" s="27"/>
      <c r="AJL27" s="31"/>
      <c r="AJM27" s="31"/>
      <c r="AJN27" s="32"/>
      <c r="AJO27" s="32"/>
      <c r="AJP27" s="31"/>
      <c r="AJQ27" s="31"/>
      <c r="AJR27" s="33"/>
      <c r="AJS27" s="34"/>
      <c r="AJT27" s="35"/>
      <c r="AJU27" s="36"/>
      <c r="AJV27" s="37"/>
      <c r="AJW27" s="23"/>
      <c r="AJX27" s="23"/>
      <c r="AJY27" s="23"/>
      <c r="AJZ27" s="23"/>
      <c r="AKA27" s="23"/>
      <c r="AKB27" s="24"/>
      <c r="AKC27" s="7"/>
      <c r="AKD27" s="7"/>
      <c r="AKE27" s="7"/>
      <c r="AKF27" s="7"/>
      <c r="AKG27" s="18"/>
      <c r="AKH27" s="18"/>
      <c r="AKI27" s="17"/>
      <c r="AKJ27" s="17"/>
      <c r="AKK27" s="7"/>
      <c r="AKL27" s="7"/>
      <c r="AKM27" s="8"/>
      <c r="AKN27" s="8"/>
      <c r="AKO27" s="8"/>
      <c r="AKP27" s="8"/>
      <c r="AKQ27" s="8"/>
      <c r="AKR27" s="8"/>
      <c r="AKS27" s="8"/>
      <c r="AKT27" s="8"/>
      <c r="AKU27" s="8"/>
      <c r="AKV27" s="8"/>
      <c r="AKW27" s="8"/>
      <c r="AKX27" s="8"/>
      <c r="AKY27" s="8"/>
      <c r="AKZ27" s="8"/>
      <c r="ALA27" s="8"/>
      <c r="ALB27" s="8"/>
      <c r="ALC27" s="8"/>
      <c r="ALD27" s="8"/>
      <c r="ALE27" s="8"/>
      <c r="ALF27" s="8"/>
      <c r="ALG27" s="11"/>
      <c r="ALI27" s="11"/>
      <c r="ALJ27" s="11"/>
      <c r="ALK27" s="11"/>
      <c r="ALM27" s="11"/>
      <c r="ALN27" s="11"/>
      <c r="ALO27" s="11"/>
      <c r="ALQ27" s="11"/>
      <c r="ALR27" s="11"/>
      <c r="ALS27" s="12"/>
      <c r="ALW27" s="11"/>
      <c r="ALX27" s="12"/>
      <c r="AMH27" s="15"/>
      <c r="AMI27" s="15"/>
      <c r="AMJ27" s="15"/>
      <c r="AMK27" s="15"/>
      <c r="AML27" s="15"/>
      <c r="AMM27" s="15"/>
      <c r="AMN27" s="15"/>
      <c r="AMO27" s="15"/>
      <c r="AMP27" s="15"/>
      <c r="AMQ27" s="15"/>
      <c r="AMR27" s="15"/>
      <c r="AMS27" s="15"/>
      <c r="AMT27" s="15"/>
      <c r="AMU27" s="15"/>
      <c r="AMV27" s="15"/>
      <c r="AMW27" s="15"/>
      <c r="AMX27" s="15"/>
      <c r="AMY27" s="15"/>
      <c r="AMZ27" s="15"/>
      <c r="ANA27" s="15"/>
      <c r="ANB27" s="15"/>
      <c r="AND27" s="11"/>
      <c r="ANE27" s="11"/>
      <c r="ANF27" s="11"/>
      <c r="ANG27" s="11"/>
      <c r="ANH27" s="11"/>
      <c r="ANI27" s="11"/>
      <c r="ANJ27" s="11"/>
      <c r="ANK27" s="11"/>
      <c r="ANL27" s="11"/>
      <c r="ANV27" s="2"/>
      <c r="ANW27" s="27"/>
      <c r="ANX27" s="31"/>
      <c r="ANY27" s="31"/>
      <c r="ANZ27" s="32"/>
      <c r="AOA27" s="32"/>
      <c r="AOB27" s="31"/>
      <c r="AOC27" s="31"/>
      <c r="AOD27" s="33"/>
      <c r="AOE27" s="34"/>
      <c r="AOF27" s="35"/>
      <c r="AOG27" s="36"/>
      <c r="AOH27" s="37"/>
      <c r="AOI27" s="23"/>
      <c r="AOJ27" s="23"/>
      <c r="AOK27" s="23"/>
      <c r="AOL27" s="23"/>
      <c r="AOM27" s="23"/>
      <c r="AON27" s="24"/>
      <c r="AOO27" s="7"/>
      <c r="AOP27" s="7"/>
      <c r="AOQ27" s="7"/>
      <c r="AOR27" s="7"/>
      <c r="AOS27" s="18"/>
      <c r="AOT27" s="18"/>
      <c r="AOU27" s="17"/>
      <c r="AOV27" s="17"/>
      <c r="AOW27" s="7"/>
      <c r="AOX27" s="7"/>
      <c r="AOY27" s="8"/>
      <c r="AOZ27" s="8"/>
      <c r="APA27" s="8"/>
      <c r="APB27" s="8"/>
      <c r="APC27" s="8"/>
      <c r="APD27" s="8"/>
      <c r="APE27" s="8"/>
      <c r="APF27" s="8"/>
      <c r="APG27" s="8"/>
      <c r="APH27" s="8"/>
      <c r="API27" s="8"/>
      <c r="APJ27" s="8"/>
      <c r="APK27" s="8"/>
      <c r="APL27" s="8"/>
      <c r="APM27" s="8"/>
      <c r="APN27" s="8"/>
      <c r="APO27" s="8"/>
      <c r="APP27" s="8"/>
      <c r="APQ27" s="8"/>
      <c r="APR27" s="8"/>
      <c r="APS27" s="11"/>
      <c r="APU27" s="11"/>
      <c r="APV27" s="11"/>
      <c r="APW27" s="11"/>
      <c r="APY27" s="11"/>
      <c r="APZ27" s="11"/>
      <c r="AQA27" s="11"/>
      <c r="AQC27" s="11"/>
      <c r="AQD27" s="11"/>
      <c r="AQE27" s="12"/>
      <c r="AQI27" s="11"/>
      <c r="AQJ27" s="12"/>
      <c r="AQT27" s="15"/>
      <c r="AQU27" s="15"/>
      <c r="AQV27" s="15"/>
      <c r="AQW27" s="15"/>
      <c r="AQX27" s="15"/>
      <c r="AQY27" s="15"/>
      <c r="AQZ27" s="15"/>
      <c r="ARA27" s="15"/>
      <c r="ARB27" s="15"/>
      <c r="ARC27" s="15"/>
      <c r="ARD27" s="15"/>
      <c r="ARE27" s="15"/>
      <c r="ARF27" s="15"/>
      <c r="ARG27" s="15"/>
      <c r="ARH27" s="15"/>
      <c r="ARI27" s="15"/>
      <c r="ARJ27" s="15"/>
      <c r="ARK27" s="15"/>
      <c r="ARL27" s="15"/>
      <c r="ARM27" s="15"/>
      <c r="ARN27" s="15"/>
      <c r="ARP27" s="11"/>
      <c r="ARQ27" s="11"/>
      <c r="ARR27" s="11"/>
      <c r="ARS27" s="11"/>
      <c r="ART27" s="11"/>
      <c r="ARU27" s="11"/>
      <c r="ARV27" s="11"/>
      <c r="ARW27" s="11"/>
      <c r="ARX27" s="11"/>
      <c r="ASH27" s="2"/>
      <c r="ASI27" s="27"/>
      <c r="ASJ27" s="31"/>
      <c r="ASK27" s="31"/>
      <c r="ASL27" s="32"/>
      <c r="ASM27" s="32"/>
      <c r="ASN27" s="31"/>
      <c r="ASO27" s="31"/>
      <c r="ASP27" s="33"/>
      <c r="ASQ27" s="34"/>
      <c r="ASR27" s="35"/>
      <c r="ASS27" s="36"/>
      <c r="AST27" s="37"/>
      <c r="ASU27" s="23"/>
      <c r="ASV27" s="23"/>
      <c r="ASW27" s="23"/>
      <c r="ASX27" s="23"/>
      <c r="ASY27" s="23"/>
      <c r="ASZ27" s="24"/>
      <c r="ATA27" s="7"/>
      <c r="ATB27" s="7"/>
      <c r="ATC27" s="7"/>
      <c r="ATD27" s="7"/>
      <c r="ATE27" s="18"/>
      <c r="ATF27" s="18"/>
      <c r="ATG27" s="17"/>
      <c r="ATH27" s="17"/>
      <c r="ATI27" s="7"/>
      <c r="ATJ27" s="7"/>
      <c r="ATK27" s="8"/>
      <c r="ATL27" s="8"/>
      <c r="ATM27" s="8"/>
      <c r="ATN27" s="8"/>
      <c r="ATO27" s="8"/>
      <c r="ATP27" s="8"/>
      <c r="ATQ27" s="8"/>
      <c r="ATR27" s="8"/>
      <c r="ATS27" s="8"/>
      <c r="ATT27" s="8"/>
      <c r="ATU27" s="8"/>
      <c r="ATV27" s="8"/>
      <c r="ATW27" s="8"/>
      <c r="ATX27" s="8"/>
      <c r="ATY27" s="8"/>
      <c r="ATZ27" s="8"/>
      <c r="AUA27" s="8"/>
      <c r="AUB27" s="8"/>
      <c r="AUC27" s="8"/>
      <c r="AUD27" s="8"/>
      <c r="AUE27" s="11"/>
      <c r="AUG27" s="11"/>
      <c r="AUH27" s="11"/>
      <c r="AUI27" s="11"/>
      <c r="AUK27" s="11"/>
      <c r="AUL27" s="11"/>
      <c r="AUM27" s="11"/>
      <c r="AUO27" s="11"/>
      <c r="AUP27" s="11"/>
      <c r="AUQ27" s="12"/>
      <c r="AUU27" s="11"/>
      <c r="AUV27" s="12"/>
      <c r="AVF27" s="15"/>
      <c r="AVG27" s="15"/>
      <c r="AVH27" s="15"/>
      <c r="AVI27" s="15"/>
      <c r="AVJ27" s="15"/>
      <c r="AVK27" s="15"/>
      <c r="AVL27" s="15"/>
      <c r="AVM27" s="15"/>
      <c r="AVN27" s="15"/>
      <c r="AVO27" s="15"/>
      <c r="AVP27" s="15"/>
      <c r="AVQ27" s="15"/>
      <c r="AVR27" s="15"/>
      <c r="AVS27" s="15"/>
      <c r="AVT27" s="15"/>
      <c r="AVU27" s="15"/>
      <c r="AVV27" s="15"/>
      <c r="AVW27" s="15"/>
      <c r="AVX27" s="15"/>
      <c r="AVY27" s="15"/>
      <c r="AVZ27" s="15"/>
      <c r="AWB27" s="11"/>
      <c r="AWC27" s="11"/>
      <c r="AWD27" s="11"/>
      <c r="AWE27" s="11"/>
      <c r="AWF27" s="11"/>
      <c r="AWG27" s="11"/>
      <c r="AWH27" s="11"/>
      <c r="AWI27" s="11"/>
      <c r="AWJ27" s="11"/>
      <c r="AWT27" s="2"/>
      <c r="AWU27" s="27"/>
      <c r="AWV27" s="31"/>
      <c r="AWW27" s="31"/>
      <c r="AWX27" s="32"/>
      <c r="AWY27" s="32"/>
      <c r="AWZ27" s="31"/>
      <c r="AXA27" s="31"/>
      <c r="AXB27" s="33"/>
      <c r="AXC27" s="34"/>
      <c r="AXD27" s="35"/>
      <c r="AXE27" s="36"/>
      <c r="AXF27" s="37"/>
      <c r="AXG27" s="23"/>
      <c r="AXH27" s="23"/>
      <c r="AXI27" s="23"/>
      <c r="AXJ27" s="23"/>
      <c r="AXK27" s="23"/>
      <c r="AXL27" s="24"/>
      <c r="AXM27" s="7"/>
      <c r="AXN27" s="7"/>
      <c r="AXO27" s="7"/>
      <c r="AXP27" s="7"/>
      <c r="AXQ27" s="18"/>
      <c r="AXR27" s="18"/>
      <c r="AXS27" s="17"/>
      <c r="AXT27" s="17"/>
      <c r="AXU27" s="7"/>
      <c r="AXV27" s="7"/>
      <c r="AXW27" s="8"/>
      <c r="AXX27" s="8"/>
      <c r="AXY27" s="8"/>
      <c r="AXZ27" s="8"/>
      <c r="AYA27" s="8"/>
      <c r="AYB27" s="8"/>
      <c r="AYC27" s="8"/>
      <c r="AYD27" s="8"/>
      <c r="AYE27" s="8"/>
      <c r="AYF27" s="8"/>
      <c r="AYG27" s="8"/>
      <c r="AYH27" s="8"/>
      <c r="AYI27" s="8"/>
      <c r="AYJ27" s="8"/>
      <c r="AYK27" s="8"/>
      <c r="AYL27" s="8"/>
      <c r="AYM27" s="8"/>
      <c r="AYN27" s="8"/>
      <c r="AYO27" s="8"/>
      <c r="AYP27" s="8"/>
      <c r="AYQ27" s="11"/>
      <c r="AYS27" s="11"/>
      <c r="AYT27" s="11"/>
      <c r="AYU27" s="11"/>
      <c r="AYW27" s="11"/>
      <c r="AYX27" s="11"/>
      <c r="AYY27" s="11"/>
      <c r="AZA27" s="11"/>
      <c r="AZB27" s="11"/>
      <c r="AZC27" s="12"/>
      <c r="AZG27" s="11"/>
      <c r="AZH27" s="12"/>
      <c r="AZR27" s="15"/>
      <c r="AZS27" s="15"/>
      <c r="AZT27" s="15"/>
      <c r="AZU27" s="15"/>
      <c r="AZV27" s="15"/>
      <c r="AZW27" s="15"/>
      <c r="AZX27" s="15"/>
      <c r="AZY27" s="15"/>
      <c r="AZZ27" s="15"/>
      <c r="BAA27" s="15"/>
      <c r="BAB27" s="15"/>
      <c r="BAC27" s="15"/>
      <c r="BAD27" s="15"/>
      <c r="BAE27" s="15"/>
      <c r="BAF27" s="15"/>
      <c r="BAG27" s="15"/>
      <c r="BAH27" s="15"/>
      <c r="BAI27" s="15"/>
      <c r="BAJ27" s="15"/>
      <c r="BAK27" s="15"/>
      <c r="BAL27" s="15"/>
      <c r="BAN27" s="11"/>
      <c r="BAO27" s="11"/>
      <c r="BAP27" s="11"/>
      <c r="BAQ27" s="11"/>
      <c r="BAR27" s="11"/>
      <c r="BAS27" s="11"/>
      <c r="BAT27" s="11"/>
      <c r="BAU27" s="11"/>
      <c r="BAV27" s="11"/>
      <c r="BBF27" s="2"/>
      <c r="BBG27" s="27"/>
      <c r="BBH27" s="31"/>
      <c r="BBI27" s="31"/>
      <c r="BBJ27" s="32"/>
      <c r="BBK27" s="32"/>
      <c r="BBL27" s="31"/>
      <c r="BBM27" s="31"/>
      <c r="BBN27" s="33"/>
      <c r="BBO27" s="34"/>
      <c r="BBP27" s="35"/>
      <c r="BBQ27" s="36"/>
      <c r="BBR27" s="37"/>
      <c r="BBS27" s="23"/>
      <c r="BBT27" s="23"/>
      <c r="BBU27" s="23"/>
      <c r="BBV27" s="23"/>
      <c r="BBW27" s="23"/>
      <c r="BBX27" s="24"/>
      <c r="BBY27" s="7"/>
      <c r="BBZ27" s="7"/>
      <c r="BCA27" s="7"/>
      <c r="BCB27" s="7"/>
      <c r="BCC27" s="18"/>
      <c r="BCD27" s="18"/>
      <c r="BCE27" s="17"/>
      <c r="BCF27" s="17"/>
      <c r="BCG27" s="7"/>
      <c r="BCH27" s="7"/>
      <c r="BCI27" s="8"/>
      <c r="BCJ27" s="8"/>
      <c r="BCK27" s="8"/>
      <c r="BCL27" s="8"/>
      <c r="BCM27" s="8"/>
      <c r="BCN27" s="8"/>
      <c r="BCO27" s="8"/>
      <c r="BCP27" s="8"/>
      <c r="BCQ27" s="8"/>
      <c r="BCR27" s="8"/>
      <c r="BCS27" s="8"/>
      <c r="BCT27" s="8"/>
      <c r="BCU27" s="8"/>
      <c r="BCV27" s="8"/>
      <c r="BCW27" s="8"/>
      <c r="BCX27" s="8"/>
      <c r="BCY27" s="8"/>
      <c r="BCZ27" s="8"/>
      <c r="BDA27" s="8"/>
      <c r="BDB27" s="8"/>
      <c r="BDC27" s="11"/>
      <c r="BDE27" s="11"/>
      <c r="BDF27" s="11"/>
      <c r="BDG27" s="11"/>
      <c r="BDI27" s="11"/>
      <c r="BDJ27" s="11"/>
      <c r="BDK27" s="11"/>
      <c r="BDM27" s="11"/>
      <c r="BDN27" s="11"/>
      <c r="BDO27" s="12"/>
      <c r="BDS27" s="11"/>
      <c r="BDT27" s="12"/>
      <c r="BED27" s="15"/>
      <c r="BEE27" s="15"/>
      <c r="BEF27" s="15"/>
      <c r="BEG27" s="15"/>
      <c r="BEH27" s="15"/>
      <c r="BEI27" s="15"/>
      <c r="BEJ27" s="15"/>
      <c r="BEK27" s="15"/>
      <c r="BEL27" s="15"/>
      <c r="BEM27" s="15"/>
      <c r="BEN27" s="15"/>
      <c r="BEO27" s="15"/>
      <c r="BEP27" s="15"/>
      <c r="BEQ27" s="15"/>
      <c r="BER27" s="15"/>
      <c r="BES27" s="15"/>
      <c r="BET27" s="15"/>
      <c r="BEU27" s="15"/>
      <c r="BEV27" s="15"/>
      <c r="BEW27" s="15"/>
      <c r="BEX27" s="15"/>
      <c r="BEZ27" s="11"/>
      <c r="BFA27" s="11"/>
      <c r="BFB27" s="11"/>
      <c r="BFC27" s="11"/>
      <c r="BFD27" s="11"/>
      <c r="BFE27" s="11"/>
      <c r="BFF27" s="11"/>
      <c r="BFG27" s="11"/>
      <c r="BFH27" s="11"/>
      <c r="BFR27" s="2"/>
      <c r="BFS27" s="27"/>
      <c r="BFT27" s="31"/>
      <c r="BFU27" s="31"/>
      <c r="BFV27" s="32"/>
      <c r="BFW27" s="32"/>
      <c r="BFX27" s="31"/>
      <c r="BFY27" s="31"/>
      <c r="BFZ27" s="33"/>
      <c r="BGA27" s="34"/>
      <c r="BGB27" s="35"/>
      <c r="BGC27" s="36"/>
      <c r="BGD27" s="37"/>
      <c r="BGE27" s="23"/>
      <c r="BGF27" s="23"/>
      <c r="BGG27" s="23"/>
      <c r="BGH27" s="23"/>
      <c r="BGI27" s="23"/>
      <c r="BGJ27" s="24"/>
      <c r="BGK27" s="7"/>
      <c r="BGL27" s="7"/>
      <c r="BGM27" s="7"/>
      <c r="BGN27" s="7"/>
      <c r="BGO27" s="18"/>
      <c r="BGP27" s="18"/>
      <c r="BGQ27" s="17"/>
      <c r="BGR27" s="17"/>
      <c r="BGS27" s="7"/>
      <c r="BGT27" s="7"/>
      <c r="BGU27" s="8"/>
      <c r="BGV27" s="8"/>
      <c r="BGW27" s="8"/>
      <c r="BGX27" s="8"/>
      <c r="BGY27" s="8"/>
      <c r="BGZ27" s="8"/>
      <c r="BHA27" s="8"/>
      <c r="BHB27" s="8"/>
      <c r="BHC27" s="8"/>
      <c r="BHD27" s="8"/>
      <c r="BHE27" s="8"/>
      <c r="BHF27" s="8"/>
      <c r="BHG27" s="8"/>
      <c r="BHH27" s="8"/>
      <c r="BHI27" s="8"/>
      <c r="BHJ27" s="8"/>
      <c r="BHK27" s="8"/>
      <c r="BHL27" s="8"/>
      <c r="BHM27" s="8"/>
      <c r="BHN27" s="8"/>
      <c r="BHO27" s="11"/>
      <c r="BHQ27" s="11"/>
      <c r="BHR27" s="11"/>
      <c r="BHS27" s="11"/>
      <c r="BHU27" s="11"/>
      <c r="BHV27" s="11"/>
      <c r="BHW27" s="11"/>
      <c r="BHY27" s="11"/>
      <c r="BHZ27" s="11"/>
      <c r="BIA27" s="12"/>
      <c r="BIE27" s="11"/>
      <c r="BIF27" s="12"/>
      <c r="BIP27" s="15"/>
      <c r="BIQ27" s="15"/>
      <c r="BIR27" s="15"/>
      <c r="BIS27" s="15"/>
      <c r="BIT27" s="15"/>
      <c r="BIU27" s="15"/>
      <c r="BIV27" s="15"/>
      <c r="BIW27" s="15"/>
      <c r="BIX27" s="15"/>
      <c r="BIY27" s="15"/>
      <c r="BIZ27" s="15"/>
      <c r="BJA27" s="15"/>
      <c r="BJB27" s="15"/>
      <c r="BJC27" s="15"/>
      <c r="BJD27" s="15"/>
      <c r="BJE27" s="15"/>
      <c r="BJF27" s="15"/>
      <c r="BJG27" s="15"/>
      <c r="BJH27" s="15"/>
      <c r="BJI27" s="15"/>
      <c r="BJJ27" s="15"/>
      <c r="BJL27" s="11"/>
      <c r="BJM27" s="11"/>
      <c r="BJN27" s="11"/>
      <c r="BJO27" s="11"/>
      <c r="BJP27" s="11"/>
      <c r="BJQ27" s="11"/>
      <c r="BJR27" s="11"/>
      <c r="BJS27" s="11"/>
      <c r="BJT27" s="11"/>
      <c r="BKD27" s="2"/>
      <c r="BKE27" s="27"/>
      <c r="BKF27" s="31"/>
      <c r="BKG27" s="31"/>
      <c r="BKH27" s="32"/>
      <c r="BKI27" s="32"/>
      <c r="BKJ27" s="31"/>
      <c r="BKK27" s="31"/>
      <c r="BKL27" s="33"/>
      <c r="BKM27" s="34"/>
      <c r="BKN27" s="35"/>
      <c r="BKO27" s="36"/>
      <c r="BKP27" s="37"/>
      <c r="BKQ27" s="23"/>
      <c r="BKR27" s="23"/>
      <c r="BKS27" s="23"/>
      <c r="BKT27" s="23"/>
      <c r="BKU27" s="23"/>
      <c r="BKV27" s="24"/>
      <c r="BKW27" s="7"/>
      <c r="BKX27" s="7"/>
      <c r="BKY27" s="7"/>
      <c r="BKZ27" s="7"/>
      <c r="BLA27" s="18"/>
      <c r="BLB27" s="18"/>
      <c r="BLC27" s="17"/>
      <c r="BLD27" s="17"/>
      <c r="BLE27" s="7"/>
      <c r="BLF27" s="7"/>
      <c r="BLG27" s="8"/>
      <c r="BLH27" s="8"/>
      <c r="BLI27" s="8"/>
      <c r="BLJ27" s="8"/>
      <c r="BLK27" s="8"/>
      <c r="BLL27" s="8"/>
      <c r="BLM27" s="8"/>
      <c r="BLN27" s="8"/>
      <c r="BLO27" s="8"/>
      <c r="BLP27" s="8"/>
      <c r="BLQ27" s="8"/>
      <c r="BLR27" s="8"/>
      <c r="BLS27" s="8"/>
      <c r="BLT27" s="8"/>
      <c r="BLU27" s="8"/>
      <c r="BLV27" s="8"/>
      <c r="BLW27" s="8"/>
      <c r="BLX27" s="8"/>
      <c r="BLY27" s="8"/>
      <c r="BLZ27" s="8"/>
      <c r="BMA27" s="11"/>
      <c r="BMC27" s="11"/>
      <c r="BMD27" s="11"/>
      <c r="BME27" s="11"/>
      <c r="BMG27" s="11"/>
      <c r="BMH27" s="11"/>
      <c r="BMI27" s="11"/>
      <c r="BMK27" s="11"/>
      <c r="BML27" s="11"/>
      <c r="BMM27" s="12"/>
      <c r="BMQ27" s="11"/>
      <c r="BMR27" s="12"/>
      <c r="BNB27" s="15"/>
      <c r="BNC27" s="15"/>
      <c r="BND27" s="15"/>
      <c r="BNE27" s="15"/>
      <c r="BNF27" s="15"/>
      <c r="BNG27" s="15"/>
      <c r="BNH27" s="15"/>
      <c r="BNI27" s="15"/>
      <c r="BNJ27" s="15"/>
      <c r="BNK27" s="15"/>
      <c r="BNL27" s="15"/>
      <c r="BNM27" s="15"/>
      <c r="BNN27" s="15"/>
      <c r="BNO27" s="15"/>
      <c r="BNP27" s="15"/>
      <c r="BNQ27" s="15"/>
      <c r="BNR27" s="15"/>
      <c r="BNS27" s="15"/>
      <c r="BNT27" s="15"/>
      <c r="BNU27" s="15"/>
      <c r="BNV27" s="15"/>
      <c r="BNX27" s="11"/>
      <c r="BNY27" s="11"/>
      <c r="BNZ27" s="11"/>
      <c r="BOA27" s="11"/>
      <c r="BOB27" s="11"/>
      <c r="BOC27" s="11"/>
      <c r="BOD27" s="11"/>
      <c r="BOE27" s="11"/>
      <c r="BOF27" s="11"/>
      <c r="BOP27" s="2"/>
      <c r="BOQ27" s="27"/>
      <c r="BOR27" s="31"/>
      <c r="BOS27" s="31"/>
      <c r="BOT27" s="32"/>
      <c r="BOU27" s="32"/>
      <c r="BOV27" s="31"/>
      <c r="BOW27" s="31"/>
      <c r="BOX27" s="33"/>
      <c r="BOY27" s="34"/>
      <c r="BOZ27" s="35"/>
      <c r="BPA27" s="36"/>
      <c r="BPB27" s="37"/>
      <c r="BPC27" s="23"/>
      <c r="BPD27" s="23"/>
      <c r="BPE27" s="23"/>
      <c r="BPF27" s="23"/>
      <c r="BPG27" s="23"/>
      <c r="BPH27" s="24"/>
      <c r="BPI27" s="7"/>
      <c r="BPJ27" s="7"/>
      <c r="BPK27" s="7"/>
      <c r="BPL27" s="7"/>
      <c r="BPM27" s="18"/>
      <c r="BPN27" s="18"/>
      <c r="BPO27" s="17"/>
      <c r="BPP27" s="17"/>
      <c r="BPQ27" s="7"/>
      <c r="BPR27" s="7"/>
      <c r="BPS27" s="8"/>
      <c r="BPT27" s="8"/>
      <c r="BPU27" s="8"/>
      <c r="BPV27" s="8"/>
      <c r="BPW27" s="8"/>
      <c r="BPX27" s="8"/>
      <c r="BPY27" s="8"/>
      <c r="BPZ27" s="8"/>
      <c r="BQA27" s="8"/>
      <c r="BQB27" s="8"/>
      <c r="BQC27" s="8"/>
      <c r="BQD27" s="8"/>
      <c r="BQE27" s="8"/>
      <c r="BQF27" s="8"/>
      <c r="BQG27" s="8"/>
      <c r="BQH27" s="8"/>
      <c r="BQI27" s="8"/>
      <c r="BQJ27" s="8"/>
      <c r="BQK27" s="8"/>
      <c r="BQL27" s="8"/>
      <c r="BQM27" s="11"/>
      <c r="BQO27" s="11"/>
      <c r="BQP27" s="11"/>
      <c r="BQQ27" s="11"/>
      <c r="BQS27" s="11"/>
      <c r="BQT27" s="11"/>
      <c r="BQU27" s="11"/>
      <c r="BQW27" s="11"/>
      <c r="BQX27" s="11"/>
      <c r="BQY27" s="12"/>
      <c r="BRC27" s="11"/>
      <c r="BRD27" s="12"/>
      <c r="BRN27" s="15"/>
      <c r="BRO27" s="15"/>
      <c r="BRP27" s="15"/>
      <c r="BRQ27" s="15"/>
      <c r="BRR27" s="15"/>
      <c r="BRS27" s="15"/>
      <c r="BRT27" s="15"/>
      <c r="BRU27" s="15"/>
      <c r="BRV27" s="15"/>
      <c r="BRW27" s="15"/>
      <c r="BRX27" s="15"/>
      <c r="BRY27" s="15"/>
      <c r="BRZ27" s="15"/>
      <c r="BSA27" s="15"/>
      <c r="BSB27" s="15"/>
      <c r="BSC27" s="15"/>
      <c r="BSD27" s="15"/>
      <c r="BSE27" s="15"/>
      <c r="BSF27" s="15"/>
      <c r="BSG27" s="15"/>
      <c r="BSH27" s="15"/>
      <c r="BSJ27" s="11"/>
      <c r="BSK27" s="11"/>
      <c r="BSL27" s="11"/>
      <c r="BSM27" s="11"/>
      <c r="BSN27" s="11"/>
      <c r="BSO27" s="11"/>
      <c r="BSP27" s="11"/>
      <c r="BSQ27" s="11"/>
      <c r="BSR27" s="11"/>
      <c r="BTB27" s="2"/>
      <c r="BTC27" s="27"/>
      <c r="BTD27" s="31"/>
      <c r="BTE27" s="31"/>
      <c r="BTF27" s="32"/>
      <c r="BTG27" s="32"/>
      <c r="BTH27" s="31"/>
      <c r="BTI27" s="31"/>
      <c r="BTJ27" s="33"/>
      <c r="BTK27" s="34"/>
      <c r="BTL27" s="35"/>
      <c r="BTM27" s="36"/>
      <c r="BTN27" s="37"/>
      <c r="BTO27" s="23"/>
      <c r="BTP27" s="23"/>
      <c r="BTQ27" s="23"/>
      <c r="BTR27" s="23"/>
      <c r="BTS27" s="23"/>
      <c r="BTT27" s="24"/>
      <c r="BTU27" s="7"/>
      <c r="BTV27" s="7"/>
      <c r="BTW27" s="7"/>
      <c r="BTX27" s="7"/>
      <c r="BTY27" s="18"/>
      <c r="BTZ27" s="18"/>
      <c r="BUA27" s="17"/>
      <c r="BUB27" s="17"/>
      <c r="BUC27" s="7"/>
      <c r="BUD27" s="7"/>
      <c r="BUE27" s="8"/>
      <c r="BUF27" s="8"/>
      <c r="BUG27" s="8"/>
      <c r="BUH27" s="8"/>
      <c r="BUI27" s="8"/>
      <c r="BUJ27" s="8"/>
      <c r="BUK27" s="8"/>
      <c r="BUL27" s="8"/>
      <c r="BUM27" s="8"/>
      <c r="BUN27" s="8"/>
      <c r="BUO27" s="8"/>
      <c r="BUP27" s="8"/>
      <c r="BUQ27" s="8"/>
      <c r="BUR27" s="8"/>
      <c r="BUS27" s="8"/>
      <c r="BUT27" s="8"/>
      <c r="BUU27" s="8"/>
      <c r="BUV27" s="8"/>
      <c r="BUW27" s="8"/>
      <c r="BUX27" s="8"/>
      <c r="BUY27" s="11"/>
      <c r="BVA27" s="11"/>
      <c r="BVB27" s="11"/>
      <c r="BVC27" s="11"/>
      <c r="BVE27" s="11"/>
      <c r="BVF27" s="11"/>
      <c r="BVG27" s="11"/>
      <c r="BVI27" s="11"/>
      <c r="BVJ27" s="11"/>
      <c r="BVK27" s="12"/>
      <c r="BVO27" s="11"/>
      <c r="BVP27" s="12"/>
      <c r="BVZ27" s="15"/>
      <c r="BWA27" s="15"/>
      <c r="BWB27" s="15"/>
      <c r="BWC27" s="15"/>
      <c r="BWD27" s="15"/>
      <c r="BWE27" s="15"/>
      <c r="BWF27" s="15"/>
      <c r="BWG27" s="15"/>
      <c r="BWH27" s="15"/>
      <c r="BWI27" s="15"/>
      <c r="BWJ27" s="15"/>
      <c r="BWK27" s="15"/>
      <c r="BWL27" s="15"/>
      <c r="BWM27" s="15"/>
      <c r="BWN27" s="15"/>
      <c r="BWO27" s="15"/>
      <c r="BWP27" s="15"/>
      <c r="BWQ27" s="15"/>
      <c r="BWR27" s="15"/>
      <c r="BWS27" s="15"/>
      <c r="BWT27" s="15"/>
      <c r="BWV27" s="11"/>
      <c r="BWW27" s="11"/>
      <c r="BWX27" s="11"/>
      <c r="BWY27" s="11"/>
      <c r="BWZ27" s="11"/>
      <c r="BXA27" s="11"/>
      <c r="BXB27" s="11"/>
      <c r="BXC27" s="11"/>
      <c r="BXD27" s="11"/>
      <c r="BXN27" s="2"/>
      <c r="BXO27" s="27"/>
      <c r="BXP27" s="31"/>
      <c r="BXQ27" s="31"/>
      <c r="BXR27" s="32"/>
      <c r="BXS27" s="32"/>
      <c r="BXT27" s="31"/>
      <c r="BXU27" s="31"/>
      <c r="BXV27" s="33"/>
      <c r="BXW27" s="34"/>
      <c r="BXX27" s="35"/>
      <c r="BXY27" s="36"/>
      <c r="BXZ27" s="37"/>
      <c r="BYA27" s="23"/>
      <c r="BYB27" s="23"/>
      <c r="BYC27" s="23"/>
      <c r="BYD27" s="23"/>
      <c r="BYE27" s="23"/>
      <c r="BYF27" s="24"/>
      <c r="BYG27" s="7"/>
      <c r="BYH27" s="7"/>
      <c r="BYI27" s="7"/>
      <c r="BYJ27" s="7"/>
      <c r="BYK27" s="18"/>
      <c r="BYL27" s="18"/>
      <c r="BYM27" s="17"/>
      <c r="BYN27" s="17"/>
      <c r="BYO27" s="7"/>
      <c r="BYP27" s="7"/>
      <c r="BYQ27" s="8"/>
      <c r="BYR27" s="8"/>
      <c r="BYS27" s="8"/>
      <c r="BYT27" s="8"/>
      <c r="BYU27" s="8"/>
      <c r="BYV27" s="8"/>
      <c r="BYW27" s="8"/>
      <c r="BYX27" s="8"/>
      <c r="BYY27" s="8"/>
      <c r="BYZ27" s="8"/>
      <c r="BZA27" s="8"/>
      <c r="BZB27" s="8"/>
      <c r="BZC27" s="8"/>
      <c r="BZD27" s="8"/>
      <c r="BZE27" s="8"/>
      <c r="BZF27" s="8"/>
      <c r="BZG27" s="8"/>
      <c r="BZH27" s="8"/>
      <c r="BZI27" s="8"/>
      <c r="BZJ27" s="8"/>
      <c r="BZK27" s="11"/>
      <c r="BZM27" s="11"/>
      <c r="BZN27" s="11"/>
      <c r="BZO27" s="11"/>
      <c r="BZQ27" s="11"/>
      <c r="BZR27" s="11"/>
      <c r="BZS27" s="11"/>
      <c r="BZU27" s="11"/>
      <c r="BZV27" s="11"/>
      <c r="BZW27" s="12"/>
      <c r="CAA27" s="11"/>
      <c r="CAB27" s="12"/>
      <c r="CAL27" s="15"/>
      <c r="CAM27" s="15"/>
      <c r="CAN27" s="15"/>
      <c r="CAO27" s="15"/>
      <c r="CAP27" s="15"/>
      <c r="CAQ27" s="15"/>
      <c r="CAR27" s="15"/>
      <c r="CAS27" s="15"/>
      <c r="CAT27" s="15"/>
      <c r="CAU27" s="15"/>
      <c r="CAV27" s="15"/>
      <c r="CAW27" s="15"/>
      <c r="CAX27" s="15"/>
      <c r="CAY27" s="15"/>
      <c r="CAZ27" s="15"/>
      <c r="CBA27" s="15"/>
      <c r="CBB27" s="15"/>
      <c r="CBC27" s="15"/>
      <c r="CBD27" s="15"/>
      <c r="CBE27" s="15"/>
      <c r="CBF27" s="15"/>
      <c r="CBH27" s="11"/>
      <c r="CBI27" s="11"/>
      <c r="CBJ27" s="11"/>
      <c r="CBK27" s="11"/>
      <c r="CBL27" s="11"/>
      <c r="CBM27" s="11"/>
      <c r="CBN27" s="11"/>
      <c r="CBO27" s="11"/>
      <c r="CBP27" s="11"/>
      <c r="CBZ27" s="2"/>
      <c r="CCA27" s="27"/>
      <c r="CCB27" s="31"/>
      <c r="CCC27" s="31"/>
      <c r="CCD27" s="32"/>
      <c r="CCE27" s="32"/>
      <c r="CCF27" s="31"/>
      <c r="CCG27" s="31"/>
      <c r="CCH27" s="33"/>
      <c r="CCI27" s="34"/>
      <c r="CCJ27" s="35"/>
      <c r="CCK27" s="36"/>
      <c r="CCL27" s="37"/>
      <c r="CCM27" s="23"/>
      <c r="CCN27" s="23"/>
      <c r="CCO27" s="23"/>
      <c r="CCP27" s="23"/>
      <c r="CCQ27" s="23"/>
      <c r="CCR27" s="24"/>
      <c r="CCS27" s="7"/>
      <c r="CCT27" s="7"/>
      <c r="CCU27" s="7"/>
      <c r="CCV27" s="7"/>
      <c r="CCW27" s="18"/>
      <c r="CCX27" s="18"/>
      <c r="CCY27" s="17"/>
      <c r="CCZ27" s="17"/>
      <c r="CDA27" s="7"/>
      <c r="CDB27" s="7"/>
      <c r="CDC27" s="8"/>
      <c r="CDD27" s="8"/>
      <c r="CDE27" s="8"/>
      <c r="CDF27" s="8"/>
      <c r="CDG27" s="8"/>
      <c r="CDH27" s="8"/>
      <c r="CDI27" s="8"/>
      <c r="CDJ27" s="8"/>
      <c r="CDK27" s="8"/>
      <c r="CDL27" s="8"/>
      <c r="CDM27" s="8"/>
      <c r="CDN27" s="8"/>
      <c r="CDO27" s="8"/>
      <c r="CDP27" s="8"/>
      <c r="CDQ27" s="8"/>
      <c r="CDR27" s="8"/>
      <c r="CDS27" s="8"/>
      <c r="CDT27" s="8"/>
      <c r="CDU27" s="8"/>
      <c r="CDV27" s="8"/>
      <c r="CDW27" s="11"/>
      <c r="CDY27" s="11"/>
      <c r="CDZ27" s="11"/>
      <c r="CEA27" s="11"/>
      <c r="CEC27" s="11"/>
      <c r="CED27" s="11"/>
      <c r="CEE27" s="11"/>
      <c r="CEG27" s="11"/>
      <c r="CEH27" s="11"/>
      <c r="CEI27" s="12"/>
      <c r="CEM27" s="11"/>
      <c r="CEN27" s="12"/>
      <c r="CEX27" s="15"/>
      <c r="CEY27" s="15"/>
      <c r="CEZ27" s="15"/>
      <c r="CFA27" s="15"/>
      <c r="CFB27" s="15"/>
      <c r="CFC27" s="15"/>
      <c r="CFD27" s="15"/>
      <c r="CFE27" s="15"/>
      <c r="CFF27" s="15"/>
      <c r="CFG27" s="15"/>
      <c r="CFH27" s="15"/>
      <c r="CFI27" s="15"/>
      <c r="CFJ27" s="15"/>
      <c r="CFK27" s="15"/>
      <c r="CFL27" s="15"/>
      <c r="CFM27" s="15"/>
      <c r="CFN27" s="15"/>
      <c r="CFO27" s="15"/>
      <c r="CFP27" s="15"/>
      <c r="CFQ27" s="15"/>
      <c r="CFR27" s="15"/>
      <c r="CFT27" s="11"/>
      <c r="CFU27" s="11"/>
      <c r="CFV27" s="11"/>
      <c r="CFW27" s="11"/>
      <c r="CFX27" s="11"/>
      <c r="CFY27" s="11"/>
      <c r="CFZ27" s="11"/>
      <c r="CGA27" s="11"/>
      <c r="CGB27" s="11"/>
      <c r="CGL27" s="2"/>
      <c r="CGM27" s="27"/>
      <c r="CGN27" s="31"/>
      <c r="CGO27" s="31"/>
      <c r="CGP27" s="32"/>
      <c r="CGQ27" s="32"/>
      <c r="CGR27" s="31"/>
      <c r="CGS27" s="31"/>
      <c r="CGT27" s="33"/>
      <c r="CGU27" s="34"/>
      <c r="CGV27" s="35"/>
      <c r="CGW27" s="36"/>
      <c r="CGX27" s="37"/>
      <c r="CGY27" s="23"/>
      <c r="CGZ27" s="23"/>
      <c r="CHA27" s="23"/>
      <c r="CHB27" s="23"/>
      <c r="CHC27" s="23"/>
      <c r="CHD27" s="24"/>
      <c r="CHE27" s="7"/>
      <c r="CHF27" s="7"/>
      <c r="CHG27" s="7"/>
      <c r="CHH27" s="7"/>
      <c r="CHI27" s="18"/>
      <c r="CHJ27" s="18"/>
      <c r="CHK27" s="17"/>
      <c r="CHL27" s="17"/>
      <c r="CHM27" s="7"/>
      <c r="CHN27" s="7"/>
      <c r="CHO27" s="8"/>
      <c r="CHP27" s="8"/>
      <c r="CHQ27" s="8"/>
      <c r="CHR27" s="8"/>
      <c r="CHS27" s="8"/>
      <c r="CHT27" s="8"/>
      <c r="CHU27" s="8"/>
      <c r="CHV27" s="8"/>
      <c r="CHW27" s="8"/>
      <c r="CHX27" s="8"/>
      <c r="CHY27" s="8"/>
      <c r="CHZ27" s="8"/>
      <c r="CIA27" s="8"/>
      <c r="CIB27" s="8"/>
      <c r="CIC27" s="8"/>
      <c r="CID27" s="8"/>
      <c r="CIE27" s="8"/>
      <c r="CIF27" s="8"/>
      <c r="CIG27" s="8"/>
      <c r="CIH27" s="8"/>
      <c r="CII27" s="11"/>
      <c r="CIK27" s="11"/>
      <c r="CIL27" s="11"/>
      <c r="CIM27" s="11"/>
      <c r="CIO27" s="11"/>
      <c r="CIP27" s="11"/>
      <c r="CIQ27" s="11"/>
      <c r="CIS27" s="11"/>
      <c r="CIT27" s="11"/>
      <c r="CIU27" s="12"/>
      <c r="CIY27" s="11"/>
      <c r="CIZ27" s="12"/>
      <c r="CJJ27" s="15"/>
      <c r="CJK27" s="15"/>
      <c r="CJL27" s="15"/>
      <c r="CJM27" s="15"/>
      <c r="CJN27" s="15"/>
      <c r="CJO27" s="15"/>
      <c r="CJP27" s="15"/>
      <c r="CJQ27" s="15"/>
      <c r="CJR27" s="15"/>
      <c r="CJS27" s="15"/>
      <c r="CJT27" s="15"/>
      <c r="CJU27" s="15"/>
      <c r="CJV27" s="15"/>
      <c r="CJW27" s="15"/>
      <c r="CJX27" s="15"/>
      <c r="CJY27" s="15"/>
      <c r="CJZ27" s="15"/>
      <c r="CKA27" s="15"/>
      <c r="CKB27" s="15"/>
      <c r="CKC27" s="15"/>
      <c r="CKD27" s="15"/>
      <c r="CKF27" s="11"/>
      <c r="CKG27" s="11"/>
      <c r="CKH27" s="11"/>
      <c r="CKI27" s="11"/>
      <c r="CKJ27" s="11"/>
      <c r="CKK27" s="11"/>
      <c r="CKL27" s="11"/>
      <c r="CKM27" s="11"/>
      <c r="CKN27" s="11"/>
      <c r="CKX27" s="2"/>
      <c r="CKY27" s="27"/>
      <c r="CKZ27" s="31"/>
      <c r="CLA27" s="31"/>
      <c r="CLB27" s="32"/>
      <c r="CLC27" s="32"/>
      <c r="CLD27" s="31"/>
      <c r="CLE27" s="31"/>
      <c r="CLF27" s="33"/>
      <c r="CLG27" s="34"/>
      <c r="CLH27" s="35"/>
      <c r="CLI27" s="36"/>
      <c r="CLJ27" s="37"/>
      <c r="CLK27" s="23"/>
      <c r="CLL27" s="23"/>
      <c r="CLM27" s="23"/>
      <c r="CLN27" s="23"/>
      <c r="CLO27" s="23"/>
      <c r="CLP27" s="24"/>
      <c r="CLQ27" s="7"/>
      <c r="CLR27" s="7"/>
      <c r="CLS27" s="7"/>
      <c r="CLT27" s="7"/>
      <c r="CLU27" s="18"/>
      <c r="CLV27" s="18"/>
      <c r="CLW27" s="17"/>
      <c r="CLX27" s="17"/>
      <c r="CLY27" s="7"/>
      <c r="CLZ27" s="7"/>
      <c r="CMA27" s="8"/>
      <c r="CMB27" s="8"/>
      <c r="CMC27" s="8"/>
      <c r="CMD27" s="8"/>
      <c r="CME27" s="8"/>
      <c r="CMF27" s="8"/>
      <c r="CMG27" s="8"/>
      <c r="CMH27" s="8"/>
      <c r="CMI27" s="8"/>
      <c r="CMJ27" s="8"/>
      <c r="CMK27" s="8"/>
      <c r="CML27" s="8"/>
      <c r="CMM27" s="8"/>
      <c r="CMN27" s="8"/>
      <c r="CMO27" s="8"/>
      <c r="CMP27" s="8"/>
      <c r="CMQ27" s="8"/>
      <c r="CMR27" s="8"/>
      <c r="CMS27" s="8"/>
      <c r="CMT27" s="8"/>
      <c r="CMU27" s="11"/>
      <c r="CMW27" s="11"/>
      <c r="CMX27" s="11"/>
      <c r="CMY27" s="11"/>
      <c r="CNA27" s="11"/>
      <c r="CNB27" s="11"/>
      <c r="CNC27" s="11"/>
      <c r="CNE27" s="11"/>
      <c r="CNF27" s="11"/>
      <c r="CNG27" s="12"/>
      <c r="CNK27" s="11"/>
      <c r="CNL27" s="12"/>
      <c r="CNV27" s="15"/>
      <c r="CNW27" s="15"/>
      <c r="CNX27" s="15"/>
      <c r="CNY27" s="15"/>
      <c r="CNZ27" s="15"/>
      <c r="COA27" s="15"/>
      <c r="COB27" s="15"/>
      <c r="COC27" s="15"/>
      <c r="COD27" s="15"/>
      <c r="COE27" s="15"/>
      <c r="COF27" s="15"/>
      <c r="COG27" s="15"/>
      <c r="COH27" s="15"/>
      <c r="COI27" s="15"/>
      <c r="COJ27" s="15"/>
      <c r="COK27" s="15"/>
      <c r="COL27" s="15"/>
      <c r="COM27" s="15"/>
      <c r="CON27" s="15"/>
      <c r="COO27" s="15"/>
      <c r="COP27" s="15"/>
      <c r="COR27" s="11"/>
      <c r="COS27" s="11"/>
      <c r="COT27" s="11"/>
      <c r="COU27" s="11"/>
      <c r="COV27" s="11"/>
      <c r="COW27" s="11"/>
      <c r="COX27" s="11"/>
      <c r="COY27" s="11"/>
      <c r="COZ27" s="11"/>
      <c r="CPJ27" s="2"/>
      <c r="CPK27" s="27"/>
      <c r="CPL27" s="31"/>
      <c r="CPM27" s="31"/>
      <c r="CPN27" s="32"/>
      <c r="CPO27" s="32"/>
      <c r="CPP27" s="31"/>
      <c r="CPQ27" s="31"/>
      <c r="CPR27" s="33"/>
      <c r="CPS27" s="34"/>
      <c r="CPT27" s="35"/>
      <c r="CPU27" s="36"/>
      <c r="CPV27" s="37"/>
      <c r="CPW27" s="23"/>
      <c r="CPX27" s="23"/>
      <c r="CPY27" s="23"/>
      <c r="CPZ27" s="23"/>
      <c r="CQA27" s="23"/>
      <c r="CQB27" s="24"/>
      <c r="CQC27" s="7"/>
      <c r="CQD27" s="7"/>
      <c r="CQE27" s="7"/>
      <c r="CQF27" s="7"/>
      <c r="CQG27" s="18"/>
      <c r="CQH27" s="18"/>
      <c r="CQI27" s="17"/>
      <c r="CQJ27" s="17"/>
      <c r="CQK27" s="7"/>
      <c r="CQL27" s="7"/>
      <c r="CQM27" s="8"/>
      <c r="CQN27" s="8"/>
      <c r="CQO27" s="8"/>
      <c r="CQP27" s="8"/>
      <c r="CQQ27" s="8"/>
      <c r="CQR27" s="8"/>
      <c r="CQS27" s="8"/>
      <c r="CQT27" s="8"/>
      <c r="CQU27" s="8"/>
      <c r="CQV27" s="8"/>
      <c r="CQW27" s="8"/>
      <c r="CQX27" s="8"/>
      <c r="CQY27" s="8"/>
      <c r="CQZ27" s="8"/>
      <c r="CRA27" s="8"/>
      <c r="CRB27" s="8"/>
      <c r="CRC27" s="8"/>
      <c r="CRD27" s="8"/>
      <c r="CRE27" s="8"/>
      <c r="CRF27" s="8"/>
      <c r="CRG27" s="11"/>
      <c r="CRI27" s="11"/>
      <c r="CRJ27" s="11"/>
      <c r="CRK27" s="11"/>
      <c r="CRM27" s="11"/>
      <c r="CRN27" s="11"/>
      <c r="CRO27" s="11"/>
      <c r="CRQ27" s="11"/>
      <c r="CRR27" s="11"/>
      <c r="CRS27" s="12"/>
      <c r="CRW27" s="11"/>
      <c r="CRX27" s="12"/>
      <c r="CSH27" s="15"/>
      <c r="CSI27" s="15"/>
      <c r="CSJ27" s="15"/>
      <c r="CSK27" s="15"/>
      <c r="CSL27" s="15"/>
      <c r="CSM27" s="15"/>
      <c r="CSN27" s="15"/>
      <c r="CSO27" s="15"/>
      <c r="CSP27" s="15"/>
      <c r="CSQ27" s="15"/>
      <c r="CSR27" s="15"/>
      <c r="CSS27" s="15"/>
      <c r="CST27" s="15"/>
      <c r="CSU27" s="15"/>
      <c r="CSV27" s="15"/>
      <c r="CSW27" s="15"/>
      <c r="CSX27" s="15"/>
      <c r="CSY27" s="15"/>
      <c r="CSZ27" s="15"/>
      <c r="CTA27" s="15"/>
      <c r="CTB27" s="15"/>
      <c r="CTD27" s="11"/>
      <c r="CTE27" s="11"/>
      <c r="CTF27" s="11"/>
      <c r="CTG27" s="11"/>
      <c r="CTH27" s="11"/>
      <c r="CTI27" s="11"/>
      <c r="CTJ27" s="11"/>
      <c r="CTK27" s="11"/>
      <c r="CTL27" s="11"/>
      <c r="CTV27" s="2"/>
      <c r="CTW27" s="27"/>
      <c r="CTX27" s="31"/>
      <c r="CTY27" s="31"/>
      <c r="CTZ27" s="32"/>
      <c r="CUA27" s="32"/>
      <c r="CUB27" s="31"/>
      <c r="CUC27" s="31"/>
      <c r="CUD27" s="33"/>
      <c r="CUE27" s="34"/>
      <c r="CUF27" s="35"/>
      <c r="CUG27" s="36"/>
      <c r="CUH27" s="37"/>
      <c r="CUI27" s="23"/>
      <c r="CUJ27" s="23"/>
      <c r="CUK27" s="23"/>
      <c r="CUL27" s="23"/>
      <c r="CUM27" s="23"/>
      <c r="CUN27" s="24"/>
      <c r="CUO27" s="7"/>
      <c r="CUP27" s="7"/>
      <c r="CUQ27" s="7"/>
      <c r="CUR27" s="7"/>
      <c r="CUS27" s="18"/>
      <c r="CUT27" s="18"/>
      <c r="CUU27" s="17"/>
      <c r="CUV27" s="17"/>
      <c r="CUW27" s="7"/>
      <c r="CUX27" s="7"/>
      <c r="CUY27" s="8"/>
      <c r="CUZ27" s="8"/>
      <c r="CVA27" s="8"/>
      <c r="CVB27" s="8"/>
      <c r="CVC27" s="8"/>
      <c r="CVD27" s="8"/>
      <c r="CVE27" s="8"/>
      <c r="CVF27" s="8"/>
      <c r="CVG27" s="8"/>
      <c r="CVH27" s="8"/>
      <c r="CVI27" s="8"/>
      <c r="CVJ27" s="8"/>
      <c r="CVK27" s="8"/>
      <c r="CVL27" s="8"/>
      <c r="CVM27" s="8"/>
      <c r="CVN27" s="8"/>
      <c r="CVO27" s="8"/>
      <c r="CVP27" s="8"/>
      <c r="CVQ27" s="8"/>
      <c r="CVR27" s="8"/>
      <c r="CVS27" s="11"/>
      <c r="CVU27" s="11"/>
      <c r="CVV27" s="11"/>
      <c r="CVW27" s="11"/>
      <c r="CVY27" s="11"/>
      <c r="CVZ27" s="11"/>
      <c r="CWA27" s="11"/>
      <c r="CWC27" s="11"/>
      <c r="CWD27" s="11"/>
      <c r="CWE27" s="12"/>
      <c r="CWI27" s="11"/>
      <c r="CWJ27" s="12"/>
      <c r="CWT27" s="15"/>
      <c r="CWU27" s="15"/>
      <c r="CWV27" s="15"/>
      <c r="CWW27" s="15"/>
      <c r="CWX27" s="15"/>
      <c r="CWY27" s="15"/>
      <c r="CWZ27" s="15"/>
      <c r="CXA27" s="15"/>
      <c r="CXB27" s="15"/>
      <c r="CXC27" s="15"/>
      <c r="CXD27" s="15"/>
      <c r="CXE27" s="15"/>
      <c r="CXF27" s="15"/>
      <c r="CXG27" s="15"/>
      <c r="CXH27" s="15"/>
      <c r="CXI27" s="15"/>
      <c r="CXJ27" s="15"/>
      <c r="CXK27" s="15"/>
      <c r="CXL27" s="15"/>
      <c r="CXM27" s="15"/>
      <c r="CXN27" s="15"/>
      <c r="CXP27" s="11"/>
      <c r="CXQ27" s="11"/>
      <c r="CXR27" s="11"/>
      <c r="CXS27" s="11"/>
      <c r="CXT27" s="11"/>
      <c r="CXU27" s="11"/>
      <c r="CXV27" s="11"/>
      <c r="CXW27" s="11"/>
      <c r="CXX27" s="11"/>
      <c r="CYH27" s="2"/>
      <c r="CYI27" s="27"/>
      <c r="CYJ27" s="31"/>
      <c r="CYK27" s="31"/>
      <c r="CYL27" s="32"/>
      <c r="CYM27" s="32"/>
      <c r="CYN27" s="31"/>
      <c r="CYO27" s="31"/>
      <c r="CYP27" s="33"/>
      <c r="CYQ27" s="34"/>
      <c r="CYR27" s="35"/>
      <c r="CYS27" s="36"/>
      <c r="CYT27" s="37"/>
      <c r="CYU27" s="23"/>
      <c r="CYV27" s="23"/>
      <c r="CYW27" s="23"/>
      <c r="CYX27" s="23"/>
      <c r="CYY27" s="23"/>
      <c r="CYZ27" s="24"/>
      <c r="CZA27" s="7"/>
      <c r="CZB27" s="7"/>
      <c r="CZC27" s="7"/>
      <c r="CZD27" s="7"/>
      <c r="CZE27" s="18"/>
      <c r="CZF27" s="18"/>
      <c r="CZG27" s="17"/>
      <c r="CZH27" s="17"/>
      <c r="CZI27" s="7"/>
      <c r="CZJ27" s="7"/>
      <c r="CZK27" s="8"/>
      <c r="CZL27" s="8"/>
      <c r="CZM27" s="8"/>
      <c r="CZN27" s="8"/>
      <c r="CZO27" s="8"/>
      <c r="CZP27" s="8"/>
      <c r="CZQ27" s="8"/>
      <c r="CZR27" s="8"/>
      <c r="CZS27" s="8"/>
      <c r="CZT27" s="8"/>
      <c r="CZU27" s="8"/>
      <c r="CZV27" s="8"/>
      <c r="CZW27" s="8"/>
      <c r="CZX27" s="8"/>
      <c r="CZY27" s="8"/>
      <c r="CZZ27" s="8"/>
      <c r="DAA27" s="8"/>
      <c r="DAB27" s="8"/>
      <c r="DAC27" s="8"/>
      <c r="DAD27" s="8"/>
      <c r="DAE27" s="11"/>
      <c r="DAG27" s="11"/>
      <c r="DAH27" s="11"/>
      <c r="DAI27" s="11"/>
      <c r="DAK27" s="11"/>
      <c r="DAL27" s="11"/>
      <c r="DAM27" s="11"/>
      <c r="DAO27" s="11"/>
      <c r="DAP27" s="11"/>
      <c r="DAQ27" s="12"/>
      <c r="DAU27" s="11"/>
      <c r="DAV27" s="12"/>
      <c r="DBF27" s="15"/>
      <c r="DBG27" s="15"/>
      <c r="DBH27" s="15"/>
      <c r="DBI27" s="15"/>
      <c r="DBJ27" s="15"/>
      <c r="DBK27" s="15"/>
      <c r="DBL27" s="15"/>
      <c r="DBM27" s="15"/>
      <c r="DBN27" s="15"/>
      <c r="DBO27" s="15"/>
      <c r="DBP27" s="15"/>
      <c r="DBQ27" s="15"/>
      <c r="DBR27" s="15"/>
      <c r="DBS27" s="15"/>
      <c r="DBT27" s="15"/>
      <c r="DBU27" s="15"/>
      <c r="DBV27" s="15"/>
      <c r="DBW27" s="15"/>
      <c r="DBX27" s="15"/>
      <c r="DBY27" s="15"/>
      <c r="DBZ27" s="15"/>
      <c r="DCB27" s="11"/>
      <c r="DCC27" s="11"/>
      <c r="DCD27" s="11"/>
      <c r="DCE27" s="11"/>
      <c r="DCF27" s="11"/>
      <c r="DCG27" s="11"/>
      <c r="DCH27" s="11"/>
      <c r="DCI27" s="11"/>
      <c r="DCJ27" s="11"/>
      <c r="DCT27" s="2"/>
      <c r="DCU27" s="27"/>
      <c r="DCV27" s="31"/>
      <c r="DCW27" s="31"/>
      <c r="DCX27" s="32"/>
      <c r="DCY27" s="32"/>
      <c r="DCZ27" s="31"/>
      <c r="DDA27" s="31"/>
      <c r="DDB27" s="33"/>
      <c r="DDC27" s="34"/>
      <c r="DDD27" s="35"/>
      <c r="DDE27" s="36"/>
      <c r="DDF27" s="37"/>
      <c r="DDG27" s="23"/>
      <c r="DDH27" s="23"/>
      <c r="DDI27" s="23"/>
      <c r="DDJ27" s="23"/>
      <c r="DDK27" s="23"/>
      <c r="DDL27" s="24"/>
      <c r="DDM27" s="7"/>
      <c r="DDN27" s="7"/>
      <c r="DDO27" s="7"/>
      <c r="DDP27" s="7"/>
      <c r="DDQ27" s="18"/>
      <c r="DDR27" s="18"/>
      <c r="DDS27" s="17"/>
      <c r="DDT27" s="17"/>
      <c r="DDU27" s="7"/>
      <c r="DDV27" s="7"/>
      <c r="DDW27" s="8"/>
      <c r="DDX27" s="8"/>
      <c r="DDY27" s="8"/>
      <c r="DDZ27" s="8"/>
      <c r="DEA27" s="8"/>
      <c r="DEB27" s="8"/>
      <c r="DEC27" s="8"/>
      <c r="DED27" s="8"/>
      <c r="DEE27" s="8"/>
      <c r="DEF27" s="8"/>
      <c r="DEG27" s="8"/>
      <c r="DEH27" s="8"/>
      <c r="DEI27" s="8"/>
      <c r="DEJ27" s="8"/>
      <c r="DEK27" s="8"/>
      <c r="DEL27" s="8"/>
      <c r="DEM27" s="8"/>
      <c r="DEN27" s="8"/>
      <c r="DEO27" s="8"/>
      <c r="DEP27" s="8"/>
      <c r="DEQ27" s="11"/>
      <c r="DES27" s="11"/>
      <c r="DET27" s="11"/>
      <c r="DEU27" s="11"/>
      <c r="DEW27" s="11"/>
      <c r="DEX27" s="11"/>
      <c r="DEY27" s="11"/>
      <c r="DFA27" s="11"/>
      <c r="DFB27" s="11"/>
      <c r="DFC27" s="12"/>
      <c r="DFG27" s="11"/>
      <c r="DFH27" s="12"/>
      <c r="DFR27" s="15"/>
      <c r="DFS27" s="15"/>
      <c r="DFT27" s="15"/>
      <c r="DFU27" s="15"/>
      <c r="DFV27" s="15"/>
      <c r="DFW27" s="15"/>
      <c r="DFX27" s="15"/>
      <c r="DFY27" s="15"/>
      <c r="DFZ27" s="15"/>
      <c r="DGA27" s="15"/>
      <c r="DGB27" s="15"/>
      <c r="DGC27" s="15"/>
      <c r="DGD27" s="15"/>
      <c r="DGE27" s="15"/>
      <c r="DGF27" s="15"/>
      <c r="DGG27" s="15"/>
      <c r="DGH27" s="15"/>
      <c r="DGI27" s="15"/>
      <c r="DGJ27" s="15"/>
      <c r="DGK27" s="15"/>
      <c r="DGL27" s="15"/>
      <c r="DGN27" s="11"/>
      <c r="DGO27" s="11"/>
      <c r="DGP27" s="11"/>
      <c r="DGQ27" s="11"/>
      <c r="DGR27" s="11"/>
      <c r="DGS27" s="11"/>
      <c r="DGT27" s="11"/>
      <c r="DGU27" s="11"/>
      <c r="DGV27" s="11"/>
      <c r="DHF27" s="2"/>
      <c r="DHG27" s="27"/>
      <c r="DHH27" s="31"/>
      <c r="DHI27" s="31"/>
      <c r="DHJ27" s="32"/>
      <c r="DHK27" s="32"/>
      <c r="DHL27" s="31"/>
      <c r="DHM27" s="31"/>
      <c r="DHN27" s="33"/>
      <c r="DHO27" s="34"/>
      <c r="DHP27" s="35"/>
      <c r="DHQ27" s="36"/>
      <c r="DHR27" s="37"/>
      <c r="DHS27" s="23"/>
      <c r="DHT27" s="23"/>
      <c r="DHU27" s="23"/>
      <c r="DHV27" s="23"/>
      <c r="DHW27" s="23"/>
      <c r="DHX27" s="24"/>
      <c r="DHY27" s="7"/>
      <c r="DHZ27" s="7"/>
      <c r="DIA27" s="7"/>
      <c r="DIB27" s="7"/>
      <c r="DIC27" s="18"/>
      <c r="DID27" s="18"/>
      <c r="DIE27" s="17"/>
      <c r="DIF27" s="17"/>
      <c r="DIG27" s="7"/>
      <c r="DIH27" s="7"/>
      <c r="DII27" s="8"/>
      <c r="DIJ27" s="8"/>
      <c r="DIK27" s="8"/>
      <c r="DIL27" s="8"/>
      <c r="DIM27" s="8"/>
      <c r="DIN27" s="8"/>
      <c r="DIO27" s="8"/>
      <c r="DIP27" s="8"/>
      <c r="DIQ27" s="8"/>
      <c r="DIR27" s="8"/>
      <c r="DIS27" s="8"/>
      <c r="DIT27" s="8"/>
      <c r="DIU27" s="8"/>
      <c r="DIV27" s="8"/>
      <c r="DIW27" s="8"/>
      <c r="DIX27" s="8"/>
      <c r="DIY27" s="8"/>
      <c r="DIZ27" s="8"/>
      <c r="DJA27" s="8"/>
      <c r="DJB27" s="8"/>
      <c r="DJC27" s="11"/>
      <c r="DJE27" s="11"/>
      <c r="DJF27" s="11"/>
      <c r="DJG27" s="11"/>
      <c r="DJI27" s="11"/>
      <c r="DJJ27" s="11"/>
      <c r="DJK27" s="11"/>
      <c r="DJM27" s="11"/>
      <c r="DJN27" s="11"/>
      <c r="DJO27" s="12"/>
      <c r="DJS27" s="11"/>
      <c r="DJT27" s="12"/>
      <c r="DKD27" s="15"/>
      <c r="DKE27" s="15"/>
      <c r="DKF27" s="15"/>
      <c r="DKG27" s="15"/>
      <c r="DKH27" s="15"/>
      <c r="DKI27" s="15"/>
      <c r="DKJ27" s="15"/>
      <c r="DKK27" s="15"/>
      <c r="DKL27" s="15"/>
      <c r="DKM27" s="15"/>
      <c r="DKN27" s="15"/>
      <c r="DKO27" s="15"/>
      <c r="DKP27" s="15"/>
      <c r="DKQ27" s="15"/>
      <c r="DKR27" s="15"/>
      <c r="DKS27" s="15"/>
      <c r="DKT27" s="15"/>
      <c r="DKU27" s="15"/>
      <c r="DKV27" s="15"/>
      <c r="DKW27" s="15"/>
      <c r="DKX27" s="15"/>
      <c r="DKZ27" s="11"/>
      <c r="DLA27" s="11"/>
      <c r="DLB27" s="11"/>
      <c r="DLC27" s="11"/>
      <c r="DLD27" s="11"/>
      <c r="DLE27" s="11"/>
      <c r="DLF27" s="11"/>
      <c r="DLG27" s="11"/>
      <c r="DLH27" s="11"/>
      <c r="DLR27" s="2"/>
      <c r="DLS27" s="27"/>
      <c r="DLT27" s="31"/>
      <c r="DLU27" s="31"/>
      <c r="DLV27" s="32"/>
      <c r="DLW27" s="32"/>
      <c r="DLX27" s="31"/>
      <c r="DLY27" s="31"/>
      <c r="DLZ27" s="33"/>
      <c r="DMA27" s="34"/>
      <c r="DMB27" s="35"/>
      <c r="DMC27" s="36"/>
      <c r="DMD27" s="37"/>
      <c r="DME27" s="23"/>
      <c r="DMF27" s="23"/>
      <c r="DMG27" s="23"/>
      <c r="DMH27" s="23"/>
      <c r="DMI27" s="23"/>
      <c r="DMJ27" s="24"/>
      <c r="DMK27" s="7"/>
      <c r="DML27" s="7"/>
      <c r="DMM27" s="7"/>
      <c r="DMN27" s="7"/>
      <c r="DMO27" s="18"/>
      <c r="DMP27" s="18"/>
      <c r="DMQ27" s="17"/>
      <c r="DMR27" s="17"/>
      <c r="DMS27" s="7"/>
      <c r="DMT27" s="7"/>
      <c r="DMU27" s="8"/>
      <c r="DMV27" s="8"/>
      <c r="DMW27" s="8"/>
      <c r="DMX27" s="8"/>
      <c r="DMY27" s="8"/>
      <c r="DMZ27" s="8"/>
      <c r="DNA27" s="8"/>
      <c r="DNB27" s="8"/>
      <c r="DNC27" s="8"/>
      <c r="DND27" s="8"/>
      <c r="DNE27" s="8"/>
      <c r="DNF27" s="8"/>
      <c r="DNG27" s="8"/>
      <c r="DNH27" s="8"/>
      <c r="DNI27" s="8"/>
      <c r="DNJ27" s="8"/>
      <c r="DNK27" s="8"/>
      <c r="DNL27" s="8"/>
      <c r="DNM27" s="8"/>
      <c r="DNN27" s="8"/>
      <c r="DNO27" s="11"/>
      <c r="DNQ27" s="11"/>
      <c r="DNR27" s="11"/>
      <c r="DNS27" s="11"/>
      <c r="DNU27" s="11"/>
      <c r="DNV27" s="11"/>
      <c r="DNW27" s="11"/>
      <c r="DNY27" s="11"/>
      <c r="DNZ27" s="11"/>
      <c r="DOA27" s="12"/>
      <c r="DOE27" s="11"/>
      <c r="DOF27" s="12"/>
      <c r="DOP27" s="15"/>
      <c r="DOQ27" s="15"/>
      <c r="DOR27" s="15"/>
      <c r="DOS27" s="15"/>
      <c r="DOT27" s="15"/>
      <c r="DOU27" s="15"/>
      <c r="DOV27" s="15"/>
      <c r="DOW27" s="15"/>
      <c r="DOX27" s="15"/>
      <c r="DOY27" s="15"/>
      <c r="DOZ27" s="15"/>
      <c r="DPA27" s="15"/>
      <c r="DPB27" s="15"/>
      <c r="DPC27" s="15"/>
      <c r="DPD27" s="15"/>
      <c r="DPE27" s="15"/>
      <c r="DPF27" s="15"/>
      <c r="DPG27" s="15"/>
      <c r="DPH27" s="15"/>
      <c r="DPI27" s="15"/>
      <c r="DPJ27" s="15"/>
      <c r="DPL27" s="11"/>
      <c r="DPM27" s="11"/>
      <c r="DPN27" s="11"/>
      <c r="DPO27" s="11"/>
      <c r="DPP27" s="11"/>
      <c r="DPQ27" s="11"/>
      <c r="DPR27" s="11"/>
      <c r="DPS27" s="11"/>
      <c r="DPT27" s="11"/>
      <c r="DQD27" s="2"/>
      <c r="DQE27" s="27"/>
      <c r="DQF27" s="31"/>
      <c r="DQG27" s="31"/>
      <c r="DQH27" s="32"/>
      <c r="DQI27" s="32"/>
      <c r="DQJ27" s="31"/>
      <c r="DQK27" s="31"/>
      <c r="DQL27" s="33"/>
      <c r="DQM27" s="34"/>
      <c r="DQN27" s="35"/>
      <c r="DQO27" s="36"/>
      <c r="DQP27" s="37"/>
      <c r="DQQ27" s="23"/>
      <c r="DQR27" s="23"/>
      <c r="DQS27" s="23"/>
      <c r="DQT27" s="23"/>
      <c r="DQU27" s="23"/>
      <c r="DQV27" s="24"/>
      <c r="DQW27" s="7"/>
      <c r="DQX27" s="7"/>
      <c r="DQY27" s="7"/>
      <c r="DQZ27" s="7"/>
      <c r="DRA27" s="18"/>
      <c r="DRB27" s="18"/>
      <c r="DRC27" s="17"/>
      <c r="DRD27" s="17"/>
      <c r="DRE27" s="7"/>
      <c r="DRF27" s="7"/>
      <c r="DRG27" s="8"/>
      <c r="DRH27" s="8"/>
      <c r="DRI27" s="8"/>
      <c r="DRJ27" s="8"/>
      <c r="DRK27" s="8"/>
      <c r="DRL27" s="8"/>
      <c r="DRM27" s="8"/>
      <c r="DRN27" s="8"/>
      <c r="DRO27" s="8"/>
      <c r="DRP27" s="8"/>
      <c r="DRQ27" s="8"/>
      <c r="DRR27" s="8"/>
      <c r="DRS27" s="8"/>
      <c r="DRT27" s="8"/>
      <c r="DRU27" s="8"/>
      <c r="DRV27" s="8"/>
      <c r="DRW27" s="8"/>
      <c r="DRX27" s="8"/>
      <c r="DRY27" s="8"/>
      <c r="DRZ27" s="8"/>
      <c r="DSA27" s="11"/>
      <c r="DSC27" s="11"/>
      <c r="DSD27" s="11"/>
      <c r="DSE27" s="11"/>
      <c r="DSG27" s="11"/>
      <c r="DSH27" s="11"/>
      <c r="DSI27" s="11"/>
      <c r="DSK27" s="11"/>
      <c r="DSL27" s="11"/>
      <c r="DSM27" s="12"/>
      <c r="DSQ27" s="11"/>
      <c r="DSR27" s="12"/>
      <c r="DTB27" s="15"/>
      <c r="DTC27" s="15"/>
      <c r="DTD27" s="15"/>
      <c r="DTE27" s="15"/>
      <c r="DTF27" s="15"/>
      <c r="DTG27" s="15"/>
      <c r="DTH27" s="15"/>
      <c r="DTI27" s="15"/>
      <c r="DTJ27" s="15"/>
      <c r="DTK27" s="15"/>
      <c r="DTL27" s="15"/>
      <c r="DTM27" s="15"/>
      <c r="DTN27" s="15"/>
      <c r="DTO27" s="15"/>
      <c r="DTP27" s="15"/>
      <c r="DTQ27" s="15"/>
      <c r="DTR27" s="15"/>
      <c r="DTS27" s="15"/>
      <c r="DTT27" s="15"/>
      <c r="DTU27" s="15"/>
      <c r="DTV27" s="15"/>
      <c r="DTX27" s="11"/>
      <c r="DTY27" s="11"/>
      <c r="DTZ27" s="11"/>
      <c r="DUA27" s="11"/>
      <c r="DUB27" s="11"/>
      <c r="DUC27" s="11"/>
      <c r="DUD27" s="11"/>
      <c r="DUE27" s="11"/>
      <c r="DUF27" s="11"/>
      <c r="DUP27" s="2"/>
      <c r="DUQ27" s="27"/>
      <c r="DUR27" s="31"/>
      <c r="DUS27" s="31"/>
      <c r="DUT27" s="32"/>
      <c r="DUU27" s="32"/>
      <c r="DUV27" s="31"/>
      <c r="DUW27" s="31"/>
      <c r="DUX27" s="33"/>
      <c r="DUY27" s="34"/>
      <c r="DUZ27" s="35"/>
      <c r="DVA27" s="36"/>
      <c r="DVB27" s="37"/>
      <c r="DVC27" s="23"/>
      <c r="DVD27" s="23"/>
      <c r="DVE27" s="23"/>
      <c r="DVF27" s="23"/>
      <c r="DVG27" s="23"/>
      <c r="DVH27" s="24"/>
      <c r="DVI27" s="7"/>
      <c r="DVJ27" s="7"/>
      <c r="DVK27" s="7"/>
      <c r="DVL27" s="7"/>
      <c r="DVM27" s="18"/>
      <c r="DVN27" s="18"/>
      <c r="DVO27" s="17"/>
      <c r="DVP27" s="17"/>
      <c r="DVQ27" s="7"/>
      <c r="DVR27" s="7"/>
      <c r="DVS27" s="8"/>
      <c r="DVT27" s="8"/>
      <c r="DVU27" s="8"/>
      <c r="DVV27" s="8"/>
      <c r="DVW27" s="8"/>
      <c r="DVX27" s="8"/>
      <c r="DVY27" s="8"/>
      <c r="DVZ27" s="8"/>
      <c r="DWA27" s="8"/>
      <c r="DWB27" s="8"/>
      <c r="DWC27" s="8"/>
      <c r="DWD27" s="8"/>
      <c r="DWE27" s="8"/>
      <c r="DWF27" s="8"/>
      <c r="DWG27" s="8"/>
      <c r="DWH27" s="8"/>
      <c r="DWI27" s="8"/>
      <c r="DWJ27" s="8"/>
      <c r="DWK27" s="8"/>
      <c r="DWL27" s="8"/>
      <c r="DWM27" s="11"/>
      <c r="DWO27" s="11"/>
      <c r="DWP27" s="11"/>
      <c r="DWQ27" s="11"/>
      <c r="DWS27" s="11"/>
      <c r="DWT27" s="11"/>
      <c r="DWU27" s="11"/>
      <c r="DWW27" s="11"/>
      <c r="DWX27" s="11"/>
      <c r="DWY27" s="12"/>
      <c r="DXC27" s="11"/>
      <c r="DXD27" s="12"/>
      <c r="DXN27" s="15"/>
      <c r="DXO27" s="15"/>
      <c r="DXP27" s="15"/>
      <c r="DXQ27" s="15"/>
      <c r="DXR27" s="15"/>
      <c r="DXS27" s="15"/>
      <c r="DXT27" s="15"/>
      <c r="DXU27" s="15"/>
      <c r="DXV27" s="15"/>
      <c r="DXW27" s="15"/>
      <c r="DXX27" s="15"/>
      <c r="DXY27" s="15"/>
      <c r="DXZ27" s="15"/>
      <c r="DYA27" s="15"/>
      <c r="DYB27" s="15"/>
      <c r="DYC27" s="15"/>
      <c r="DYD27" s="15"/>
      <c r="DYE27" s="15"/>
      <c r="DYF27" s="15"/>
      <c r="DYG27" s="15"/>
      <c r="DYH27" s="15"/>
      <c r="DYJ27" s="11"/>
      <c r="DYK27" s="11"/>
      <c r="DYL27" s="11"/>
      <c r="DYM27" s="11"/>
      <c r="DYN27" s="11"/>
      <c r="DYO27" s="11"/>
      <c r="DYP27" s="11"/>
      <c r="DYQ27" s="11"/>
      <c r="DYR27" s="11"/>
      <c r="DZB27" s="2"/>
      <c r="DZC27" s="27"/>
      <c r="DZD27" s="31"/>
      <c r="DZE27" s="31"/>
      <c r="DZF27" s="32"/>
      <c r="DZG27" s="32"/>
      <c r="DZH27" s="31"/>
      <c r="DZI27" s="31"/>
      <c r="DZJ27" s="33"/>
      <c r="DZK27" s="34"/>
      <c r="DZL27" s="35"/>
      <c r="DZM27" s="36"/>
      <c r="DZN27" s="37"/>
      <c r="DZO27" s="23"/>
      <c r="DZP27" s="23"/>
      <c r="DZQ27" s="23"/>
      <c r="DZR27" s="23"/>
      <c r="DZS27" s="23"/>
      <c r="DZT27" s="24"/>
      <c r="DZU27" s="7"/>
      <c r="DZV27" s="7"/>
      <c r="DZW27" s="7"/>
      <c r="DZX27" s="7"/>
      <c r="DZY27" s="18"/>
      <c r="DZZ27" s="18"/>
      <c r="EAA27" s="17"/>
      <c r="EAB27" s="17"/>
      <c r="EAC27" s="7"/>
      <c r="EAD27" s="7"/>
      <c r="EAE27" s="8"/>
      <c r="EAF27" s="8"/>
      <c r="EAG27" s="8"/>
      <c r="EAH27" s="8"/>
      <c r="EAI27" s="8"/>
      <c r="EAJ27" s="8"/>
      <c r="EAK27" s="8"/>
      <c r="EAL27" s="8"/>
      <c r="EAM27" s="8"/>
      <c r="EAN27" s="8"/>
      <c r="EAO27" s="8"/>
      <c r="EAP27" s="8"/>
      <c r="EAQ27" s="8"/>
      <c r="EAR27" s="8"/>
      <c r="EAS27" s="8"/>
      <c r="EAT27" s="8"/>
      <c r="EAU27" s="8"/>
      <c r="EAV27" s="8"/>
      <c r="EAW27" s="8"/>
      <c r="EAX27" s="8"/>
      <c r="EAY27" s="11"/>
      <c r="EBA27" s="11"/>
      <c r="EBB27" s="11"/>
      <c r="EBC27" s="11"/>
      <c r="EBE27" s="11"/>
      <c r="EBF27" s="11"/>
      <c r="EBG27" s="11"/>
      <c r="EBI27" s="11"/>
      <c r="EBJ27" s="11"/>
      <c r="EBK27" s="12"/>
      <c r="EBO27" s="11"/>
      <c r="EBP27" s="12"/>
      <c r="EBZ27" s="15"/>
      <c r="ECA27" s="15"/>
      <c r="ECB27" s="15"/>
      <c r="ECC27" s="15"/>
      <c r="ECD27" s="15"/>
      <c r="ECE27" s="15"/>
      <c r="ECF27" s="15"/>
      <c r="ECG27" s="15"/>
      <c r="ECH27" s="15"/>
      <c r="ECI27" s="15"/>
      <c r="ECJ27" s="15"/>
      <c r="ECK27" s="15"/>
      <c r="ECL27" s="15"/>
      <c r="ECM27" s="15"/>
      <c r="ECN27" s="15"/>
      <c r="ECO27" s="15"/>
      <c r="ECP27" s="15"/>
      <c r="ECQ27" s="15"/>
      <c r="ECR27" s="15"/>
      <c r="ECS27" s="15"/>
      <c r="ECT27" s="15"/>
      <c r="ECV27" s="11"/>
      <c r="ECW27" s="11"/>
      <c r="ECX27" s="11"/>
      <c r="ECY27" s="11"/>
      <c r="ECZ27" s="11"/>
      <c r="EDA27" s="11"/>
      <c r="EDB27" s="11"/>
      <c r="EDC27" s="11"/>
      <c r="EDD27" s="11"/>
      <c r="EDN27" s="2"/>
      <c r="EDO27" s="27"/>
      <c r="EDP27" s="31"/>
      <c r="EDQ27" s="31"/>
      <c r="EDR27" s="32"/>
      <c r="EDS27" s="32"/>
      <c r="EDT27" s="31"/>
      <c r="EDU27" s="31"/>
      <c r="EDV27" s="33"/>
      <c r="EDW27" s="34"/>
      <c r="EDX27" s="35"/>
      <c r="EDY27" s="36"/>
      <c r="EDZ27" s="37"/>
      <c r="EEA27" s="23"/>
      <c r="EEB27" s="23"/>
      <c r="EEC27" s="23"/>
      <c r="EED27" s="23"/>
      <c r="EEE27" s="23"/>
      <c r="EEF27" s="24"/>
      <c r="EEG27" s="7"/>
      <c r="EEH27" s="7"/>
      <c r="EEI27" s="7"/>
      <c r="EEJ27" s="7"/>
      <c r="EEK27" s="18"/>
      <c r="EEL27" s="18"/>
      <c r="EEM27" s="17"/>
      <c r="EEN27" s="17"/>
      <c r="EEO27" s="7"/>
      <c r="EEP27" s="7"/>
      <c r="EEQ27" s="8"/>
      <c r="EER27" s="8"/>
      <c r="EES27" s="8"/>
      <c r="EET27" s="8"/>
      <c r="EEU27" s="8"/>
      <c r="EEV27" s="8"/>
      <c r="EEW27" s="8"/>
      <c r="EEX27" s="8"/>
      <c r="EEY27" s="8"/>
      <c r="EEZ27" s="8"/>
      <c r="EFA27" s="8"/>
      <c r="EFB27" s="8"/>
      <c r="EFC27" s="8"/>
      <c r="EFD27" s="8"/>
      <c r="EFE27" s="8"/>
      <c r="EFF27" s="8"/>
      <c r="EFG27" s="8"/>
      <c r="EFH27" s="8"/>
      <c r="EFI27" s="8"/>
      <c r="EFJ27" s="8"/>
      <c r="EFK27" s="11"/>
      <c r="EFM27" s="11"/>
      <c r="EFN27" s="11"/>
      <c r="EFO27" s="11"/>
      <c r="EFQ27" s="11"/>
      <c r="EFR27" s="11"/>
      <c r="EFS27" s="11"/>
      <c r="EFU27" s="11"/>
      <c r="EFV27" s="11"/>
      <c r="EFW27" s="12"/>
      <c r="EGA27" s="11"/>
      <c r="EGB27" s="12"/>
      <c r="EGL27" s="15"/>
      <c r="EGM27" s="15"/>
      <c r="EGN27" s="15"/>
      <c r="EGO27" s="15"/>
      <c r="EGP27" s="15"/>
      <c r="EGQ27" s="15"/>
      <c r="EGR27" s="15"/>
      <c r="EGS27" s="15"/>
      <c r="EGT27" s="15"/>
      <c r="EGU27" s="15"/>
      <c r="EGV27" s="15"/>
      <c r="EGW27" s="15"/>
      <c r="EGX27" s="15"/>
      <c r="EGY27" s="15"/>
      <c r="EGZ27" s="15"/>
      <c r="EHA27" s="15"/>
      <c r="EHB27" s="15"/>
      <c r="EHC27" s="15"/>
      <c r="EHD27" s="15"/>
      <c r="EHE27" s="15"/>
      <c r="EHF27" s="15"/>
      <c r="EHH27" s="11"/>
      <c r="EHI27" s="11"/>
      <c r="EHJ27" s="11"/>
      <c r="EHK27" s="11"/>
      <c r="EHL27" s="11"/>
      <c r="EHM27" s="11"/>
      <c r="EHN27" s="11"/>
      <c r="EHO27" s="11"/>
      <c r="EHP27" s="11"/>
      <c r="EHZ27" s="2"/>
      <c r="EIA27" s="27"/>
      <c r="EIB27" s="31"/>
      <c r="EIC27" s="31"/>
      <c r="EID27" s="32"/>
      <c r="EIE27" s="32"/>
      <c r="EIF27" s="31"/>
      <c r="EIG27" s="31"/>
      <c r="EIH27" s="33"/>
      <c r="EII27" s="34"/>
      <c r="EIJ27" s="35"/>
      <c r="EIK27" s="36"/>
      <c r="EIL27" s="37"/>
      <c r="EIM27" s="23"/>
      <c r="EIN27" s="23"/>
      <c r="EIO27" s="23"/>
      <c r="EIP27" s="23"/>
      <c r="EIQ27" s="23"/>
      <c r="EIR27" s="24"/>
      <c r="EIS27" s="7"/>
      <c r="EIT27" s="7"/>
      <c r="EIU27" s="7"/>
      <c r="EIV27" s="7"/>
      <c r="EIW27" s="18"/>
      <c r="EIX27" s="18"/>
      <c r="EIY27" s="17"/>
      <c r="EIZ27" s="17"/>
      <c r="EJA27" s="7"/>
      <c r="EJB27" s="7"/>
      <c r="EJC27" s="8"/>
      <c r="EJD27" s="8"/>
      <c r="EJE27" s="8"/>
      <c r="EJF27" s="8"/>
      <c r="EJG27" s="8"/>
      <c r="EJH27" s="8"/>
      <c r="EJI27" s="8"/>
      <c r="EJJ27" s="8"/>
      <c r="EJK27" s="8"/>
      <c r="EJL27" s="8"/>
      <c r="EJM27" s="8"/>
      <c r="EJN27" s="8"/>
      <c r="EJO27" s="8"/>
      <c r="EJP27" s="8"/>
      <c r="EJQ27" s="8"/>
      <c r="EJR27" s="8"/>
      <c r="EJS27" s="8"/>
      <c r="EJT27" s="8"/>
      <c r="EJU27" s="8"/>
      <c r="EJV27" s="8"/>
      <c r="EJW27" s="11"/>
      <c r="EJY27" s="11"/>
      <c r="EJZ27" s="11"/>
      <c r="EKA27" s="11"/>
      <c r="EKC27" s="11"/>
      <c r="EKD27" s="11"/>
      <c r="EKE27" s="11"/>
      <c r="EKG27" s="11"/>
      <c r="EKH27" s="11"/>
      <c r="EKI27" s="12"/>
      <c r="EKM27" s="11"/>
      <c r="EKN27" s="12"/>
      <c r="EKX27" s="15"/>
      <c r="EKY27" s="15"/>
      <c r="EKZ27" s="15"/>
      <c r="ELA27" s="15"/>
      <c r="ELB27" s="15"/>
      <c r="ELC27" s="15"/>
      <c r="ELD27" s="15"/>
      <c r="ELE27" s="15"/>
      <c r="ELF27" s="15"/>
      <c r="ELG27" s="15"/>
      <c r="ELH27" s="15"/>
      <c r="ELI27" s="15"/>
      <c r="ELJ27" s="15"/>
      <c r="ELK27" s="15"/>
      <c r="ELL27" s="15"/>
      <c r="ELM27" s="15"/>
      <c r="ELN27" s="15"/>
      <c r="ELO27" s="15"/>
      <c r="ELP27" s="15"/>
      <c r="ELQ27" s="15"/>
      <c r="ELR27" s="15"/>
      <c r="ELT27" s="11"/>
      <c r="ELU27" s="11"/>
      <c r="ELV27" s="11"/>
      <c r="ELW27" s="11"/>
      <c r="ELX27" s="11"/>
      <c r="ELY27" s="11"/>
      <c r="ELZ27" s="11"/>
      <c r="EMA27" s="11"/>
      <c r="EMB27" s="11"/>
      <c r="EML27" s="2"/>
      <c r="EMM27" s="27"/>
      <c r="EMN27" s="31"/>
      <c r="EMO27" s="31"/>
      <c r="EMP27" s="32"/>
      <c r="EMQ27" s="32"/>
      <c r="EMR27" s="31"/>
      <c r="EMS27" s="31"/>
      <c r="EMT27" s="33"/>
      <c r="EMU27" s="34"/>
      <c r="EMV27" s="35"/>
      <c r="EMW27" s="36"/>
      <c r="EMX27" s="37"/>
      <c r="EMY27" s="23"/>
      <c r="EMZ27" s="23"/>
      <c r="ENA27" s="23"/>
      <c r="ENB27" s="23"/>
      <c r="ENC27" s="23"/>
      <c r="END27" s="24"/>
      <c r="ENE27" s="7"/>
      <c r="ENF27" s="7"/>
      <c r="ENG27" s="7"/>
      <c r="ENH27" s="7"/>
      <c r="ENI27" s="18"/>
      <c r="ENJ27" s="18"/>
      <c r="ENK27" s="17"/>
      <c r="ENL27" s="17"/>
      <c r="ENM27" s="7"/>
      <c r="ENN27" s="7"/>
      <c r="ENO27" s="8"/>
      <c r="ENP27" s="8"/>
      <c r="ENQ27" s="8"/>
      <c r="ENR27" s="8"/>
      <c r="ENS27" s="8"/>
      <c r="ENT27" s="8"/>
      <c r="ENU27" s="8"/>
      <c r="ENV27" s="8"/>
      <c r="ENW27" s="8"/>
      <c r="ENX27" s="8"/>
      <c r="ENY27" s="8"/>
      <c r="ENZ27" s="8"/>
      <c r="EOA27" s="8"/>
      <c r="EOB27" s="8"/>
      <c r="EOC27" s="8"/>
      <c r="EOD27" s="8"/>
      <c r="EOE27" s="8"/>
      <c r="EOF27" s="8"/>
      <c r="EOG27" s="8"/>
      <c r="EOH27" s="8"/>
      <c r="EOI27" s="11"/>
      <c r="EOK27" s="11"/>
      <c r="EOL27" s="11"/>
      <c r="EOM27" s="11"/>
      <c r="EOO27" s="11"/>
      <c r="EOP27" s="11"/>
      <c r="EOQ27" s="11"/>
      <c r="EOS27" s="11"/>
      <c r="EOT27" s="11"/>
      <c r="EOU27" s="12"/>
      <c r="EOY27" s="11"/>
      <c r="EOZ27" s="12"/>
      <c r="EPJ27" s="15"/>
      <c r="EPK27" s="15"/>
      <c r="EPL27" s="15"/>
      <c r="EPM27" s="15"/>
      <c r="EPN27" s="15"/>
      <c r="EPO27" s="15"/>
      <c r="EPP27" s="15"/>
      <c r="EPQ27" s="15"/>
      <c r="EPR27" s="15"/>
      <c r="EPS27" s="15"/>
      <c r="EPT27" s="15"/>
      <c r="EPU27" s="15"/>
      <c r="EPV27" s="15"/>
      <c r="EPW27" s="15"/>
      <c r="EPX27" s="15"/>
      <c r="EPY27" s="15"/>
      <c r="EPZ27" s="15"/>
      <c r="EQA27" s="15"/>
      <c r="EQB27" s="15"/>
      <c r="EQC27" s="15"/>
      <c r="EQD27" s="15"/>
      <c r="EQF27" s="11"/>
      <c r="EQG27" s="11"/>
      <c r="EQH27" s="11"/>
      <c r="EQI27" s="11"/>
      <c r="EQJ27" s="11"/>
      <c r="EQK27" s="11"/>
      <c r="EQL27" s="11"/>
      <c r="EQM27" s="11"/>
      <c r="EQN27" s="11"/>
      <c r="EQX27" s="2"/>
      <c r="EQY27" s="27"/>
      <c r="EQZ27" s="31"/>
      <c r="ERA27" s="31"/>
      <c r="ERB27" s="32"/>
      <c r="ERC27" s="32"/>
      <c r="ERD27" s="31"/>
      <c r="ERE27" s="31"/>
      <c r="ERF27" s="33"/>
      <c r="ERG27" s="34"/>
      <c r="ERH27" s="35"/>
      <c r="ERI27" s="36"/>
      <c r="ERJ27" s="37"/>
      <c r="ERK27" s="23"/>
      <c r="ERL27" s="23"/>
      <c r="ERM27" s="23"/>
      <c r="ERN27" s="23"/>
      <c r="ERO27" s="23"/>
      <c r="ERP27" s="24"/>
      <c r="ERQ27" s="7"/>
      <c r="ERR27" s="7"/>
      <c r="ERS27" s="7"/>
      <c r="ERT27" s="7"/>
      <c r="ERU27" s="18"/>
      <c r="ERV27" s="18"/>
      <c r="ERW27" s="17"/>
      <c r="ERX27" s="17"/>
      <c r="ERY27" s="7"/>
      <c r="ERZ27" s="7"/>
      <c r="ESA27" s="8"/>
      <c r="ESB27" s="8"/>
      <c r="ESC27" s="8"/>
      <c r="ESD27" s="8"/>
      <c r="ESE27" s="8"/>
      <c r="ESF27" s="8"/>
      <c r="ESG27" s="8"/>
      <c r="ESH27" s="8"/>
      <c r="ESI27" s="8"/>
      <c r="ESJ27" s="8"/>
      <c r="ESK27" s="8"/>
      <c r="ESL27" s="8"/>
      <c r="ESM27" s="8"/>
      <c r="ESN27" s="8"/>
      <c r="ESO27" s="8"/>
      <c r="ESP27" s="8"/>
      <c r="ESQ27" s="8"/>
      <c r="ESR27" s="8"/>
      <c r="ESS27" s="8"/>
      <c r="EST27" s="8"/>
      <c r="ESU27" s="11"/>
      <c r="ESW27" s="11"/>
      <c r="ESX27" s="11"/>
      <c r="ESY27" s="11"/>
      <c r="ETA27" s="11"/>
      <c r="ETB27" s="11"/>
      <c r="ETC27" s="11"/>
      <c r="ETE27" s="11"/>
      <c r="ETF27" s="11"/>
      <c r="ETG27" s="12"/>
      <c r="ETK27" s="11"/>
      <c r="ETL27" s="12"/>
      <c r="ETV27" s="15"/>
      <c r="ETW27" s="15"/>
      <c r="ETX27" s="15"/>
      <c r="ETY27" s="15"/>
      <c r="ETZ27" s="15"/>
      <c r="EUA27" s="15"/>
      <c r="EUB27" s="15"/>
      <c r="EUC27" s="15"/>
      <c r="EUD27" s="15"/>
      <c r="EUE27" s="15"/>
      <c r="EUF27" s="15"/>
      <c r="EUG27" s="15"/>
      <c r="EUH27" s="15"/>
      <c r="EUI27" s="15"/>
      <c r="EUJ27" s="15"/>
      <c r="EUK27" s="15"/>
      <c r="EUL27" s="15"/>
      <c r="EUM27" s="15"/>
      <c r="EUN27" s="15"/>
      <c r="EUO27" s="15"/>
      <c r="EUP27" s="15"/>
      <c r="EUR27" s="11"/>
      <c r="EUS27" s="11"/>
      <c r="EUT27" s="11"/>
      <c r="EUU27" s="11"/>
      <c r="EUV27" s="11"/>
      <c r="EUW27" s="11"/>
      <c r="EUX27" s="11"/>
      <c r="EUY27" s="11"/>
      <c r="EUZ27" s="11"/>
      <c r="EVJ27" s="2"/>
      <c r="EVK27" s="27"/>
      <c r="EVL27" s="31"/>
      <c r="EVM27" s="31"/>
      <c r="EVN27" s="32"/>
      <c r="EVO27" s="32"/>
      <c r="EVP27" s="31"/>
      <c r="EVQ27" s="31"/>
      <c r="EVR27" s="33"/>
      <c r="EVS27" s="34"/>
      <c r="EVT27" s="35"/>
      <c r="EVU27" s="36"/>
      <c r="EVV27" s="37"/>
      <c r="EVW27" s="23"/>
      <c r="EVX27" s="23"/>
      <c r="EVY27" s="23"/>
      <c r="EVZ27" s="23"/>
      <c r="EWA27" s="23"/>
      <c r="EWB27" s="24"/>
      <c r="EWC27" s="7"/>
      <c r="EWD27" s="7"/>
      <c r="EWE27" s="7"/>
      <c r="EWF27" s="7"/>
      <c r="EWG27" s="18"/>
      <c r="EWH27" s="18"/>
      <c r="EWI27" s="17"/>
      <c r="EWJ27" s="17"/>
      <c r="EWK27" s="7"/>
      <c r="EWL27" s="7"/>
      <c r="EWM27" s="8"/>
      <c r="EWN27" s="8"/>
      <c r="EWO27" s="8"/>
      <c r="EWP27" s="8"/>
      <c r="EWQ27" s="8"/>
      <c r="EWR27" s="8"/>
      <c r="EWS27" s="8"/>
      <c r="EWT27" s="8"/>
      <c r="EWU27" s="8"/>
      <c r="EWV27" s="8"/>
      <c r="EWW27" s="8"/>
      <c r="EWX27" s="8"/>
      <c r="EWY27" s="8"/>
      <c r="EWZ27" s="8"/>
      <c r="EXA27" s="8"/>
      <c r="EXB27" s="8"/>
      <c r="EXC27" s="8"/>
      <c r="EXD27" s="8"/>
      <c r="EXE27" s="8"/>
      <c r="EXF27" s="8"/>
      <c r="EXG27" s="11"/>
      <c r="EXI27" s="11"/>
      <c r="EXJ27" s="11"/>
      <c r="EXK27" s="11"/>
      <c r="EXM27" s="11"/>
      <c r="EXN27" s="11"/>
      <c r="EXO27" s="11"/>
      <c r="EXQ27" s="11"/>
      <c r="EXR27" s="11"/>
      <c r="EXS27" s="12"/>
      <c r="EXW27" s="11"/>
      <c r="EXX27" s="12"/>
      <c r="EYH27" s="15"/>
      <c r="EYI27" s="15"/>
      <c r="EYJ27" s="15"/>
      <c r="EYK27" s="15"/>
      <c r="EYL27" s="15"/>
      <c r="EYM27" s="15"/>
      <c r="EYN27" s="15"/>
      <c r="EYO27" s="15"/>
      <c r="EYP27" s="15"/>
      <c r="EYQ27" s="15"/>
      <c r="EYR27" s="15"/>
      <c r="EYS27" s="15"/>
      <c r="EYT27" s="15"/>
      <c r="EYU27" s="15"/>
      <c r="EYV27" s="15"/>
      <c r="EYW27" s="15"/>
      <c r="EYX27" s="15"/>
      <c r="EYY27" s="15"/>
      <c r="EYZ27" s="15"/>
      <c r="EZA27" s="15"/>
      <c r="EZB27" s="15"/>
      <c r="EZD27" s="11"/>
      <c r="EZE27" s="11"/>
      <c r="EZF27" s="11"/>
      <c r="EZG27" s="11"/>
      <c r="EZH27" s="11"/>
      <c r="EZI27" s="11"/>
      <c r="EZJ27" s="11"/>
      <c r="EZK27" s="11"/>
      <c r="EZL27" s="11"/>
      <c r="EZV27" s="2"/>
      <c r="EZW27" s="27"/>
      <c r="EZX27" s="31"/>
      <c r="EZY27" s="31"/>
      <c r="EZZ27" s="32"/>
      <c r="FAA27" s="32"/>
      <c r="FAB27" s="31"/>
      <c r="FAC27" s="31"/>
      <c r="FAD27" s="33"/>
      <c r="FAE27" s="34"/>
      <c r="FAF27" s="35"/>
      <c r="FAG27" s="36"/>
      <c r="FAH27" s="37"/>
      <c r="FAI27" s="23"/>
      <c r="FAJ27" s="23"/>
      <c r="FAK27" s="23"/>
      <c r="FAL27" s="23"/>
      <c r="FAM27" s="23"/>
      <c r="FAN27" s="24"/>
      <c r="FAO27" s="7"/>
      <c r="FAP27" s="7"/>
      <c r="FAQ27" s="7"/>
      <c r="FAR27" s="7"/>
      <c r="FAS27" s="18"/>
      <c r="FAT27" s="18"/>
      <c r="FAU27" s="17"/>
      <c r="FAV27" s="17"/>
      <c r="FAW27" s="7"/>
      <c r="FAX27" s="7"/>
      <c r="FAY27" s="8"/>
      <c r="FAZ27" s="8"/>
      <c r="FBA27" s="8"/>
      <c r="FBB27" s="8"/>
      <c r="FBC27" s="8"/>
      <c r="FBD27" s="8"/>
      <c r="FBE27" s="8"/>
      <c r="FBF27" s="8"/>
      <c r="FBG27" s="8"/>
      <c r="FBH27" s="8"/>
      <c r="FBI27" s="8"/>
      <c r="FBJ27" s="8"/>
      <c r="FBK27" s="8"/>
      <c r="FBL27" s="8"/>
      <c r="FBM27" s="8"/>
      <c r="FBN27" s="8"/>
      <c r="FBO27" s="8"/>
      <c r="FBP27" s="8"/>
      <c r="FBQ27" s="8"/>
      <c r="FBR27" s="8"/>
      <c r="FBS27" s="11"/>
      <c r="FBU27" s="11"/>
      <c r="FBV27" s="11"/>
      <c r="FBW27" s="11"/>
      <c r="FBY27" s="11"/>
      <c r="FBZ27" s="11"/>
      <c r="FCA27" s="11"/>
      <c r="FCC27" s="11"/>
      <c r="FCD27" s="11"/>
      <c r="FCE27" s="12"/>
      <c r="FCI27" s="11"/>
      <c r="FCJ27" s="12"/>
      <c r="FCT27" s="15"/>
      <c r="FCU27" s="15"/>
      <c r="FCV27" s="15"/>
      <c r="FCW27" s="15"/>
      <c r="FCX27" s="15"/>
      <c r="FCY27" s="15"/>
      <c r="FCZ27" s="15"/>
      <c r="FDA27" s="15"/>
      <c r="FDB27" s="15"/>
      <c r="FDC27" s="15"/>
      <c r="FDD27" s="15"/>
      <c r="FDE27" s="15"/>
      <c r="FDF27" s="15"/>
      <c r="FDG27" s="15"/>
      <c r="FDH27" s="15"/>
      <c r="FDI27" s="15"/>
      <c r="FDJ27" s="15"/>
      <c r="FDK27" s="15"/>
      <c r="FDL27" s="15"/>
      <c r="FDM27" s="15"/>
      <c r="FDN27" s="15"/>
      <c r="FDP27" s="11"/>
      <c r="FDQ27" s="11"/>
      <c r="FDR27" s="11"/>
      <c r="FDS27" s="11"/>
      <c r="FDT27" s="11"/>
      <c r="FDU27" s="11"/>
      <c r="FDV27" s="11"/>
      <c r="FDW27" s="11"/>
      <c r="FDX27" s="11"/>
      <c r="FEH27" s="2"/>
      <c r="FEI27" s="27"/>
      <c r="FEJ27" s="31"/>
      <c r="FEK27" s="31"/>
      <c r="FEL27" s="32"/>
      <c r="FEM27" s="32"/>
      <c r="FEN27" s="31"/>
      <c r="FEO27" s="31"/>
      <c r="FEP27" s="33"/>
      <c r="FEQ27" s="34"/>
      <c r="FER27" s="35"/>
      <c r="FES27" s="36"/>
      <c r="FET27" s="37"/>
      <c r="FEU27" s="23"/>
      <c r="FEV27" s="23"/>
      <c r="FEW27" s="23"/>
      <c r="FEX27" s="23"/>
      <c r="FEY27" s="23"/>
      <c r="FEZ27" s="24"/>
      <c r="FFA27" s="7"/>
      <c r="FFB27" s="7"/>
      <c r="FFC27" s="7"/>
      <c r="FFD27" s="7"/>
      <c r="FFE27" s="18"/>
      <c r="FFF27" s="18"/>
      <c r="FFG27" s="17"/>
      <c r="FFH27" s="17"/>
      <c r="FFI27" s="7"/>
      <c r="FFJ27" s="7"/>
      <c r="FFK27" s="8"/>
      <c r="FFL27" s="8"/>
      <c r="FFM27" s="8"/>
      <c r="FFN27" s="8"/>
      <c r="FFO27" s="8"/>
      <c r="FFP27" s="8"/>
      <c r="FFQ27" s="8"/>
      <c r="FFR27" s="8"/>
      <c r="FFS27" s="8"/>
      <c r="FFT27" s="8"/>
      <c r="FFU27" s="8"/>
      <c r="FFV27" s="8"/>
      <c r="FFW27" s="8"/>
      <c r="FFX27" s="8"/>
      <c r="FFY27" s="8"/>
      <c r="FFZ27" s="8"/>
      <c r="FGA27" s="8"/>
      <c r="FGB27" s="8"/>
      <c r="FGC27" s="8"/>
      <c r="FGD27" s="8"/>
      <c r="FGE27" s="11"/>
      <c r="FGG27" s="11"/>
      <c r="FGH27" s="11"/>
      <c r="FGI27" s="11"/>
      <c r="FGK27" s="11"/>
      <c r="FGL27" s="11"/>
      <c r="FGM27" s="11"/>
      <c r="FGO27" s="11"/>
      <c r="FGP27" s="11"/>
      <c r="FGQ27" s="12"/>
      <c r="FGU27" s="11"/>
      <c r="FGV27" s="12"/>
      <c r="FHF27" s="15"/>
      <c r="FHG27" s="15"/>
      <c r="FHH27" s="15"/>
      <c r="FHI27" s="15"/>
      <c r="FHJ27" s="15"/>
      <c r="FHK27" s="15"/>
      <c r="FHL27" s="15"/>
      <c r="FHM27" s="15"/>
      <c r="FHN27" s="15"/>
      <c r="FHO27" s="15"/>
      <c r="FHP27" s="15"/>
      <c r="FHQ27" s="15"/>
      <c r="FHR27" s="15"/>
      <c r="FHS27" s="15"/>
      <c r="FHT27" s="15"/>
      <c r="FHU27" s="15"/>
      <c r="FHV27" s="15"/>
      <c r="FHW27" s="15"/>
      <c r="FHX27" s="15"/>
      <c r="FHY27" s="15"/>
      <c r="FHZ27" s="15"/>
      <c r="FIB27" s="11"/>
      <c r="FIC27" s="11"/>
      <c r="FID27" s="11"/>
      <c r="FIE27" s="11"/>
      <c r="FIF27" s="11"/>
      <c r="FIG27" s="11"/>
      <c r="FIH27" s="11"/>
      <c r="FII27" s="11"/>
      <c r="FIJ27" s="11"/>
      <c r="FIT27" s="2"/>
      <c r="FIU27" s="27"/>
      <c r="FIV27" s="31"/>
      <c r="FIW27" s="31"/>
      <c r="FIX27" s="32"/>
      <c r="FIY27" s="32"/>
      <c r="FIZ27" s="31"/>
      <c r="FJA27" s="31"/>
      <c r="FJB27" s="33"/>
      <c r="FJC27" s="34"/>
      <c r="FJD27" s="35"/>
      <c r="FJE27" s="36"/>
      <c r="FJF27" s="37"/>
      <c r="FJG27" s="23"/>
      <c r="FJH27" s="23"/>
      <c r="FJI27" s="23"/>
      <c r="FJJ27" s="23"/>
      <c r="FJK27" s="23"/>
      <c r="FJL27" s="24"/>
      <c r="FJM27" s="7"/>
      <c r="FJN27" s="7"/>
      <c r="FJO27" s="7"/>
      <c r="FJP27" s="7"/>
      <c r="FJQ27" s="18"/>
      <c r="FJR27" s="18"/>
      <c r="FJS27" s="17"/>
      <c r="FJT27" s="17"/>
      <c r="FJU27" s="7"/>
      <c r="FJV27" s="7"/>
      <c r="FJW27" s="8"/>
      <c r="FJX27" s="8"/>
      <c r="FJY27" s="8"/>
      <c r="FJZ27" s="8"/>
      <c r="FKA27" s="8"/>
      <c r="FKB27" s="8"/>
      <c r="FKC27" s="8"/>
      <c r="FKD27" s="8"/>
      <c r="FKE27" s="8"/>
      <c r="FKF27" s="8"/>
      <c r="FKG27" s="8"/>
      <c r="FKH27" s="8"/>
      <c r="FKI27" s="8"/>
      <c r="FKJ27" s="8"/>
      <c r="FKK27" s="8"/>
      <c r="FKL27" s="8"/>
      <c r="FKM27" s="8"/>
      <c r="FKN27" s="8"/>
      <c r="FKO27" s="8"/>
      <c r="FKP27" s="8"/>
      <c r="FKQ27" s="11"/>
      <c r="FKS27" s="11"/>
      <c r="FKT27" s="11"/>
      <c r="FKU27" s="11"/>
      <c r="FKW27" s="11"/>
      <c r="FKX27" s="11"/>
      <c r="FKY27" s="11"/>
      <c r="FLA27" s="11"/>
      <c r="FLB27" s="11"/>
      <c r="FLC27" s="12"/>
      <c r="FLG27" s="11"/>
      <c r="FLH27" s="12"/>
      <c r="FLR27" s="15"/>
      <c r="FLS27" s="15"/>
      <c r="FLT27" s="15"/>
      <c r="FLU27" s="15"/>
      <c r="FLV27" s="15"/>
      <c r="FLW27" s="15"/>
      <c r="FLX27" s="15"/>
      <c r="FLY27" s="15"/>
      <c r="FLZ27" s="15"/>
      <c r="FMA27" s="15"/>
      <c r="FMB27" s="15"/>
      <c r="FMC27" s="15"/>
      <c r="FMD27" s="15"/>
      <c r="FME27" s="15"/>
      <c r="FMF27" s="15"/>
      <c r="FMG27" s="15"/>
      <c r="FMH27" s="15"/>
      <c r="FMI27" s="15"/>
      <c r="FMJ27" s="15"/>
      <c r="FMK27" s="15"/>
      <c r="FML27" s="15"/>
      <c r="FMN27" s="11"/>
      <c r="FMO27" s="11"/>
      <c r="FMP27" s="11"/>
      <c r="FMQ27" s="11"/>
      <c r="FMR27" s="11"/>
      <c r="FMS27" s="11"/>
      <c r="FMT27" s="11"/>
      <c r="FMU27" s="11"/>
      <c r="FMV27" s="11"/>
      <c r="FNF27" s="2"/>
      <c r="FNG27" s="27"/>
      <c r="FNH27" s="31"/>
      <c r="FNI27" s="31"/>
      <c r="FNJ27" s="32"/>
      <c r="FNK27" s="32"/>
      <c r="FNL27" s="31"/>
      <c r="FNM27" s="31"/>
      <c r="FNN27" s="33"/>
      <c r="FNO27" s="34"/>
      <c r="FNP27" s="35"/>
      <c r="FNQ27" s="36"/>
      <c r="FNR27" s="37"/>
      <c r="FNS27" s="23"/>
      <c r="FNT27" s="23"/>
      <c r="FNU27" s="23"/>
      <c r="FNV27" s="23"/>
      <c r="FNW27" s="23"/>
      <c r="FNX27" s="24"/>
      <c r="FNY27" s="7"/>
      <c r="FNZ27" s="7"/>
      <c r="FOA27" s="7"/>
      <c r="FOB27" s="7"/>
      <c r="FOC27" s="18"/>
      <c r="FOD27" s="18"/>
      <c r="FOE27" s="17"/>
      <c r="FOF27" s="17"/>
      <c r="FOG27" s="7"/>
      <c r="FOH27" s="7"/>
      <c r="FOI27" s="8"/>
      <c r="FOJ27" s="8"/>
      <c r="FOK27" s="8"/>
      <c r="FOL27" s="8"/>
      <c r="FOM27" s="8"/>
      <c r="FON27" s="8"/>
      <c r="FOO27" s="8"/>
      <c r="FOP27" s="8"/>
      <c r="FOQ27" s="8"/>
      <c r="FOR27" s="8"/>
      <c r="FOS27" s="8"/>
      <c r="FOT27" s="8"/>
      <c r="FOU27" s="8"/>
      <c r="FOV27" s="8"/>
      <c r="FOW27" s="8"/>
      <c r="FOX27" s="8"/>
      <c r="FOY27" s="8"/>
      <c r="FOZ27" s="8"/>
      <c r="FPA27" s="8"/>
      <c r="FPB27" s="8"/>
      <c r="FPC27" s="11"/>
      <c r="FPE27" s="11"/>
      <c r="FPF27" s="11"/>
      <c r="FPG27" s="11"/>
      <c r="FPI27" s="11"/>
      <c r="FPJ27" s="11"/>
      <c r="FPK27" s="11"/>
      <c r="FPM27" s="11"/>
      <c r="FPN27" s="11"/>
      <c r="FPO27" s="12"/>
      <c r="FPS27" s="11"/>
      <c r="FPT27" s="12"/>
      <c r="FQD27" s="15"/>
      <c r="FQE27" s="15"/>
      <c r="FQF27" s="15"/>
      <c r="FQG27" s="15"/>
      <c r="FQH27" s="15"/>
      <c r="FQI27" s="15"/>
      <c r="FQJ27" s="15"/>
      <c r="FQK27" s="15"/>
      <c r="FQL27" s="15"/>
      <c r="FQM27" s="15"/>
      <c r="FQN27" s="15"/>
      <c r="FQO27" s="15"/>
      <c r="FQP27" s="15"/>
      <c r="FQQ27" s="15"/>
      <c r="FQR27" s="15"/>
      <c r="FQS27" s="15"/>
      <c r="FQT27" s="15"/>
      <c r="FQU27" s="15"/>
      <c r="FQV27" s="15"/>
      <c r="FQW27" s="15"/>
      <c r="FQX27" s="15"/>
      <c r="FQZ27" s="11"/>
      <c r="FRA27" s="11"/>
      <c r="FRB27" s="11"/>
      <c r="FRC27" s="11"/>
      <c r="FRD27" s="11"/>
      <c r="FRE27" s="11"/>
      <c r="FRF27" s="11"/>
      <c r="FRG27" s="11"/>
      <c r="FRH27" s="11"/>
      <c r="FRR27" s="2"/>
      <c r="FRS27" s="27"/>
      <c r="FRT27" s="31"/>
      <c r="FRU27" s="31"/>
      <c r="FRV27" s="32"/>
      <c r="FRW27" s="32"/>
      <c r="FRX27" s="31"/>
      <c r="FRY27" s="31"/>
      <c r="FRZ27" s="33"/>
      <c r="FSA27" s="34"/>
      <c r="FSB27" s="35"/>
      <c r="FSC27" s="36"/>
      <c r="FSD27" s="37"/>
      <c r="FSE27" s="23"/>
      <c r="FSF27" s="23"/>
      <c r="FSG27" s="23"/>
      <c r="FSH27" s="23"/>
      <c r="FSI27" s="23"/>
      <c r="FSJ27" s="24"/>
      <c r="FSK27" s="7"/>
      <c r="FSL27" s="7"/>
      <c r="FSM27" s="7"/>
      <c r="FSN27" s="7"/>
      <c r="FSO27" s="18"/>
      <c r="FSP27" s="18"/>
      <c r="FSQ27" s="17"/>
      <c r="FSR27" s="17"/>
      <c r="FSS27" s="7"/>
      <c r="FST27" s="7"/>
      <c r="FSU27" s="8"/>
      <c r="FSV27" s="8"/>
      <c r="FSW27" s="8"/>
      <c r="FSX27" s="8"/>
      <c r="FSY27" s="8"/>
      <c r="FSZ27" s="8"/>
      <c r="FTA27" s="8"/>
      <c r="FTB27" s="8"/>
      <c r="FTC27" s="8"/>
      <c r="FTD27" s="8"/>
      <c r="FTE27" s="8"/>
      <c r="FTF27" s="8"/>
      <c r="FTG27" s="8"/>
      <c r="FTH27" s="8"/>
      <c r="FTI27" s="8"/>
      <c r="FTJ27" s="8"/>
      <c r="FTK27" s="8"/>
      <c r="FTL27" s="8"/>
      <c r="FTM27" s="8"/>
      <c r="FTN27" s="8"/>
      <c r="FTO27" s="11"/>
      <c r="FTQ27" s="11"/>
      <c r="FTR27" s="11"/>
      <c r="FTS27" s="11"/>
      <c r="FTU27" s="11"/>
      <c r="FTV27" s="11"/>
      <c r="FTW27" s="11"/>
      <c r="FTY27" s="11"/>
      <c r="FTZ27" s="11"/>
      <c r="FUA27" s="12"/>
      <c r="FUE27" s="11"/>
      <c r="FUF27" s="12"/>
      <c r="FUP27" s="15"/>
      <c r="FUQ27" s="15"/>
      <c r="FUR27" s="15"/>
      <c r="FUS27" s="15"/>
      <c r="FUT27" s="15"/>
      <c r="FUU27" s="15"/>
      <c r="FUV27" s="15"/>
      <c r="FUW27" s="15"/>
      <c r="FUX27" s="15"/>
      <c r="FUY27" s="15"/>
      <c r="FUZ27" s="15"/>
      <c r="FVA27" s="15"/>
      <c r="FVB27" s="15"/>
      <c r="FVC27" s="15"/>
      <c r="FVD27" s="15"/>
      <c r="FVE27" s="15"/>
      <c r="FVF27" s="15"/>
      <c r="FVG27" s="15"/>
      <c r="FVH27" s="15"/>
      <c r="FVI27" s="15"/>
      <c r="FVJ27" s="15"/>
      <c r="FVL27" s="11"/>
      <c r="FVM27" s="11"/>
      <c r="FVN27" s="11"/>
      <c r="FVO27" s="11"/>
      <c r="FVP27" s="11"/>
      <c r="FVQ27" s="11"/>
      <c r="FVR27" s="11"/>
      <c r="FVS27" s="11"/>
      <c r="FVT27" s="11"/>
      <c r="FWD27" s="2"/>
      <c r="FWE27" s="27"/>
      <c r="FWF27" s="31"/>
      <c r="FWG27" s="31"/>
      <c r="FWH27" s="32"/>
      <c r="FWI27" s="32"/>
      <c r="FWJ27" s="31"/>
      <c r="FWK27" s="31"/>
      <c r="FWL27" s="33"/>
      <c r="FWM27" s="34"/>
      <c r="FWN27" s="35"/>
      <c r="FWO27" s="36"/>
      <c r="FWP27" s="37"/>
      <c r="FWQ27" s="23"/>
      <c r="FWR27" s="23"/>
      <c r="FWS27" s="23"/>
      <c r="FWT27" s="23"/>
      <c r="FWU27" s="23"/>
      <c r="FWV27" s="24"/>
      <c r="FWW27" s="7"/>
      <c r="FWX27" s="7"/>
      <c r="FWY27" s="7"/>
      <c r="FWZ27" s="7"/>
      <c r="FXA27" s="18"/>
      <c r="FXB27" s="18"/>
      <c r="FXC27" s="17"/>
      <c r="FXD27" s="17"/>
      <c r="FXE27" s="7"/>
      <c r="FXF27" s="7"/>
      <c r="FXG27" s="8"/>
      <c r="FXH27" s="8"/>
      <c r="FXI27" s="8"/>
      <c r="FXJ27" s="8"/>
      <c r="FXK27" s="8"/>
      <c r="FXL27" s="8"/>
      <c r="FXM27" s="8"/>
      <c r="FXN27" s="8"/>
      <c r="FXO27" s="8"/>
      <c r="FXP27" s="8"/>
      <c r="FXQ27" s="8"/>
      <c r="FXR27" s="8"/>
      <c r="FXS27" s="8"/>
      <c r="FXT27" s="8"/>
      <c r="FXU27" s="8"/>
      <c r="FXV27" s="8"/>
      <c r="FXW27" s="8"/>
      <c r="FXX27" s="8"/>
      <c r="FXY27" s="8"/>
      <c r="FXZ27" s="8"/>
      <c r="FYA27" s="11"/>
      <c r="FYC27" s="11"/>
      <c r="FYD27" s="11"/>
      <c r="FYE27" s="11"/>
      <c r="FYG27" s="11"/>
      <c r="FYH27" s="11"/>
      <c r="FYI27" s="11"/>
      <c r="FYK27" s="11"/>
      <c r="FYL27" s="11"/>
      <c r="FYM27" s="12"/>
      <c r="FYQ27" s="11"/>
      <c r="FYR27" s="12"/>
      <c r="FZB27" s="15"/>
      <c r="FZC27" s="15"/>
      <c r="FZD27" s="15"/>
      <c r="FZE27" s="15"/>
      <c r="FZF27" s="15"/>
      <c r="FZG27" s="15"/>
      <c r="FZH27" s="15"/>
      <c r="FZI27" s="15"/>
      <c r="FZJ27" s="15"/>
      <c r="FZK27" s="15"/>
      <c r="FZL27" s="15"/>
      <c r="FZM27" s="15"/>
      <c r="FZN27" s="15"/>
      <c r="FZO27" s="15"/>
      <c r="FZP27" s="15"/>
      <c r="FZQ27" s="15"/>
      <c r="FZR27" s="15"/>
      <c r="FZS27" s="15"/>
      <c r="FZT27" s="15"/>
      <c r="FZU27" s="15"/>
      <c r="FZV27" s="15"/>
      <c r="FZX27" s="11"/>
      <c r="FZY27" s="11"/>
      <c r="FZZ27" s="11"/>
      <c r="GAA27" s="11"/>
      <c r="GAB27" s="11"/>
      <c r="GAC27" s="11"/>
      <c r="GAD27" s="11"/>
      <c r="GAE27" s="11"/>
      <c r="GAF27" s="11"/>
      <c r="GAP27" s="2"/>
      <c r="GAQ27" s="27"/>
      <c r="GAR27" s="31"/>
      <c r="GAS27" s="31"/>
      <c r="GAT27" s="32"/>
      <c r="GAU27" s="32"/>
      <c r="GAV27" s="31"/>
      <c r="GAW27" s="31"/>
      <c r="GAX27" s="33"/>
      <c r="GAY27" s="34"/>
      <c r="GAZ27" s="35"/>
      <c r="GBA27" s="36"/>
      <c r="GBB27" s="37"/>
      <c r="GBC27" s="23"/>
      <c r="GBD27" s="23"/>
      <c r="GBE27" s="23"/>
      <c r="GBF27" s="23"/>
      <c r="GBG27" s="23"/>
      <c r="GBH27" s="24"/>
      <c r="GBI27" s="7"/>
      <c r="GBJ27" s="7"/>
      <c r="GBK27" s="7"/>
      <c r="GBL27" s="7"/>
      <c r="GBM27" s="18"/>
      <c r="GBN27" s="18"/>
      <c r="GBO27" s="17"/>
      <c r="GBP27" s="17"/>
      <c r="GBQ27" s="7"/>
      <c r="GBR27" s="7"/>
      <c r="GBS27" s="8"/>
      <c r="GBT27" s="8"/>
      <c r="GBU27" s="8"/>
      <c r="GBV27" s="8"/>
      <c r="GBW27" s="8"/>
      <c r="GBX27" s="8"/>
      <c r="GBY27" s="8"/>
      <c r="GBZ27" s="8"/>
      <c r="GCA27" s="8"/>
      <c r="GCB27" s="8"/>
      <c r="GCC27" s="8"/>
      <c r="GCD27" s="8"/>
      <c r="GCE27" s="8"/>
      <c r="GCF27" s="8"/>
      <c r="GCG27" s="8"/>
      <c r="GCH27" s="8"/>
      <c r="GCI27" s="8"/>
      <c r="GCJ27" s="8"/>
      <c r="GCK27" s="8"/>
      <c r="GCL27" s="8"/>
      <c r="GCM27" s="11"/>
      <c r="GCO27" s="11"/>
      <c r="GCP27" s="11"/>
      <c r="GCQ27" s="11"/>
      <c r="GCS27" s="11"/>
      <c r="GCT27" s="11"/>
      <c r="GCU27" s="11"/>
      <c r="GCW27" s="11"/>
      <c r="GCX27" s="11"/>
      <c r="GCY27" s="12"/>
      <c r="GDC27" s="11"/>
      <c r="GDD27" s="12"/>
      <c r="GDN27" s="15"/>
      <c r="GDO27" s="15"/>
      <c r="GDP27" s="15"/>
      <c r="GDQ27" s="15"/>
      <c r="GDR27" s="15"/>
      <c r="GDS27" s="15"/>
      <c r="GDT27" s="15"/>
      <c r="GDU27" s="15"/>
      <c r="GDV27" s="15"/>
      <c r="GDW27" s="15"/>
      <c r="GDX27" s="15"/>
      <c r="GDY27" s="15"/>
      <c r="GDZ27" s="15"/>
      <c r="GEA27" s="15"/>
      <c r="GEB27" s="15"/>
      <c r="GEC27" s="15"/>
      <c r="GED27" s="15"/>
      <c r="GEE27" s="15"/>
      <c r="GEF27" s="15"/>
      <c r="GEG27" s="15"/>
      <c r="GEH27" s="15"/>
      <c r="GEJ27" s="11"/>
      <c r="GEK27" s="11"/>
      <c r="GEL27" s="11"/>
      <c r="GEM27" s="11"/>
      <c r="GEN27" s="11"/>
      <c r="GEO27" s="11"/>
      <c r="GEP27" s="11"/>
      <c r="GEQ27" s="11"/>
      <c r="GER27" s="11"/>
      <c r="GFB27" s="2"/>
      <c r="GFC27" s="27"/>
      <c r="GFD27" s="31"/>
      <c r="GFE27" s="31"/>
      <c r="GFF27" s="32"/>
      <c r="GFG27" s="32"/>
      <c r="GFH27" s="31"/>
      <c r="GFI27" s="31"/>
      <c r="GFJ27" s="33"/>
      <c r="GFK27" s="34"/>
      <c r="GFL27" s="35"/>
      <c r="GFM27" s="36"/>
      <c r="GFN27" s="37"/>
      <c r="GFO27" s="23"/>
      <c r="GFP27" s="23"/>
      <c r="GFQ27" s="23"/>
      <c r="GFR27" s="23"/>
      <c r="GFS27" s="23"/>
      <c r="GFT27" s="24"/>
      <c r="GFU27" s="7"/>
      <c r="GFV27" s="7"/>
      <c r="GFW27" s="7"/>
      <c r="GFX27" s="7"/>
      <c r="GFY27" s="18"/>
      <c r="GFZ27" s="18"/>
      <c r="GGA27" s="17"/>
      <c r="GGB27" s="17"/>
      <c r="GGC27" s="7"/>
      <c r="GGD27" s="7"/>
      <c r="GGE27" s="8"/>
      <c r="GGF27" s="8"/>
      <c r="GGG27" s="8"/>
      <c r="GGH27" s="8"/>
      <c r="GGI27" s="8"/>
      <c r="GGJ27" s="8"/>
      <c r="GGK27" s="8"/>
      <c r="GGL27" s="8"/>
      <c r="GGM27" s="8"/>
      <c r="GGN27" s="8"/>
      <c r="GGO27" s="8"/>
      <c r="GGP27" s="8"/>
      <c r="GGQ27" s="8"/>
      <c r="GGR27" s="8"/>
      <c r="GGS27" s="8"/>
      <c r="GGT27" s="8"/>
      <c r="GGU27" s="8"/>
      <c r="GGV27" s="8"/>
      <c r="GGW27" s="8"/>
      <c r="GGX27" s="8"/>
      <c r="GGY27" s="11"/>
      <c r="GHA27" s="11"/>
      <c r="GHB27" s="11"/>
      <c r="GHC27" s="11"/>
      <c r="GHE27" s="11"/>
      <c r="GHF27" s="11"/>
      <c r="GHG27" s="11"/>
      <c r="GHI27" s="11"/>
      <c r="GHJ27" s="11"/>
      <c r="GHK27" s="12"/>
      <c r="GHO27" s="11"/>
      <c r="GHP27" s="12"/>
      <c r="GHZ27" s="15"/>
      <c r="GIA27" s="15"/>
      <c r="GIB27" s="15"/>
      <c r="GIC27" s="15"/>
      <c r="GID27" s="15"/>
      <c r="GIE27" s="15"/>
      <c r="GIF27" s="15"/>
      <c r="GIG27" s="15"/>
      <c r="GIH27" s="15"/>
      <c r="GII27" s="15"/>
      <c r="GIJ27" s="15"/>
      <c r="GIK27" s="15"/>
      <c r="GIL27" s="15"/>
      <c r="GIM27" s="15"/>
      <c r="GIN27" s="15"/>
      <c r="GIO27" s="15"/>
      <c r="GIP27" s="15"/>
      <c r="GIQ27" s="15"/>
      <c r="GIR27" s="15"/>
      <c r="GIS27" s="15"/>
      <c r="GIT27" s="15"/>
      <c r="GIV27" s="11"/>
      <c r="GIW27" s="11"/>
      <c r="GIX27" s="11"/>
      <c r="GIY27" s="11"/>
      <c r="GIZ27" s="11"/>
      <c r="GJA27" s="11"/>
      <c r="GJB27" s="11"/>
      <c r="GJC27" s="11"/>
      <c r="GJD27" s="11"/>
      <c r="GJN27" s="2"/>
      <c r="GJO27" s="27"/>
      <c r="GJP27" s="31"/>
      <c r="GJQ27" s="31"/>
      <c r="GJR27" s="32"/>
      <c r="GJS27" s="32"/>
      <c r="GJT27" s="31"/>
      <c r="GJU27" s="31"/>
      <c r="GJV27" s="33"/>
      <c r="GJW27" s="34"/>
      <c r="GJX27" s="35"/>
      <c r="GJY27" s="36"/>
      <c r="GJZ27" s="37"/>
      <c r="GKA27" s="23"/>
      <c r="GKB27" s="23"/>
      <c r="GKC27" s="23"/>
      <c r="GKD27" s="23"/>
      <c r="GKE27" s="23"/>
      <c r="GKF27" s="24"/>
      <c r="GKG27" s="7"/>
      <c r="GKH27" s="7"/>
      <c r="GKI27" s="7"/>
      <c r="GKJ27" s="7"/>
      <c r="GKK27" s="18"/>
      <c r="GKL27" s="18"/>
      <c r="GKM27" s="17"/>
      <c r="GKN27" s="17"/>
      <c r="GKO27" s="7"/>
      <c r="GKP27" s="7"/>
      <c r="GKQ27" s="8"/>
      <c r="GKR27" s="8"/>
      <c r="GKS27" s="8"/>
      <c r="GKT27" s="8"/>
      <c r="GKU27" s="8"/>
      <c r="GKV27" s="8"/>
      <c r="GKW27" s="8"/>
      <c r="GKX27" s="8"/>
      <c r="GKY27" s="8"/>
      <c r="GKZ27" s="8"/>
      <c r="GLA27" s="8"/>
      <c r="GLB27" s="8"/>
      <c r="GLC27" s="8"/>
      <c r="GLD27" s="8"/>
      <c r="GLE27" s="8"/>
      <c r="GLF27" s="8"/>
      <c r="GLG27" s="8"/>
      <c r="GLH27" s="8"/>
      <c r="GLI27" s="8"/>
      <c r="GLJ27" s="8"/>
      <c r="GLK27" s="11"/>
      <c r="GLM27" s="11"/>
      <c r="GLN27" s="11"/>
      <c r="GLO27" s="11"/>
      <c r="GLQ27" s="11"/>
      <c r="GLR27" s="11"/>
      <c r="GLS27" s="11"/>
      <c r="GLU27" s="11"/>
      <c r="GLV27" s="11"/>
      <c r="GLW27" s="12"/>
      <c r="GMA27" s="11"/>
      <c r="GMB27" s="12"/>
      <c r="GML27" s="15"/>
      <c r="GMM27" s="15"/>
      <c r="GMN27" s="15"/>
      <c r="GMO27" s="15"/>
      <c r="GMP27" s="15"/>
      <c r="GMQ27" s="15"/>
      <c r="GMR27" s="15"/>
      <c r="GMS27" s="15"/>
      <c r="GMT27" s="15"/>
      <c r="GMU27" s="15"/>
      <c r="GMV27" s="15"/>
      <c r="GMW27" s="15"/>
      <c r="GMX27" s="15"/>
      <c r="GMY27" s="15"/>
      <c r="GMZ27" s="15"/>
      <c r="GNA27" s="15"/>
      <c r="GNB27" s="15"/>
      <c r="GNC27" s="15"/>
      <c r="GND27" s="15"/>
      <c r="GNE27" s="15"/>
      <c r="GNF27" s="15"/>
      <c r="GNH27" s="11"/>
      <c r="GNI27" s="11"/>
      <c r="GNJ27" s="11"/>
      <c r="GNK27" s="11"/>
      <c r="GNL27" s="11"/>
      <c r="GNM27" s="11"/>
      <c r="GNN27" s="11"/>
      <c r="GNO27" s="11"/>
      <c r="GNP27" s="11"/>
      <c r="GNZ27" s="2"/>
      <c r="GOA27" s="27"/>
      <c r="GOB27" s="31"/>
      <c r="GOC27" s="31"/>
      <c r="GOD27" s="32"/>
      <c r="GOE27" s="32"/>
      <c r="GOF27" s="31"/>
      <c r="GOG27" s="31"/>
      <c r="GOH27" s="33"/>
      <c r="GOI27" s="34"/>
      <c r="GOJ27" s="35"/>
      <c r="GOK27" s="36"/>
      <c r="GOL27" s="37"/>
      <c r="GOM27" s="23"/>
      <c r="GON27" s="23"/>
      <c r="GOO27" s="23"/>
      <c r="GOP27" s="23"/>
      <c r="GOQ27" s="23"/>
      <c r="GOR27" s="24"/>
      <c r="GOS27" s="7"/>
      <c r="GOT27" s="7"/>
      <c r="GOU27" s="7"/>
      <c r="GOV27" s="7"/>
      <c r="GOW27" s="18"/>
      <c r="GOX27" s="18"/>
      <c r="GOY27" s="17"/>
      <c r="GOZ27" s="17"/>
      <c r="GPA27" s="7"/>
      <c r="GPB27" s="7"/>
      <c r="GPC27" s="8"/>
      <c r="GPD27" s="8"/>
      <c r="GPE27" s="8"/>
      <c r="GPF27" s="8"/>
      <c r="GPG27" s="8"/>
      <c r="GPH27" s="8"/>
      <c r="GPI27" s="8"/>
      <c r="GPJ27" s="8"/>
      <c r="GPK27" s="8"/>
      <c r="GPL27" s="8"/>
      <c r="GPM27" s="8"/>
      <c r="GPN27" s="8"/>
      <c r="GPO27" s="8"/>
      <c r="GPP27" s="8"/>
      <c r="GPQ27" s="8"/>
      <c r="GPR27" s="8"/>
      <c r="GPS27" s="8"/>
      <c r="GPT27" s="8"/>
      <c r="GPU27" s="8"/>
      <c r="GPV27" s="8"/>
      <c r="GPW27" s="11"/>
      <c r="GPY27" s="11"/>
      <c r="GPZ27" s="11"/>
      <c r="GQA27" s="11"/>
      <c r="GQC27" s="11"/>
      <c r="GQD27" s="11"/>
      <c r="GQE27" s="11"/>
      <c r="GQG27" s="11"/>
      <c r="GQH27" s="11"/>
      <c r="GQI27" s="12"/>
      <c r="GQM27" s="11"/>
      <c r="GQN27" s="12"/>
      <c r="GQX27" s="15"/>
      <c r="GQY27" s="15"/>
      <c r="GQZ27" s="15"/>
      <c r="GRA27" s="15"/>
      <c r="GRB27" s="15"/>
      <c r="GRC27" s="15"/>
      <c r="GRD27" s="15"/>
      <c r="GRE27" s="15"/>
      <c r="GRF27" s="15"/>
      <c r="GRG27" s="15"/>
      <c r="GRH27" s="15"/>
      <c r="GRI27" s="15"/>
      <c r="GRJ27" s="15"/>
      <c r="GRK27" s="15"/>
      <c r="GRL27" s="15"/>
      <c r="GRM27" s="15"/>
      <c r="GRN27" s="15"/>
      <c r="GRO27" s="15"/>
      <c r="GRP27" s="15"/>
      <c r="GRQ27" s="15"/>
      <c r="GRR27" s="15"/>
      <c r="GRT27" s="11"/>
      <c r="GRU27" s="11"/>
      <c r="GRV27" s="11"/>
      <c r="GRW27" s="11"/>
      <c r="GRX27" s="11"/>
      <c r="GRY27" s="11"/>
      <c r="GRZ27" s="11"/>
      <c r="GSA27" s="11"/>
      <c r="GSB27" s="11"/>
      <c r="GSL27" s="2"/>
      <c r="GSM27" s="27"/>
      <c r="GSN27" s="31"/>
      <c r="GSO27" s="31"/>
      <c r="GSP27" s="32"/>
      <c r="GSQ27" s="32"/>
      <c r="GSR27" s="31"/>
      <c r="GSS27" s="31"/>
      <c r="GST27" s="33"/>
      <c r="GSU27" s="34"/>
      <c r="GSV27" s="35"/>
      <c r="GSW27" s="36"/>
      <c r="GSX27" s="37"/>
      <c r="GSY27" s="23"/>
      <c r="GSZ27" s="23"/>
      <c r="GTA27" s="23"/>
      <c r="GTB27" s="23"/>
      <c r="GTC27" s="23"/>
      <c r="GTD27" s="24"/>
      <c r="GTE27" s="7"/>
      <c r="GTF27" s="7"/>
      <c r="GTG27" s="7"/>
      <c r="GTH27" s="7"/>
      <c r="GTI27" s="18"/>
      <c r="GTJ27" s="18"/>
      <c r="GTK27" s="17"/>
      <c r="GTL27" s="17"/>
      <c r="GTM27" s="7"/>
      <c r="GTN27" s="7"/>
      <c r="GTO27" s="8"/>
      <c r="GTP27" s="8"/>
      <c r="GTQ27" s="8"/>
      <c r="GTR27" s="8"/>
      <c r="GTS27" s="8"/>
      <c r="GTT27" s="8"/>
      <c r="GTU27" s="8"/>
      <c r="GTV27" s="8"/>
      <c r="GTW27" s="8"/>
      <c r="GTX27" s="8"/>
      <c r="GTY27" s="8"/>
      <c r="GTZ27" s="8"/>
      <c r="GUA27" s="8"/>
      <c r="GUB27" s="8"/>
      <c r="GUC27" s="8"/>
      <c r="GUD27" s="8"/>
      <c r="GUE27" s="8"/>
      <c r="GUF27" s="8"/>
      <c r="GUG27" s="8"/>
      <c r="GUH27" s="8"/>
      <c r="GUI27" s="11"/>
      <c r="GUK27" s="11"/>
      <c r="GUL27" s="11"/>
      <c r="GUM27" s="11"/>
      <c r="GUO27" s="11"/>
      <c r="GUP27" s="11"/>
      <c r="GUQ27" s="11"/>
      <c r="GUS27" s="11"/>
      <c r="GUT27" s="11"/>
      <c r="GUU27" s="12"/>
      <c r="GUY27" s="11"/>
      <c r="GUZ27" s="12"/>
      <c r="GVJ27" s="15"/>
      <c r="GVK27" s="15"/>
      <c r="GVL27" s="15"/>
      <c r="GVM27" s="15"/>
      <c r="GVN27" s="15"/>
      <c r="GVO27" s="15"/>
      <c r="GVP27" s="15"/>
      <c r="GVQ27" s="15"/>
      <c r="GVR27" s="15"/>
      <c r="GVS27" s="15"/>
      <c r="GVT27" s="15"/>
      <c r="GVU27" s="15"/>
      <c r="GVV27" s="15"/>
      <c r="GVW27" s="15"/>
      <c r="GVX27" s="15"/>
      <c r="GVY27" s="15"/>
      <c r="GVZ27" s="15"/>
      <c r="GWA27" s="15"/>
      <c r="GWB27" s="15"/>
      <c r="GWC27" s="15"/>
      <c r="GWD27" s="15"/>
      <c r="GWF27" s="11"/>
      <c r="GWG27" s="11"/>
      <c r="GWH27" s="11"/>
      <c r="GWI27" s="11"/>
      <c r="GWJ27" s="11"/>
      <c r="GWK27" s="11"/>
      <c r="GWL27" s="11"/>
      <c r="GWM27" s="11"/>
      <c r="GWN27" s="11"/>
      <c r="GWX27" s="2"/>
      <c r="GWY27" s="27"/>
      <c r="GWZ27" s="31"/>
      <c r="GXA27" s="31"/>
      <c r="GXB27" s="32"/>
      <c r="GXC27" s="32"/>
      <c r="GXD27" s="31"/>
      <c r="GXE27" s="31"/>
      <c r="GXF27" s="33"/>
      <c r="GXG27" s="34"/>
      <c r="GXH27" s="35"/>
      <c r="GXI27" s="36"/>
      <c r="GXJ27" s="37"/>
      <c r="GXK27" s="23"/>
      <c r="GXL27" s="23"/>
      <c r="GXM27" s="23"/>
      <c r="GXN27" s="23"/>
      <c r="GXO27" s="23"/>
      <c r="GXP27" s="24"/>
      <c r="GXQ27" s="7"/>
      <c r="GXR27" s="7"/>
      <c r="GXS27" s="7"/>
      <c r="GXT27" s="7"/>
      <c r="GXU27" s="18"/>
      <c r="GXV27" s="18"/>
      <c r="GXW27" s="17"/>
      <c r="GXX27" s="17"/>
      <c r="GXY27" s="7"/>
      <c r="GXZ27" s="7"/>
      <c r="GYA27" s="8"/>
      <c r="GYB27" s="8"/>
      <c r="GYC27" s="8"/>
      <c r="GYD27" s="8"/>
      <c r="GYE27" s="8"/>
      <c r="GYF27" s="8"/>
      <c r="GYG27" s="8"/>
      <c r="GYH27" s="8"/>
      <c r="GYI27" s="8"/>
      <c r="GYJ27" s="8"/>
      <c r="GYK27" s="8"/>
      <c r="GYL27" s="8"/>
      <c r="GYM27" s="8"/>
      <c r="GYN27" s="8"/>
      <c r="GYO27" s="8"/>
      <c r="GYP27" s="8"/>
      <c r="GYQ27" s="8"/>
      <c r="GYR27" s="8"/>
      <c r="GYS27" s="8"/>
      <c r="GYT27" s="8"/>
      <c r="GYU27" s="11"/>
      <c r="GYW27" s="11"/>
      <c r="GYX27" s="11"/>
      <c r="GYY27" s="11"/>
      <c r="GZA27" s="11"/>
      <c r="GZB27" s="11"/>
      <c r="GZC27" s="11"/>
      <c r="GZE27" s="11"/>
      <c r="GZF27" s="11"/>
      <c r="GZG27" s="12"/>
      <c r="GZK27" s="11"/>
      <c r="GZL27" s="12"/>
      <c r="GZV27" s="15"/>
      <c r="GZW27" s="15"/>
      <c r="GZX27" s="15"/>
      <c r="GZY27" s="15"/>
      <c r="GZZ27" s="15"/>
      <c r="HAA27" s="15"/>
      <c r="HAB27" s="15"/>
      <c r="HAC27" s="15"/>
      <c r="HAD27" s="15"/>
      <c r="HAE27" s="15"/>
      <c r="HAF27" s="15"/>
      <c r="HAG27" s="15"/>
      <c r="HAH27" s="15"/>
      <c r="HAI27" s="15"/>
      <c r="HAJ27" s="15"/>
      <c r="HAK27" s="15"/>
      <c r="HAL27" s="15"/>
      <c r="HAM27" s="15"/>
      <c r="HAN27" s="15"/>
      <c r="HAO27" s="15"/>
      <c r="HAP27" s="15"/>
      <c r="HAR27" s="11"/>
      <c r="HAS27" s="11"/>
      <c r="HAT27" s="11"/>
      <c r="HAU27" s="11"/>
      <c r="HAV27" s="11"/>
      <c r="HAW27" s="11"/>
      <c r="HAX27" s="11"/>
      <c r="HAY27" s="11"/>
      <c r="HAZ27" s="11"/>
      <c r="HBJ27" s="2"/>
      <c r="HBK27" s="27"/>
      <c r="HBL27" s="31"/>
      <c r="HBM27" s="31"/>
      <c r="HBN27" s="32"/>
      <c r="HBO27" s="32"/>
      <c r="HBP27" s="31"/>
      <c r="HBQ27" s="31"/>
      <c r="HBR27" s="33"/>
      <c r="HBS27" s="34"/>
      <c r="HBT27" s="35"/>
      <c r="HBU27" s="36"/>
      <c r="HBV27" s="37"/>
      <c r="HBW27" s="23"/>
      <c r="HBX27" s="23"/>
      <c r="HBY27" s="23"/>
      <c r="HBZ27" s="23"/>
      <c r="HCA27" s="23"/>
      <c r="HCB27" s="24"/>
      <c r="HCC27" s="7"/>
      <c r="HCD27" s="7"/>
      <c r="HCE27" s="7"/>
      <c r="HCF27" s="7"/>
      <c r="HCG27" s="18"/>
      <c r="HCH27" s="18"/>
      <c r="HCI27" s="17"/>
      <c r="HCJ27" s="17"/>
      <c r="HCK27" s="7"/>
      <c r="HCL27" s="7"/>
      <c r="HCM27" s="8"/>
      <c r="HCN27" s="8"/>
      <c r="HCO27" s="8"/>
      <c r="HCP27" s="8"/>
      <c r="HCQ27" s="8"/>
      <c r="HCR27" s="8"/>
      <c r="HCS27" s="8"/>
      <c r="HCT27" s="8"/>
      <c r="HCU27" s="8"/>
      <c r="HCV27" s="8"/>
      <c r="HCW27" s="8"/>
      <c r="HCX27" s="8"/>
      <c r="HCY27" s="8"/>
      <c r="HCZ27" s="8"/>
      <c r="HDA27" s="8"/>
      <c r="HDB27" s="8"/>
      <c r="HDC27" s="8"/>
      <c r="HDD27" s="8"/>
      <c r="HDE27" s="8"/>
      <c r="HDF27" s="8"/>
      <c r="HDG27" s="11"/>
      <c r="HDI27" s="11"/>
      <c r="HDJ27" s="11"/>
      <c r="HDK27" s="11"/>
      <c r="HDM27" s="11"/>
      <c r="HDN27" s="11"/>
      <c r="HDO27" s="11"/>
      <c r="HDQ27" s="11"/>
      <c r="HDR27" s="11"/>
      <c r="HDS27" s="12"/>
      <c r="HDW27" s="11"/>
      <c r="HDX27" s="12"/>
      <c r="HEH27" s="15"/>
      <c r="HEI27" s="15"/>
      <c r="HEJ27" s="15"/>
      <c r="HEK27" s="15"/>
      <c r="HEL27" s="15"/>
      <c r="HEM27" s="15"/>
      <c r="HEN27" s="15"/>
      <c r="HEO27" s="15"/>
      <c r="HEP27" s="15"/>
      <c r="HEQ27" s="15"/>
      <c r="HER27" s="15"/>
      <c r="HES27" s="15"/>
      <c r="HET27" s="15"/>
      <c r="HEU27" s="15"/>
      <c r="HEV27" s="15"/>
      <c r="HEW27" s="15"/>
      <c r="HEX27" s="15"/>
      <c r="HEY27" s="15"/>
      <c r="HEZ27" s="15"/>
      <c r="HFA27" s="15"/>
      <c r="HFB27" s="15"/>
      <c r="HFD27" s="11"/>
      <c r="HFE27" s="11"/>
      <c r="HFF27" s="11"/>
      <c r="HFG27" s="11"/>
      <c r="HFH27" s="11"/>
      <c r="HFI27" s="11"/>
      <c r="HFJ27" s="11"/>
      <c r="HFK27" s="11"/>
      <c r="HFL27" s="11"/>
      <c r="HFV27" s="2"/>
      <c r="HFW27" s="27"/>
      <c r="HFX27" s="31"/>
      <c r="HFY27" s="31"/>
      <c r="HFZ27" s="32"/>
      <c r="HGA27" s="32"/>
      <c r="HGB27" s="31"/>
      <c r="HGC27" s="31"/>
      <c r="HGD27" s="33"/>
      <c r="HGE27" s="34"/>
      <c r="HGF27" s="35"/>
      <c r="HGG27" s="36"/>
      <c r="HGH27" s="37"/>
      <c r="HGI27" s="23"/>
      <c r="HGJ27" s="23"/>
      <c r="HGK27" s="23"/>
      <c r="HGL27" s="23"/>
      <c r="HGM27" s="23"/>
      <c r="HGN27" s="24"/>
      <c r="HGO27" s="7"/>
      <c r="HGP27" s="7"/>
      <c r="HGQ27" s="7"/>
      <c r="HGR27" s="7"/>
      <c r="HGS27" s="18"/>
      <c r="HGT27" s="18"/>
      <c r="HGU27" s="17"/>
      <c r="HGV27" s="17"/>
      <c r="HGW27" s="7"/>
      <c r="HGX27" s="7"/>
      <c r="HGY27" s="8"/>
      <c r="HGZ27" s="8"/>
      <c r="HHA27" s="8"/>
      <c r="HHB27" s="8"/>
      <c r="HHC27" s="8"/>
      <c r="HHD27" s="8"/>
      <c r="HHE27" s="8"/>
      <c r="HHF27" s="8"/>
      <c r="HHG27" s="8"/>
      <c r="HHH27" s="8"/>
      <c r="HHI27" s="8"/>
      <c r="HHJ27" s="8"/>
      <c r="HHK27" s="8"/>
      <c r="HHL27" s="8"/>
      <c r="HHM27" s="8"/>
      <c r="HHN27" s="8"/>
      <c r="HHO27" s="8"/>
      <c r="HHP27" s="8"/>
      <c r="HHQ27" s="8"/>
      <c r="HHR27" s="8"/>
      <c r="HHS27" s="11"/>
      <c r="HHU27" s="11"/>
      <c r="HHV27" s="11"/>
      <c r="HHW27" s="11"/>
      <c r="HHY27" s="11"/>
      <c r="HHZ27" s="11"/>
      <c r="HIA27" s="11"/>
      <c r="HIC27" s="11"/>
      <c r="HID27" s="11"/>
      <c r="HIE27" s="12"/>
      <c r="HII27" s="11"/>
      <c r="HIJ27" s="12"/>
      <c r="HIT27" s="15"/>
      <c r="HIU27" s="15"/>
      <c r="HIV27" s="15"/>
      <c r="HIW27" s="15"/>
      <c r="HIX27" s="15"/>
      <c r="HIY27" s="15"/>
      <c r="HIZ27" s="15"/>
      <c r="HJA27" s="15"/>
      <c r="HJB27" s="15"/>
      <c r="HJC27" s="15"/>
      <c r="HJD27" s="15"/>
      <c r="HJE27" s="15"/>
      <c r="HJF27" s="15"/>
      <c r="HJG27" s="15"/>
      <c r="HJH27" s="15"/>
      <c r="HJI27" s="15"/>
      <c r="HJJ27" s="15"/>
      <c r="HJK27" s="15"/>
      <c r="HJL27" s="15"/>
      <c r="HJM27" s="15"/>
      <c r="HJN27" s="15"/>
      <c r="HJP27" s="11"/>
      <c r="HJQ27" s="11"/>
      <c r="HJR27" s="11"/>
      <c r="HJS27" s="11"/>
      <c r="HJT27" s="11"/>
      <c r="HJU27" s="11"/>
      <c r="HJV27" s="11"/>
      <c r="HJW27" s="11"/>
      <c r="HJX27" s="11"/>
      <c r="HKH27" s="2"/>
      <c r="HKI27" s="27"/>
      <c r="HKJ27" s="31"/>
      <c r="HKK27" s="31"/>
      <c r="HKL27" s="32"/>
      <c r="HKM27" s="32"/>
      <c r="HKN27" s="31"/>
      <c r="HKO27" s="31"/>
      <c r="HKP27" s="33"/>
      <c r="HKQ27" s="34"/>
      <c r="HKR27" s="35"/>
      <c r="HKS27" s="36"/>
      <c r="HKT27" s="37"/>
      <c r="HKU27" s="23"/>
      <c r="HKV27" s="23"/>
      <c r="HKW27" s="23"/>
      <c r="HKX27" s="23"/>
      <c r="HKY27" s="23"/>
      <c r="HKZ27" s="24"/>
      <c r="HLA27" s="7"/>
      <c r="HLB27" s="7"/>
      <c r="HLC27" s="7"/>
      <c r="HLD27" s="7"/>
      <c r="HLE27" s="18"/>
      <c r="HLF27" s="18"/>
      <c r="HLG27" s="17"/>
      <c r="HLH27" s="17"/>
      <c r="HLI27" s="7"/>
      <c r="HLJ27" s="7"/>
      <c r="HLK27" s="8"/>
      <c r="HLL27" s="8"/>
      <c r="HLM27" s="8"/>
      <c r="HLN27" s="8"/>
      <c r="HLO27" s="8"/>
      <c r="HLP27" s="8"/>
      <c r="HLQ27" s="8"/>
      <c r="HLR27" s="8"/>
      <c r="HLS27" s="8"/>
      <c r="HLT27" s="8"/>
      <c r="HLU27" s="8"/>
      <c r="HLV27" s="8"/>
      <c r="HLW27" s="8"/>
      <c r="HLX27" s="8"/>
      <c r="HLY27" s="8"/>
      <c r="HLZ27" s="8"/>
      <c r="HMA27" s="8"/>
      <c r="HMB27" s="8"/>
      <c r="HMC27" s="8"/>
      <c r="HMD27" s="8"/>
      <c r="HME27" s="11"/>
      <c r="HMG27" s="11"/>
      <c r="HMH27" s="11"/>
      <c r="HMI27" s="11"/>
      <c r="HMK27" s="11"/>
      <c r="HML27" s="11"/>
      <c r="HMM27" s="11"/>
      <c r="HMO27" s="11"/>
      <c r="HMP27" s="11"/>
      <c r="HMQ27" s="12"/>
      <c r="HMU27" s="11"/>
      <c r="HMV27" s="12"/>
      <c r="HNF27" s="15"/>
      <c r="HNG27" s="15"/>
      <c r="HNH27" s="15"/>
      <c r="HNI27" s="15"/>
      <c r="HNJ27" s="15"/>
      <c r="HNK27" s="15"/>
      <c r="HNL27" s="15"/>
      <c r="HNM27" s="15"/>
      <c r="HNN27" s="15"/>
      <c r="HNO27" s="15"/>
      <c r="HNP27" s="15"/>
      <c r="HNQ27" s="15"/>
      <c r="HNR27" s="15"/>
      <c r="HNS27" s="15"/>
      <c r="HNT27" s="15"/>
      <c r="HNU27" s="15"/>
      <c r="HNV27" s="15"/>
      <c r="HNW27" s="15"/>
      <c r="HNX27" s="15"/>
      <c r="HNY27" s="15"/>
      <c r="HNZ27" s="15"/>
      <c r="HOB27" s="11"/>
      <c r="HOC27" s="11"/>
      <c r="HOD27" s="11"/>
      <c r="HOE27" s="11"/>
      <c r="HOF27" s="11"/>
      <c r="HOG27" s="11"/>
      <c r="HOH27" s="11"/>
      <c r="HOI27" s="11"/>
      <c r="HOJ27" s="11"/>
      <c r="HOT27" s="2"/>
      <c r="HOU27" s="27"/>
      <c r="HOV27" s="31"/>
      <c r="HOW27" s="31"/>
      <c r="HOX27" s="32"/>
      <c r="HOY27" s="32"/>
      <c r="HOZ27" s="31"/>
      <c r="HPA27" s="31"/>
      <c r="HPB27" s="33"/>
      <c r="HPC27" s="34"/>
      <c r="HPD27" s="35"/>
      <c r="HPE27" s="36"/>
      <c r="HPF27" s="37"/>
      <c r="HPG27" s="23"/>
      <c r="HPH27" s="23"/>
      <c r="HPI27" s="23"/>
      <c r="HPJ27" s="23"/>
      <c r="HPK27" s="23"/>
      <c r="HPL27" s="24"/>
      <c r="HPM27" s="7"/>
      <c r="HPN27" s="7"/>
      <c r="HPO27" s="7"/>
      <c r="HPP27" s="7"/>
      <c r="HPQ27" s="18"/>
      <c r="HPR27" s="18"/>
      <c r="HPS27" s="17"/>
      <c r="HPT27" s="17"/>
      <c r="HPU27" s="7"/>
      <c r="HPV27" s="7"/>
      <c r="HPW27" s="8"/>
      <c r="HPX27" s="8"/>
      <c r="HPY27" s="8"/>
      <c r="HPZ27" s="8"/>
      <c r="HQA27" s="8"/>
      <c r="HQB27" s="8"/>
      <c r="HQC27" s="8"/>
      <c r="HQD27" s="8"/>
      <c r="HQE27" s="8"/>
      <c r="HQF27" s="8"/>
      <c r="HQG27" s="8"/>
      <c r="HQH27" s="8"/>
      <c r="HQI27" s="8"/>
      <c r="HQJ27" s="8"/>
      <c r="HQK27" s="8"/>
      <c r="HQL27" s="8"/>
      <c r="HQM27" s="8"/>
      <c r="HQN27" s="8"/>
      <c r="HQO27" s="8"/>
      <c r="HQP27" s="8"/>
      <c r="HQQ27" s="11"/>
      <c r="HQS27" s="11"/>
      <c r="HQT27" s="11"/>
      <c r="HQU27" s="11"/>
      <c r="HQW27" s="11"/>
      <c r="HQX27" s="11"/>
      <c r="HQY27" s="11"/>
      <c r="HRA27" s="11"/>
      <c r="HRB27" s="11"/>
      <c r="HRC27" s="12"/>
      <c r="HRG27" s="11"/>
      <c r="HRH27" s="12"/>
      <c r="HRR27" s="15"/>
      <c r="HRS27" s="15"/>
      <c r="HRT27" s="15"/>
      <c r="HRU27" s="15"/>
      <c r="HRV27" s="15"/>
      <c r="HRW27" s="15"/>
      <c r="HRX27" s="15"/>
      <c r="HRY27" s="15"/>
      <c r="HRZ27" s="15"/>
      <c r="HSA27" s="15"/>
      <c r="HSB27" s="15"/>
      <c r="HSC27" s="15"/>
      <c r="HSD27" s="15"/>
      <c r="HSE27" s="15"/>
      <c r="HSF27" s="15"/>
      <c r="HSG27" s="15"/>
      <c r="HSH27" s="15"/>
      <c r="HSI27" s="15"/>
      <c r="HSJ27" s="15"/>
      <c r="HSK27" s="15"/>
      <c r="HSL27" s="15"/>
      <c r="HSN27" s="11"/>
      <c r="HSO27" s="11"/>
      <c r="HSP27" s="11"/>
      <c r="HSQ27" s="11"/>
      <c r="HSR27" s="11"/>
      <c r="HSS27" s="11"/>
      <c r="HST27" s="11"/>
      <c r="HSU27" s="11"/>
      <c r="HSV27" s="11"/>
      <c r="HTF27" s="2"/>
      <c r="HTG27" s="27"/>
      <c r="HTH27" s="31"/>
      <c r="HTI27" s="31"/>
      <c r="HTJ27" s="32"/>
      <c r="HTK27" s="32"/>
      <c r="HTL27" s="31"/>
      <c r="HTM27" s="31"/>
      <c r="HTN27" s="33"/>
      <c r="HTO27" s="34"/>
      <c r="HTP27" s="35"/>
      <c r="HTQ27" s="36"/>
      <c r="HTR27" s="37"/>
      <c r="HTS27" s="23"/>
      <c r="HTT27" s="23"/>
      <c r="HTU27" s="23"/>
      <c r="HTV27" s="23"/>
      <c r="HTW27" s="23"/>
      <c r="HTX27" s="24"/>
      <c r="HTY27" s="7"/>
      <c r="HTZ27" s="7"/>
      <c r="HUA27" s="7"/>
      <c r="HUB27" s="7"/>
      <c r="HUC27" s="18"/>
      <c r="HUD27" s="18"/>
      <c r="HUE27" s="17"/>
      <c r="HUF27" s="17"/>
      <c r="HUG27" s="7"/>
      <c r="HUH27" s="7"/>
      <c r="HUI27" s="8"/>
      <c r="HUJ27" s="8"/>
      <c r="HUK27" s="8"/>
      <c r="HUL27" s="8"/>
      <c r="HUM27" s="8"/>
      <c r="HUN27" s="8"/>
      <c r="HUO27" s="8"/>
      <c r="HUP27" s="8"/>
      <c r="HUQ27" s="8"/>
      <c r="HUR27" s="8"/>
      <c r="HUS27" s="8"/>
      <c r="HUT27" s="8"/>
      <c r="HUU27" s="8"/>
      <c r="HUV27" s="8"/>
      <c r="HUW27" s="8"/>
      <c r="HUX27" s="8"/>
      <c r="HUY27" s="8"/>
      <c r="HUZ27" s="8"/>
      <c r="HVA27" s="8"/>
      <c r="HVB27" s="8"/>
      <c r="HVC27" s="11"/>
      <c r="HVE27" s="11"/>
      <c r="HVF27" s="11"/>
      <c r="HVG27" s="11"/>
      <c r="HVI27" s="11"/>
      <c r="HVJ27" s="11"/>
      <c r="HVK27" s="11"/>
      <c r="HVM27" s="11"/>
      <c r="HVN27" s="11"/>
      <c r="HVO27" s="12"/>
      <c r="HVS27" s="11"/>
      <c r="HVT27" s="12"/>
      <c r="HWD27" s="15"/>
      <c r="HWE27" s="15"/>
      <c r="HWF27" s="15"/>
      <c r="HWG27" s="15"/>
      <c r="HWH27" s="15"/>
      <c r="HWI27" s="15"/>
      <c r="HWJ27" s="15"/>
      <c r="HWK27" s="15"/>
      <c r="HWL27" s="15"/>
      <c r="HWM27" s="15"/>
      <c r="HWN27" s="15"/>
      <c r="HWO27" s="15"/>
      <c r="HWP27" s="15"/>
      <c r="HWQ27" s="15"/>
      <c r="HWR27" s="15"/>
      <c r="HWS27" s="15"/>
      <c r="HWT27" s="15"/>
      <c r="HWU27" s="15"/>
      <c r="HWV27" s="15"/>
      <c r="HWW27" s="15"/>
      <c r="HWX27" s="15"/>
      <c r="HWZ27" s="11"/>
      <c r="HXA27" s="11"/>
      <c r="HXB27" s="11"/>
      <c r="HXC27" s="11"/>
      <c r="HXD27" s="11"/>
      <c r="HXE27" s="11"/>
      <c r="HXF27" s="11"/>
      <c r="HXG27" s="11"/>
      <c r="HXH27" s="11"/>
      <c r="HXR27" s="2"/>
      <c r="HXS27" s="27"/>
      <c r="HXT27" s="31"/>
      <c r="HXU27" s="31"/>
      <c r="HXV27" s="32"/>
      <c r="HXW27" s="32"/>
      <c r="HXX27" s="31"/>
      <c r="HXY27" s="31"/>
      <c r="HXZ27" s="33"/>
      <c r="HYA27" s="34"/>
      <c r="HYB27" s="35"/>
      <c r="HYC27" s="36"/>
      <c r="HYD27" s="37"/>
      <c r="HYE27" s="23"/>
      <c r="HYF27" s="23"/>
      <c r="HYG27" s="23"/>
      <c r="HYH27" s="23"/>
      <c r="HYI27" s="23"/>
      <c r="HYJ27" s="24"/>
      <c r="HYK27" s="7"/>
      <c r="HYL27" s="7"/>
      <c r="HYM27" s="7"/>
      <c r="HYN27" s="7"/>
      <c r="HYO27" s="18"/>
      <c r="HYP27" s="18"/>
      <c r="HYQ27" s="17"/>
      <c r="HYR27" s="17"/>
      <c r="HYS27" s="7"/>
      <c r="HYT27" s="7"/>
      <c r="HYU27" s="8"/>
      <c r="HYV27" s="8"/>
      <c r="HYW27" s="8"/>
      <c r="HYX27" s="8"/>
      <c r="HYY27" s="8"/>
      <c r="HYZ27" s="8"/>
      <c r="HZA27" s="8"/>
      <c r="HZB27" s="8"/>
      <c r="HZC27" s="8"/>
      <c r="HZD27" s="8"/>
      <c r="HZE27" s="8"/>
      <c r="HZF27" s="8"/>
      <c r="HZG27" s="8"/>
      <c r="HZH27" s="8"/>
      <c r="HZI27" s="8"/>
      <c r="HZJ27" s="8"/>
      <c r="HZK27" s="8"/>
      <c r="HZL27" s="8"/>
      <c r="HZM27" s="8"/>
      <c r="HZN27" s="8"/>
      <c r="HZO27" s="11"/>
      <c r="HZQ27" s="11"/>
      <c r="HZR27" s="11"/>
      <c r="HZS27" s="11"/>
      <c r="HZU27" s="11"/>
      <c r="HZV27" s="11"/>
      <c r="HZW27" s="11"/>
      <c r="HZY27" s="11"/>
      <c r="HZZ27" s="11"/>
      <c r="IAA27" s="12"/>
      <c r="IAE27" s="11"/>
      <c r="IAF27" s="12"/>
      <c r="IAP27" s="15"/>
      <c r="IAQ27" s="15"/>
      <c r="IAR27" s="15"/>
      <c r="IAS27" s="15"/>
      <c r="IAT27" s="15"/>
      <c r="IAU27" s="15"/>
      <c r="IAV27" s="15"/>
      <c r="IAW27" s="15"/>
      <c r="IAX27" s="15"/>
      <c r="IAY27" s="15"/>
      <c r="IAZ27" s="15"/>
      <c r="IBA27" s="15"/>
      <c r="IBB27" s="15"/>
      <c r="IBC27" s="15"/>
      <c r="IBD27" s="15"/>
      <c r="IBE27" s="15"/>
      <c r="IBF27" s="15"/>
      <c r="IBG27" s="15"/>
      <c r="IBH27" s="15"/>
      <c r="IBI27" s="15"/>
      <c r="IBJ27" s="15"/>
      <c r="IBL27" s="11"/>
      <c r="IBM27" s="11"/>
      <c r="IBN27" s="11"/>
      <c r="IBO27" s="11"/>
      <c r="IBP27" s="11"/>
      <c r="IBQ27" s="11"/>
      <c r="IBR27" s="11"/>
      <c r="IBS27" s="11"/>
      <c r="IBT27" s="11"/>
      <c r="ICD27" s="2"/>
      <c r="ICE27" s="27"/>
      <c r="ICF27" s="31"/>
      <c r="ICG27" s="31"/>
      <c r="ICH27" s="32"/>
      <c r="ICI27" s="32"/>
      <c r="ICJ27" s="31"/>
      <c r="ICK27" s="31"/>
      <c r="ICL27" s="33"/>
      <c r="ICM27" s="34"/>
      <c r="ICN27" s="35"/>
      <c r="ICO27" s="36"/>
      <c r="ICP27" s="37"/>
      <c r="ICQ27" s="23"/>
      <c r="ICR27" s="23"/>
      <c r="ICS27" s="23"/>
      <c r="ICT27" s="23"/>
      <c r="ICU27" s="23"/>
      <c r="ICV27" s="24"/>
      <c r="ICW27" s="7"/>
      <c r="ICX27" s="7"/>
      <c r="ICY27" s="7"/>
      <c r="ICZ27" s="7"/>
      <c r="IDA27" s="18"/>
      <c r="IDB27" s="18"/>
      <c r="IDC27" s="17"/>
      <c r="IDD27" s="17"/>
      <c r="IDE27" s="7"/>
      <c r="IDF27" s="7"/>
      <c r="IDG27" s="8"/>
      <c r="IDH27" s="8"/>
      <c r="IDI27" s="8"/>
      <c r="IDJ27" s="8"/>
      <c r="IDK27" s="8"/>
      <c r="IDL27" s="8"/>
      <c r="IDM27" s="8"/>
      <c r="IDN27" s="8"/>
      <c r="IDO27" s="8"/>
      <c r="IDP27" s="8"/>
      <c r="IDQ27" s="8"/>
      <c r="IDR27" s="8"/>
      <c r="IDS27" s="8"/>
      <c r="IDT27" s="8"/>
      <c r="IDU27" s="8"/>
      <c r="IDV27" s="8"/>
      <c r="IDW27" s="8"/>
      <c r="IDX27" s="8"/>
      <c r="IDY27" s="8"/>
      <c r="IDZ27" s="8"/>
      <c r="IEA27" s="11"/>
      <c r="IEC27" s="11"/>
      <c r="IED27" s="11"/>
      <c r="IEE27" s="11"/>
      <c r="IEG27" s="11"/>
      <c r="IEH27" s="11"/>
      <c r="IEI27" s="11"/>
      <c r="IEK27" s="11"/>
      <c r="IEL27" s="11"/>
      <c r="IEM27" s="12"/>
      <c r="IEQ27" s="11"/>
      <c r="IER27" s="12"/>
      <c r="IFB27" s="15"/>
      <c r="IFC27" s="15"/>
      <c r="IFD27" s="15"/>
      <c r="IFE27" s="15"/>
      <c r="IFF27" s="15"/>
      <c r="IFG27" s="15"/>
      <c r="IFH27" s="15"/>
      <c r="IFI27" s="15"/>
      <c r="IFJ27" s="15"/>
      <c r="IFK27" s="15"/>
      <c r="IFL27" s="15"/>
      <c r="IFM27" s="15"/>
      <c r="IFN27" s="15"/>
      <c r="IFO27" s="15"/>
      <c r="IFP27" s="15"/>
      <c r="IFQ27" s="15"/>
      <c r="IFR27" s="15"/>
      <c r="IFS27" s="15"/>
      <c r="IFT27" s="15"/>
      <c r="IFU27" s="15"/>
      <c r="IFV27" s="15"/>
      <c r="IFX27" s="11"/>
      <c r="IFY27" s="11"/>
      <c r="IFZ27" s="11"/>
      <c r="IGA27" s="11"/>
      <c r="IGB27" s="11"/>
      <c r="IGC27" s="11"/>
      <c r="IGD27" s="11"/>
      <c r="IGE27" s="11"/>
      <c r="IGF27" s="11"/>
      <c r="IGP27" s="2"/>
      <c r="IGQ27" s="27"/>
      <c r="IGR27" s="31"/>
      <c r="IGS27" s="31"/>
      <c r="IGT27" s="32"/>
      <c r="IGU27" s="32"/>
      <c r="IGV27" s="31"/>
      <c r="IGW27" s="31"/>
      <c r="IGX27" s="33"/>
      <c r="IGY27" s="34"/>
      <c r="IGZ27" s="35"/>
      <c r="IHA27" s="36"/>
      <c r="IHB27" s="37"/>
      <c r="IHC27" s="23"/>
      <c r="IHD27" s="23"/>
      <c r="IHE27" s="23"/>
      <c r="IHF27" s="23"/>
      <c r="IHG27" s="23"/>
      <c r="IHH27" s="24"/>
      <c r="IHI27" s="7"/>
      <c r="IHJ27" s="7"/>
      <c r="IHK27" s="7"/>
      <c r="IHL27" s="7"/>
      <c r="IHM27" s="18"/>
      <c r="IHN27" s="18"/>
      <c r="IHO27" s="17"/>
      <c r="IHP27" s="17"/>
      <c r="IHQ27" s="7"/>
      <c r="IHR27" s="7"/>
      <c r="IHS27" s="8"/>
      <c r="IHT27" s="8"/>
      <c r="IHU27" s="8"/>
      <c r="IHV27" s="8"/>
      <c r="IHW27" s="8"/>
      <c r="IHX27" s="8"/>
      <c r="IHY27" s="8"/>
      <c r="IHZ27" s="8"/>
      <c r="IIA27" s="8"/>
      <c r="IIB27" s="8"/>
      <c r="IIC27" s="8"/>
      <c r="IID27" s="8"/>
      <c r="IIE27" s="8"/>
      <c r="IIF27" s="8"/>
      <c r="IIG27" s="8"/>
      <c r="IIH27" s="8"/>
      <c r="III27" s="8"/>
      <c r="IIJ27" s="8"/>
      <c r="IIK27" s="8"/>
      <c r="IIL27" s="8"/>
      <c r="IIM27" s="11"/>
      <c r="IIO27" s="11"/>
      <c r="IIP27" s="11"/>
      <c r="IIQ27" s="11"/>
      <c r="IIS27" s="11"/>
      <c r="IIT27" s="11"/>
      <c r="IIU27" s="11"/>
      <c r="IIW27" s="11"/>
      <c r="IIX27" s="11"/>
      <c r="IIY27" s="12"/>
      <c r="IJC27" s="11"/>
      <c r="IJD27" s="12"/>
      <c r="IJN27" s="15"/>
      <c r="IJO27" s="15"/>
      <c r="IJP27" s="15"/>
      <c r="IJQ27" s="15"/>
      <c r="IJR27" s="15"/>
      <c r="IJS27" s="15"/>
      <c r="IJT27" s="15"/>
      <c r="IJU27" s="15"/>
      <c r="IJV27" s="15"/>
      <c r="IJW27" s="15"/>
      <c r="IJX27" s="15"/>
      <c r="IJY27" s="15"/>
      <c r="IJZ27" s="15"/>
      <c r="IKA27" s="15"/>
      <c r="IKB27" s="15"/>
      <c r="IKC27" s="15"/>
      <c r="IKD27" s="15"/>
      <c r="IKE27" s="15"/>
      <c r="IKF27" s="15"/>
      <c r="IKG27" s="15"/>
      <c r="IKH27" s="15"/>
      <c r="IKJ27" s="11"/>
      <c r="IKK27" s="11"/>
      <c r="IKL27" s="11"/>
      <c r="IKM27" s="11"/>
      <c r="IKN27" s="11"/>
      <c r="IKO27" s="11"/>
      <c r="IKP27" s="11"/>
      <c r="IKQ27" s="11"/>
      <c r="IKR27" s="11"/>
      <c r="ILB27" s="2"/>
      <c r="ILC27" s="27"/>
      <c r="ILD27" s="31"/>
      <c r="ILE27" s="31"/>
      <c r="ILF27" s="32"/>
      <c r="ILG27" s="32"/>
      <c r="ILH27" s="31"/>
      <c r="ILI27" s="31"/>
      <c r="ILJ27" s="33"/>
      <c r="ILK27" s="34"/>
      <c r="ILL27" s="35"/>
      <c r="ILM27" s="36"/>
      <c r="ILN27" s="37"/>
      <c r="ILO27" s="23"/>
      <c r="ILP27" s="23"/>
      <c r="ILQ27" s="23"/>
      <c r="ILR27" s="23"/>
      <c r="ILS27" s="23"/>
      <c r="ILT27" s="24"/>
      <c r="ILU27" s="7"/>
      <c r="ILV27" s="7"/>
      <c r="ILW27" s="7"/>
      <c r="ILX27" s="7"/>
      <c r="ILY27" s="18"/>
      <c r="ILZ27" s="18"/>
      <c r="IMA27" s="17"/>
      <c r="IMB27" s="17"/>
      <c r="IMC27" s="7"/>
      <c r="IMD27" s="7"/>
      <c r="IME27" s="8"/>
      <c r="IMF27" s="8"/>
      <c r="IMG27" s="8"/>
      <c r="IMH27" s="8"/>
      <c r="IMI27" s="8"/>
      <c r="IMJ27" s="8"/>
      <c r="IMK27" s="8"/>
      <c r="IML27" s="8"/>
      <c r="IMM27" s="8"/>
      <c r="IMN27" s="8"/>
      <c r="IMO27" s="8"/>
      <c r="IMP27" s="8"/>
      <c r="IMQ27" s="8"/>
      <c r="IMR27" s="8"/>
      <c r="IMS27" s="8"/>
      <c r="IMT27" s="8"/>
      <c r="IMU27" s="8"/>
      <c r="IMV27" s="8"/>
      <c r="IMW27" s="8"/>
      <c r="IMX27" s="8"/>
      <c r="IMY27" s="11"/>
      <c r="INA27" s="11"/>
      <c r="INB27" s="11"/>
      <c r="INC27" s="11"/>
      <c r="INE27" s="11"/>
      <c r="INF27" s="11"/>
      <c r="ING27" s="11"/>
      <c r="INI27" s="11"/>
      <c r="INJ27" s="11"/>
      <c r="INK27" s="12"/>
      <c r="INO27" s="11"/>
      <c r="INP27" s="12"/>
      <c r="INZ27" s="15"/>
      <c r="IOA27" s="15"/>
      <c r="IOB27" s="15"/>
      <c r="IOC27" s="15"/>
      <c r="IOD27" s="15"/>
      <c r="IOE27" s="15"/>
      <c r="IOF27" s="15"/>
      <c r="IOG27" s="15"/>
      <c r="IOH27" s="15"/>
      <c r="IOI27" s="15"/>
      <c r="IOJ27" s="15"/>
      <c r="IOK27" s="15"/>
      <c r="IOL27" s="15"/>
      <c r="IOM27" s="15"/>
      <c r="ION27" s="15"/>
      <c r="IOO27" s="15"/>
      <c r="IOP27" s="15"/>
      <c r="IOQ27" s="15"/>
      <c r="IOR27" s="15"/>
      <c r="IOS27" s="15"/>
      <c r="IOT27" s="15"/>
      <c r="IOV27" s="11"/>
      <c r="IOW27" s="11"/>
      <c r="IOX27" s="11"/>
      <c r="IOY27" s="11"/>
      <c r="IOZ27" s="11"/>
      <c r="IPA27" s="11"/>
      <c r="IPB27" s="11"/>
      <c r="IPC27" s="11"/>
      <c r="IPD27" s="11"/>
      <c r="IPN27" s="2"/>
      <c r="IPO27" s="27"/>
      <c r="IPP27" s="31"/>
      <c r="IPQ27" s="31"/>
      <c r="IPR27" s="32"/>
      <c r="IPS27" s="32"/>
      <c r="IPT27" s="31"/>
      <c r="IPU27" s="31"/>
      <c r="IPV27" s="33"/>
      <c r="IPW27" s="34"/>
      <c r="IPX27" s="35"/>
      <c r="IPY27" s="36"/>
      <c r="IPZ27" s="37"/>
      <c r="IQA27" s="23"/>
      <c r="IQB27" s="23"/>
      <c r="IQC27" s="23"/>
      <c r="IQD27" s="23"/>
      <c r="IQE27" s="23"/>
      <c r="IQF27" s="24"/>
      <c r="IQG27" s="7"/>
      <c r="IQH27" s="7"/>
      <c r="IQI27" s="7"/>
      <c r="IQJ27" s="7"/>
      <c r="IQK27" s="18"/>
      <c r="IQL27" s="18"/>
      <c r="IQM27" s="17"/>
      <c r="IQN27" s="17"/>
      <c r="IQO27" s="7"/>
      <c r="IQP27" s="7"/>
      <c r="IQQ27" s="8"/>
      <c r="IQR27" s="8"/>
      <c r="IQS27" s="8"/>
      <c r="IQT27" s="8"/>
      <c r="IQU27" s="8"/>
      <c r="IQV27" s="8"/>
      <c r="IQW27" s="8"/>
      <c r="IQX27" s="8"/>
      <c r="IQY27" s="8"/>
      <c r="IQZ27" s="8"/>
      <c r="IRA27" s="8"/>
      <c r="IRB27" s="8"/>
      <c r="IRC27" s="8"/>
      <c r="IRD27" s="8"/>
      <c r="IRE27" s="8"/>
      <c r="IRF27" s="8"/>
      <c r="IRG27" s="8"/>
      <c r="IRH27" s="8"/>
      <c r="IRI27" s="8"/>
      <c r="IRJ27" s="8"/>
      <c r="IRK27" s="11"/>
      <c r="IRM27" s="11"/>
      <c r="IRN27" s="11"/>
      <c r="IRO27" s="11"/>
      <c r="IRQ27" s="11"/>
      <c r="IRR27" s="11"/>
      <c r="IRS27" s="11"/>
      <c r="IRU27" s="11"/>
      <c r="IRV27" s="11"/>
      <c r="IRW27" s="12"/>
      <c r="ISA27" s="11"/>
      <c r="ISB27" s="12"/>
      <c r="ISL27" s="15"/>
      <c r="ISM27" s="15"/>
      <c r="ISN27" s="15"/>
      <c r="ISO27" s="15"/>
      <c r="ISP27" s="15"/>
      <c r="ISQ27" s="15"/>
      <c r="ISR27" s="15"/>
      <c r="ISS27" s="15"/>
      <c r="IST27" s="15"/>
      <c r="ISU27" s="15"/>
      <c r="ISV27" s="15"/>
      <c r="ISW27" s="15"/>
      <c r="ISX27" s="15"/>
      <c r="ISY27" s="15"/>
      <c r="ISZ27" s="15"/>
      <c r="ITA27" s="15"/>
      <c r="ITB27" s="15"/>
      <c r="ITC27" s="15"/>
      <c r="ITD27" s="15"/>
      <c r="ITE27" s="15"/>
      <c r="ITF27" s="15"/>
      <c r="ITH27" s="11"/>
      <c r="ITI27" s="11"/>
      <c r="ITJ27" s="11"/>
      <c r="ITK27" s="11"/>
      <c r="ITL27" s="11"/>
      <c r="ITM27" s="11"/>
      <c r="ITN27" s="11"/>
      <c r="ITO27" s="11"/>
      <c r="ITP27" s="11"/>
      <c r="ITZ27" s="2"/>
      <c r="IUA27" s="27"/>
      <c r="IUB27" s="31"/>
      <c r="IUC27" s="31"/>
      <c r="IUD27" s="32"/>
      <c r="IUE27" s="32"/>
      <c r="IUF27" s="31"/>
      <c r="IUG27" s="31"/>
      <c r="IUH27" s="33"/>
      <c r="IUI27" s="34"/>
      <c r="IUJ27" s="35"/>
      <c r="IUK27" s="36"/>
      <c r="IUL27" s="37"/>
      <c r="IUM27" s="23"/>
      <c r="IUN27" s="23"/>
      <c r="IUO27" s="23"/>
      <c r="IUP27" s="23"/>
      <c r="IUQ27" s="23"/>
      <c r="IUR27" s="24"/>
      <c r="IUS27" s="7"/>
      <c r="IUT27" s="7"/>
      <c r="IUU27" s="7"/>
      <c r="IUV27" s="7"/>
      <c r="IUW27" s="18"/>
      <c r="IUX27" s="18"/>
      <c r="IUY27" s="17"/>
      <c r="IUZ27" s="17"/>
      <c r="IVA27" s="7"/>
      <c r="IVB27" s="7"/>
      <c r="IVC27" s="8"/>
      <c r="IVD27" s="8"/>
      <c r="IVE27" s="8"/>
      <c r="IVF27" s="8"/>
      <c r="IVG27" s="8"/>
      <c r="IVH27" s="8"/>
      <c r="IVI27" s="8"/>
      <c r="IVJ27" s="8"/>
      <c r="IVK27" s="8"/>
      <c r="IVL27" s="8"/>
      <c r="IVM27" s="8"/>
      <c r="IVN27" s="8"/>
      <c r="IVO27" s="8"/>
      <c r="IVP27" s="8"/>
      <c r="IVQ27" s="8"/>
      <c r="IVR27" s="8"/>
      <c r="IVS27" s="8"/>
      <c r="IVT27" s="8"/>
      <c r="IVU27" s="8"/>
      <c r="IVV27" s="8"/>
      <c r="IVW27" s="11"/>
      <c r="IVY27" s="11"/>
      <c r="IVZ27" s="11"/>
      <c r="IWA27" s="11"/>
      <c r="IWC27" s="11"/>
      <c r="IWD27" s="11"/>
      <c r="IWE27" s="11"/>
      <c r="IWG27" s="11"/>
      <c r="IWH27" s="11"/>
      <c r="IWI27" s="12"/>
      <c r="IWM27" s="11"/>
      <c r="IWN27" s="12"/>
      <c r="IWX27" s="15"/>
      <c r="IWY27" s="15"/>
      <c r="IWZ27" s="15"/>
      <c r="IXA27" s="15"/>
      <c r="IXB27" s="15"/>
      <c r="IXC27" s="15"/>
      <c r="IXD27" s="15"/>
      <c r="IXE27" s="15"/>
      <c r="IXF27" s="15"/>
      <c r="IXG27" s="15"/>
      <c r="IXH27" s="15"/>
      <c r="IXI27" s="15"/>
      <c r="IXJ27" s="15"/>
      <c r="IXK27" s="15"/>
      <c r="IXL27" s="15"/>
      <c r="IXM27" s="15"/>
      <c r="IXN27" s="15"/>
      <c r="IXO27" s="15"/>
      <c r="IXP27" s="15"/>
      <c r="IXQ27" s="15"/>
      <c r="IXR27" s="15"/>
      <c r="IXT27" s="11"/>
      <c r="IXU27" s="11"/>
      <c r="IXV27" s="11"/>
      <c r="IXW27" s="11"/>
      <c r="IXX27" s="11"/>
      <c r="IXY27" s="11"/>
      <c r="IXZ27" s="11"/>
      <c r="IYA27" s="11"/>
      <c r="IYB27" s="11"/>
      <c r="IYL27" s="2"/>
      <c r="IYM27" s="27"/>
      <c r="IYN27" s="31"/>
      <c r="IYO27" s="31"/>
      <c r="IYP27" s="32"/>
      <c r="IYQ27" s="32"/>
      <c r="IYR27" s="31"/>
      <c r="IYS27" s="31"/>
      <c r="IYT27" s="33"/>
      <c r="IYU27" s="34"/>
      <c r="IYV27" s="35"/>
      <c r="IYW27" s="36"/>
      <c r="IYX27" s="37"/>
      <c r="IYY27" s="23"/>
      <c r="IYZ27" s="23"/>
      <c r="IZA27" s="23"/>
      <c r="IZB27" s="23"/>
      <c r="IZC27" s="23"/>
      <c r="IZD27" s="24"/>
      <c r="IZE27" s="7"/>
      <c r="IZF27" s="7"/>
      <c r="IZG27" s="7"/>
      <c r="IZH27" s="7"/>
      <c r="IZI27" s="18"/>
      <c r="IZJ27" s="18"/>
      <c r="IZK27" s="17"/>
      <c r="IZL27" s="17"/>
      <c r="IZM27" s="7"/>
      <c r="IZN27" s="7"/>
      <c r="IZO27" s="8"/>
      <c r="IZP27" s="8"/>
      <c r="IZQ27" s="8"/>
      <c r="IZR27" s="8"/>
      <c r="IZS27" s="8"/>
      <c r="IZT27" s="8"/>
      <c r="IZU27" s="8"/>
      <c r="IZV27" s="8"/>
      <c r="IZW27" s="8"/>
      <c r="IZX27" s="8"/>
      <c r="IZY27" s="8"/>
      <c r="IZZ27" s="8"/>
      <c r="JAA27" s="8"/>
      <c r="JAB27" s="8"/>
      <c r="JAC27" s="8"/>
      <c r="JAD27" s="8"/>
      <c r="JAE27" s="8"/>
      <c r="JAF27" s="8"/>
      <c r="JAG27" s="8"/>
      <c r="JAH27" s="8"/>
      <c r="JAI27" s="11"/>
      <c r="JAK27" s="11"/>
      <c r="JAL27" s="11"/>
      <c r="JAM27" s="11"/>
      <c r="JAO27" s="11"/>
      <c r="JAP27" s="11"/>
      <c r="JAQ27" s="11"/>
      <c r="JAS27" s="11"/>
      <c r="JAT27" s="11"/>
      <c r="JAU27" s="12"/>
      <c r="JAY27" s="11"/>
      <c r="JAZ27" s="12"/>
      <c r="JBJ27" s="15"/>
      <c r="JBK27" s="15"/>
      <c r="JBL27" s="15"/>
      <c r="JBM27" s="15"/>
      <c r="JBN27" s="15"/>
      <c r="JBO27" s="15"/>
      <c r="JBP27" s="15"/>
      <c r="JBQ27" s="15"/>
      <c r="JBR27" s="15"/>
      <c r="JBS27" s="15"/>
      <c r="JBT27" s="15"/>
      <c r="JBU27" s="15"/>
      <c r="JBV27" s="15"/>
      <c r="JBW27" s="15"/>
      <c r="JBX27" s="15"/>
      <c r="JBY27" s="15"/>
      <c r="JBZ27" s="15"/>
      <c r="JCA27" s="15"/>
      <c r="JCB27" s="15"/>
      <c r="JCC27" s="15"/>
      <c r="JCD27" s="15"/>
      <c r="JCF27" s="11"/>
      <c r="JCG27" s="11"/>
      <c r="JCH27" s="11"/>
      <c r="JCI27" s="11"/>
      <c r="JCJ27" s="11"/>
      <c r="JCK27" s="11"/>
      <c r="JCL27" s="11"/>
      <c r="JCM27" s="11"/>
      <c r="JCN27" s="11"/>
      <c r="JCX27" s="2"/>
      <c r="JCY27" s="27"/>
      <c r="JCZ27" s="31"/>
      <c r="JDA27" s="31"/>
      <c r="JDB27" s="32"/>
      <c r="JDC27" s="32"/>
      <c r="JDD27" s="31"/>
      <c r="JDE27" s="31"/>
      <c r="JDF27" s="33"/>
      <c r="JDG27" s="34"/>
      <c r="JDH27" s="35"/>
      <c r="JDI27" s="36"/>
      <c r="JDJ27" s="37"/>
      <c r="JDK27" s="23"/>
      <c r="JDL27" s="23"/>
      <c r="JDM27" s="23"/>
      <c r="JDN27" s="23"/>
      <c r="JDO27" s="23"/>
      <c r="JDP27" s="24"/>
      <c r="JDQ27" s="7"/>
      <c r="JDR27" s="7"/>
      <c r="JDS27" s="7"/>
      <c r="JDT27" s="7"/>
      <c r="JDU27" s="18"/>
      <c r="JDV27" s="18"/>
      <c r="JDW27" s="17"/>
      <c r="JDX27" s="17"/>
      <c r="JDY27" s="7"/>
      <c r="JDZ27" s="7"/>
      <c r="JEA27" s="8"/>
      <c r="JEB27" s="8"/>
      <c r="JEC27" s="8"/>
      <c r="JED27" s="8"/>
      <c r="JEE27" s="8"/>
      <c r="JEF27" s="8"/>
      <c r="JEG27" s="8"/>
      <c r="JEH27" s="8"/>
      <c r="JEI27" s="8"/>
      <c r="JEJ27" s="8"/>
      <c r="JEK27" s="8"/>
      <c r="JEL27" s="8"/>
      <c r="JEM27" s="8"/>
      <c r="JEN27" s="8"/>
      <c r="JEO27" s="8"/>
      <c r="JEP27" s="8"/>
      <c r="JEQ27" s="8"/>
      <c r="JER27" s="8"/>
      <c r="JES27" s="8"/>
      <c r="JET27" s="8"/>
      <c r="JEU27" s="11"/>
      <c r="JEW27" s="11"/>
      <c r="JEX27" s="11"/>
      <c r="JEY27" s="11"/>
      <c r="JFA27" s="11"/>
      <c r="JFB27" s="11"/>
      <c r="JFC27" s="11"/>
      <c r="JFE27" s="11"/>
      <c r="JFF27" s="11"/>
      <c r="JFG27" s="12"/>
      <c r="JFK27" s="11"/>
      <c r="JFL27" s="12"/>
      <c r="JFV27" s="15"/>
      <c r="JFW27" s="15"/>
      <c r="JFX27" s="15"/>
      <c r="JFY27" s="15"/>
      <c r="JFZ27" s="15"/>
      <c r="JGA27" s="15"/>
      <c r="JGB27" s="15"/>
      <c r="JGC27" s="15"/>
      <c r="JGD27" s="15"/>
      <c r="JGE27" s="15"/>
      <c r="JGF27" s="15"/>
      <c r="JGG27" s="15"/>
      <c r="JGH27" s="15"/>
      <c r="JGI27" s="15"/>
      <c r="JGJ27" s="15"/>
      <c r="JGK27" s="15"/>
      <c r="JGL27" s="15"/>
      <c r="JGM27" s="15"/>
      <c r="JGN27" s="15"/>
      <c r="JGO27" s="15"/>
      <c r="JGP27" s="15"/>
      <c r="JGR27" s="11"/>
      <c r="JGS27" s="11"/>
      <c r="JGT27" s="11"/>
      <c r="JGU27" s="11"/>
      <c r="JGV27" s="11"/>
      <c r="JGW27" s="11"/>
      <c r="JGX27" s="11"/>
      <c r="JGY27" s="11"/>
      <c r="JGZ27" s="11"/>
      <c r="JHJ27" s="2"/>
      <c r="JHK27" s="27"/>
      <c r="JHL27" s="31"/>
      <c r="JHM27" s="31"/>
      <c r="JHN27" s="32"/>
      <c r="JHO27" s="32"/>
      <c r="JHP27" s="31"/>
      <c r="JHQ27" s="31"/>
      <c r="JHR27" s="33"/>
      <c r="JHS27" s="34"/>
      <c r="JHT27" s="35"/>
      <c r="JHU27" s="36"/>
      <c r="JHV27" s="37"/>
      <c r="JHW27" s="23"/>
      <c r="JHX27" s="23"/>
      <c r="JHY27" s="23"/>
      <c r="JHZ27" s="23"/>
      <c r="JIA27" s="23"/>
      <c r="JIB27" s="24"/>
      <c r="JIC27" s="7"/>
      <c r="JID27" s="7"/>
      <c r="JIE27" s="7"/>
      <c r="JIF27" s="7"/>
      <c r="JIG27" s="18"/>
      <c r="JIH27" s="18"/>
      <c r="JII27" s="17"/>
      <c r="JIJ27" s="17"/>
      <c r="JIK27" s="7"/>
      <c r="JIL27" s="7"/>
      <c r="JIM27" s="8"/>
      <c r="JIN27" s="8"/>
      <c r="JIO27" s="8"/>
      <c r="JIP27" s="8"/>
      <c r="JIQ27" s="8"/>
      <c r="JIR27" s="8"/>
      <c r="JIS27" s="8"/>
      <c r="JIT27" s="8"/>
      <c r="JIU27" s="8"/>
      <c r="JIV27" s="8"/>
      <c r="JIW27" s="8"/>
      <c r="JIX27" s="8"/>
      <c r="JIY27" s="8"/>
      <c r="JIZ27" s="8"/>
      <c r="JJA27" s="8"/>
      <c r="JJB27" s="8"/>
      <c r="JJC27" s="8"/>
      <c r="JJD27" s="8"/>
      <c r="JJE27" s="8"/>
      <c r="JJF27" s="8"/>
      <c r="JJG27" s="11"/>
      <c r="JJI27" s="11"/>
      <c r="JJJ27" s="11"/>
      <c r="JJK27" s="11"/>
      <c r="JJM27" s="11"/>
      <c r="JJN27" s="11"/>
      <c r="JJO27" s="11"/>
      <c r="JJQ27" s="11"/>
      <c r="JJR27" s="11"/>
      <c r="JJS27" s="12"/>
      <c r="JJW27" s="11"/>
      <c r="JJX27" s="12"/>
      <c r="JKH27" s="15"/>
      <c r="JKI27" s="15"/>
      <c r="JKJ27" s="15"/>
      <c r="JKK27" s="15"/>
      <c r="JKL27" s="15"/>
      <c r="JKM27" s="15"/>
      <c r="JKN27" s="15"/>
      <c r="JKO27" s="15"/>
      <c r="JKP27" s="15"/>
      <c r="JKQ27" s="15"/>
      <c r="JKR27" s="15"/>
      <c r="JKS27" s="15"/>
      <c r="JKT27" s="15"/>
      <c r="JKU27" s="15"/>
      <c r="JKV27" s="15"/>
      <c r="JKW27" s="15"/>
      <c r="JKX27" s="15"/>
      <c r="JKY27" s="15"/>
      <c r="JKZ27" s="15"/>
      <c r="JLA27" s="15"/>
      <c r="JLB27" s="15"/>
      <c r="JLD27" s="11"/>
      <c r="JLE27" s="11"/>
      <c r="JLF27" s="11"/>
      <c r="JLG27" s="11"/>
      <c r="JLH27" s="11"/>
      <c r="JLI27" s="11"/>
      <c r="JLJ27" s="11"/>
      <c r="JLK27" s="11"/>
      <c r="JLL27" s="11"/>
      <c r="JLV27" s="2"/>
      <c r="JLW27" s="27"/>
      <c r="JLX27" s="31"/>
      <c r="JLY27" s="31"/>
      <c r="JLZ27" s="32"/>
      <c r="JMA27" s="32"/>
      <c r="JMB27" s="31"/>
      <c r="JMC27" s="31"/>
      <c r="JMD27" s="33"/>
      <c r="JME27" s="34"/>
      <c r="JMF27" s="35"/>
      <c r="JMG27" s="36"/>
      <c r="JMH27" s="37"/>
      <c r="JMI27" s="23"/>
      <c r="JMJ27" s="23"/>
      <c r="JMK27" s="23"/>
      <c r="JML27" s="23"/>
      <c r="JMM27" s="23"/>
      <c r="JMN27" s="24"/>
      <c r="JMO27" s="7"/>
      <c r="JMP27" s="7"/>
      <c r="JMQ27" s="7"/>
      <c r="JMR27" s="7"/>
      <c r="JMS27" s="18"/>
      <c r="JMT27" s="18"/>
      <c r="JMU27" s="17"/>
      <c r="JMV27" s="17"/>
      <c r="JMW27" s="7"/>
      <c r="JMX27" s="7"/>
      <c r="JMY27" s="8"/>
      <c r="JMZ27" s="8"/>
      <c r="JNA27" s="8"/>
      <c r="JNB27" s="8"/>
      <c r="JNC27" s="8"/>
      <c r="JND27" s="8"/>
      <c r="JNE27" s="8"/>
      <c r="JNF27" s="8"/>
      <c r="JNG27" s="8"/>
      <c r="JNH27" s="8"/>
      <c r="JNI27" s="8"/>
      <c r="JNJ27" s="8"/>
      <c r="JNK27" s="8"/>
      <c r="JNL27" s="8"/>
      <c r="JNM27" s="8"/>
      <c r="JNN27" s="8"/>
      <c r="JNO27" s="8"/>
      <c r="JNP27" s="8"/>
      <c r="JNQ27" s="8"/>
      <c r="JNR27" s="8"/>
      <c r="JNS27" s="11"/>
      <c r="JNU27" s="11"/>
      <c r="JNV27" s="11"/>
      <c r="JNW27" s="11"/>
      <c r="JNY27" s="11"/>
      <c r="JNZ27" s="11"/>
      <c r="JOA27" s="11"/>
      <c r="JOC27" s="11"/>
      <c r="JOD27" s="11"/>
      <c r="JOE27" s="12"/>
      <c r="JOI27" s="11"/>
      <c r="JOJ27" s="12"/>
      <c r="JOT27" s="15"/>
      <c r="JOU27" s="15"/>
      <c r="JOV27" s="15"/>
      <c r="JOW27" s="15"/>
      <c r="JOX27" s="15"/>
      <c r="JOY27" s="15"/>
      <c r="JOZ27" s="15"/>
      <c r="JPA27" s="15"/>
      <c r="JPB27" s="15"/>
      <c r="JPC27" s="15"/>
      <c r="JPD27" s="15"/>
      <c r="JPE27" s="15"/>
      <c r="JPF27" s="15"/>
      <c r="JPG27" s="15"/>
      <c r="JPH27" s="15"/>
      <c r="JPI27" s="15"/>
      <c r="JPJ27" s="15"/>
      <c r="JPK27" s="15"/>
      <c r="JPL27" s="15"/>
      <c r="JPM27" s="15"/>
      <c r="JPN27" s="15"/>
      <c r="JPP27" s="11"/>
      <c r="JPQ27" s="11"/>
      <c r="JPR27" s="11"/>
      <c r="JPS27" s="11"/>
      <c r="JPT27" s="11"/>
      <c r="JPU27" s="11"/>
      <c r="JPV27" s="11"/>
      <c r="JPW27" s="11"/>
      <c r="JPX27" s="11"/>
      <c r="JQH27" s="2"/>
      <c r="JQI27" s="27"/>
      <c r="JQJ27" s="31"/>
      <c r="JQK27" s="31"/>
      <c r="JQL27" s="32"/>
      <c r="JQM27" s="32"/>
      <c r="JQN27" s="31"/>
      <c r="JQO27" s="31"/>
      <c r="JQP27" s="33"/>
      <c r="JQQ27" s="34"/>
      <c r="JQR27" s="35"/>
      <c r="JQS27" s="36"/>
      <c r="JQT27" s="37"/>
      <c r="JQU27" s="23"/>
      <c r="JQV27" s="23"/>
      <c r="JQW27" s="23"/>
      <c r="JQX27" s="23"/>
      <c r="JQY27" s="23"/>
      <c r="JQZ27" s="24"/>
      <c r="JRA27" s="7"/>
      <c r="JRB27" s="7"/>
      <c r="JRC27" s="7"/>
      <c r="JRD27" s="7"/>
      <c r="JRE27" s="18"/>
      <c r="JRF27" s="18"/>
      <c r="JRG27" s="17"/>
      <c r="JRH27" s="17"/>
      <c r="JRI27" s="7"/>
      <c r="JRJ27" s="7"/>
      <c r="JRK27" s="8"/>
      <c r="JRL27" s="8"/>
      <c r="JRM27" s="8"/>
      <c r="JRN27" s="8"/>
      <c r="JRO27" s="8"/>
      <c r="JRP27" s="8"/>
      <c r="JRQ27" s="8"/>
      <c r="JRR27" s="8"/>
      <c r="JRS27" s="8"/>
      <c r="JRT27" s="8"/>
      <c r="JRU27" s="8"/>
      <c r="JRV27" s="8"/>
      <c r="JRW27" s="8"/>
      <c r="JRX27" s="8"/>
      <c r="JRY27" s="8"/>
      <c r="JRZ27" s="8"/>
      <c r="JSA27" s="8"/>
      <c r="JSB27" s="8"/>
      <c r="JSC27" s="8"/>
      <c r="JSD27" s="8"/>
      <c r="JSE27" s="11"/>
      <c r="JSG27" s="11"/>
      <c r="JSH27" s="11"/>
      <c r="JSI27" s="11"/>
      <c r="JSK27" s="11"/>
      <c r="JSL27" s="11"/>
      <c r="JSM27" s="11"/>
      <c r="JSO27" s="11"/>
      <c r="JSP27" s="11"/>
      <c r="JSQ27" s="12"/>
      <c r="JSU27" s="11"/>
      <c r="JSV27" s="12"/>
      <c r="JTF27" s="15"/>
      <c r="JTG27" s="15"/>
      <c r="JTH27" s="15"/>
      <c r="JTI27" s="15"/>
      <c r="JTJ27" s="15"/>
      <c r="JTK27" s="15"/>
      <c r="JTL27" s="15"/>
      <c r="JTM27" s="15"/>
      <c r="JTN27" s="15"/>
      <c r="JTO27" s="15"/>
      <c r="JTP27" s="15"/>
      <c r="JTQ27" s="15"/>
      <c r="JTR27" s="15"/>
      <c r="JTS27" s="15"/>
      <c r="JTT27" s="15"/>
      <c r="JTU27" s="15"/>
      <c r="JTV27" s="15"/>
      <c r="JTW27" s="15"/>
      <c r="JTX27" s="15"/>
      <c r="JTY27" s="15"/>
      <c r="JTZ27" s="15"/>
      <c r="JUB27" s="11"/>
      <c r="JUC27" s="11"/>
      <c r="JUD27" s="11"/>
      <c r="JUE27" s="11"/>
      <c r="JUF27" s="11"/>
      <c r="JUG27" s="11"/>
      <c r="JUH27" s="11"/>
      <c r="JUI27" s="11"/>
      <c r="JUJ27" s="11"/>
      <c r="JUT27" s="2"/>
      <c r="JUU27" s="27"/>
      <c r="JUV27" s="31"/>
      <c r="JUW27" s="31"/>
      <c r="JUX27" s="32"/>
      <c r="JUY27" s="32"/>
      <c r="JUZ27" s="31"/>
      <c r="JVA27" s="31"/>
      <c r="JVB27" s="33"/>
      <c r="JVC27" s="34"/>
      <c r="JVD27" s="35"/>
      <c r="JVE27" s="36"/>
      <c r="JVF27" s="37"/>
      <c r="JVG27" s="23"/>
      <c r="JVH27" s="23"/>
      <c r="JVI27" s="23"/>
      <c r="JVJ27" s="23"/>
      <c r="JVK27" s="23"/>
      <c r="JVL27" s="24"/>
      <c r="JVM27" s="7"/>
      <c r="JVN27" s="7"/>
      <c r="JVO27" s="7"/>
      <c r="JVP27" s="7"/>
      <c r="JVQ27" s="18"/>
      <c r="JVR27" s="18"/>
      <c r="JVS27" s="17"/>
      <c r="JVT27" s="17"/>
      <c r="JVU27" s="7"/>
      <c r="JVV27" s="7"/>
      <c r="JVW27" s="8"/>
      <c r="JVX27" s="8"/>
      <c r="JVY27" s="8"/>
      <c r="JVZ27" s="8"/>
      <c r="JWA27" s="8"/>
      <c r="JWB27" s="8"/>
      <c r="JWC27" s="8"/>
      <c r="JWD27" s="8"/>
      <c r="JWE27" s="8"/>
      <c r="JWF27" s="8"/>
      <c r="JWG27" s="8"/>
      <c r="JWH27" s="8"/>
      <c r="JWI27" s="8"/>
      <c r="JWJ27" s="8"/>
      <c r="JWK27" s="8"/>
      <c r="JWL27" s="8"/>
      <c r="JWM27" s="8"/>
      <c r="JWN27" s="8"/>
      <c r="JWO27" s="8"/>
      <c r="JWP27" s="8"/>
      <c r="JWQ27" s="11"/>
      <c r="JWS27" s="11"/>
      <c r="JWT27" s="11"/>
      <c r="JWU27" s="11"/>
      <c r="JWW27" s="11"/>
      <c r="JWX27" s="11"/>
      <c r="JWY27" s="11"/>
      <c r="JXA27" s="11"/>
      <c r="JXB27" s="11"/>
      <c r="JXC27" s="12"/>
      <c r="JXG27" s="11"/>
      <c r="JXH27" s="12"/>
      <c r="JXR27" s="15"/>
      <c r="JXS27" s="15"/>
      <c r="JXT27" s="15"/>
      <c r="JXU27" s="15"/>
      <c r="JXV27" s="15"/>
      <c r="JXW27" s="15"/>
      <c r="JXX27" s="15"/>
      <c r="JXY27" s="15"/>
      <c r="JXZ27" s="15"/>
      <c r="JYA27" s="15"/>
      <c r="JYB27" s="15"/>
      <c r="JYC27" s="15"/>
      <c r="JYD27" s="15"/>
      <c r="JYE27" s="15"/>
      <c r="JYF27" s="15"/>
      <c r="JYG27" s="15"/>
      <c r="JYH27" s="15"/>
      <c r="JYI27" s="15"/>
      <c r="JYJ27" s="15"/>
      <c r="JYK27" s="15"/>
      <c r="JYL27" s="15"/>
      <c r="JYN27" s="11"/>
      <c r="JYO27" s="11"/>
      <c r="JYP27" s="11"/>
      <c r="JYQ27" s="11"/>
      <c r="JYR27" s="11"/>
      <c r="JYS27" s="11"/>
      <c r="JYT27" s="11"/>
      <c r="JYU27" s="11"/>
      <c r="JYV27" s="11"/>
      <c r="JZF27" s="2"/>
      <c r="JZG27" s="27"/>
      <c r="JZH27" s="31"/>
      <c r="JZI27" s="31"/>
      <c r="JZJ27" s="32"/>
      <c r="JZK27" s="32"/>
      <c r="JZL27" s="31"/>
      <c r="JZM27" s="31"/>
      <c r="JZN27" s="33"/>
      <c r="JZO27" s="34"/>
      <c r="JZP27" s="35"/>
      <c r="JZQ27" s="36"/>
      <c r="JZR27" s="37"/>
      <c r="JZS27" s="23"/>
      <c r="JZT27" s="23"/>
      <c r="JZU27" s="23"/>
      <c r="JZV27" s="23"/>
      <c r="JZW27" s="23"/>
      <c r="JZX27" s="24"/>
      <c r="JZY27" s="7"/>
      <c r="JZZ27" s="7"/>
      <c r="KAA27" s="7"/>
      <c r="KAB27" s="7"/>
      <c r="KAC27" s="18"/>
      <c r="KAD27" s="18"/>
      <c r="KAE27" s="17"/>
      <c r="KAF27" s="17"/>
      <c r="KAG27" s="7"/>
      <c r="KAH27" s="7"/>
      <c r="KAI27" s="8"/>
      <c r="KAJ27" s="8"/>
      <c r="KAK27" s="8"/>
      <c r="KAL27" s="8"/>
      <c r="KAM27" s="8"/>
      <c r="KAN27" s="8"/>
      <c r="KAO27" s="8"/>
      <c r="KAP27" s="8"/>
      <c r="KAQ27" s="8"/>
      <c r="KAR27" s="8"/>
      <c r="KAS27" s="8"/>
      <c r="KAT27" s="8"/>
      <c r="KAU27" s="8"/>
      <c r="KAV27" s="8"/>
      <c r="KAW27" s="8"/>
      <c r="KAX27" s="8"/>
      <c r="KAY27" s="8"/>
      <c r="KAZ27" s="8"/>
      <c r="KBA27" s="8"/>
      <c r="KBB27" s="8"/>
      <c r="KBC27" s="11"/>
      <c r="KBE27" s="11"/>
      <c r="KBF27" s="11"/>
      <c r="KBG27" s="11"/>
      <c r="KBI27" s="11"/>
      <c r="KBJ27" s="11"/>
      <c r="KBK27" s="11"/>
      <c r="KBM27" s="11"/>
      <c r="KBN27" s="11"/>
      <c r="KBO27" s="12"/>
      <c r="KBS27" s="11"/>
      <c r="KBT27" s="12"/>
      <c r="KCD27" s="15"/>
      <c r="KCE27" s="15"/>
      <c r="KCF27" s="15"/>
      <c r="KCG27" s="15"/>
      <c r="KCH27" s="15"/>
      <c r="KCI27" s="15"/>
      <c r="KCJ27" s="15"/>
      <c r="KCK27" s="15"/>
      <c r="KCL27" s="15"/>
      <c r="KCM27" s="15"/>
      <c r="KCN27" s="15"/>
      <c r="KCO27" s="15"/>
      <c r="KCP27" s="15"/>
      <c r="KCQ27" s="15"/>
      <c r="KCR27" s="15"/>
      <c r="KCS27" s="15"/>
      <c r="KCT27" s="15"/>
      <c r="KCU27" s="15"/>
      <c r="KCV27" s="15"/>
      <c r="KCW27" s="15"/>
      <c r="KCX27" s="15"/>
      <c r="KCZ27" s="11"/>
      <c r="KDA27" s="11"/>
      <c r="KDB27" s="11"/>
      <c r="KDC27" s="11"/>
      <c r="KDD27" s="11"/>
      <c r="KDE27" s="11"/>
      <c r="KDF27" s="11"/>
      <c r="KDG27" s="11"/>
      <c r="KDH27" s="11"/>
      <c r="KDR27" s="2"/>
      <c r="KDS27" s="27"/>
      <c r="KDT27" s="31"/>
      <c r="KDU27" s="31"/>
      <c r="KDV27" s="32"/>
      <c r="KDW27" s="32"/>
      <c r="KDX27" s="31"/>
      <c r="KDY27" s="31"/>
      <c r="KDZ27" s="33"/>
      <c r="KEA27" s="34"/>
      <c r="KEB27" s="35"/>
      <c r="KEC27" s="36"/>
      <c r="KED27" s="37"/>
      <c r="KEE27" s="23"/>
      <c r="KEF27" s="23"/>
      <c r="KEG27" s="23"/>
      <c r="KEH27" s="23"/>
      <c r="KEI27" s="23"/>
      <c r="KEJ27" s="24"/>
      <c r="KEK27" s="7"/>
      <c r="KEL27" s="7"/>
      <c r="KEM27" s="7"/>
      <c r="KEN27" s="7"/>
      <c r="KEO27" s="18"/>
      <c r="KEP27" s="18"/>
      <c r="KEQ27" s="17"/>
      <c r="KER27" s="17"/>
      <c r="KES27" s="7"/>
      <c r="KET27" s="7"/>
      <c r="KEU27" s="8"/>
      <c r="KEV27" s="8"/>
      <c r="KEW27" s="8"/>
      <c r="KEX27" s="8"/>
      <c r="KEY27" s="8"/>
      <c r="KEZ27" s="8"/>
      <c r="KFA27" s="8"/>
      <c r="KFB27" s="8"/>
      <c r="KFC27" s="8"/>
      <c r="KFD27" s="8"/>
      <c r="KFE27" s="8"/>
      <c r="KFF27" s="8"/>
      <c r="KFG27" s="8"/>
      <c r="KFH27" s="8"/>
      <c r="KFI27" s="8"/>
      <c r="KFJ27" s="8"/>
      <c r="KFK27" s="8"/>
      <c r="KFL27" s="8"/>
      <c r="KFM27" s="8"/>
      <c r="KFN27" s="8"/>
      <c r="KFO27" s="11"/>
      <c r="KFQ27" s="11"/>
      <c r="KFR27" s="11"/>
      <c r="KFS27" s="11"/>
      <c r="KFU27" s="11"/>
      <c r="KFV27" s="11"/>
      <c r="KFW27" s="11"/>
      <c r="KFY27" s="11"/>
      <c r="KFZ27" s="11"/>
      <c r="KGA27" s="12"/>
      <c r="KGE27" s="11"/>
      <c r="KGF27" s="12"/>
      <c r="KGP27" s="15"/>
      <c r="KGQ27" s="15"/>
      <c r="KGR27" s="15"/>
      <c r="KGS27" s="15"/>
      <c r="KGT27" s="15"/>
      <c r="KGU27" s="15"/>
      <c r="KGV27" s="15"/>
      <c r="KGW27" s="15"/>
      <c r="KGX27" s="15"/>
      <c r="KGY27" s="15"/>
      <c r="KGZ27" s="15"/>
      <c r="KHA27" s="15"/>
      <c r="KHB27" s="15"/>
      <c r="KHC27" s="15"/>
      <c r="KHD27" s="15"/>
      <c r="KHE27" s="15"/>
      <c r="KHF27" s="15"/>
      <c r="KHG27" s="15"/>
      <c r="KHH27" s="15"/>
      <c r="KHI27" s="15"/>
      <c r="KHJ27" s="15"/>
      <c r="KHL27" s="11"/>
      <c r="KHM27" s="11"/>
      <c r="KHN27" s="11"/>
      <c r="KHO27" s="11"/>
      <c r="KHP27" s="11"/>
      <c r="KHQ27" s="11"/>
      <c r="KHR27" s="11"/>
      <c r="KHS27" s="11"/>
      <c r="KHT27" s="11"/>
      <c r="KID27" s="2"/>
      <c r="KIE27" s="27"/>
      <c r="KIF27" s="31"/>
      <c r="KIG27" s="31"/>
      <c r="KIH27" s="32"/>
      <c r="KII27" s="32"/>
      <c r="KIJ27" s="31"/>
      <c r="KIK27" s="31"/>
      <c r="KIL27" s="33"/>
      <c r="KIM27" s="34"/>
      <c r="KIN27" s="35"/>
      <c r="KIO27" s="36"/>
      <c r="KIP27" s="37"/>
      <c r="KIQ27" s="23"/>
      <c r="KIR27" s="23"/>
      <c r="KIS27" s="23"/>
      <c r="KIT27" s="23"/>
      <c r="KIU27" s="23"/>
      <c r="KIV27" s="24"/>
      <c r="KIW27" s="7"/>
      <c r="KIX27" s="7"/>
      <c r="KIY27" s="7"/>
      <c r="KIZ27" s="7"/>
      <c r="KJA27" s="18"/>
      <c r="KJB27" s="18"/>
      <c r="KJC27" s="17"/>
      <c r="KJD27" s="17"/>
      <c r="KJE27" s="7"/>
      <c r="KJF27" s="7"/>
      <c r="KJG27" s="8"/>
      <c r="KJH27" s="8"/>
      <c r="KJI27" s="8"/>
      <c r="KJJ27" s="8"/>
      <c r="KJK27" s="8"/>
      <c r="KJL27" s="8"/>
      <c r="KJM27" s="8"/>
      <c r="KJN27" s="8"/>
      <c r="KJO27" s="8"/>
      <c r="KJP27" s="8"/>
      <c r="KJQ27" s="8"/>
      <c r="KJR27" s="8"/>
      <c r="KJS27" s="8"/>
      <c r="KJT27" s="8"/>
      <c r="KJU27" s="8"/>
      <c r="KJV27" s="8"/>
      <c r="KJW27" s="8"/>
      <c r="KJX27" s="8"/>
      <c r="KJY27" s="8"/>
      <c r="KJZ27" s="8"/>
      <c r="KKA27" s="11"/>
      <c r="KKC27" s="11"/>
      <c r="KKD27" s="11"/>
      <c r="KKE27" s="11"/>
      <c r="KKG27" s="11"/>
      <c r="KKH27" s="11"/>
      <c r="KKI27" s="11"/>
      <c r="KKK27" s="11"/>
      <c r="KKL27" s="11"/>
      <c r="KKM27" s="12"/>
      <c r="KKQ27" s="11"/>
      <c r="KKR27" s="12"/>
      <c r="KLB27" s="15"/>
      <c r="KLC27" s="15"/>
      <c r="KLD27" s="15"/>
      <c r="KLE27" s="15"/>
      <c r="KLF27" s="15"/>
      <c r="KLG27" s="15"/>
      <c r="KLH27" s="15"/>
      <c r="KLI27" s="15"/>
      <c r="KLJ27" s="15"/>
      <c r="KLK27" s="15"/>
      <c r="KLL27" s="15"/>
      <c r="KLM27" s="15"/>
      <c r="KLN27" s="15"/>
      <c r="KLO27" s="15"/>
      <c r="KLP27" s="15"/>
      <c r="KLQ27" s="15"/>
      <c r="KLR27" s="15"/>
      <c r="KLS27" s="15"/>
      <c r="KLT27" s="15"/>
      <c r="KLU27" s="15"/>
      <c r="KLV27" s="15"/>
      <c r="KLX27" s="11"/>
      <c r="KLY27" s="11"/>
      <c r="KLZ27" s="11"/>
      <c r="KMA27" s="11"/>
      <c r="KMB27" s="11"/>
      <c r="KMC27" s="11"/>
      <c r="KMD27" s="11"/>
      <c r="KME27" s="11"/>
      <c r="KMF27" s="11"/>
      <c r="KMP27" s="2"/>
      <c r="KMQ27" s="27"/>
      <c r="KMR27" s="31"/>
      <c r="KMS27" s="31"/>
      <c r="KMT27" s="32"/>
      <c r="KMU27" s="32"/>
      <c r="KMV27" s="31"/>
      <c r="KMW27" s="31"/>
      <c r="KMX27" s="33"/>
      <c r="KMY27" s="34"/>
      <c r="KMZ27" s="35"/>
      <c r="KNA27" s="36"/>
      <c r="KNB27" s="37"/>
      <c r="KNC27" s="23"/>
      <c r="KND27" s="23"/>
      <c r="KNE27" s="23"/>
      <c r="KNF27" s="23"/>
      <c r="KNG27" s="23"/>
      <c r="KNH27" s="24"/>
      <c r="KNI27" s="7"/>
      <c r="KNJ27" s="7"/>
      <c r="KNK27" s="7"/>
      <c r="KNL27" s="7"/>
      <c r="KNM27" s="18"/>
      <c r="KNN27" s="18"/>
      <c r="KNO27" s="17"/>
      <c r="KNP27" s="17"/>
      <c r="KNQ27" s="7"/>
      <c r="KNR27" s="7"/>
      <c r="KNS27" s="8"/>
      <c r="KNT27" s="8"/>
      <c r="KNU27" s="8"/>
      <c r="KNV27" s="8"/>
      <c r="KNW27" s="8"/>
      <c r="KNX27" s="8"/>
      <c r="KNY27" s="8"/>
      <c r="KNZ27" s="8"/>
      <c r="KOA27" s="8"/>
      <c r="KOB27" s="8"/>
      <c r="KOC27" s="8"/>
      <c r="KOD27" s="8"/>
      <c r="KOE27" s="8"/>
      <c r="KOF27" s="8"/>
      <c r="KOG27" s="8"/>
      <c r="KOH27" s="8"/>
      <c r="KOI27" s="8"/>
      <c r="KOJ27" s="8"/>
      <c r="KOK27" s="8"/>
      <c r="KOL27" s="8"/>
      <c r="KOM27" s="11"/>
      <c r="KOO27" s="11"/>
      <c r="KOP27" s="11"/>
      <c r="KOQ27" s="11"/>
      <c r="KOS27" s="11"/>
      <c r="KOT27" s="11"/>
      <c r="KOU27" s="11"/>
      <c r="KOW27" s="11"/>
      <c r="KOX27" s="11"/>
      <c r="KOY27" s="12"/>
      <c r="KPC27" s="11"/>
      <c r="KPD27" s="12"/>
      <c r="KPN27" s="15"/>
      <c r="KPO27" s="15"/>
      <c r="KPP27" s="15"/>
      <c r="KPQ27" s="15"/>
      <c r="KPR27" s="15"/>
      <c r="KPS27" s="15"/>
      <c r="KPT27" s="15"/>
      <c r="KPU27" s="15"/>
      <c r="KPV27" s="15"/>
      <c r="KPW27" s="15"/>
      <c r="KPX27" s="15"/>
      <c r="KPY27" s="15"/>
      <c r="KPZ27" s="15"/>
      <c r="KQA27" s="15"/>
      <c r="KQB27" s="15"/>
      <c r="KQC27" s="15"/>
      <c r="KQD27" s="15"/>
      <c r="KQE27" s="15"/>
      <c r="KQF27" s="15"/>
      <c r="KQG27" s="15"/>
      <c r="KQH27" s="15"/>
      <c r="KQJ27" s="11"/>
      <c r="KQK27" s="11"/>
      <c r="KQL27" s="11"/>
      <c r="KQM27" s="11"/>
      <c r="KQN27" s="11"/>
      <c r="KQO27" s="11"/>
      <c r="KQP27" s="11"/>
      <c r="KQQ27" s="11"/>
      <c r="KQR27" s="11"/>
      <c r="KRB27" s="2"/>
      <c r="KRC27" s="27"/>
      <c r="KRD27" s="31"/>
      <c r="KRE27" s="31"/>
      <c r="KRF27" s="32"/>
      <c r="KRG27" s="32"/>
      <c r="KRH27" s="31"/>
      <c r="KRI27" s="31"/>
      <c r="KRJ27" s="33"/>
      <c r="KRK27" s="34"/>
      <c r="KRL27" s="35"/>
      <c r="KRM27" s="36"/>
      <c r="KRN27" s="37"/>
      <c r="KRO27" s="23"/>
      <c r="KRP27" s="23"/>
      <c r="KRQ27" s="23"/>
      <c r="KRR27" s="23"/>
      <c r="KRS27" s="23"/>
      <c r="KRT27" s="24"/>
      <c r="KRU27" s="7"/>
      <c r="KRV27" s="7"/>
      <c r="KRW27" s="7"/>
      <c r="KRX27" s="7"/>
      <c r="KRY27" s="18"/>
      <c r="KRZ27" s="18"/>
      <c r="KSA27" s="17"/>
      <c r="KSB27" s="17"/>
      <c r="KSC27" s="7"/>
      <c r="KSD27" s="7"/>
      <c r="KSE27" s="8"/>
      <c r="KSF27" s="8"/>
      <c r="KSG27" s="8"/>
      <c r="KSH27" s="8"/>
      <c r="KSI27" s="8"/>
      <c r="KSJ27" s="8"/>
      <c r="KSK27" s="8"/>
      <c r="KSL27" s="8"/>
      <c r="KSM27" s="8"/>
      <c r="KSN27" s="8"/>
      <c r="KSO27" s="8"/>
      <c r="KSP27" s="8"/>
      <c r="KSQ27" s="8"/>
      <c r="KSR27" s="8"/>
      <c r="KSS27" s="8"/>
      <c r="KST27" s="8"/>
      <c r="KSU27" s="8"/>
      <c r="KSV27" s="8"/>
      <c r="KSW27" s="8"/>
      <c r="KSX27" s="8"/>
      <c r="KSY27" s="11"/>
      <c r="KTA27" s="11"/>
      <c r="KTB27" s="11"/>
      <c r="KTC27" s="11"/>
      <c r="KTE27" s="11"/>
      <c r="KTF27" s="11"/>
      <c r="KTG27" s="11"/>
      <c r="KTI27" s="11"/>
      <c r="KTJ27" s="11"/>
      <c r="KTK27" s="12"/>
      <c r="KTO27" s="11"/>
      <c r="KTP27" s="12"/>
      <c r="KTZ27" s="15"/>
      <c r="KUA27" s="15"/>
      <c r="KUB27" s="15"/>
      <c r="KUC27" s="15"/>
      <c r="KUD27" s="15"/>
      <c r="KUE27" s="15"/>
      <c r="KUF27" s="15"/>
      <c r="KUG27" s="15"/>
      <c r="KUH27" s="15"/>
      <c r="KUI27" s="15"/>
      <c r="KUJ27" s="15"/>
      <c r="KUK27" s="15"/>
      <c r="KUL27" s="15"/>
      <c r="KUM27" s="15"/>
      <c r="KUN27" s="15"/>
      <c r="KUO27" s="15"/>
      <c r="KUP27" s="15"/>
      <c r="KUQ27" s="15"/>
      <c r="KUR27" s="15"/>
      <c r="KUS27" s="15"/>
      <c r="KUT27" s="15"/>
      <c r="KUV27" s="11"/>
      <c r="KUW27" s="11"/>
      <c r="KUX27" s="11"/>
      <c r="KUY27" s="11"/>
      <c r="KUZ27" s="11"/>
      <c r="KVA27" s="11"/>
      <c r="KVB27" s="11"/>
      <c r="KVC27" s="11"/>
      <c r="KVD27" s="11"/>
      <c r="KVN27" s="2"/>
      <c r="KVO27" s="27"/>
      <c r="KVP27" s="31"/>
      <c r="KVQ27" s="31"/>
      <c r="KVR27" s="32"/>
      <c r="KVS27" s="32"/>
      <c r="KVT27" s="31"/>
      <c r="KVU27" s="31"/>
      <c r="KVV27" s="33"/>
      <c r="KVW27" s="34"/>
      <c r="KVX27" s="35"/>
      <c r="KVY27" s="36"/>
      <c r="KVZ27" s="37"/>
      <c r="KWA27" s="23"/>
      <c r="KWB27" s="23"/>
      <c r="KWC27" s="23"/>
      <c r="KWD27" s="23"/>
      <c r="KWE27" s="23"/>
      <c r="KWF27" s="24"/>
      <c r="KWG27" s="7"/>
      <c r="KWH27" s="7"/>
      <c r="KWI27" s="7"/>
      <c r="KWJ27" s="7"/>
      <c r="KWK27" s="18"/>
      <c r="KWL27" s="18"/>
      <c r="KWM27" s="17"/>
      <c r="KWN27" s="17"/>
      <c r="KWO27" s="7"/>
      <c r="KWP27" s="7"/>
      <c r="KWQ27" s="8"/>
      <c r="KWR27" s="8"/>
      <c r="KWS27" s="8"/>
      <c r="KWT27" s="8"/>
      <c r="KWU27" s="8"/>
      <c r="KWV27" s="8"/>
      <c r="KWW27" s="8"/>
      <c r="KWX27" s="8"/>
      <c r="KWY27" s="8"/>
      <c r="KWZ27" s="8"/>
      <c r="KXA27" s="8"/>
      <c r="KXB27" s="8"/>
      <c r="KXC27" s="8"/>
      <c r="KXD27" s="8"/>
      <c r="KXE27" s="8"/>
      <c r="KXF27" s="8"/>
      <c r="KXG27" s="8"/>
      <c r="KXH27" s="8"/>
      <c r="KXI27" s="8"/>
      <c r="KXJ27" s="8"/>
      <c r="KXK27" s="11"/>
      <c r="KXM27" s="11"/>
      <c r="KXN27" s="11"/>
      <c r="KXO27" s="11"/>
      <c r="KXQ27" s="11"/>
      <c r="KXR27" s="11"/>
      <c r="KXS27" s="11"/>
      <c r="KXU27" s="11"/>
      <c r="KXV27" s="11"/>
      <c r="KXW27" s="12"/>
      <c r="KYA27" s="11"/>
      <c r="KYB27" s="12"/>
      <c r="KYL27" s="15"/>
      <c r="KYM27" s="15"/>
      <c r="KYN27" s="15"/>
      <c r="KYO27" s="15"/>
      <c r="KYP27" s="15"/>
      <c r="KYQ27" s="15"/>
      <c r="KYR27" s="15"/>
      <c r="KYS27" s="15"/>
      <c r="KYT27" s="15"/>
      <c r="KYU27" s="15"/>
      <c r="KYV27" s="15"/>
      <c r="KYW27" s="15"/>
      <c r="KYX27" s="15"/>
      <c r="KYY27" s="15"/>
      <c r="KYZ27" s="15"/>
      <c r="KZA27" s="15"/>
      <c r="KZB27" s="15"/>
      <c r="KZC27" s="15"/>
      <c r="KZD27" s="15"/>
      <c r="KZE27" s="15"/>
      <c r="KZF27" s="15"/>
      <c r="KZH27" s="11"/>
      <c r="KZI27" s="11"/>
      <c r="KZJ27" s="11"/>
      <c r="KZK27" s="11"/>
      <c r="KZL27" s="11"/>
      <c r="KZM27" s="11"/>
      <c r="KZN27" s="11"/>
      <c r="KZO27" s="11"/>
      <c r="KZP27" s="11"/>
      <c r="KZZ27" s="2"/>
      <c r="LAA27" s="27"/>
      <c r="LAB27" s="31"/>
      <c r="LAC27" s="31"/>
      <c r="LAD27" s="32"/>
      <c r="LAE27" s="32"/>
      <c r="LAF27" s="31"/>
      <c r="LAG27" s="31"/>
      <c r="LAH27" s="33"/>
      <c r="LAI27" s="34"/>
      <c r="LAJ27" s="35"/>
      <c r="LAK27" s="36"/>
      <c r="LAL27" s="37"/>
      <c r="LAM27" s="23"/>
      <c r="LAN27" s="23"/>
      <c r="LAO27" s="23"/>
      <c r="LAP27" s="23"/>
      <c r="LAQ27" s="23"/>
      <c r="LAR27" s="24"/>
      <c r="LAS27" s="7"/>
      <c r="LAT27" s="7"/>
      <c r="LAU27" s="7"/>
      <c r="LAV27" s="7"/>
      <c r="LAW27" s="18"/>
      <c r="LAX27" s="18"/>
      <c r="LAY27" s="17"/>
      <c r="LAZ27" s="17"/>
      <c r="LBA27" s="7"/>
      <c r="LBB27" s="7"/>
      <c r="LBC27" s="8"/>
      <c r="LBD27" s="8"/>
      <c r="LBE27" s="8"/>
      <c r="LBF27" s="8"/>
      <c r="LBG27" s="8"/>
      <c r="LBH27" s="8"/>
      <c r="LBI27" s="8"/>
      <c r="LBJ27" s="8"/>
      <c r="LBK27" s="8"/>
      <c r="LBL27" s="8"/>
      <c r="LBM27" s="8"/>
      <c r="LBN27" s="8"/>
      <c r="LBO27" s="8"/>
      <c r="LBP27" s="8"/>
      <c r="LBQ27" s="8"/>
      <c r="LBR27" s="8"/>
      <c r="LBS27" s="8"/>
      <c r="LBT27" s="8"/>
      <c r="LBU27" s="8"/>
      <c r="LBV27" s="8"/>
      <c r="LBW27" s="11"/>
      <c r="LBY27" s="11"/>
      <c r="LBZ27" s="11"/>
      <c r="LCA27" s="11"/>
      <c r="LCC27" s="11"/>
      <c r="LCD27" s="11"/>
      <c r="LCE27" s="11"/>
      <c r="LCG27" s="11"/>
      <c r="LCH27" s="11"/>
      <c r="LCI27" s="12"/>
      <c r="LCM27" s="11"/>
      <c r="LCN27" s="12"/>
      <c r="LCX27" s="15"/>
      <c r="LCY27" s="15"/>
      <c r="LCZ27" s="15"/>
      <c r="LDA27" s="15"/>
      <c r="LDB27" s="15"/>
      <c r="LDC27" s="15"/>
      <c r="LDD27" s="15"/>
      <c r="LDE27" s="15"/>
      <c r="LDF27" s="15"/>
      <c r="LDG27" s="15"/>
      <c r="LDH27" s="15"/>
      <c r="LDI27" s="15"/>
      <c r="LDJ27" s="15"/>
      <c r="LDK27" s="15"/>
      <c r="LDL27" s="15"/>
      <c r="LDM27" s="15"/>
      <c r="LDN27" s="15"/>
      <c r="LDO27" s="15"/>
      <c r="LDP27" s="15"/>
      <c r="LDQ27" s="15"/>
      <c r="LDR27" s="15"/>
      <c r="LDT27" s="11"/>
      <c r="LDU27" s="11"/>
      <c r="LDV27" s="11"/>
      <c r="LDW27" s="11"/>
      <c r="LDX27" s="11"/>
      <c r="LDY27" s="11"/>
      <c r="LDZ27" s="11"/>
      <c r="LEA27" s="11"/>
      <c r="LEB27" s="11"/>
      <c r="LEL27" s="2"/>
      <c r="LEM27" s="27"/>
      <c r="LEN27" s="31"/>
      <c r="LEO27" s="31"/>
      <c r="LEP27" s="32"/>
      <c r="LEQ27" s="32"/>
      <c r="LER27" s="31"/>
      <c r="LES27" s="31"/>
      <c r="LET27" s="33"/>
      <c r="LEU27" s="34"/>
      <c r="LEV27" s="35"/>
      <c r="LEW27" s="36"/>
      <c r="LEX27" s="37"/>
      <c r="LEY27" s="23"/>
      <c r="LEZ27" s="23"/>
      <c r="LFA27" s="23"/>
      <c r="LFB27" s="23"/>
      <c r="LFC27" s="23"/>
      <c r="LFD27" s="24"/>
      <c r="LFE27" s="7"/>
      <c r="LFF27" s="7"/>
      <c r="LFG27" s="7"/>
      <c r="LFH27" s="7"/>
      <c r="LFI27" s="18"/>
      <c r="LFJ27" s="18"/>
      <c r="LFK27" s="17"/>
      <c r="LFL27" s="17"/>
      <c r="LFM27" s="7"/>
      <c r="LFN27" s="7"/>
      <c r="LFO27" s="8"/>
      <c r="LFP27" s="8"/>
      <c r="LFQ27" s="8"/>
      <c r="LFR27" s="8"/>
      <c r="LFS27" s="8"/>
      <c r="LFT27" s="8"/>
      <c r="LFU27" s="8"/>
      <c r="LFV27" s="8"/>
      <c r="LFW27" s="8"/>
      <c r="LFX27" s="8"/>
      <c r="LFY27" s="8"/>
      <c r="LFZ27" s="8"/>
      <c r="LGA27" s="8"/>
      <c r="LGB27" s="8"/>
      <c r="LGC27" s="8"/>
      <c r="LGD27" s="8"/>
      <c r="LGE27" s="8"/>
      <c r="LGF27" s="8"/>
      <c r="LGG27" s="8"/>
      <c r="LGH27" s="8"/>
      <c r="LGI27" s="11"/>
      <c r="LGK27" s="11"/>
      <c r="LGL27" s="11"/>
      <c r="LGM27" s="11"/>
      <c r="LGO27" s="11"/>
      <c r="LGP27" s="11"/>
      <c r="LGQ27" s="11"/>
      <c r="LGS27" s="11"/>
      <c r="LGT27" s="11"/>
      <c r="LGU27" s="12"/>
      <c r="LGY27" s="11"/>
      <c r="LGZ27" s="12"/>
      <c r="LHJ27" s="15"/>
      <c r="LHK27" s="15"/>
      <c r="LHL27" s="15"/>
      <c r="LHM27" s="15"/>
      <c r="LHN27" s="15"/>
      <c r="LHO27" s="15"/>
      <c r="LHP27" s="15"/>
      <c r="LHQ27" s="15"/>
      <c r="LHR27" s="15"/>
      <c r="LHS27" s="15"/>
      <c r="LHT27" s="15"/>
      <c r="LHU27" s="15"/>
      <c r="LHV27" s="15"/>
      <c r="LHW27" s="15"/>
      <c r="LHX27" s="15"/>
      <c r="LHY27" s="15"/>
      <c r="LHZ27" s="15"/>
      <c r="LIA27" s="15"/>
      <c r="LIB27" s="15"/>
      <c r="LIC27" s="15"/>
      <c r="LID27" s="15"/>
      <c r="LIF27" s="11"/>
      <c r="LIG27" s="11"/>
      <c r="LIH27" s="11"/>
      <c r="LII27" s="11"/>
      <c r="LIJ27" s="11"/>
      <c r="LIK27" s="11"/>
      <c r="LIL27" s="11"/>
      <c r="LIM27" s="11"/>
      <c r="LIN27" s="11"/>
      <c r="LIX27" s="2"/>
      <c r="LIY27" s="27"/>
      <c r="LIZ27" s="31"/>
      <c r="LJA27" s="31"/>
      <c r="LJB27" s="32"/>
      <c r="LJC27" s="32"/>
      <c r="LJD27" s="31"/>
      <c r="LJE27" s="31"/>
      <c r="LJF27" s="33"/>
      <c r="LJG27" s="34"/>
      <c r="LJH27" s="35"/>
      <c r="LJI27" s="36"/>
      <c r="LJJ27" s="37"/>
      <c r="LJK27" s="23"/>
      <c r="LJL27" s="23"/>
      <c r="LJM27" s="23"/>
      <c r="LJN27" s="23"/>
      <c r="LJO27" s="23"/>
      <c r="LJP27" s="24"/>
      <c r="LJQ27" s="7"/>
      <c r="LJR27" s="7"/>
      <c r="LJS27" s="7"/>
      <c r="LJT27" s="7"/>
      <c r="LJU27" s="18"/>
      <c r="LJV27" s="18"/>
      <c r="LJW27" s="17"/>
      <c r="LJX27" s="17"/>
      <c r="LJY27" s="7"/>
      <c r="LJZ27" s="7"/>
      <c r="LKA27" s="8"/>
      <c r="LKB27" s="8"/>
      <c r="LKC27" s="8"/>
      <c r="LKD27" s="8"/>
      <c r="LKE27" s="8"/>
      <c r="LKF27" s="8"/>
      <c r="LKG27" s="8"/>
      <c r="LKH27" s="8"/>
      <c r="LKI27" s="8"/>
      <c r="LKJ27" s="8"/>
      <c r="LKK27" s="8"/>
      <c r="LKL27" s="8"/>
      <c r="LKM27" s="8"/>
      <c r="LKN27" s="8"/>
      <c r="LKO27" s="8"/>
      <c r="LKP27" s="8"/>
      <c r="LKQ27" s="8"/>
      <c r="LKR27" s="8"/>
      <c r="LKS27" s="8"/>
      <c r="LKT27" s="8"/>
      <c r="LKU27" s="11"/>
      <c r="LKW27" s="11"/>
      <c r="LKX27" s="11"/>
      <c r="LKY27" s="11"/>
      <c r="LLA27" s="11"/>
      <c r="LLB27" s="11"/>
      <c r="LLC27" s="11"/>
      <c r="LLE27" s="11"/>
      <c r="LLF27" s="11"/>
      <c r="LLG27" s="12"/>
      <c r="LLK27" s="11"/>
      <c r="LLL27" s="12"/>
      <c r="LLV27" s="15"/>
      <c r="LLW27" s="15"/>
      <c r="LLX27" s="15"/>
      <c r="LLY27" s="15"/>
      <c r="LLZ27" s="15"/>
      <c r="LMA27" s="15"/>
      <c r="LMB27" s="15"/>
      <c r="LMC27" s="15"/>
      <c r="LMD27" s="15"/>
      <c r="LME27" s="15"/>
      <c r="LMF27" s="15"/>
      <c r="LMG27" s="15"/>
      <c r="LMH27" s="15"/>
      <c r="LMI27" s="15"/>
      <c r="LMJ27" s="15"/>
      <c r="LMK27" s="15"/>
      <c r="LML27" s="15"/>
      <c r="LMM27" s="15"/>
      <c r="LMN27" s="15"/>
      <c r="LMO27" s="15"/>
      <c r="LMP27" s="15"/>
      <c r="LMR27" s="11"/>
      <c r="LMS27" s="11"/>
      <c r="LMT27" s="11"/>
      <c r="LMU27" s="11"/>
      <c r="LMV27" s="11"/>
      <c r="LMW27" s="11"/>
      <c r="LMX27" s="11"/>
      <c r="LMY27" s="11"/>
      <c r="LMZ27" s="11"/>
      <c r="LNJ27" s="2"/>
      <c r="LNK27" s="27"/>
      <c r="LNL27" s="31"/>
      <c r="LNM27" s="31"/>
      <c r="LNN27" s="32"/>
      <c r="LNO27" s="32"/>
      <c r="LNP27" s="31"/>
      <c r="LNQ27" s="31"/>
      <c r="LNR27" s="33"/>
      <c r="LNS27" s="34"/>
      <c r="LNT27" s="35"/>
      <c r="LNU27" s="36"/>
      <c r="LNV27" s="37"/>
      <c r="LNW27" s="23"/>
      <c r="LNX27" s="23"/>
      <c r="LNY27" s="23"/>
      <c r="LNZ27" s="23"/>
      <c r="LOA27" s="23"/>
      <c r="LOB27" s="24"/>
      <c r="LOC27" s="7"/>
      <c r="LOD27" s="7"/>
      <c r="LOE27" s="7"/>
      <c r="LOF27" s="7"/>
      <c r="LOG27" s="18"/>
      <c r="LOH27" s="18"/>
      <c r="LOI27" s="17"/>
      <c r="LOJ27" s="17"/>
      <c r="LOK27" s="7"/>
      <c r="LOL27" s="7"/>
      <c r="LOM27" s="8"/>
      <c r="LON27" s="8"/>
      <c r="LOO27" s="8"/>
      <c r="LOP27" s="8"/>
      <c r="LOQ27" s="8"/>
      <c r="LOR27" s="8"/>
      <c r="LOS27" s="8"/>
      <c r="LOT27" s="8"/>
      <c r="LOU27" s="8"/>
      <c r="LOV27" s="8"/>
      <c r="LOW27" s="8"/>
      <c r="LOX27" s="8"/>
      <c r="LOY27" s="8"/>
      <c r="LOZ27" s="8"/>
      <c r="LPA27" s="8"/>
      <c r="LPB27" s="8"/>
      <c r="LPC27" s="8"/>
      <c r="LPD27" s="8"/>
      <c r="LPE27" s="8"/>
      <c r="LPF27" s="8"/>
      <c r="LPG27" s="11"/>
      <c r="LPI27" s="11"/>
      <c r="LPJ27" s="11"/>
      <c r="LPK27" s="11"/>
      <c r="LPM27" s="11"/>
      <c r="LPN27" s="11"/>
      <c r="LPO27" s="11"/>
      <c r="LPQ27" s="11"/>
      <c r="LPR27" s="11"/>
      <c r="LPS27" s="12"/>
      <c r="LPW27" s="11"/>
      <c r="LPX27" s="12"/>
      <c r="LQH27" s="15"/>
      <c r="LQI27" s="15"/>
      <c r="LQJ27" s="15"/>
      <c r="LQK27" s="15"/>
      <c r="LQL27" s="15"/>
      <c r="LQM27" s="15"/>
      <c r="LQN27" s="15"/>
      <c r="LQO27" s="15"/>
      <c r="LQP27" s="15"/>
      <c r="LQQ27" s="15"/>
      <c r="LQR27" s="15"/>
      <c r="LQS27" s="15"/>
      <c r="LQT27" s="15"/>
      <c r="LQU27" s="15"/>
      <c r="LQV27" s="15"/>
      <c r="LQW27" s="15"/>
      <c r="LQX27" s="15"/>
      <c r="LQY27" s="15"/>
      <c r="LQZ27" s="15"/>
      <c r="LRA27" s="15"/>
      <c r="LRB27" s="15"/>
      <c r="LRD27" s="11"/>
      <c r="LRE27" s="11"/>
      <c r="LRF27" s="11"/>
      <c r="LRG27" s="11"/>
      <c r="LRH27" s="11"/>
      <c r="LRI27" s="11"/>
      <c r="LRJ27" s="11"/>
      <c r="LRK27" s="11"/>
      <c r="LRL27" s="11"/>
      <c r="LRV27" s="2"/>
      <c r="LRW27" s="27"/>
      <c r="LRX27" s="31"/>
      <c r="LRY27" s="31"/>
      <c r="LRZ27" s="32"/>
      <c r="LSA27" s="32"/>
      <c r="LSB27" s="31"/>
      <c r="LSC27" s="31"/>
      <c r="LSD27" s="33"/>
      <c r="LSE27" s="34"/>
      <c r="LSF27" s="35"/>
      <c r="LSG27" s="36"/>
      <c r="LSH27" s="37"/>
      <c r="LSI27" s="23"/>
      <c r="LSJ27" s="23"/>
      <c r="LSK27" s="23"/>
      <c r="LSL27" s="23"/>
      <c r="LSM27" s="23"/>
      <c r="LSN27" s="24"/>
      <c r="LSO27" s="7"/>
      <c r="LSP27" s="7"/>
      <c r="LSQ27" s="7"/>
      <c r="LSR27" s="7"/>
      <c r="LSS27" s="18"/>
      <c r="LST27" s="18"/>
      <c r="LSU27" s="17"/>
      <c r="LSV27" s="17"/>
      <c r="LSW27" s="7"/>
      <c r="LSX27" s="7"/>
      <c r="LSY27" s="8"/>
      <c r="LSZ27" s="8"/>
      <c r="LTA27" s="8"/>
      <c r="LTB27" s="8"/>
      <c r="LTC27" s="8"/>
      <c r="LTD27" s="8"/>
      <c r="LTE27" s="8"/>
      <c r="LTF27" s="8"/>
      <c r="LTG27" s="8"/>
      <c r="LTH27" s="8"/>
      <c r="LTI27" s="8"/>
      <c r="LTJ27" s="8"/>
      <c r="LTK27" s="8"/>
      <c r="LTL27" s="8"/>
      <c r="LTM27" s="8"/>
      <c r="LTN27" s="8"/>
      <c r="LTO27" s="8"/>
      <c r="LTP27" s="8"/>
      <c r="LTQ27" s="8"/>
      <c r="LTR27" s="8"/>
      <c r="LTS27" s="11"/>
      <c r="LTU27" s="11"/>
      <c r="LTV27" s="11"/>
      <c r="LTW27" s="11"/>
      <c r="LTY27" s="11"/>
      <c r="LTZ27" s="11"/>
      <c r="LUA27" s="11"/>
      <c r="LUC27" s="11"/>
      <c r="LUD27" s="11"/>
      <c r="LUE27" s="12"/>
      <c r="LUI27" s="11"/>
      <c r="LUJ27" s="12"/>
      <c r="LUT27" s="15"/>
      <c r="LUU27" s="15"/>
      <c r="LUV27" s="15"/>
      <c r="LUW27" s="15"/>
      <c r="LUX27" s="15"/>
      <c r="LUY27" s="15"/>
      <c r="LUZ27" s="15"/>
      <c r="LVA27" s="15"/>
      <c r="LVB27" s="15"/>
      <c r="LVC27" s="15"/>
      <c r="LVD27" s="15"/>
      <c r="LVE27" s="15"/>
      <c r="LVF27" s="15"/>
      <c r="LVG27" s="15"/>
      <c r="LVH27" s="15"/>
      <c r="LVI27" s="15"/>
      <c r="LVJ27" s="15"/>
      <c r="LVK27" s="15"/>
      <c r="LVL27" s="15"/>
      <c r="LVM27" s="15"/>
      <c r="LVN27" s="15"/>
      <c r="LVP27" s="11"/>
      <c r="LVQ27" s="11"/>
      <c r="LVR27" s="11"/>
      <c r="LVS27" s="11"/>
      <c r="LVT27" s="11"/>
      <c r="LVU27" s="11"/>
      <c r="LVV27" s="11"/>
      <c r="LVW27" s="11"/>
      <c r="LVX27" s="11"/>
      <c r="LWH27" s="2"/>
      <c r="LWI27" s="27"/>
      <c r="LWJ27" s="31"/>
      <c r="LWK27" s="31"/>
      <c r="LWL27" s="32"/>
      <c r="LWM27" s="32"/>
      <c r="LWN27" s="31"/>
      <c r="LWO27" s="31"/>
      <c r="LWP27" s="33"/>
      <c r="LWQ27" s="34"/>
      <c r="LWR27" s="35"/>
      <c r="LWS27" s="36"/>
      <c r="LWT27" s="37"/>
      <c r="LWU27" s="23"/>
      <c r="LWV27" s="23"/>
      <c r="LWW27" s="23"/>
      <c r="LWX27" s="23"/>
      <c r="LWY27" s="23"/>
      <c r="LWZ27" s="24"/>
      <c r="LXA27" s="7"/>
      <c r="LXB27" s="7"/>
      <c r="LXC27" s="7"/>
      <c r="LXD27" s="7"/>
      <c r="LXE27" s="18"/>
      <c r="LXF27" s="18"/>
      <c r="LXG27" s="17"/>
      <c r="LXH27" s="17"/>
      <c r="LXI27" s="7"/>
      <c r="LXJ27" s="7"/>
      <c r="LXK27" s="8"/>
      <c r="LXL27" s="8"/>
      <c r="LXM27" s="8"/>
      <c r="LXN27" s="8"/>
      <c r="LXO27" s="8"/>
      <c r="LXP27" s="8"/>
      <c r="LXQ27" s="8"/>
      <c r="LXR27" s="8"/>
      <c r="LXS27" s="8"/>
      <c r="LXT27" s="8"/>
      <c r="LXU27" s="8"/>
      <c r="LXV27" s="8"/>
      <c r="LXW27" s="8"/>
      <c r="LXX27" s="8"/>
      <c r="LXY27" s="8"/>
      <c r="LXZ27" s="8"/>
      <c r="LYA27" s="8"/>
      <c r="LYB27" s="8"/>
      <c r="LYC27" s="8"/>
      <c r="LYD27" s="8"/>
      <c r="LYE27" s="11"/>
      <c r="LYG27" s="11"/>
      <c r="LYH27" s="11"/>
      <c r="LYI27" s="11"/>
      <c r="LYK27" s="11"/>
      <c r="LYL27" s="11"/>
      <c r="LYM27" s="11"/>
      <c r="LYO27" s="11"/>
      <c r="LYP27" s="11"/>
      <c r="LYQ27" s="12"/>
      <c r="LYU27" s="11"/>
      <c r="LYV27" s="12"/>
      <c r="LZF27" s="15"/>
      <c r="LZG27" s="15"/>
      <c r="LZH27" s="15"/>
      <c r="LZI27" s="15"/>
      <c r="LZJ27" s="15"/>
      <c r="LZK27" s="15"/>
      <c r="LZL27" s="15"/>
      <c r="LZM27" s="15"/>
      <c r="LZN27" s="15"/>
      <c r="LZO27" s="15"/>
      <c r="LZP27" s="15"/>
      <c r="LZQ27" s="15"/>
      <c r="LZR27" s="15"/>
      <c r="LZS27" s="15"/>
      <c r="LZT27" s="15"/>
      <c r="LZU27" s="15"/>
      <c r="LZV27" s="15"/>
      <c r="LZW27" s="15"/>
      <c r="LZX27" s="15"/>
      <c r="LZY27" s="15"/>
      <c r="LZZ27" s="15"/>
      <c r="MAB27" s="11"/>
      <c r="MAC27" s="11"/>
      <c r="MAD27" s="11"/>
      <c r="MAE27" s="11"/>
      <c r="MAF27" s="11"/>
      <c r="MAG27" s="11"/>
      <c r="MAH27" s="11"/>
      <c r="MAI27" s="11"/>
      <c r="MAJ27" s="11"/>
      <c r="MAT27" s="2"/>
      <c r="MAU27" s="27"/>
      <c r="MAV27" s="31"/>
      <c r="MAW27" s="31"/>
      <c r="MAX27" s="32"/>
      <c r="MAY27" s="32"/>
      <c r="MAZ27" s="31"/>
      <c r="MBA27" s="31"/>
      <c r="MBB27" s="33"/>
      <c r="MBC27" s="34"/>
      <c r="MBD27" s="35"/>
      <c r="MBE27" s="36"/>
      <c r="MBF27" s="37"/>
      <c r="MBG27" s="23"/>
      <c r="MBH27" s="23"/>
      <c r="MBI27" s="23"/>
      <c r="MBJ27" s="23"/>
      <c r="MBK27" s="23"/>
      <c r="MBL27" s="24"/>
      <c r="MBM27" s="7"/>
      <c r="MBN27" s="7"/>
      <c r="MBO27" s="7"/>
      <c r="MBP27" s="7"/>
      <c r="MBQ27" s="18"/>
      <c r="MBR27" s="18"/>
      <c r="MBS27" s="17"/>
      <c r="MBT27" s="17"/>
      <c r="MBU27" s="7"/>
      <c r="MBV27" s="7"/>
      <c r="MBW27" s="8"/>
      <c r="MBX27" s="8"/>
      <c r="MBY27" s="8"/>
      <c r="MBZ27" s="8"/>
      <c r="MCA27" s="8"/>
      <c r="MCB27" s="8"/>
      <c r="MCC27" s="8"/>
      <c r="MCD27" s="8"/>
      <c r="MCE27" s="8"/>
      <c r="MCF27" s="8"/>
      <c r="MCG27" s="8"/>
      <c r="MCH27" s="8"/>
      <c r="MCI27" s="8"/>
      <c r="MCJ27" s="8"/>
      <c r="MCK27" s="8"/>
      <c r="MCL27" s="8"/>
      <c r="MCM27" s="8"/>
      <c r="MCN27" s="8"/>
      <c r="MCO27" s="8"/>
      <c r="MCP27" s="8"/>
      <c r="MCQ27" s="11"/>
      <c r="MCS27" s="11"/>
      <c r="MCT27" s="11"/>
      <c r="MCU27" s="11"/>
      <c r="MCW27" s="11"/>
      <c r="MCX27" s="11"/>
      <c r="MCY27" s="11"/>
      <c r="MDA27" s="11"/>
      <c r="MDB27" s="11"/>
      <c r="MDC27" s="12"/>
      <c r="MDG27" s="11"/>
      <c r="MDH27" s="12"/>
      <c r="MDR27" s="15"/>
      <c r="MDS27" s="15"/>
      <c r="MDT27" s="15"/>
      <c r="MDU27" s="15"/>
      <c r="MDV27" s="15"/>
      <c r="MDW27" s="15"/>
      <c r="MDX27" s="15"/>
      <c r="MDY27" s="15"/>
      <c r="MDZ27" s="15"/>
      <c r="MEA27" s="15"/>
      <c r="MEB27" s="15"/>
      <c r="MEC27" s="15"/>
      <c r="MED27" s="15"/>
      <c r="MEE27" s="15"/>
      <c r="MEF27" s="15"/>
      <c r="MEG27" s="15"/>
      <c r="MEH27" s="15"/>
      <c r="MEI27" s="15"/>
      <c r="MEJ27" s="15"/>
      <c r="MEK27" s="15"/>
      <c r="MEL27" s="15"/>
      <c r="MEN27" s="11"/>
      <c r="MEO27" s="11"/>
      <c r="MEP27" s="11"/>
      <c r="MEQ27" s="11"/>
      <c r="MER27" s="11"/>
      <c r="MES27" s="11"/>
      <c r="MET27" s="11"/>
      <c r="MEU27" s="11"/>
      <c r="MEV27" s="11"/>
      <c r="MFF27" s="2"/>
      <c r="MFG27" s="27"/>
      <c r="MFH27" s="31"/>
      <c r="MFI27" s="31"/>
      <c r="MFJ27" s="32"/>
      <c r="MFK27" s="32"/>
      <c r="MFL27" s="31"/>
      <c r="MFM27" s="31"/>
      <c r="MFN27" s="33"/>
      <c r="MFO27" s="34"/>
      <c r="MFP27" s="35"/>
      <c r="MFQ27" s="36"/>
      <c r="MFR27" s="37"/>
      <c r="MFS27" s="23"/>
      <c r="MFT27" s="23"/>
      <c r="MFU27" s="23"/>
      <c r="MFV27" s="23"/>
      <c r="MFW27" s="23"/>
      <c r="MFX27" s="24"/>
      <c r="MFY27" s="7"/>
      <c r="MFZ27" s="7"/>
      <c r="MGA27" s="7"/>
      <c r="MGB27" s="7"/>
      <c r="MGC27" s="18"/>
      <c r="MGD27" s="18"/>
      <c r="MGE27" s="17"/>
      <c r="MGF27" s="17"/>
      <c r="MGG27" s="7"/>
      <c r="MGH27" s="7"/>
      <c r="MGI27" s="8"/>
      <c r="MGJ27" s="8"/>
      <c r="MGK27" s="8"/>
      <c r="MGL27" s="8"/>
      <c r="MGM27" s="8"/>
      <c r="MGN27" s="8"/>
      <c r="MGO27" s="8"/>
      <c r="MGP27" s="8"/>
      <c r="MGQ27" s="8"/>
      <c r="MGR27" s="8"/>
      <c r="MGS27" s="8"/>
      <c r="MGT27" s="8"/>
      <c r="MGU27" s="8"/>
      <c r="MGV27" s="8"/>
      <c r="MGW27" s="8"/>
      <c r="MGX27" s="8"/>
      <c r="MGY27" s="8"/>
      <c r="MGZ27" s="8"/>
      <c r="MHA27" s="8"/>
      <c r="MHB27" s="8"/>
      <c r="MHC27" s="11"/>
      <c r="MHE27" s="11"/>
      <c r="MHF27" s="11"/>
      <c r="MHG27" s="11"/>
      <c r="MHI27" s="11"/>
      <c r="MHJ27" s="11"/>
      <c r="MHK27" s="11"/>
      <c r="MHM27" s="11"/>
      <c r="MHN27" s="11"/>
      <c r="MHO27" s="12"/>
      <c r="MHS27" s="11"/>
      <c r="MHT27" s="12"/>
      <c r="MID27" s="15"/>
      <c r="MIE27" s="15"/>
      <c r="MIF27" s="15"/>
      <c r="MIG27" s="15"/>
      <c r="MIH27" s="15"/>
      <c r="MII27" s="15"/>
      <c r="MIJ27" s="15"/>
      <c r="MIK27" s="15"/>
      <c r="MIL27" s="15"/>
      <c r="MIM27" s="15"/>
      <c r="MIN27" s="15"/>
      <c r="MIO27" s="15"/>
      <c r="MIP27" s="15"/>
      <c r="MIQ27" s="15"/>
      <c r="MIR27" s="15"/>
      <c r="MIS27" s="15"/>
      <c r="MIT27" s="15"/>
      <c r="MIU27" s="15"/>
      <c r="MIV27" s="15"/>
      <c r="MIW27" s="15"/>
      <c r="MIX27" s="15"/>
      <c r="MIZ27" s="11"/>
      <c r="MJA27" s="11"/>
      <c r="MJB27" s="11"/>
      <c r="MJC27" s="11"/>
      <c r="MJD27" s="11"/>
      <c r="MJE27" s="11"/>
      <c r="MJF27" s="11"/>
      <c r="MJG27" s="11"/>
      <c r="MJH27" s="11"/>
      <c r="MJR27" s="2"/>
      <c r="MJS27" s="27"/>
      <c r="MJT27" s="31"/>
      <c r="MJU27" s="31"/>
      <c r="MJV27" s="32"/>
      <c r="MJW27" s="32"/>
      <c r="MJX27" s="31"/>
      <c r="MJY27" s="31"/>
      <c r="MJZ27" s="33"/>
      <c r="MKA27" s="34"/>
      <c r="MKB27" s="35"/>
      <c r="MKC27" s="36"/>
      <c r="MKD27" s="37"/>
      <c r="MKE27" s="23"/>
      <c r="MKF27" s="23"/>
      <c r="MKG27" s="23"/>
      <c r="MKH27" s="23"/>
      <c r="MKI27" s="23"/>
      <c r="MKJ27" s="24"/>
      <c r="MKK27" s="7"/>
      <c r="MKL27" s="7"/>
      <c r="MKM27" s="7"/>
      <c r="MKN27" s="7"/>
      <c r="MKO27" s="18"/>
      <c r="MKP27" s="18"/>
      <c r="MKQ27" s="17"/>
      <c r="MKR27" s="17"/>
      <c r="MKS27" s="7"/>
      <c r="MKT27" s="7"/>
      <c r="MKU27" s="8"/>
      <c r="MKV27" s="8"/>
      <c r="MKW27" s="8"/>
      <c r="MKX27" s="8"/>
      <c r="MKY27" s="8"/>
      <c r="MKZ27" s="8"/>
      <c r="MLA27" s="8"/>
      <c r="MLB27" s="8"/>
      <c r="MLC27" s="8"/>
      <c r="MLD27" s="8"/>
      <c r="MLE27" s="8"/>
      <c r="MLF27" s="8"/>
      <c r="MLG27" s="8"/>
      <c r="MLH27" s="8"/>
      <c r="MLI27" s="8"/>
      <c r="MLJ27" s="8"/>
      <c r="MLK27" s="8"/>
      <c r="MLL27" s="8"/>
      <c r="MLM27" s="8"/>
      <c r="MLN27" s="8"/>
      <c r="MLO27" s="11"/>
      <c r="MLQ27" s="11"/>
      <c r="MLR27" s="11"/>
      <c r="MLS27" s="11"/>
      <c r="MLU27" s="11"/>
      <c r="MLV27" s="11"/>
      <c r="MLW27" s="11"/>
      <c r="MLY27" s="11"/>
      <c r="MLZ27" s="11"/>
      <c r="MMA27" s="12"/>
      <c r="MME27" s="11"/>
      <c r="MMF27" s="12"/>
      <c r="MMP27" s="15"/>
      <c r="MMQ27" s="15"/>
      <c r="MMR27" s="15"/>
      <c r="MMS27" s="15"/>
      <c r="MMT27" s="15"/>
      <c r="MMU27" s="15"/>
      <c r="MMV27" s="15"/>
      <c r="MMW27" s="15"/>
      <c r="MMX27" s="15"/>
      <c r="MMY27" s="15"/>
      <c r="MMZ27" s="15"/>
      <c r="MNA27" s="15"/>
      <c r="MNB27" s="15"/>
      <c r="MNC27" s="15"/>
      <c r="MND27" s="15"/>
      <c r="MNE27" s="15"/>
      <c r="MNF27" s="15"/>
      <c r="MNG27" s="15"/>
      <c r="MNH27" s="15"/>
      <c r="MNI27" s="15"/>
      <c r="MNJ27" s="15"/>
      <c r="MNL27" s="11"/>
      <c r="MNM27" s="11"/>
      <c r="MNN27" s="11"/>
      <c r="MNO27" s="11"/>
      <c r="MNP27" s="11"/>
      <c r="MNQ27" s="11"/>
      <c r="MNR27" s="11"/>
      <c r="MNS27" s="11"/>
      <c r="MNT27" s="11"/>
      <c r="MOD27" s="2"/>
      <c r="MOE27" s="27"/>
      <c r="MOF27" s="31"/>
      <c r="MOG27" s="31"/>
      <c r="MOH27" s="32"/>
      <c r="MOI27" s="32"/>
      <c r="MOJ27" s="31"/>
      <c r="MOK27" s="31"/>
      <c r="MOL27" s="33"/>
      <c r="MOM27" s="34"/>
      <c r="MON27" s="35"/>
      <c r="MOO27" s="36"/>
      <c r="MOP27" s="37"/>
      <c r="MOQ27" s="23"/>
      <c r="MOR27" s="23"/>
      <c r="MOS27" s="23"/>
      <c r="MOT27" s="23"/>
      <c r="MOU27" s="23"/>
      <c r="MOV27" s="24"/>
      <c r="MOW27" s="7"/>
      <c r="MOX27" s="7"/>
      <c r="MOY27" s="7"/>
      <c r="MOZ27" s="7"/>
      <c r="MPA27" s="18"/>
      <c r="MPB27" s="18"/>
      <c r="MPC27" s="17"/>
      <c r="MPD27" s="17"/>
      <c r="MPE27" s="7"/>
      <c r="MPF27" s="7"/>
      <c r="MPG27" s="8"/>
      <c r="MPH27" s="8"/>
      <c r="MPI27" s="8"/>
      <c r="MPJ27" s="8"/>
      <c r="MPK27" s="8"/>
      <c r="MPL27" s="8"/>
      <c r="MPM27" s="8"/>
      <c r="MPN27" s="8"/>
      <c r="MPO27" s="8"/>
      <c r="MPP27" s="8"/>
      <c r="MPQ27" s="8"/>
      <c r="MPR27" s="8"/>
      <c r="MPS27" s="8"/>
      <c r="MPT27" s="8"/>
      <c r="MPU27" s="8"/>
      <c r="MPV27" s="8"/>
      <c r="MPW27" s="8"/>
      <c r="MPX27" s="8"/>
      <c r="MPY27" s="8"/>
      <c r="MPZ27" s="8"/>
      <c r="MQA27" s="11"/>
      <c r="MQC27" s="11"/>
      <c r="MQD27" s="11"/>
      <c r="MQE27" s="11"/>
      <c r="MQG27" s="11"/>
      <c r="MQH27" s="11"/>
      <c r="MQI27" s="11"/>
      <c r="MQK27" s="11"/>
      <c r="MQL27" s="11"/>
      <c r="MQM27" s="12"/>
      <c r="MQQ27" s="11"/>
      <c r="MQR27" s="12"/>
      <c r="MRB27" s="15"/>
      <c r="MRC27" s="15"/>
      <c r="MRD27" s="15"/>
      <c r="MRE27" s="15"/>
      <c r="MRF27" s="15"/>
      <c r="MRG27" s="15"/>
      <c r="MRH27" s="15"/>
      <c r="MRI27" s="15"/>
      <c r="MRJ27" s="15"/>
      <c r="MRK27" s="15"/>
      <c r="MRL27" s="15"/>
      <c r="MRM27" s="15"/>
      <c r="MRN27" s="15"/>
      <c r="MRO27" s="15"/>
      <c r="MRP27" s="15"/>
      <c r="MRQ27" s="15"/>
      <c r="MRR27" s="15"/>
      <c r="MRS27" s="15"/>
      <c r="MRT27" s="15"/>
      <c r="MRU27" s="15"/>
      <c r="MRV27" s="15"/>
      <c r="MRX27" s="11"/>
      <c r="MRY27" s="11"/>
      <c r="MRZ27" s="11"/>
      <c r="MSA27" s="11"/>
      <c r="MSB27" s="11"/>
      <c r="MSC27" s="11"/>
      <c r="MSD27" s="11"/>
      <c r="MSE27" s="11"/>
      <c r="MSF27" s="11"/>
      <c r="MSP27" s="2"/>
      <c r="MSQ27" s="27"/>
      <c r="MSR27" s="31"/>
      <c r="MSS27" s="31"/>
      <c r="MST27" s="32"/>
      <c r="MSU27" s="32"/>
      <c r="MSV27" s="31"/>
      <c r="MSW27" s="31"/>
      <c r="MSX27" s="33"/>
      <c r="MSY27" s="34"/>
      <c r="MSZ27" s="35"/>
      <c r="MTA27" s="36"/>
      <c r="MTB27" s="37"/>
      <c r="MTC27" s="23"/>
      <c r="MTD27" s="23"/>
      <c r="MTE27" s="23"/>
      <c r="MTF27" s="23"/>
      <c r="MTG27" s="23"/>
      <c r="MTH27" s="24"/>
      <c r="MTI27" s="7"/>
      <c r="MTJ27" s="7"/>
      <c r="MTK27" s="7"/>
      <c r="MTL27" s="7"/>
      <c r="MTM27" s="18"/>
      <c r="MTN27" s="18"/>
      <c r="MTO27" s="17"/>
      <c r="MTP27" s="17"/>
      <c r="MTQ27" s="7"/>
      <c r="MTR27" s="7"/>
      <c r="MTS27" s="8"/>
      <c r="MTT27" s="8"/>
      <c r="MTU27" s="8"/>
      <c r="MTV27" s="8"/>
      <c r="MTW27" s="8"/>
      <c r="MTX27" s="8"/>
      <c r="MTY27" s="8"/>
      <c r="MTZ27" s="8"/>
      <c r="MUA27" s="8"/>
      <c r="MUB27" s="8"/>
      <c r="MUC27" s="8"/>
      <c r="MUD27" s="8"/>
      <c r="MUE27" s="8"/>
      <c r="MUF27" s="8"/>
      <c r="MUG27" s="8"/>
      <c r="MUH27" s="8"/>
      <c r="MUI27" s="8"/>
      <c r="MUJ27" s="8"/>
      <c r="MUK27" s="8"/>
      <c r="MUL27" s="8"/>
      <c r="MUM27" s="11"/>
      <c r="MUO27" s="11"/>
      <c r="MUP27" s="11"/>
      <c r="MUQ27" s="11"/>
      <c r="MUS27" s="11"/>
      <c r="MUT27" s="11"/>
      <c r="MUU27" s="11"/>
      <c r="MUW27" s="11"/>
      <c r="MUX27" s="11"/>
      <c r="MUY27" s="12"/>
      <c r="MVC27" s="11"/>
      <c r="MVD27" s="12"/>
      <c r="MVN27" s="15"/>
      <c r="MVO27" s="15"/>
      <c r="MVP27" s="15"/>
      <c r="MVQ27" s="15"/>
      <c r="MVR27" s="15"/>
      <c r="MVS27" s="15"/>
      <c r="MVT27" s="15"/>
      <c r="MVU27" s="15"/>
      <c r="MVV27" s="15"/>
      <c r="MVW27" s="15"/>
      <c r="MVX27" s="15"/>
      <c r="MVY27" s="15"/>
      <c r="MVZ27" s="15"/>
      <c r="MWA27" s="15"/>
      <c r="MWB27" s="15"/>
      <c r="MWC27" s="15"/>
      <c r="MWD27" s="15"/>
      <c r="MWE27" s="15"/>
      <c r="MWF27" s="15"/>
      <c r="MWG27" s="15"/>
      <c r="MWH27" s="15"/>
      <c r="MWJ27" s="11"/>
      <c r="MWK27" s="11"/>
      <c r="MWL27" s="11"/>
      <c r="MWM27" s="11"/>
      <c r="MWN27" s="11"/>
      <c r="MWO27" s="11"/>
      <c r="MWP27" s="11"/>
      <c r="MWQ27" s="11"/>
      <c r="MWR27" s="11"/>
      <c r="MXB27" s="2"/>
      <c r="MXC27" s="27"/>
      <c r="MXD27" s="31"/>
      <c r="MXE27" s="31"/>
      <c r="MXF27" s="32"/>
      <c r="MXG27" s="32"/>
      <c r="MXH27" s="31"/>
      <c r="MXI27" s="31"/>
      <c r="MXJ27" s="33"/>
      <c r="MXK27" s="34"/>
      <c r="MXL27" s="35"/>
      <c r="MXM27" s="36"/>
      <c r="MXN27" s="37"/>
      <c r="MXO27" s="23"/>
      <c r="MXP27" s="23"/>
      <c r="MXQ27" s="23"/>
      <c r="MXR27" s="23"/>
      <c r="MXS27" s="23"/>
      <c r="MXT27" s="24"/>
      <c r="MXU27" s="7"/>
      <c r="MXV27" s="7"/>
      <c r="MXW27" s="7"/>
      <c r="MXX27" s="7"/>
      <c r="MXY27" s="18"/>
      <c r="MXZ27" s="18"/>
      <c r="MYA27" s="17"/>
      <c r="MYB27" s="17"/>
      <c r="MYC27" s="7"/>
      <c r="MYD27" s="7"/>
      <c r="MYE27" s="8"/>
      <c r="MYF27" s="8"/>
      <c r="MYG27" s="8"/>
      <c r="MYH27" s="8"/>
      <c r="MYI27" s="8"/>
      <c r="MYJ27" s="8"/>
      <c r="MYK27" s="8"/>
      <c r="MYL27" s="8"/>
      <c r="MYM27" s="8"/>
      <c r="MYN27" s="8"/>
      <c r="MYO27" s="8"/>
      <c r="MYP27" s="8"/>
      <c r="MYQ27" s="8"/>
      <c r="MYR27" s="8"/>
      <c r="MYS27" s="8"/>
      <c r="MYT27" s="8"/>
      <c r="MYU27" s="8"/>
      <c r="MYV27" s="8"/>
      <c r="MYW27" s="8"/>
      <c r="MYX27" s="8"/>
      <c r="MYY27" s="11"/>
      <c r="MZA27" s="11"/>
      <c r="MZB27" s="11"/>
      <c r="MZC27" s="11"/>
      <c r="MZE27" s="11"/>
      <c r="MZF27" s="11"/>
      <c r="MZG27" s="11"/>
      <c r="MZI27" s="11"/>
      <c r="MZJ27" s="11"/>
      <c r="MZK27" s="12"/>
      <c r="MZO27" s="11"/>
      <c r="MZP27" s="12"/>
      <c r="MZZ27" s="15"/>
      <c r="NAA27" s="15"/>
      <c r="NAB27" s="15"/>
      <c r="NAC27" s="15"/>
      <c r="NAD27" s="15"/>
      <c r="NAE27" s="15"/>
      <c r="NAF27" s="15"/>
      <c r="NAG27" s="15"/>
      <c r="NAH27" s="15"/>
      <c r="NAI27" s="15"/>
      <c r="NAJ27" s="15"/>
      <c r="NAK27" s="15"/>
      <c r="NAL27" s="15"/>
      <c r="NAM27" s="15"/>
      <c r="NAN27" s="15"/>
      <c r="NAO27" s="15"/>
      <c r="NAP27" s="15"/>
      <c r="NAQ27" s="15"/>
      <c r="NAR27" s="15"/>
      <c r="NAS27" s="15"/>
      <c r="NAT27" s="15"/>
      <c r="NAV27" s="11"/>
      <c r="NAW27" s="11"/>
      <c r="NAX27" s="11"/>
      <c r="NAY27" s="11"/>
      <c r="NAZ27" s="11"/>
      <c r="NBA27" s="11"/>
      <c r="NBB27" s="11"/>
      <c r="NBC27" s="11"/>
      <c r="NBD27" s="11"/>
      <c r="NBN27" s="2"/>
      <c r="NBO27" s="27"/>
      <c r="NBP27" s="31"/>
      <c r="NBQ27" s="31"/>
      <c r="NBR27" s="32"/>
      <c r="NBS27" s="32"/>
      <c r="NBT27" s="31"/>
      <c r="NBU27" s="31"/>
      <c r="NBV27" s="33"/>
      <c r="NBW27" s="34"/>
      <c r="NBX27" s="35"/>
      <c r="NBY27" s="36"/>
      <c r="NBZ27" s="37"/>
      <c r="NCA27" s="23"/>
      <c r="NCB27" s="23"/>
      <c r="NCC27" s="23"/>
      <c r="NCD27" s="23"/>
      <c r="NCE27" s="23"/>
      <c r="NCF27" s="24"/>
      <c r="NCG27" s="7"/>
      <c r="NCH27" s="7"/>
      <c r="NCI27" s="7"/>
      <c r="NCJ27" s="7"/>
      <c r="NCK27" s="18"/>
      <c r="NCL27" s="18"/>
      <c r="NCM27" s="17"/>
      <c r="NCN27" s="17"/>
      <c r="NCO27" s="7"/>
      <c r="NCP27" s="7"/>
      <c r="NCQ27" s="8"/>
      <c r="NCR27" s="8"/>
      <c r="NCS27" s="8"/>
      <c r="NCT27" s="8"/>
      <c r="NCU27" s="8"/>
      <c r="NCV27" s="8"/>
      <c r="NCW27" s="8"/>
      <c r="NCX27" s="8"/>
      <c r="NCY27" s="8"/>
      <c r="NCZ27" s="8"/>
      <c r="NDA27" s="8"/>
      <c r="NDB27" s="8"/>
      <c r="NDC27" s="8"/>
      <c r="NDD27" s="8"/>
      <c r="NDE27" s="8"/>
      <c r="NDF27" s="8"/>
      <c r="NDG27" s="8"/>
      <c r="NDH27" s="8"/>
      <c r="NDI27" s="8"/>
      <c r="NDJ27" s="8"/>
      <c r="NDK27" s="11"/>
      <c r="NDM27" s="11"/>
      <c r="NDN27" s="11"/>
      <c r="NDO27" s="11"/>
      <c r="NDQ27" s="11"/>
      <c r="NDR27" s="11"/>
      <c r="NDS27" s="11"/>
      <c r="NDU27" s="11"/>
      <c r="NDV27" s="11"/>
      <c r="NDW27" s="12"/>
      <c r="NEA27" s="11"/>
      <c r="NEB27" s="12"/>
      <c r="NEL27" s="15"/>
      <c r="NEM27" s="15"/>
      <c r="NEN27" s="15"/>
      <c r="NEO27" s="15"/>
      <c r="NEP27" s="15"/>
      <c r="NEQ27" s="15"/>
      <c r="NER27" s="15"/>
      <c r="NES27" s="15"/>
      <c r="NET27" s="15"/>
      <c r="NEU27" s="15"/>
      <c r="NEV27" s="15"/>
      <c r="NEW27" s="15"/>
      <c r="NEX27" s="15"/>
      <c r="NEY27" s="15"/>
      <c r="NEZ27" s="15"/>
      <c r="NFA27" s="15"/>
      <c r="NFB27" s="15"/>
      <c r="NFC27" s="15"/>
      <c r="NFD27" s="15"/>
      <c r="NFE27" s="15"/>
      <c r="NFF27" s="15"/>
      <c r="NFH27" s="11"/>
      <c r="NFI27" s="11"/>
      <c r="NFJ27" s="11"/>
      <c r="NFK27" s="11"/>
      <c r="NFL27" s="11"/>
      <c r="NFM27" s="11"/>
      <c r="NFN27" s="11"/>
      <c r="NFO27" s="11"/>
      <c r="NFP27" s="11"/>
      <c r="NFZ27" s="2"/>
      <c r="NGA27" s="27"/>
      <c r="NGB27" s="31"/>
      <c r="NGC27" s="31"/>
      <c r="NGD27" s="32"/>
      <c r="NGE27" s="32"/>
      <c r="NGF27" s="31"/>
      <c r="NGG27" s="31"/>
      <c r="NGH27" s="33"/>
      <c r="NGI27" s="34"/>
      <c r="NGJ27" s="35"/>
      <c r="NGK27" s="36"/>
      <c r="NGL27" s="37"/>
      <c r="NGM27" s="23"/>
      <c r="NGN27" s="23"/>
      <c r="NGO27" s="23"/>
      <c r="NGP27" s="23"/>
      <c r="NGQ27" s="23"/>
      <c r="NGR27" s="24"/>
      <c r="NGS27" s="7"/>
      <c r="NGT27" s="7"/>
      <c r="NGU27" s="7"/>
      <c r="NGV27" s="7"/>
      <c r="NGW27" s="18"/>
      <c r="NGX27" s="18"/>
      <c r="NGY27" s="17"/>
      <c r="NGZ27" s="17"/>
      <c r="NHA27" s="7"/>
      <c r="NHB27" s="7"/>
      <c r="NHC27" s="8"/>
      <c r="NHD27" s="8"/>
      <c r="NHE27" s="8"/>
      <c r="NHF27" s="8"/>
      <c r="NHG27" s="8"/>
      <c r="NHH27" s="8"/>
      <c r="NHI27" s="8"/>
      <c r="NHJ27" s="8"/>
      <c r="NHK27" s="8"/>
      <c r="NHL27" s="8"/>
      <c r="NHM27" s="8"/>
      <c r="NHN27" s="8"/>
      <c r="NHO27" s="8"/>
      <c r="NHP27" s="8"/>
      <c r="NHQ27" s="8"/>
      <c r="NHR27" s="8"/>
      <c r="NHS27" s="8"/>
      <c r="NHT27" s="8"/>
      <c r="NHU27" s="8"/>
      <c r="NHV27" s="8"/>
      <c r="NHW27" s="11"/>
      <c r="NHY27" s="11"/>
      <c r="NHZ27" s="11"/>
      <c r="NIA27" s="11"/>
      <c r="NIC27" s="11"/>
      <c r="NID27" s="11"/>
      <c r="NIE27" s="11"/>
      <c r="NIG27" s="11"/>
      <c r="NIH27" s="11"/>
      <c r="NII27" s="12"/>
      <c r="NIM27" s="11"/>
      <c r="NIN27" s="12"/>
      <c r="NIX27" s="15"/>
      <c r="NIY27" s="15"/>
      <c r="NIZ27" s="15"/>
      <c r="NJA27" s="15"/>
      <c r="NJB27" s="15"/>
      <c r="NJC27" s="15"/>
      <c r="NJD27" s="15"/>
      <c r="NJE27" s="15"/>
      <c r="NJF27" s="15"/>
      <c r="NJG27" s="15"/>
      <c r="NJH27" s="15"/>
      <c r="NJI27" s="15"/>
      <c r="NJJ27" s="15"/>
      <c r="NJK27" s="15"/>
      <c r="NJL27" s="15"/>
      <c r="NJM27" s="15"/>
      <c r="NJN27" s="15"/>
      <c r="NJO27" s="15"/>
      <c r="NJP27" s="15"/>
      <c r="NJQ27" s="15"/>
      <c r="NJR27" s="15"/>
      <c r="NJT27" s="11"/>
      <c r="NJU27" s="11"/>
      <c r="NJV27" s="11"/>
      <c r="NJW27" s="11"/>
      <c r="NJX27" s="11"/>
      <c r="NJY27" s="11"/>
      <c r="NJZ27" s="11"/>
      <c r="NKA27" s="11"/>
      <c r="NKB27" s="11"/>
      <c r="NKL27" s="2"/>
      <c r="NKM27" s="27"/>
      <c r="NKN27" s="31"/>
      <c r="NKO27" s="31"/>
      <c r="NKP27" s="32"/>
      <c r="NKQ27" s="32"/>
      <c r="NKR27" s="31"/>
      <c r="NKS27" s="31"/>
      <c r="NKT27" s="33"/>
      <c r="NKU27" s="34"/>
      <c r="NKV27" s="35"/>
      <c r="NKW27" s="36"/>
      <c r="NKX27" s="37"/>
      <c r="NKY27" s="23"/>
      <c r="NKZ27" s="23"/>
      <c r="NLA27" s="23"/>
      <c r="NLB27" s="23"/>
      <c r="NLC27" s="23"/>
      <c r="NLD27" s="24"/>
      <c r="NLE27" s="7"/>
      <c r="NLF27" s="7"/>
      <c r="NLG27" s="7"/>
      <c r="NLH27" s="7"/>
      <c r="NLI27" s="18"/>
      <c r="NLJ27" s="18"/>
      <c r="NLK27" s="17"/>
      <c r="NLL27" s="17"/>
      <c r="NLM27" s="7"/>
      <c r="NLN27" s="7"/>
      <c r="NLO27" s="8"/>
      <c r="NLP27" s="8"/>
      <c r="NLQ27" s="8"/>
      <c r="NLR27" s="8"/>
      <c r="NLS27" s="8"/>
      <c r="NLT27" s="8"/>
      <c r="NLU27" s="8"/>
      <c r="NLV27" s="8"/>
      <c r="NLW27" s="8"/>
      <c r="NLX27" s="8"/>
      <c r="NLY27" s="8"/>
      <c r="NLZ27" s="8"/>
      <c r="NMA27" s="8"/>
      <c r="NMB27" s="8"/>
      <c r="NMC27" s="8"/>
      <c r="NMD27" s="8"/>
      <c r="NME27" s="8"/>
      <c r="NMF27" s="8"/>
      <c r="NMG27" s="8"/>
      <c r="NMH27" s="8"/>
      <c r="NMI27" s="11"/>
      <c r="NMK27" s="11"/>
      <c r="NML27" s="11"/>
      <c r="NMM27" s="11"/>
      <c r="NMO27" s="11"/>
      <c r="NMP27" s="11"/>
      <c r="NMQ27" s="11"/>
      <c r="NMS27" s="11"/>
      <c r="NMT27" s="11"/>
      <c r="NMU27" s="12"/>
      <c r="NMY27" s="11"/>
      <c r="NMZ27" s="12"/>
      <c r="NNJ27" s="15"/>
      <c r="NNK27" s="15"/>
      <c r="NNL27" s="15"/>
      <c r="NNM27" s="15"/>
      <c r="NNN27" s="15"/>
      <c r="NNO27" s="15"/>
      <c r="NNP27" s="15"/>
      <c r="NNQ27" s="15"/>
      <c r="NNR27" s="15"/>
      <c r="NNS27" s="15"/>
      <c r="NNT27" s="15"/>
      <c r="NNU27" s="15"/>
      <c r="NNV27" s="15"/>
      <c r="NNW27" s="15"/>
      <c r="NNX27" s="15"/>
      <c r="NNY27" s="15"/>
      <c r="NNZ27" s="15"/>
      <c r="NOA27" s="15"/>
      <c r="NOB27" s="15"/>
      <c r="NOC27" s="15"/>
      <c r="NOD27" s="15"/>
      <c r="NOF27" s="11"/>
      <c r="NOG27" s="11"/>
      <c r="NOH27" s="11"/>
      <c r="NOI27" s="11"/>
      <c r="NOJ27" s="11"/>
      <c r="NOK27" s="11"/>
      <c r="NOL27" s="11"/>
      <c r="NOM27" s="11"/>
      <c r="NON27" s="11"/>
      <c r="NOX27" s="2"/>
      <c r="NOY27" s="27"/>
      <c r="NOZ27" s="31"/>
      <c r="NPA27" s="31"/>
      <c r="NPB27" s="32"/>
      <c r="NPC27" s="32"/>
      <c r="NPD27" s="31"/>
      <c r="NPE27" s="31"/>
      <c r="NPF27" s="33"/>
      <c r="NPG27" s="34"/>
      <c r="NPH27" s="35"/>
      <c r="NPI27" s="36"/>
      <c r="NPJ27" s="37"/>
      <c r="NPK27" s="23"/>
      <c r="NPL27" s="23"/>
      <c r="NPM27" s="23"/>
      <c r="NPN27" s="23"/>
      <c r="NPO27" s="23"/>
      <c r="NPP27" s="24"/>
      <c r="NPQ27" s="7"/>
      <c r="NPR27" s="7"/>
      <c r="NPS27" s="7"/>
      <c r="NPT27" s="7"/>
      <c r="NPU27" s="18"/>
      <c r="NPV27" s="18"/>
      <c r="NPW27" s="17"/>
      <c r="NPX27" s="17"/>
      <c r="NPY27" s="7"/>
      <c r="NPZ27" s="7"/>
      <c r="NQA27" s="8"/>
      <c r="NQB27" s="8"/>
      <c r="NQC27" s="8"/>
      <c r="NQD27" s="8"/>
      <c r="NQE27" s="8"/>
      <c r="NQF27" s="8"/>
      <c r="NQG27" s="8"/>
      <c r="NQH27" s="8"/>
      <c r="NQI27" s="8"/>
      <c r="NQJ27" s="8"/>
      <c r="NQK27" s="8"/>
      <c r="NQL27" s="8"/>
      <c r="NQM27" s="8"/>
      <c r="NQN27" s="8"/>
      <c r="NQO27" s="8"/>
      <c r="NQP27" s="8"/>
      <c r="NQQ27" s="8"/>
      <c r="NQR27" s="8"/>
      <c r="NQS27" s="8"/>
      <c r="NQT27" s="8"/>
      <c r="NQU27" s="11"/>
      <c r="NQW27" s="11"/>
      <c r="NQX27" s="11"/>
      <c r="NQY27" s="11"/>
      <c r="NRA27" s="11"/>
      <c r="NRB27" s="11"/>
      <c r="NRC27" s="11"/>
      <c r="NRE27" s="11"/>
      <c r="NRF27" s="11"/>
      <c r="NRG27" s="12"/>
      <c r="NRK27" s="11"/>
      <c r="NRL27" s="12"/>
      <c r="NRV27" s="15"/>
      <c r="NRW27" s="15"/>
      <c r="NRX27" s="15"/>
      <c r="NRY27" s="15"/>
      <c r="NRZ27" s="15"/>
      <c r="NSA27" s="15"/>
      <c r="NSB27" s="15"/>
      <c r="NSC27" s="15"/>
      <c r="NSD27" s="15"/>
      <c r="NSE27" s="15"/>
      <c r="NSF27" s="15"/>
      <c r="NSG27" s="15"/>
      <c r="NSH27" s="15"/>
      <c r="NSI27" s="15"/>
      <c r="NSJ27" s="15"/>
      <c r="NSK27" s="15"/>
      <c r="NSL27" s="15"/>
      <c r="NSM27" s="15"/>
      <c r="NSN27" s="15"/>
      <c r="NSO27" s="15"/>
      <c r="NSP27" s="15"/>
      <c r="NSR27" s="11"/>
      <c r="NSS27" s="11"/>
      <c r="NST27" s="11"/>
      <c r="NSU27" s="11"/>
      <c r="NSV27" s="11"/>
      <c r="NSW27" s="11"/>
      <c r="NSX27" s="11"/>
      <c r="NSY27" s="11"/>
      <c r="NSZ27" s="11"/>
      <c r="NTJ27" s="2"/>
      <c r="NTK27" s="27"/>
      <c r="NTL27" s="31"/>
      <c r="NTM27" s="31"/>
      <c r="NTN27" s="32"/>
      <c r="NTO27" s="32"/>
      <c r="NTP27" s="31"/>
      <c r="NTQ27" s="31"/>
      <c r="NTR27" s="33"/>
      <c r="NTS27" s="34"/>
      <c r="NTT27" s="35"/>
      <c r="NTU27" s="36"/>
      <c r="NTV27" s="37"/>
      <c r="NTW27" s="23"/>
      <c r="NTX27" s="23"/>
      <c r="NTY27" s="23"/>
      <c r="NTZ27" s="23"/>
      <c r="NUA27" s="23"/>
      <c r="NUB27" s="24"/>
      <c r="NUC27" s="7"/>
      <c r="NUD27" s="7"/>
      <c r="NUE27" s="7"/>
      <c r="NUF27" s="7"/>
      <c r="NUG27" s="18"/>
      <c r="NUH27" s="18"/>
      <c r="NUI27" s="17"/>
      <c r="NUJ27" s="17"/>
      <c r="NUK27" s="7"/>
      <c r="NUL27" s="7"/>
      <c r="NUM27" s="8"/>
      <c r="NUN27" s="8"/>
      <c r="NUO27" s="8"/>
      <c r="NUP27" s="8"/>
      <c r="NUQ27" s="8"/>
      <c r="NUR27" s="8"/>
      <c r="NUS27" s="8"/>
      <c r="NUT27" s="8"/>
      <c r="NUU27" s="8"/>
      <c r="NUV27" s="8"/>
      <c r="NUW27" s="8"/>
      <c r="NUX27" s="8"/>
      <c r="NUY27" s="8"/>
      <c r="NUZ27" s="8"/>
      <c r="NVA27" s="8"/>
      <c r="NVB27" s="8"/>
      <c r="NVC27" s="8"/>
      <c r="NVD27" s="8"/>
      <c r="NVE27" s="8"/>
      <c r="NVF27" s="8"/>
      <c r="NVG27" s="11"/>
      <c r="NVI27" s="11"/>
      <c r="NVJ27" s="11"/>
      <c r="NVK27" s="11"/>
      <c r="NVM27" s="11"/>
      <c r="NVN27" s="11"/>
      <c r="NVO27" s="11"/>
      <c r="NVQ27" s="11"/>
      <c r="NVR27" s="11"/>
      <c r="NVS27" s="12"/>
      <c r="NVW27" s="11"/>
      <c r="NVX27" s="12"/>
      <c r="NWH27" s="15"/>
      <c r="NWI27" s="15"/>
      <c r="NWJ27" s="15"/>
      <c r="NWK27" s="15"/>
      <c r="NWL27" s="15"/>
      <c r="NWM27" s="15"/>
      <c r="NWN27" s="15"/>
      <c r="NWO27" s="15"/>
      <c r="NWP27" s="15"/>
      <c r="NWQ27" s="15"/>
      <c r="NWR27" s="15"/>
      <c r="NWS27" s="15"/>
      <c r="NWT27" s="15"/>
      <c r="NWU27" s="15"/>
      <c r="NWV27" s="15"/>
      <c r="NWW27" s="15"/>
      <c r="NWX27" s="15"/>
      <c r="NWY27" s="15"/>
      <c r="NWZ27" s="15"/>
      <c r="NXA27" s="15"/>
      <c r="NXB27" s="15"/>
      <c r="NXD27" s="11"/>
      <c r="NXE27" s="11"/>
      <c r="NXF27" s="11"/>
      <c r="NXG27" s="11"/>
      <c r="NXH27" s="11"/>
      <c r="NXI27" s="11"/>
      <c r="NXJ27" s="11"/>
      <c r="NXK27" s="11"/>
      <c r="NXL27" s="11"/>
      <c r="NXV27" s="2"/>
      <c r="NXW27" s="27"/>
      <c r="NXX27" s="31"/>
      <c r="NXY27" s="31"/>
      <c r="NXZ27" s="32"/>
      <c r="NYA27" s="32"/>
      <c r="NYB27" s="31"/>
      <c r="NYC27" s="31"/>
      <c r="NYD27" s="33"/>
      <c r="NYE27" s="34"/>
      <c r="NYF27" s="35"/>
      <c r="NYG27" s="36"/>
      <c r="NYH27" s="37"/>
      <c r="NYI27" s="23"/>
      <c r="NYJ27" s="23"/>
      <c r="NYK27" s="23"/>
      <c r="NYL27" s="23"/>
      <c r="NYM27" s="23"/>
      <c r="NYN27" s="24"/>
      <c r="NYO27" s="7"/>
      <c r="NYP27" s="7"/>
      <c r="NYQ27" s="7"/>
      <c r="NYR27" s="7"/>
      <c r="NYS27" s="18"/>
      <c r="NYT27" s="18"/>
      <c r="NYU27" s="17"/>
      <c r="NYV27" s="17"/>
      <c r="NYW27" s="7"/>
      <c r="NYX27" s="7"/>
      <c r="NYY27" s="8"/>
      <c r="NYZ27" s="8"/>
      <c r="NZA27" s="8"/>
      <c r="NZB27" s="8"/>
      <c r="NZC27" s="8"/>
      <c r="NZD27" s="8"/>
      <c r="NZE27" s="8"/>
      <c r="NZF27" s="8"/>
      <c r="NZG27" s="8"/>
      <c r="NZH27" s="8"/>
      <c r="NZI27" s="8"/>
      <c r="NZJ27" s="8"/>
      <c r="NZK27" s="8"/>
      <c r="NZL27" s="8"/>
      <c r="NZM27" s="8"/>
      <c r="NZN27" s="8"/>
      <c r="NZO27" s="8"/>
      <c r="NZP27" s="8"/>
      <c r="NZQ27" s="8"/>
      <c r="NZR27" s="8"/>
      <c r="NZS27" s="11"/>
      <c r="NZU27" s="11"/>
      <c r="NZV27" s="11"/>
      <c r="NZW27" s="11"/>
      <c r="NZY27" s="11"/>
      <c r="NZZ27" s="11"/>
      <c r="OAA27" s="11"/>
      <c r="OAC27" s="11"/>
      <c r="OAD27" s="11"/>
      <c r="OAE27" s="12"/>
      <c r="OAI27" s="11"/>
      <c r="OAJ27" s="12"/>
      <c r="OAT27" s="15"/>
      <c r="OAU27" s="15"/>
      <c r="OAV27" s="15"/>
      <c r="OAW27" s="15"/>
      <c r="OAX27" s="15"/>
      <c r="OAY27" s="15"/>
      <c r="OAZ27" s="15"/>
      <c r="OBA27" s="15"/>
      <c r="OBB27" s="15"/>
      <c r="OBC27" s="15"/>
      <c r="OBD27" s="15"/>
      <c r="OBE27" s="15"/>
      <c r="OBF27" s="15"/>
      <c r="OBG27" s="15"/>
      <c r="OBH27" s="15"/>
      <c r="OBI27" s="15"/>
      <c r="OBJ27" s="15"/>
      <c r="OBK27" s="15"/>
      <c r="OBL27" s="15"/>
      <c r="OBM27" s="15"/>
      <c r="OBN27" s="15"/>
      <c r="OBP27" s="11"/>
      <c r="OBQ27" s="11"/>
      <c r="OBR27" s="11"/>
      <c r="OBS27" s="11"/>
      <c r="OBT27" s="11"/>
      <c r="OBU27" s="11"/>
      <c r="OBV27" s="11"/>
      <c r="OBW27" s="11"/>
      <c r="OBX27" s="11"/>
      <c r="OCH27" s="2"/>
      <c r="OCI27" s="27"/>
      <c r="OCJ27" s="31"/>
      <c r="OCK27" s="31"/>
      <c r="OCL27" s="32"/>
      <c r="OCM27" s="32"/>
      <c r="OCN27" s="31"/>
      <c r="OCO27" s="31"/>
      <c r="OCP27" s="33"/>
      <c r="OCQ27" s="34"/>
      <c r="OCR27" s="35"/>
      <c r="OCS27" s="36"/>
      <c r="OCT27" s="37"/>
      <c r="OCU27" s="23"/>
      <c r="OCV27" s="23"/>
      <c r="OCW27" s="23"/>
      <c r="OCX27" s="23"/>
      <c r="OCY27" s="23"/>
      <c r="OCZ27" s="24"/>
      <c r="ODA27" s="7"/>
      <c r="ODB27" s="7"/>
      <c r="ODC27" s="7"/>
      <c r="ODD27" s="7"/>
      <c r="ODE27" s="18"/>
      <c r="ODF27" s="18"/>
      <c r="ODG27" s="17"/>
      <c r="ODH27" s="17"/>
      <c r="ODI27" s="7"/>
      <c r="ODJ27" s="7"/>
      <c r="ODK27" s="8"/>
      <c r="ODL27" s="8"/>
      <c r="ODM27" s="8"/>
      <c r="ODN27" s="8"/>
      <c r="ODO27" s="8"/>
      <c r="ODP27" s="8"/>
      <c r="ODQ27" s="8"/>
      <c r="ODR27" s="8"/>
      <c r="ODS27" s="8"/>
      <c r="ODT27" s="8"/>
      <c r="ODU27" s="8"/>
      <c r="ODV27" s="8"/>
      <c r="ODW27" s="8"/>
      <c r="ODX27" s="8"/>
      <c r="ODY27" s="8"/>
      <c r="ODZ27" s="8"/>
      <c r="OEA27" s="8"/>
      <c r="OEB27" s="8"/>
      <c r="OEC27" s="8"/>
      <c r="OED27" s="8"/>
      <c r="OEE27" s="11"/>
      <c r="OEG27" s="11"/>
      <c r="OEH27" s="11"/>
      <c r="OEI27" s="11"/>
      <c r="OEK27" s="11"/>
      <c r="OEL27" s="11"/>
      <c r="OEM27" s="11"/>
      <c r="OEO27" s="11"/>
      <c r="OEP27" s="11"/>
      <c r="OEQ27" s="12"/>
      <c r="OEU27" s="11"/>
      <c r="OEV27" s="12"/>
      <c r="OFF27" s="15"/>
      <c r="OFG27" s="15"/>
      <c r="OFH27" s="15"/>
      <c r="OFI27" s="15"/>
      <c r="OFJ27" s="15"/>
      <c r="OFK27" s="15"/>
      <c r="OFL27" s="15"/>
      <c r="OFM27" s="15"/>
      <c r="OFN27" s="15"/>
      <c r="OFO27" s="15"/>
      <c r="OFP27" s="15"/>
      <c r="OFQ27" s="15"/>
      <c r="OFR27" s="15"/>
      <c r="OFS27" s="15"/>
      <c r="OFT27" s="15"/>
      <c r="OFU27" s="15"/>
      <c r="OFV27" s="15"/>
      <c r="OFW27" s="15"/>
      <c r="OFX27" s="15"/>
      <c r="OFY27" s="15"/>
      <c r="OFZ27" s="15"/>
      <c r="OGB27" s="11"/>
      <c r="OGC27" s="11"/>
      <c r="OGD27" s="11"/>
      <c r="OGE27" s="11"/>
      <c r="OGF27" s="11"/>
      <c r="OGG27" s="11"/>
      <c r="OGH27" s="11"/>
      <c r="OGI27" s="11"/>
      <c r="OGJ27" s="11"/>
      <c r="OGT27" s="2"/>
      <c r="OGU27" s="27"/>
      <c r="OGV27" s="31"/>
      <c r="OGW27" s="31"/>
      <c r="OGX27" s="32"/>
      <c r="OGY27" s="32"/>
      <c r="OGZ27" s="31"/>
      <c r="OHA27" s="31"/>
      <c r="OHB27" s="33"/>
      <c r="OHC27" s="34"/>
      <c r="OHD27" s="35"/>
      <c r="OHE27" s="36"/>
      <c r="OHF27" s="37"/>
      <c r="OHG27" s="23"/>
      <c r="OHH27" s="23"/>
      <c r="OHI27" s="23"/>
      <c r="OHJ27" s="23"/>
      <c r="OHK27" s="23"/>
      <c r="OHL27" s="24"/>
      <c r="OHM27" s="7"/>
      <c r="OHN27" s="7"/>
      <c r="OHO27" s="7"/>
      <c r="OHP27" s="7"/>
      <c r="OHQ27" s="18"/>
      <c r="OHR27" s="18"/>
      <c r="OHS27" s="17"/>
      <c r="OHT27" s="17"/>
      <c r="OHU27" s="7"/>
      <c r="OHV27" s="7"/>
      <c r="OHW27" s="8"/>
      <c r="OHX27" s="8"/>
      <c r="OHY27" s="8"/>
      <c r="OHZ27" s="8"/>
      <c r="OIA27" s="8"/>
      <c r="OIB27" s="8"/>
      <c r="OIC27" s="8"/>
      <c r="OID27" s="8"/>
      <c r="OIE27" s="8"/>
      <c r="OIF27" s="8"/>
      <c r="OIG27" s="8"/>
      <c r="OIH27" s="8"/>
      <c r="OII27" s="8"/>
      <c r="OIJ27" s="8"/>
      <c r="OIK27" s="8"/>
      <c r="OIL27" s="8"/>
      <c r="OIM27" s="8"/>
      <c r="OIN27" s="8"/>
      <c r="OIO27" s="8"/>
      <c r="OIP27" s="8"/>
      <c r="OIQ27" s="11"/>
      <c r="OIS27" s="11"/>
      <c r="OIT27" s="11"/>
      <c r="OIU27" s="11"/>
      <c r="OIW27" s="11"/>
      <c r="OIX27" s="11"/>
      <c r="OIY27" s="11"/>
      <c r="OJA27" s="11"/>
      <c r="OJB27" s="11"/>
      <c r="OJC27" s="12"/>
      <c r="OJG27" s="11"/>
      <c r="OJH27" s="12"/>
      <c r="OJR27" s="15"/>
      <c r="OJS27" s="15"/>
      <c r="OJT27" s="15"/>
      <c r="OJU27" s="15"/>
      <c r="OJV27" s="15"/>
      <c r="OJW27" s="15"/>
      <c r="OJX27" s="15"/>
      <c r="OJY27" s="15"/>
      <c r="OJZ27" s="15"/>
      <c r="OKA27" s="15"/>
      <c r="OKB27" s="15"/>
      <c r="OKC27" s="15"/>
      <c r="OKD27" s="15"/>
      <c r="OKE27" s="15"/>
      <c r="OKF27" s="15"/>
      <c r="OKG27" s="15"/>
      <c r="OKH27" s="15"/>
      <c r="OKI27" s="15"/>
      <c r="OKJ27" s="15"/>
      <c r="OKK27" s="15"/>
      <c r="OKL27" s="15"/>
      <c r="OKN27" s="11"/>
      <c r="OKO27" s="11"/>
      <c r="OKP27" s="11"/>
      <c r="OKQ27" s="11"/>
      <c r="OKR27" s="11"/>
      <c r="OKS27" s="11"/>
      <c r="OKT27" s="11"/>
      <c r="OKU27" s="11"/>
      <c r="OKV27" s="11"/>
      <c r="OLF27" s="2"/>
      <c r="OLG27" s="27"/>
      <c r="OLH27" s="31"/>
      <c r="OLI27" s="31"/>
      <c r="OLJ27" s="32"/>
      <c r="OLK27" s="32"/>
      <c r="OLL27" s="31"/>
      <c r="OLM27" s="31"/>
      <c r="OLN27" s="33"/>
      <c r="OLO27" s="34"/>
      <c r="OLP27" s="35"/>
      <c r="OLQ27" s="36"/>
      <c r="OLR27" s="37"/>
      <c r="OLS27" s="23"/>
      <c r="OLT27" s="23"/>
      <c r="OLU27" s="23"/>
      <c r="OLV27" s="23"/>
      <c r="OLW27" s="23"/>
      <c r="OLX27" s="24"/>
      <c r="OLY27" s="7"/>
      <c r="OLZ27" s="7"/>
      <c r="OMA27" s="7"/>
      <c r="OMB27" s="7"/>
      <c r="OMC27" s="18"/>
      <c r="OMD27" s="18"/>
      <c r="OME27" s="17"/>
      <c r="OMF27" s="17"/>
      <c r="OMG27" s="7"/>
      <c r="OMH27" s="7"/>
      <c r="OMI27" s="8"/>
      <c r="OMJ27" s="8"/>
      <c r="OMK27" s="8"/>
      <c r="OML27" s="8"/>
      <c r="OMM27" s="8"/>
      <c r="OMN27" s="8"/>
      <c r="OMO27" s="8"/>
      <c r="OMP27" s="8"/>
      <c r="OMQ27" s="8"/>
      <c r="OMR27" s="8"/>
      <c r="OMS27" s="8"/>
      <c r="OMT27" s="8"/>
      <c r="OMU27" s="8"/>
      <c r="OMV27" s="8"/>
      <c r="OMW27" s="8"/>
      <c r="OMX27" s="8"/>
      <c r="OMY27" s="8"/>
      <c r="OMZ27" s="8"/>
      <c r="ONA27" s="8"/>
      <c r="ONB27" s="8"/>
      <c r="ONC27" s="11"/>
      <c r="ONE27" s="11"/>
      <c r="ONF27" s="11"/>
      <c r="ONG27" s="11"/>
      <c r="ONI27" s="11"/>
      <c r="ONJ27" s="11"/>
      <c r="ONK27" s="11"/>
      <c r="ONM27" s="11"/>
      <c r="ONN27" s="11"/>
      <c r="ONO27" s="12"/>
      <c r="ONS27" s="11"/>
      <c r="ONT27" s="12"/>
      <c r="OOD27" s="15"/>
      <c r="OOE27" s="15"/>
      <c r="OOF27" s="15"/>
      <c r="OOG27" s="15"/>
      <c r="OOH27" s="15"/>
      <c r="OOI27" s="15"/>
      <c r="OOJ27" s="15"/>
      <c r="OOK27" s="15"/>
      <c r="OOL27" s="15"/>
      <c r="OOM27" s="15"/>
      <c r="OON27" s="15"/>
      <c r="OOO27" s="15"/>
      <c r="OOP27" s="15"/>
      <c r="OOQ27" s="15"/>
      <c r="OOR27" s="15"/>
      <c r="OOS27" s="15"/>
      <c r="OOT27" s="15"/>
      <c r="OOU27" s="15"/>
      <c r="OOV27" s="15"/>
      <c r="OOW27" s="15"/>
      <c r="OOX27" s="15"/>
      <c r="OOZ27" s="11"/>
      <c r="OPA27" s="11"/>
      <c r="OPB27" s="11"/>
      <c r="OPC27" s="11"/>
      <c r="OPD27" s="11"/>
      <c r="OPE27" s="11"/>
      <c r="OPF27" s="11"/>
      <c r="OPG27" s="11"/>
      <c r="OPH27" s="11"/>
      <c r="OPR27" s="2"/>
      <c r="OPS27" s="27"/>
      <c r="OPT27" s="31"/>
      <c r="OPU27" s="31"/>
      <c r="OPV27" s="32"/>
      <c r="OPW27" s="32"/>
      <c r="OPX27" s="31"/>
      <c r="OPY27" s="31"/>
      <c r="OPZ27" s="33"/>
      <c r="OQA27" s="34"/>
      <c r="OQB27" s="35"/>
      <c r="OQC27" s="36"/>
      <c r="OQD27" s="37"/>
      <c r="OQE27" s="23"/>
      <c r="OQF27" s="23"/>
      <c r="OQG27" s="23"/>
      <c r="OQH27" s="23"/>
      <c r="OQI27" s="23"/>
      <c r="OQJ27" s="24"/>
      <c r="OQK27" s="7"/>
      <c r="OQL27" s="7"/>
      <c r="OQM27" s="7"/>
      <c r="OQN27" s="7"/>
      <c r="OQO27" s="18"/>
      <c r="OQP27" s="18"/>
      <c r="OQQ27" s="17"/>
      <c r="OQR27" s="17"/>
      <c r="OQS27" s="7"/>
      <c r="OQT27" s="7"/>
      <c r="OQU27" s="8"/>
      <c r="OQV27" s="8"/>
      <c r="OQW27" s="8"/>
      <c r="OQX27" s="8"/>
      <c r="OQY27" s="8"/>
      <c r="OQZ27" s="8"/>
      <c r="ORA27" s="8"/>
      <c r="ORB27" s="8"/>
      <c r="ORC27" s="8"/>
      <c r="ORD27" s="8"/>
      <c r="ORE27" s="8"/>
      <c r="ORF27" s="8"/>
      <c r="ORG27" s="8"/>
      <c r="ORH27" s="8"/>
      <c r="ORI27" s="8"/>
      <c r="ORJ27" s="8"/>
      <c r="ORK27" s="8"/>
      <c r="ORL27" s="8"/>
      <c r="ORM27" s="8"/>
      <c r="ORN27" s="8"/>
      <c r="ORO27" s="11"/>
      <c r="ORQ27" s="11"/>
      <c r="ORR27" s="11"/>
      <c r="ORS27" s="11"/>
      <c r="ORU27" s="11"/>
      <c r="ORV27" s="11"/>
      <c r="ORW27" s="11"/>
      <c r="ORY27" s="11"/>
      <c r="ORZ27" s="11"/>
      <c r="OSA27" s="12"/>
      <c r="OSE27" s="11"/>
      <c r="OSF27" s="12"/>
      <c r="OSP27" s="15"/>
      <c r="OSQ27" s="15"/>
      <c r="OSR27" s="15"/>
      <c r="OSS27" s="15"/>
      <c r="OST27" s="15"/>
      <c r="OSU27" s="15"/>
      <c r="OSV27" s="15"/>
      <c r="OSW27" s="15"/>
      <c r="OSX27" s="15"/>
      <c r="OSY27" s="15"/>
      <c r="OSZ27" s="15"/>
      <c r="OTA27" s="15"/>
      <c r="OTB27" s="15"/>
      <c r="OTC27" s="15"/>
      <c r="OTD27" s="15"/>
      <c r="OTE27" s="15"/>
      <c r="OTF27" s="15"/>
      <c r="OTG27" s="15"/>
      <c r="OTH27" s="15"/>
      <c r="OTI27" s="15"/>
      <c r="OTJ27" s="15"/>
      <c r="OTL27" s="11"/>
      <c r="OTM27" s="11"/>
      <c r="OTN27" s="11"/>
      <c r="OTO27" s="11"/>
      <c r="OTP27" s="11"/>
      <c r="OTQ27" s="11"/>
      <c r="OTR27" s="11"/>
      <c r="OTS27" s="11"/>
      <c r="OTT27" s="11"/>
      <c r="OUD27" s="2"/>
      <c r="OUE27" s="27"/>
      <c r="OUF27" s="31"/>
      <c r="OUG27" s="31"/>
      <c r="OUH27" s="32"/>
      <c r="OUI27" s="32"/>
      <c r="OUJ27" s="31"/>
      <c r="OUK27" s="31"/>
      <c r="OUL27" s="33"/>
      <c r="OUM27" s="34"/>
      <c r="OUN27" s="35"/>
      <c r="OUO27" s="36"/>
      <c r="OUP27" s="37"/>
      <c r="OUQ27" s="23"/>
      <c r="OUR27" s="23"/>
      <c r="OUS27" s="23"/>
      <c r="OUT27" s="23"/>
      <c r="OUU27" s="23"/>
      <c r="OUV27" s="24"/>
      <c r="OUW27" s="7"/>
      <c r="OUX27" s="7"/>
      <c r="OUY27" s="7"/>
      <c r="OUZ27" s="7"/>
      <c r="OVA27" s="18"/>
      <c r="OVB27" s="18"/>
      <c r="OVC27" s="17"/>
      <c r="OVD27" s="17"/>
      <c r="OVE27" s="7"/>
      <c r="OVF27" s="7"/>
      <c r="OVG27" s="8"/>
      <c r="OVH27" s="8"/>
      <c r="OVI27" s="8"/>
      <c r="OVJ27" s="8"/>
      <c r="OVK27" s="8"/>
      <c r="OVL27" s="8"/>
      <c r="OVM27" s="8"/>
      <c r="OVN27" s="8"/>
      <c r="OVO27" s="8"/>
      <c r="OVP27" s="8"/>
      <c r="OVQ27" s="8"/>
      <c r="OVR27" s="8"/>
      <c r="OVS27" s="8"/>
      <c r="OVT27" s="8"/>
      <c r="OVU27" s="8"/>
      <c r="OVV27" s="8"/>
      <c r="OVW27" s="8"/>
      <c r="OVX27" s="8"/>
      <c r="OVY27" s="8"/>
      <c r="OVZ27" s="8"/>
      <c r="OWA27" s="11"/>
      <c r="OWC27" s="11"/>
      <c r="OWD27" s="11"/>
      <c r="OWE27" s="11"/>
      <c r="OWG27" s="11"/>
      <c r="OWH27" s="11"/>
      <c r="OWI27" s="11"/>
      <c r="OWK27" s="11"/>
      <c r="OWL27" s="11"/>
      <c r="OWM27" s="12"/>
      <c r="OWQ27" s="11"/>
      <c r="OWR27" s="12"/>
      <c r="OXB27" s="15"/>
      <c r="OXC27" s="15"/>
      <c r="OXD27" s="15"/>
      <c r="OXE27" s="15"/>
      <c r="OXF27" s="15"/>
      <c r="OXG27" s="15"/>
      <c r="OXH27" s="15"/>
      <c r="OXI27" s="15"/>
      <c r="OXJ27" s="15"/>
      <c r="OXK27" s="15"/>
      <c r="OXL27" s="15"/>
      <c r="OXM27" s="15"/>
      <c r="OXN27" s="15"/>
      <c r="OXO27" s="15"/>
      <c r="OXP27" s="15"/>
      <c r="OXQ27" s="15"/>
      <c r="OXR27" s="15"/>
      <c r="OXS27" s="15"/>
      <c r="OXT27" s="15"/>
      <c r="OXU27" s="15"/>
      <c r="OXV27" s="15"/>
      <c r="OXX27" s="11"/>
      <c r="OXY27" s="11"/>
      <c r="OXZ27" s="11"/>
      <c r="OYA27" s="11"/>
      <c r="OYB27" s="11"/>
      <c r="OYC27" s="11"/>
      <c r="OYD27" s="11"/>
      <c r="OYE27" s="11"/>
      <c r="OYF27" s="11"/>
      <c r="OYP27" s="2"/>
      <c r="OYQ27" s="27"/>
      <c r="OYR27" s="31"/>
      <c r="OYS27" s="31"/>
      <c r="OYT27" s="32"/>
      <c r="OYU27" s="32"/>
      <c r="OYV27" s="31"/>
      <c r="OYW27" s="31"/>
      <c r="OYX27" s="33"/>
      <c r="OYY27" s="34"/>
      <c r="OYZ27" s="35"/>
      <c r="OZA27" s="36"/>
      <c r="OZB27" s="37"/>
      <c r="OZC27" s="23"/>
      <c r="OZD27" s="23"/>
      <c r="OZE27" s="23"/>
      <c r="OZF27" s="23"/>
      <c r="OZG27" s="23"/>
      <c r="OZH27" s="24"/>
      <c r="OZI27" s="7"/>
      <c r="OZJ27" s="7"/>
      <c r="OZK27" s="7"/>
      <c r="OZL27" s="7"/>
      <c r="OZM27" s="18"/>
      <c r="OZN27" s="18"/>
      <c r="OZO27" s="17"/>
      <c r="OZP27" s="17"/>
      <c r="OZQ27" s="7"/>
      <c r="OZR27" s="7"/>
      <c r="OZS27" s="8"/>
      <c r="OZT27" s="8"/>
      <c r="OZU27" s="8"/>
      <c r="OZV27" s="8"/>
      <c r="OZW27" s="8"/>
      <c r="OZX27" s="8"/>
      <c r="OZY27" s="8"/>
      <c r="OZZ27" s="8"/>
      <c r="PAA27" s="8"/>
      <c r="PAB27" s="8"/>
      <c r="PAC27" s="8"/>
      <c r="PAD27" s="8"/>
      <c r="PAE27" s="8"/>
      <c r="PAF27" s="8"/>
      <c r="PAG27" s="8"/>
      <c r="PAH27" s="8"/>
      <c r="PAI27" s="8"/>
      <c r="PAJ27" s="8"/>
      <c r="PAK27" s="8"/>
      <c r="PAL27" s="8"/>
      <c r="PAM27" s="11"/>
      <c r="PAO27" s="11"/>
      <c r="PAP27" s="11"/>
      <c r="PAQ27" s="11"/>
      <c r="PAS27" s="11"/>
      <c r="PAT27" s="11"/>
      <c r="PAU27" s="11"/>
      <c r="PAW27" s="11"/>
      <c r="PAX27" s="11"/>
      <c r="PAY27" s="12"/>
      <c r="PBC27" s="11"/>
      <c r="PBD27" s="12"/>
      <c r="PBN27" s="15"/>
      <c r="PBO27" s="15"/>
      <c r="PBP27" s="15"/>
      <c r="PBQ27" s="15"/>
      <c r="PBR27" s="15"/>
      <c r="PBS27" s="15"/>
      <c r="PBT27" s="15"/>
      <c r="PBU27" s="15"/>
      <c r="PBV27" s="15"/>
      <c r="PBW27" s="15"/>
      <c r="PBX27" s="15"/>
      <c r="PBY27" s="15"/>
      <c r="PBZ27" s="15"/>
      <c r="PCA27" s="15"/>
      <c r="PCB27" s="15"/>
      <c r="PCC27" s="15"/>
      <c r="PCD27" s="15"/>
      <c r="PCE27" s="15"/>
      <c r="PCF27" s="15"/>
      <c r="PCG27" s="15"/>
      <c r="PCH27" s="15"/>
      <c r="PCJ27" s="11"/>
      <c r="PCK27" s="11"/>
      <c r="PCL27" s="11"/>
      <c r="PCM27" s="11"/>
      <c r="PCN27" s="11"/>
      <c r="PCO27" s="11"/>
      <c r="PCP27" s="11"/>
      <c r="PCQ27" s="11"/>
      <c r="PCR27" s="11"/>
      <c r="PDB27" s="2"/>
      <c r="PDC27" s="27"/>
      <c r="PDD27" s="31"/>
      <c r="PDE27" s="31"/>
      <c r="PDF27" s="32"/>
      <c r="PDG27" s="32"/>
      <c r="PDH27" s="31"/>
      <c r="PDI27" s="31"/>
      <c r="PDJ27" s="33"/>
      <c r="PDK27" s="34"/>
      <c r="PDL27" s="35"/>
      <c r="PDM27" s="36"/>
      <c r="PDN27" s="37"/>
      <c r="PDO27" s="23"/>
      <c r="PDP27" s="23"/>
      <c r="PDQ27" s="23"/>
      <c r="PDR27" s="23"/>
      <c r="PDS27" s="23"/>
      <c r="PDT27" s="24"/>
      <c r="PDU27" s="7"/>
      <c r="PDV27" s="7"/>
      <c r="PDW27" s="7"/>
      <c r="PDX27" s="7"/>
      <c r="PDY27" s="18"/>
      <c r="PDZ27" s="18"/>
      <c r="PEA27" s="17"/>
      <c r="PEB27" s="17"/>
      <c r="PEC27" s="7"/>
      <c r="PED27" s="7"/>
      <c r="PEE27" s="8"/>
      <c r="PEF27" s="8"/>
      <c r="PEG27" s="8"/>
      <c r="PEH27" s="8"/>
      <c r="PEI27" s="8"/>
      <c r="PEJ27" s="8"/>
      <c r="PEK27" s="8"/>
      <c r="PEL27" s="8"/>
      <c r="PEM27" s="8"/>
      <c r="PEN27" s="8"/>
      <c r="PEO27" s="8"/>
      <c r="PEP27" s="8"/>
      <c r="PEQ27" s="8"/>
      <c r="PER27" s="8"/>
      <c r="PES27" s="8"/>
      <c r="PET27" s="8"/>
      <c r="PEU27" s="8"/>
      <c r="PEV27" s="8"/>
      <c r="PEW27" s="8"/>
      <c r="PEX27" s="8"/>
      <c r="PEY27" s="11"/>
      <c r="PFA27" s="11"/>
      <c r="PFB27" s="11"/>
      <c r="PFC27" s="11"/>
      <c r="PFE27" s="11"/>
      <c r="PFF27" s="11"/>
      <c r="PFG27" s="11"/>
      <c r="PFI27" s="11"/>
      <c r="PFJ27" s="11"/>
      <c r="PFK27" s="12"/>
      <c r="PFO27" s="11"/>
      <c r="PFP27" s="12"/>
      <c r="PFZ27" s="15"/>
      <c r="PGA27" s="15"/>
      <c r="PGB27" s="15"/>
      <c r="PGC27" s="15"/>
      <c r="PGD27" s="15"/>
      <c r="PGE27" s="15"/>
      <c r="PGF27" s="15"/>
      <c r="PGG27" s="15"/>
      <c r="PGH27" s="15"/>
      <c r="PGI27" s="15"/>
      <c r="PGJ27" s="15"/>
      <c r="PGK27" s="15"/>
      <c r="PGL27" s="15"/>
      <c r="PGM27" s="15"/>
      <c r="PGN27" s="15"/>
      <c r="PGO27" s="15"/>
      <c r="PGP27" s="15"/>
      <c r="PGQ27" s="15"/>
      <c r="PGR27" s="15"/>
      <c r="PGS27" s="15"/>
      <c r="PGT27" s="15"/>
      <c r="PGV27" s="11"/>
      <c r="PGW27" s="11"/>
      <c r="PGX27" s="11"/>
      <c r="PGY27" s="11"/>
      <c r="PGZ27" s="11"/>
      <c r="PHA27" s="11"/>
      <c r="PHB27" s="11"/>
      <c r="PHC27" s="11"/>
      <c r="PHD27" s="11"/>
      <c r="PHN27" s="2"/>
      <c r="PHO27" s="27"/>
      <c r="PHP27" s="31"/>
      <c r="PHQ27" s="31"/>
      <c r="PHR27" s="32"/>
      <c r="PHS27" s="32"/>
      <c r="PHT27" s="31"/>
      <c r="PHU27" s="31"/>
      <c r="PHV27" s="33"/>
      <c r="PHW27" s="34"/>
      <c r="PHX27" s="35"/>
      <c r="PHY27" s="36"/>
      <c r="PHZ27" s="37"/>
      <c r="PIA27" s="23"/>
      <c r="PIB27" s="23"/>
      <c r="PIC27" s="23"/>
      <c r="PID27" s="23"/>
      <c r="PIE27" s="23"/>
      <c r="PIF27" s="24"/>
      <c r="PIG27" s="7"/>
      <c r="PIH27" s="7"/>
      <c r="PII27" s="7"/>
      <c r="PIJ27" s="7"/>
      <c r="PIK27" s="18"/>
      <c r="PIL27" s="18"/>
      <c r="PIM27" s="17"/>
      <c r="PIN27" s="17"/>
      <c r="PIO27" s="7"/>
      <c r="PIP27" s="7"/>
      <c r="PIQ27" s="8"/>
      <c r="PIR27" s="8"/>
      <c r="PIS27" s="8"/>
      <c r="PIT27" s="8"/>
      <c r="PIU27" s="8"/>
      <c r="PIV27" s="8"/>
      <c r="PIW27" s="8"/>
      <c r="PIX27" s="8"/>
      <c r="PIY27" s="8"/>
      <c r="PIZ27" s="8"/>
      <c r="PJA27" s="8"/>
      <c r="PJB27" s="8"/>
      <c r="PJC27" s="8"/>
      <c r="PJD27" s="8"/>
      <c r="PJE27" s="8"/>
      <c r="PJF27" s="8"/>
      <c r="PJG27" s="8"/>
      <c r="PJH27" s="8"/>
      <c r="PJI27" s="8"/>
      <c r="PJJ27" s="8"/>
      <c r="PJK27" s="11"/>
      <c r="PJM27" s="11"/>
      <c r="PJN27" s="11"/>
      <c r="PJO27" s="11"/>
      <c r="PJQ27" s="11"/>
      <c r="PJR27" s="11"/>
      <c r="PJS27" s="11"/>
      <c r="PJU27" s="11"/>
      <c r="PJV27" s="11"/>
      <c r="PJW27" s="12"/>
      <c r="PKA27" s="11"/>
      <c r="PKB27" s="12"/>
      <c r="PKL27" s="15"/>
      <c r="PKM27" s="15"/>
      <c r="PKN27" s="15"/>
      <c r="PKO27" s="15"/>
      <c r="PKP27" s="15"/>
      <c r="PKQ27" s="15"/>
      <c r="PKR27" s="15"/>
      <c r="PKS27" s="15"/>
      <c r="PKT27" s="15"/>
      <c r="PKU27" s="15"/>
      <c r="PKV27" s="15"/>
      <c r="PKW27" s="15"/>
      <c r="PKX27" s="15"/>
      <c r="PKY27" s="15"/>
      <c r="PKZ27" s="15"/>
      <c r="PLA27" s="15"/>
      <c r="PLB27" s="15"/>
      <c r="PLC27" s="15"/>
      <c r="PLD27" s="15"/>
      <c r="PLE27" s="15"/>
      <c r="PLF27" s="15"/>
      <c r="PLH27" s="11"/>
      <c r="PLI27" s="11"/>
      <c r="PLJ27" s="11"/>
      <c r="PLK27" s="11"/>
      <c r="PLL27" s="11"/>
      <c r="PLM27" s="11"/>
      <c r="PLN27" s="11"/>
      <c r="PLO27" s="11"/>
      <c r="PLP27" s="11"/>
      <c r="PLZ27" s="2"/>
      <c r="PMA27" s="27"/>
      <c r="PMB27" s="31"/>
      <c r="PMC27" s="31"/>
      <c r="PMD27" s="32"/>
      <c r="PME27" s="32"/>
      <c r="PMF27" s="31"/>
      <c r="PMG27" s="31"/>
      <c r="PMH27" s="33"/>
      <c r="PMI27" s="34"/>
      <c r="PMJ27" s="35"/>
      <c r="PMK27" s="36"/>
      <c r="PML27" s="37"/>
      <c r="PMM27" s="23"/>
      <c r="PMN27" s="23"/>
      <c r="PMO27" s="23"/>
      <c r="PMP27" s="23"/>
      <c r="PMQ27" s="23"/>
      <c r="PMR27" s="24"/>
      <c r="PMS27" s="7"/>
      <c r="PMT27" s="7"/>
      <c r="PMU27" s="7"/>
      <c r="PMV27" s="7"/>
      <c r="PMW27" s="18"/>
      <c r="PMX27" s="18"/>
      <c r="PMY27" s="17"/>
      <c r="PMZ27" s="17"/>
      <c r="PNA27" s="7"/>
      <c r="PNB27" s="7"/>
      <c r="PNC27" s="8"/>
      <c r="PND27" s="8"/>
      <c r="PNE27" s="8"/>
      <c r="PNF27" s="8"/>
      <c r="PNG27" s="8"/>
      <c r="PNH27" s="8"/>
      <c r="PNI27" s="8"/>
      <c r="PNJ27" s="8"/>
      <c r="PNK27" s="8"/>
      <c r="PNL27" s="8"/>
      <c r="PNM27" s="8"/>
      <c r="PNN27" s="8"/>
      <c r="PNO27" s="8"/>
      <c r="PNP27" s="8"/>
      <c r="PNQ27" s="8"/>
      <c r="PNR27" s="8"/>
      <c r="PNS27" s="8"/>
      <c r="PNT27" s="8"/>
      <c r="PNU27" s="8"/>
      <c r="PNV27" s="8"/>
      <c r="PNW27" s="11"/>
      <c r="PNY27" s="11"/>
      <c r="PNZ27" s="11"/>
      <c r="POA27" s="11"/>
      <c r="POC27" s="11"/>
      <c r="POD27" s="11"/>
      <c r="POE27" s="11"/>
      <c r="POG27" s="11"/>
      <c r="POH27" s="11"/>
      <c r="POI27" s="12"/>
      <c r="POM27" s="11"/>
      <c r="PON27" s="12"/>
      <c r="POX27" s="15"/>
      <c r="POY27" s="15"/>
      <c r="POZ27" s="15"/>
      <c r="PPA27" s="15"/>
      <c r="PPB27" s="15"/>
      <c r="PPC27" s="15"/>
      <c r="PPD27" s="15"/>
      <c r="PPE27" s="15"/>
      <c r="PPF27" s="15"/>
      <c r="PPG27" s="15"/>
      <c r="PPH27" s="15"/>
      <c r="PPI27" s="15"/>
      <c r="PPJ27" s="15"/>
      <c r="PPK27" s="15"/>
      <c r="PPL27" s="15"/>
      <c r="PPM27" s="15"/>
      <c r="PPN27" s="15"/>
      <c r="PPO27" s="15"/>
      <c r="PPP27" s="15"/>
      <c r="PPQ27" s="15"/>
      <c r="PPR27" s="15"/>
      <c r="PPT27" s="11"/>
      <c r="PPU27" s="11"/>
      <c r="PPV27" s="11"/>
      <c r="PPW27" s="11"/>
      <c r="PPX27" s="11"/>
      <c r="PPY27" s="11"/>
      <c r="PPZ27" s="11"/>
      <c r="PQA27" s="11"/>
      <c r="PQB27" s="11"/>
      <c r="PQL27" s="2"/>
      <c r="PQM27" s="27"/>
      <c r="PQN27" s="31"/>
      <c r="PQO27" s="31"/>
      <c r="PQP27" s="32"/>
      <c r="PQQ27" s="32"/>
      <c r="PQR27" s="31"/>
      <c r="PQS27" s="31"/>
      <c r="PQT27" s="33"/>
      <c r="PQU27" s="34"/>
      <c r="PQV27" s="35"/>
      <c r="PQW27" s="36"/>
      <c r="PQX27" s="37"/>
      <c r="PQY27" s="23"/>
      <c r="PQZ27" s="23"/>
      <c r="PRA27" s="23"/>
      <c r="PRB27" s="23"/>
      <c r="PRC27" s="23"/>
      <c r="PRD27" s="24"/>
      <c r="PRE27" s="7"/>
      <c r="PRF27" s="7"/>
      <c r="PRG27" s="7"/>
      <c r="PRH27" s="7"/>
      <c r="PRI27" s="18"/>
      <c r="PRJ27" s="18"/>
      <c r="PRK27" s="17"/>
      <c r="PRL27" s="17"/>
      <c r="PRM27" s="7"/>
      <c r="PRN27" s="7"/>
      <c r="PRO27" s="8"/>
      <c r="PRP27" s="8"/>
      <c r="PRQ27" s="8"/>
      <c r="PRR27" s="8"/>
      <c r="PRS27" s="8"/>
      <c r="PRT27" s="8"/>
      <c r="PRU27" s="8"/>
      <c r="PRV27" s="8"/>
      <c r="PRW27" s="8"/>
      <c r="PRX27" s="8"/>
      <c r="PRY27" s="8"/>
      <c r="PRZ27" s="8"/>
      <c r="PSA27" s="8"/>
      <c r="PSB27" s="8"/>
      <c r="PSC27" s="8"/>
      <c r="PSD27" s="8"/>
      <c r="PSE27" s="8"/>
      <c r="PSF27" s="8"/>
      <c r="PSG27" s="8"/>
      <c r="PSH27" s="8"/>
      <c r="PSI27" s="11"/>
      <c r="PSK27" s="11"/>
      <c r="PSL27" s="11"/>
      <c r="PSM27" s="11"/>
      <c r="PSO27" s="11"/>
      <c r="PSP27" s="11"/>
      <c r="PSQ27" s="11"/>
      <c r="PSS27" s="11"/>
      <c r="PST27" s="11"/>
      <c r="PSU27" s="12"/>
      <c r="PSY27" s="11"/>
      <c r="PSZ27" s="12"/>
      <c r="PTJ27" s="15"/>
      <c r="PTK27" s="15"/>
      <c r="PTL27" s="15"/>
      <c r="PTM27" s="15"/>
      <c r="PTN27" s="15"/>
      <c r="PTO27" s="15"/>
      <c r="PTP27" s="15"/>
      <c r="PTQ27" s="15"/>
      <c r="PTR27" s="15"/>
      <c r="PTS27" s="15"/>
      <c r="PTT27" s="15"/>
      <c r="PTU27" s="15"/>
      <c r="PTV27" s="15"/>
      <c r="PTW27" s="15"/>
      <c r="PTX27" s="15"/>
      <c r="PTY27" s="15"/>
      <c r="PTZ27" s="15"/>
      <c r="PUA27" s="15"/>
      <c r="PUB27" s="15"/>
      <c r="PUC27" s="15"/>
      <c r="PUD27" s="15"/>
      <c r="PUF27" s="11"/>
      <c r="PUG27" s="11"/>
      <c r="PUH27" s="11"/>
      <c r="PUI27" s="11"/>
      <c r="PUJ27" s="11"/>
      <c r="PUK27" s="11"/>
      <c r="PUL27" s="11"/>
      <c r="PUM27" s="11"/>
      <c r="PUN27" s="11"/>
      <c r="PUX27" s="2"/>
      <c r="PUY27" s="27"/>
      <c r="PUZ27" s="31"/>
      <c r="PVA27" s="31"/>
      <c r="PVB27" s="32"/>
      <c r="PVC27" s="32"/>
      <c r="PVD27" s="31"/>
      <c r="PVE27" s="31"/>
      <c r="PVF27" s="33"/>
      <c r="PVG27" s="34"/>
      <c r="PVH27" s="35"/>
      <c r="PVI27" s="36"/>
      <c r="PVJ27" s="37"/>
      <c r="PVK27" s="23"/>
      <c r="PVL27" s="23"/>
      <c r="PVM27" s="23"/>
      <c r="PVN27" s="23"/>
      <c r="PVO27" s="23"/>
      <c r="PVP27" s="24"/>
      <c r="PVQ27" s="7"/>
      <c r="PVR27" s="7"/>
      <c r="PVS27" s="7"/>
      <c r="PVT27" s="7"/>
      <c r="PVU27" s="18"/>
      <c r="PVV27" s="18"/>
      <c r="PVW27" s="17"/>
      <c r="PVX27" s="17"/>
      <c r="PVY27" s="7"/>
      <c r="PVZ27" s="7"/>
      <c r="PWA27" s="8"/>
      <c r="PWB27" s="8"/>
      <c r="PWC27" s="8"/>
      <c r="PWD27" s="8"/>
      <c r="PWE27" s="8"/>
      <c r="PWF27" s="8"/>
      <c r="PWG27" s="8"/>
      <c r="PWH27" s="8"/>
      <c r="PWI27" s="8"/>
      <c r="PWJ27" s="8"/>
      <c r="PWK27" s="8"/>
      <c r="PWL27" s="8"/>
      <c r="PWM27" s="8"/>
      <c r="PWN27" s="8"/>
      <c r="PWO27" s="8"/>
      <c r="PWP27" s="8"/>
      <c r="PWQ27" s="8"/>
      <c r="PWR27" s="8"/>
      <c r="PWS27" s="8"/>
      <c r="PWT27" s="8"/>
      <c r="PWU27" s="11"/>
      <c r="PWW27" s="11"/>
      <c r="PWX27" s="11"/>
      <c r="PWY27" s="11"/>
      <c r="PXA27" s="11"/>
      <c r="PXB27" s="11"/>
      <c r="PXC27" s="11"/>
      <c r="PXE27" s="11"/>
      <c r="PXF27" s="11"/>
      <c r="PXG27" s="12"/>
      <c r="PXK27" s="11"/>
      <c r="PXL27" s="12"/>
      <c r="PXV27" s="15"/>
      <c r="PXW27" s="15"/>
      <c r="PXX27" s="15"/>
      <c r="PXY27" s="15"/>
      <c r="PXZ27" s="15"/>
      <c r="PYA27" s="15"/>
      <c r="PYB27" s="15"/>
      <c r="PYC27" s="15"/>
      <c r="PYD27" s="15"/>
      <c r="PYE27" s="15"/>
      <c r="PYF27" s="15"/>
      <c r="PYG27" s="15"/>
      <c r="PYH27" s="15"/>
      <c r="PYI27" s="15"/>
      <c r="PYJ27" s="15"/>
      <c r="PYK27" s="15"/>
      <c r="PYL27" s="15"/>
      <c r="PYM27" s="15"/>
      <c r="PYN27" s="15"/>
      <c r="PYO27" s="15"/>
      <c r="PYP27" s="15"/>
      <c r="PYR27" s="11"/>
      <c r="PYS27" s="11"/>
      <c r="PYT27" s="11"/>
      <c r="PYU27" s="11"/>
      <c r="PYV27" s="11"/>
      <c r="PYW27" s="11"/>
      <c r="PYX27" s="11"/>
      <c r="PYY27" s="11"/>
      <c r="PYZ27" s="11"/>
      <c r="PZJ27" s="2"/>
      <c r="PZK27" s="27"/>
      <c r="PZL27" s="31"/>
      <c r="PZM27" s="31"/>
      <c r="PZN27" s="32"/>
      <c r="PZO27" s="32"/>
      <c r="PZP27" s="31"/>
      <c r="PZQ27" s="31"/>
      <c r="PZR27" s="33"/>
      <c r="PZS27" s="34"/>
      <c r="PZT27" s="35"/>
      <c r="PZU27" s="36"/>
      <c r="PZV27" s="37"/>
      <c r="PZW27" s="23"/>
      <c r="PZX27" s="23"/>
      <c r="PZY27" s="23"/>
      <c r="PZZ27" s="23"/>
      <c r="QAA27" s="23"/>
      <c r="QAB27" s="24"/>
      <c r="QAC27" s="7"/>
      <c r="QAD27" s="7"/>
      <c r="QAE27" s="7"/>
      <c r="QAF27" s="7"/>
      <c r="QAG27" s="18"/>
      <c r="QAH27" s="18"/>
      <c r="QAI27" s="17"/>
      <c r="QAJ27" s="17"/>
      <c r="QAK27" s="7"/>
      <c r="QAL27" s="7"/>
      <c r="QAM27" s="8"/>
      <c r="QAN27" s="8"/>
      <c r="QAO27" s="8"/>
      <c r="QAP27" s="8"/>
      <c r="QAQ27" s="8"/>
      <c r="QAR27" s="8"/>
      <c r="QAS27" s="8"/>
      <c r="QAT27" s="8"/>
      <c r="QAU27" s="8"/>
      <c r="QAV27" s="8"/>
      <c r="QAW27" s="8"/>
      <c r="QAX27" s="8"/>
      <c r="QAY27" s="8"/>
      <c r="QAZ27" s="8"/>
      <c r="QBA27" s="8"/>
      <c r="QBB27" s="8"/>
      <c r="QBC27" s="8"/>
      <c r="QBD27" s="8"/>
      <c r="QBE27" s="8"/>
      <c r="QBF27" s="8"/>
      <c r="QBG27" s="11"/>
      <c r="QBI27" s="11"/>
      <c r="QBJ27" s="11"/>
      <c r="QBK27" s="11"/>
      <c r="QBM27" s="11"/>
      <c r="QBN27" s="11"/>
      <c r="QBO27" s="11"/>
      <c r="QBQ27" s="11"/>
      <c r="QBR27" s="11"/>
      <c r="QBS27" s="12"/>
      <c r="QBW27" s="11"/>
      <c r="QBX27" s="12"/>
      <c r="QCH27" s="15"/>
      <c r="QCI27" s="15"/>
      <c r="QCJ27" s="15"/>
      <c r="QCK27" s="15"/>
      <c r="QCL27" s="15"/>
      <c r="QCM27" s="15"/>
      <c r="QCN27" s="15"/>
      <c r="QCO27" s="15"/>
      <c r="QCP27" s="15"/>
      <c r="QCQ27" s="15"/>
      <c r="QCR27" s="15"/>
      <c r="QCS27" s="15"/>
      <c r="QCT27" s="15"/>
      <c r="QCU27" s="15"/>
      <c r="QCV27" s="15"/>
      <c r="QCW27" s="15"/>
      <c r="QCX27" s="15"/>
      <c r="QCY27" s="15"/>
      <c r="QCZ27" s="15"/>
      <c r="QDA27" s="15"/>
      <c r="QDB27" s="15"/>
      <c r="QDD27" s="11"/>
      <c r="QDE27" s="11"/>
      <c r="QDF27" s="11"/>
      <c r="QDG27" s="11"/>
      <c r="QDH27" s="11"/>
      <c r="QDI27" s="11"/>
      <c r="QDJ27" s="11"/>
      <c r="QDK27" s="11"/>
      <c r="QDL27" s="11"/>
      <c r="QDV27" s="2"/>
      <c r="QDW27" s="27"/>
      <c r="QDX27" s="31"/>
      <c r="QDY27" s="31"/>
      <c r="QDZ27" s="32"/>
      <c r="QEA27" s="32"/>
      <c r="QEB27" s="31"/>
      <c r="QEC27" s="31"/>
      <c r="QED27" s="33"/>
      <c r="QEE27" s="34"/>
      <c r="QEF27" s="35"/>
      <c r="QEG27" s="36"/>
      <c r="QEH27" s="37"/>
      <c r="QEI27" s="23"/>
      <c r="QEJ27" s="23"/>
      <c r="QEK27" s="23"/>
      <c r="QEL27" s="23"/>
      <c r="QEM27" s="23"/>
      <c r="QEN27" s="24"/>
      <c r="QEO27" s="7"/>
      <c r="QEP27" s="7"/>
      <c r="QEQ27" s="7"/>
      <c r="QER27" s="7"/>
      <c r="QES27" s="18"/>
      <c r="QET27" s="18"/>
      <c r="QEU27" s="17"/>
      <c r="QEV27" s="17"/>
      <c r="QEW27" s="7"/>
      <c r="QEX27" s="7"/>
      <c r="QEY27" s="8"/>
      <c r="QEZ27" s="8"/>
      <c r="QFA27" s="8"/>
      <c r="QFB27" s="8"/>
      <c r="QFC27" s="8"/>
      <c r="QFD27" s="8"/>
      <c r="QFE27" s="8"/>
      <c r="QFF27" s="8"/>
      <c r="QFG27" s="8"/>
      <c r="QFH27" s="8"/>
      <c r="QFI27" s="8"/>
      <c r="QFJ27" s="8"/>
      <c r="QFK27" s="8"/>
      <c r="QFL27" s="8"/>
      <c r="QFM27" s="8"/>
      <c r="QFN27" s="8"/>
      <c r="QFO27" s="8"/>
      <c r="QFP27" s="8"/>
      <c r="QFQ27" s="8"/>
      <c r="QFR27" s="8"/>
      <c r="QFS27" s="11"/>
      <c r="QFU27" s="11"/>
      <c r="QFV27" s="11"/>
      <c r="QFW27" s="11"/>
      <c r="QFY27" s="11"/>
      <c r="QFZ27" s="11"/>
      <c r="QGA27" s="11"/>
      <c r="QGC27" s="11"/>
      <c r="QGD27" s="11"/>
      <c r="QGE27" s="12"/>
      <c r="QGI27" s="11"/>
      <c r="QGJ27" s="12"/>
      <c r="QGT27" s="15"/>
      <c r="QGU27" s="15"/>
      <c r="QGV27" s="15"/>
      <c r="QGW27" s="15"/>
      <c r="QGX27" s="15"/>
      <c r="QGY27" s="15"/>
      <c r="QGZ27" s="15"/>
      <c r="QHA27" s="15"/>
      <c r="QHB27" s="15"/>
      <c r="QHC27" s="15"/>
      <c r="QHD27" s="15"/>
      <c r="QHE27" s="15"/>
      <c r="QHF27" s="15"/>
      <c r="QHG27" s="15"/>
      <c r="QHH27" s="15"/>
      <c r="QHI27" s="15"/>
      <c r="QHJ27" s="15"/>
      <c r="QHK27" s="15"/>
      <c r="QHL27" s="15"/>
      <c r="QHM27" s="15"/>
      <c r="QHN27" s="15"/>
      <c r="QHP27" s="11"/>
      <c r="QHQ27" s="11"/>
      <c r="QHR27" s="11"/>
      <c r="QHS27" s="11"/>
      <c r="QHT27" s="11"/>
      <c r="QHU27" s="11"/>
      <c r="QHV27" s="11"/>
      <c r="QHW27" s="11"/>
      <c r="QHX27" s="11"/>
      <c r="QIH27" s="2"/>
      <c r="QII27" s="27"/>
      <c r="QIJ27" s="31"/>
      <c r="QIK27" s="31"/>
      <c r="QIL27" s="32"/>
      <c r="QIM27" s="32"/>
      <c r="QIN27" s="31"/>
      <c r="QIO27" s="31"/>
      <c r="QIP27" s="33"/>
      <c r="QIQ27" s="34"/>
      <c r="QIR27" s="35"/>
      <c r="QIS27" s="36"/>
      <c r="QIT27" s="37"/>
      <c r="QIU27" s="23"/>
      <c r="QIV27" s="23"/>
      <c r="QIW27" s="23"/>
      <c r="QIX27" s="23"/>
      <c r="QIY27" s="23"/>
      <c r="QIZ27" s="24"/>
      <c r="QJA27" s="7"/>
      <c r="QJB27" s="7"/>
      <c r="QJC27" s="7"/>
      <c r="QJD27" s="7"/>
      <c r="QJE27" s="18"/>
      <c r="QJF27" s="18"/>
      <c r="QJG27" s="17"/>
      <c r="QJH27" s="17"/>
      <c r="QJI27" s="7"/>
      <c r="QJJ27" s="7"/>
      <c r="QJK27" s="8"/>
      <c r="QJL27" s="8"/>
      <c r="QJM27" s="8"/>
      <c r="QJN27" s="8"/>
      <c r="QJO27" s="8"/>
      <c r="QJP27" s="8"/>
      <c r="QJQ27" s="8"/>
      <c r="QJR27" s="8"/>
      <c r="QJS27" s="8"/>
      <c r="QJT27" s="8"/>
      <c r="QJU27" s="8"/>
      <c r="QJV27" s="8"/>
      <c r="QJW27" s="8"/>
      <c r="QJX27" s="8"/>
      <c r="QJY27" s="8"/>
      <c r="QJZ27" s="8"/>
      <c r="QKA27" s="8"/>
      <c r="QKB27" s="8"/>
      <c r="QKC27" s="8"/>
      <c r="QKD27" s="8"/>
      <c r="QKE27" s="11"/>
      <c r="QKG27" s="11"/>
      <c r="QKH27" s="11"/>
      <c r="QKI27" s="11"/>
      <c r="QKK27" s="11"/>
      <c r="QKL27" s="11"/>
      <c r="QKM27" s="11"/>
      <c r="QKO27" s="11"/>
      <c r="QKP27" s="11"/>
      <c r="QKQ27" s="12"/>
      <c r="QKU27" s="11"/>
      <c r="QKV27" s="12"/>
      <c r="QLF27" s="15"/>
      <c r="QLG27" s="15"/>
      <c r="QLH27" s="15"/>
      <c r="QLI27" s="15"/>
      <c r="QLJ27" s="15"/>
      <c r="QLK27" s="15"/>
      <c r="QLL27" s="15"/>
      <c r="QLM27" s="15"/>
      <c r="QLN27" s="15"/>
      <c r="QLO27" s="15"/>
      <c r="QLP27" s="15"/>
      <c r="QLQ27" s="15"/>
      <c r="QLR27" s="15"/>
      <c r="QLS27" s="15"/>
      <c r="QLT27" s="15"/>
      <c r="QLU27" s="15"/>
      <c r="QLV27" s="15"/>
      <c r="QLW27" s="15"/>
      <c r="QLX27" s="15"/>
      <c r="QLY27" s="15"/>
      <c r="QLZ27" s="15"/>
      <c r="QMB27" s="11"/>
      <c r="QMC27" s="11"/>
      <c r="QMD27" s="11"/>
      <c r="QME27" s="11"/>
      <c r="QMF27" s="11"/>
      <c r="QMG27" s="11"/>
      <c r="QMH27" s="11"/>
      <c r="QMI27" s="11"/>
      <c r="QMJ27" s="11"/>
      <c r="QMT27" s="2"/>
      <c r="QMU27" s="27"/>
      <c r="QMV27" s="31"/>
      <c r="QMW27" s="31"/>
      <c r="QMX27" s="32"/>
      <c r="QMY27" s="32"/>
      <c r="QMZ27" s="31"/>
      <c r="QNA27" s="31"/>
      <c r="QNB27" s="33"/>
      <c r="QNC27" s="34"/>
      <c r="QND27" s="35"/>
      <c r="QNE27" s="36"/>
      <c r="QNF27" s="37"/>
      <c r="QNG27" s="23"/>
      <c r="QNH27" s="23"/>
      <c r="QNI27" s="23"/>
      <c r="QNJ27" s="23"/>
      <c r="QNK27" s="23"/>
      <c r="QNL27" s="24"/>
      <c r="QNM27" s="7"/>
      <c r="QNN27" s="7"/>
      <c r="QNO27" s="7"/>
      <c r="QNP27" s="7"/>
      <c r="QNQ27" s="18"/>
      <c r="QNR27" s="18"/>
      <c r="QNS27" s="17"/>
      <c r="QNT27" s="17"/>
      <c r="QNU27" s="7"/>
      <c r="QNV27" s="7"/>
      <c r="QNW27" s="8"/>
      <c r="QNX27" s="8"/>
      <c r="QNY27" s="8"/>
      <c r="QNZ27" s="8"/>
      <c r="QOA27" s="8"/>
      <c r="QOB27" s="8"/>
      <c r="QOC27" s="8"/>
      <c r="QOD27" s="8"/>
      <c r="QOE27" s="8"/>
      <c r="QOF27" s="8"/>
      <c r="QOG27" s="8"/>
      <c r="QOH27" s="8"/>
      <c r="QOI27" s="8"/>
      <c r="QOJ27" s="8"/>
      <c r="QOK27" s="8"/>
      <c r="QOL27" s="8"/>
      <c r="QOM27" s="8"/>
      <c r="QON27" s="8"/>
      <c r="QOO27" s="8"/>
      <c r="QOP27" s="8"/>
      <c r="QOQ27" s="11"/>
      <c r="QOS27" s="11"/>
      <c r="QOT27" s="11"/>
      <c r="QOU27" s="11"/>
      <c r="QOW27" s="11"/>
      <c r="QOX27" s="11"/>
      <c r="QOY27" s="11"/>
      <c r="QPA27" s="11"/>
      <c r="QPB27" s="11"/>
      <c r="QPC27" s="12"/>
      <c r="QPG27" s="11"/>
      <c r="QPH27" s="12"/>
      <c r="QPR27" s="15"/>
      <c r="QPS27" s="15"/>
      <c r="QPT27" s="15"/>
      <c r="QPU27" s="15"/>
      <c r="QPV27" s="15"/>
      <c r="QPW27" s="15"/>
      <c r="QPX27" s="15"/>
      <c r="QPY27" s="15"/>
      <c r="QPZ27" s="15"/>
      <c r="QQA27" s="15"/>
      <c r="QQB27" s="15"/>
      <c r="QQC27" s="15"/>
      <c r="QQD27" s="15"/>
      <c r="QQE27" s="15"/>
      <c r="QQF27" s="15"/>
      <c r="QQG27" s="15"/>
      <c r="QQH27" s="15"/>
      <c r="QQI27" s="15"/>
      <c r="QQJ27" s="15"/>
      <c r="QQK27" s="15"/>
      <c r="QQL27" s="15"/>
      <c r="QQN27" s="11"/>
      <c r="QQO27" s="11"/>
      <c r="QQP27" s="11"/>
      <c r="QQQ27" s="11"/>
      <c r="QQR27" s="11"/>
      <c r="QQS27" s="11"/>
      <c r="QQT27" s="11"/>
      <c r="QQU27" s="11"/>
      <c r="QQV27" s="11"/>
      <c r="QRF27" s="2"/>
      <c r="QRG27" s="27"/>
      <c r="QRH27" s="31"/>
      <c r="QRI27" s="31"/>
      <c r="QRJ27" s="32"/>
      <c r="QRK27" s="32"/>
      <c r="QRL27" s="31"/>
      <c r="QRM27" s="31"/>
      <c r="QRN27" s="33"/>
      <c r="QRO27" s="34"/>
      <c r="QRP27" s="35"/>
      <c r="QRQ27" s="36"/>
      <c r="QRR27" s="37"/>
      <c r="QRS27" s="23"/>
      <c r="QRT27" s="23"/>
      <c r="QRU27" s="23"/>
      <c r="QRV27" s="23"/>
      <c r="QRW27" s="23"/>
      <c r="QRX27" s="24"/>
      <c r="QRY27" s="7"/>
      <c r="QRZ27" s="7"/>
      <c r="QSA27" s="7"/>
      <c r="QSB27" s="7"/>
      <c r="QSC27" s="18"/>
      <c r="QSD27" s="18"/>
      <c r="QSE27" s="17"/>
      <c r="QSF27" s="17"/>
      <c r="QSG27" s="7"/>
      <c r="QSH27" s="7"/>
      <c r="QSI27" s="8"/>
      <c r="QSJ27" s="8"/>
      <c r="QSK27" s="8"/>
      <c r="QSL27" s="8"/>
      <c r="QSM27" s="8"/>
      <c r="QSN27" s="8"/>
      <c r="QSO27" s="8"/>
      <c r="QSP27" s="8"/>
      <c r="QSQ27" s="8"/>
      <c r="QSR27" s="8"/>
      <c r="QSS27" s="8"/>
      <c r="QST27" s="8"/>
      <c r="QSU27" s="8"/>
      <c r="QSV27" s="8"/>
      <c r="QSW27" s="8"/>
      <c r="QSX27" s="8"/>
      <c r="QSY27" s="8"/>
      <c r="QSZ27" s="8"/>
      <c r="QTA27" s="8"/>
      <c r="QTB27" s="8"/>
      <c r="QTC27" s="11"/>
      <c r="QTE27" s="11"/>
      <c r="QTF27" s="11"/>
      <c r="QTG27" s="11"/>
      <c r="QTI27" s="11"/>
      <c r="QTJ27" s="11"/>
      <c r="QTK27" s="11"/>
      <c r="QTM27" s="11"/>
      <c r="QTN27" s="11"/>
      <c r="QTO27" s="12"/>
      <c r="QTS27" s="11"/>
      <c r="QTT27" s="12"/>
      <c r="QUD27" s="15"/>
      <c r="QUE27" s="15"/>
      <c r="QUF27" s="15"/>
      <c r="QUG27" s="15"/>
      <c r="QUH27" s="15"/>
      <c r="QUI27" s="15"/>
      <c r="QUJ27" s="15"/>
      <c r="QUK27" s="15"/>
      <c r="QUL27" s="15"/>
      <c r="QUM27" s="15"/>
      <c r="QUN27" s="15"/>
      <c r="QUO27" s="15"/>
      <c r="QUP27" s="15"/>
      <c r="QUQ27" s="15"/>
      <c r="QUR27" s="15"/>
      <c r="QUS27" s="15"/>
      <c r="QUT27" s="15"/>
      <c r="QUU27" s="15"/>
      <c r="QUV27" s="15"/>
      <c r="QUW27" s="15"/>
      <c r="QUX27" s="15"/>
      <c r="QUZ27" s="11"/>
      <c r="QVA27" s="11"/>
      <c r="QVB27" s="11"/>
      <c r="QVC27" s="11"/>
      <c r="QVD27" s="11"/>
      <c r="QVE27" s="11"/>
      <c r="QVF27" s="11"/>
      <c r="QVG27" s="11"/>
      <c r="QVH27" s="11"/>
      <c r="QVR27" s="2"/>
      <c r="QVS27" s="27"/>
      <c r="QVT27" s="31"/>
      <c r="QVU27" s="31"/>
      <c r="QVV27" s="32"/>
      <c r="QVW27" s="32"/>
      <c r="QVX27" s="31"/>
      <c r="QVY27" s="31"/>
      <c r="QVZ27" s="33"/>
      <c r="QWA27" s="34"/>
      <c r="QWB27" s="35"/>
      <c r="QWC27" s="36"/>
      <c r="QWD27" s="37"/>
      <c r="QWE27" s="23"/>
      <c r="QWF27" s="23"/>
      <c r="QWG27" s="23"/>
      <c r="QWH27" s="23"/>
      <c r="QWI27" s="23"/>
      <c r="QWJ27" s="24"/>
      <c r="QWK27" s="7"/>
      <c r="QWL27" s="7"/>
      <c r="QWM27" s="7"/>
      <c r="QWN27" s="7"/>
      <c r="QWO27" s="18"/>
      <c r="QWP27" s="18"/>
      <c r="QWQ27" s="17"/>
      <c r="QWR27" s="17"/>
      <c r="QWS27" s="7"/>
      <c r="QWT27" s="7"/>
      <c r="QWU27" s="8"/>
      <c r="QWV27" s="8"/>
      <c r="QWW27" s="8"/>
      <c r="QWX27" s="8"/>
      <c r="QWY27" s="8"/>
      <c r="QWZ27" s="8"/>
      <c r="QXA27" s="8"/>
      <c r="QXB27" s="8"/>
      <c r="QXC27" s="8"/>
      <c r="QXD27" s="8"/>
      <c r="QXE27" s="8"/>
      <c r="QXF27" s="8"/>
      <c r="QXG27" s="8"/>
      <c r="QXH27" s="8"/>
      <c r="QXI27" s="8"/>
      <c r="QXJ27" s="8"/>
      <c r="QXK27" s="8"/>
      <c r="QXL27" s="8"/>
      <c r="QXM27" s="8"/>
      <c r="QXN27" s="8"/>
      <c r="QXO27" s="11"/>
      <c r="QXQ27" s="11"/>
      <c r="QXR27" s="11"/>
      <c r="QXS27" s="11"/>
      <c r="QXU27" s="11"/>
      <c r="QXV27" s="11"/>
      <c r="QXW27" s="11"/>
      <c r="QXY27" s="11"/>
      <c r="QXZ27" s="11"/>
      <c r="QYA27" s="12"/>
      <c r="QYE27" s="11"/>
      <c r="QYF27" s="12"/>
      <c r="QYP27" s="15"/>
      <c r="QYQ27" s="15"/>
      <c r="QYR27" s="15"/>
      <c r="QYS27" s="15"/>
      <c r="QYT27" s="15"/>
      <c r="QYU27" s="15"/>
      <c r="QYV27" s="15"/>
      <c r="QYW27" s="15"/>
      <c r="QYX27" s="15"/>
      <c r="QYY27" s="15"/>
      <c r="QYZ27" s="15"/>
      <c r="QZA27" s="15"/>
      <c r="QZB27" s="15"/>
      <c r="QZC27" s="15"/>
      <c r="QZD27" s="15"/>
      <c r="QZE27" s="15"/>
      <c r="QZF27" s="15"/>
      <c r="QZG27" s="15"/>
      <c r="QZH27" s="15"/>
      <c r="QZI27" s="15"/>
      <c r="QZJ27" s="15"/>
      <c r="QZL27" s="11"/>
      <c r="QZM27" s="11"/>
      <c r="QZN27" s="11"/>
      <c r="QZO27" s="11"/>
      <c r="QZP27" s="11"/>
      <c r="QZQ27" s="11"/>
      <c r="QZR27" s="11"/>
      <c r="QZS27" s="11"/>
      <c r="QZT27" s="11"/>
      <c r="RAD27" s="2"/>
      <c r="RAE27" s="27"/>
      <c r="RAF27" s="31"/>
      <c r="RAG27" s="31"/>
      <c r="RAH27" s="32"/>
      <c r="RAI27" s="32"/>
      <c r="RAJ27" s="31"/>
      <c r="RAK27" s="31"/>
      <c r="RAL27" s="33"/>
      <c r="RAM27" s="34"/>
      <c r="RAN27" s="35"/>
      <c r="RAO27" s="36"/>
      <c r="RAP27" s="37"/>
      <c r="RAQ27" s="23"/>
      <c r="RAR27" s="23"/>
      <c r="RAS27" s="23"/>
      <c r="RAT27" s="23"/>
      <c r="RAU27" s="23"/>
      <c r="RAV27" s="24"/>
      <c r="RAW27" s="7"/>
      <c r="RAX27" s="7"/>
      <c r="RAY27" s="7"/>
      <c r="RAZ27" s="7"/>
      <c r="RBA27" s="18"/>
      <c r="RBB27" s="18"/>
      <c r="RBC27" s="17"/>
      <c r="RBD27" s="17"/>
      <c r="RBE27" s="7"/>
      <c r="RBF27" s="7"/>
      <c r="RBG27" s="8"/>
      <c r="RBH27" s="8"/>
      <c r="RBI27" s="8"/>
      <c r="RBJ27" s="8"/>
      <c r="RBK27" s="8"/>
      <c r="RBL27" s="8"/>
      <c r="RBM27" s="8"/>
      <c r="RBN27" s="8"/>
      <c r="RBO27" s="8"/>
      <c r="RBP27" s="8"/>
      <c r="RBQ27" s="8"/>
      <c r="RBR27" s="8"/>
      <c r="RBS27" s="8"/>
      <c r="RBT27" s="8"/>
      <c r="RBU27" s="8"/>
      <c r="RBV27" s="8"/>
      <c r="RBW27" s="8"/>
      <c r="RBX27" s="8"/>
      <c r="RBY27" s="8"/>
      <c r="RBZ27" s="8"/>
      <c r="RCA27" s="11"/>
      <c r="RCC27" s="11"/>
      <c r="RCD27" s="11"/>
      <c r="RCE27" s="11"/>
      <c r="RCG27" s="11"/>
      <c r="RCH27" s="11"/>
      <c r="RCI27" s="11"/>
      <c r="RCK27" s="11"/>
      <c r="RCL27" s="11"/>
      <c r="RCM27" s="12"/>
      <c r="RCQ27" s="11"/>
      <c r="RCR27" s="12"/>
      <c r="RDB27" s="15"/>
      <c r="RDC27" s="15"/>
      <c r="RDD27" s="15"/>
      <c r="RDE27" s="15"/>
      <c r="RDF27" s="15"/>
      <c r="RDG27" s="15"/>
      <c r="RDH27" s="15"/>
      <c r="RDI27" s="15"/>
      <c r="RDJ27" s="15"/>
      <c r="RDK27" s="15"/>
      <c r="RDL27" s="15"/>
      <c r="RDM27" s="15"/>
      <c r="RDN27" s="15"/>
      <c r="RDO27" s="15"/>
      <c r="RDP27" s="15"/>
      <c r="RDQ27" s="15"/>
      <c r="RDR27" s="15"/>
      <c r="RDS27" s="15"/>
      <c r="RDT27" s="15"/>
      <c r="RDU27" s="15"/>
      <c r="RDV27" s="15"/>
      <c r="RDX27" s="11"/>
      <c r="RDY27" s="11"/>
      <c r="RDZ27" s="11"/>
      <c r="REA27" s="11"/>
      <c r="REB27" s="11"/>
      <c r="REC27" s="11"/>
      <c r="RED27" s="11"/>
      <c r="REE27" s="11"/>
      <c r="REF27" s="11"/>
      <c r="REP27" s="2"/>
      <c r="REQ27" s="27"/>
      <c r="RER27" s="31"/>
      <c r="RES27" s="31"/>
      <c r="RET27" s="32"/>
      <c r="REU27" s="32"/>
      <c r="REV27" s="31"/>
      <c r="REW27" s="31"/>
      <c r="REX27" s="33"/>
      <c r="REY27" s="34"/>
      <c r="REZ27" s="35"/>
      <c r="RFA27" s="36"/>
      <c r="RFB27" s="37"/>
      <c r="RFC27" s="23"/>
      <c r="RFD27" s="23"/>
      <c r="RFE27" s="23"/>
      <c r="RFF27" s="23"/>
      <c r="RFG27" s="23"/>
      <c r="RFH27" s="24"/>
      <c r="RFI27" s="7"/>
      <c r="RFJ27" s="7"/>
      <c r="RFK27" s="7"/>
      <c r="RFL27" s="7"/>
      <c r="RFM27" s="18"/>
      <c r="RFN27" s="18"/>
      <c r="RFO27" s="17"/>
      <c r="RFP27" s="17"/>
      <c r="RFQ27" s="7"/>
      <c r="RFR27" s="7"/>
      <c r="RFS27" s="8"/>
      <c r="RFT27" s="8"/>
      <c r="RFU27" s="8"/>
      <c r="RFV27" s="8"/>
      <c r="RFW27" s="8"/>
      <c r="RFX27" s="8"/>
      <c r="RFY27" s="8"/>
      <c r="RFZ27" s="8"/>
      <c r="RGA27" s="8"/>
      <c r="RGB27" s="8"/>
      <c r="RGC27" s="8"/>
      <c r="RGD27" s="8"/>
      <c r="RGE27" s="8"/>
      <c r="RGF27" s="8"/>
      <c r="RGG27" s="8"/>
      <c r="RGH27" s="8"/>
      <c r="RGI27" s="8"/>
      <c r="RGJ27" s="8"/>
      <c r="RGK27" s="8"/>
      <c r="RGL27" s="8"/>
      <c r="RGM27" s="11"/>
      <c r="RGO27" s="11"/>
      <c r="RGP27" s="11"/>
      <c r="RGQ27" s="11"/>
      <c r="RGS27" s="11"/>
      <c r="RGT27" s="11"/>
      <c r="RGU27" s="11"/>
      <c r="RGW27" s="11"/>
      <c r="RGX27" s="11"/>
      <c r="RGY27" s="12"/>
      <c r="RHC27" s="11"/>
      <c r="RHD27" s="12"/>
      <c r="RHN27" s="15"/>
      <c r="RHO27" s="15"/>
      <c r="RHP27" s="15"/>
      <c r="RHQ27" s="15"/>
      <c r="RHR27" s="15"/>
      <c r="RHS27" s="15"/>
      <c r="RHT27" s="15"/>
      <c r="RHU27" s="15"/>
      <c r="RHV27" s="15"/>
      <c r="RHW27" s="15"/>
      <c r="RHX27" s="15"/>
      <c r="RHY27" s="15"/>
      <c r="RHZ27" s="15"/>
      <c r="RIA27" s="15"/>
      <c r="RIB27" s="15"/>
      <c r="RIC27" s="15"/>
      <c r="RID27" s="15"/>
      <c r="RIE27" s="15"/>
      <c r="RIF27" s="15"/>
      <c r="RIG27" s="15"/>
      <c r="RIH27" s="15"/>
      <c r="RIJ27" s="11"/>
      <c r="RIK27" s="11"/>
      <c r="RIL27" s="11"/>
      <c r="RIM27" s="11"/>
      <c r="RIN27" s="11"/>
      <c r="RIO27" s="11"/>
      <c r="RIP27" s="11"/>
      <c r="RIQ27" s="11"/>
      <c r="RIR27" s="11"/>
      <c r="RJB27" s="2"/>
      <c r="RJC27" s="27"/>
      <c r="RJD27" s="31"/>
      <c r="RJE27" s="31"/>
      <c r="RJF27" s="32"/>
      <c r="RJG27" s="32"/>
      <c r="RJH27" s="31"/>
      <c r="RJI27" s="31"/>
      <c r="RJJ27" s="33"/>
      <c r="RJK27" s="34"/>
      <c r="RJL27" s="35"/>
      <c r="RJM27" s="36"/>
      <c r="RJN27" s="37"/>
      <c r="RJO27" s="23"/>
      <c r="RJP27" s="23"/>
      <c r="RJQ27" s="23"/>
      <c r="RJR27" s="23"/>
      <c r="RJS27" s="23"/>
      <c r="RJT27" s="24"/>
      <c r="RJU27" s="7"/>
      <c r="RJV27" s="7"/>
      <c r="RJW27" s="7"/>
      <c r="RJX27" s="7"/>
      <c r="RJY27" s="18"/>
      <c r="RJZ27" s="18"/>
      <c r="RKA27" s="17"/>
      <c r="RKB27" s="17"/>
      <c r="RKC27" s="7"/>
      <c r="RKD27" s="7"/>
      <c r="RKE27" s="8"/>
      <c r="RKF27" s="8"/>
      <c r="RKG27" s="8"/>
      <c r="RKH27" s="8"/>
      <c r="RKI27" s="8"/>
      <c r="RKJ27" s="8"/>
      <c r="RKK27" s="8"/>
      <c r="RKL27" s="8"/>
      <c r="RKM27" s="8"/>
      <c r="RKN27" s="8"/>
      <c r="RKO27" s="8"/>
      <c r="RKP27" s="8"/>
      <c r="RKQ27" s="8"/>
      <c r="RKR27" s="8"/>
      <c r="RKS27" s="8"/>
      <c r="RKT27" s="8"/>
      <c r="RKU27" s="8"/>
      <c r="RKV27" s="8"/>
      <c r="RKW27" s="8"/>
      <c r="RKX27" s="8"/>
      <c r="RKY27" s="11"/>
      <c r="RLA27" s="11"/>
      <c r="RLB27" s="11"/>
      <c r="RLC27" s="11"/>
      <c r="RLE27" s="11"/>
      <c r="RLF27" s="11"/>
      <c r="RLG27" s="11"/>
      <c r="RLI27" s="11"/>
      <c r="RLJ27" s="11"/>
      <c r="RLK27" s="12"/>
      <c r="RLO27" s="11"/>
      <c r="RLP27" s="12"/>
      <c r="RLZ27" s="15"/>
      <c r="RMA27" s="15"/>
      <c r="RMB27" s="15"/>
      <c r="RMC27" s="15"/>
      <c r="RMD27" s="15"/>
      <c r="RME27" s="15"/>
      <c r="RMF27" s="15"/>
      <c r="RMG27" s="15"/>
      <c r="RMH27" s="15"/>
      <c r="RMI27" s="15"/>
      <c r="RMJ27" s="15"/>
      <c r="RMK27" s="15"/>
      <c r="RML27" s="15"/>
      <c r="RMM27" s="15"/>
      <c r="RMN27" s="15"/>
      <c r="RMO27" s="15"/>
      <c r="RMP27" s="15"/>
      <c r="RMQ27" s="15"/>
      <c r="RMR27" s="15"/>
      <c r="RMS27" s="15"/>
      <c r="RMT27" s="15"/>
      <c r="RMV27" s="11"/>
      <c r="RMW27" s="11"/>
      <c r="RMX27" s="11"/>
      <c r="RMY27" s="11"/>
      <c r="RMZ27" s="11"/>
      <c r="RNA27" s="11"/>
      <c r="RNB27" s="11"/>
      <c r="RNC27" s="11"/>
      <c r="RND27" s="11"/>
      <c r="RNN27" s="2"/>
      <c r="RNO27" s="27"/>
      <c r="RNP27" s="31"/>
      <c r="RNQ27" s="31"/>
      <c r="RNR27" s="32"/>
      <c r="RNS27" s="32"/>
      <c r="RNT27" s="31"/>
      <c r="RNU27" s="31"/>
      <c r="RNV27" s="33"/>
      <c r="RNW27" s="34"/>
      <c r="RNX27" s="35"/>
      <c r="RNY27" s="36"/>
      <c r="RNZ27" s="37"/>
      <c r="ROA27" s="23"/>
      <c r="ROB27" s="23"/>
      <c r="ROC27" s="23"/>
      <c r="ROD27" s="23"/>
      <c r="ROE27" s="23"/>
      <c r="ROF27" s="24"/>
      <c r="ROG27" s="7"/>
      <c r="ROH27" s="7"/>
      <c r="ROI27" s="7"/>
      <c r="ROJ27" s="7"/>
      <c r="ROK27" s="18"/>
      <c r="ROL27" s="18"/>
      <c r="ROM27" s="17"/>
      <c r="RON27" s="17"/>
      <c r="ROO27" s="7"/>
      <c r="ROP27" s="7"/>
      <c r="ROQ27" s="8"/>
      <c r="ROR27" s="8"/>
      <c r="ROS27" s="8"/>
      <c r="ROT27" s="8"/>
      <c r="ROU27" s="8"/>
      <c r="ROV27" s="8"/>
      <c r="ROW27" s="8"/>
      <c r="ROX27" s="8"/>
      <c r="ROY27" s="8"/>
      <c r="ROZ27" s="8"/>
      <c r="RPA27" s="8"/>
      <c r="RPB27" s="8"/>
      <c r="RPC27" s="8"/>
      <c r="RPD27" s="8"/>
      <c r="RPE27" s="8"/>
      <c r="RPF27" s="8"/>
      <c r="RPG27" s="8"/>
      <c r="RPH27" s="8"/>
      <c r="RPI27" s="8"/>
      <c r="RPJ27" s="8"/>
      <c r="RPK27" s="11"/>
      <c r="RPM27" s="11"/>
      <c r="RPN27" s="11"/>
      <c r="RPO27" s="11"/>
      <c r="RPQ27" s="11"/>
      <c r="RPR27" s="11"/>
      <c r="RPS27" s="11"/>
      <c r="RPU27" s="11"/>
      <c r="RPV27" s="11"/>
      <c r="RPW27" s="12"/>
      <c r="RQA27" s="11"/>
      <c r="RQB27" s="12"/>
      <c r="RQL27" s="15"/>
      <c r="RQM27" s="15"/>
      <c r="RQN27" s="15"/>
      <c r="RQO27" s="15"/>
      <c r="RQP27" s="15"/>
      <c r="RQQ27" s="15"/>
      <c r="RQR27" s="15"/>
      <c r="RQS27" s="15"/>
      <c r="RQT27" s="15"/>
      <c r="RQU27" s="15"/>
      <c r="RQV27" s="15"/>
      <c r="RQW27" s="15"/>
      <c r="RQX27" s="15"/>
      <c r="RQY27" s="15"/>
      <c r="RQZ27" s="15"/>
      <c r="RRA27" s="15"/>
      <c r="RRB27" s="15"/>
      <c r="RRC27" s="15"/>
      <c r="RRD27" s="15"/>
      <c r="RRE27" s="15"/>
      <c r="RRF27" s="15"/>
      <c r="RRH27" s="11"/>
      <c r="RRI27" s="11"/>
      <c r="RRJ27" s="11"/>
      <c r="RRK27" s="11"/>
      <c r="RRL27" s="11"/>
      <c r="RRM27" s="11"/>
      <c r="RRN27" s="11"/>
      <c r="RRO27" s="11"/>
      <c r="RRP27" s="11"/>
      <c r="RRZ27" s="2"/>
      <c r="RSA27" s="27"/>
      <c r="RSB27" s="31"/>
      <c r="RSC27" s="31"/>
      <c r="RSD27" s="32"/>
      <c r="RSE27" s="32"/>
      <c r="RSF27" s="31"/>
      <c r="RSG27" s="31"/>
      <c r="RSH27" s="33"/>
      <c r="RSI27" s="34"/>
      <c r="RSJ27" s="35"/>
      <c r="RSK27" s="36"/>
      <c r="RSL27" s="37"/>
      <c r="RSM27" s="23"/>
      <c r="RSN27" s="23"/>
      <c r="RSO27" s="23"/>
      <c r="RSP27" s="23"/>
      <c r="RSQ27" s="23"/>
      <c r="RSR27" s="24"/>
      <c r="RSS27" s="7"/>
      <c r="RST27" s="7"/>
      <c r="RSU27" s="7"/>
      <c r="RSV27" s="7"/>
      <c r="RSW27" s="18"/>
      <c r="RSX27" s="18"/>
      <c r="RSY27" s="17"/>
      <c r="RSZ27" s="17"/>
      <c r="RTA27" s="7"/>
      <c r="RTB27" s="7"/>
      <c r="RTC27" s="8"/>
      <c r="RTD27" s="8"/>
      <c r="RTE27" s="8"/>
      <c r="RTF27" s="8"/>
      <c r="RTG27" s="8"/>
      <c r="RTH27" s="8"/>
      <c r="RTI27" s="8"/>
      <c r="RTJ27" s="8"/>
      <c r="RTK27" s="8"/>
      <c r="RTL27" s="8"/>
      <c r="RTM27" s="8"/>
      <c r="RTN27" s="8"/>
      <c r="RTO27" s="8"/>
      <c r="RTP27" s="8"/>
      <c r="RTQ27" s="8"/>
      <c r="RTR27" s="8"/>
      <c r="RTS27" s="8"/>
      <c r="RTT27" s="8"/>
      <c r="RTU27" s="8"/>
      <c r="RTV27" s="8"/>
      <c r="RTW27" s="11"/>
      <c r="RTY27" s="11"/>
      <c r="RTZ27" s="11"/>
      <c r="RUA27" s="11"/>
      <c r="RUC27" s="11"/>
      <c r="RUD27" s="11"/>
      <c r="RUE27" s="11"/>
      <c r="RUG27" s="11"/>
      <c r="RUH27" s="11"/>
      <c r="RUI27" s="12"/>
      <c r="RUM27" s="11"/>
      <c r="RUN27" s="12"/>
      <c r="RUX27" s="15"/>
      <c r="RUY27" s="15"/>
      <c r="RUZ27" s="15"/>
      <c r="RVA27" s="15"/>
      <c r="RVB27" s="15"/>
      <c r="RVC27" s="15"/>
      <c r="RVD27" s="15"/>
      <c r="RVE27" s="15"/>
      <c r="RVF27" s="15"/>
      <c r="RVG27" s="15"/>
      <c r="RVH27" s="15"/>
      <c r="RVI27" s="15"/>
      <c r="RVJ27" s="15"/>
      <c r="RVK27" s="15"/>
      <c r="RVL27" s="15"/>
      <c r="RVM27" s="15"/>
      <c r="RVN27" s="15"/>
      <c r="RVO27" s="15"/>
      <c r="RVP27" s="15"/>
      <c r="RVQ27" s="15"/>
      <c r="RVR27" s="15"/>
      <c r="RVT27" s="11"/>
      <c r="RVU27" s="11"/>
      <c r="RVV27" s="11"/>
      <c r="RVW27" s="11"/>
      <c r="RVX27" s="11"/>
      <c r="RVY27" s="11"/>
      <c r="RVZ27" s="11"/>
      <c r="RWA27" s="11"/>
      <c r="RWB27" s="11"/>
      <c r="RWL27" s="2"/>
      <c r="RWM27" s="27"/>
      <c r="RWN27" s="31"/>
      <c r="RWO27" s="31"/>
      <c r="RWP27" s="32"/>
      <c r="RWQ27" s="32"/>
      <c r="RWR27" s="31"/>
      <c r="RWS27" s="31"/>
      <c r="RWT27" s="33"/>
      <c r="RWU27" s="34"/>
      <c r="RWV27" s="35"/>
      <c r="RWW27" s="36"/>
      <c r="RWX27" s="37"/>
      <c r="RWY27" s="23"/>
      <c r="RWZ27" s="23"/>
      <c r="RXA27" s="23"/>
      <c r="RXB27" s="23"/>
      <c r="RXC27" s="23"/>
      <c r="RXD27" s="24"/>
      <c r="RXE27" s="7"/>
      <c r="RXF27" s="7"/>
      <c r="RXG27" s="7"/>
      <c r="RXH27" s="7"/>
      <c r="RXI27" s="18"/>
      <c r="RXJ27" s="18"/>
      <c r="RXK27" s="17"/>
      <c r="RXL27" s="17"/>
      <c r="RXM27" s="7"/>
      <c r="RXN27" s="7"/>
      <c r="RXO27" s="8"/>
      <c r="RXP27" s="8"/>
      <c r="RXQ27" s="8"/>
      <c r="RXR27" s="8"/>
      <c r="RXS27" s="8"/>
      <c r="RXT27" s="8"/>
      <c r="RXU27" s="8"/>
      <c r="RXV27" s="8"/>
      <c r="RXW27" s="8"/>
      <c r="RXX27" s="8"/>
      <c r="RXY27" s="8"/>
      <c r="RXZ27" s="8"/>
      <c r="RYA27" s="8"/>
      <c r="RYB27" s="8"/>
      <c r="RYC27" s="8"/>
      <c r="RYD27" s="8"/>
      <c r="RYE27" s="8"/>
      <c r="RYF27" s="8"/>
      <c r="RYG27" s="8"/>
      <c r="RYH27" s="8"/>
      <c r="RYI27" s="11"/>
      <c r="RYK27" s="11"/>
      <c r="RYL27" s="11"/>
      <c r="RYM27" s="11"/>
      <c r="RYO27" s="11"/>
      <c r="RYP27" s="11"/>
      <c r="RYQ27" s="11"/>
      <c r="RYS27" s="11"/>
      <c r="RYT27" s="11"/>
      <c r="RYU27" s="12"/>
      <c r="RYY27" s="11"/>
      <c r="RYZ27" s="12"/>
      <c r="RZJ27" s="15"/>
      <c r="RZK27" s="15"/>
      <c r="RZL27" s="15"/>
      <c r="RZM27" s="15"/>
      <c r="RZN27" s="15"/>
      <c r="RZO27" s="15"/>
      <c r="RZP27" s="15"/>
      <c r="RZQ27" s="15"/>
      <c r="RZR27" s="15"/>
      <c r="RZS27" s="15"/>
      <c r="RZT27" s="15"/>
      <c r="RZU27" s="15"/>
      <c r="RZV27" s="15"/>
      <c r="RZW27" s="15"/>
      <c r="RZX27" s="15"/>
      <c r="RZY27" s="15"/>
      <c r="RZZ27" s="15"/>
      <c r="SAA27" s="15"/>
      <c r="SAB27" s="15"/>
      <c r="SAC27" s="15"/>
      <c r="SAD27" s="15"/>
      <c r="SAF27" s="11"/>
      <c r="SAG27" s="11"/>
      <c r="SAH27" s="11"/>
      <c r="SAI27" s="11"/>
      <c r="SAJ27" s="11"/>
      <c r="SAK27" s="11"/>
      <c r="SAL27" s="11"/>
      <c r="SAM27" s="11"/>
      <c r="SAN27" s="11"/>
      <c r="SAX27" s="2"/>
      <c r="SAY27" s="27"/>
      <c r="SAZ27" s="31"/>
      <c r="SBA27" s="31"/>
      <c r="SBB27" s="32"/>
      <c r="SBC27" s="32"/>
      <c r="SBD27" s="31"/>
      <c r="SBE27" s="31"/>
      <c r="SBF27" s="33"/>
      <c r="SBG27" s="34"/>
      <c r="SBH27" s="35"/>
      <c r="SBI27" s="36"/>
      <c r="SBJ27" s="37"/>
      <c r="SBK27" s="23"/>
      <c r="SBL27" s="23"/>
      <c r="SBM27" s="23"/>
      <c r="SBN27" s="23"/>
      <c r="SBO27" s="23"/>
      <c r="SBP27" s="24"/>
      <c r="SBQ27" s="7"/>
      <c r="SBR27" s="7"/>
      <c r="SBS27" s="7"/>
      <c r="SBT27" s="7"/>
      <c r="SBU27" s="18"/>
      <c r="SBV27" s="18"/>
      <c r="SBW27" s="17"/>
      <c r="SBX27" s="17"/>
      <c r="SBY27" s="7"/>
      <c r="SBZ27" s="7"/>
      <c r="SCA27" s="8"/>
      <c r="SCB27" s="8"/>
      <c r="SCC27" s="8"/>
      <c r="SCD27" s="8"/>
      <c r="SCE27" s="8"/>
      <c r="SCF27" s="8"/>
      <c r="SCG27" s="8"/>
      <c r="SCH27" s="8"/>
      <c r="SCI27" s="8"/>
      <c r="SCJ27" s="8"/>
      <c r="SCK27" s="8"/>
      <c r="SCL27" s="8"/>
      <c r="SCM27" s="8"/>
      <c r="SCN27" s="8"/>
      <c r="SCO27" s="8"/>
      <c r="SCP27" s="8"/>
      <c r="SCQ27" s="8"/>
      <c r="SCR27" s="8"/>
      <c r="SCS27" s="8"/>
      <c r="SCT27" s="8"/>
      <c r="SCU27" s="11"/>
      <c r="SCW27" s="11"/>
      <c r="SCX27" s="11"/>
      <c r="SCY27" s="11"/>
      <c r="SDA27" s="11"/>
      <c r="SDB27" s="11"/>
      <c r="SDC27" s="11"/>
      <c r="SDE27" s="11"/>
      <c r="SDF27" s="11"/>
      <c r="SDG27" s="12"/>
      <c r="SDK27" s="11"/>
      <c r="SDL27" s="12"/>
      <c r="SDV27" s="15"/>
      <c r="SDW27" s="15"/>
      <c r="SDX27" s="15"/>
      <c r="SDY27" s="15"/>
      <c r="SDZ27" s="15"/>
      <c r="SEA27" s="15"/>
      <c r="SEB27" s="15"/>
      <c r="SEC27" s="15"/>
      <c r="SED27" s="15"/>
      <c r="SEE27" s="15"/>
      <c r="SEF27" s="15"/>
      <c r="SEG27" s="15"/>
      <c r="SEH27" s="15"/>
      <c r="SEI27" s="15"/>
      <c r="SEJ27" s="15"/>
      <c r="SEK27" s="15"/>
      <c r="SEL27" s="15"/>
      <c r="SEM27" s="15"/>
      <c r="SEN27" s="15"/>
      <c r="SEO27" s="15"/>
      <c r="SEP27" s="15"/>
      <c r="SER27" s="11"/>
      <c r="SES27" s="11"/>
      <c r="SET27" s="11"/>
      <c r="SEU27" s="11"/>
      <c r="SEV27" s="11"/>
      <c r="SEW27" s="11"/>
      <c r="SEX27" s="11"/>
      <c r="SEY27" s="11"/>
      <c r="SEZ27" s="11"/>
      <c r="SFJ27" s="2"/>
      <c r="SFK27" s="27"/>
      <c r="SFL27" s="31"/>
      <c r="SFM27" s="31"/>
      <c r="SFN27" s="32"/>
      <c r="SFO27" s="32"/>
      <c r="SFP27" s="31"/>
      <c r="SFQ27" s="31"/>
      <c r="SFR27" s="33"/>
      <c r="SFS27" s="34"/>
      <c r="SFT27" s="35"/>
      <c r="SFU27" s="36"/>
      <c r="SFV27" s="37"/>
      <c r="SFW27" s="23"/>
      <c r="SFX27" s="23"/>
      <c r="SFY27" s="23"/>
      <c r="SFZ27" s="23"/>
      <c r="SGA27" s="23"/>
      <c r="SGB27" s="24"/>
      <c r="SGC27" s="7"/>
      <c r="SGD27" s="7"/>
      <c r="SGE27" s="7"/>
      <c r="SGF27" s="7"/>
      <c r="SGG27" s="18"/>
      <c r="SGH27" s="18"/>
      <c r="SGI27" s="17"/>
      <c r="SGJ27" s="17"/>
      <c r="SGK27" s="7"/>
      <c r="SGL27" s="7"/>
      <c r="SGM27" s="8"/>
      <c r="SGN27" s="8"/>
      <c r="SGO27" s="8"/>
      <c r="SGP27" s="8"/>
      <c r="SGQ27" s="8"/>
      <c r="SGR27" s="8"/>
      <c r="SGS27" s="8"/>
      <c r="SGT27" s="8"/>
      <c r="SGU27" s="8"/>
      <c r="SGV27" s="8"/>
      <c r="SGW27" s="8"/>
      <c r="SGX27" s="8"/>
      <c r="SGY27" s="8"/>
      <c r="SGZ27" s="8"/>
      <c r="SHA27" s="8"/>
      <c r="SHB27" s="8"/>
      <c r="SHC27" s="8"/>
      <c r="SHD27" s="8"/>
      <c r="SHE27" s="8"/>
      <c r="SHF27" s="8"/>
      <c r="SHG27" s="11"/>
      <c r="SHI27" s="11"/>
      <c r="SHJ27" s="11"/>
      <c r="SHK27" s="11"/>
      <c r="SHM27" s="11"/>
      <c r="SHN27" s="11"/>
      <c r="SHO27" s="11"/>
      <c r="SHQ27" s="11"/>
      <c r="SHR27" s="11"/>
      <c r="SHS27" s="12"/>
      <c r="SHW27" s="11"/>
      <c r="SHX27" s="12"/>
      <c r="SIH27" s="15"/>
      <c r="SII27" s="15"/>
      <c r="SIJ27" s="15"/>
      <c r="SIK27" s="15"/>
      <c r="SIL27" s="15"/>
      <c r="SIM27" s="15"/>
      <c r="SIN27" s="15"/>
      <c r="SIO27" s="15"/>
      <c r="SIP27" s="15"/>
      <c r="SIQ27" s="15"/>
      <c r="SIR27" s="15"/>
      <c r="SIS27" s="15"/>
      <c r="SIT27" s="15"/>
      <c r="SIU27" s="15"/>
      <c r="SIV27" s="15"/>
      <c r="SIW27" s="15"/>
      <c r="SIX27" s="15"/>
      <c r="SIY27" s="15"/>
      <c r="SIZ27" s="15"/>
      <c r="SJA27" s="15"/>
      <c r="SJB27" s="15"/>
      <c r="SJD27" s="11"/>
      <c r="SJE27" s="11"/>
      <c r="SJF27" s="11"/>
      <c r="SJG27" s="11"/>
      <c r="SJH27" s="11"/>
      <c r="SJI27" s="11"/>
      <c r="SJJ27" s="11"/>
      <c r="SJK27" s="11"/>
      <c r="SJL27" s="11"/>
      <c r="SJV27" s="2"/>
      <c r="SJW27" s="27"/>
      <c r="SJX27" s="31"/>
      <c r="SJY27" s="31"/>
      <c r="SJZ27" s="32"/>
      <c r="SKA27" s="32"/>
      <c r="SKB27" s="31"/>
      <c r="SKC27" s="31"/>
      <c r="SKD27" s="33"/>
      <c r="SKE27" s="34"/>
      <c r="SKF27" s="35"/>
      <c r="SKG27" s="36"/>
      <c r="SKH27" s="37"/>
      <c r="SKI27" s="23"/>
      <c r="SKJ27" s="23"/>
      <c r="SKK27" s="23"/>
      <c r="SKL27" s="23"/>
      <c r="SKM27" s="23"/>
      <c r="SKN27" s="24"/>
      <c r="SKO27" s="7"/>
      <c r="SKP27" s="7"/>
      <c r="SKQ27" s="7"/>
      <c r="SKR27" s="7"/>
      <c r="SKS27" s="18"/>
      <c r="SKT27" s="18"/>
      <c r="SKU27" s="17"/>
      <c r="SKV27" s="17"/>
      <c r="SKW27" s="7"/>
      <c r="SKX27" s="7"/>
      <c r="SKY27" s="8"/>
      <c r="SKZ27" s="8"/>
      <c r="SLA27" s="8"/>
      <c r="SLB27" s="8"/>
      <c r="SLC27" s="8"/>
      <c r="SLD27" s="8"/>
      <c r="SLE27" s="8"/>
      <c r="SLF27" s="8"/>
      <c r="SLG27" s="8"/>
      <c r="SLH27" s="8"/>
      <c r="SLI27" s="8"/>
      <c r="SLJ27" s="8"/>
      <c r="SLK27" s="8"/>
      <c r="SLL27" s="8"/>
      <c r="SLM27" s="8"/>
      <c r="SLN27" s="8"/>
      <c r="SLO27" s="8"/>
      <c r="SLP27" s="8"/>
      <c r="SLQ27" s="8"/>
      <c r="SLR27" s="8"/>
      <c r="SLS27" s="11"/>
      <c r="SLU27" s="11"/>
      <c r="SLV27" s="11"/>
      <c r="SLW27" s="11"/>
      <c r="SLY27" s="11"/>
      <c r="SLZ27" s="11"/>
      <c r="SMA27" s="11"/>
      <c r="SMC27" s="11"/>
      <c r="SMD27" s="11"/>
      <c r="SME27" s="12"/>
      <c r="SMI27" s="11"/>
      <c r="SMJ27" s="12"/>
      <c r="SMT27" s="15"/>
      <c r="SMU27" s="15"/>
      <c r="SMV27" s="15"/>
      <c r="SMW27" s="15"/>
      <c r="SMX27" s="15"/>
      <c r="SMY27" s="15"/>
      <c r="SMZ27" s="15"/>
      <c r="SNA27" s="15"/>
      <c r="SNB27" s="15"/>
      <c r="SNC27" s="15"/>
      <c r="SND27" s="15"/>
      <c r="SNE27" s="15"/>
      <c r="SNF27" s="15"/>
      <c r="SNG27" s="15"/>
      <c r="SNH27" s="15"/>
      <c r="SNI27" s="15"/>
      <c r="SNJ27" s="15"/>
      <c r="SNK27" s="15"/>
      <c r="SNL27" s="15"/>
      <c r="SNM27" s="15"/>
      <c r="SNN27" s="15"/>
      <c r="SNP27" s="11"/>
      <c r="SNQ27" s="11"/>
      <c r="SNR27" s="11"/>
      <c r="SNS27" s="11"/>
      <c r="SNT27" s="11"/>
      <c r="SNU27" s="11"/>
      <c r="SNV27" s="11"/>
      <c r="SNW27" s="11"/>
      <c r="SNX27" s="11"/>
      <c r="SOH27" s="2"/>
      <c r="SOI27" s="27"/>
      <c r="SOJ27" s="31"/>
      <c r="SOK27" s="31"/>
      <c r="SOL27" s="32"/>
      <c r="SOM27" s="32"/>
      <c r="SON27" s="31"/>
      <c r="SOO27" s="31"/>
      <c r="SOP27" s="33"/>
      <c r="SOQ27" s="34"/>
      <c r="SOR27" s="35"/>
      <c r="SOS27" s="36"/>
      <c r="SOT27" s="37"/>
      <c r="SOU27" s="23"/>
      <c r="SOV27" s="23"/>
      <c r="SOW27" s="23"/>
      <c r="SOX27" s="23"/>
      <c r="SOY27" s="23"/>
      <c r="SOZ27" s="24"/>
      <c r="SPA27" s="7"/>
      <c r="SPB27" s="7"/>
      <c r="SPC27" s="7"/>
      <c r="SPD27" s="7"/>
      <c r="SPE27" s="18"/>
      <c r="SPF27" s="18"/>
      <c r="SPG27" s="17"/>
      <c r="SPH27" s="17"/>
      <c r="SPI27" s="7"/>
      <c r="SPJ27" s="7"/>
      <c r="SPK27" s="8"/>
      <c r="SPL27" s="8"/>
      <c r="SPM27" s="8"/>
      <c r="SPN27" s="8"/>
      <c r="SPO27" s="8"/>
      <c r="SPP27" s="8"/>
      <c r="SPQ27" s="8"/>
      <c r="SPR27" s="8"/>
      <c r="SPS27" s="8"/>
      <c r="SPT27" s="8"/>
      <c r="SPU27" s="8"/>
      <c r="SPV27" s="8"/>
      <c r="SPW27" s="8"/>
      <c r="SPX27" s="8"/>
      <c r="SPY27" s="8"/>
      <c r="SPZ27" s="8"/>
      <c r="SQA27" s="8"/>
      <c r="SQB27" s="8"/>
      <c r="SQC27" s="8"/>
      <c r="SQD27" s="8"/>
      <c r="SQE27" s="11"/>
      <c r="SQG27" s="11"/>
      <c r="SQH27" s="11"/>
      <c r="SQI27" s="11"/>
      <c r="SQK27" s="11"/>
      <c r="SQL27" s="11"/>
      <c r="SQM27" s="11"/>
      <c r="SQO27" s="11"/>
      <c r="SQP27" s="11"/>
      <c r="SQQ27" s="12"/>
      <c r="SQU27" s="11"/>
      <c r="SQV27" s="12"/>
      <c r="SRF27" s="15"/>
      <c r="SRG27" s="15"/>
      <c r="SRH27" s="15"/>
      <c r="SRI27" s="15"/>
      <c r="SRJ27" s="15"/>
      <c r="SRK27" s="15"/>
      <c r="SRL27" s="15"/>
      <c r="SRM27" s="15"/>
      <c r="SRN27" s="15"/>
      <c r="SRO27" s="15"/>
      <c r="SRP27" s="15"/>
      <c r="SRQ27" s="15"/>
      <c r="SRR27" s="15"/>
      <c r="SRS27" s="15"/>
      <c r="SRT27" s="15"/>
      <c r="SRU27" s="15"/>
      <c r="SRV27" s="15"/>
      <c r="SRW27" s="15"/>
      <c r="SRX27" s="15"/>
      <c r="SRY27" s="15"/>
      <c r="SRZ27" s="15"/>
      <c r="SSB27" s="11"/>
      <c r="SSC27" s="11"/>
      <c r="SSD27" s="11"/>
      <c r="SSE27" s="11"/>
      <c r="SSF27" s="11"/>
      <c r="SSG27" s="11"/>
      <c r="SSH27" s="11"/>
      <c r="SSI27" s="11"/>
      <c r="SSJ27" s="11"/>
      <c r="SST27" s="2"/>
      <c r="SSU27" s="27"/>
      <c r="SSV27" s="31"/>
      <c r="SSW27" s="31"/>
      <c r="SSX27" s="32"/>
      <c r="SSY27" s="32"/>
      <c r="SSZ27" s="31"/>
      <c r="STA27" s="31"/>
      <c r="STB27" s="33"/>
      <c r="STC27" s="34"/>
      <c r="STD27" s="35"/>
      <c r="STE27" s="36"/>
      <c r="STF27" s="37"/>
      <c r="STG27" s="23"/>
      <c r="STH27" s="23"/>
      <c r="STI27" s="23"/>
      <c r="STJ27" s="23"/>
      <c r="STK27" s="23"/>
      <c r="STL27" s="24"/>
      <c r="STM27" s="7"/>
      <c r="STN27" s="7"/>
      <c r="STO27" s="7"/>
      <c r="STP27" s="7"/>
      <c r="STQ27" s="18"/>
      <c r="STR27" s="18"/>
      <c r="STS27" s="17"/>
      <c r="STT27" s="17"/>
      <c r="STU27" s="7"/>
      <c r="STV27" s="7"/>
      <c r="STW27" s="8"/>
      <c r="STX27" s="8"/>
      <c r="STY27" s="8"/>
      <c r="STZ27" s="8"/>
      <c r="SUA27" s="8"/>
      <c r="SUB27" s="8"/>
      <c r="SUC27" s="8"/>
      <c r="SUD27" s="8"/>
      <c r="SUE27" s="8"/>
      <c r="SUF27" s="8"/>
      <c r="SUG27" s="8"/>
      <c r="SUH27" s="8"/>
      <c r="SUI27" s="8"/>
      <c r="SUJ27" s="8"/>
      <c r="SUK27" s="8"/>
      <c r="SUL27" s="8"/>
      <c r="SUM27" s="8"/>
      <c r="SUN27" s="8"/>
      <c r="SUO27" s="8"/>
      <c r="SUP27" s="8"/>
      <c r="SUQ27" s="11"/>
      <c r="SUS27" s="11"/>
      <c r="SUT27" s="11"/>
      <c r="SUU27" s="11"/>
      <c r="SUW27" s="11"/>
      <c r="SUX27" s="11"/>
      <c r="SUY27" s="11"/>
      <c r="SVA27" s="11"/>
      <c r="SVB27" s="11"/>
      <c r="SVC27" s="12"/>
      <c r="SVG27" s="11"/>
      <c r="SVH27" s="12"/>
      <c r="SVR27" s="15"/>
      <c r="SVS27" s="15"/>
      <c r="SVT27" s="15"/>
      <c r="SVU27" s="15"/>
      <c r="SVV27" s="15"/>
      <c r="SVW27" s="15"/>
      <c r="SVX27" s="15"/>
      <c r="SVY27" s="15"/>
      <c r="SVZ27" s="15"/>
      <c r="SWA27" s="15"/>
      <c r="SWB27" s="15"/>
      <c r="SWC27" s="15"/>
      <c r="SWD27" s="15"/>
      <c r="SWE27" s="15"/>
      <c r="SWF27" s="15"/>
      <c r="SWG27" s="15"/>
      <c r="SWH27" s="15"/>
      <c r="SWI27" s="15"/>
      <c r="SWJ27" s="15"/>
      <c r="SWK27" s="15"/>
      <c r="SWL27" s="15"/>
      <c r="SWN27" s="11"/>
      <c r="SWO27" s="11"/>
      <c r="SWP27" s="11"/>
      <c r="SWQ27" s="11"/>
      <c r="SWR27" s="11"/>
      <c r="SWS27" s="11"/>
      <c r="SWT27" s="11"/>
      <c r="SWU27" s="11"/>
      <c r="SWV27" s="11"/>
      <c r="SXF27" s="2"/>
      <c r="SXG27" s="27"/>
      <c r="SXH27" s="31"/>
      <c r="SXI27" s="31"/>
      <c r="SXJ27" s="32"/>
      <c r="SXK27" s="32"/>
      <c r="SXL27" s="31"/>
      <c r="SXM27" s="31"/>
      <c r="SXN27" s="33"/>
      <c r="SXO27" s="34"/>
      <c r="SXP27" s="35"/>
      <c r="SXQ27" s="36"/>
      <c r="SXR27" s="37"/>
      <c r="SXS27" s="23"/>
      <c r="SXT27" s="23"/>
      <c r="SXU27" s="23"/>
      <c r="SXV27" s="23"/>
      <c r="SXW27" s="23"/>
      <c r="SXX27" s="24"/>
      <c r="SXY27" s="7"/>
      <c r="SXZ27" s="7"/>
      <c r="SYA27" s="7"/>
      <c r="SYB27" s="7"/>
      <c r="SYC27" s="18"/>
      <c r="SYD27" s="18"/>
      <c r="SYE27" s="17"/>
      <c r="SYF27" s="17"/>
      <c r="SYG27" s="7"/>
      <c r="SYH27" s="7"/>
      <c r="SYI27" s="8"/>
      <c r="SYJ27" s="8"/>
      <c r="SYK27" s="8"/>
      <c r="SYL27" s="8"/>
      <c r="SYM27" s="8"/>
      <c r="SYN27" s="8"/>
      <c r="SYO27" s="8"/>
      <c r="SYP27" s="8"/>
      <c r="SYQ27" s="8"/>
      <c r="SYR27" s="8"/>
      <c r="SYS27" s="8"/>
      <c r="SYT27" s="8"/>
      <c r="SYU27" s="8"/>
      <c r="SYV27" s="8"/>
      <c r="SYW27" s="8"/>
      <c r="SYX27" s="8"/>
      <c r="SYY27" s="8"/>
      <c r="SYZ27" s="8"/>
      <c r="SZA27" s="8"/>
      <c r="SZB27" s="8"/>
      <c r="SZC27" s="11"/>
      <c r="SZE27" s="11"/>
      <c r="SZF27" s="11"/>
      <c r="SZG27" s="11"/>
      <c r="SZI27" s="11"/>
      <c r="SZJ27" s="11"/>
      <c r="SZK27" s="11"/>
      <c r="SZM27" s="11"/>
      <c r="SZN27" s="11"/>
      <c r="SZO27" s="12"/>
      <c r="SZS27" s="11"/>
      <c r="SZT27" s="12"/>
      <c r="TAD27" s="15"/>
      <c r="TAE27" s="15"/>
      <c r="TAF27" s="15"/>
      <c r="TAG27" s="15"/>
      <c r="TAH27" s="15"/>
      <c r="TAI27" s="15"/>
      <c r="TAJ27" s="15"/>
      <c r="TAK27" s="15"/>
      <c r="TAL27" s="15"/>
      <c r="TAM27" s="15"/>
      <c r="TAN27" s="15"/>
      <c r="TAO27" s="15"/>
      <c r="TAP27" s="15"/>
      <c r="TAQ27" s="15"/>
      <c r="TAR27" s="15"/>
      <c r="TAS27" s="15"/>
      <c r="TAT27" s="15"/>
      <c r="TAU27" s="15"/>
      <c r="TAV27" s="15"/>
      <c r="TAW27" s="15"/>
      <c r="TAX27" s="15"/>
      <c r="TAZ27" s="11"/>
      <c r="TBA27" s="11"/>
      <c r="TBB27" s="11"/>
      <c r="TBC27" s="11"/>
      <c r="TBD27" s="11"/>
      <c r="TBE27" s="11"/>
      <c r="TBF27" s="11"/>
      <c r="TBG27" s="11"/>
      <c r="TBH27" s="11"/>
      <c r="TBR27" s="2"/>
      <c r="TBS27" s="27"/>
      <c r="TBT27" s="31"/>
      <c r="TBU27" s="31"/>
      <c r="TBV27" s="32"/>
      <c r="TBW27" s="32"/>
      <c r="TBX27" s="31"/>
      <c r="TBY27" s="31"/>
      <c r="TBZ27" s="33"/>
      <c r="TCA27" s="34"/>
      <c r="TCB27" s="35"/>
      <c r="TCC27" s="36"/>
      <c r="TCD27" s="37"/>
      <c r="TCE27" s="23"/>
      <c r="TCF27" s="23"/>
      <c r="TCG27" s="23"/>
      <c r="TCH27" s="23"/>
      <c r="TCI27" s="23"/>
      <c r="TCJ27" s="24"/>
      <c r="TCK27" s="7"/>
      <c r="TCL27" s="7"/>
      <c r="TCM27" s="7"/>
      <c r="TCN27" s="7"/>
      <c r="TCO27" s="18"/>
      <c r="TCP27" s="18"/>
      <c r="TCQ27" s="17"/>
      <c r="TCR27" s="17"/>
      <c r="TCS27" s="7"/>
      <c r="TCT27" s="7"/>
      <c r="TCU27" s="8"/>
      <c r="TCV27" s="8"/>
      <c r="TCW27" s="8"/>
      <c r="TCX27" s="8"/>
      <c r="TCY27" s="8"/>
      <c r="TCZ27" s="8"/>
      <c r="TDA27" s="8"/>
      <c r="TDB27" s="8"/>
      <c r="TDC27" s="8"/>
      <c r="TDD27" s="8"/>
      <c r="TDE27" s="8"/>
      <c r="TDF27" s="8"/>
      <c r="TDG27" s="8"/>
      <c r="TDH27" s="8"/>
      <c r="TDI27" s="8"/>
      <c r="TDJ27" s="8"/>
      <c r="TDK27" s="8"/>
      <c r="TDL27" s="8"/>
      <c r="TDM27" s="8"/>
      <c r="TDN27" s="8"/>
      <c r="TDO27" s="11"/>
      <c r="TDQ27" s="11"/>
      <c r="TDR27" s="11"/>
      <c r="TDS27" s="11"/>
      <c r="TDU27" s="11"/>
      <c r="TDV27" s="11"/>
      <c r="TDW27" s="11"/>
      <c r="TDY27" s="11"/>
      <c r="TDZ27" s="11"/>
      <c r="TEA27" s="12"/>
      <c r="TEE27" s="11"/>
      <c r="TEF27" s="12"/>
      <c r="TEP27" s="15"/>
      <c r="TEQ27" s="15"/>
      <c r="TER27" s="15"/>
      <c r="TES27" s="15"/>
      <c r="TET27" s="15"/>
      <c r="TEU27" s="15"/>
      <c r="TEV27" s="15"/>
      <c r="TEW27" s="15"/>
      <c r="TEX27" s="15"/>
      <c r="TEY27" s="15"/>
      <c r="TEZ27" s="15"/>
      <c r="TFA27" s="15"/>
      <c r="TFB27" s="15"/>
      <c r="TFC27" s="15"/>
      <c r="TFD27" s="15"/>
      <c r="TFE27" s="15"/>
      <c r="TFF27" s="15"/>
      <c r="TFG27" s="15"/>
      <c r="TFH27" s="15"/>
      <c r="TFI27" s="15"/>
      <c r="TFJ27" s="15"/>
      <c r="TFL27" s="11"/>
      <c r="TFM27" s="11"/>
      <c r="TFN27" s="11"/>
      <c r="TFO27" s="11"/>
      <c r="TFP27" s="11"/>
      <c r="TFQ27" s="11"/>
      <c r="TFR27" s="11"/>
      <c r="TFS27" s="11"/>
      <c r="TFT27" s="11"/>
      <c r="TGD27" s="2"/>
      <c r="TGE27" s="27"/>
      <c r="TGF27" s="31"/>
      <c r="TGG27" s="31"/>
      <c r="TGH27" s="32"/>
      <c r="TGI27" s="32"/>
      <c r="TGJ27" s="31"/>
      <c r="TGK27" s="31"/>
      <c r="TGL27" s="33"/>
      <c r="TGM27" s="34"/>
      <c r="TGN27" s="35"/>
      <c r="TGO27" s="36"/>
      <c r="TGP27" s="37"/>
      <c r="TGQ27" s="23"/>
      <c r="TGR27" s="23"/>
      <c r="TGS27" s="23"/>
      <c r="TGT27" s="23"/>
      <c r="TGU27" s="23"/>
      <c r="TGV27" s="24"/>
      <c r="TGW27" s="7"/>
      <c r="TGX27" s="7"/>
      <c r="TGY27" s="7"/>
      <c r="TGZ27" s="7"/>
      <c r="THA27" s="18"/>
      <c r="THB27" s="18"/>
      <c r="THC27" s="17"/>
      <c r="THD27" s="17"/>
      <c r="THE27" s="7"/>
      <c r="THF27" s="7"/>
      <c r="THG27" s="8"/>
      <c r="THH27" s="8"/>
      <c r="THI27" s="8"/>
      <c r="THJ27" s="8"/>
      <c r="THK27" s="8"/>
      <c r="THL27" s="8"/>
      <c r="THM27" s="8"/>
      <c r="THN27" s="8"/>
      <c r="THO27" s="8"/>
      <c r="THP27" s="8"/>
      <c r="THQ27" s="8"/>
      <c r="THR27" s="8"/>
      <c r="THS27" s="8"/>
      <c r="THT27" s="8"/>
      <c r="THU27" s="8"/>
      <c r="THV27" s="8"/>
      <c r="THW27" s="8"/>
      <c r="THX27" s="8"/>
      <c r="THY27" s="8"/>
      <c r="THZ27" s="8"/>
      <c r="TIA27" s="11"/>
      <c r="TIC27" s="11"/>
      <c r="TID27" s="11"/>
      <c r="TIE27" s="11"/>
      <c r="TIG27" s="11"/>
      <c r="TIH27" s="11"/>
      <c r="TII27" s="11"/>
      <c r="TIK27" s="11"/>
      <c r="TIL27" s="11"/>
      <c r="TIM27" s="12"/>
      <c r="TIQ27" s="11"/>
      <c r="TIR27" s="12"/>
      <c r="TJB27" s="15"/>
      <c r="TJC27" s="15"/>
      <c r="TJD27" s="15"/>
      <c r="TJE27" s="15"/>
      <c r="TJF27" s="15"/>
      <c r="TJG27" s="15"/>
      <c r="TJH27" s="15"/>
      <c r="TJI27" s="15"/>
      <c r="TJJ27" s="15"/>
      <c r="TJK27" s="15"/>
      <c r="TJL27" s="15"/>
      <c r="TJM27" s="15"/>
      <c r="TJN27" s="15"/>
      <c r="TJO27" s="15"/>
      <c r="TJP27" s="15"/>
      <c r="TJQ27" s="15"/>
      <c r="TJR27" s="15"/>
      <c r="TJS27" s="15"/>
      <c r="TJT27" s="15"/>
      <c r="TJU27" s="15"/>
      <c r="TJV27" s="15"/>
      <c r="TJX27" s="11"/>
      <c r="TJY27" s="11"/>
      <c r="TJZ27" s="11"/>
      <c r="TKA27" s="11"/>
      <c r="TKB27" s="11"/>
      <c r="TKC27" s="11"/>
      <c r="TKD27" s="11"/>
      <c r="TKE27" s="11"/>
      <c r="TKF27" s="11"/>
      <c r="TKP27" s="2"/>
      <c r="TKQ27" s="27"/>
      <c r="TKR27" s="31"/>
      <c r="TKS27" s="31"/>
      <c r="TKT27" s="32"/>
      <c r="TKU27" s="32"/>
      <c r="TKV27" s="31"/>
      <c r="TKW27" s="31"/>
      <c r="TKX27" s="33"/>
      <c r="TKY27" s="34"/>
      <c r="TKZ27" s="35"/>
      <c r="TLA27" s="36"/>
      <c r="TLB27" s="37"/>
      <c r="TLC27" s="23"/>
      <c r="TLD27" s="23"/>
      <c r="TLE27" s="23"/>
      <c r="TLF27" s="23"/>
      <c r="TLG27" s="23"/>
      <c r="TLH27" s="24"/>
      <c r="TLI27" s="7"/>
      <c r="TLJ27" s="7"/>
      <c r="TLK27" s="7"/>
      <c r="TLL27" s="7"/>
      <c r="TLM27" s="18"/>
      <c r="TLN27" s="18"/>
      <c r="TLO27" s="17"/>
      <c r="TLP27" s="17"/>
      <c r="TLQ27" s="7"/>
      <c r="TLR27" s="7"/>
      <c r="TLS27" s="8"/>
      <c r="TLT27" s="8"/>
      <c r="TLU27" s="8"/>
      <c r="TLV27" s="8"/>
      <c r="TLW27" s="8"/>
      <c r="TLX27" s="8"/>
      <c r="TLY27" s="8"/>
      <c r="TLZ27" s="8"/>
      <c r="TMA27" s="8"/>
      <c r="TMB27" s="8"/>
      <c r="TMC27" s="8"/>
      <c r="TMD27" s="8"/>
      <c r="TME27" s="8"/>
      <c r="TMF27" s="8"/>
      <c r="TMG27" s="8"/>
      <c r="TMH27" s="8"/>
      <c r="TMI27" s="8"/>
      <c r="TMJ27" s="8"/>
      <c r="TMK27" s="8"/>
      <c r="TML27" s="8"/>
      <c r="TMM27" s="11"/>
      <c r="TMO27" s="11"/>
      <c r="TMP27" s="11"/>
      <c r="TMQ27" s="11"/>
      <c r="TMS27" s="11"/>
      <c r="TMT27" s="11"/>
      <c r="TMU27" s="11"/>
      <c r="TMW27" s="11"/>
      <c r="TMX27" s="11"/>
      <c r="TMY27" s="12"/>
      <c r="TNC27" s="11"/>
      <c r="TND27" s="12"/>
      <c r="TNN27" s="15"/>
      <c r="TNO27" s="15"/>
      <c r="TNP27" s="15"/>
      <c r="TNQ27" s="15"/>
      <c r="TNR27" s="15"/>
      <c r="TNS27" s="15"/>
      <c r="TNT27" s="15"/>
      <c r="TNU27" s="15"/>
      <c r="TNV27" s="15"/>
      <c r="TNW27" s="15"/>
      <c r="TNX27" s="15"/>
      <c r="TNY27" s="15"/>
      <c r="TNZ27" s="15"/>
      <c r="TOA27" s="15"/>
      <c r="TOB27" s="15"/>
      <c r="TOC27" s="15"/>
      <c r="TOD27" s="15"/>
      <c r="TOE27" s="15"/>
      <c r="TOF27" s="15"/>
      <c r="TOG27" s="15"/>
      <c r="TOH27" s="15"/>
      <c r="TOJ27" s="11"/>
      <c r="TOK27" s="11"/>
      <c r="TOL27" s="11"/>
      <c r="TOM27" s="11"/>
      <c r="TON27" s="11"/>
      <c r="TOO27" s="11"/>
      <c r="TOP27" s="11"/>
      <c r="TOQ27" s="11"/>
      <c r="TOR27" s="11"/>
      <c r="TPB27" s="2"/>
      <c r="TPC27" s="27"/>
      <c r="TPD27" s="31"/>
      <c r="TPE27" s="31"/>
      <c r="TPF27" s="32"/>
      <c r="TPG27" s="32"/>
      <c r="TPH27" s="31"/>
      <c r="TPI27" s="31"/>
      <c r="TPJ27" s="33"/>
      <c r="TPK27" s="34"/>
      <c r="TPL27" s="35"/>
      <c r="TPM27" s="36"/>
      <c r="TPN27" s="37"/>
      <c r="TPO27" s="23"/>
      <c r="TPP27" s="23"/>
      <c r="TPQ27" s="23"/>
      <c r="TPR27" s="23"/>
      <c r="TPS27" s="23"/>
      <c r="TPT27" s="24"/>
      <c r="TPU27" s="7"/>
      <c r="TPV27" s="7"/>
      <c r="TPW27" s="7"/>
      <c r="TPX27" s="7"/>
      <c r="TPY27" s="18"/>
      <c r="TPZ27" s="18"/>
      <c r="TQA27" s="17"/>
      <c r="TQB27" s="17"/>
      <c r="TQC27" s="7"/>
      <c r="TQD27" s="7"/>
      <c r="TQE27" s="8"/>
      <c r="TQF27" s="8"/>
      <c r="TQG27" s="8"/>
      <c r="TQH27" s="8"/>
      <c r="TQI27" s="8"/>
      <c r="TQJ27" s="8"/>
      <c r="TQK27" s="8"/>
      <c r="TQL27" s="8"/>
      <c r="TQM27" s="8"/>
      <c r="TQN27" s="8"/>
      <c r="TQO27" s="8"/>
      <c r="TQP27" s="8"/>
      <c r="TQQ27" s="8"/>
      <c r="TQR27" s="8"/>
      <c r="TQS27" s="8"/>
      <c r="TQT27" s="8"/>
      <c r="TQU27" s="8"/>
      <c r="TQV27" s="8"/>
      <c r="TQW27" s="8"/>
      <c r="TQX27" s="8"/>
      <c r="TQY27" s="11"/>
      <c r="TRA27" s="11"/>
      <c r="TRB27" s="11"/>
      <c r="TRC27" s="11"/>
      <c r="TRE27" s="11"/>
      <c r="TRF27" s="11"/>
      <c r="TRG27" s="11"/>
      <c r="TRI27" s="11"/>
      <c r="TRJ27" s="11"/>
      <c r="TRK27" s="12"/>
      <c r="TRO27" s="11"/>
      <c r="TRP27" s="12"/>
      <c r="TRZ27" s="15"/>
      <c r="TSA27" s="15"/>
      <c r="TSB27" s="15"/>
      <c r="TSC27" s="15"/>
      <c r="TSD27" s="15"/>
      <c r="TSE27" s="15"/>
      <c r="TSF27" s="15"/>
      <c r="TSG27" s="15"/>
      <c r="TSH27" s="15"/>
      <c r="TSI27" s="15"/>
      <c r="TSJ27" s="15"/>
      <c r="TSK27" s="15"/>
      <c r="TSL27" s="15"/>
      <c r="TSM27" s="15"/>
      <c r="TSN27" s="15"/>
      <c r="TSO27" s="15"/>
      <c r="TSP27" s="15"/>
      <c r="TSQ27" s="15"/>
      <c r="TSR27" s="15"/>
      <c r="TSS27" s="15"/>
      <c r="TST27" s="15"/>
      <c r="TSV27" s="11"/>
      <c r="TSW27" s="11"/>
      <c r="TSX27" s="11"/>
      <c r="TSY27" s="11"/>
      <c r="TSZ27" s="11"/>
      <c r="TTA27" s="11"/>
      <c r="TTB27" s="11"/>
      <c r="TTC27" s="11"/>
      <c r="TTD27" s="11"/>
      <c r="TTN27" s="2"/>
      <c r="TTO27" s="27"/>
      <c r="TTP27" s="31"/>
      <c r="TTQ27" s="31"/>
      <c r="TTR27" s="32"/>
      <c r="TTS27" s="32"/>
      <c r="TTT27" s="31"/>
      <c r="TTU27" s="31"/>
      <c r="TTV27" s="33"/>
      <c r="TTW27" s="34"/>
      <c r="TTX27" s="35"/>
      <c r="TTY27" s="36"/>
      <c r="TTZ27" s="37"/>
      <c r="TUA27" s="23"/>
      <c r="TUB27" s="23"/>
      <c r="TUC27" s="23"/>
      <c r="TUD27" s="23"/>
      <c r="TUE27" s="23"/>
      <c r="TUF27" s="24"/>
      <c r="TUG27" s="7"/>
      <c r="TUH27" s="7"/>
      <c r="TUI27" s="7"/>
      <c r="TUJ27" s="7"/>
      <c r="TUK27" s="18"/>
      <c r="TUL27" s="18"/>
      <c r="TUM27" s="17"/>
      <c r="TUN27" s="17"/>
      <c r="TUO27" s="7"/>
      <c r="TUP27" s="7"/>
      <c r="TUQ27" s="8"/>
      <c r="TUR27" s="8"/>
      <c r="TUS27" s="8"/>
      <c r="TUT27" s="8"/>
      <c r="TUU27" s="8"/>
      <c r="TUV27" s="8"/>
      <c r="TUW27" s="8"/>
      <c r="TUX27" s="8"/>
      <c r="TUY27" s="8"/>
      <c r="TUZ27" s="8"/>
      <c r="TVA27" s="8"/>
      <c r="TVB27" s="8"/>
      <c r="TVC27" s="8"/>
      <c r="TVD27" s="8"/>
      <c r="TVE27" s="8"/>
      <c r="TVF27" s="8"/>
      <c r="TVG27" s="8"/>
      <c r="TVH27" s="8"/>
      <c r="TVI27" s="8"/>
      <c r="TVJ27" s="8"/>
      <c r="TVK27" s="11"/>
      <c r="TVM27" s="11"/>
      <c r="TVN27" s="11"/>
      <c r="TVO27" s="11"/>
      <c r="TVQ27" s="11"/>
      <c r="TVR27" s="11"/>
      <c r="TVS27" s="11"/>
      <c r="TVU27" s="11"/>
      <c r="TVV27" s="11"/>
      <c r="TVW27" s="12"/>
      <c r="TWA27" s="11"/>
      <c r="TWB27" s="12"/>
      <c r="TWL27" s="15"/>
      <c r="TWM27" s="15"/>
      <c r="TWN27" s="15"/>
      <c r="TWO27" s="15"/>
      <c r="TWP27" s="15"/>
      <c r="TWQ27" s="15"/>
      <c r="TWR27" s="15"/>
      <c r="TWS27" s="15"/>
      <c r="TWT27" s="15"/>
      <c r="TWU27" s="15"/>
      <c r="TWV27" s="15"/>
      <c r="TWW27" s="15"/>
      <c r="TWX27" s="15"/>
      <c r="TWY27" s="15"/>
      <c r="TWZ27" s="15"/>
      <c r="TXA27" s="15"/>
      <c r="TXB27" s="15"/>
      <c r="TXC27" s="15"/>
      <c r="TXD27" s="15"/>
      <c r="TXE27" s="15"/>
      <c r="TXF27" s="15"/>
      <c r="TXH27" s="11"/>
      <c r="TXI27" s="11"/>
      <c r="TXJ27" s="11"/>
      <c r="TXK27" s="11"/>
      <c r="TXL27" s="11"/>
      <c r="TXM27" s="11"/>
      <c r="TXN27" s="11"/>
      <c r="TXO27" s="11"/>
      <c r="TXP27" s="11"/>
      <c r="TXZ27" s="2"/>
      <c r="TYA27" s="27"/>
      <c r="TYB27" s="31"/>
      <c r="TYC27" s="31"/>
      <c r="TYD27" s="32"/>
      <c r="TYE27" s="32"/>
      <c r="TYF27" s="31"/>
      <c r="TYG27" s="31"/>
      <c r="TYH27" s="33"/>
      <c r="TYI27" s="34"/>
      <c r="TYJ27" s="35"/>
      <c r="TYK27" s="36"/>
      <c r="TYL27" s="37"/>
      <c r="TYM27" s="23"/>
      <c r="TYN27" s="23"/>
      <c r="TYO27" s="23"/>
      <c r="TYP27" s="23"/>
      <c r="TYQ27" s="23"/>
      <c r="TYR27" s="24"/>
      <c r="TYS27" s="7"/>
      <c r="TYT27" s="7"/>
      <c r="TYU27" s="7"/>
      <c r="TYV27" s="7"/>
      <c r="TYW27" s="18"/>
      <c r="TYX27" s="18"/>
      <c r="TYY27" s="17"/>
      <c r="TYZ27" s="17"/>
      <c r="TZA27" s="7"/>
      <c r="TZB27" s="7"/>
      <c r="TZC27" s="8"/>
      <c r="TZD27" s="8"/>
      <c r="TZE27" s="8"/>
      <c r="TZF27" s="8"/>
      <c r="TZG27" s="8"/>
      <c r="TZH27" s="8"/>
      <c r="TZI27" s="8"/>
      <c r="TZJ27" s="8"/>
      <c r="TZK27" s="8"/>
      <c r="TZL27" s="8"/>
      <c r="TZM27" s="8"/>
      <c r="TZN27" s="8"/>
      <c r="TZO27" s="8"/>
      <c r="TZP27" s="8"/>
      <c r="TZQ27" s="8"/>
      <c r="TZR27" s="8"/>
      <c r="TZS27" s="8"/>
      <c r="TZT27" s="8"/>
      <c r="TZU27" s="8"/>
      <c r="TZV27" s="8"/>
      <c r="TZW27" s="11"/>
      <c r="TZY27" s="11"/>
      <c r="TZZ27" s="11"/>
      <c r="UAA27" s="11"/>
      <c r="UAC27" s="11"/>
      <c r="UAD27" s="11"/>
      <c r="UAE27" s="11"/>
      <c r="UAG27" s="11"/>
      <c r="UAH27" s="11"/>
      <c r="UAI27" s="12"/>
      <c r="UAM27" s="11"/>
      <c r="UAN27" s="12"/>
      <c r="UAX27" s="15"/>
      <c r="UAY27" s="15"/>
      <c r="UAZ27" s="15"/>
      <c r="UBA27" s="15"/>
      <c r="UBB27" s="15"/>
      <c r="UBC27" s="15"/>
      <c r="UBD27" s="15"/>
      <c r="UBE27" s="15"/>
      <c r="UBF27" s="15"/>
      <c r="UBG27" s="15"/>
      <c r="UBH27" s="15"/>
      <c r="UBI27" s="15"/>
      <c r="UBJ27" s="15"/>
      <c r="UBK27" s="15"/>
      <c r="UBL27" s="15"/>
      <c r="UBM27" s="15"/>
      <c r="UBN27" s="15"/>
      <c r="UBO27" s="15"/>
      <c r="UBP27" s="15"/>
      <c r="UBQ27" s="15"/>
      <c r="UBR27" s="15"/>
      <c r="UBT27" s="11"/>
      <c r="UBU27" s="11"/>
      <c r="UBV27" s="11"/>
      <c r="UBW27" s="11"/>
      <c r="UBX27" s="11"/>
      <c r="UBY27" s="11"/>
      <c r="UBZ27" s="11"/>
      <c r="UCA27" s="11"/>
      <c r="UCB27" s="11"/>
      <c r="UCL27" s="2"/>
      <c r="UCM27" s="27"/>
      <c r="UCN27" s="31"/>
      <c r="UCO27" s="31"/>
      <c r="UCP27" s="32"/>
      <c r="UCQ27" s="32"/>
      <c r="UCR27" s="31"/>
      <c r="UCS27" s="31"/>
      <c r="UCT27" s="33"/>
      <c r="UCU27" s="34"/>
      <c r="UCV27" s="35"/>
      <c r="UCW27" s="36"/>
      <c r="UCX27" s="37"/>
      <c r="UCY27" s="23"/>
      <c r="UCZ27" s="23"/>
      <c r="UDA27" s="23"/>
      <c r="UDB27" s="23"/>
      <c r="UDC27" s="23"/>
      <c r="UDD27" s="24"/>
      <c r="UDE27" s="7"/>
      <c r="UDF27" s="7"/>
      <c r="UDG27" s="7"/>
      <c r="UDH27" s="7"/>
      <c r="UDI27" s="18"/>
      <c r="UDJ27" s="18"/>
      <c r="UDK27" s="17"/>
      <c r="UDL27" s="17"/>
      <c r="UDM27" s="7"/>
      <c r="UDN27" s="7"/>
      <c r="UDO27" s="8"/>
      <c r="UDP27" s="8"/>
      <c r="UDQ27" s="8"/>
      <c r="UDR27" s="8"/>
      <c r="UDS27" s="8"/>
      <c r="UDT27" s="8"/>
      <c r="UDU27" s="8"/>
      <c r="UDV27" s="8"/>
      <c r="UDW27" s="8"/>
      <c r="UDX27" s="8"/>
      <c r="UDY27" s="8"/>
      <c r="UDZ27" s="8"/>
      <c r="UEA27" s="8"/>
      <c r="UEB27" s="8"/>
      <c r="UEC27" s="8"/>
      <c r="UED27" s="8"/>
      <c r="UEE27" s="8"/>
      <c r="UEF27" s="8"/>
      <c r="UEG27" s="8"/>
      <c r="UEH27" s="8"/>
      <c r="UEI27" s="11"/>
      <c r="UEK27" s="11"/>
      <c r="UEL27" s="11"/>
      <c r="UEM27" s="11"/>
      <c r="UEO27" s="11"/>
      <c r="UEP27" s="11"/>
      <c r="UEQ27" s="11"/>
      <c r="UES27" s="11"/>
      <c r="UET27" s="11"/>
      <c r="UEU27" s="12"/>
      <c r="UEY27" s="11"/>
      <c r="UEZ27" s="12"/>
      <c r="UFJ27" s="15"/>
      <c r="UFK27" s="15"/>
      <c r="UFL27" s="15"/>
      <c r="UFM27" s="15"/>
      <c r="UFN27" s="15"/>
      <c r="UFO27" s="15"/>
      <c r="UFP27" s="15"/>
      <c r="UFQ27" s="15"/>
      <c r="UFR27" s="15"/>
      <c r="UFS27" s="15"/>
      <c r="UFT27" s="15"/>
      <c r="UFU27" s="15"/>
      <c r="UFV27" s="15"/>
      <c r="UFW27" s="15"/>
      <c r="UFX27" s="15"/>
      <c r="UFY27" s="15"/>
      <c r="UFZ27" s="15"/>
      <c r="UGA27" s="15"/>
      <c r="UGB27" s="15"/>
      <c r="UGC27" s="15"/>
      <c r="UGD27" s="15"/>
      <c r="UGF27" s="11"/>
      <c r="UGG27" s="11"/>
      <c r="UGH27" s="11"/>
      <c r="UGI27" s="11"/>
      <c r="UGJ27" s="11"/>
      <c r="UGK27" s="11"/>
      <c r="UGL27" s="11"/>
      <c r="UGM27" s="11"/>
      <c r="UGN27" s="11"/>
      <c r="UGX27" s="2"/>
      <c r="UGY27" s="27"/>
      <c r="UGZ27" s="31"/>
      <c r="UHA27" s="31"/>
      <c r="UHB27" s="32"/>
      <c r="UHC27" s="32"/>
      <c r="UHD27" s="31"/>
      <c r="UHE27" s="31"/>
      <c r="UHF27" s="33"/>
      <c r="UHG27" s="34"/>
      <c r="UHH27" s="35"/>
      <c r="UHI27" s="36"/>
      <c r="UHJ27" s="37"/>
      <c r="UHK27" s="23"/>
      <c r="UHL27" s="23"/>
      <c r="UHM27" s="23"/>
      <c r="UHN27" s="23"/>
      <c r="UHO27" s="23"/>
      <c r="UHP27" s="24"/>
      <c r="UHQ27" s="7"/>
      <c r="UHR27" s="7"/>
      <c r="UHS27" s="7"/>
      <c r="UHT27" s="7"/>
      <c r="UHU27" s="18"/>
      <c r="UHV27" s="18"/>
      <c r="UHW27" s="17"/>
      <c r="UHX27" s="17"/>
      <c r="UHY27" s="7"/>
      <c r="UHZ27" s="7"/>
      <c r="UIA27" s="8"/>
      <c r="UIB27" s="8"/>
      <c r="UIC27" s="8"/>
      <c r="UID27" s="8"/>
      <c r="UIE27" s="8"/>
      <c r="UIF27" s="8"/>
      <c r="UIG27" s="8"/>
      <c r="UIH27" s="8"/>
      <c r="UII27" s="8"/>
      <c r="UIJ27" s="8"/>
      <c r="UIK27" s="8"/>
      <c r="UIL27" s="8"/>
      <c r="UIM27" s="8"/>
      <c r="UIN27" s="8"/>
      <c r="UIO27" s="8"/>
      <c r="UIP27" s="8"/>
      <c r="UIQ27" s="8"/>
      <c r="UIR27" s="8"/>
      <c r="UIS27" s="8"/>
      <c r="UIT27" s="8"/>
      <c r="UIU27" s="11"/>
      <c r="UIW27" s="11"/>
      <c r="UIX27" s="11"/>
      <c r="UIY27" s="11"/>
      <c r="UJA27" s="11"/>
      <c r="UJB27" s="11"/>
      <c r="UJC27" s="11"/>
      <c r="UJE27" s="11"/>
      <c r="UJF27" s="11"/>
      <c r="UJG27" s="12"/>
      <c r="UJK27" s="11"/>
      <c r="UJL27" s="12"/>
      <c r="UJV27" s="15"/>
      <c r="UJW27" s="15"/>
      <c r="UJX27" s="15"/>
      <c r="UJY27" s="15"/>
      <c r="UJZ27" s="15"/>
      <c r="UKA27" s="15"/>
      <c r="UKB27" s="15"/>
      <c r="UKC27" s="15"/>
      <c r="UKD27" s="15"/>
      <c r="UKE27" s="15"/>
      <c r="UKF27" s="15"/>
      <c r="UKG27" s="15"/>
      <c r="UKH27" s="15"/>
      <c r="UKI27" s="15"/>
      <c r="UKJ27" s="15"/>
      <c r="UKK27" s="15"/>
      <c r="UKL27" s="15"/>
      <c r="UKM27" s="15"/>
      <c r="UKN27" s="15"/>
      <c r="UKO27" s="15"/>
      <c r="UKP27" s="15"/>
      <c r="UKR27" s="11"/>
      <c r="UKS27" s="11"/>
      <c r="UKT27" s="11"/>
      <c r="UKU27" s="11"/>
      <c r="UKV27" s="11"/>
      <c r="UKW27" s="11"/>
      <c r="UKX27" s="11"/>
      <c r="UKY27" s="11"/>
      <c r="UKZ27" s="11"/>
      <c r="ULJ27" s="2"/>
      <c r="ULK27" s="27"/>
      <c r="ULL27" s="31"/>
      <c r="ULM27" s="31"/>
      <c r="ULN27" s="32"/>
      <c r="ULO27" s="32"/>
      <c r="ULP27" s="31"/>
      <c r="ULQ27" s="31"/>
      <c r="ULR27" s="33"/>
      <c r="ULS27" s="34"/>
      <c r="ULT27" s="35"/>
      <c r="ULU27" s="36"/>
      <c r="ULV27" s="37"/>
      <c r="ULW27" s="23"/>
      <c r="ULX27" s="23"/>
      <c r="ULY27" s="23"/>
      <c r="ULZ27" s="23"/>
      <c r="UMA27" s="23"/>
      <c r="UMB27" s="24"/>
      <c r="UMC27" s="7"/>
      <c r="UMD27" s="7"/>
      <c r="UME27" s="7"/>
      <c r="UMF27" s="7"/>
      <c r="UMG27" s="18"/>
      <c r="UMH27" s="18"/>
      <c r="UMI27" s="17"/>
      <c r="UMJ27" s="17"/>
      <c r="UMK27" s="7"/>
      <c r="UML27" s="7"/>
      <c r="UMM27" s="8"/>
      <c r="UMN27" s="8"/>
      <c r="UMO27" s="8"/>
      <c r="UMP27" s="8"/>
      <c r="UMQ27" s="8"/>
      <c r="UMR27" s="8"/>
      <c r="UMS27" s="8"/>
      <c r="UMT27" s="8"/>
      <c r="UMU27" s="8"/>
      <c r="UMV27" s="8"/>
      <c r="UMW27" s="8"/>
      <c r="UMX27" s="8"/>
      <c r="UMY27" s="8"/>
      <c r="UMZ27" s="8"/>
      <c r="UNA27" s="8"/>
      <c r="UNB27" s="8"/>
      <c r="UNC27" s="8"/>
      <c r="UND27" s="8"/>
      <c r="UNE27" s="8"/>
      <c r="UNF27" s="8"/>
      <c r="UNG27" s="11"/>
      <c r="UNI27" s="11"/>
      <c r="UNJ27" s="11"/>
      <c r="UNK27" s="11"/>
      <c r="UNM27" s="11"/>
      <c r="UNN27" s="11"/>
      <c r="UNO27" s="11"/>
      <c r="UNQ27" s="11"/>
      <c r="UNR27" s="11"/>
      <c r="UNS27" s="12"/>
      <c r="UNW27" s="11"/>
      <c r="UNX27" s="12"/>
      <c r="UOH27" s="15"/>
      <c r="UOI27" s="15"/>
      <c r="UOJ27" s="15"/>
      <c r="UOK27" s="15"/>
      <c r="UOL27" s="15"/>
      <c r="UOM27" s="15"/>
      <c r="UON27" s="15"/>
      <c r="UOO27" s="15"/>
      <c r="UOP27" s="15"/>
      <c r="UOQ27" s="15"/>
      <c r="UOR27" s="15"/>
      <c r="UOS27" s="15"/>
      <c r="UOT27" s="15"/>
      <c r="UOU27" s="15"/>
      <c r="UOV27" s="15"/>
      <c r="UOW27" s="15"/>
      <c r="UOX27" s="15"/>
      <c r="UOY27" s="15"/>
      <c r="UOZ27" s="15"/>
      <c r="UPA27" s="15"/>
      <c r="UPB27" s="15"/>
      <c r="UPD27" s="11"/>
      <c r="UPE27" s="11"/>
      <c r="UPF27" s="11"/>
      <c r="UPG27" s="11"/>
      <c r="UPH27" s="11"/>
      <c r="UPI27" s="11"/>
      <c r="UPJ27" s="11"/>
      <c r="UPK27" s="11"/>
      <c r="UPL27" s="11"/>
      <c r="UPV27" s="2"/>
      <c r="UPW27" s="27"/>
      <c r="UPX27" s="31"/>
      <c r="UPY27" s="31"/>
      <c r="UPZ27" s="32"/>
      <c r="UQA27" s="32"/>
      <c r="UQB27" s="31"/>
      <c r="UQC27" s="31"/>
      <c r="UQD27" s="33"/>
      <c r="UQE27" s="34"/>
      <c r="UQF27" s="35"/>
      <c r="UQG27" s="36"/>
      <c r="UQH27" s="37"/>
      <c r="UQI27" s="23"/>
      <c r="UQJ27" s="23"/>
      <c r="UQK27" s="23"/>
      <c r="UQL27" s="23"/>
      <c r="UQM27" s="23"/>
      <c r="UQN27" s="24"/>
      <c r="UQO27" s="7"/>
      <c r="UQP27" s="7"/>
      <c r="UQQ27" s="7"/>
      <c r="UQR27" s="7"/>
      <c r="UQS27" s="18"/>
      <c r="UQT27" s="18"/>
      <c r="UQU27" s="17"/>
      <c r="UQV27" s="17"/>
      <c r="UQW27" s="7"/>
      <c r="UQX27" s="7"/>
      <c r="UQY27" s="8"/>
      <c r="UQZ27" s="8"/>
      <c r="URA27" s="8"/>
      <c r="URB27" s="8"/>
      <c r="URC27" s="8"/>
      <c r="URD27" s="8"/>
      <c r="URE27" s="8"/>
      <c r="URF27" s="8"/>
      <c r="URG27" s="8"/>
      <c r="URH27" s="8"/>
      <c r="URI27" s="8"/>
      <c r="URJ27" s="8"/>
      <c r="URK27" s="8"/>
      <c r="URL27" s="8"/>
      <c r="URM27" s="8"/>
      <c r="URN27" s="8"/>
      <c r="URO27" s="8"/>
      <c r="URP27" s="8"/>
      <c r="URQ27" s="8"/>
      <c r="URR27" s="8"/>
      <c r="URS27" s="11"/>
      <c r="URU27" s="11"/>
      <c r="URV27" s="11"/>
      <c r="URW27" s="11"/>
      <c r="URY27" s="11"/>
      <c r="URZ27" s="11"/>
      <c r="USA27" s="11"/>
      <c r="USC27" s="11"/>
      <c r="USD27" s="11"/>
      <c r="USE27" s="12"/>
      <c r="USI27" s="11"/>
      <c r="USJ27" s="12"/>
      <c r="UST27" s="15"/>
      <c r="USU27" s="15"/>
      <c r="USV27" s="15"/>
      <c r="USW27" s="15"/>
      <c r="USX27" s="15"/>
      <c r="USY27" s="15"/>
      <c r="USZ27" s="15"/>
      <c r="UTA27" s="15"/>
      <c r="UTB27" s="15"/>
      <c r="UTC27" s="15"/>
      <c r="UTD27" s="15"/>
      <c r="UTE27" s="15"/>
      <c r="UTF27" s="15"/>
      <c r="UTG27" s="15"/>
      <c r="UTH27" s="15"/>
      <c r="UTI27" s="15"/>
      <c r="UTJ27" s="15"/>
      <c r="UTK27" s="15"/>
      <c r="UTL27" s="15"/>
      <c r="UTM27" s="15"/>
      <c r="UTN27" s="15"/>
      <c r="UTP27" s="11"/>
      <c r="UTQ27" s="11"/>
      <c r="UTR27" s="11"/>
      <c r="UTS27" s="11"/>
      <c r="UTT27" s="11"/>
      <c r="UTU27" s="11"/>
      <c r="UTV27" s="11"/>
      <c r="UTW27" s="11"/>
      <c r="UTX27" s="11"/>
      <c r="UUH27" s="2"/>
      <c r="UUI27" s="27"/>
      <c r="UUJ27" s="31"/>
      <c r="UUK27" s="31"/>
      <c r="UUL27" s="32"/>
      <c r="UUM27" s="32"/>
      <c r="UUN27" s="31"/>
      <c r="UUO27" s="31"/>
      <c r="UUP27" s="33"/>
      <c r="UUQ27" s="34"/>
      <c r="UUR27" s="35"/>
      <c r="UUS27" s="36"/>
      <c r="UUT27" s="37"/>
      <c r="UUU27" s="23"/>
      <c r="UUV27" s="23"/>
      <c r="UUW27" s="23"/>
      <c r="UUX27" s="23"/>
      <c r="UUY27" s="23"/>
      <c r="UUZ27" s="24"/>
      <c r="UVA27" s="7"/>
      <c r="UVB27" s="7"/>
      <c r="UVC27" s="7"/>
      <c r="UVD27" s="7"/>
      <c r="UVE27" s="18"/>
      <c r="UVF27" s="18"/>
      <c r="UVG27" s="17"/>
      <c r="UVH27" s="17"/>
      <c r="UVI27" s="7"/>
      <c r="UVJ27" s="7"/>
      <c r="UVK27" s="8"/>
      <c r="UVL27" s="8"/>
      <c r="UVM27" s="8"/>
      <c r="UVN27" s="8"/>
      <c r="UVO27" s="8"/>
      <c r="UVP27" s="8"/>
      <c r="UVQ27" s="8"/>
      <c r="UVR27" s="8"/>
      <c r="UVS27" s="8"/>
      <c r="UVT27" s="8"/>
      <c r="UVU27" s="8"/>
      <c r="UVV27" s="8"/>
      <c r="UVW27" s="8"/>
      <c r="UVX27" s="8"/>
      <c r="UVY27" s="8"/>
      <c r="UVZ27" s="8"/>
      <c r="UWA27" s="8"/>
      <c r="UWB27" s="8"/>
      <c r="UWC27" s="8"/>
      <c r="UWD27" s="8"/>
      <c r="UWE27" s="11"/>
      <c r="UWG27" s="11"/>
      <c r="UWH27" s="11"/>
      <c r="UWI27" s="11"/>
      <c r="UWK27" s="11"/>
      <c r="UWL27" s="11"/>
      <c r="UWM27" s="11"/>
      <c r="UWO27" s="11"/>
      <c r="UWP27" s="11"/>
      <c r="UWQ27" s="12"/>
      <c r="UWU27" s="11"/>
      <c r="UWV27" s="12"/>
      <c r="UXF27" s="15"/>
      <c r="UXG27" s="15"/>
      <c r="UXH27" s="15"/>
      <c r="UXI27" s="15"/>
      <c r="UXJ27" s="15"/>
      <c r="UXK27" s="15"/>
      <c r="UXL27" s="15"/>
      <c r="UXM27" s="15"/>
      <c r="UXN27" s="15"/>
      <c r="UXO27" s="15"/>
      <c r="UXP27" s="15"/>
      <c r="UXQ27" s="15"/>
      <c r="UXR27" s="15"/>
      <c r="UXS27" s="15"/>
      <c r="UXT27" s="15"/>
      <c r="UXU27" s="15"/>
      <c r="UXV27" s="15"/>
      <c r="UXW27" s="15"/>
      <c r="UXX27" s="15"/>
      <c r="UXY27" s="15"/>
      <c r="UXZ27" s="15"/>
      <c r="UYB27" s="11"/>
      <c r="UYC27" s="11"/>
      <c r="UYD27" s="11"/>
      <c r="UYE27" s="11"/>
      <c r="UYF27" s="11"/>
      <c r="UYG27" s="11"/>
      <c r="UYH27" s="11"/>
      <c r="UYI27" s="11"/>
      <c r="UYJ27" s="11"/>
      <c r="UYT27" s="2"/>
      <c r="UYU27" s="27"/>
      <c r="UYV27" s="31"/>
      <c r="UYW27" s="31"/>
      <c r="UYX27" s="32"/>
      <c r="UYY27" s="32"/>
      <c r="UYZ27" s="31"/>
      <c r="UZA27" s="31"/>
      <c r="UZB27" s="33"/>
      <c r="UZC27" s="34"/>
      <c r="UZD27" s="35"/>
      <c r="UZE27" s="36"/>
      <c r="UZF27" s="37"/>
      <c r="UZG27" s="23"/>
      <c r="UZH27" s="23"/>
      <c r="UZI27" s="23"/>
      <c r="UZJ27" s="23"/>
      <c r="UZK27" s="23"/>
      <c r="UZL27" s="24"/>
      <c r="UZM27" s="7"/>
      <c r="UZN27" s="7"/>
      <c r="UZO27" s="7"/>
      <c r="UZP27" s="7"/>
      <c r="UZQ27" s="18"/>
      <c r="UZR27" s="18"/>
      <c r="UZS27" s="17"/>
      <c r="UZT27" s="17"/>
      <c r="UZU27" s="7"/>
      <c r="UZV27" s="7"/>
      <c r="UZW27" s="8"/>
      <c r="UZX27" s="8"/>
      <c r="UZY27" s="8"/>
      <c r="UZZ27" s="8"/>
      <c r="VAA27" s="8"/>
      <c r="VAB27" s="8"/>
      <c r="VAC27" s="8"/>
      <c r="VAD27" s="8"/>
      <c r="VAE27" s="8"/>
      <c r="VAF27" s="8"/>
      <c r="VAG27" s="8"/>
      <c r="VAH27" s="8"/>
      <c r="VAI27" s="8"/>
      <c r="VAJ27" s="8"/>
      <c r="VAK27" s="8"/>
      <c r="VAL27" s="8"/>
      <c r="VAM27" s="8"/>
      <c r="VAN27" s="8"/>
      <c r="VAO27" s="8"/>
      <c r="VAP27" s="8"/>
      <c r="VAQ27" s="11"/>
      <c r="VAS27" s="11"/>
      <c r="VAT27" s="11"/>
      <c r="VAU27" s="11"/>
      <c r="VAW27" s="11"/>
      <c r="VAX27" s="11"/>
      <c r="VAY27" s="11"/>
      <c r="VBA27" s="11"/>
      <c r="VBB27" s="11"/>
      <c r="VBC27" s="12"/>
      <c r="VBG27" s="11"/>
      <c r="VBH27" s="12"/>
      <c r="VBR27" s="15"/>
      <c r="VBS27" s="15"/>
      <c r="VBT27" s="15"/>
      <c r="VBU27" s="15"/>
      <c r="VBV27" s="15"/>
      <c r="VBW27" s="15"/>
      <c r="VBX27" s="15"/>
      <c r="VBY27" s="15"/>
      <c r="VBZ27" s="15"/>
      <c r="VCA27" s="15"/>
      <c r="VCB27" s="15"/>
      <c r="VCC27" s="15"/>
      <c r="VCD27" s="15"/>
      <c r="VCE27" s="15"/>
      <c r="VCF27" s="15"/>
      <c r="VCG27" s="15"/>
      <c r="VCH27" s="15"/>
      <c r="VCI27" s="15"/>
      <c r="VCJ27" s="15"/>
      <c r="VCK27" s="15"/>
      <c r="VCL27" s="15"/>
      <c r="VCN27" s="11"/>
      <c r="VCO27" s="11"/>
      <c r="VCP27" s="11"/>
      <c r="VCQ27" s="11"/>
      <c r="VCR27" s="11"/>
      <c r="VCS27" s="11"/>
      <c r="VCT27" s="11"/>
      <c r="VCU27" s="11"/>
      <c r="VCV27" s="11"/>
      <c r="VDF27" s="2"/>
      <c r="VDG27" s="27"/>
      <c r="VDH27" s="31"/>
      <c r="VDI27" s="31"/>
      <c r="VDJ27" s="32"/>
      <c r="VDK27" s="32"/>
      <c r="VDL27" s="31"/>
      <c r="VDM27" s="31"/>
      <c r="VDN27" s="33"/>
      <c r="VDO27" s="34"/>
      <c r="VDP27" s="35"/>
      <c r="VDQ27" s="36"/>
      <c r="VDR27" s="37"/>
      <c r="VDS27" s="23"/>
      <c r="VDT27" s="23"/>
      <c r="VDU27" s="23"/>
      <c r="VDV27" s="23"/>
      <c r="VDW27" s="23"/>
      <c r="VDX27" s="24"/>
      <c r="VDY27" s="7"/>
      <c r="VDZ27" s="7"/>
      <c r="VEA27" s="7"/>
      <c r="VEB27" s="7"/>
      <c r="VEC27" s="18"/>
      <c r="VED27" s="18"/>
      <c r="VEE27" s="17"/>
      <c r="VEF27" s="17"/>
      <c r="VEG27" s="7"/>
      <c r="VEH27" s="7"/>
      <c r="VEI27" s="8"/>
      <c r="VEJ27" s="8"/>
      <c r="VEK27" s="8"/>
      <c r="VEL27" s="8"/>
      <c r="VEM27" s="8"/>
      <c r="VEN27" s="8"/>
      <c r="VEO27" s="8"/>
      <c r="VEP27" s="8"/>
      <c r="VEQ27" s="8"/>
      <c r="VER27" s="8"/>
      <c r="VES27" s="8"/>
      <c r="VET27" s="8"/>
      <c r="VEU27" s="8"/>
      <c r="VEV27" s="8"/>
      <c r="VEW27" s="8"/>
      <c r="VEX27" s="8"/>
      <c r="VEY27" s="8"/>
      <c r="VEZ27" s="8"/>
      <c r="VFA27" s="8"/>
      <c r="VFB27" s="8"/>
      <c r="VFC27" s="11"/>
      <c r="VFE27" s="11"/>
      <c r="VFF27" s="11"/>
      <c r="VFG27" s="11"/>
      <c r="VFI27" s="11"/>
      <c r="VFJ27" s="11"/>
      <c r="VFK27" s="11"/>
      <c r="VFM27" s="11"/>
      <c r="VFN27" s="11"/>
      <c r="VFO27" s="12"/>
      <c r="VFS27" s="11"/>
      <c r="VFT27" s="12"/>
      <c r="VGD27" s="15"/>
      <c r="VGE27" s="15"/>
      <c r="VGF27" s="15"/>
      <c r="VGG27" s="15"/>
      <c r="VGH27" s="15"/>
      <c r="VGI27" s="15"/>
      <c r="VGJ27" s="15"/>
      <c r="VGK27" s="15"/>
      <c r="VGL27" s="15"/>
      <c r="VGM27" s="15"/>
      <c r="VGN27" s="15"/>
      <c r="VGO27" s="15"/>
      <c r="VGP27" s="15"/>
      <c r="VGQ27" s="15"/>
      <c r="VGR27" s="15"/>
      <c r="VGS27" s="15"/>
      <c r="VGT27" s="15"/>
      <c r="VGU27" s="15"/>
      <c r="VGV27" s="15"/>
      <c r="VGW27" s="15"/>
      <c r="VGX27" s="15"/>
      <c r="VGZ27" s="11"/>
      <c r="VHA27" s="11"/>
      <c r="VHB27" s="11"/>
      <c r="VHC27" s="11"/>
      <c r="VHD27" s="11"/>
      <c r="VHE27" s="11"/>
      <c r="VHF27" s="11"/>
      <c r="VHG27" s="11"/>
      <c r="VHH27" s="11"/>
      <c r="VHR27" s="2"/>
      <c r="VHS27" s="27"/>
      <c r="VHT27" s="31"/>
      <c r="VHU27" s="31"/>
      <c r="VHV27" s="32"/>
      <c r="VHW27" s="32"/>
      <c r="VHX27" s="31"/>
      <c r="VHY27" s="31"/>
      <c r="VHZ27" s="33"/>
      <c r="VIA27" s="34"/>
      <c r="VIB27" s="35"/>
      <c r="VIC27" s="36"/>
      <c r="VID27" s="37"/>
      <c r="VIE27" s="23"/>
      <c r="VIF27" s="23"/>
      <c r="VIG27" s="23"/>
      <c r="VIH27" s="23"/>
      <c r="VII27" s="23"/>
      <c r="VIJ27" s="24"/>
      <c r="VIK27" s="7"/>
      <c r="VIL27" s="7"/>
      <c r="VIM27" s="7"/>
      <c r="VIN27" s="7"/>
      <c r="VIO27" s="18"/>
      <c r="VIP27" s="18"/>
      <c r="VIQ27" s="17"/>
      <c r="VIR27" s="17"/>
      <c r="VIS27" s="7"/>
      <c r="VIT27" s="7"/>
      <c r="VIU27" s="8"/>
      <c r="VIV27" s="8"/>
      <c r="VIW27" s="8"/>
      <c r="VIX27" s="8"/>
      <c r="VIY27" s="8"/>
      <c r="VIZ27" s="8"/>
      <c r="VJA27" s="8"/>
      <c r="VJB27" s="8"/>
      <c r="VJC27" s="8"/>
      <c r="VJD27" s="8"/>
      <c r="VJE27" s="8"/>
      <c r="VJF27" s="8"/>
      <c r="VJG27" s="8"/>
      <c r="VJH27" s="8"/>
      <c r="VJI27" s="8"/>
      <c r="VJJ27" s="8"/>
      <c r="VJK27" s="8"/>
      <c r="VJL27" s="8"/>
      <c r="VJM27" s="8"/>
      <c r="VJN27" s="8"/>
      <c r="VJO27" s="11"/>
      <c r="VJQ27" s="11"/>
      <c r="VJR27" s="11"/>
      <c r="VJS27" s="11"/>
      <c r="VJU27" s="11"/>
      <c r="VJV27" s="11"/>
      <c r="VJW27" s="11"/>
      <c r="VJY27" s="11"/>
      <c r="VJZ27" s="11"/>
      <c r="VKA27" s="12"/>
      <c r="VKE27" s="11"/>
      <c r="VKF27" s="12"/>
      <c r="VKP27" s="15"/>
      <c r="VKQ27" s="15"/>
      <c r="VKR27" s="15"/>
      <c r="VKS27" s="15"/>
      <c r="VKT27" s="15"/>
      <c r="VKU27" s="15"/>
      <c r="VKV27" s="15"/>
      <c r="VKW27" s="15"/>
      <c r="VKX27" s="15"/>
      <c r="VKY27" s="15"/>
      <c r="VKZ27" s="15"/>
      <c r="VLA27" s="15"/>
      <c r="VLB27" s="15"/>
      <c r="VLC27" s="15"/>
      <c r="VLD27" s="15"/>
      <c r="VLE27" s="15"/>
      <c r="VLF27" s="15"/>
      <c r="VLG27" s="15"/>
      <c r="VLH27" s="15"/>
      <c r="VLI27" s="15"/>
      <c r="VLJ27" s="15"/>
      <c r="VLL27" s="11"/>
      <c r="VLM27" s="11"/>
      <c r="VLN27" s="11"/>
      <c r="VLO27" s="11"/>
      <c r="VLP27" s="11"/>
      <c r="VLQ27" s="11"/>
      <c r="VLR27" s="11"/>
      <c r="VLS27" s="11"/>
      <c r="VLT27" s="11"/>
      <c r="VMD27" s="2"/>
      <c r="VME27" s="27"/>
      <c r="VMF27" s="31"/>
      <c r="VMG27" s="31"/>
      <c r="VMH27" s="32"/>
      <c r="VMI27" s="32"/>
      <c r="VMJ27" s="31"/>
      <c r="VMK27" s="31"/>
      <c r="VML27" s="33"/>
      <c r="VMM27" s="34"/>
      <c r="VMN27" s="35"/>
      <c r="VMO27" s="36"/>
      <c r="VMP27" s="37"/>
      <c r="VMQ27" s="23"/>
      <c r="VMR27" s="23"/>
      <c r="VMS27" s="23"/>
      <c r="VMT27" s="23"/>
      <c r="VMU27" s="23"/>
      <c r="VMV27" s="24"/>
      <c r="VMW27" s="7"/>
      <c r="VMX27" s="7"/>
      <c r="VMY27" s="7"/>
      <c r="VMZ27" s="7"/>
      <c r="VNA27" s="18"/>
      <c r="VNB27" s="18"/>
      <c r="VNC27" s="17"/>
      <c r="VND27" s="17"/>
      <c r="VNE27" s="7"/>
      <c r="VNF27" s="7"/>
      <c r="VNG27" s="8"/>
      <c r="VNH27" s="8"/>
      <c r="VNI27" s="8"/>
      <c r="VNJ27" s="8"/>
      <c r="VNK27" s="8"/>
      <c r="VNL27" s="8"/>
      <c r="VNM27" s="8"/>
      <c r="VNN27" s="8"/>
      <c r="VNO27" s="8"/>
      <c r="VNP27" s="8"/>
      <c r="VNQ27" s="8"/>
      <c r="VNR27" s="8"/>
      <c r="VNS27" s="8"/>
      <c r="VNT27" s="8"/>
      <c r="VNU27" s="8"/>
      <c r="VNV27" s="8"/>
      <c r="VNW27" s="8"/>
      <c r="VNX27" s="8"/>
      <c r="VNY27" s="8"/>
      <c r="VNZ27" s="8"/>
      <c r="VOA27" s="11"/>
      <c r="VOC27" s="11"/>
      <c r="VOD27" s="11"/>
      <c r="VOE27" s="11"/>
      <c r="VOG27" s="11"/>
      <c r="VOH27" s="11"/>
      <c r="VOI27" s="11"/>
      <c r="VOK27" s="11"/>
      <c r="VOL27" s="11"/>
      <c r="VOM27" s="12"/>
      <c r="VOQ27" s="11"/>
      <c r="VOR27" s="12"/>
      <c r="VPB27" s="15"/>
      <c r="VPC27" s="15"/>
      <c r="VPD27" s="15"/>
      <c r="VPE27" s="15"/>
      <c r="VPF27" s="15"/>
      <c r="VPG27" s="15"/>
      <c r="VPH27" s="15"/>
      <c r="VPI27" s="15"/>
      <c r="VPJ27" s="15"/>
      <c r="VPK27" s="15"/>
      <c r="VPL27" s="15"/>
      <c r="VPM27" s="15"/>
      <c r="VPN27" s="15"/>
      <c r="VPO27" s="15"/>
      <c r="VPP27" s="15"/>
      <c r="VPQ27" s="15"/>
      <c r="VPR27" s="15"/>
      <c r="VPS27" s="15"/>
      <c r="VPT27" s="15"/>
      <c r="VPU27" s="15"/>
      <c r="VPV27" s="15"/>
      <c r="VPX27" s="11"/>
      <c r="VPY27" s="11"/>
      <c r="VPZ27" s="11"/>
      <c r="VQA27" s="11"/>
      <c r="VQB27" s="11"/>
      <c r="VQC27" s="11"/>
      <c r="VQD27" s="11"/>
      <c r="VQE27" s="11"/>
      <c r="VQF27" s="11"/>
      <c r="VQP27" s="2"/>
      <c r="VQQ27" s="27"/>
      <c r="VQR27" s="31"/>
      <c r="VQS27" s="31"/>
      <c r="VQT27" s="32"/>
      <c r="VQU27" s="32"/>
      <c r="VQV27" s="31"/>
      <c r="VQW27" s="31"/>
      <c r="VQX27" s="33"/>
      <c r="VQY27" s="34"/>
      <c r="VQZ27" s="35"/>
      <c r="VRA27" s="36"/>
      <c r="VRB27" s="37"/>
      <c r="VRC27" s="23"/>
      <c r="VRD27" s="23"/>
      <c r="VRE27" s="23"/>
      <c r="VRF27" s="23"/>
      <c r="VRG27" s="23"/>
      <c r="VRH27" s="24"/>
      <c r="VRI27" s="7"/>
      <c r="VRJ27" s="7"/>
      <c r="VRK27" s="7"/>
      <c r="VRL27" s="7"/>
      <c r="VRM27" s="18"/>
      <c r="VRN27" s="18"/>
      <c r="VRO27" s="17"/>
      <c r="VRP27" s="17"/>
      <c r="VRQ27" s="7"/>
    </row>
    <row r="28" spans="1:2047 2049:5112 5122:7160 7170:8191 8193:11260 11270:13308 13318:14335 14337:15357" s="4" customFormat="1" ht="56.25">
      <c r="A28" s="83" t="s">
        <v>2021</v>
      </c>
      <c r="B28" s="84" t="s">
        <v>1755</v>
      </c>
      <c r="C28" s="85">
        <v>303</v>
      </c>
      <c r="D28" s="85">
        <v>544</v>
      </c>
      <c r="E28" s="86">
        <v>0.57430555555555551</v>
      </c>
      <c r="F28" s="86">
        <v>0.60138888888888886</v>
      </c>
      <c r="G28" s="85" t="s">
        <v>2022</v>
      </c>
      <c r="H28" s="85" t="s">
        <v>97</v>
      </c>
      <c r="I28" s="87">
        <v>5</v>
      </c>
      <c r="J28" s="88">
        <v>14</v>
      </c>
      <c r="K28" s="94">
        <v>4</v>
      </c>
      <c r="L28" s="90">
        <f t="shared" si="0"/>
        <v>20</v>
      </c>
      <c r="M28" s="91" t="s">
        <v>749</v>
      </c>
      <c r="N28" s="104" t="s">
        <v>824</v>
      </c>
      <c r="O28" s="104">
        <v>15</v>
      </c>
      <c r="P28" s="104" t="s">
        <v>1798</v>
      </c>
      <c r="Q28" s="104">
        <v>9</v>
      </c>
      <c r="R28" s="104" t="s">
        <v>1177</v>
      </c>
      <c r="S28" s="108">
        <v>9</v>
      </c>
      <c r="T28" s="95" t="s">
        <v>2023</v>
      </c>
      <c r="U28" s="95" t="s">
        <v>2024</v>
      </c>
      <c r="V28" s="95" t="s">
        <v>2023</v>
      </c>
      <c r="W28" s="95" t="s">
        <v>2024</v>
      </c>
      <c r="X28" s="107">
        <v>45012</v>
      </c>
      <c r="Y28" s="107">
        <v>45015</v>
      </c>
      <c r="Z28" s="105"/>
      <c r="AA28" s="105"/>
      <c r="AB28" s="95" t="s">
        <v>1046</v>
      </c>
      <c r="AC28" s="106"/>
      <c r="AD28" s="106"/>
      <c r="AE28" s="106"/>
      <c r="AF28" s="106" t="s">
        <v>726</v>
      </c>
      <c r="AG28" s="106" t="s">
        <v>726</v>
      </c>
      <c r="AH28" s="106" t="s">
        <v>726</v>
      </c>
      <c r="AI28" s="106" t="s">
        <v>726</v>
      </c>
      <c r="AJ28" s="106" t="s">
        <v>726</v>
      </c>
      <c r="AK28" s="106" t="s">
        <v>726</v>
      </c>
      <c r="AL28" s="106" t="s">
        <v>726</v>
      </c>
      <c r="AM28" s="106"/>
      <c r="AN28" s="106"/>
      <c r="AO28" s="106"/>
      <c r="AP28" s="106"/>
      <c r="AQ28" s="106"/>
      <c r="AR28" s="106"/>
      <c r="AS28" s="106"/>
      <c r="AT28" s="106"/>
      <c r="AU28" s="106"/>
      <c r="AV28" s="106"/>
    </row>
    <row r="29" spans="1:2047 2049:5112 5122:7160 7170:8191 8193:11260 11270:13308 13318:14335 14337:15357" s="4" customFormat="1" ht="45">
      <c r="A29" s="83" t="s">
        <v>2035</v>
      </c>
      <c r="B29" s="84" t="s">
        <v>1755</v>
      </c>
      <c r="C29" s="100">
        <v>201</v>
      </c>
      <c r="D29" s="100">
        <v>518</v>
      </c>
      <c r="E29" s="101">
        <v>0.35694444444444445</v>
      </c>
      <c r="F29" s="101">
        <v>0.36944444444444446</v>
      </c>
      <c r="G29" s="102" t="s">
        <v>2030</v>
      </c>
      <c r="H29" s="85" t="s">
        <v>477</v>
      </c>
      <c r="I29" s="100">
        <v>2.6</v>
      </c>
      <c r="J29" s="103">
        <v>50</v>
      </c>
      <c r="K29" s="89">
        <f t="shared" ref="K29:K35" si="1">5+23+26</f>
        <v>54</v>
      </c>
      <c r="L29" s="90">
        <f t="shared" si="0"/>
        <v>140.4</v>
      </c>
      <c r="M29" s="91" t="s">
        <v>742</v>
      </c>
      <c r="N29" s="104" t="s">
        <v>827</v>
      </c>
      <c r="O29" s="104">
        <v>57</v>
      </c>
      <c r="P29" s="104" t="s">
        <v>826</v>
      </c>
      <c r="Q29" s="104">
        <v>57</v>
      </c>
      <c r="R29" s="104" t="s">
        <v>1909</v>
      </c>
      <c r="S29" s="104" t="s">
        <v>1910</v>
      </c>
      <c r="T29" s="95"/>
      <c r="U29" s="95"/>
      <c r="V29" s="95"/>
      <c r="W29" s="95"/>
      <c r="X29" s="107">
        <v>45012</v>
      </c>
      <c r="Y29" s="107">
        <v>45077</v>
      </c>
      <c r="Z29" s="105"/>
      <c r="AA29" s="105"/>
      <c r="AB29" s="95" t="s">
        <v>1052</v>
      </c>
      <c r="AC29" s="106"/>
      <c r="AD29" s="106"/>
      <c r="AE29" s="106"/>
      <c r="AF29" s="106"/>
      <c r="AG29" s="106"/>
      <c r="AH29" s="106"/>
      <c r="AI29" s="106"/>
      <c r="AJ29" s="106"/>
      <c r="AK29" s="106"/>
      <c r="AL29" s="106"/>
      <c r="AM29" s="106"/>
      <c r="AN29" s="106"/>
      <c r="AO29" s="106"/>
      <c r="AP29" s="106"/>
      <c r="AQ29" s="106"/>
      <c r="AR29" s="106"/>
      <c r="AS29" s="106"/>
      <c r="AT29" s="106"/>
      <c r="AU29" s="106"/>
      <c r="AV29" s="106"/>
    </row>
    <row r="30" spans="1:2047 2049:5112 5122:7160 7170:8191 8193:11260 11270:13308 13318:14335 14337:15357" s="4" customFormat="1" ht="33.75">
      <c r="A30" s="83" t="s">
        <v>2036</v>
      </c>
      <c r="B30" s="84" t="s">
        <v>1755</v>
      </c>
      <c r="C30" s="100">
        <v>201</v>
      </c>
      <c r="D30" s="100">
        <v>230</v>
      </c>
      <c r="E30" s="101">
        <v>0.36805555555555558</v>
      </c>
      <c r="F30" s="101">
        <v>0.41597222222222219</v>
      </c>
      <c r="G30" s="102" t="s">
        <v>2031</v>
      </c>
      <c r="H30" s="85" t="s">
        <v>477</v>
      </c>
      <c r="I30" s="100">
        <v>1</v>
      </c>
      <c r="J30" s="103">
        <v>50</v>
      </c>
      <c r="K30" s="89">
        <f t="shared" si="1"/>
        <v>54</v>
      </c>
      <c r="L30" s="90">
        <f t="shared" si="0"/>
        <v>54</v>
      </c>
      <c r="M30" s="137" t="s">
        <v>735</v>
      </c>
      <c r="N30" s="104" t="s">
        <v>961</v>
      </c>
      <c r="O30" s="104">
        <v>61</v>
      </c>
      <c r="P30" s="104" t="s">
        <v>1785</v>
      </c>
      <c r="Q30" s="104">
        <v>58</v>
      </c>
      <c r="R30" s="104" t="s">
        <v>1161</v>
      </c>
      <c r="S30" s="104">
        <v>65</v>
      </c>
      <c r="T30" s="95"/>
      <c r="U30" s="95"/>
      <c r="V30" s="95"/>
      <c r="W30" s="95"/>
      <c r="X30" s="107">
        <v>45012</v>
      </c>
      <c r="Y30" s="107">
        <v>45077</v>
      </c>
      <c r="Z30" s="105"/>
      <c r="AA30" s="105"/>
      <c r="AB30" s="95" t="s">
        <v>1052</v>
      </c>
      <c r="AC30" s="106"/>
      <c r="AD30" s="106"/>
      <c r="AE30" s="106"/>
      <c r="AF30" s="106"/>
      <c r="AG30" s="106"/>
      <c r="AH30" s="106"/>
      <c r="AI30" s="106"/>
      <c r="AJ30" s="106"/>
      <c r="AK30" s="106"/>
      <c r="AL30" s="106"/>
      <c r="AM30" s="106"/>
      <c r="AN30" s="106"/>
      <c r="AO30" s="106"/>
      <c r="AP30" s="106"/>
      <c r="AQ30" s="106"/>
      <c r="AR30" s="106"/>
      <c r="AS30" s="106"/>
      <c r="AT30" s="106"/>
      <c r="AU30" s="106"/>
      <c r="AV30" s="106"/>
    </row>
    <row r="31" spans="1:2047 2049:5112 5122:7160 7170:8191 8193:11260 11270:13308 13318:14335 14337:15357" s="4" customFormat="1" ht="45">
      <c r="A31" s="83" t="s">
        <v>2037</v>
      </c>
      <c r="B31" s="84" t="s">
        <v>1755</v>
      </c>
      <c r="C31" s="100">
        <v>201</v>
      </c>
      <c r="D31" s="100">
        <v>351</v>
      </c>
      <c r="E31" s="101">
        <v>0.375</v>
      </c>
      <c r="F31" s="101">
        <v>0.38750000000000001</v>
      </c>
      <c r="G31" s="102" t="s">
        <v>2032</v>
      </c>
      <c r="H31" s="85" t="s">
        <v>477</v>
      </c>
      <c r="I31" s="100">
        <v>2.6</v>
      </c>
      <c r="J31" s="103">
        <v>50</v>
      </c>
      <c r="K31" s="89">
        <f t="shared" si="1"/>
        <v>54</v>
      </c>
      <c r="L31" s="90">
        <f t="shared" si="0"/>
        <v>140.4</v>
      </c>
      <c r="M31" s="91" t="s">
        <v>742</v>
      </c>
      <c r="N31" s="104" t="s">
        <v>827</v>
      </c>
      <c r="O31" s="104">
        <v>57</v>
      </c>
      <c r="P31" s="104" t="s">
        <v>826</v>
      </c>
      <c r="Q31" s="104">
        <v>57</v>
      </c>
      <c r="R31" s="104" t="s">
        <v>1909</v>
      </c>
      <c r="S31" s="104" t="s">
        <v>1910</v>
      </c>
      <c r="T31" s="95"/>
      <c r="U31" s="95"/>
      <c r="V31" s="95"/>
      <c r="W31" s="95"/>
      <c r="X31" s="107">
        <v>45012</v>
      </c>
      <c r="Y31" s="107">
        <v>45077</v>
      </c>
      <c r="Z31" s="105"/>
      <c r="AA31" s="105"/>
      <c r="AB31" s="95" t="s">
        <v>1052</v>
      </c>
      <c r="AC31" s="106"/>
      <c r="AD31" s="106"/>
      <c r="AE31" s="106"/>
      <c r="AF31" s="106"/>
      <c r="AG31" s="106"/>
      <c r="AH31" s="106"/>
      <c r="AI31" s="106"/>
      <c r="AJ31" s="106"/>
      <c r="AK31" s="106"/>
      <c r="AL31" s="106"/>
      <c r="AM31" s="106"/>
      <c r="AN31" s="106"/>
      <c r="AO31" s="106"/>
      <c r="AP31" s="106"/>
      <c r="AQ31" s="106"/>
      <c r="AR31" s="106"/>
      <c r="AS31" s="106"/>
      <c r="AT31" s="106"/>
      <c r="AU31" s="106"/>
      <c r="AV31" s="106"/>
    </row>
    <row r="32" spans="1:2047 2049:5112 5122:7160 7170:8191 8193:11260 11270:13308 13318:14335 14337:15357" s="4" customFormat="1" ht="45">
      <c r="A32" s="83" t="s">
        <v>2038</v>
      </c>
      <c r="B32" s="84" t="s">
        <v>1755</v>
      </c>
      <c r="C32" s="100">
        <v>201</v>
      </c>
      <c r="D32" s="100">
        <v>520</v>
      </c>
      <c r="E32" s="101">
        <v>0.39861111111111108</v>
      </c>
      <c r="F32" s="101">
        <v>0.41111111111111115</v>
      </c>
      <c r="G32" s="102" t="s">
        <v>2030</v>
      </c>
      <c r="H32" s="85" t="s">
        <v>477</v>
      </c>
      <c r="I32" s="100">
        <v>2.6</v>
      </c>
      <c r="J32" s="103">
        <v>50</v>
      </c>
      <c r="K32" s="89">
        <f t="shared" si="1"/>
        <v>54</v>
      </c>
      <c r="L32" s="90">
        <f t="shared" si="0"/>
        <v>140.4</v>
      </c>
      <c r="M32" s="91" t="s">
        <v>742</v>
      </c>
      <c r="N32" s="104" t="s">
        <v>827</v>
      </c>
      <c r="O32" s="104">
        <v>57</v>
      </c>
      <c r="P32" s="104" t="s">
        <v>826</v>
      </c>
      <c r="Q32" s="104">
        <v>57</v>
      </c>
      <c r="R32" s="104" t="s">
        <v>1909</v>
      </c>
      <c r="S32" s="104" t="s">
        <v>1910</v>
      </c>
      <c r="T32" s="95"/>
      <c r="U32" s="95"/>
      <c r="V32" s="95"/>
      <c r="W32" s="95"/>
      <c r="X32" s="107">
        <v>45012</v>
      </c>
      <c r="Y32" s="107">
        <v>45077</v>
      </c>
      <c r="Z32" s="105"/>
      <c r="AA32" s="105"/>
      <c r="AB32" s="95" t="s">
        <v>1052</v>
      </c>
      <c r="AC32" s="106"/>
      <c r="AD32" s="106"/>
      <c r="AE32" s="106"/>
      <c r="AF32" s="106"/>
      <c r="AG32" s="106"/>
      <c r="AH32" s="106"/>
      <c r="AI32" s="106"/>
      <c r="AJ32" s="106"/>
      <c r="AK32" s="106"/>
      <c r="AL32" s="106"/>
      <c r="AM32" s="106"/>
      <c r="AN32" s="106"/>
      <c r="AO32" s="106"/>
      <c r="AP32" s="106"/>
      <c r="AQ32" s="106"/>
      <c r="AR32" s="106"/>
      <c r="AS32" s="106"/>
      <c r="AT32" s="106"/>
      <c r="AU32" s="106"/>
      <c r="AV32" s="106"/>
    </row>
    <row r="33" spans="1:49" s="4" customFormat="1" ht="45">
      <c r="A33" s="83" t="s">
        <v>2039</v>
      </c>
      <c r="B33" s="84" t="s">
        <v>1755</v>
      </c>
      <c r="C33" s="100">
        <v>201</v>
      </c>
      <c r="D33" s="100">
        <v>65</v>
      </c>
      <c r="E33" s="101">
        <v>0.41666666666666669</v>
      </c>
      <c r="F33" s="101">
        <v>0.4291666666666667</v>
      </c>
      <c r="G33" s="102" t="s">
        <v>2032</v>
      </c>
      <c r="H33" s="85" t="s">
        <v>477</v>
      </c>
      <c r="I33" s="100">
        <v>2.6</v>
      </c>
      <c r="J33" s="103">
        <v>50</v>
      </c>
      <c r="K33" s="89">
        <f t="shared" si="1"/>
        <v>54</v>
      </c>
      <c r="L33" s="90">
        <f t="shared" si="0"/>
        <v>140.4</v>
      </c>
      <c r="M33" s="91" t="s">
        <v>742</v>
      </c>
      <c r="N33" s="104" t="s">
        <v>827</v>
      </c>
      <c r="O33" s="104">
        <v>57</v>
      </c>
      <c r="P33" s="104" t="s">
        <v>826</v>
      </c>
      <c r="Q33" s="104">
        <v>57</v>
      </c>
      <c r="R33" s="104" t="s">
        <v>1909</v>
      </c>
      <c r="S33" s="104" t="s">
        <v>1910</v>
      </c>
      <c r="T33" s="95"/>
      <c r="U33" s="95"/>
      <c r="V33" s="95"/>
      <c r="W33" s="95"/>
      <c r="X33" s="107">
        <v>45012</v>
      </c>
      <c r="Y33" s="107">
        <v>45077</v>
      </c>
      <c r="Z33" s="105"/>
      <c r="AA33" s="105"/>
      <c r="AB33" s="95" t="s">
        <v>1052</v>
      </c>
      <c r="AC33" s="106"/>
      <c r="AD33" s="106"/>
      <c r="AE33" s="106"/>
      <c r="AF33" s="106"/>
      <c r="AG33" s="106"/>
      <c r="AH33" s="106"/>
      <c r="AI33" s="106"/>
      <c r="AJ33" s="106"/>
      <c r="AK33" s="106"/>
      <c r="AL33" s="106"/>
      <c r="AM33" s="106"/>
      <c r="AN33" s="106"/>
      <c r="AO33" s="106"/>
      <c r="AP33" s="106"/>
      <c r="AQ33" s="106"/>
      <c r="AR33" s="106"/>
      <c r="AS33" s="106"/>
      <c r="AT33" s="106"/>
      <c r="AU33" s="106"/>
      <c r="AV33" s="106"/>
    </row>
    <row r="34" spans="1:49" s="4" customFormat="1" ht="45">
      <c r="A34" s="83" t="s">
        <v>2040</v>
      </c>
      <c r="B34" s="84" t="s">
        <v>1755</v>
      </c>
      <c r="C34" s="100">
        <v>201</v>
      </c>
      <c r="D34" s="100">
        <v>522</v>
      </c>
      <c r="E34" s="101">
        <v>0.44027777777777777</v>
      </c>
      <c r="F34" s="101">
        <v>0.45277777777777778</v>
      </c>
      <c r="G34" s="102" t="s">
        <v>2030</v>
      </c>
      <c r="H34" s="85" t="s">
        <v>477</v>
      </c>
      <c r="I34" s="100">
        <v>2.6</v>
      </c>
      <c r="J34" s="103">
        <v>50</v>
      </c>
      <c r="K34" s="89">
        <f t="shared" si="1"/>
        <v>54</v>
      </c>
      <c r="L34" s="90">
        <f t="shared" si="0"/>
        <v>140.4</v>
      </c>
      <c r="M34" s="91" t="s">
        <v>742</v>
      </c>
      <c r="N34" s="104" t="s">
        <v>827</v>
      </c>
      <c r="O34" s="104">
        <v>57</v>
      </c>
      <c r="P34" s="104" t="s">
        <v>826</v>
      </c>
      <c r="Q34" s="104">
        <v>57</v>
      </c>
      <c r="R34" s="104" t="s">
        <v>1909</v>
      </c>
      <c r="S34" s="104" t="s">
        <v>1910</v>
      </c>
      <c r="T34" s="95"/>
      <c r="U34" s="95"/>
      <c r="V34" s="95"/>
      <c r="W34" s="95"/>
      <c r="X34" s="107">
        <v>45012</v>
      </c>
      <c r="Y34" s="107">
        <v>45077</v>
      </c>
      <c r="Z34" s="105"/>
      <c r="AA34" s="105"/>
      <c r="AB34" s="95" t="s">
        <v>1052</v>
      </c>
      <c r="AC34" s="106"/>
      <c r="AD34" s="106"/>
      <c r="AE34" s="106"/>
      <c r="AF34" s="106"/>
      <c r="AG34" s="106"/>
      <c r="AH34" s="106"/>
      <c r="AI34" s="106"/>
      <c r="AJ34" s="106"/>
      <c r="AK34" s="106"/>
      <c r="AL34" s="106"/>
      <c r="AM34" s="106"/>
      <c r="AN34" s="106"/>
      <c r="AO34" s="106"/>
      <c r="AP34" s="106"/>
      <c r="AQ34" s="106"/>
      <c r="AR34" s="106"/>
      <c r="AS34" s="106"/>
      <c r="AT34" s="106"/>
      <c r="AU34" s="106"/>
      <c r="AV34" s="106"/>
    </row>
    <row r="35" spans="1:49" s="4" customFormat="1" ht="45">
      <c r="A35" s="83" t="s">
        <v>2041</v>
      </c>
      <c r="B35" s="84" t="s">
        <v>1755</v>
      </c>
      <c r="C35" s="100">
        <v>201</v>
      </c>
      <c r="D35" s="100">
        <v>516</v>
      </c>
      <c r="E35" s="101">
        <v>0.48194444444444445</v>
      </c>
      <c r="F35" s="101">
        <v>0.49444444444444446</v>
      </c>
      <c r="G35" s="102" t="s">
        <v>2030</v>
      </c>
      <c r="H35" s="85" t="s">
        <v>477</v>
      </c>
      <c r="I35" s="100">
        <v>2.6</v>
      </c>
      <c r="J35" s="103">
        <v>50</v>
      </c>
      <c r="K35" s="89">
        <f t="shared" si="1"/>
        <v>54</v>
      </c>
      <c r="L35" s="90">
        <f t="shared" si="0"/>
        <v>140.4</v>
      </c>
      <c r="M35" s="91" t="s">
        <v>742</v>
      </c>
      <c r="N35" s="104" t="s">
        <v>827</v>
      </c>
      <c r="O35" s="104">
        <v>57</v>
      </c>
      <c r="P35" s="104" t="s">
        <v>826</v>
      </c>
      <c r="Q35" s="104">
        <v>57</v>
      </c>
      <c r="R35" s="104" t="s">
        <v>1909</v>
      </c>
      <c r="S35" s="104" t="s">
        <v>1910</v>
      </c>
      <c r="T35" s="95"/>
      <c r="U35" s="95"/>
      <c r="V35" s="95"/>
      <c r="W35" s="95"/>
      <c r="X35" s="107">
        <v>45012</v>
      </c>
      <c r="Y35" s="107">
        <v>45077</v>
      </c>
      <c r="Z35" s="105"/>
      <c r="AA35" s="105"/>
      <c r="AB35" s="95" t="s">
        <v>1052</v>
      </c>
      <c r="AC35" s="106"/>
      <c r="AD35" s="106"/>
      <c r="AE35" s="106"/>
      <c r="AF35" s="106"/>
      <c r="AG35" s="106"/>
      <c r="AH35" s="106"/>
      <c r="AI35" s="106"/>
      <c r="AJ35" s="106"/>
      <c r="AK35" s="106"/>
      <c r="AL35" s="106"/>
      <c r="AM35" s="106"/>
      <c r="AN35" s="106"/>
      <c r="AO35" s="106"/>
      <c r="AP35" s="106"/>
      <c r="AQ35" s="106"/>
      <c r="AR35" s="106"/>
      <c r="AS35" s="106"/>
      <c r="AT35" s="106"/>
      <c r="AU35" s="106"/>
      <c r="AV35" s="106"/>
    </row>
    <row r="36" spans="1:49" s="4" customFormat="1" ht="67.5">
      <c r="A36" s="83" t="s">
        <v>2042</v>
      </c>
      <c r="B36" s="84" t="s">
        <v>1755</v>
      </c>
      <c r="C36" s="85">
        <v>201</v>
      </c>
      <c r="D36" s="85">
        <v>335</v>
      </c>
      <c r="E36" s="86">
        <v>0.55902777777777779</v>
      </c>
      <c r="F36" s="86">
        <v>0.57499999999999996</v>
      </c>
      <c r="G36" s="85" t="s">
        <v>2033</v>
      </c>
      <c r="H36" s="85" t="s">
        <v>282</v>
      </c>
      <c r="I36" s="87">
        <v>2.6</v>
      </c>
      <c r="J36" s="88">
        <v>50</v>
      </c>
      <c r="K36" s="94">
        <v>8</v>
      </c>
      <c r="L36" s="90">
        <f t="shared" si="0"/>
        <v>20.8</v>
      </c>
      <c r="M36" s="91" t="s">
        <v>747</v>
      </c>
      <c r="N36" s="83"/>
      <c r="O36" s="108"/>
      <c r="P36" s="104" t="s">
        <v>2020</v>
      </c>
      <c r="Q36" s="104">
        <v>57</v>
      </c>
      <c r="R36" s="83"/>
      <c r="S36" s="83"/>
      <c r="T36" s="95"/>
      <c r="U36" s="95"/>
      <c r="V36" s="95"/>
      <c r="W36" s="95"/>
      <c r="X36" s="107">
        <v>45012</v>
      </c>
      <c r="Y36" s="107">
        <v>45077</v>
      </c>
      <c r="Z36" s="105"/>
      <c r="AA36" s="105"/>
      <c r="AB36" s="95" t="s">
        <v>1060</v>
      </c>
      <c r="AC36" s="106"/>
      <c r="AD36" s="106"/>
      <c r="AE36" s="106"/>
      <c r="AF36" s="106"/>
      <c r="AG36" s="106"/>
      <c r="AH36" s="106"/>
      <c r="AI36" s="106"/>
      <c r="AJ36" s="106"/>
      <c r="AK36" s="106"/>
      <c r="AL36" s="106"/>
      <c r="AM36" s="106"/>
      <c r="AN36" s="106"/>
      <c r="AO36" s="106"/>
      <c r="AP36" s="106"/>
      <c r="AQ36" s="106"/>
      <c r="AR36" s="106"/>
      <c r="AS36" s="106"/>
      <c r="AT36" s="106"/>
      <c r="AU36" s="106"/>
      <c r="AV36" s="106"/>
    </row>
    <row r="37" spans="1:49" s="4" customFormat="1" ht="67.5">
      <c r="A37" s="83" t="s">
        <v>2043</v>
      </c>
      <c r="B37" s="84" t="s">
        <v>1755</v>
      </c>
      <c r="C37" s="85">
        <v>201</v>
      </c>
      <c r="D37" s="85">
        <v>528</v>
      </c>
      <c r="E37" s="86">
        <v>0.60138888888888886</v>
      </c>
      <c r="F37" s="86">
        <v>0.61388888888888882</v>
      </c>
      <c r="G37" s="85" t="s">
        <v>2034</v>
      </c>
      <c r="H37" s="85" t="s">
        <v>282</v>
      </c>
      <c r="I37" s="87">
        <v>2.6</v>
      </c>
      <c r="J37" s="88">
        <v>55</v>
      </c>
      <c r="K37" s="94">
        <v>8</v>
      </c>
      <c r="L37" s="90">
        <f t="shared" si="0"/>
        <v>20.8</v>
      </c>
      <c r="M37" s="91" t="s">
        <v>747</v>
      </c>
      <c r="N37" s="83"/>
      <c r="O37" s="108"/>
      <c r="P37" s="104" t="s">
        <v>2020</v>
      </c>
      <c r="Q37" s="104">
        <v>57</v>
      </c>
      <c r="R37" s="83"/>
      <c r="S37" s="83"/>
      <c r="T37" s="95"/>
      <c r="U37" s="95"/>
      <c r="V37" s="95"/>
      <c r="W37" s="95"/>
      <c r="X37" s="107">
        <v>45012</v>
      </c>
      <c r="Y37" s="107">
        <v>45077</v>
      </c>
      <c r="Z37" s="105"/>
      <c r="AA37" s="105"/>
      <c r="AB37" s="95" t="s">
        <v>1060</v>
      </c>
      <c r="AC37" s="106"/>
      <c r="AD37" s="106"/>
      <c r="AE37" s="106"/>
      <c r="AF37" s="106"/>
      <c r="AG37" s="106"/>
      <c r="AH37" s="106"/>
      <c r="AI37" s="106"/>
      <c r="AJ37" s="106"/>
      <c r="AK37" s="106"/>
      <c r="AL37" s="106"/>
      <c r="AM37" s="106"/>
      <c r="AN37" s="106"/>
      <c r="AO37" s="106"/>
      <c r="AP37" s="106"/>
      <c r="AQ37" s="106"/>
      <c r="AR37" s="106"/>
      <c r="AS37" s="106"/>
      <c r="AT37" s="106"/>
      <c r="AU37" s="106"/>
      <c r="AV37" s="106"/>
    </row>
    <row r="38" spans="1:49" s="4" customFormat="1" ht="33.75">
      <c r="A38" s="83" t="s">
        <v>2044</v>
      </c>
      <c r="B38" s="84" t="s">
        <v>1755</v>
      </c>
      <c r="C38" s="100">
        <v>201</v>
      </c>
      <c r="D38" s="100">
        <v>71</v>
      </c>
      <c r="E38" s="101">
        <v>0.625</v>
      </c>
      <c r="F38" s="101">
        <v>0.63750000000000007</v>
      </c>
      <c r="G38" s="102" t="s">
        <v>2032</v>
      </c>
      <c r="H38" s="85" t="s">
        <v>477</v>
      </c>
      <c r="I38" s="100">
        <v>2.6</v>
      </c>
      <c r="J38" s="103">
        <v>50</v>
      </c>
      <c r="K38" s="89">
        <f>5+23+26</f>
        <v>54</v>
      </c>
      <c r="L38" s="90">
        <f t="shared" si="0"/>
        <v>140.4</v>
      </c>
      <c r="M38" s="91" t="s">
        <v>742</v>
      </c>
      <c r="N38" s="104" t="s">
        <v>1908</v>
      </c>
      <c r="O38" s="104">
        <v>37</v>
      </c>
      <c r="P38" s="104" t="s">
        <v>826</v>
      </c>
      <c r="Q38" s="104">
        <v>57</v>
      </c>
      <c r="R38" s="104" t="s">
        <v>1844</v>
      </c>
      <c r="S38" s="104">
        <v>57</v>
      </c>
      <c r="T38" s="95"/>
      <c r="U38" s="95"/>
      <c r="V38" s="95"/>
      <c r="W38" s="95"/>
      <c r="X38" s="107">
        <v>45012</v>
      </c>
      <c r="Y38" s="107">
        <v>45077</v>
      </c>
      <c r="Z38" s="105"/>
      <c r="AA38" s="105"/>
      <c r="AB38" s="95" t="s">
        <v>1052</v>
      </c>
      <c r="AC38" s="106"/>
      <c r="AD38" s="106"/>
      <c r="AE38" s="106"/>
      <c r="AF38" s="106"/>
      <c r="AG38" s="106"/>
      <c r="AH38" s="106"/>
      <c r="AI38" s="106"/>
      <c r="AJ38" s="106"/>
      <c r="AK38" s="106"/>
      <c r="AL38" s="106"/>
      <c r="AM38" s="106"/>
      <c r="AN38" s="106"/>
      <c r="AO38" s="106"/>
      <c r="AP38" s="106"/>
      <c r="AQ38" s="106"/>
      <c r="AR38" s="106"/>
      <c r="AS38" s="106"/>
      <c r="AT38" s="106"/>
      <c r="AU38" s="106"/>
      <c r="AV38" s="106"/>
    </row>
    <row r="39" spans="1:49" s="4" customFormat="1" ht="33.75">
      <c r="A39" s="83" t="s">
        <v>2045</v>
      </c>
      <c r="B39" s="84" t="s">
        <v>1755</v>
      </c>
      <c r="C39" s="100">
        <v>201</v>
      </c>
      <c r="D39" s="100">
        <v>530</v>
      </c>
      <c r="E39" s="101">
        <v>0.64861111111111114</v>
      </c>
      <c r="F39" s="101">
        <v>0.66111111111111109</v>
      </c>
      <c r="G39" s="102" t="s">
        <v>2030</v>
      </c>
      <c r="H39" s="85" t="s">
        <v>477</v>
      </c>
      <c r="I39" s="100">
        <v>2.6</v>
      </c>
      <c r="J39" s="103">
        <v>50</v>
      </c>
      <c r="K39" s="89">
        <f>5+23+26</f>
        <v>54</v>
      </c>
      <c r="L39" s="90">
        <f t="shared" si="0"/>
        <v>140.4</v>
      </c>
      <c r="M39" s="91" t="s">
        <v>742</v>
      </c>
      <c r="N39" s="104" t="s">
        <v>1908</v>
      </c>
      <c r="O39" s="104">
        <v>37</v>
      </c>
      <c r="P39" s="104" t="s">
        <v>826</v>
      </c>
      <c r="Q39" s="104">
        <v>57</v>
      </c>
      <c r="R39" s="104" t="s">
        <v>1844</v>
      </c>
      <c r="S39" s="104">
        <v>57</v>
      </c>
      <c r="T39" s="95"/>
      <c r="U39" s="95"/>
      <c r="V39" s="95"/>
      <c r="W39" s="95"/>
      <c r="X39" s="107">
        <v>45012</v>
      </c>
      <c r="Y39" s="107">
        <v>45077</v>
      </c>
      <c r="Z39" s="105"/>
      <c r="AA39" s="105"/>
      <c r="AB39" s="95" t="s">
        <v>1052</v>
      </c>
      <c r="AC39" s="106"/>
      <c r="AD39" s="106"/>
      <c r="AE39" s="106"/>
      <c r="AF39" s="106"/>
      <c r="AG39" s="106"/>
      <c r="AH39" s="106"/>
      <c r="AI39" s="106"/>
      <c r="AJ39" s="106"/>
      <c r="AK39" s="106"/>
      <c r="AL39" s="106"/>
      <c r="AM39" s="106"/>
      <c r="AN39" s="106"/>
      <c r="AO39" s="106"/>
      <c r="AP39" s="106"/>
      <c r="AQ39" s="106"/>
      <c r="AR39" s="106"/>
      <c r="AS39" s="106"/>
      <c r="AT39" s="106"/>
      <c r="AU39" s="106"/>
      <c r="AV39" s="106"/>
    </row>
    <row r="40" spans="1:49" s="4" customFormat="1" ht="33.75">
      <c r="A40" s="83" t="s">
        <v>2046</v>
      </c>
      <c r="B40" s="84" t="s">
        <v>1755</v>
      </c>
      <c r="C40" s="100">
        <v>201</v>
      </c>
      <c r="D40" s="100">
        <v>73</v>
      </c>
      <c r="E40" s="101">
        <v>0.71180555555555547</v>
      </c>
      <c r="F40" s="101">
        <v>0.72430555555555554</v>
      </c>
      <c r="G40" s="102" t="s">
        <v>2032</v>
      </c>
      <c r="H40" s="85" t="s">
        <v>477</v>
      </c>
      <c r="I40" s="100">
        <v>2.6</v>
      </c>
      <c r="J40" s="103">
        <v>50</v>
      </c>
      <c r="K40" s="89">
        <f>5+23+26</f>
        <v>54</v>
      </c>
      <c r="L40" s="90">
        <f t="shared" si="0"/>
        <v>140.4</v>
      </c>
      <c r="M40" s="91" t="s">
        <v>745</v>
      </c>
      <c r="N40" s="104" t="s">
        <v>877</v>
      </c>
      <c r="O40" s="104">
        <v>57</v>
      </c>
      <c r="P40" s="104" t="s">
        <v>1787</v>
      </c>
      <c r="Q40" s="104">
        <v>57</v>
      </c>
      <c r="R40" s="104" t="s">
        <v>1163</v>
      </c>
      <c r="S40" s="104">
        <v>38</v>
      </c>
      <c r="T40" s="95"/>
      <c r="U40" s="95"/>
      <c r="V40" s="95"/>
      <c r="W40" s="95"/>
      <c r="X40" s="107">
        <v>45012</v>
      </c>
      <c r="Y40" s="107">
        <v>45077</v>
      </c>
      <c r="Z40" s="105"/>
      <c r="AA40" s="105"/>
      <c r="AB40" s="95" t="s">
        <v>1052</v>
      </c>
      <c r="AC40" s="106"/>
      <c r="AD40" s="106"/>
      <c r="AE40" s="106"/>
      <c r="AF40" s="106"/>
      <c r="AG40" s="106"/>
      <c r="AH40" s="106"/>
      <c r="AI40" s="106"/>
      <c r="AJ40" s="106"/>
      <c r="AK40" s="106"/>
      <c r="AL40" s="106"/>
      <c r="AM40" s="106"/>
      <c r="AN40" s="106"/>
      <c r="AO40" s="106"/>
      <c r="AP40" s="106"/>
      <c r="AQ40" s="106"/>
      <c r="AR40" s="106"/>
      <c r="AS40" s="106"/>
      <c r="AT40" s="106"/>
      <c r="AU40" s="106"/>
      <c r="AV40" s="106"/>
    </row>
    <row r="41" spans="1:49" s="4" customFormat="1" ht="45">
      <c r="A41" s="83" t="s">
        <v>2047</v>
      </c>
      <c r="B41" s="84" t="s">
        <v>1755</v>
      </c>
      <c r="C41" s="100">
        <v>201</v>
      </c>
      <c r="D41" s="85">
        <v>359</v>
      </c>
      <c r="E41" s="101">
        <v>0.56041666666666667</v>
      </c>
      <c r="F41" s="101">
        <v>0.60763888888888895</v>
      </c>
      <c r="G41" s="102" t="s">
        <v>2051</v>
      </c>
      <c r="H41" s="85" t="s">
        <v>2048</v>
      </c>
      <c r="I41" s="87">
        <v>2.6</v>
      </c>
      <c r="J41" s="88">
        <v>50</v>
      </c>
      <c r="K41" s="94">
        <f>5+14+22</f>
        <v>41</v>
      </c>
      <c r="L41" s="90">
        <f t="shared" si="0"/>
        <v>106.60000000000001</v>
      </c>
      <c r="M41" s="91" t="s">
        <v>742</v>
      </c>
      <c r="N41" s="104" t="s">
        <v>826</v>
      </c>
      <c r="O41" s="104">
        <v>57</v>
      </c>
      <c r="P41" s="104" t="s">
        <v>827</v>
      </c>
      <c r="Q41" s="83">
        <v>57</v>
      </c>
      <c r="R41" s="104"/>
      <c r="S41" s="104"/>
      <c r="T41" s="95"/>
      <c r="U41" s="95"/>
      <c r="V41" s="95"/>
      <c r="W41" s="95"/>
      <c r="X41" s="107">
        <v>45012</v>
      </c>
      <c r="Y41" s="140">
        <v>45077</v>
      </c>
      <c r="Z41" s="105"/>
      <c r="AA41" s="105"/>
      <c r="AB41" s="95" t="s">
        <v>1042</v>
      </c>
      <c r="AC41" s="106"/>
      <c r="AD41" s="106"/>
      <c r="AE41" s="106"/>
      <c r="AF41" s="106"/>
      <c r="AG41" s="106"/>
      <c r="AH41" s="106"/>
      <c r="AI41" s="106"/>
      <c r="AJ41" s="106"/>
      <c r="AK41" s="106"/>
      <c r="AL41" s="106"/>
      <c r="AM41" s="106"/>
      <c r="AN41" s="106"/>
      <c r="AO41" s="106"/>
      <c r="AP41" s="106"/>
      <c r="AQ41" s="106"/>
      <c r="AR41" s="106"/>
      <c r="AS41" s="106"/>
      <c r="AT41" s="106"/>
      <c r="AU41" s="106"/>
      <c r="AV41" s="106"/>
    </row>
    <row r="42" spans="1:49" s="4" customFormat="1" ht="45">
      <c r="A42" s="83" t="s">
        <v>2050</v>
      </c>
      <c r="B42" s="84" t="s">
        <v>1755</v>
      </c>
      <c r="C42" s="100">
        <v>201</v>
      </c>
      <c r="D42" s="85">
        <v>546</v>
      </c>
      <c r="E42" s="101">
        <v>0.67013888888888884</v>
      </c>
      <c r="F42" s="101">
        <v>0.71319444444444446</v>
      </c>
      <c r="G42" s="102" t="s">
        <v>2052</v>
      </c>
      <c r="H42" s="85" t="s">
        <v>2049</v>
      </c>
      <c r="I42" s="87">
        <v>1</v>
      </c>
      <c r="J42" s="88">
        <v>50</v>
      </c>
      <c r="K42" s="94">
        <f>5+14+22</f>
        <v>41</v>
      </c>
      <c r="L42" s="90">
        <f t="shared" si="0"/>
        <v>41</v>
      </c>
      <c r="M42" s="91" t="s">
        <v>736</v>
      </c>
      <c r="N42" s="104" t="s">
        <v>1786</v>
      </c>
      <c r="O42" s="104">
        <v>56</v>
      </c>
      <c r="P42" s="104"/>
      <c r="Q42" s="83"/>
      <c r="R42" s="104"/>
      <c r="S42" s="104"/>
      <c r="T42" s="95"/>
      <c r="U42" s="95"/>
      <c r="V42" s="95"/>
      <c r="W42" s="95"/>
      <c r="X42" s="107">
        <v>45012</v>
      </c>
      <c r="Y42" s="140">
        <v>45077</v>
      </c>
      <c r="Z42" s="105"/>
      <c r="AA42" s="105"/>
      <c r="AB42" s="95" t="s">
        <v>1042</v>
      </c>
      <c r="AC42" s="106"/>
      <c r="AD42" s="106"/>
      <c r="AE42" s="106"/>
      <c r="AF42" s="106"/>
      <c r="AG42" s="106"/>
      <c r="AH42" s="106"/>
      <c r="AI42" s="106"/>
      <c r="AJ42" s="106"/>
      <c r="AK42" s="106"/>
      <c r="AL42" s="106"/>
      <c r="AM42" s="106"/>
      <c r="AN42" s="106"/>
      <c r="AO42" s="106"/>
      <c r="AP42" s="106"/>
      <c r="AQ42" s="106"/>
      <c r="AR42" s="106"/>
      <c r="AS42" s="106"/>
      <c r="AT42" s="106"/>
      <c r="AU42" s="106"/>
      <c r="AV42" s="106"/>
    </row>
    <row r="43" spans="1:49" s="4" customFormat="1" ht="56.25">
      <c r="A43" s="83" t="s">
        <v>2116</v>
      </c>
      <c r="B43" s="84" t="s">
        <v>1755</v>
      </c>
      <c r="C43" s="85">
        <v>303</v>
      </c>
      <c r="D43" s="85">
        <v>545</v>
      </c>
      <c r="E43" s="86">
        <v>0.27083333333333331</v>
      </c>
      <c r="F43" s="86">
        <v>0.2951388888888889</v>
      </c>
      <c r="G43" s="85" t="s">
        <v>982</v>
      </c>
      <c r="H43" s="85" t="s">
        <v>97</v>
      </c>
      <c r="I43" s="87">
        <v>17</v>
      </c>
      <c r="J43" s="88">
        <v>14</v>
      </c>
      <c r="K43" s="94">
        <v>2</v>
      </c>
      <c r="L43" s="90">
        <f t="shared" si="0"/>
        <v>34</v>
      </c>
      <c r="M43" s="91" t="s">
        <v>749</v>
      </c>
      <c r="N43" s="104" t="s">
        <v>824</v>
      </c>
      <c r="O43" s="104">
        <v>15</v>
      </c>
      <c r="P43" s="104" t="s">
        <v>1798</v>
      </c>
      <c r="Q43" s="104">
        <v>9</v>
      </c>
      <c r="R43" s="104" t="s">
        <v>1177</v>
      </c>
      <c r="S43" s="108">
        <v>9</v>
      </c>
      <c r="T43" s="95">
        <v>3895</v>
      </c>
      <c r="U43" s="95" t="s">
        <v>1501</v>
      </c>
      <c r="V43" s="95" t="s">
        <v>1502</v>
      </c>
      <c r="W43" s="95" t="s">
        <v>1503</v>
      </c>
      <c r="X43" s="107">
        <v>45076</v>
      </c>
      <c r="Y43" s="140">
        <v>45077</v>
      </c>
      <c r="Z43" s="105"/>
      <c r="AA43" s="105"/>
      <c r="AB43" s="95" t="s">
        <v>1046</v>
      </c>
      <c r="AC43" s="106"/>
      <c r="AD43" s="106"/>
      <c r="AE43" s="106"/>
      <c r="AF43" s="106" t="s">
        <v>726</v>
      </c>
      <c r="AG43" s="106" t="s">
        <v>726</v>
      </c>
      <c r="AH43" s="106" t="s">
        <v>726</v>
      </c>
      <c r="AI43" s="106" t="s">
        <v>726</v>
      </c>
      <c r="AJ43" s="106" t="s">
        <v>726</v>
      </c>
      <c r="AK43" s="106" t="s">
        <v>726</v>
      </c>
      <c r="AL43" s="106" t="s">
        <v>726</v>
      </c>
      <c r="AM43" s="106"/>
      <c r="AN43" s="106"/>
      <c r="AO43" s="106"/>
      <c r="AP43" s="106"/>
      <c r="AQ43" s="106"/>
      <c r="AR43" s="106"/>
      <c r="AS43" s="106"/>
      <c r="AT43" s="106"/>
      <c r="AU43" s="106"/>
      <c r="AV43" s="106"/>
    </row>
    <row r="44" spans="1:49" s="4" customFormat="1" ht="56.25">
      <c r="A44" s="83" t="s">
        <v>2117</v>
      </c>
      <c r="B44" s="84" t="s">
        <v>1755</v>
      </c>
      <c r="C44" s="85">
        <v>303</v>
      </c>
      <c r="D44" s="85">
        <v>549</v>
      </c>
      <c r="E44" s="86">
        <v>0.34375</v>
      </c>
      <c r="F44" s="86">
        <v>0.35972222222222222</v>
      </c>
      <c r="G44" s="85" t="s">
        <v>2091</v>
      </c>
      <c r="H44" s="85" t="s">
        <v>565</v>
      </c>
      <c r="I44" s="87">
        <v>17</v>
      </c>
      <c r="J44" s="88">
        <v>14</v>
      </c>
      <c r="K44" s="94">
        <v>5</v>
      </c>
      <c r="L44" s="90">
        <f t="shared" si="0"/>
        <v>85</v>
      </c>
      <c r="M44" s="91" t="s">
        <v>749</v>
      </c>
      <c r="N44" s="104" t="s">
        <v>824</v>
      </c>
      <c r="O44" s="104">
        <v>15</v>
      </c>
      <c r="P44" s="104" t="s">
        <v>1798</v>
      </c>
      <c r="Q44" s="104">
        <v>9</v>
      </c>
      <c r="R44" s="104" t="s">
        <v>1177</v>
      </c>
      <c r="S44" s="108">
        <v>9</v>
      </c>
      <c r="T44" s="95" t="s">
        <v>1514</v>
      </c>
      <c r="U44" s="95" t="s">
        <v>1515</v>
      </c>
      <c r="V44" s="95">
        <v>3895</v>
      </c>
      <c r="W44" s="95" t="s">
        <v>1501</v>
      </c>
      <c r="X44" s="107">
        <v>45054</v>
      </c>
      <c r="Y44" s="140">
        <v>45077</v>
      </c>
      <c r="Z44" s="105"/>
      <c r="AA44" s="105"/>
      <c r="AB44" s="95" t="s">
        <v>1081</v>
      </c>
      <c r="AC44" s="106" t="s">
        <v>726</v>
      </c>
      <c r="AD44" s="106"/>
      <c r="AE44" s="106" t="s">
        <v>726</v>
      </c>
      <c r="AF44" s="106"/>
      <c r="AG44" s="106"/>
      <c r="AH44" s="106"/>
      <c r="AI44" s="106"/>
      <c r="AJ44" s="106" t="s">
        <v>726</v>
      </c>
      <c r="AK44" s="106"/>
      <c r="AL44" s="106"/>
      <c r="AM44" s="106"/>
      <c r="AN44" s="106"/>
      <c r="AO44" s="106"/>
      <c r="AP44" s="106"/>
      <c r="AQ44" s="106"/>
      <c r="AR44" s="106"/>
      <c r="AS44" s="106"/>
      <c r="AT44" s="106"/>
      <c r="AU44" s="106"/>
      <c r="AV44" s="106"/>
    </row>
    <row r="45" spans="1:49" s="4" customFormat="1" ht="56.25">
      <c r="A45" s="83" t="s">
        <v>2118</v>
      </c>
      <c r="B45" s="84" t="s">
        <v>1755</v>
      </c>
      <c r="C45" s="85">
        <v>303</v>
      </c>
      <c r="D45" s="85">
        <v>544</v>
      </c>
      <c r="E45" s="86">
        <v>0.57430555555555551</v>
      </c>
      <c r="F45" s="86">
        <v>0.60138888888888886</v>
      </c>
      <c r="G45" s="85" t="s">
        <v>2092</v>
      </c>
      <c r="H45" s="85" t="s">
        <v>97</v>
      </c>
      <c r="I45" s="87">
        <v>17</v>
      </c>
      <c r="J45" s="88">
        <v>14</v>
      </c>
      <c r="K45" s="94">
        <v>28</v>
      </c>
      <c r="L45" s="90">
        <f t="shared" si="0"/>
        <v>476</v>
      </c>
      <c r="M45" s="91" t="s">
        <v>749</v>
      </c>
      <c r="N45" s="104" t="s">
        <v>824</v>
      </c>
      <c r="O45" s="104">
        <v>15</v>
      </c>
      <c r="P45" s="104" t="s">
        <v>1798</v>
      </c>
      <c r="Q45" s="104">
        <v>9</v>
      </c>
      <c r="R45" s="104" t="s">
        <v>1177</v>
      </c>
      <c r="S45" s="108">
        <v>9</v>
      </c>
      <c r="T45" s="95" t="s">
        <v>1514</v>
      </c>
      <c r="U45" s="95" t="s">
        <v>1515</v>
      </c>
      <c r="V45" s="95">
        <v>3895</v>
      </c>
      <c r="W45" s="95" t="s">
        <v>1501</v>
      </c>
      <c r="X45" s="107">
        <v>45054</v>
      </c>
      <c r="Y45" s="140">
        <v>45077</v>
      </c>
      <c r="Z45" s="105"/>
      <c r="AA45" s="105"/>
      <c r="AB45" s="95" t="s">
        <v>1046</v>
      </c>
      <c r="AC45" s="106"/>
      <c r="AD45" s="106"/>
      <c r="AE45" s="106"/>
      <c r="AF45" s="106" t="s">
        <v>726</v>
      </c>
      <c r="AG45" s="106" t="s">
        <v>726</v>
      </c>
      <c r="AH45" s="106" t="s">
        <v>726</v>
      </c>
      <c r="AI45" s="106" t="s">
        <v>726</v>
      </c>
      <c r="AJ45" s="106" t="s">
        <v>726</v>
      </c>
      <c r="AK45" s="106" t="s">
        <v>726</v>
      </c>
      <c r="AL45" s="106" t="s">
        <v>726</v>
      </c>
      <c r="AM45" s="106"/>
      <c r="AN45" s="106"/>
      <c r="AO45" s="106"/>
      <c r="AP45" s="106"/>
      <c r="AQ45" s="106"/>
      <c r="AR45" s="106"/>
      <c r="AS45" s="106"/>
      <c r="AT45" s="106"/>
      <c r="AU45" s="106"/>
      <c r="AV45" s="106"/>
    </row>
    <row r="46" spans="1:49" s="4" customFormat="1" ht="56.25">
      <c r="A46" s="83" t="s">
        <v>2119</v>
      </c>
      <c r="B46" s="84" t="s">
        <v>1755</v>
      </c>
      <c r="C46" s="85">
        <v>303</v>
      </c>
      <c r="D46" s="85">
        <v>546</v>
      </c>
      <c r="E46" s="86">
        <v>0.74444444444444446</v>
      </c>
      <c r="F46" s="86">
        <v>0.76180555555555562</v>
      </c>
      <c r="G46" s="85" t="s">
        <v>2101</v>
      </c>
      <c r="H46" s="85" t="s">
        <v>103</v>
      </c>
      <c r="I46" s="87">
        <v>17</v>
      </c>
      <c r="J46" s="88">
        <v>14</v>
      </c>
      <c r="K46" s="94">
        <v>2</v>
      </c>
      <c r="L46" s="90">
        <f t="shared" si="0"/>
        <v>34</v>
      </c>
      <c r="M46" s="91" t="s">
        <v>749</v>
      </c>
      <c r="N46" s="104" t="s">
        <v>824</v>
      </c>
      <c r="O46" s="104">
        <v>15</v>
      </c>
      <c r="P46" s="104" t="s">
        <v>1798</v>
      </c>
      <c r="Q46" s="104">
        <v>9</v>
      </c>
      <c r="R46" s="104" t="s">
        <v>1177</v>
      </c>
      <c r="S46" s="108">
        <v>9</v>
      </c>
      <c r="T46" s="95" t="s">
        <v>1514</v>
      </c>
      <c r="U46" s="95" t="s">
        <v>1515</v>
      </c>
      <c r="V46" s="95">
        <v>3895</v>
      </c>
      <c r="W46" s="95" t="s">
        <v>1501</v>
      </c>
      <c r="X46" s="107">
        <v>45054</v>
      </c>
      <c r="Y46" s="140">
        <v>45077</v>
      </c>
      <c r="Z46" s="105"/>
      <c r="AA46" s="105"/>
      <c r="AB46" s="95" t="s">
        <v>1046</v>
      </c>
      <c r="AC46" s="106"/>
      <c r="AD46" s="106"/>
      <c r="AE46" s="106"/>
      <c r="AF46" s="106" t="s">
        <v>726</v>
      </c>
      <c r="AG46" s="106" t="s">
        <v>726</v>
      </c>
      <c r="AH46" s="106" t="s">
        <v>726</v>
      </c>
      <c r="AI46" s="106" t="s">
        <v>726</v>
      </c>
      <c r="AJ46" s="106" t="s">
        <v>726</v>
      </c>
      <c r="AK46" s="106" t="s">
        <v>726</v>
      </c>
      <c r="AL46" s="106" t="s">
        <v>726</v>
      </c>
      <c r="AM46" s="106"/>
      <c r="AN46" s="106"/>
      <c r="AO46" s="106"/>
      <c r="AP46" s="106"/>
      <c r="AQ46" s="106"/>
      <c r="AR46" s="106"/>
      <c r="AS46" s="106"/>
      <c r="AT46" s="106"/>
      <c r="AU46" s="106"/>
      <c r="AV46" s="106"/>
    </row>
    <row r="47" spans="1:49" s="4" customFormat="1" ht="45">
      <c r="A47" s="83" t="s">
        <v>2120</v>
      </c>
      <c r="B47" s="84" t="s">
        <v>1755</v>
      </c>
      <c r="C47" s="85">
        <v>303</v>
      </c>
      <c r="D47" s="85">
        <v>550</v>
      </c>
      <c r="E47" s="86">
        <v>0.53611111111111109</v>
      </c>
      <c r="F47" s="86">
        <v>0.55347222222222225</v>
      </c>
      <c r="G47" s="85" t="s">
        <v>2093</v>
      </c>
      <c r="H47" s="85" t="s">
        <v>565</v>
      </c>
      <c r="I47" s="87">
        <v>17</v>
      </c>
      <c r="J47" s="88">
        <v>14</v>
      </c>
      <c r="K47" s="94">
        <v>5</v>
      </c>
      <c r="L47" s="90">
        <f t="shared" si="0"/>
        <v>85</v>
      </c>
      <c r="M47" s="113" t="s">
        <v>751</v>
      </c>
      <c r="N47" s="104" t="s">
        <v>956</v>
      </c>
      <c r="O47" s="104">
        <v>9</v>
      </c>
      <c r="P47" s="104" t="s">
        <v>1802</v>
      </c>
      <c r="Q47" s="104">
        <v>9</v>
      </c>
      <c r="R47" s="83"/>
      <c r="S47" s="104"/>
      <c r="T47" s="95" t="s">
        <v>1514</v>
      </c>
      <c r="U47" s="95" t="s">
        <v>1515</v>
      </c>
      <c r="V47" s="95">
        <v>3895</v>
      </c>
      <c r="W47" s="95" t="s">
        <v>1501</v>
      </c>
      <c r="X47" s="107">
        <v>45054</v>
      </c>
      <c r="Y47" s="140">
        <v>45077</v>
      </c>
      <c r="Z47" s="105"/>
      <c r="AA47" s="105"/>
      <c r="AB47" s="95" t="s">
        <v>1081</v>
      </c>
      <c r="AC47" s="106" t="s">
        <v>726</v>
      </c>
      <c r="AD47" s="106"/>
      <c r="AE47" s="106" t="s">
        <v>726</v>
      </c>
      <c r="AF47" s="106"/>
      <c r="AG47" s="106"/>
      <c r="AH47" s="106"/>
      <c r="AI47" s="106"/>
      <c r="AJ47" s="106" t="s">
        <v>726</v>
      </c>
      <c r="AK47" s="106"/>
      <c r="AL47" s="106"/>
      <c r="AM47" s="106"/>
      <c r="AN47" s="106"/>
      <c r="AO47" s="106"/>
      <c r="AP47" s="106"/>
      <c r="AQ47" s="106"/>
      <c r="AR47" s="106"/>
      <c r="AS47" s="106"/>
      <c r="AT47" s="106"/>
      <c r="AU47" s="106"/>
      <c r="AV47" s="106"/>
    </row>
    <row r="48" spans="1:49" s="4" customFormat="1" ht="56.25">
      <c r="A48" s="2" t="s">
        <v>2121</v>
      </c>
      <c r="B48" s="126" t="s">
        <v>1755</v>
      </c>
      <c r="C48" s="118">
        <v>303</v>
      </c>
      <c r="D48" s="118">
        <v>551</v>
      </c>
      <c r="E48" s="123">
        <v>0.59375</v>
      </c>
      <c r="F48" s="123">
        <v>0.60972222222222217</v>
      </c>
      <c r="G48" s="118" t="s">
        <v>2091</v>
      </c>
      <c r="H48" s="118" t="s">
        <v>565</v>
      </c>
      <c r="I48" s="127">
        <v>17</v>
      </c>
      <c r="J48" s="124">
        <v>14</v>
      </c>
      <c r="K48" s="128">
        <v>5</v>
      </c>
      <c r="L48" s="129">
        <f t="shared" si="0"/>
        <v>85</v>
      </c>
      <c r="M48" s="135" t="s">
        <v>751</v>
      </c>
      <c r="N48" s="23" t="s">
        <v>956</v>
      </c>
      <c r="O48" s="23">
        <v>9</v>
      </c>
      <c r="P48" s="23" t="s">
        <v>1802</v>
      </c>
      <c r="Q48" s="23">
        <v>9</v>
      </c>
      <c r="R48" s="2"/>
      <c r="S48" s="23"/>
      <c r="T48" s="7">
        <v>3895</v>
      </c>
      <c r="U48" s="7" t="s">
        <v>1501</v>
      </c>
      <c r="V48" s="7" t="s">
        <v>1502</v>
      </c>
      <c r="W48" s="7" t="s">
        <v>1503</v>
      </c>
      <c r="X48" s="18">
        <v>45054</v>
      </c>
      <c r="Y48" s="18">
        <v>45077</v>
      </c>
      <c r="Z48" s="116">
        <v>45092</v>
      </c>
      <c r="AA48" s="116">
        <v>45092</v>
      </c>
      <c r="AB48" s="7" t="s">
        <v>1081</v>
      </c>
      <c r="AC48" s="8" t="s">
        <v>726</v>
      </c>
      <c r="AD48" s="8"/>
      <c r="AE48" s="8" t="s">
        <v>726</v>
      </c>
      <c r="AF48" s="8"/>
      <c r="AG48" s="8"/>
      <c r="AH48" s="8"/>
      <c r="AI48" s="8"/>
      <c r="AJ48" s="8" t="s">
        <v>726</v>
      </c>
      <c r="AK48" s="8"/>
      <c r="AL48" s="8"/>
      <c r="AM48" s="8"/>
      <c r="AN48" s="8"/>
      <c r="AO48" s="8"/>
      <c r="AP48" s="8"/>
      <c r="AQ48" s="8"/>
      <c r="AR48" s="8"/>
      <c r="AS48" s="8"/>
      <c r="AT48" s="8"/>
      <c r="AU48" s="8"/>
      <c r="AV48" s="8"/>
      <c r="AW48" s="142">
        <v>51</v>
      </c>
    </row>
    <row r="49" spans="1:50" s="4" customFormat="1" ht="56.25">
      <c r="A49" s="83" t="s">
        <v>1898</v>
      </c>
      <c r="B49" s="84" t="s">
        <v>1755</v>
      </c>
      <c r="C49" s="85">
        <v>625</v>
      </c>
      <c r="D49" s="85">
        <v>581</v>
      </c>
      <c r="E49" s="86">
        <v>0.29791666666666666</v>
      </c>
      <c r="F49" s="86">
        <v>0.3</v>
      </c>
      <c r="G49" s="85" t="s">
        <v>1139</v>
      </c>
      <c r="H49" s="85" t="s">
        <v>103</v>
      </c>
      <c r="I49" s="87">
        <v>1</v>
      </c>
      <c r="J49" s="88" t="s">
        <v>127</v>
      </c>
      <c r="K49" s="94">
        <v>35</v>
      </c>
      <c r="L49" s="90">
        <f t="shared" si="0"/>
        <v>35</v>
      </c>
      <c r="M49" s="91" t="s">
        <v>1138</v>
      </c>
      <c r="N49" s="104" t="s">
        <v>946</v>
      </c>
      <c r="O49" s="104">
        <v>43</v>
      </c>
      <c r="P49" s="104" t="s">
        <v>1199</v>
      </c>
      <c r="Q49" s="104">
        <v>54</v>
      </c>
      <c r="R49" s="104" t="s">
        <v>1200</v>
      </c>
      <c r="S49" s="108">
        <v>55</v>
      </c>
      <c r="T49" s="95" t="s">
        <v>1642</v>
      </c>
      <c r="U49" s="95" t="s">
        <v>1643</v>
      </c>
      <c r="V49" s="95" t="s">
        <v>1642</v>
      </c>
      <c r="W49" s="95" t="s">
        <v>1643</v>
      </c>
      <c r="X49" s="105">
        <v>44831</v>
      </c>
      <c r="Y49" s="105">
        <v>44865</v>
      </c>
      <c r="Z49" s="105"/>
      <c r="AA49" s="105"/>
      <c r="AB49" s="95" t="s">
        <v>1042</v>
      </c>
      <c r="AC49" s="106"/>
      <c r="AD49" s="106"/>
      <c r="AE49" s="106"/>
      <c r="AF49" s="106" t="s">
        <v>726</v>
      </c>
      <c r="AG49" s="106" t="s">
        <v>726</v>
      </c>
      <c r="AH49" s="106" t="s">
        <v>726</v>
      </c>
      <c r="AI49" s="106" t="s">
        <v>726</v>
      </c>
      <c r="AJ49" s="106" t="s">
        <v>726</v>
      </c>
      <c r="AK49" s="106" t="s">
        <v>726</v>
      </c>
      <c r="AL49" s="106"/>
      <c r="AM49" s="106"/>
      <c r="AN49" s="106"/>
      <c r="AO49" s="106"/>
      <c r="AP49" s="106"/>
      <c r="AQ49" s="106"/>
      <c r="AR49" s="106"/>
      <c r="AS49" s="106"/>
      <c r="AT49" s="106"/>
      <c r="AU49" s="106"/>
      <c r="AV49" s="106"/>
      <c r="AX49" s="142"/>
    </row>
  </sheetData>
  <conditionalFormatting sqref="Y2:AA2">
    <cfRule type="expression" dxfId="151" priority="97">
      <formula>Y2=#REF!</formula>
    </cfRule>
  </conditionalFormatting>
  <conditionalFormatting sqref="N2:Q2">
    <cfRule type="expression" dxfId="150" priority="96">
      <formula>N2=#REF!</formula>
    </cfRule>
  </conditionalFormatting>
  <conditionalFormatting sqref="X2">
    <cfRule type="expression" dxfId="149" priority="95">
      <formula>X2=#REF!</formula>
    </cfRule>
  </conditionalFormatting>
  <conditionalFormatting sqref="R3:S6">
    <cfRule type="expression" dxfId="148" priority="94">
      <formula>R3=#REF!</formula>
    </cfRule>
  </conditionalFormatting>
  <conditionalFormatting sqref="AB5">
    <cfRule type="expression" dxfId="147" priority="92">
      <formula>AB5=#REF!</formula>
    </cfRule>
  </conditionalFormatting>
  <conditionalFormatting sqref="X3:Y6">
    <cfRule type="expression" dxfId="146" priority="93">
      <formula>X3=#REF!</formula>
    </cfRule>
  </conditionalFormatting>
  <conditionalFormatting sqref="N3:Q3">
    <cfRule type="expression" dxfId="145" priority="91">
      <formula>N3=#REF!</formula>
    </cfRule>
  </conditionalFormatting>
  <conditionalFormatting sqref="N4:Q4">
    <cfRule type="expression" dxfId="144" priority="90">
      <formula>N4=#REF!</formula>
    </cfRule>
  </conditionalFormatting>
  <conditionalFormatting sqref="P5:Q5">
    <cfRule type="cellIs" dxfId="143" priority="88" operator="equal">
      <formula>#REF!</formula>
    </cfRule>
  </conditionalFormatting>
  <conditionalFormatting sqref="N6:O6 N5:Q5">
    <cfRule type="expression" dxfId="142" priority="89">
      <formula>N5=#REF!</formula>
    </cfRule>
  </conditionalFormatting>
  <conditionalFormatting sqref="P6:Q6">
    <cfRule type="expression" dxfId="141" priority="87">
      <formula>P6=#REF!</formula>
    </cfRule>
  </conditionalFormatting>
  <conditionalFormatting sqref="X17:X18 Z17:AA18">
    <cfRule type="expression" dxfId="140" priority="86">
      <formula>X17=#REF!</formula>
    </cfRule>
  </conditionalFormatting>
  <conditionalFormatting sqref="X16:AA16 Y17:Y18">
    <cfRule type="expression" dxfId="139" priority="85">
      <formula>X16=#REF!</formula>
    </cfRule>
  </conditionalFormatting>
  <conditionalFormatting sqref="S16">
    <cfRule type="expression" dxfId="138" priority="84">
      <formula>S16=#REF!</formula>
    </cfRule>
  </conditionalFormatting>
  <conditionalFormatting sqref="N16:O16">
    <cfRule type="expression" dxfId="137" priority="83">
      <formula>N16=#REF!</formula>
    </cfRule>
  </conditionalFormatting>
  <conditionalFormatting sqref="S18">
    <cfRule type="expression" dxfId="136" priority="82">
      <formula>S18=#REF!</formula>
    </cfRule>
  </conditionalFormatting>
  <conditionalFormatting sqref="N18:O18">
    <cfRule type="expression" dxfId="135" priority="81">
      <formula>N18=#REF!</formula>
    </cfRule>
  </conditionalFormatting>
  <conditionalFormatting sqref="S17">
    <cfRule type="expression" dxfId="134" priority="80">
      <formula>S17=#REF!</formula>
    </cfRule>
  </conditionalFormatting>
  <conditionalFormatting sqref="N17:O17">
    <cfRule type="expression" dxfId="133" priority="79">
      <formula>N17=#REF!</formula>
    </cfRule>
  </conditionalFormatting>
  <conditionalFormatting sqref="Q7:S7">
    <cfRule type="expression" dxfId="132" priority="78">
      <formula>Q7=#REF!</formula>
    </cfRule>
  </conditionalFormatting>
  <conditionalFormatting sqref="AB8">
    <cfRule type="expression" dxfId="131" priority="77">
      <formula>AB8=#REF!</formula>
    </cfRule>
  </conditionalFormatting>
  <conditionalFormatting sqref="Q8:S8">
    <cfRule type="expression" dxfId="130" priority="76">
      <formula>Q8=#REF!</formula>
    </cfRule>
  </conditionalFormatting>
  <conditionalFormatting sqref="AB9">
    <cfRule type="expression" dxfId="129" priority="75">
      <formula>AB9=#REF!</formula>
    </cfRule>
  </conditionalFormatting>
  <conditionalFormatting sqref="Q9:S9">
    <cfRule type="expression" dxfId="128" priority="74">
      <formula>Q9=#REF!</formula>
    </cfRule>
  </conditionalFormatting>
  <conditionalFormatting sqref="R15">
    <cfRule type="expression" dxfId="127" priority="60">
      <formula>R15=#REF!</formula>
    </cfRule>
  </conditionalFormatting>
  <conditionalFormatting sqref="AB10">
    <cfRule type="expression" dxfId="126" priority="73">
      <formula>AB10=#REF!</formula>
    </cfRule>
  </conditionalFormatting>
  <conditionalFormatting sqref="Q10:S10">
    <cfRule type="expression" dxfId="125" priority="72">
      <formula>Q10=#REF!</formula>
    </cfRule>
  </conditionalFormatting>
  <conditionalFormatting sqref="AB11">
    <cfRule type="expression" dxfId="124" priority="71">
      <formula>AB11=#REF!</formula>
    </cfRule>
  </conditionalFormatting>
  <conditionalFormatting sqref="Q11:S11">
    <cfRule type="expression" dxfId="123" priority="70">
      <formula>Q11=#REF!</formula>
    </cfRule>
  </conditionalFormatting>
  <conditionalFormatting sqref="AB12">
    <cfRule type="expression" dxfId="122" priority="69">
      <formula>AB12=#REF!</formula>
    </cfRule>
  </conditionalFormatting>
  <conditionalFormatting sqref="Q12:S12">
    <cfRule type="expression" dxfId="121" priority="68">
      <formula>Q12=#REF!</formula>
    </cfRule>
  </conditionalFormatting>
  <conditionalFormatting sqref="AB13">
    <cfRule type="expression" dxfId="120" priority="67">
      <formula>AB13=#REF!</formula>
    </cfRule>
  </conditionalFormatting>
  <conditionalFormatting sqref="Q13:S13">
    <cfRule type="expression" dxfId="119" priority="66">
      <formula>Q13=#REF!</formula>
    </cfRule>
  </conditionalFormatting>
  <conditionalFormatting sqref="S14">
    <cfRule type="expression" dxfId="118" priority="65">
      <formula>S14=#REF!</formula>
    </cfRule>
  </conditionalFormatting>
  <conditionalFormatting sqref="P14:Q14">
    <cfRule type="expression" dxfId="117" priority="64">
      <formula>P14=#REF!</formula>
    </cfRule>
  </conditionalFormatting>
  <conditionalFormatting sqref="R14">
    <cfRule type="expression" dxfId="116" priority="63">
      <formula>R14=#REF!</formula>
    </cfRule>
  </conditionalFormatting>
  <conditionalFormatting sqref="S15">
    <cfRule type="expression" dxfId="115" priority="62">
      <formula>S15=#REF!</formula>
    </cfRule>
  </conditionalFormatting>
  <conditionalFormatting sqref="P15:Q15">
    <cfRule type="expression" dxfId="114" priority="61">
      <formula>P15=#REF!</formula>
    </cfRule>
  </conditionalFormatting>
  <conditionalFormatting sqref="X26">
    <cfRule type="expression" dxfId="113" priority="59">
      <formula>X26=#REF!</formula>
    </cfRule>
  </conditionalFormatting>
  <conditionalFormatting sqref="N19:R25">
    <cfRule type="expression" dxfId="112" priority="58">
      <formula>N19=#REF!</formula>
    </cfRule>
  </conditionalFormatting>
  <conditionalFormatting sqref="S19:S25">
    <cfRule type="expression" dxfId="111" priority="57">
      <formula>S19=#REF!</formula>
    </cfRule>
  </conditionalFormatting>
  <conditionalFormatting sqref="Y26:AA26">
    <cfRule type="expression" dxfId="110" priority="56">
      <formula>Y26=#REF!</formula>
    </cfRule>
  </conditionalFormatting>
  <conditionalFormatting sqref="S26">
    <cfRule type="expression" dxfId="109" priority="55">
      <formula>S26=#REF!</formula>
    </cfRule>
  </conditionalFormatting>
  <conditionalFormatting sqref="N26:O26">
    <cfRule type="expression" dxfId="108" priority="54">
      <formula>N26=#REF!</formula>
    </cfRule>
  </conditionalFormatting>
  <conditionalFormatting sqref="Y19:Y25">
    <cfRule type="expression" dxfId="107" priority="53">
      <formula>Y19=#REF!</formula>
    </cfRule>
  </conditionalFormatting>
  <conditionalFormatting sqref="AB36:AB37 FE27 JQ27 OC27 SO27 XA27 ABM27 AFY27 AKK27 AOW27 ATI27 AXU27 BCG27 BGS27 BLE27 BPQ27 BUC27 BYO27 CDA27 CHM27 CLY27 CQK27 CUW27 CZI27 DDU27 DIG27 DMS27 DRE27 DVQ27 EAC27 EEO27 EJA27 ENM27 ERY27 EWK27 FAW27 FFI27 FJU27 FOG27 FSS27 FXE27 GBQ27 GGC27 GKO27 GPA27 GTM27 GXY27 HCK27 HGW27 HLI27 HPU27 HUG27 HYS27 IDE27 IHQ27 IMC27 IQO27 IVA27 IZM27 JDY27 JIK27 JMW27 JRI27 JVU27 KAG27 KES27 KJE27 KNQ27 KSC27 KWO27 LBA27 LFM27 LJY27 LOK27 LSW27 LXI27 MBU27 MGG27 MKS27 MPE27 MTQ27 MYC27 NCO27 NHA27 NLM27 NPY27 NUK27 NYW27 ODI27 OHU27 OMG27 OQS27 OVE27 OZQ27 PEC27 PIO27 PNA27 PRM27 PVY27 QAK27 QEW27 QJI27 QNU27 QSG27 QWS27 RBE27 RFQ27 RKC27 ROO27 RTA27 RXM27 SBY27 SGK27 SKW27 SPI27 STU27 SYG27 TCS27 THE27 TLQ27 TQC27 TUO27 TZA27 UDM27 UHY27 UMK27 UQW27 UVI27 UZU27 VEG27 VIS27 VNE27 VRQ27:XFD27 AB27:AB28 R27:S42 AB41:AB42">
    <cfRule type="expression" dxfId="106" priority="52">
      <formula>R27=#REF!</formula>
    </cfRule>
  </conditionalFormatting>
  <conditionalFormatting sqref="EU27 JG27 NS27 SE27 WQ27 ABC27 AFO27 AKA27 AOM27 ASY27 AXK27 BBW27 BGI27 BKU27 BPG27 BTS27 BYE27 CCQ27 CHC27 CLO27 CQA27 CUM27 CYY27 DDK27 DHW27 DMI27 DQU27 DVG27 DZS27 EEE27 EIQ27 ENC27 ERO27 EWA27 FAM27 FEY27 FJK27 FNW27 FSI27 FWU27 GBG27 GFS27 GKE27 GOQ27 GTC27 GXO27 HCA27 HGM27 HKY27 HPK27 HTW27 HYI27 ICU27 IHG27 ILS27 IQE27 IUQ27 IZC27 JDO27 JIA27 JMM27 JQY27 JVK27 JZW27 KEI27 KIU27 KNG27 KRS27 KWE27 LAQ27 LFC27 LJO27 LOA27 LSM27 LWY27 MBK27 MFW27 MKI27 MOU27 MTG27 MXS27 NCE27 NGQ27 NLC27 NPO27 NUA27 NYM27 OCY27 OHK27 OLW27 OQI27 OUU27 OZG27 PDS27 PIE27 PMQ27 PRC27 PVO27 QAA27 QEM27 QIY27 QNK27 QRW27 QWI27 RAU27 RFG27 RJS27 ROE27 RSQ27 RXC27 SBO27 SGA27 SKM27 SOY27 STK27 SXW27 TCI27 TGU27 TLG27 TPS27 TUE27 TYQ27 UDC27 UHO27 UMA27 UQM27 UUY27 UZK27 VDW27 VII27 VMU27 VRG27">
    <cfRule type="expression" dxfId="105" priority="51">
      <formula>EU27=#REF!</formula>
    </cfRule>
  </conditionalFormatting>
  <conditionalFormatting sqref="EV27 JH27 NT27 SF27 WR27 ABD27 AFP27 AKB27 AON27 ASZ27 AXL27 BBX27 BGJ27 BKV27 BPH27 BTT27 BYF27 CCR27 CHD27 CLP27 CQB27 CUN27 CYZ27 DDL27 DHX27 DMJ27 DQV27 DVH27 DZT27 EEF27 EIR27 END27 ERP27 EWB27 FAN27 FEZ27 FJL27 FNX27 FSJ27 FWV27 GBH27 GFT27 GKF27 GOR27 GTD27 GXP27 HCB27 HGN27 HKZ27 HPL27 HTX27 HYJ27 ICV27 IHH27 ILT27 IQF27 IUR27 IZD27 JDP27 JIB27 JMN27 JQZ27 JVL27 JZX27 KEJ27 KIV27 KNH27 KRT27 KWF27 LAR27 LFD27 LJP27 LOB27 LSN27 LWZ27 MBL27 MFX27 MKJ27 MOV27 MTH27 MXT27 NCF27 NGR27 NLD27 NPP27 NUB27 NYN27 OCZ27 OHL27 OLX27 OQJ27 OUV27 OZH27 PDT27 PIF27 PMR27 PRD27 PVP27 QAB27 QEN27 QIZ27 QNL27 QRX27 QWJ27 RAV27 RFH27 RJT27 ROF27 RSR27 RXD27 SBP27 SGB27 SKN27 SOZ27 STL27 SXX27 TCJ27 TGV27 TLH27 TPT27 TUF27 TYR27 UDD27 UHP27 UMB27 UQN27 UUZ27 UZL27 VDX27 VIJ27 VMV27 VRH27">
    <cfRule type="expression" dxfId="104" priority="50">
      <formula>EV27=#REF!</formula>
    </cfRule>
  </conditionalFormatting>
  <conditionalFormatting sqref="N27:O42">
    <cfRule type="expression" dxfId="103" priority="49">
      <formula>N27=#REF!</formula>
    </cfRule>
  </conditionalFormatting>
  <conditionalFormatting sqref="N28:O28 R28">
    <cfRule type="expression" dxfId="102" priority="47">
      <formula>N28=#REF!</formula>
    </cfRule>
  </conditionalFormatting>
  <conditionalFormatting sqref="P28:Q28">
    <cfRule type="expression" dxfId="101" priority="48">
      <formula>P28=#REF!</formula>
    </cfRule>
  </conditionalFormatting>
  <conditionalFormatting sqref="S28">
    <cfRule type="expression" dxfId="100" priority="46">
      <formula>S28=#REF!</formula>
    </cfRule>
  </conditionalFormatting>
  <conditionalFormatting sqref="S29">
    <cfRule type="expression" dxfId="99" priority="45">
      <formula>S29=#REF!</formula>
    </cfRule>
  </conditionalFormatting>
  <conditionalFormatting sqref="N29:R29">
    <cfRule type="expression" dxfId="98" priority="44">
      <formula>N29=#REF!</formula>
    </cfRule>
  </conditionalFormatting>
  <conditionalFormatting sqref="S30">
    <cfRule type="expression" dxfId="97" priority="43">
      <formula>S30=#REF!</formula>
    </cfRule>
  </conditionalFormatting>
  <conditionalFormatting sqref="N30:R30">
    <cfRule type="expression" dxfId="96" priority="42">
      <formula>N30=#REF!</formula>
    </cfRule>
  </conditionalFormatting>
  <conditionalFormatting sqref="S31">
    <cfRule type="expression" dxfId="95" priority="41">
      <formula>S31=#REF!</formula>
    </cfRule>
  </conditionalFormatting>
  <conditionalFormatting sqref="N31:R31">
    <cfRule type="expression" dxfId="94" priority="40">
      <formula>N31=#REF!</formula>
    </cfRule>
  </conditionalFormatting>
  <conditionalFormatting sqref="S32">
    <cfRule type="expression" dxfId="93" priority="39">
      <formula>S32=#REF!</formula>
    </cfRule>
  </conditionalFormatting>
  <conditionalFormatting sqref="N32:R32">
    <cfRule type="expression" dxfId="92" priority="38">
      <formula>N32=#REF!</formula>
    </cfRule>
  </conditionalFormatting>
  <conditionalFormatting sqref="S33">
    <cfRule type="expression" dxfId="91" priority="37">
      <formula>S33=#REF!</formula>
    </cfRule>
  </conditionalFormatting>
  <conditionalFormatting sqref="N33:R33">
    <cfRule type="expression" dxfId="90" priority="36">
      <formula>N33=#REF!</formula>
    </cfRule>
  </conditionalFormatting>
  <conditionalFormatting sqref="S34">
    <cfRule type="expression" dxfId="89" priority="35">
      <formula>S34=#REF!</formula>
    </cfRule>
  </conditionalFormatting>
  <conditionalFormatting sqref="N34:R34">
    <cfRule type="expression" dxfId="88" priority="34">
      <formula>N34=#REF!</formula>
    </cfRule>
  </conditionalFormatting>
  <conditionalFormatting sqref="R35:S35">
    <cfRule type="expression" dxfId="87" priority="33">
      <formula>R35=#REF!</formula>
    </cfRule>
  </conditionalFormatting>
  <conditionalFormatting sqref="N36:O36">
    <cfRule type="expression" dxfId="86" priority="32">
      <formula>N36=#REF!</formula>
    </cfRule>
  </conditionalFormatting>
  <conditionalFormatting sqref="N37:O37">
    <cfRule type="expression" dxfId="85" priority="31">
      <formula>N37=#REF!</formula>
    </cfRule>
  </conditionalFormatting>
  <conditionalFormatting sqref="R38:S38">
    <cfRule type="expression" dxfId="84" priority="30">
      <formula>R38=#REF!</formula>
    </cfRule>
  </conditionalFormatting>
  <conditionalFormatting sqref="N38:O38">
    <cfRule type="expression" dxfId="83" priority="29">
      <formula>N38=#REF!</formula>
    </cfRule>
  </conditionalFormatting>
  <conditionalFormatting sqref="R39:S39">
    <cfRule type="expression" dxfId="82" priority="28">
      <formula>R39=#REF!</formula>
    </cfRule>
  </conditionalFormatting>
  <conditionalFormatting sqref="N39:O39">
    <cfRule type="expression" dxfId="81" priority="27">
      <formula>N39=#REF!</formula>
    </cfRule>
  </conditionalFormatting>
  <conditionalFormatting sqref="N40:O40 R40">
    <cfRule type="expression" dxfId="80" priority="26">
      <formula>N40=#REF!</formula>
    </cfRule>
  </conditionalFormatting>
  <conditionalFormatting sqref="S40">
    <cfRule type="expression" dxfId="79" priority="25">
      <formula>S40=#REF!</formula>
    </cfRule>
  </conditionalFormatting>
  <conditionalFormatting sqref="P36:P37">
    <cfRule type="expression" dxfId="78" priority="24">
      <formula>P36=#REF!</formula>
    </cfRule>
  </conditionalFormatting>
  <conditionalFormatting sqref="Q36:Q37">
    <cfRule type="expression" dxfId="77" priority="23">
      <formula>Q36=#REF!</formula>
    </cfRule>
  </conditionalFormatting>
  <conditionalFormatting sqref="P36:Q37">
    <cfRule type="expression" dxfId="76" priority="22">
      <formula>P36=#REF!</formula>
    </cfRule>
  </conditionalFormatting>
  <conditionalFormatting sqref="N27:O27 EQ27:ER27 JC27:JD27 NO27:NP27 SA27:SB27 WM27:WN27 AAY27:AAZ27 AFK27:AFL27 AJW27:AJX27 AOI27:AOJ27 ASU27:ASV27 AXG27:AXH27 BBS27:BBT27 BGE27:BGF27 BKQ27:BKR27 BPC27:BPD27 BTO27:BTP27 BYA27:BYB27 CCM27:CCN27 CGY27:CGZ27 CLK27:CLL27 CPW27:CPX27 CUI27:CUJ27 CYU27:CYV27 DDG27:DDH27 DHS27:DHT27 DME27:DMF27 DQQ27:DQR27 DVC27:DVD27 DZO27:DZP27 EEA27:EEB27 EIM27:EIN27 EMY27:EMZ27 ERK27:ERL27 EVW27:EVX27 FAI27:FAJ27 FEU27:FEV27 FJG27:FJH27 FNS27:FNT27 FSE27:FSF27 FWQ27:FWR27 GBC27:GBD27 GFO27:GFP27 GKA27:GKB27 GOM27:GON27 GSY27:GSZ27 GXK27:GXL27 HBW27:HBX27 HGI27:HGJ27 HKU27:HKV27 HPG27:HPH27 HTS27:HTT27 HYE27:HYF27 ICQ27:ICR27 IHC27:IHD27 ILO27:ILP27 IQA27:IQB27 IUM27:IUN27 IYY27:IYZ27 JDK27:JDL27 JHW27:JHX27 JMI27:JMJ27 JQU27:JQV27 JVG27:JVH27 JZS27:JZT27 KEE27:KEF27 KIQ27:KIR27 KNC27:KND27 KRO27:KRP27 KWA27:KWB27 LAM27:LAN27 LEY27:LEZ27 LJK27:LJL27 LNW27:LNX27 LSI27:LSJ27 LWU27:LWV27 MBG27:MBH27 MFS27:MFT27 MKE27:MKF27 MOQ27:MOR27 MTC27:MTD27 MXO27:MXP27 NCA27:NCB27 NGM27:NGN27 NKY27:NKZ27 NPK27:NPL27 NTW27:NTX27 NYI27:NYJ27 OCU27:OCV27 OHG27:OHH27 OLS27:OLT27 OQE27:OQF27 OUQ27:OUR27 OZC27:OZD27 PDO27:PDP27 PIA27:PIB27 PMM27:PMN27 PQY27:PQZ27 PVK27:PVL27 PZW27:PZX27 QEI27:QEJ27 QIU27:QIV27 QNG27:QNH27 QRS27:QRT27 QWE27:QWF27 RAQ27:RAR27 RFC27:RFD27 RJO27:RJP27 ROA27:ROB27 RSM27:RSN27 RWY27:RWZ27 SBK27:SBL27 SFW27:SFX27 SKI27:SKJ27 SOU27:SOV27 STG27:STH27 SXS27:SXT27 TCE27:TCF27 TGQ27:TGR27 TLC27:TLD27 TPO27:TPP27 TUA27:TUB27 TYM27:TYN27 UCY27:UCZ27 UHK27:UHL27 ULW27:ULX27 UQI27:UQJ27 UUU27:UUV27 UZG27:UZH27 VDS27:VDT27 VIE27:VIF27 VMQ27:VMR27 VRC27:VRD27">
    <cfRule type="expression" dxfId="75" priority="21">
      <formula>N27=#REF!</formula>
    </cfRule>
  </conditionalFormatting>
  <conditionalFormatting sqref="N27:O27 EQ27:ER27 JC27:JD27 NO27:NP27 SA27:SB27 WM27:WN27 AAY27:AAZ27 AFK27:AFL27 AJW27:AJX27 AOI27:AOJ27 ASU27:ASV27 AXG27:AXH27 BBS27:BBT27 BGE27:BGF27 BKQ27:BKR27 BPC27:BPD27 BTO27:BTP27 BYA27:BYB27 CCM27:CCN27 CGY27:CGZ27 CLK27:CLL27 CPW27:CPX27 CUI27:CUJ27 CYU27:CYV27 DDG27:DDH27 DHS27:DHT27 DME27:DMF27 DQQ27:DQR27 DVC27:DVD27 DZO27:DZP27 EEA27:EEB27 EIM27:EIN27 EMY27:EMZ27 ERK27:ERL27 EVW27:EVX27 FAI27:FAJ27 FEU27:FEV27 FJG27:FJH27 FNS27:FNT27 FSE27:FSF27 FWQ27:FWR27 GBC27:GBD27 GFO27:GFP27 GKA27:GKB27 GOM27:GON27 GSY27:GSZ27 GXK27:GXL27 HBW27:HBX27 HGI27:HGJ27 HKU27:HKV27 HPG27:HPH27 HTS27:HTT27 HYE27:HYF27 ICQ27:ICR27 IHC27:IHD27 ILO27:ILP27 IQA27:IQB27 IUM27:IUN27 IYY27:IYZ27 JDK27:JDL27 JHW27:JHX27 JMI27:JMJ27 JQU27:JQV27 JVG27:JVH27 JZS27:JZT27 KEE27:KEF27 KIQ27:KIR27 KNC27:KND27 KRO27:KRP27 KWA27:KWB27 LAM27:LAN27 LEY27:LEZ27 LJK27:LJL27 LNW27:LNX27 LSI27:LSJ27 LWU27:LWV27 MBG27:MBH27 MFS27:MFT27 MKE27:MKF27 MOQ27:MOR27 MTC27:MTD27 MXO27:MXP27 NCA27:NCB27 NGM27:NGN27 NKY27:NKZ27 NPK27:NPL27 NTW27:NTX27 NYI27:NYJ27 OCU27:OCV27 OHG27:OHH27 OLS27:OLT27 OQE27:OQF27 OUQ27:OUR27 OZC27:OZD27 PDO27:PDP27 PIA27:PIB27 PMM27:PMN27 PQY27:PQZ27 PVK27:PVL27 PZW27:PZX27 QEI27:QEJ27 QIU27:QIV27 QNG27:QNH27 QRS27:QRT27 QWE27:QWF27 RAQ27:RAR27 RFC27:RFD27 RJO27:RJP27 ROA27:ROB27 RSM27:RSN27 RWY27:RWZ27 SBK27:SBL27 SFW27:SFX27 SKI27:SKJ27 SOU27:SOV27 STG27:STH27 SXS27:SXT27 TCE27:TCF27 TGQ27:TGR27 TLC27:TLD27 TPO27:TPP27 TUA27:TUB27 TYM27:TYN27 UCY27:UCZ27 UHK27:UHL27 ULW27:ULX27 UQI27:UQJ27 UUU27:UUV27 UZG27:UZH27 VDS27:VDT27 VIE27:VIF27 VMQ27:VMR27 VRC27:VRD27 R27 EU27 JG27 NS27 SE27 WQ27 ABC27 AFO27 AKA27 AOM27 ASY27 AXK27 BBW27 BGI27 BKU27 BPG27 BTS27 BYE27 CCQ27 CHC27 CLO27 CQA27 CUM27 CYY27 DDK27 DHW27 DMI27 DQU27 DVG27 DZS27 EEE27 EIQ27 ENC27 ERO27 EWA27 FAM27 FEY27 FJK27 FNW27 FSI27 FWU27 GBG27 GFS27 GKE27 GOQ27 GTC27 GXO27 HCA27 HGM27 HKY27 HPK27 HTW27 HYI27 ICU27 IHG27 ILS27 IQE27 IUQ27 IZC27 JDO27 JIA27 JMM27 JQY27 JVK27 JZW27 KEI27 KIU27 KNG27 KRS27 KWE27 LAQ27 LFC27 LJO27 LOA27 LSM27 LWY27 MBK27 MFW27 MKI27 MOU27 MTG27 MXS27 NCE27 NGQ27 NLC27 NPO27 NUA27 NYM27 OCY27 OHK27 OLW27 OQI27 OUU27 OZG27 PDS27 PIE27 PMQ27 PRC27 PVO27 QAA27 QEM27 QIY27 QNK27 QRW27 QWI27 RAU27 RFG27 RJS27 ROE27 RSQ27 RXC27 SBO27 SGA27 SKM27 SOY27 STK27 SXW27 TCI27 TGU27 TLG27 TPS27 TUE27 TYQ27 UDC27 UHO27 UMA27 UQM27 UUY27 UZK27 VDW27 VII27 VMU27 VRG27">
    <cfRule type="expression" dxfId="74" priority="19">
      <formula>N27=#REF!</formula>
    </cfRule>
  </conditionalFormatting>
  <conditionalFormatting sqref="P27:Q27 ES27:ET27 JE27:JF27 NQ27:NR27 SC27:SD27 WO27:WP27 ABA27:ABB27 AFM27:AFN27 AJY27:AJZ27 AOK27:AOL27 ASW27:ASX27 AXI27:AXJ27 BBU27:BBV27 BGG27:BGH27 BKS27:BKT27 BPE27:BPF27 BTQ27:BTR27 BYC27:BYD27 CCO27:CCP27 CHA27:CHB27 CLM27:CLN27 CPY27:CPZ27 CUK27:CUL27 CYW27:CYX27 DDI27:DDJ27 DHU27:DHV27 DMG27:DMH27 DQS27:DQT27 DVE27:DVF27 DZQ27:DZR27 EEC27:EED27 EIO27:EIP27 ENA27:ENB27 ERM27:ERN27 EVY27:EVZ27 FAK27:FAL27 FEW27:FEX27 FJI27:FJJ27 FNU27:FNV27 FSG27:FSH27 FWS27:FWT27 GBE27:GBF27 GFQ27:GFR27 GKC27:GKD27 GOO27:GOP27 GTA27:GTB27 GXM27:GXN27 HBY27:HBZ27 HGK27:HGL27 HKW27:HKX27 HPI27:HPJ27 HTU27:HTV27 HYG27:HYH27 ICS27:ICT27 IHE27:IHF27 ILQ27:ILR27 IQC27:IQD27 IUO27:IUP27 IZA27:IZB27 JDM27:JDN27 JHY27:JHZ27 JMK27:JML27 JQW27:JQX27 JVI27:JVJ27 JZU27:JZV27 KEG27:KEH27 KIS27:KIT27 KNE27:KNF27 KRQ27:KRR27 KWC27:KWD27 LAO27:LAP27 LFA27:LFB27 LJM27:LJN27 LNY27:LNZ27 LSK27:LSL27 LWW27:LWX27 MBI27:MBJ27 MFU27:MFV27 MKG27:MKH27 MOS27:MOT27 MTE27:MTF27 MXQ27:MXR27 NCC27:NCD27 NGO27:NGP27 NLA27:NLB27 NPM27:NPN27 NTY27:NTZ27 NYK27:NYL27 OCW27:OCX27 OHI27:OHJ27 OLU27:OLV27 OQG27:OQH27 OUS27:OUT27 OZE27:OZF27 PDQ27:PDR27 PIC27:PID27 PMO27:PMP27 PRA27:PRB27 PVM27:PVN27 PZY27:PZZ27 QEK27:QEL27 QIW27:QIX27 QNI27:QNJ27 QRU27:QRV27 QWG27:QWH27 RAS27:RAT27 RFE27:RFF27 RJQ27:RJR27 ROC27:ROD27 RSO27:RSP27 RXA27:RXB27 SBM27:SBN27 SFY27:SFZ27 SKK27:SKL27 SOW27:SOX27 STI27:STJ27 SXU27:SXV27 TCG27:TCH27 TGS27:TGT27 TLE27:TLF27 TPQ27:TPR27 TUC27:TUD27 TYO27:TYP27 UDA27:UDB27 UHM27:UHN27 ULY27:ULZ27 UQK27:UQL27 UUW27:UUX27 UZI27:UZJ27 VDU27:VDV27 VIG27:VIH27 VMS27:VMT27 VRE27:VRF27">
    <cfRule type="expression" dxfId="73" priority="20">
      <formula>P27=#REF!</formula>
    </cfRule>
  </conditionalFormatting>
  <conditionalFormatting sqref="S27 EV27 JH27 NT27 SF27 WR27 ABD27 AFP27 AKB27 AON27 ASZ27 AXL27 BBX27 BGJ27 BKV27 BPH27 BTT27 BYF27 CCR27 CHD27 CLP27 CQB27 CUN27 CYZ27 DDL27 DHX27 DMJ27 DQV27 DVH27 DZT27 EEF27 EIR27 END27 ERP27 EWB27 FAN27 FEZ27 FJL27 FNX27 FSJ27 FWV27 GBH27 GFT27 GKF27 GOR27 GTD27 GXP27 HCB27 HGN27 HKZ27 HPL27 HTX27 HYJ27 ICV27 IHH27 ILT27 IQF27 IUR27 IZD27 JDP27 JIB27 JMN27 JQZ27 JVL27 JZX27 KEJ27 KIV27 KNH27 KRT27 KWF27 LAR27 LFD27 LJP27 LOB27 LSN27 LWZ27 MBL27 MFX27 MKJ27 MOV27 MTH27 MXT27 NCF27 NGR27 NLD27 NPP27 NUB27 NYN27 OCZ27 OHL27 OLX27 OQJ27 OUV27 OZH27 PDT27 PIF27 PMR27 PRD27 PVP27 QAB27 QEN27 QIZ27 QNL27 QRX27 QWJ27 RAV27 RFH27 RJT27 ROF27 RSR27 RXD27 SBP27 SGB27 SKN27 SOZ27 STL27 SXX27 TCJ27 TGV27 TLH27 TPT27 TUF27 TYR27 UDD27 UHP27 UMB27 UQN27 UUZ27 UZL27 VDX27 VIJ27 VMV27 VRH27">
    <cfRule type="expression" dxfId="72" priority="18">
      <formula>S27=#REF!</formula>
    </cfRule>
  </conditionalFormatting>
  <conditionalFormatting sqref="N44:O44">
    <cfRule type="expression" dxfId="71" priority="16">
      <formula>N44=#REF!</formula>
    </cfRule>
  </conditionalFormatting>
  <conditionalFormatting sqref="P44:Q44">
    <cfRule type="expression" dxfId="70" priority="17">
      <formula>P44=#REF!</formula>
    </cfRule>
  </conditionalFormatting>
  <conditionalFormatting sqref="S44">
    <cfRule type="expression" dxfId="69" priority="15">
      <formula>S44=#REF!</formula>
    </cfRule>
  </conditionalFormatting>
  <conditionalFormatting sqref="N45:O46">
    <cfRule type="expression" dxfId="68" priority="13">
      <formula>N45=#REF!</formula>
    </cfRule>
  </conditionalFormatting>
  <conditionalFormatting sqref="P45:Q46">
    <cfRule type="expression" dxfId="67" priority="14">
      <formula>P45=#REF!</formula>
    </cfRule>
  </conditionalFormatting>
  <conditionalFormatting sqref="S45:S46">
    <cfRule type="expression" dxfId="66" priority="12">
      <formula>S45=#REF!</formula>
    </cfRule>
  </conditionalFormatting>
  <conditionalFormatting sqref="S47">
    <cfRule type="expression" dxfId="65" priority="11">
      <formula>S47=#REF!</formula>
    </cfRule>
  </conditionalFormatting>
  <conditionalFormatting sqref="N47:Q47">
    <cfRule type="expression" dxfId="64" priority="10">
      <formula>N47=#REF!</formula>
    </cfRule>
  </conditionalFormatting>
  <conditionalFormatting sqref="G46">
    <cfRule type="containsText" dxfId="63" priority="9" operator="containsText" text="esti">
      <formula>NOT(ISERROR(SEARCH("esti",G46)))</formula>
    </cfRule>
  </conditionalFormatting>
  <conditionalFormatting sqref="N43:O43">
    <cfRule type="expression" dxfId="62" priority="7">
      <formula>N43=#REF!</formula>
    </cfRule>
  </conditionalFormatting>
  <conditionalFormatting sqref="P43:Q43">
    <cfRule type="expression" dxfId="61" priority="8">
      <formula>P43=#REF!</formula>
    </cfRule>
  </conditionalFormatting>
  <conditionalFormatting sqref="S43">
    <cfRule type="expression" dxfId="60" priority="6">
      <formula>S43=#REF!</formula>
    </cfRule>
  </conditionalFormatting>
  <conditionalFormatting sqref="S48">
    <cfRule type="expression" dxfId="59" priority="5">
      <formula>S48=#REF!</formula>
    </cfRule>
  </conditionalFormatting>
  <conditionalFormatting sqref="N48:R48">
    <cfRule type="expression" dxfId="58" priority="4">
      <formula>N48=#REF!</formula>
    </cfRule>
  </conditionalFormatting>
  <conditionalFormatting sqref="X49:AB49">
    <cfRule type="expression" dxfId="57" priority="3">
      <formula>X49=#REF!</formula>
    </cfRule>
  </conditionalFormatting>
  <conditionalFormatting sqref="N49:O49">
    <cfRule type="expression" dxfId="56" priority="2">
      <formula>N49=#REF!</formula>
    </cfRule>
  </conditionalFormatting>
  <conditionalFormatting sqref="S49">
    <cfRule type="expression" dxfId="55" priority="1">
      <formula>S49=#REF!</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97CC2-031F-449D-A870-281ED9451948}">
  <dimension ref="A1:AX33"/>
  <sheetViews>
    <sheetView workbookViewId="0">
      <selection activeCell="G12" sqref="G12"/>
    </sheetView>
  </sheetViews>
  <sheetFormatPr defaultRowHeight="12.75"/>
  <cols>
    <col min="1" max="1" width="19" customWidth="1"/>
    <col min="7" max="7" width="19" customWidth="1"/>
    <col min="8" max="8" width="13.5703125" customWidth="1"/>
  </cols>
  <sheetData>
    <row r="1" spans="1:50" s="22" customFormat="1" ht="38.25">
      <c r="A1" s="26" t="s">
        <v>92</v>
      </c>
      <c r="B1" s="27" t="s">
        <v>1103</v>
      </c>
      <c r="C1" s="28" t="s">
        <v>91</v>
      </c>
      <c r="D1" s="28" t="s">
        <v>96</v>
      </c>
      <c r="E1" s="28" t="s">
        <v>90</v>
      </c>
      <c r="F1" s="28" t="s">
        <v>89</v>
      </c>
      <c r="G1" s="28" t="s">
        <v>88</v>
      </c>
      <c r="H1" s="28" t="s">
        <v>95</v>
      </c>
      <c r="I1" s="29" t="s">
        <v>603</v>
      </c>
      <c r="J1" s="28" t="s">
        <v>94</v>
      </c>
      <c r="K1" s="28" t="s">
        <v>706</v>
      </c>
      <c r="L1" s="28" t="s">
        <v>707</v>
      </c>
      <c r="M1" s="28" t="s">
        <v>712</v>
      </c>
      <c r="N1" s="26" t="s">
        <v>817</v>
      </c>
      <c r="O1" s="26" t="s">
        <v>818</v>
      </c>
      <c r="P1" s="26" t="s">
        <v>1140</v>
      </c>
      <c r="Q1" s="26" t="s">
        <v>1141</v>
      </c>
      <c r="R1" s="26" t="s">
        <v>1142</v>
      </c>
      <c r="S1" s="26" t="s">
        <v>1734</v>
      </c>
      <c r="T1" s="21" t="s">
        <v>1222</v>
      </c>
      <c r="U1" s="20" t="s">
        <v>1223</v>
      </c>
      <c r="V1" s="21" t="s">
        <v>1224</v>
      </c>
      <c r="W1" s="20" t="s">
        <v>1225</v>
      </c>
      <c r="X1" s="19" t="s">
        <v>1730</v>
      </c>
      <c r="Y1" s="19" t="s">
        <v>1731</v>
      </c>
      <c r="Z1" s="19" t="s">
        <v>1732</v>
      </c>
      <c r="AA1" s="19" t="s">
        <v>1733</v>
      </c>
      <c r="AB1" s="19" t="s">
        <v>1039</v>
      </c>
      <c r="AC1" s="20" t="s">
        <v>795</v>
      </c>
      <c r="AD1" s="20" t="s">
        <v>796</v>
      </c>
      <c r="AE1" s="20" t="s">
        <v>806</v>
      </c>
      <c r="AF1" s="20" t="s">
        <v>807</v>
      </c>
      <c r="AG1" s="20" t="s">
        <v>797</v>
      </c>
      <c r="AH1" s="20" t="s">
        <v>798</v>
      </c>
      <c r="AI1" s="20" t="s">
        <v>799</v>
      </c>
      <c r="AJ1" s="20" t="s">
        <v>800</v>
      </c>
      <c r="AK1" s="20" t="s">
        <v>801</v>
      </c>
      <c r="AL1" s="20" t="s">
        <v>802</v>
      </c>
      <c r="AM1" s="20" t="s">
        <v>803</v>
      </c>
      <c r="AN1" s="20" t="s">
        <v>804</v>
      </c>
      <c r="AO1" s="20" t="s">
        <v>816</v>
      </c>
      <c r="AP1" s="20" t="s">
        <v>805</v>
      </c>
      <c r="AQ1" s="20" t="s">
        <v>810</v>
      </c>
      <c r="AR1" s="20" t="s">
        <v>811</v>
      </c>
      <c r="AS1" s="20" t="s">
        <v>812</v>
      </c>
      <c r="AT1" s="20" t="s">
        <v>813</v>
      </c>
      <c r="AU1" s="20" t="s">
        <v>814</v>
      </c>
      <c r="AV1" s="20" t="s">
        <v>815</v>
      </c>
      <c r="AX1" s="141"/>
    </row>
    <row r="2" spans="1:50" s="4" customFormat="1" ht="38.25">
      <c r="A2" s="2" t="s">
        <v>1894</v>
      </c>
      <c r="B2" s="27" t="s">
        <v>1891</v>
      </c>
      <c r="C2" s="31">
        <v>102</v>
      </c>
      <c r="D2" s="31">
        <v>131</v>
      </c>
      <c r="E2" s="32">
        <v>0.28541666666666665</v>
      </c>
      <c r="F2" s="32">
        <v>0.3125</v>
      </c>
      <c r="G2" s="31" t="s">
        <v>1887</v>
      </c>
      <c r="H2" s="31" t="s">
        <v>103</v>
      </c>
      <c r="I2" s="33">
        <v>-21</v>
      </c>
      <c r="J2" s="34">
        <v>55</v>
      </c>
      <c r="K2" s="35">
        <f>174-35</f>
        <v>139</v>
      </c>
      <c r="L2" s="36">
        <f t="shared" ref="L2:L30" si="0">+K2*I2</f>
        <v>-2919</v>
      </c>
      <c r="M2" s="37" t="s">
        <v>1915</v>
      </c>
      <c r="N2" s="5"/>
      <c r="O2" s="6"/>
      <c r="P2" s="5"/>
      <c r="Q2" s="5"/>
      <c r="R2" s="23"/>
      <c r="S2" s="24"/>
      <c r="T2" s="7"/>
      <c r="U2" s="7"/>
      <c r="V2" s="7"/>
      <c r="W2" s="7"/>
      <c r="X2" s="17">
        <v>44867</v>
      </c>
      <c r="Y2" s="17"/>
      <c r="AB2" s="7" t="s">
        <v>1042</v>
      </c>
      <c r="AC2" s="8"/>
      <c r="AD2" s="8"/>
      <c r="AE2" s="8"/>
      <c r="AF2" s="8"/>
      <c r="AG2" s="8"/>
      <c r="AH2" s="8"/>
      <c r="AI2" s="8"/>
      <c r="AJ2" s="8"/>
      <c r="AK2" s="8"/>
      <c r="AL2" s="8"/>
      <c r="AX2" s="147"/>
    </row>
    <row r="3" spans="1:50" s="4" customFormat="1" ht="38.25">
      <c r="A3" s="2" t="s">
        <v>1899</v>
      </c>
      <c r="B3" s="27" t="s">
        <v>1891</v>
      </c>
      <c r="C3" s="31">
        <v>205</v>
      </c>
      <c r="D3" s="31">
        <v>171</v>
      </c>
      <c r="E3" s="32">
        <v>0.66666666666666663</v>
      </c>
      <c r="F3" s="32">
        <v>0.69861111111111107</v>
      </c>
      <c r="G3" s="31" t="s">
        <v>566</v>
      </c>
      <c r="H3" s="31" t="s">
        <v>103</v>
      </c>
      <c r="I3" s="33">
        <v>-23</v>
      </c>
      <c r="J3" s="34" t="s">
        <v>101</v>
      </c>
      <c r="K3" s="35">
        <v>139</v>
      </c>
      <c r="L3" s="36">
        <f t="shared" si="0"/>
        <v>-3197</v>
      </c>
      <c r="M3" s="37" t="s">
        <v>734</v>
      </c>
      <c r="N3" s="23"/>
      <c r="O3" s="23"/>
      <c r="P3" s="23"/>
      <c r="Q3" s="23"/>
      <c r="R3" s="23"/>
      <c r="S3" s="24"/>
      <c r="U3" s="7"/>
      <c r="V3" s="7"/>
      <c r="W3" s="7"/>
      <c r="X3" s="17">
        <v>44867</v>
      </c>
      <c r="Y3" s="17"/>
      <c r="AB3" s="7" t="s">
        <v>1042</v>
      </c>
      <c r="AC3" s="8"/>
      <c r="AD3" s="8"/>
      <c r="AE3" s="8"/>
      <c r="AF3" s="8"/>
      <c r="AG3" s="8"/>
      <c r="AH3" s="8"/>
      <c r="AI3" s="8"/>
      <c r="AJ3" s="8"/>
      <c r="AK3" s="8"/>
      <c r="AL3" s="8"/>
      <c r="AX3" s="147"/>
    </row>
    <row r="4" spans="1:50" s="4" customFormat="1" ht="45">
      <c r="A4" s="2" t="s">
        <v>1895</v>
      </c>
      <c r="B4" s="27" t="s">
        <v>1891</v>
      </c>
      <c r="C4" s="38">
        <v>334</v>
      </c>
      <c r="D4" s="38">
        <v>401</v>
      </c>
      <c r="E4" s="39">
        <v>0.6875</v>
      </c>
      <c r="F4" s="39">
        <v>0.69861111111111107</v>
      </c>
      <c r="G4" s="40" t="s">
        <v>1896</v>
      </c>
      <c r="H4" s="31" t="s">
        <v>242</v>
      </c>
      <c r="I4" s="38">
        <v>-10</v>
      </c>
      <c r="J4" s="41">
        <v>19</v>
      </c>
      <c r="K4" s="35">
        <f>34-7</f>
        <v>27</v>
      </c>
      <c r="L4" s="36">
        <f t="shared" si="0"/>
        <v>-270</v>
      </c>
      <c r="M4" s="37" t="s">
        <v>756</v>
      </c>
      <c r="N4" s="23"/>
      <c r="O4" s="23"/>
      <c r="P4" s="23"/>
      <c r="Q4" s="23"/>
      <c r="R4" s="23"/>
      <c r="S4" s="24"/>
      <c r="T4" s="7"/>
      <c r="U4" s="7"/>
      <c r="V4" s="7"/>
      <c r="W4" s="7"/>
      <c r="X4" s="17">
        <v>44870</v>
      </c>
      <c r="Y4" s="17"/>
      <c r="AB4" s="8" t="s">
        <v>1051</v>
      </c>
      <c r="AC4" s="8"/>
      <c r="AD4" s="8"/>
      <c r="AE4" s="8"/>
      <c r="AF4" s="8"/>
      <c r="AG4" s="8"/>
      <c r="AH4" s="8"/>
      <c r="AI4" s="8"/>
      <c r="AJ4" s="8"/>
      <c r="AK4" s="8"/>
      <c r="AL4" s="8"/>
      <c r="AX4" s="147"/>
    </row>
    <row r="5" spans="1:50" s="4" customFormat="1" ht="38.25">
      <c r="A5" s="2" t="s">
        <v>1892</v>
      </c>
      <c r="B5" s="27" t="s">
        <v>1891</v>
      </c>
      <c r="C5" s="31">
        <v>214</v>
      </c>
      <c r="D5" s="34">
        <v>582</v>
      </c>
      <c r="E5" s="32">
        <v>0.28472222222222221</v>
      </c>
      <c r="F5" s="32">
        <v>0.31805555555555554</v>
      </c>
      <c r="G5" s="31" t="s">
        <v>688</v>
      </c>
      <c r="H5" s="31" t="s">
        <v>102</v>
      </c>
      <c r="I5" s="33">
        <v>-24</v>
      </c>
      <c r="J5" s="34" t="s">
        <v>101</v>
      </c>
      <c r="K5" s="35">
        <f>33-7</f>
        <v>26</v>
      </c>
      <c r="L5" s="36">
        <f t="shared" si="0"/>
        <v>-624</v>
      </c>
      <c r="M5" s="37" t="s">
        <v>734</v>
      </c>
      <c r="N5" s="23"/>
      <c r="O5" s="23"/>
      <c r="P5" s="23"/>
      <c r="Q5" s="23"/>
      <c r="R5" s="23"/>
      <c r="S5" s="24"/>
      <c r="U5" s="7"/>
      <c r="V5" s="7"/>
      <c r="W5" s="7"/>
      <c r="X5" s="17">
        <v>44879</v>
      </c>
      <c r="Y5" s="17"/>
      <c r="AB5" s="7" t="s">
        <v>1059</v>
      </c>
      <c r="AC5" s="8"/>
      <c r="AD5" s="8"/>
      <c r="AE5" s="8"/>
      <c r="AF5" s="8"/>
      <c r="AG5" s="8"/>
      <c r="AH5" s="8"/>
      <c r="AI5" s="8"/>
      <c r="AJ5" s="8"/>
      <c r="AK5" s="8"/>
      <c r="AL5" s="8"/>
      <c r="AX5" s="147"/>
    </row>
    <row r="6" spans="1:50" s="4" customFormat="1" ht="27" customHeight="1">
      <c r="A6" s="2" t="s">
        <v>1893</v>
      </c>
      <c r="B6" s="27" t="s">
        <v>1891</v>
      </c>
      <c r="C6" s="31">
        <v>205</v>
      </c>
      <c r="D6" s="31">
        <v>366</v>
      </c>
      <c r="E6" s="32">
        <v>0.70277777777777783</v>
      </c>
      <c r="F6" s="32">
        <v>0.71458333333333324</v>
      </c>
      <c r="G6" s="31" t="s">
        <v>494</v>
      </c>
      <c r="H6" s="31" t="s">
        <v>1860</v>
      </c>
      <c r="I6" s="33">
        <v>-9</v>
      </c>
      <c r="J6" s="34" t="s">
        <v>93</v>
      </c>
      <c r="K6" s="35">
        <f>(240-43)</f>
        <v>197</v>
      </c>
      <c r="L6" s="36">
        <f t="shared" si="0"/>
        <v>-1773</v>
      </c>
      <c r="M6" s="37" t="s">
        <v>734</v>
      </c>
      <c r="N6" s="23"/>
      <c r="O6" s="23"/>
      <c r="P6" s="23"/>
      <c r="Q6" s="23"/>
      <c r="R6" s="23"/>
      <c r="S6" s="23"/>
      <c r="T6" s="7"/>
      <c r="U6" s="7"/>
      <c r="V6" s="7"/>
      <c r="W6" s="7"/>
      <c r="X6" s="18">
        <v>44895</v>
      </c>
      <c r="Y6" s="17"/>
      <c r="Z6" s="18"/>
      <c r="AA6" s="18"/>
      <c r="AB6" s="148" t="s">
        <v>1052</v>
      </c>
      <c r="AC6" s="8"/>
      <c r="AD6" s="8"/>
      <c r="AE6" s="8"/>
      <c r="AF6" s="8"/>
      <c r="AG6" s="8"/>
      <c r="AH6" s="8"/>
      <c r="AI6" s="8"/>
      <c r="AJ6" s="8"/>
      <c r="AK6" s="8"/>
      <c r="AL6" s="8"/>
      <c r="AM6" s="8"/>
      <c r="AN6" s="8"/>
      <c r="AO6" s="8"/>
      <c r="AP6" s="8"/>
      <c r="AQ6" s="8"/>
      <c r="AR6" s="8"/>
      <c r="AS6" s="8"/>
      <c r="AT6" s="8"/>
      <c r="AU6" s="8"/>
      <c r="AV6" s="8"/>
      <c r="AX6" s="147"/>
    </row>
    <row r="7" spans="1:50" s="4" customFormat="1" ht="30.75" customHeight="1">
      <c r="A7" s="2" t="s">
        <v>1989</v>
      </c>
      <c r="B7" s="27" t="s">
        <v>1891</v>
      </c>
      <c r="C7" s="31">
        <v>211</v>
      </c>
      <c r="D7" s="31">
        <v>22</v>
      </c>
      <c r="E7" s="32">
        <v>0.58472222222222225</v>
      </c>
      <c r="F7" s="32">
        <v>0.60069444444444442</v>
      </c>
      <c r="G7" s="31" t="s">
        <v>388</v>
      </c>
      <c r="H7" s="31" t="s">
        <v>1133</v>
      </c>
      <c r="I7" s="33">
        <v>-18</v>
      </c>
      <c r="J7" s="34">
        <v>22</v>
      </c>
      <c r="K7" s="35">
        <v>18</v>
      </c>
      <c r="L7" s="36">
        <f t="shared" si="0"/>
        <v>-324</v>
      </c>
      <c r="M7" s="37" t="s">
        <v>742</v>
      </c>
      <c r="N7" s="23"/>
      <c r="O7" s="23"/>
      <c r="P7" s="23"/>
      <c r="Q7" s="23"/>
      <c r="R7" s="23"/>
      <c r="S7" s="23"/>
      <c r="T7" s="7"/>
      <c r="U7" s="7"/>
      <c r="V7" s="7"/>
      <c r="W7" s="7"/>
      <c r="X7" s="17">
        <v>44954</v>
      </c>
      <c r="Y7" s="17"/>
      <c r="Z7" s="17"/>
      <c r="AA7" s="17"/>
      <c r="AB7" s="7" t="s">
        <v>1051</v>
      </c>
      <c r="AC7" s="8"/>
      <c r="AD7" s="8"/>
      <c r="AE7" s="8"/>
      <c r="AF7" s="8"/>
      <c r="AG7" s="8"/>
      <c r="AH7" s="8"/>
      <c r="AI7" s="8"/>
      <c r="AJ7" s="8"/>
      <c r="AK7" s="8"/>
      <c r="AL7" s="8"/>
      <c r="AM7" s="8"/>
      <c r="AN7" s="8"/>
      <c r="AO7" s="8"/>
      <c r="AP7" s="8"/>
      <c r="AQ7" s="8"/>
      <c r="AR7" s="8"/>
      <c r="AS7" s="8"/>
      <c r="AT7" s="8"/>
      <c r="AU7" s="8"/>
      <c r="AV7" s="8"/>
      <c r="AX7" s="147"/>
    </row>
    <row r="8" spans="1:50" s="4" customFormat="1" ht="38.25">
      <c r="A8" s="2" t="s">
        <v>2122</v>
      </c>
      <c r="B8" s="27" t="s">
        <v>1891</v>
      </c>
      <c r="C8" s="31">
        <v>302</v>
      </c>
      <c r="D8" s="31">
        <v>473</v>
      </c>
      <c r="E8" s="32">
        <v>0.26597222222222222</v>
      </c>
      <c r="F8" s="32">
        <v>0.2722222222222222</v>
      </c>
      <c r="G8" s="31" t="s">
        <v>289</v>
      </c>
      <c r="H8" s="31" t="s">
        <v>97</v>
      </c>
      <c r="I8" s="33">
        <v>-3</v>
      </c>
      <c r="J8" s="34" t="s">
        <v>93</v>
      </c>
      <c r="K8" s="35">
        <f>208-94</f>
        <v>114</v>
      </c>
      <c r="L8" s="36">
        <f t="shared" si="0"/>
        <v>-342</v>
      </c>
      <c r="M8" s="37" t="s">
        <v>713</v>
      </c>
      <c r="N8" s="23"/>
      <c r="O8" s="23"/>
      <c r="P8" s="23"/>
      <c r="Q8" s="23"/>
      <c r="R8" s="23"/>
      <c r="S8" s="24"/>
      <c r="T8" s="7"/>
      <c r="U8" s="7"/>
      <c r="V8" s="7"/>
      <c r="W8" s="7"/>
      <c r="X8" s="17">
        <v>44945</v>
      </c>
      <c r="Y8" s="17">
        <v>45051</v>
      </c>
      <c r="Z8" s="17"/>
      <c r="AA8" s="17"/>
      <c r="AB8" s="7" t="s">
        <v>1046</v>
      </c>
      <c r="AC8" s="8"/>
      <c r="AD8" s="8"/>
      <c r="AE8" s="8"/>
      <c r="AF8" s="8"/>
      <c r="AG8" s="8"/>
      <c r="AH8" s="8"/>
      <c r="AI8" s="8"/>
      <c r="AJ8" s="8"/>
      <c r="AK8" s="8"/>
      <c r="AL8" s="8"/>
      <c r="AM8" s="8"/>
      <c r="AN8" s="8"/>
      <c r="AO8" s="8"/>
      <c r="AP8" s="8"/>
      <c r="AQ8" s="8"/>
      <c r="AR8" s="8"/>
      <c r="AS8" s="8"/>
      <c r="AT8" s="8"/>
      <c r="AU8" s="8"/>
      <c r="AV8" s="8"/>
      <c r="AX8" s="147"/>
    </row>
    <row r="9" spans="1:50" s="4" customFormat="1" ht="38.25">
      <c r="A9" s="2" t="s">
        <v>2122</v>
      </c>
      <c r="B9" s="27" t="s">
        <v>1891</v>
      </c>
      <c r="C9" s="31">
        <v>302</v>
      </c>
      <c r="D9" s="31">
        <v>463</v>
      </c>
      <c r="E9" s="32">
        <v>0.28263888888888888</v>
      </c>
      <c r="F9" s="32">
        <v>0.28750000000000003</v>
      </c>
      <c r="G9" s="31" t="s">
        <v>289</v>
      </c>
      <c r="H9" s="31" t="s">
        <v>97</v>
      </c>
      <c r="I9" s="33">
        <v>-3</v>
      </c>
      <c r="J9" s="34" t="s">
        <v>93</v>
      </c>
      <c r="K9" s="35">
        <f>208-94</f>
        <v>114</v>
      </c>
      <c r="L9" s="36">
        <f t="shared" si="0"/>
        <v>-342</v>
      </c>
      <c r="M9" s="37" t="s">
        <v>713</v>
      </c>
      <c r="N9" s="23"/>
      <c r="O9" s="23"/>
      <c r="P9" s="23"/>
      <c r="Q9" s="23"/>
      <c r="R9" s="23"/>
      <c r="S9" s="24"/>
      <c r="T9" s="7"/>
      <c r="U9" s="7"/>
      <c r="V9" s="7"/>
      <c r="W9" s="7"/>
      <c r="X9" s="17">
        <v>44945</v>
      </c>
      <c r="Y9" s="17">
        <v>45051</v>
      </c>
      <c r="Z9" s="17"/>
      <c r="AA9" s="17"/>
      <c r="AB9" s="7" t="s">
        <v>1046</v>
      </c>
      <c r="AC9" s="8"/>
      <c r="AD9" s="8"/>
      <c r="AE9" s="8"/>
      <c r="AF9" s="8"/>
      <c r="AG9" s="8"/>
      <c r="AH9" s="8"/>
      <c r="AI9" s="8"/>
      <c r="AJ9" s="8"/>
      <c r="AK9" s="8"/>
      <c r="AL9" s="8"/>
      <c r="AM9" s="8"/>
      <c r="AN9" s="8"/>
      <c r="AO9" s="8"/>
      <c r="AP9" s="8"/>
      <c r="AQ9" s="8"/>
      <c r="AR9" s="8"/>
      <c r="AS9" s="8"/>
      <c r="AT9" s="8"/>
      <c r="AU9" s="8"/>
      <c r="AV9" s="8"/>
      <c r="AX9" s="147"/>
    </row>
    <row r="10" spans="1:50" s="4" customFormat="1" ht="38.25">
      <c r="A10" s="2" t="s">
        <v>2123</v>
      </c>
      <c r="B10" s="27" t="s">
        <v>1891</v>
      </c>
      <c r="C10" s="31">
        <v>302</v>
      </c>
      <c r="D10" s="31">
        <v>463</v>
      </c>
      <c r="E10" s="32">
        <v>0.28263888888888888</v>
      </c>
      <c r="F10" s="32">
        <v>0.28750000000000003</v>
      </c>
      <c r="G10" s="31" t="s">
        <v>289</v>
      </c>
      <c r="H10" s="31" t="s">
        <v>585</v>
      </c>
      <c r="I10" s="33">
        <v>-3</v>
      </c>
      <c r="J10" s="34" t="s">
        <v>93</v>
      </c>
      <c r="K10" s="35">
        <f>29-13</f>
        <v>16</v>
      </c>
      <c r="L10" s="36">
        <f t="shared" si="0"/>
        <v>-48</v>
      </c>
      <c r="M10" s="37" t="s">
        <v>713</v>
      </c>
      <c r="N10" s="23"/>
      <c r="O10" s="23"/>
      <c r="P10" s="23"/>
      <c r="Q10" s="23"/>
      <c r="R10" s="23"/>
      <c r="S10" s="24"/>
      <c r="T10" s="7"/>
      <c r="U10" s="7"/>
      <c r="V10" s="7"/>
      <c r="W10" s="7"/>
      <c r="X10" s="17">
        <v>44945</v>
      </c>
      <c r="Y10" s="17">
        <v>45051</v>
      </c>
      <c r="Z10" s="18"/>
      <c r="AA10" s="18"/>
      <c r="AB10" s="7" t="s">
        <v>1050</v>
      </c>
      <c r="AC10" s="8"/>
      <c r="AD10" s="8"/>
      <c r="AE10" s="8"/>
      <c r="AF10" s="8"/>
      <c r="AG10" s="8"/>
      <c r="AH10" s="8"/>
      <c r="AI10" s="8"/>
      <c r="AJ10" s="8"/>
      <c r="AK10" s="8"/>
      <c r="AL10" s="8"/>
      <c r="AM10" s="8"/>
      <c r="AN10" s="8"/>
      <c r="AO10" s="8"/>
      <c r="AP10" s="8"/>
      <c r="AQ10" s="8"/>
      <c r="AR10" s="8"/>
      <c r="AS10" s="8"/>
      <c r="AT10" s="8"/>
      <c r="AU10" s="8"/>
      <c r="AV10" s="8"/>
      <c r="AX10" s="147"/>
    </row>
    <row r="11" spans="1:50" s="4" customFormat="1" ht="38.25">
      <c r="A11" s="2" t="s">
        <v>2122</v>
      </c>
      <c r="B11" s="27" t="s">
        <v>1891</v>
      </c>
      <c r="C11" s="31">
        <v>302</v>
      </c>
      <c r="D11" s="31">
        <v>465</v>
      </c>
      <c r="E11" s="32">
        <v>0.30902777777777779</v>
      </c>
      <c r="F11" s="32">
        <v>0.31388888888888888</v>
      </c>
      <c r="G11" s="31" t="s">
        <v>289</v>
      </c>
      <c r="H11" s="31" t="s">
        <v>97</v>
      </c>
      <c r="I11" s="33">
        <v>-3</v>
      </c>
      <c r="J11" s="34" t="s">
        <v>93</v>
      </c>
      <c r="K11" s="35">
        <f>208-94</f>
        <v>114</v>
      </c>
      <c r="L11" s="36">
        <f t="shared" si="0"/>
        <v>-342</v>
      </c>
      <c r="M11" s="37" t="s">
        <v>713</v>
      </c>
      <c r="N11" s="23"/>
      <c r="O11" s="23"/>
      <c r="P11" s="23"/>
      <c r="Q11" s="23"/>
      <c r="R11" s="23"/>
      <c r="S11" s="24"/>
      <c r="T11" s="7"/>
      <c r="U11" s="7"/>
      <c r="V11" s="7"/>
      <c r="W11" s="7"/>
      <c r="X11" s="17">
        <v>44945</v>
      </c>
      <c r="Y11" s="17">
        <v>45051</v>
      </c>
      <c r="Z11" s="17"/>
      <c r="AA11" s="17"/>
      <c r="AB11" s="7" t="s">
        <v>1046</v>
      </c>
      <c r="AC11" s="8"/>
      <c r="AD11" s="8"/>
      <c r="AE11" s="8"/>
      <c r="AF11" s="8"/>
      <c r="AG11" s="8"/>
      <c r="AH11" s="8"/>
      <c r="AI11" s="8"/>
      <c r="AJ11" s="8"/>
      <c r="AK11" s="8"/>
      <c r="AL11" s="8"/>
      <c r="AM11" s="8"/>
      <c r="AN11" s="8"/>
      <c r="AO11" s="8"/>
      <c r="AP11" s="8"/>
      <c r="AQ11" s="8"/>
      <c r="AR11" s="8"/>
      <c r="AS11" s="8"/>
      <c r="AT11" s="8"/>
      <c r="AU11" s="8"/>
      <c r="AV11" s="8"/>
      <c r="AX11" s="147"/>
    </row>
    <row r="12" spans="1:50" s="4" customFormat="1" ht="38.25">
      <c r="A12" s="2" t="s">
        <v>2123</v>
      </c>
      <c r="B12" s="27" t="s">
        <v>1891</v>
      </c>
      <c r="C12" s="31">
        <v>302</v>
      </c>
      <c r="D12" s="31">
        <v>462</v>
      </c>
      <c r="E12" s="32">
        <v>0.54374999999999996</v>
      </c>
      <c r="F12" s="32">
        <v>0.54861111111111105</v>
      </c>
      <c r="G12" s="31" t="s">
        <v>288</v>
      </c>
      <c r="H12" s="31" t="s">
        <v>97</v>
      </c>
      <c r="I12" s="33">
        <v>-3</v>
      </c>
      <c r="J12" s="34" t="s">
        <v>93</v>
      </c>
      <c r="K12" s="35">
        <f>208-94</f>
        <v>114</v>
      </c>
      <c r="L12" s="36">
        <f t="shared" si="0"/>
        <v>-342</v>
      </c>
      <c r="M12" s="37" t="s">
        <v>713</v>
      </c>
      <c r="N12" s="23"/>
      <c r="O12" s="23"/>
      <c r="P12" s="23"/>
      <c r="Q12" s="23"/>
      <c r="R12" s="23"/>
      <c r="S12" s="24"/>
      <c r="T12" s="7"/>
      <c r="U12" s="7"/>
      <c r="V12" s="7"/>
      <c r="W12" s="7"/>
      <c r="X12" s="17">
        <v>44945</v>
      </c>
      <c r="Y12" s="17">
        <v>45051</v>
      </c>
      <c r="Z12" s="17"/>
      <c r="AA12" s="17"/>
      <c r="AB12" s="7" t="s">
        <v>1046</v>
      </c>
      <c r="AC12" s="8"/>
      <c r="AD12" s="8"/>
      <c r="AE12" s="8"/>
      <c r="AF12" s="8"/>
      <c r="AG12" s="8"/>
      <c r="AH12" s="8"/>
      <c r="AI12" s="8"/>
      <c r="AJ12" s="8"/>
      <c r="AK12" s="8"/>
      <c r="AL12" s="8"/>
      <c r="AM12" s="8"/>
      <c r="AN12" s="8"/>
      <c r="AO12" s="8"/>
      <c r="AP12" s="8"/>
      <c r="AQ12" s="8"/>
      <c r="AR12" s="8"/>
      <c r="AS12" s="8"/>
      <c r="AT12" s="8"/>
      <c r="AU12" s="8"/>
      <c r="AV12" s="8"/>
      <c r="AX12" s="147"/>
    </row>
    <row r="13" spans="1:50" s="4" customFormat="1" ht="38.25">
      <c r="A13" s="2" t="s">
        <v>2123</v>
      </c>
      <c r="B13" s="27" t="s">
        <v>1891</v>
      </c>
      <c r="C13" s="31">
        <v>302</v>
      </c>
      <c r="D13" s="31">
        <v>464</v>
      </c>
      <c r="E13" s="32">
        <v>0.58958333333333335</v>
      </c>
      <c r="F13" s="32">
        <v>0.59444444444444444</v>
      </c>
      <c r="G13" s="31" t="s">
        <v>288</v>
      </c>
      <c r="H13" s="31" t="s">
        <v>97</v>
      </c>
      <c r="I13" s="33">
        <v>-3</v>
      </c>
      <c r="J13" s="34" t="s">
        <v>93</v>
      </c>
      <c r="K13" s="35">
        <f>208-94</f>
        <v>114</v>
      </c>
      <c r="L13" s="36">
        <f t="shared" si="0"/>
        <v>-342</v>
      </c>
      <c r="M13" s="37" t="s">
        <v>713</v>
      </c>
      <c r="N13" s="23"/>
      <c r="O13" s="23"/>
      <c r="P13" s="23"/>
      <c r="Q13" s="23"/>
      <c r="R13" s="23"/>
      <c r="S13" s="24"/>
      <c r="T13" s="7"/>
      <c r="U13" s="7"/>
      <c r="V13" s="7"/>
      <c r="W13" s="7"/>
      <c r="X13" s="17">
        <v>44945</v>
      </c>
      <c r="Y13" s="17">
        <v>45051</v>
      </c>
      <c r="Z13" s="17"/>
      <c r="AA13" s="17"/>
      <c r="AB13" s="7" t="s">
        <v>1046</v>
      </c>
      <c r="AC13" s="8"/>
      <c r="AD13" s="8"/>
      <c r="AE13" s="8"/>
      <c r="AF13" s="8"/>
      <c r="AG13" s="8"/>
      <c r="AH13" s="8"/>
      <c r="AI13" s="8"/>
      <c r="AJ13" s="8"/>
      <c r="AK13" s="8"/>
      <c r="AL13" s="8"/>
      <c r="AM13" s="8"/>
      <c r="AN13" s="8"/>
      <c r="AO13" s="8"/>
      <c r="AP13" s="8"/>
      <c r="AQ13" s="8"/>
      <c r="AR13" s="8"/>
      <c r="AS13" s="8"/>
      <c r="AT13" s="8"/>
      <c r="AU13" s="8"/>
      <c r="AV13" s="8"/>
      <c r="AX13" s="147"/>
    </row>
    <row r="14" spans="1:50" s="4" customFormat="1" ht="38.25">
      <c r="A14" s="2" t="s">
        <v>2124</v>
      </c>
      <c r="B14" s="27" t="s">
        <v>1891</v>
      </c>
      <c r="C14" s="31">
        <v>302</v>
      </c>
      <c r="D14" s="31">
        <v>474</v>
      </c>
      <c r="E14" s="32">
        <v>0.72916666666666663</v>
      </c>
      <c r="F14" s="32">
        <v>0.73402777777777783</v>
      </c>
      <c r="G14" s="31" t="s">
        <v>288</v>
      </c>
      <c r="H14" s="31" t="s">
        <v>103</v>
      </c>
      <c r="I14" s="33">
        <v>-3</v>
      </c>
      <c r="J14" s="34" t="s">
        <v>93</v>
      </c>
      <c r="K14" s="35">
        <f>174-79</f>
        <v>95</v>
      </c>
      <c r="L14" s="36">
        <f t="shared" si="0"/>
        <v>-285</v>
      </c>
      <c r="M14" s="37" t="s">
        <v>713</v>
      </c>
      <c r="N14" s="23"/>
      <c r="O14" s="23"/>
      <c r="P14" s="23"/>
      <c r="Q14" s="23"/>
      <c r="R14" s="23"/>
      <c r="S14" s="24"/>
      <c r="T14" s="7"/>
      <c r="U14" s="7"/>
      <c r="V14" s="7"/>
      <c r="W14" s="7"/>
      <c r="X14" s="17">
        <v>44945</v>
      </c>
      <c r="Y14" s="17">
        <v>45051</v>
      </c>
      <c r="Z14" s="17"/>
      <c r="AA14" s="17"/>
      <c r="AB14" s="7" t="s">
        <v>1042</v>
      </c>
      <c r="AC14" s="8"/>
      <c r="AD14" s="8"/>
      <c r="AE14" s="8"/>
      <c r="AF14" s="8"/>
      <c r="AG14" s="8"/>
      <c r="AH14" s="8"/>
      <c r="AI14" s="8"/>
      <c r="AJ14" s="8"/>
      <c r="AK14" s="8"/>
      <c r="AL14" s="8"/>
      <c r="AM14" s="8"/>
      <c r="AN14" s="8"/>
      <c r="AO14" s="8"/>
      <c r="AP14" s="8"/>
      <c r="AQ14" s="8"/>
      <c r="AR14" s="8"/>
      <c r="AS14" s="8"/>
      <c r="AT14" s="8"/>
      <c r="AU14" s="8"/>
      <c r="AV14" s="8"/>
      <c r="AX14" s="147"/>
    </row>
    <row r="15" spans="1:50" s="4" customFormat="1" ht="38.25">
      <c r="A15" s="2" t="s">
        <v>2125</v>
      </c>
      <c r="B15" s="27" t="s">
        <v>1891</v>
      </c>
      <c r="C15" s="31">
        <v>302</v>
      </c>
      <c r="D15" s="31">
        <v>466</v>
      </c>
      <c r="E15" s="32">
        <v>0.74930555555555556</v>
      </c>
      <c r="F15" s="32">
        <v>0.75416666666666676</v>
      </c>
      <c r="G15" s="31" t="s">
        <v>288</v>
      </c>
      <c r="H15" s="31" t="s">
        <v>103</v>
      </c>
      <c r="I15" s="33">
        <v>-3</v>
      </c>
      <c r="J15" s="34" t="s">
        <v>93</v>
      </c>
      <c r="K15" s="35">
        <f>174-79</f>
        <v>95</v>
      </c>
      <c r="L15" s="36">
        <f t="shared" si="0"/>
        <v>-285</v>
      </c>
      <c r="M15" s="37" t="s">
        <v>713</v>
      </c>
      <c r="N15" s="23"/>
      <c r="O15" s="23"/>
      <c r="P15" s="23"/>
      <c r="Q15" s="23"/>
      <c r="R15" s="23"/>
      <c r="S15" s="24"/>
      <c r="T15" s="7"/>
      <c r="U15" s="7"/>
      <c r="V15" s="7"/>
      <c r="W15" s="7"/>
      <c r="X15" s="17">
        <v>44945</v>
      </c>
      <c r="Y15" s="17">
        <v>45051</v>
      </c>
      <c r="Z15" s="17"/>
      <c r="AA15" s="17"/>
      <c r="AB15" s="7" t="s">
        <v>1042</v>
      </c>
      <c r="AC15" s="8"/>
      <c r="AD15" s="8"/>
      <c r="AE15" s="8"/>
      <c r="AF15" s="8"/>
      <c r="AG15" s="8"/>
      <c r="AH15" s="8"/>
      <c r="AI15" s="8"/>
      <c r="AJ15" s="8"/>
      <c r="AK15" s="8"/>
      <c r="AL15" s="8"/>
      <c r="AM15" s="8"/>
      <c r="AN15" s="8"/>
      <c r="AO15" s="8"/>
      <c r="AP15" s="8"/>
      <c r="AQ15" s="8"/>
      <c r="AR15" s="8"/>
      <c r="AS15" s="8"/>
      <c r="AT15" s="8"/>
      <c r="AU15" s="8"/>
      <c r="AV15" s="8"/>
      <c r="AX15" s="147"/>
    </row>
    <row r="16" spans="1:50" s="4" customFormat="1" ht="38.25">
      <c r="A16" s="2" t="s">
        <v>2126</v>
      </c>
      <c r="B16" s="27" t="s">
        <v>1891</v>
      </c>
      <c r="C16" s="31">
        <v>302</v>
      </c>
      <c r="D16" s="31">
        <v>466</v>
      </c>
      <c r="E16" s="32">
        <v>0.74930555555555556</v>
      </c>
      <c r="F16" s="32">
        <v>0.75416666666666676</v>
      </c>
      <c r="G16" s="31" t="s">
        <v>288</v>
      </c>
      <c r="H16" s="31" t="s">
        <v>586</v>
      </c>
      <c r="I16" s="33">
        <v>-3</v>
      </c>
      <c r="J16" s="34" t="s">
        <v>93</v>
      </c>
      <c r="K16" s="35">
        <f>26-8</f>
        <v>18</v>
      </c>
      <c r="L16" s="36">
        <f t="shared" si="0"/>
        <v>-54</v>
      </c>
      <c r="M16" s="37" t="s">
        <v>713</v>
      </c>
      <c r="N16" s="23"/>
      <c r="O16" s="23"/>
      <c r="P16" s="23"/>
      <c r="Q16" s="23"/>
      <c r="R16" s="23"/>
      <c r="S16" s="24"/>
      <c r="T16" s="7"/>
      <c r="U16" s="7"/>
      <c r="V16" s="7"/>
      <c r="W16" s="7"/>
      <c r="X16" s="17">
        <v>44945</v>
      </c>
      <c r="Y16" s="17">
        <v>45051</v>
      </c>
      <c r="Z16" s="18"/>
      <c r="AA16" s="18"/>
      <c r="AB16" s="7" t="s">
        <v>1072</v>
      </c>
      <c r="AC16" s="8"/>
      <c r="AD16" s="8"/>
      <c r="AE16" s="8"/>
      <c r="AF16" s="8"/>
      <c r="AG16" s="8"/>
      <c r="AH16" s="8"/>
      <c r="AI16" s="8"/>
      <c r="AJ16" s="8"/>
      <c r="AK16" s="8"/>
      <c r="AL16" s="8"/>
      <c r="AM16" s="8"/>
      <c r="AN16" s="8"/>
      <c r="AO16" s="8"/>
      <c r="AP16" s="8"/>
      <c r="AQ16" s="8"/>
      <c r="AR16" s="8"/>
      <c r="AS16" s="8"/>
      <c r="AT16" s="8"/>
      <c r="AU16" s="8"/>
      <c r="AV16" s="8"/>
      <c r="AX16" s="147"/>
    </row>
    <row r="17" spans="1:50" s="4" customFormat="1" ht="101.25">
      <c r="A17" s="2" t="s">
        <v>1991</v>
      </c>
      <c r="B17" s="27" t="s">
        <v>1891</v>
      </c>
      <c r="C17" s="31">
        <v>110</v>
      </c>
      <c r="D17" s="34">
        <v>440</v>
      </c>
      <c r="E17" s="32">
        <v>0.27361111111111108</v>
      </c>
      <c r="F17" s="32">
        <v>0.27847222222222223</v>
      </c>
      <c r="G17" s="31" t="s">
        <v>150</v>
      </c>
      <c r="H17" s="31" t="s">
        <v>1133</v>
      </c>
      <c r="I17" s="33">
        <v>-4</v>
      </c>
      <c r="J17" s="34" t="s">
        <v>167</v>
      </c>
      <c r="K17" s="35">
        <v>15</v>
      </c>
      <c r="L17" s="36">
        <f t="shared" si="0"/>
        <v>-60</v>
      </c>
      <c r="M17" s="37" t="s">
        <v>719</v>
      </c>
      <c r="N17" s="24"/>
      <c r="O17" s="24"/>
      <c r="P17" s="2"/>
      <c r="Q17" s="2"/>
      <c r="R17" s="2"/>
      <c r="S17" s="2"/>
      <c r="X17" s="17">
        <v>44975</v>
      </c>
      <c r="Y17" s="17"/>
      <c r="AB17" s="7" t="s">
        <v>1051</v>
      </c>
      <c r="AX17" s="147"/>
    </row>
    <row r="18" spans="1:50" s="4" customFormat="1" ht="101.25">
      <c r="A18" s="2" t="s">
        <v>1992</v>
      </c>
      <c r="B18" s="27" t="s">
        <v>1891</v>
      </c>
      <c r="C18" s="31">
        <v>110</v>
      </c>
      <c r="D18" s="34">
        <v>449</v>
      </c>
      <c r="E18" s="32">
        <v>0.27916666666666667</v>
      </c>
      <c r="F18" s="32">
        <v>0.2902777777777778</v>
      </c>
      <c r="G18" s="31" t="s">
        <v>1990</v>
      </c>
      <c r="H18" s="31" t="s">
        <v>1133</v>
      </c>
      <c r="I18" s="33">
        <v>-9</v>
      </c>
      <c r="J18" s="34" t="s">
        <v>167</v>
      </c>
      <c r="K18" s="35">
        <v>15</v>
      </c>
      <c r="L18" s="36">
        <f t="shared" si="0"/>
        <v>-135</v>
      </c>
      <c r="M18" s="37" t="s">
        <v>719</v>
      </c>
      <c r="N18" s="2"/>
      <c r="O18" s="2"/>
      <c r="X18" s="17">
        <v>44975</v>
      </c>
      <c r="Y18" s="17"/>
      <c r="AB18" s="7" t="s">
        <v>1051</v>
      </c>
      <c r="AX18" s="147"/>
    </row>
    <row r="19" spans="1:50" s="4" customFormat="1" ht="38.25">
      <c r="A19" s="2" t="s">
        <v>2013</v>
      </c>
      <c r="B19" s="27" t="s">
        <v>1891</v>
      </c>
      <c r="C19" s="31">
        <v>418</v>
      </c>
      <c r="D19" s="31" t="s">
        <v>993</v>
      </c>
      <c r="E19" s="32">
        <v>0.36805555555555558</v>
      </c>
      <c r="F19" s="32">
        <v>0.42152777777777778</v>
      </c>
      <c r="G19" s="40" t="s">
        <v>427</v>
      </c>
      <c r="H19" s="31" t="s">
        <v>428</v>
      </c>
      <c r="I19" s="33">
        <f>-16-16.5</f>
        <v>-32.5</v>
      </c>
      <c r="J19" s="34" t="s">
        <v>188</v>
      </c>
      <c r="K19" s="35">
        <f>58-30</f>
        <v>28</v>
      </c>
      <c r="L19" s="36">
        <f t="shared" si="0"/>
        <v>-910</v>
      </c>
      <c r="M19" s="37" t="s">
        <v>769</v>
      </c>
      <c r="N19" s="23"/>
      <c r="O19" s="23"/>
      <c r="P19" s="23"/>
      <c r="Q19" s="23"/>
      <c r="R19" s="2"/>
      <c r="S19" s="23"/>
      <c r="T19" s="7"/>
      <c r="U19" s="7"/>
      <c r="V19" s="7"/>
      <c r="W19" s="7"/>
      <c r="X19" s="17">
        <v>44990</v>
      </c>
      <c r="Y19" s="17"/>
      <c r="Z19" s="17"/>
      <c r="AA19" s="17"/>
      <c r="AB19" s="8" t="s">
        <v>1055</v>
      </c>
      <c r="AC19" s="8"/>
      <c r="AD19" s="8"/>
      <c r="AE19" s="8"/>
      <c r="AF19" s="8"/>
      <c r="AG19" s="8"/>
      <c r="AH19" s="8"/>
      <c r="AI19" s="8"/>
      <c r="AJ19" s="8"/>
      <c r="AK19" s="8"/>
      <c r="AL19" s="8"/>
      <c r="AM19" s="8"/>
      <c r="AN19" s="8"/>
      <c r="AO19" s="8"/>
      <c r="AP19" s="8"/>
      <c r="AQ19" s="8"/>
      <c r="AR19" s="8"/>
      <c r="AS19" s="8"/>
      <c r="AT19" s="8"/>
      <c r="AU19" s="8"/>
      <c r="AV19" s="8"/>
      <c r="AX19" s="147"/>
    </row>
    <row r="20" spans="1:50" s="4" customFormat="1" ht="51">
      <c r="A20" s="2" t="s">
        <v>2014</v>
      </c>
      <c r="B20" s="27" t="s">
        <v>1891</v>
      </c>
      <c r="C20" s="31">
        <v>418</v>
      </c>
      <c r="D20" s="31" t="s">
        <v>994</v>
      </c>
      <c r="E20" s="32">
        <v>0.54861111111111105</v>
      </c>
      <c r="F20" s="32">
        <v>0.6020833333333333</v>
      </c>
      <c r="G20" s="40" t="s">
        <v>626</v>
      </c>
      <c r="H20" s="31" t="s">
        <v>428</v>
      </c>
      <c r="I20" s="33">
        <f>-16-16.5</f>
        <v>-32.5</v>
      </c>
      <c r="J20" s="34" t="s">
        <v>188</v>
      </c>
      <c r="K20" s="35">
        <f>58-30</f>
        <v>28</v>
      </c>
      <c r="L20" s="36">
        <f t="shared" si="0"/>
        <v>-910</v>
      </c>
      <c r="M20" s="37" t="s">
        <v>769</v>
      </c>
      <c r="N20" s="23"/>
      <c r="O20" s="23"/>
      <c r="P20" s="23"/>
      <c r="Q20" s="23"/>
      <c r="R20" s="2"/>
      <c r="S20" s="23"/>
      <c r="T20" s="7"/>
      <c r="U20" s="7"/>
      <c r="V20" s="7"/>
      <c r="W20" s="7"/>
      <c r="X20" s="17">
        <v>44990</v>
      </c>
      <c r="Y20" s="17"/>
      <c r="Z20" s="17"/>
      <c r="AA20" s="17"/>
      <c r="AB20" s="8" t="s">
        <v>1055</v>
      </c>
      <c r="AC20" s="8"/>
      <c r="AD20" s="8"/>
      <c r="AE20" s="8"/>
      <c r="AF20" s="8"/>
      <c r="AG20" s="8"/>
      <c r="AH20" s="8"/>
      <c r="AI20" s="8"/>
      <c r="AJ20" s="8"/>
      <c r="AK20" s="8"/>
      <c r="AL20" s="8"/>
      <c r="AM20" s="8"/>
      <c r="AN20" s="8"/>
      <c r="AO20" s="8"/>
      <c r="AP20" s="8"/>
      <c r="AQ20" s="8"/>
      <c r="AR20" s="8"/>
      <c r="AS20" s="8"/>
      <c r="AT20" s="8"/>
      <c r="AU20" s="8"/>
      <c r="AV20" s="8"/>
      <c r="AX20" s="147"/>
    </row>
    <row r="21" spans="1:50" s="4" customFormat="1" ht="38.25">
      <c r="A21" s="2" t="s">
        <v>2015</v>
      </c>
      <c r="B21" s="27" t="s">
        <v>1891</v>
      </c>
      <c r="C21" s="31">
        <v>418</v>
      </c>
      <c r="D21" s="31" t="s">
        <v>995</v>
      </c>
      <c r="E21" s="32">
        <v>0.73611111111111116</v>
      </c>
      <c r="F21" s="32">
        <v>0.7895833333333333</v>
      </c>
      <c r="G21" s="40" t="s">
        <v>427</v>
      </c>
      <c r="H21" s="31" t="s">
        <v>428</v>
      </c>
      <c r="I21" s="33">
        <f>-16-16.5</f>
        <v>-32.5</v>
      </c>
      <c r="J21" s="34" t="s">
        <v>188</v>
      </c>
      <c r="K21" s="35">
        <f>58-30</f>
        <v>28</v>
      </c>
      <c r="L21" s="36">
        <f t="shared" si="0"/>
        <v>-910</v>
      </c>
      <c r="M21" s="37" t="s">
        <v>769</v>
      </c>
      <c r="N21" s="23"/>
      <c r="O21" s="23"/>
      <c r="P21" s="23"/>
      <c r="Q21" s="23"/>
      <c r="R21" s="2"/>
      <c r="S21" s="23"/>
      <c r="T21" s="7"/>
      <c r="U21" s="7"/>
      <c r="V21" s="7"/>
      <c r="W21" s="7"/>
      <c r="X21" s="17">
        <v>44990</v>
      </c>
      <c r="Y21" s="17"/>
      <c r="Z21" s="17"/>
      <c r="AA21" s="17"/>
      <c r="AB21" s="8" t="s">
        <v>1055</v>
      </c>
      <c r="AC21" s="8"/>
      <c r="AD21" s="8"/>
      <c r="AE21" s="8"/>
      <c r="AF21" s="8"/>
      <c r="AG21" s="8"/>
      <c r="AH21" s="8"/>
      <c r="AI21" s="8"/>
      <c r="AJ21" s="8"/>
      <c r="AK21" s="8"/>
      <c r="AL21" s="8"/>
      <c r="AM21" s="8"/>
      <c r="AN21" s="8"/>
      <c r="AO21" s="8"/>
      <c r="AP21" s="8"/>
      <c r="AQ21" s="8"/>
      <c r="AR21" s="8"/>
      <c r="AS21" s="8"/>
      <c r="AT21" s="8"/>
      <c r="AU21" s="8"/>
      <c r="AV21" s="8"/>
      <c r="AX21" s="147"/>
    </row>
    <row r="22" spans="1:50" s="4" customFormat="1" ht="67.5">
      <c r="A22" s="2" t="s">
        <v>2011</v>
      </c>
      <c r="B22" s="27" t="s">
        <v>1891</v>
      </c>
      <c r="C22" s="31">
        <v>105</v>
      </c>
      <c r="D22" s="34">
        <v>234</v>
      </c>
      <c r="E22" s="32">
        <v>0.32013888888888892</v>
      </c>
      <c r="F22" s="32">
        <v>0.33055555555555555</v>
      </c>
      <c r="G22" s="31" t="s">
        <v>261</v>
      </c>
      <c r="H22" s="31" t="s">
        <v>97</v>
      </c>
      <c r="I22" s="33">
        <v>-5.5</v>
      </c>
      <c r="J22" s="34" t="s">
        <v>99</v>
      </c>
      <c r="K22" s="35">
        <f>208-149</f>
        <v>59</v>
      </c>
      <c r="L22" s="36">
        <f t="shared" si="0"/>
        <v>-324.5</v>
      </c>
      <c r="M22" s="37" t="s">
        <v>717</v>
      </c>
      <c r="N22" s="23"/>
      <c r="O22" s="23"/>
      <c r="P22" s="23"/>
      <c r="Q22" s="23"/>
      <c r="R22" s="2"/>
      <c r="S22" s="23"/>
      <c r="T22" s="7"/>
      <c r="U22" s="7"/>
      <c r="V22" s="7"/>
      <c r="W22" s="7"/>
      <c r="X22" s="17">
        <v>45012</v>
      </c>
      <c r="Y22" s="17"/>
      <c r="Z22" s="17"/>
      <c r="AA22" s="17"/>
      <c r="AB22" s="7" t="s">
        <v>1046</v>
      </c>
      <c r="AC22" s="8"/>
      <c r="AD22" s="8"/>
      <c r="AE22" s="8"/>
      <c r="AF22" s="8"/>
      <c r="AG22" s="8"/>
      <c r="AH22" s="8"/>
      <c r="AI22" s="8"/>
      <c r="AJ22" s="8"/>
      <c r="AK22" s="8"/>
      <c r="AL22" s="8"/>
      <c r="AM22" s="8"/>
      <c r="AN22" s="8"/>
      <c r="AO22" s="8"/>
      <c r="AP22" s="8"/>
      <c r="AQ22" s="8"/>
      <c r="AR22" s="8"/>
      <c r="AS22" s="8"/>
      <c r="AT22" s="8"/>
      <c r="AU22" s="8"/>
      <c r="AV22" s="8"/>
      <c r="AX22" s="147"/>
    </row>
    <row r="23" spans="1:50" s="4" customFormat="1" ht="45">
      <c r="A23" s="2" t="s">
        <v>2078</v>
      </c>
      <c r="B23" s="27" t="s">
        <v>1891</v>
      </c>
      <c r="C23" s="31">
        <v>123</v>
      </c>
      <c r="D23" s="31">
        <v>172</v>
      </c>
      <c r="E23" s="32">
        <v>0.36805555555555558</v>
      </c>
      <c r="F23" s="32">
        <v>0.40138888888888885</v>
      </c>
      <c r="G23" s="31" t="s">
        <v>337</v>
      </c>
      <c r="H23" s="31" t="s">
        <v>423</v>
      </c>
      <c r="I23" s="33">
        <v>-22</v>
      </c>
      <c r="J23" s="34" t="s">
        <v>101</v>
      </c>
      <c r="K23" s="35">
        <f>67-9</f>
        <v>58</v>
      </c>
      <c r="L23" s="36">
        <f t="shared" si="0"/>
        <v>-1276</v>
      </c>
      <c r="M23" s="37" t="s">
        <v>731</v>
      </c>
      <c r="N23" s="2"/>
      <c r="O23" s="2"/>
      <c r="P23" s="2"/>
      <c r="Q23" s="2"/>
      <c r="R23" s="2"/>
      <c r="S23" s="2"/>
      <c r="X23" s="149">
        <v>45101</v>
      </c>
      <c r="Y23" s="17"/>
      <c r="AB23" s="7" t="s">
        <v>1</v>
      </c>
      <c r="AX23" s="147"/>
    </row>
    <row r="24" spans="1:50" s="4" customFormat="1" ht="45">
      <c r="A24" s="2" t="s">
        <v>2079</v>
      </c>
      <c r="B24" s="27" t="s">
        <v>1891</v>
      </c>
      <c r="C24" s="31">
        <v>123</v>
      </c>
      <c r="D24" s="31">
        <v>172</v>
      </c>
      <c r="E24" s="32">
        <v>0.36805555555555558</v>
      </c>
      <c r="F24" s="32">
        <v>0.39374999999999999</v>
      </c>
      <c r="G24" s="31" t="s">
        <v>501</v>
      </c>
      <c r="H24" s="31" t="s">
        <v>546</v>
      </c>
      <c r="I24" s="33">
        <v>-22</v>
      </c>
      <c r="J24" s="34" t="s">
        <v>101</v>
      </c>
      <c r="K24" s="35">
        <f>13-2</f>
        <v>11</v>
      </c>
      <c r="L24" s="36">
        <f t="shared" si="0"/>
        <v>-242</v>
      </c>
      <c r="M24" s="37" t="s">
        <v>731</v>
      </c>
      <c r="N24" s="2"/>
      <c r="O24" s="2"/>
      <c r="P24" s="2"/>
      <c r="Q24" s="2"/>
      <c r="R24" s="2"/>
      <c r="S24" s="2"/>
      <c r="X24" s="149">
        <v>45101</v>
      </c>
      <c r="Y24" s="17"/>
      <c r="AB24" s="7" t="s">
        <v>1044</v>
      </c>
      <c r="AX24" s="147"/>
    </row>
    <row r="25" spans="1:50" s="4" customFormat="1" ht="45">
      <c r="A25" s="2" t="s">
        <v>2080</v>
      </c>
      <c r="B25" s="27" t="s">
        <v>1891</v>
      </c>
      <c r="C25" s="31">
        <v>123</v>
      </c>
      <c r="D25" s="31">
        <v>173</v>
      </c>
      <c r="E25" s="32">
        <v>0.40069444444444446</v>
      </c>
      <c r="F25" s="32">
        <v>0.42638888888888887</v>
      </c>
      <c r="G25" s="31" t="s">
        <v>338</v>
      </c>
      <c r="H25" s="31" t="s">
        <v>1</v>
      </c>
      <c r="I25" s="33">
        <v>-22</v>
      </c>
      <c r="J25" s="34" t="s">
        <v>101</v>
      </c>
      <c r="K25" s="35">
        <f>67-9</f>
        <v>58</v>
      </c>
      <c r="L25" s="36">
        <f t="shared" si="0"/>
        <v>-1276</v>
      </c>
      <c r="M25" s="37" t="s">
        <v>731</v>
      </c>
      <c r="X25" s="149">
        <v>45101</v>
      </c>
      <c r="Y25" s="17"/>
      <c r="AB25" s="7" t="s">
        <v>1</v>
      </c>
      <c r="AX25" s="147"/>
    </row>
    <row r="26" spans="1:50" s="4" customFormat="1" ht="45">
      <c r="A26" s="2" t="s">
        <v>2081</v>
      </c>
      <c r="B26" s="27" t="s">
        <v>1891</v>
      </c>
      <c r="C26" s="31">
        <v>123</v>
      </c>
      <c r="D26" s="31">
        <v>173</v>
      </c>
      <c r="E26" s="32">
        <v>0.40069444444444446</v>
      </c>
      <c r="F26" s="32">
        <v>0.42638888888888887</v>
      </c>
      <c r="G26" s="31" t="s">
        <v>502</v>
      </c>
      <c r="H26" s="31" t="s">
        <v>546</v>
      </c>
      <c r="I26" s="33">
        <v>-22</v>
      </c>
      <c r="J26" s="34" t="s">
        <v>101</v>
      </c>
      <c r="K26" s="35">
        <f>13-2</f>
        <v>11</v>
      </c>
      <c r="L26" s="36">
        <f t="shared" si="0"/>
        <v>-242</v>
      </c>
      <c r="M26" s="37" t="s">
        <v>731</v>
      </c>
      <c r="X26" s="149">
        <v>45101</v>
      </c>
      <c r="Y26" s="17"/>
      <c r="AB26" s="7" t="s">
        <v>1044</v>
      </c>
      <c r="AX26" s="147"/>
    </row>
    <row r="27" spans="1:50" s="4" customFormat="1" ht="45">
      <c r="A27" s="2" t="s">
        <v>2082</v>
      </c>
      <c r="B27" s="27" t="s">
        <v>1891</v>
      </c>
      <c r="C27" s="31">
        <v>123</v>
      </c>
      <c r="D27" s="31">
        <v>182</v>
      </c>
      <c r="E27" s="32">
        <v>0.70138888888888884</v>
      </c>
      <c r="F27" s="32">
        <v>0.7270833333333333</v>
      </c>
      <c r="G27" s="31" t="s">
        <v>337</v>
      </c>
      <c r="H27" s="31" t="s">
        <v>1</v>
      </c>
      <c r="I27" s="33">
        <v>-22</v>
      </c>
      <c r="J27" s="34" t="s">
        <v>101</v>
      </c>
      <c r="K27" s="35">
        <f>67-9</f>
        <v>58</v>
      </c>
      <c r="L27" s="36">
        <f t="shared" si="0"/>
        <v>-1276</v>
      </c>
      <c r="M27" s="37" t="s">
        <v>731</v>
      </c>
      <c r="X27" s="149">
        <v>45101</v>
      </c>
      <c r="Y27" s="17"/>
      <c r="AB27" s="7" t="s">
        <v>1</v>
      </c>
      <c r="AX27" s="147"/>
    </row>
    <row r="28" spans="1:50" s="4" customFormat="1" ht="45">
      <c r="A28" s="2" t="s">
        <v>2083</v>
      </c>
      <c r="B28" s="27" t="s">
        <v>1891</v>
      </c>
      <c r="C28" s="31">
        <v>123</v>
      </c>
      <c r="D28" s="31">
        <v>182</v>
      </c>
      <c r="E28" s="32">
        <v>0.70138888888888884</v>
      </c>
      <c r="F28" s="32">
        <v>0.7270833333333333</v>
      </c>
      <c r="G28" s="31" t="s">
        <v>501</v>
      </c>
      <c r="H28" s="31" t="s">
        <v>546</v>
      </c>
      <c r="I28" s="33">
        <v>-22</v>
      </c>
      <c r="J28" s="34" t="s">
        <v>101</v>
      </c>
      <c r="K28" s="35">
        <f>13-2</f>
        <v>11</v>
      </c>
      <c r="L28" s="36">
        <f t="shared" si="0"/>
        <v>-242</v>
      </c>
      <c r="M28" s="37" t="s">
        <v>731</v>
      </c>
      <c r="X28" s="149">
        <v>45101</v>
      </c>
      <c r="Y28" s="17"/>
      <c r="AB28" s="7" t="s">
        <v>1044</v>
      </c>
      <c r="AX28" s="147"/>
    </row>
    <row r="29" spans="1:50" s="4" customFormat="1" ht="45">
      <c r="A29" s="2" t="s">
        <v>2084</v>
      </c>
      <c r="B29" s="27" t="s">
        <v>1891</v>
      </c>
      <c r="C29" s="31">
        <v>123</v>
      </c>
      <c r="D29" s="31">
        <v>183</v>
      </c>
      <c r="E29" s="32">
        <v>0.73402777777777783</v>
      </c>
      <c r="F29" s="32">
        <v>0.7597222222222223</v>
      </c>
      <c r="G29" s="31" t="s">
        <v>502</v>
      </c>
      <c r="H29" s="31" t="s">
        <v>1</v>
      </c>
      <c r="I29" s="33">
        <v>-22</v>
      </c>
      <c r="J29" s="34" t="s">
        <v>101</v>
      </c>
      <c r="K29" s="35">
        <f>67-9</f>
        <v>58</v>
      </c>
      <c r="L29" s="36">
        <f t="shared" si="0"/>
        <v>-1276</v>
      </c>
      <c r="M29" s="37" t="s">
        <v>731</v>
      </c>
      <c r="X29" s="149">
        <v>45101</v>
      </c>
      <c r="Y29" s="17"/>
      <c r="AB29" s="7" t="s">
        <v>1</v>
      </c>
      <c r="AX29" s="147"/>
    </row>
    <row r="30" spans="1:50" s="4" customFormat="1" ht="45">
      <c r="A30" s="2" t="s">
        <v>2085</v>
      </c>
      <c r="B30" s="27" t="s">
        <v>1891</v>
      </c>
      <c r="C30" s="31">
        <v>123</v>
      </c>
      <c r="D30" s="31">
        <v>183</v>
      </c>
      <c r="E30" s="32">
        <v>0.73402777777777783</v>
      </c>
      <c r="F30" s="32">
        <v>0.7597222222222223</v>
      </c>
      <c r="G30" s="31" t="s">
        <v>502</v>
      </c>
      <c r="H30" s="31" t="s">
        <v>546</v>
      </c>
      <c r="I30" s="33">
        <v>-22</v>
      </c>
      <c r="J30" s="34" t="s">
        <v>101</v>
      </c>
      <c r="K30" s="35">
        <f>13-2</f>
        <v>11</v>
      </c>
      <c r="L30" s="36">
        <f t="shared" si="0"/>
        <v>-242</v>
      </c>
      <c r="M30" s="37" t="s">
        <v>731</v>
      </c>
      <c r="X30" s="149">
        <v>45101</v>
      </c>
      <c r="Y30" s="17"/>
      <c r="AB30" s="7" t="s">
        <v>1044</v>
      </c>
      <c r="AX30" s="147"/>
    </row>
    <row r="33" customFormat="1"/>
  </sheetData>
  <conditionalFormatting sqref="X23:X30">
    <cfRule type="expression" dxfId="54" priority="55">
      <formula>X23=#REF!</formula>
    </cfRule>
  </conditionalFormatting>
  <conditionalFormatting sqref="N3:S5 R2:S2 X2:X5 Y19:Y21 Y23:Y30">
    <cfRule type="expression" dxfId="53" priority="54">
      <formula>N2=#REF!</formula>
    </cfRule>
  </conditionalFormatting>
  <conditionalFormatting sqref="O6:R6">
    <cfRule type="expression" dxfId="52" priority="53">
      <formula>O6=#REF!</formula>
    </cfRule>
  </conditionalFormatting>
  <conditionalFormatting sqref="S6">
    <cfRule type="expression" dxfId="51" priority="52">
      <formula>S6=#REF!</formula>
    </cfRule>
  </conditionalFormatting>
  <conditionalFormatting sqref="O17">
    <cfRule type="expression" dxfId="50" priority="51">
      <formula>O17=#REF!</formula>
    </cfRule>
  </conditionalFormatting>
  <conditionalFormatting sqref="N17">
    <cfRule type="expression" dxfId="49" priority="50">
      <formula>N17=#REF!</formula>
    </cfRule>
  </conditionalFormatting>
  <conditionalFormatting sqref="AB2:AB3">
    <cfRule type="expression" dxfId="48" priority="49">
      <formula>AB2=#REF!</formula>
    </cfRule>
  </conditionalFormatting>
  <conditionalFormatting sqref="N2:Q2">
    <cfRule type="expression" dxfId="47" priority="48">
      <formula>N2=#REF!</formula>
    </cfRule>
  </conditionalFormatting>
  <conditionalFormatting sqref="N7:R7">
    <cfRule type="expression" dxfId="46" priority="47">
      <formula>N7=#REF!</formula>
    </cfRule>
  </conditionalFormatting>
  <conditionalFormatting sqref="S7">
    <cfRule type="expression" dxfId="45" priority="46">
      <formula>S7=#REF!</formula>
    </cfRule>
  </conditionalFormatting>
  <conditionalFormatting sqref="Z8:AA9">
    <cfRule type="expression" dxfId="44" priority="45">
      <formula>Z8=#REF!</formula>
    </cfRule>
  </conditionalFormatting>
  <conditionalFormatting sqref="N8:R8">
    <cfRule type="expression" dxfId="43" priority="44">
      <formula>N8=#REF!</formula>
    </cfRule>
  </conditionalFormatting>
  <conditionalFormatting sqref="S8">
    <cfRule type="expression" dxfId="42" priority="43">
      <formula>S8=#REF!</formula>
    </cfRule>
  </conditionalFormatting>
  <conditionalFormatting sqref="X8">
    <cfRule type="expression" dxfId="41" priority="42">
      <formula>X8=#REF!</formula>
    </cfRule>
  </conditionalFormatting>
  <conditionalFormatting sqref="N9:R9">
    <cfRule type="expression" dxfId="40" priority="41">
      <formula>N9=#REF!</formula>
    </cfRule>
  </conditionalFormatting>
  <conditionalFormatting sqref="S9">
    <cfRule type="expression" dxfId="39" priority="40">
      <formula>S9=#REF!</formula>
    </cfRule>
  </conditionalFormatting>
  <conditionalFormatting sqref="N10:R10">
    <cfRule type="expression" dxfId="38" priority="39">
      <formula>N10=#REF!</formula>
    </cfRule>
  </conditionalFormatting>
  <conditionalFormatting sqref="S10">
    <cfRule type="expression" dxfId="37" priority="38">
      <formula>S10=#REF!</formula>
    </cfRule>
  </conditionalFormatting>
  <conditionalFormatting sqref="Z11:AA11">
    <cfRule type="expression" dxfId="36" priority="37">
      <formula>Z11=#REF!</formula>
    </cfRule>
  </conditionalFormatting>
  <conditionalFormatting sqref="N11:R11">
    <cfRule type="expression" dxfId="35" priority="36">
      <formula>N11=#REF!</formula>
    </cfRule>
  </conditionalFormatting>
  <conditionalFormatting sqref="S11">
    <cfRule type="expression" dxfId="34" priority="35">
      <formula>S11=#REF!</formula>
    </cfRule>
  </conditionalFormatting>
  <conditionalFormatting sqref="Z12:AA12">
    <cfRule type="expression" dxfId="33" priority="34">
      <formula>Z12=#REF!</formula>
    </cfRule>
  </conditionalFormatting>
  <conditionalFormatting sqref="N12:R12">
    <cfRule type="expression" dxfId="32" priority="33">
      <formula>N12=#REF!</formula>
    </cfRule>
  </conditionalFormatting>
  <conditionalFormatting sqref="S12">
    <cfRule type="expression" dxfId="31" priority="32">
      <formula>S12=#REF!</formula>
    </cfRule>
  </conditionalFormatting>
  <conditionalFormatting sqref="Z13:AA13">
    <cfRule type="expression" dxfId="30" priority="31">
      <formula>Z13=#REF!</formula>
    </cfRule>
  </conditionalFormatting>
  <conditionalFormatting sqref="N13:R13">
    <cfRule type="expression" dxfId="29" priority="30">
      <formula>N13=#REF!</formula>
    </cfRule>
  </conditionalFormatting>
  <conditionalFormatting sqref="S13">
    <cfRule type="expression" dxfId="28" priority="29">
      <formula>S13=#REF!</formula>
    </cfRule>
  </conditionalFormatting>
  <conditionalFormatting sqref="AB14:AB15">
    <cfRule type="expression" dxfId="27" priority="28">
      <formula>AB14=#REF!</formula>
    </cfRule>
  </conditionalFormatting>
  <conditionalFormatting sqref="Z14:AA15">
    <cfRule type="expression" dxfId="26" priority="27">
      <formula>Z14=#REF!</formula>
    </cfRule>
  </conditionalFormatting>
  <conditionalFormatting sqref="N14:R16">
    <cfRule type="expression" dxfId="25" priority="26">
      <formula>N14=#REF!</formula>
    </cfRule>
  </conditionalFormatting>
  <conditionalFormatting sqref="S14:S16">
    <cfRule type="expression" dxfId="24" priority="25">
      <formula>S14=#REF!</formula>
    </cfRule>
  </conditionalFormatting>
  <conditionalFormatting sqref="X9:X18">
    <cfRule type="expression" dxfId="23" priority="24">
      <formula>X9=#REF!</formula>
    </cfRule>
  </conditionalFormatting>
  <conditionalFormatting sqref="X22 Z22:AA22">
    <cfRule type="expression" dxfId="22" priority="23">
      <formula>X22=#REF!</formula>
    </cfRule>
  </conditionalFormatting>
  <conditionalFormatting sqref="S22">
    <cfRule type="expression" dxfId="21" priority="22">
      <formula>S22=#REF!</formula>
    </cfRule>
  </conditionalFormatting>
  <conditionalFormatting sqref="N22:Q22">
    <cfRule type="expression" dxfId="20" priority="21">
      <formula>N22=#REF!</formula>
    </cfRule>
  </conditionalFormatting>
  <conditionalFormatting sqref="X19 Z19:AA19">
    <cfRule type="expression" dxfId="19" priority="20">
      <formula>X19=#REF!</formula>
    </cfRule>
  </conditionalFormatting>
  <conditionalFormatting sqref="S19">
    <cfRule type="expression" dxfId="18" priority="19">
      <formula>S19=#REF!</formula>
    </cfRule>
  </conditionalFormatting>
  <conditionalFormatting sqref="N19:Q19">
    <cfRule type="expression" dxfId="17" priority="18">
      <formula>N19=#REF!</formula>
    </cfRule>
  </conditionalFormatting>
  <conditionalFormatting sqref="Z20:AA20">
    <cfRule type="expression" dxfId="16" priority="17">
      <formula>Z20=#REF!</formula>
    </cfRule>
  </conditionalFormatting>
  <conditionalFormatting sqref="S20">
    <cfRule type="expression" dxfId="15" priority="16">
      <formula>S20=#REF!</formula>
    </cfRule>
  </conditionalFormatting>
  <conditionalFormatting sqref="N20:R20">
    <cfRule type="expression" dxfId="14" priority="15">
      <formula>N20=#REF!</formula>
    </cfRule>
  </conditionalFormatting>
  <conditionalFormatting sqref="Z21:AA21">
    <cfRule type="expression" dxfId="13" priority="14">
      <formula>Z21=#REF!</formula>
    </cfRule>
  </conditionalFormatting>
  <conditionalFormatting sqref="S21">
    <cfRule type="expression" dxfId="12" priority="13">
      <formula>S21=#REF!</formula>
    </cfRule>
  </conditionalFormatting>
  <conditionalFormatting sqref="N21:R21">
    <cfRule type="expression" dxfId="11" priority="12">
      <formula>N21=#REF!</formula>
    </cfRule>
  </conditionalFormatting>
  <conditionalFormatting sqref="X20">
    <cfRule type="expression" dxfId="10" priority="11">
      <formula>X20=#REF!</formula>
    </cfRule>
  </conditionalFormatting>
  <conditionalFormatting sqref="X21">
    <cfRule type="expression" dxfId="9" priority="10">
      <formula>X21=#REF!</formula>
    </cfRule>
  </conditionalFormatting>
  <conditionalFormatting sqref="Y8">
    <cfRule type="expression" dxfId="8" priority="9">
      <formula>Y8=#REF!</formula>
    </cfRule>
  </conditionalFormatting>
  <conditionalFormatting sqref="Y9">
    <cfRule type="expression" dxfId="7" priority="8">
      <formula>Y9=#REF!</formula>
    </cfRule>
  </conditionalFormatting>
  <conditionalFormatting sqref="Y10">
    <cfRule type="expression" dxfId="6" priority="7">
      <formula>Y10=#REF!</formula>
    </cfRule>
  </conditionalFormatting>
  <conditionalFormatting sqref="Y11">
    <cfRule type="expression" dxfId="5" priority="6">
      <formula>Y11=#REF!</formula>
    </cfRule>
  </conditionalFormatting>
  <conditionalFormatting sqref="Y12">
    <cfRule type="expression" dxfId="4" priority="5">
      <formula>Y12=#REF!</formula>
    </cfRule>
  </conditionalFormatting>
  <conditionalFormatting sqref="Y13">
    <cfRule type="expression" dxfId="3" priority="4">
      <formula>Y13=#REF!</formula>
    </cfRule>
  </conditionalFormatting>
  <conditionalFormatting sqref="Y14">
    <cfRule type="expression" dxfId="2" priority="3">
      <formula>Y14=#REF!</formula>
    </cfRule>
  </conditionalFormatting>
  <conditionalFormatting sqref="Y15">
    <cfRule type="expression" dxfId="1" priority="2">
      <formula>Y15=#REF!</formula>
    </cfRule>
  </conditionalFormatting>
  <conditionalFormatting sqref="Y16">
    <cfRule type="expression" dxfId="0" priority="1">
      <formula>Y16=#REF!</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vt:i4>
      </vt:variant>
      <vt:variant>
        <vt:lpstr>Intervalli denominati</vt:lpstr>
      </vt:variant>
      <vt:variant>
        <vt:i4>3</vt:i4>
      </vt:variant>
    </vt:vector>
  </HeadingPairs>
  <TitlesOfParts>
    <vt:vector size="7" baseType="lpstr">
      <vt:lpstr>Extraurbano </vt:lpstr>
      <vt:lpstr>extra da inserire a mano</vt:lpstr>
      <vt:lpstr>prolungamenti extra cap finiti</vt:lpstr>
      <vt:lpstr>cap negativi</vt:lpstr>
      <vt:lpstr>'Extraurbano '!Area_stampa</vt:lpstr>
      <vt:lpstr>'Extraurbano '!Titoli_stampa</vt:lpstr>
      <vt:lpstr>ToCopy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Adriano_D</dc:creator>
  <cp:lastModifiedBy>Olimpia Kanellatu</cp:lastModifiedBy>
  <cp:lastPrinted>2023-07-13T13:59:44Z</cp:lastPrinted>
  <dcterms:created xsi:type="dcterms:W3CDTF">2016-10-12T15:26:52Z</dcterms:created>
  <dcterms:modified xsi:type="dcterms:W3CDTF">2023-07-19T06:42:34Z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CopyToPublic_1" visible="true" label="Aggiorna Server" imageMso="SourceControlCheckOut" onAction="CopyToPublic"/>
      </mso:documentControls>
    </mso:qat>
  </mso:ribbon>
</mso:customUI>
</file>