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\\X3500M5\scuola\Linea\APPALTO 2022_2025\FONTE DATI OPERATIVA\"/>
    </mc:Choice>
  </mc:AlternateContent>
  <bookViews>
    <workbookView xWindow="28860" yWindow="-6465" windowWidth="27075" windowHeight="13890"/>
  </bookViews>
  <sheets>
    <sheet name="Extraurbano " sheetId="86" r:id="rId1"/>
    <sheet name="Forfait" sheetId="89" r:id="rId2"/>
    <sheet name="Integrazioni" sheetId="90" r:id="rId3"/>
    <sheet name="frequenze appalto" sheetId="91" r:id="rId4"/>
    <sheet name="giorni" sheetId="92" r:id="rId5"/>
    <sheet name="TOTALI EURO" sheetId="93" r:id="rId6"/>
    <sheet name="TOTALI KM" sheetId="96" r:id="rId7"/>
    <sheet name="note d'accredito dicembre" sheetId="95" r:id="rId8"/>
  </sheets>
  <externalReferences>
    <externalReference r:id="rId9"/>
    <externalReference r:id="rId10"/>
  </externalReferences>
  <definedNames>
    <definedName name="_xlnm._FilterDatabase" localSheetId="0" hidden="1">'Extraurbano '!$A$1:$CM$984</definedName>
    <definedName name="_xlnm._FilterDatabase" localSheetId="1" hidden="1">Forfait!$A$1:$E$22</definedName>
    <definedName name="_xlnm._FilterDatabase" localSheetId="3" hidden="1">'frequenze appalto'!$A$1:$D$121</definedName>
    <definedName name="_xlnm._FilterDatabase" localSheetId="4" hidden="1">giorni!$A$1:$C$1</definedName>
    <definedName name="ago">#REF!</definedName>
    <definedName name="anno">#REF!</definedName>
    <definedName name="anno2002">#REF!</definedName>
    <definedName name="apr">#REF!</definedName>
    <definedName name="aprile2002">#REF!</definedName>
    <definedName name="_xlnm.Print_Area" localSheetId="0">'Extraurbano '!$C$1:$L$944</definedName>
    <definedName name="autov">[1]tabelle!#REF!</definedName>
    <definedName name="COVID3">#REF!</definedName>
    <definedName name="daily">[1]tabelle!#REF!</definedName>
    <definedName name="dic">#REF!</definedName>
    <definedName name="durc">#REF!</definedName>
    <definedName name="esfes">#REF!</definedName>
    <definedName name="est">#REF!</definedName>
    <definedName name="estlv">#REF!</definedName>
    <definedName name="feb">#REF!</definedName>
    <definedName name="febbraio02">#REF!</definedName>
    <definedName name="fer">#REF!</definedName>
    <definedName name="ferlv">#REF!</definedName>
    <definedName name="fers">#REF!</definedName>
    <definedName name="fessc">#REF!</definedName>
    <definedName name="fest">#REF!</definedName>
    <definedName name="fsd">[2]tabelle!$E$6</definedName>
    <definedName name="gen">#REF!</definedName>
    <definedName name="gennaio02">#REF!</definedName>
    <definedName name="giest">#REF!</definedName>
    <definedName name="gifer">#REF!</definedName>
    <definedName name="giinv">#REF!</definedName>
    <definedName name="gins">#REF!</definedName>
    <definedName name="gio">#REF!</definedName>
    <definedName name="giorn">#REF!</definedName>
    <definedName name="giscol">#REF!</definedName>
    <definedName name="giu">#REF!</definedName>
    <definedName name="grande">[1]tabelle!#REF!</definedName>
    <definedName name="inv">#REF!</definedName>
    <definedName name="invlv">#REF!</definedName>
    <definedName name="istat">#REF!</definedName>
    <definedName name="Istat_18">#REF!</definedName>
    <definedName name="istat1">[1]tabelle!#REF!</definedName>
    <definedName name="istat11">#REF!</definedName>
    <definedName name="iva">#REF!</definedName>
    <definedName name="luest">#REF!</definedName>
    <definedName name="lufer">#REF!</definedName>
    <definedName name="lug">#REF!</definedName>
    <definedName name="luinv">#REF!</definedName>
    <definedName name="lun">#REF!</definedName>
    <definedName name="luns">#REF!</definedName>
    <definedName name="luscol">#REF!</definedName>
    <definedName name="maest">#REF!</definedName>
    <definedName name="mafer">#REF!</definedName>
    <definedName name="mag">#REF!</definedName>
    <definedName name="maggio2002">#REF!</definedName>
    <definedName name="mainv">#REF!</definedName>
    <definedName name="mans">#REF!</definedName>
    <definedName name="mar">#REF!</definedName>
    <definedName name="marzo">#REF!</definedName>
    <definedName name="mascol">#REF!</definedName>
    <definedName name="medio">[1]tabelle!#REF!</definedName>
    <definedName name="meest">#REF!</definedName>
    <definedName name="mefer">#REF!</definedName>
    <definedName name="meinv">#REF!</definedName>
    <definedName name="mens">#REF!</definedName>
    <definedName name="mer">#REF!</definedName>
    <definedName name="mescol">#REF!</definedName>
    <definedName name="nov">#REF!</definedName>
    <definedName name="novembre01">#REF!</definedName>
    <definedName name="nscol">#REF!</definedName>
    <definedName name="nscollv">#REF!</definedName>
    <definedName name="oggi">#REF!</definedName>
    <definedName name="opdis">#REF!</definedName>
    <definedName name="oppar">#REF!</definedName>
    <definedName name="opw">#REF!</definedName>
    <definedName name="ott">#REF!</definedName>
    <definedName name="ottobre01">#REF!</definedName>
    <definedName name="pari">#REF!</definedName>
    <definedName name="postfest">#REF!</definedName>
    <definedName name="prefes">#REF!</definedName>
    <definedName name="sab">#REF!</definedName>
    <definedName name="sadgad">[2]giorni!$H$1:$H$65536</definedName>
    <definedName name="saest">#REF!</definedName>
    <definedName name="sainv">#REF!</definedName>
    <definedName name="sans">#REF!</definedName>
    <definedName name="scol">#REF!</definedName>
    <definedName name="scollv">#REF!</definedName>
    <definedName name="scols">#REF!</definedName>
    <definedName name="servizi">#REF!</definedName>
    <definedName name="set">#REF!</definedName>
    <definedName name="_xlnm.Print_Titles" localSheetId="0">'Extraurbano '!$1:$1</definedName>
    <definedName name="ToCopy">'Extraurbano '!$A$1:$S$1193</definedName>
    <definedName name="totale">#REF!</definedName>
    <definedName name="veest">#REF!</definedName>
    <definedName name="vefer">#REF!</definedName>
    <definedName name="veinv">#REF!</definedName>
    <definedName name="ven">#REF!</definedName>
    <definedName name="vens">#REF!</definedName>
    <definedName name="vescol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" i="93" l="1"/>
  <c r="J2" i="93"/>
  <c r="E3" i="93" l="1"/>
  <c r="G2" i="93"/>
  <c r="D3" i="93"/>
  <c r="L976" i="86" l="1"/>
  <c r="L975" i="86"/>
  <c r="L974" i="86"/>
  <c r="CJ974" i="86"/>
  <c r="CK974" i="86"/>
  <c r="AZ975" i="86"/>
  <c r="AZ976" i="86"/>
  <c r="AZ974" i="86"/>
  <c r="BT972" i="86"/>
  <c r="R2" i="95" l="1"/>
  <c r="M6" i="95"/>
  <c r="R6" i="95" s="1"/>
  <c r="M5" i="95"/>
  <c r="R5" i="95" s="1"/>
  <c r="M4" i="95"/>
  <c r="R4" i="95" s="1"/>
  <c r="M3" i="95"/>
  <c r="R3" i="95" s="1"/>
  <c r="R8" i="95" l="1"/>
  <c r="R11" i="93"/>
  <c r="Q11" i="93"/>
  <c r="Q14" i="93" l="1"/>
  <c r="Q15" i="93"/>
  <c r="Q16" i="93"/>
  <c r="Q17" i="93"/>
  <c r="Q18" i="93"/>
  <c r="Q13" i="93"/>
  <c r="S11" i="93"/>
  <c r="S13" i="93" l="1"/>
  <c r="Q20" i="93"/>
  <c r="CM972" i="86"/>
  <c r="CL972" i="86"/>
  <c r="CK972" i="86"/>
  <c r="CJ972" i="86"/>
  <c r="CI972" i="86"/>
  <c r="BO972" i="86"/>
  <c r="BD972" i="86"/>
  <c r="L972" i="86"/>
  <c r="L115" i="86"/>
  <c r="CM978" i="86"/>
  <c r="CM979" i="86"/>
  <c r="CM980" i="86"/>
  <c r="CM981" i="86"/>
  <c r="CL978" i="86"/>
  <c r="CL979" i="86"/>
  <c r="CL980" i="86"/>
  <c r="CL981" i="86"/>
  <c r="CM977" i="86"/>
  <c r="CM973" i="86"/>
  <c r="CL973" i="86"/>
  <c r="CK973" i="86"/>
  <c r="CJ973" i="86"/>
  <c r="BN973" i="86"/>
  <c r="BI973" i="86"/>
  <c r="BH973" i="86"/>
  <c r="BT973" i="86" s="1"/>
  <c r="BD973" i="86"/>
  <c r="L973" i="86"/>
  <c r="G5" i="96" l="1"/>
  <c r="CF972" i="86"/>
  <c r="CG972" i="86"/>
  <c r="CH972" i="86"/>
  <c r="BJ973" i="86"/>
  <c r="CG973" i="86"/>
  <c r="BO973" i="86"/>
  <c r="BT962" i="86"/>
  <c r="CI962" i="86" s="1"/>
  <c r="BT963" i="86"/>
  <c r="CH963" i="86" s="1"/>
  <c r="BT964" i="86"/>
  <c r="CH964" i="86" s="1"/>
  <c r="BT961" i="86"/>
  <c r="CH961" i="86" s="1"/>
  <c r="CM961" i="86"/>
  <c r="CM962" i="86"/>
  <c r="CM963" i="86"/>
  <c r="CM964" i="86"/>
  <c r="CL961" i="86"/>
  <c r="CL962" i="86"/>
  <c r="CL963" i="86"/>
  <c r="CL964" i="86"/>
  <c r="L964" i="86"/>
  <c r="L963" i="86"/>
  <c r="L962" i="86"/>
  <c r="L961" i="86"/>
  <c r="CH973" i="86" l="1"/>
  <c r="CI961" i="86"/>
  <c r="CI973" i="86"/>
  <c r="CF973" i="86"/>
  <c r="CI964" i="86"/>
  <c r="CH962" i="86"/>
  <c r="CI963" i="86"/>
  <c r="CM984" i="86"/>
  <c r="CM467" i="86"/>
  <c r="CL467" i="86"/>
  <c r="CK467" i="86"/>
  <c r="CJ467" i="86"/>
  <c r="CM459" i="86"/>
  <c r="CL459" i="86"/>
  <c r="CK459" i="86"/>
  <c r="CJ459" i="86"/>
  <c r="CM3" i="86" l="1"/>
  <c r="CM4" i="86"/>
  <c r="CM5" i="86"/>
  <c r="CM6" i="86"/>
  <c r="CM7" i="86"/>
  <c r="CM8" i="86"/>
  <c r="CM9" i="86"/>
  <c r="CM10" i="86"/>
  <c r="CM11" i="86"/>
  <c r="CM12" i="86"/>
  <c r="CM13" i="86"/>
  <c r="CM14" i="86"/>
  <c r="CM15" i="86"/>
  <c r="CM16" i="86"/>
  <c r="CM17" i="86"/>
  <c r="CM18" i="86"/>
  <c r="CM19" i="86"/>
  <c r="CM20" i="86"/>
  <c r="CM21" i="86"/>
  <c r="CM22" i="86"/>
  <c r="CM23" i="86"/>
  <c r="CM24" i="86"/>
  <c r="CM25" i="86"/>
  <c r="CM26" i="86"/>
  <c r="CM27" i="86"/>
  <c r="CM28" i="86"/>
  <c r="CM29" i="86"/>
  <c r="CM30" i="86"/>
  <c r="CM31" i="86"/>
  <c r="CM32" i="86"/>
  <c r="CM33" i="86"/>
  <c r="CM34" i="86"/>
  <c r="CM35" i="86"/>
  <c r="CM36" i="86"/>
  <c r="CM37" i="86"/>
  <c r="CM38" i="86"/>
  <c r="CM39" i="86"/>
  <c r="CM40" i="86"/>
  <c r="CM41" i="86"/>
  <c r="CM42" i="86"/>
  <c r="CM43" i="86"/>
  <c r="CM44" i="86"/>
  <c r="CM45" i="86"/>
  <c r="CM46" i="86"/>
  <c r="CM47" i="86"/>
  <c r="CM48" i="86"/>
  <c r="CM49" i="86"/>
  <c r="CM50" i="86"/>
  <c r="CM51" i="86"/>
  <c r="CM52" i="86"/>
  <c r="CM53" i="86"/>
  <c r="CM54" i="86"/>
  <c r="CM55" i="86"/>
  <c r="CM56" i="86"/>
  <c r="CM57" i="86"/>
  <c r="CM58" i="86"/>
  <c r="CM59" i="86"/>
  <c r="CM60" i="86"/>
  <c r="CM61" i="86"/>
  <c r="CM62" i="86"/>
  <c r="CM63" i="86"/>
  <c r="CM64" i="86"/>
  <c r="CM65" i="86"/>
  <c r="CM66" i="86"/>
  <c r="CM67" i="86"/>
  <c r="CM68" i="86"/>
  <c r="CM69" i="86"/>
  <c r="CM70" i="86"/>
  <c r="CM71" i="86"/>
  <c r="CM72" i="86"/>
  <c r="CM73" i="86"/>
  <c r="CM74" i="86"/>
  <c r="CM75" i="86"/>
  <c r="CM76" i="86"/>
  <c r="CM77" i="86"/>
  <c r="CM78" i="86"/>
  <c r="CM79" i="86"/>
  <c r="CM80" i="86"/>
  <c r="CM81" i="86"/>
  <c r="CM82" i="86"/>
  <c r="CM83" i="86"/>
  <c r="CM84" i="86"/>
  <c r="CM85" i="86"/>
  <c r="CM86" i="86"/>
  <c r="CM87" i="86"/>
  <c r="CM88" i="86"/>
  <c r="CM89" i="86"/>
  <c r="CM90" i="86"/>
  <c r="CM91" i="86"/>
  <c r="CM92" i="86"/>
  <c r="CM93" i="86"/>
  <c r="CM94" i="86"/>
  <c r="CM95" i="86"/>
  <c r="CM96" i="86"/>
  <c r="CM97" i="86"/>
  <c r="CM98" i="86"/>
  <c r="CM99" i="86"/>
  <c r="CM100" i="86"/>
  <c r="CM101" i="86"/>
  <c r="CM102" i="86"/>
  <c r="CM103" i="86"/>
  <c r="CM104" i="86"/>
  <c r="CM105" i="86"/>
  <c r="CM106" i="86"/>
  <c r="CM107" i="86"/>
  <c r="CM108" i="86"/>
  <c r="CM109" i="86"/>
  <c r="CM110" i="86"/>
  <c r="CM111" i="86"/>
  <c r="CM112" i="86"/>
  <c r="CM113" i="86"/>
  <c r="CM114" i="86"/>
  <c r="CM115" i="86"/>
  <c r="CM116" i="86"/>
  <c r="CM117" i="86"/>
  <c r="CM118" i="86"/>
  <c r="CM119" i="86"/>
  <c r="CM120" i="86"/>
  <c r="CM121" i="86"/>
  <c r="CM122" i="86"/>
  <c r="CM123" i="86"/>
  <c r="CM124" i="86"/>
  <c r="CM125" i="86"/>
  <c r="CM126" i="86"/>
  <c r="CM127" i="86"/>
  <c r="CM128" i="86"/>
  <c r="CM129" i="86"/>
  <c r="CM130" i="86"/>
  <c r="CM131" i="86"/>
  <c r="CM132" i="86"/>
  <c r="CM133" i="86"/>
  <c r="CM134" i="86"/>
  <c r="CM135" i="86"/>
  <c r="CM136" i="86"/>
  <c r="CM137" i="86"/>
  <c r="CM138" i="86"/>
  <c r="CM139" i="86"/>
  <c r="CM140" i="86"/>
  <c r="CM141" i="86"/>
  <c r="CM142" i="86"/>
  <c r="CM143" i="86"/>
  <c r="CM144" i="86"/>
  <c r="CM145" i="86"/>
  <c r="CM146" i="86"/>
  <c r="CM147" i="86"/>
  <c r="CM148" i="86"/>
  <c r="CM149" i="86"/>
  <c r="CM150" i="86"/>
  <c r="CM151" i="86"/>
  <c r="CM152" i="86"/>
  <c r="CM153" i="86"/>
  <c r="CM154" i="86"/>
  <c r="CM155" i="86"/>
  <c r="CM156" i="86"/>
  <c r="CM157" i="86"/>
  <c r="CM158" i="86"/>
  <c r="CM159" i="86"/>
  <c r="CM160" i="86"/>
  <c r="CM161" i="86"/>
  <c r="CM162" i="86"/>
  <c r="CM163" i="86"/>
  <c r="CM164" i="86"/>
  <c r="CM165" i="86"/>
  <c r="CM166" i="86"/>
  <c r="CM167" i="86"/>
  <c r="CM168" i="86"/>
  <c r="CM169" i="86"/>
  <c r="CM170" i="86"/>
  <c r="CM171" i="86"/>
  <c r="CM172" i="86"/>
  <c r="CM173" i="86"/>
  <c r="CM174" i="86"/>
  <c r="CM175" i="86"/>
  <c r="CM176" i="86"/>
  <c r="CM177" i="86"/>
  <c r="CM178" i="86"/>
  <c r="CM179" i="86"/>
  <c r="CM180" i="86"/>
  <c r="CM181" i="86"/>
  <c r="CM182" i="86"/>
  <c r="CM183" i="86"/>
  <c r="CM184" i="86"/>
  <c r="CM185" i="86"/>
  <c r="CM186" i="86"/>
  <c r="CM187" i="86"/>
  <c r="CM188" i="86"/>
  <c r="CM189" i="86"/>
  <c r="CM190" i="86"/>
  <c r="CM191" i="86"/>
  <c r="CM192" i="86"/>
  <c r="CM193" i="86"/>
  <c r="CM194" i="86"/>
  <c r="CM195" i="86"/>
  <c r="CM196" i="86"/>
  <c r="CM197" i="86"/>
  <c r="CM198" i="86"/>
  <c r="CM199" i="86"/>
  <c r="CM200" i="86"/>
  <c r="CM201" i="86"/>
  <c r="CM202" i="86"/>
  <c r="CM203" i="86"/>
  <c r="CM204" i="86"/>
  <c r="CM205" i="86"/>
  <c r="CM206" i="86"/>
  <c r="CM207" i="86"/>
  <c r="CM209" i="86"/>
  <c r="CM210" i="86"/>
  <c r="CM211" i="86"/>
  <c r="CM212" i="86"/>
  <c r="CM213" i="86"/>
  <c r="CM214" i="86"/>
  <c r="CM215" i="86"/>
  <c r="CM216" i="86"/>
  <c r="CM217" i="86"/>
  <c r="CM218" i="86"/>
  <c r="CM219" i="86"/>
  <c r="CM220" i="86"/>
  <c r="CM221" i="86"/>
  <c r="CM222" i="86"/>
  <c r="CM223" i="86"/>
  <c r="CM224" i="86"/>
  <c r="CM225" i="86"/>
  <c r="CM226" i="86"/>
  <c r="CM227" i="86"/>
  <c r="CM228" i="86"/>
  <c r="CM229" i="86"/>
  <c r="CM230" i="86"/>
  <c r="CM231" i="86"/>
  <c r="CM232" i="86"/>
  <c r="CM233" i="86"/>
  <c r="CM234" i="86"/>
  <c r="CM235" i="86"/>
  <c r="CM236" i="86"/>
  <c r="CM237" i="86"/>
  <c r="CM238" i="86"/>
  <c r="CM239" i="86"/>
  <c r="CM240" i="86"/>
  <c r="CM241" i="86"/>
  <c r="CM242" i="86"/>
  <c r="CM243" i="86"/>
  <c r="CM244" i="86"/>
  <c r="CM245" i="86"/>
  <c r="CM246" i="86"/>
  <c r="CM247" i="86"/>
  <c r="CM248" i="86"/>
  <c r="CM249" i="86"/>
  <c r="CM250" i="86"/>
  <c r="CM251" i="86"/>
  <c r="CM252" i="86"/>
  <c r="CM253" i="86"/>
  <c r="CM254" i="86"/>
  <c r="CM255" i="86"/>
  <c r="CM256" i="86"/>
  <c r="CM257" i="86"/>
  <c r="CM258" i="86"/>
  <c r="CM259" i="86"/>
  <c r="CM260" i="86"/>
  <c r="CM261" i="86"/>
  <c r="CM262" i="86"/>
  <c r="CM263" i="86"/>
  <c r="CM264" i="86"/>
  <c r="CM265" i="86"/>
  <c r="CM266" i="86"/>
  <c r="CM267" i="86"/>
  <c r="CM268" i="86"/>
  <c r="CM269" i="86"/>
  <c r="CM270" i="86"/>
  <c r="CM271" i="86"/>
  <c r="CM272" i="86"/>
  <c r="CM273" i="86"/>
  <c r="CM274" i="86"/>
  <c r="CM275" i="86"/>
  <c r="CM276" i="86"/>
  <c r="CM277" i="86"/>
  <c r="CM278" i="86"/>
  <c r="CM279" i="86"/>
  <c r="CM280" i="86"/>
  <c r="CM281" i="86"/>
  <c r="CM282" i="86"/>
  <c r="CM283" i="86"/>
  <c r="CM284" i="86"/>
  <c r="CM285" i="86"/>
  <c r="CM286" i="86"/>
  <c r="CM287" i="86"/>
  <c r="CM288" i="86"/>
  <c r="CM289" i="86"/>
  <c r="CM290" i="86"/>
  <c r="CM291" i="86"/>
  <c r="CM292" i="86"/>
  <c r="CM293" i="86"/>
  <c r="CM294" i="86"/>
  <c r="CM295" i="86"/>
  <c r="CM296" i="86"/>
  <c r="CM297" i="86"/>
  <c r="CM298" i="86"/>
  <c r="CM299" i="86"/>
  <c r="CM300" i="86"/>
  <c r="CM301" i="86"/>
  <c r="CM302" i="86"/>
  <c r="CM303" i="86"/>
  <c r="CM304" i="86"/>
  <c r="CM305" i="86"/>
  <c r="CM306" i="86"/>
  <c r="CM307" i="86"/>
  <c r="CM308" i="86"/>
  <c r="CM309" i="86"/>
  <c r="CM310" i="86"/>
  <c r="CM311" i="86"/>
  <c r="CM312" i="86"/>
  <c r="CM313" i="86"/>
  <c r="CM314" i="86"/>
  <c r="CM315" i="86"/>
  <c r="CM316" i="86"/>
  <c r="CM317" i="86"/>
  <c r="CM318" i="86"/>
  <c r="CM319" i="86"/>
  <c r="CM320" i="86"/>
  <c r="CM321" i="86"/>
  <c r="CM322" i="86"/>
  <c r="CM323" i="86"/>
  <c r="CM324" i="86"/>
  <c r="CM325" i="86"/>
  <c r="CM326" i="86"/>
  <c r="CM327" i="86"/>
  <c r="CM328" i="86"/>
  <c r="CM329" i="86"/>
  <c r="CM330" i="86"/>
  <c r="CM331" i="86"/>
  <c r="CM332" i="86"/>
  <c r="CM333" i="86"/>
  <c r="CM334" i="86"/>
  <c r="CM335" i="86"/>
  <c r="CM336" i="86"/>
  <c r="CM339" i="86"/>
  <c r="CM340" i="86"/>
  <c r="CM341" i="86"/>
  <c r="CM342" i="86"/>
  <c r="CM343" i="86"/>
  <c r="CM344" i="86"/>
  <c r="CM345" i="86"/>
  <c r="CM346" i="86"/>
  <c r="CM347" i="86"/>
  <c r="CM348" i="86"/>
  <c r="CM349" i="86"/>
  <c r="CM350" i="86"/>
  <c r="CM351" i="86"/>
  <c r="CM352" i="86"/>
  <c r="CM353" i="86"/>
  <c r="CM354" i="86"/>
  <c r="CM355" i="86"/>
  <c r="CM356" i="86"/>
  <c r="CM357" i="86"/>
  <c r="CM358" i="86"/>
  <c r="CM359" i="86"/>
  <c r="CM360" i="86"/>
  <c r="CM361" i="86"/>
  <c r="CM362" i="86"/>
  <c r="CM363" i="86"/>
  <c r="CM364" i="86"/>
  <c r="CM365" i="86"/>
  <c r="CM366" i="86"/>
  <c r="CM367" i="86"/>
  <c r="CM368" i="86"/>
  <c r="CM369" i="86"/>
  <c r="CM370" i="86"/>
  <c r="CM371" i="86"/>
  <c r="CM372" i="86"/>
  <c r="CM373" i="86"/>
  <c r="CM374" i="86"/>
  <c r="CM375" i="86"/>
  <c r="CM376" i="86"/>
  <c r="CM377" i="86"/>
  <c r="CM378" i="86"/>
  <c r="CM379" i="86"/>
  <c r="CM380" i="86"/>
  <c r="CM381" i="86"/>
  <c r="CM382" i="86"/>
  <c r="CM383" i="86"/>
  <c r="CM384" i="86"/>
  <c r="CM385" i="86"/>
  <c r="CM386" i="86"/>
  <c r="CM387" i="86"/>
  <c r="CM388" i="86"/>
  <c r="CM389" i="86"/>
  <c r="CM390" i="86"/>
  <c r="CM391" i="86"/>
  <c r="CM392" i="86"/>
  <c r="CM393" i="86"/>
  <c r="CM394" i="86"/>
  <c r="CM395" i="86"/>
  <c r="CM396" i="86"/>
  <c r="CM397" i="86"/>
  <c r="CM398" i="86"/>
  <c r="CM399" i="86"/>
  <c r="CM400" i="86"/>
  <c r="CM401" i="86"/>
  <c r="CM402" i="86"/>
  <c r="CM403" i="86"/>
  <c r="CM404" i="86"/>
  <c r="CM405" i="86"/>
  <c r="CM406" i="86"/>
  <c r="CM407" i="86"/>
  <c r="CM408" i="86"/>
  <c r="CM409" i="86"/>
  <c r="CM410" i="86"/>
  <c r="CM411" i="86"/>
  <c r="CM412" i="86"/>
  <c r="CM413" i="86"/>
  <c r="CM414" i="86"/>
  <c r="CM415" i="86"/>
  <c r="CM416" i="86"/>
  <c r="CM417" i="86"/>
  <c r="CM418" i="86"/>
  <c r="CM419" i="86"/>
  <c r="CM420" i="86"/>
  <c r="CM422" i="86"/>
  <c r="CM423" i="86"/>
  <c r="CM424" i="86"/>
  <c r="CM425" i="86"/>
  <c r="CM426" i="86"/>
  <c r="CM427" i="86"/>
  <c r="CM428" i="86"/>
  <c r="CM429" i="86"/>
  <c r="CM430" i="86"/>
  <c r="CM431" i="86"/>
  <c r="CM432" i="86"/>
  <c r="CM433" i="86"/>
  <c r="CM434" i="86"/>
  <c r="CM435" i="86"/>
  <c r="CM436" i="86"/>
  <c r="CM437" i="86"/>
  <c r="CM438" i="86"/>
  <c r="CM439" i="86"/>
  <c r="CM440" i="86"/>
  <c r="CM441" i="86"/>
  <c r="CM442" i="86"/>
  <c r="CM443" i="86"/>
  <c r="CM444" i="86"/>
  <c r="CM445" i="86"/>
  <c r="CM446" i="86"/>
  <c r="CM447" i="86"/>
  <c r="CM448" i="86"/>
  <c r="CM449" i="86"/>
  <c r="CM450" i="86"/>
  <c r="CM451" i="86"/>
  <c r="CM452" i="86"/>
  <c r="CM453" i="86"/>
  <c r="CM454" i="86"/>
  <c r="CM455" i="86"/>
  <c r="CM456" i="86"/>
  <c r="CM457" i="86"/>
  <c r="CM458" i="86"/>
  <c r="CM460" i="86"/>
  <c r="CM461" i="86"/>
  <c r="CM462" i="86"/>
  <c r="CM463" i="86"/>
  <c r="CM464" i="86"/>
  <c r="CM465" i="86"/>
  <c r="CM466" i="86"/>
  <c r="CM468" i="86"/>
  <c r="CM469" i="86"/>
  <c r="CM470" i="86"/>
  <c r="CM471" i="86"/>
  <c r="CM472" i="86"/>
  <c r="CM473" i="86"/>
  <c r="CM474" i="86"/>
  <c r="CM475" i="86"/>
  <c r="CM476" i="86"/>
  <c r="CM477" i="86"/>
  <c r="CM478" i="86"/>
  <c r="CM479" i="86"/>
  <c r="CM480" i="86"/>
  <c r="CM481" i="86"/>
  <c r="CM482" i="86"/>
  <c r="CM483" i="86"/>
  <c r="CM484" i="86"/>
  <c r="CM485" i="86"/>
  <c r="CM486" i="86"/>
  <c r="CM487" i="86"/>
  <c r="CM488" i="86"/>
  <c r="CM489" i="86"/>
  <c r="CM490" i="86"/>
  <c r="CM491" i="86"/>
  <c r="CM492" i="86"/>
  <c r="CM493" i="86"/>
  <c r="CM494" i="86"/>
  <c r="CM495" i="86"/>
  <c r="CM496" i="86"/>
  <c r="CM497" i="86"/>
  <c r="CM498" i="86"/>
  <c r="CM499" i="86"/>
  <c r="CM500" i="86"/>
  <c r="CM501" i="86"/>
  <c r="CM502" i="86"/>
  <c r="CM503" i="86"/>
  <c r="CM504" i="86"/>
  <c r="CM505" i="86"/>
  <c r="CM506" i="86"/>
  <c r="CM507" i="86"/>
  <c r="CM508" i="86"/>
  <c r="CM509" i="86"/>
  <c r="CM510" i="86"/>
  <c r="CM511" i="86"/>
  <c r="CM512" i="86"/>
  <c r="CM513" i="86"/>
  <c r="CM514" i="86"/>
  <c r="CM515" i="86"/>
  <c r="CM516" i="86"/>
  <c r="CM517" i="86"/>
  <c r="CM518" i="86"/>
  <c r="CM519" i="86"/>
  <c r="CM520" i="86"/>
  <c r="CM521" i="86"/>
  <c r="CM522" i="86"/>
  <c r="CM523" i="86"/>
  <c r="CM524" i="86"/>
  <c r="CM525" i="86"/>
  <c r="CM526" i="86"/>
  <c r="CM527" i="86"/>
  <c r="CM528" i="86"/>
  <c r="CM529" i="86"/>
  <c r="CM530" i="86"/>
  <c r="CM531" i="86"/>
  <c r="CM532" i="86"/>
  <c r="CM533" i="86"/>
  <c r="CM534" i="86"/>
  <c r="CM535" i="86"/>
  <c r="CM536" i="86"/>
  <c r="CM537" i="86"/>
  <c r="CM538" i="86"/>
  <c r="CM539" i="86"/>
  <c r="CM540" i="86"/>
  <c r="CM541" i="86"/>
  <c r="CM542" i="86"/>
  <c r="CM543" i="86"/>
  <c r="CM544" i="86"/>
  <c r="CM545" i="86"/>
  <c r="CM546" i="86"/>
  <c r="CM547" i="86"/>
  <c r="CM548" i="86"/>
  <c r="CM549" i="86"/>
  <c r="CM550" i="86"/>
  <c r="CM551" i="86"/>
  <c r="CM552" i="86"/>
  <c r="CM553" i="86"/>
  <c r="CM554" i="86"/>
  <c r="CM555" i="86"/>
  <c r="CM556" i="86"/>
  <c r="CM557" i="86"/>
  <c r="CM558" i="86"/>
  <c r="CM559" i="86"/>
  <c r="CM560" i="86"/>
  <c r="CM561" i="86"/>
  <c r="CM562" i="86"/>
  <c r="CM563" i="86"/>
  <c r="CM564" i="86"/>
  <c r="CM566" i="86"/>
  <c r="CM567" i="86"/>
  <c r="CM568" i="86"/>
  <c r="CM569" i="86"/>
  <c r="CM570" i="86"/>
  <c r="CM571" i="86"/>
  <c r="CM572" i="86"/>
  <c r="CM573" i="86"/>
  <c r="CM574" i="86"/>
  <c r="CM575" i="86"/>
  <c r="CM576" i="86"/>
  <c r="CM577" i="86"/>
  <c r="CM578" i="86"/>
  <c r="CM579" i="86"/>
  <c r="CM580" i="86"/>
  <c r="CM581" i="86"/>
  <c r="CM582" i="86"/>
  <c r="CM583" i="86"/>
  <c r="CM584" i="86"/>
  <c r="CM585" i="86"/>
  <c r="CM586" i="86"/>
  <c r="CM587" i="86"/>
  <c r="CM588" i="86"/>
  <c r="CM589" i="86"/>
  <c r="CM590" i="86"/>
  <c r="CM591" i="86"/>
  <c r="CM592" i="86"/>
  <c r="CM593" i="86"/>
  <c r="CM594" i="86"/>
  <c r="CM595" i="86"/>
  <c r="CM596" i="86"/>
  <c r="CM597" i="86"/>
  <c r="CM598" i="86"/>
  <c r="CM599" i="86"/>
  <c r="CM600" i="86"/>
  <c r="CM601" i="86"/>
  <c r="CM602" i="86"/>
  <c r="CM603" i="86"/>
  <c r="CM604" i="86"/>
  <c r="CM605" i="86"/>
  <c r="CM606" i="86"/>
  <c r="CM608" i="86"/>
  <c r="CM610" i="86"/>
  <c r="CM611" i="86"/>
  <c r="CM612" i="86"/>
  <c r="CM613" i="86"/>
  <c r="CM614" i="86"/>
  <c r="CM615" i="86"/>
  <c r="CM616" i="86"/>
  <c r="CM617" i="86"/>
  <c r="CM618" i="86"/>
  <c r="CM619" i="86"/>
  <c r="CM620" i="86"/>
  <c r="CM621" i="86"/>
  <c r="CM622" i="86"/>
  <c r="CM623" i="86"/>
  <c r="CM624" i="86"/>
  <c r="CM625" i="86"/>
  <c r="CM626" i="86"/>
  <c r="CM627" i="86"/>
  <c r="CM628" i="86"/>
  <c r="CM629" i="86"/>
  <c r="CM630" i="86"/>
  <c r="CM631" i="86"/>
  <c r="CM632" i="86"/>
  <c r="CM633" i="86"/>
  <c r="CM634" i="86"/>
  <c r="CM635" i="86"/>
  <c r="CM636" i="86"/>
  <c r="CM637" i="86"/>
  <c r="CM638" i="86"/>
  <c r="CM639" i="86"/>
  <c r="CM640" i="86"/>
  <c r="CM641" i="86"/>
  <c r="CM642" i="86"/>
  <c r="CM643" i="86"/>
  <c r="CM644" i="86"/>
  <c r="CM645" i="86"/>
  <c r="CM646" i="86"/>
  <c r="CM647" i="86"/>
  <c r="CM648" i="86"/>
  <c r="CM649" i="86"/>
  <c r="CM650" i="86"/>
  <c r="CM651" i="86"/>
  <c r="CM652" i="86"/>
  <c r="CM653" i="86"/>
  <c r="CM654" i="86"/>
  <c r="CM655" i="86"/>
  <c r="CM656" i="86"/>
  <c r="CM657" i="86"/>
  <c r="CM658" i="86"/>
  <c r="CM659" i="86"/>
  <c r="CM660" i="86"/>
  <c r="CM661" i="86"/>
  <c r="CM662" i="86"/>
  <c r="CM663" i="86"/>
  <c r="CM664" i="86"/>
  <c r="CM665" i="86"/>
  <c r="CM666" i="86"/>
  <c r="CM667" i="86"/>
  <c r="CM668" i="86"/>
  <c r="CM669" i="86"/>
  <c r="CM670" i="86"/>
  <c r="CM671" i="86"/>
  <c r="CM672" i="86"/>
  <c r="CM673" i="86"/>
  <c r="CM674" i="86"/>
  <c r="CM675" i="86"/>
  <c r="CM676" i="86"/>
  <c r="CM677" i="86"/>
  <c r="CM678" i="86"/>
  <c r="CM679" i="86"/>
  <c r="CM680" i="86"/>
  <c r="CM681" i="86"/>
  <c r="CM682" i="86"/>
  <c r="CM683" i="86"/>
  <c r="CM684" i="86"/>
  <c r="CM685" i="86"/>
  <c r="CM686" i="86"/>
  <c r="CM687" i="86"/>
  <c r="CM688" i="86"/>
  <c r="CM689" i="86"/>
  <c r="CM690" i="86"/>
  <c r="CM691" i="86"/>
  <c r="CM692" i="86"/>
  <c r="CM693" i="86"/>
  <c r="CM694" i="86"/>
  <c r="CM695" i="86"/>
  <c r="CM696" i="86"/>
  <c r="CM697" i="86"/>
  <c r="CM698" i="86"/>
  <c r="CM699" i="86"/>
  <c r="CM700" i="86"/>
  <c r="CM701" i="86"/>
  <c r="CM702" i="86"/>
  <c r="CM703" i="86"/>
  <c r="CM704" i="86"/>
  <c r="CM705" i="86"/>
  <c r="CM706" i="86"/>
  <c r="CM707" i="86"/>
  <c r="CM708" i="86"/>
  <c r="CM709" i="86"/>
  <c r="CM710" i="86"/>
  <c r="CM711" i="86"/>
  <c r="CM712" i="86"/>
  <c r="CM713" i="86"/>
  <c r="CM714" i="86"/>
  <c r="CM715" i="86"/>
  <c r="CM716" i="86"/>
  <c r="CM717" i="86"/>
  <c r="CM718" i="86"/>
  <c r="CM719" i="86"/>
  <c r="CM720" i="86"/>
  <c r="CM721" i="86"/>
  <c r="CM722" i="86"/>
  <c r="CM723" i="86"/>
  <c r="CM726" i="86"/>
  <c r="CM727" i="86"/>
  <c r="CM728" i="86"/>
  <c r="CM730" i="86"/>
  <c r="CM731" i="86"/>
  <c r="CM732" i="86"/>
  <c r="CM733" i="86"/>
  <c r="CM734" i="86"/>
  <c r="CM735" i="86"/>
  <c r="CM736" i="86"/>
  <c r="CM738" i="86"/>
  <c r="CM739" i="86"/>
  <c r="CM740" i="86"/>
  <c r="CM741" i="86"/>
  <c r="CM742" i="86"/>
  <c r="CM743" i="86"/>
  <c r="CM744" i="86"/>
  <c r="CM745" i="86"/>
  <c r="CM746" i="86"/>
  <c r="CM747" i="86"/>
  <c r="CM748" i="86"/>
  <c r="CM749" i="86"/>
  <c r="CM750" i="86"/>
  <c r="CM751" i="86"/>
  <c r="CM752" i="86"/>
  <c r="CM753" i="86"/>
  <c r="CM754" i="86"/>
  <c r="CM755" i="86"/>
  <c r="CM756" i="86"/>
  <c r="CM757" i="86"/>
  <c r="CM759" i="86"/>
  <c r="CM760" i="86"/>
  <c r="CM761" i="86"/>
  <c r="CM762" i="86"/>
  <c r="CM763" i="86"/>
  <c r="CM764" i="86"/>
  <c r="CM765" i="86"/>
  <c r="CM766" i="86"/>
  <c r="CM767" i="86"/>
  <c r="CM768" i="86"/>
  <c r="CM769" i="86"/>
  <c r="CM770" i="86"/>
  <c r="CM771" i="86"/>
  <c r="CM772" i="86"/>
  <c r="CM773" i="86"/>
  <c r="CM774" i="86"/>
  <c r="CM775" i="86"/>
  <c r="CM777" i="86"/>
  <c r="CM778" i="86"/>
  <c r="CM779" i="86"/>
  <c r="CM780" i="86"/>
  <c r="CM781" i="86"/>
  <c r="CM782" i="86"/>
  <c r="CM783" i="86"/>
  <c r="CM784" i="86"/>
  <c r="CM785" i="86"/>
  <c r="CM786" i="86"/>
  <c r="CM787" i="86"/>
  <c r="CM788" i="86"/>
  <c r="CM789" i="86"/>
  <c r="CM790" i="86"/>
  <c r="CM791" i="86"/>
  <c r="CM792" i="86"/>
  <c r="CM793" i="86"/>
  <c r="CM794" i="86"/>
  <c r="CM795" i="86"/>
  <c r="CM796" i="86"/>
  <c r="CM797" i="86"/>
  <c r="CM798" i="86"/>
  <c r="CM799" i="86"/>
  <c r="CM800" i="86"/>
  <c r="CM801" i="86"/>
  <c r="CM802" i="86"/>
  <c r="CM803" i="86"/>
  <c r="CM804" i="86"/>
  <c r="CM805" i="86"/>
  <c r="CM806" i="86"/>
  <c r="CM807" i="86"/>
  <c r="CM808" i="86"/>
  <c r="CM809" i="86"/>
  <c r="CM810" i="86"/>
  <c r="CM811" i="86"/>
  <c r="CM812" i="86"/>
  <c r="CM813" i="86"/>
  <c r="CM814" i="86"/>
  <c r="CM815" i="86"/>
  <c r="CM816" i="86"/>
  <c r="CM817" i="86"/>
  <c r="CM818" i="86"/>
  <c r="CM819" i="86"/>
  <c r="CM820" i="86"/>
  <c r="CM821" i="86"/>
  <c r="CM822" i="86"/>
  <c r="CM823" i="86"/>
  <c r="CM824" i="86"/>
  <c r="CM826" i="86"/>
  <c r="CM827" i="86"/>
  <c r="CM828" i="86"/>
  <c r="CM829" i="86"/>
  <c r="CM830" i="86"/>
  <c r="CM831" i="86"/>
  <c r="CM832" i="86"/>
  <c r="CM833" i="86"/>
  <c r="CM834" i="86"/>
  <c r="CM835" i="86"/>
  <c r="CM836" i="86"/>
  <c r="CM837" i="86"/>
  <c r="CM838" i="86"/>
  <c r="CM839" i="86"/>
  <c r="CM840" i="86"/>
  <c r="CM841" i="86"/>
  <c r="CM842" i="86"/>
  <c r="CM843" i="86"/>
  <c r="CM844" i="86"/>
  <c r="CM845" i="86"/>
  <c r="CM846" i="86"/>
  <c r="CM847" i="86"/>
  <c r="CM848" i="86"/>
  <c r="CM849" i="86"/>
  <c r="CM850" i="86"/>
  <c r="CM851" i="86"/>
  <c r="CM852" i="86"/>
  <c r="CM853" i="86"/>
  <c r="CM854" i="86"/>
  <c r="CM855" i="86"/>
  <c r="CM856" i="86"/>
  <c r="CM857" i="86"/>
  <c r="CM858" i="86"/>
  <c r="CM859" i="86"/>
  <c r="CM860" i="86"/>
  <c r="CM861" i="86"/>
  <c r="CM862" i="86"/>
  <c r="CM863" i="86"/>
  <c r="CM864" i="86"/>
  <c r="CM865" i="86"/>
  <c r="CM866" i="86"/>
  <c r="CM867" i="86"/>
  <c r="CM868" i="86"/>
  <c r="CM869" i="86"/>
  <c r="CM870" i="86"/>
  <c r="CM871" i="86"/>
  <c r="CM872" i="86"/>
  <c r="CM873" i="86"/>
  <c r="CM874" i="86"/>
  <c r="CM875" i="86"/>
  <c r="CM876" i="86"/>
  <c r="CM877" i="86"/>
  <c r="CM878" i="86"/>
  <c r="CM879" i="86"/>
  <c r="CM880" i="86"/>
  <c r="CM881" i="86"/>
  <c r="CM882" i="86"/>
  <c r="CM883" i="86"/>
  <c r="CM884" i="86"/>
  <c r="CM885" i="86"/>
  <c r="CM886" i="86"/>
  <c r="CM887" i="86"/>
  <c r="CM888" i="86"/>
  <c r="CM889" i="86"/>
  <c r="CM890" i="86"/>
  <c r="CM891" i="86"/>
  <c r="CM892" i="86"/>
  <c r="CM893" i="86"/>
  <c r="CM894" i="86"/>
  <c r="CM895" i="86"/>
  <c r="CM896" i="86"/>
  <c r="CM897" i="86"/>
  <c r="CM898" i="86"/>
  <c r="CM899" i="86"/>
  <c r="CM900" i="86"/>
  <c r="CM901" i="86"/>
  <c r="CM902" i="86"/>
  <c r="CM903" i="86"/>
  <c r="CM904" i="86"/>
  <c r="CM905" i="86"/>
  <c r="CM906" i="86"/>
  <c r="CM907" i="86"/>
  <c r="CM908" i="86"/>
  <c r="CM909" i="86"/>
  <c r="CM910" i="86"/>
  <c r="CM911" i="86"/>
  <c r="CM912" i="86"/>
  <c r="CM913" i="86"/>
  <c r="CM914" i="86"/>
  <c r="CM915" i="86"/>
  <c r="CM916" i="86"/>
  <c r="CM917" i="86"/>
  <c r="CM918" i="86"/>
  <c r="CM919" i="86"/>
  <c r="CM920" i="86"/>
  <c r="CM921" i="86"/>
  <c r="CM922" i="86"/>
  <c r="CM923" i="86"/>
  <c r="CM924" i="86"/>
  <c r="CM925" i="86"/>
  <c r="CM926" i="86"/>
  <c r="CM927" i="86"/>
  <c r="CM929" i="86"/>
  <c r="CM930" i="86"/>
  <c r="CM931" i="86"/>
  <c r="CM932" i="86"/>
  <c r="CM933" i="86"/>
  <c r="CM934" i="86"/>
  <c r="CM935" i="86"/>
  <c r="CM936" i="86"/>
  <c r="CM937" i="86"/>
  <c r="CM938" i="86"/>
  <c r="CM939" i="86"/>
  <c r="CM940" i="86"/>
  <c r="CM941" i="86"/>
  <c r="CM942" i="86"/>
  <c r="CM943" i="86"/>
  <c r="CM945" i="86"/>
  <c r="CM946" i="86"/>
  <c r="CM947" i="86"/>
  <c r="CM948" i="86"/>
  <c r="CM949" i="86"/>
  <c r="CM951" i="86"/>
  <c r="CM952" i="86"/>
  <c r="CM954" i="86"/>
  <c r="CM956" i="86"/>
  <c r="CM957" i="86"/>
  <c r="CM958" i="86"/>
  <c r="CM959" i="86"/>
  <c r="CM960" i="86"/>
  <c r="CM965" i="86"/>
  <c r="CM966" i="86"/>
  <c r="CM967" i="86"/>
  <c r="CM968" i="86"/>
  <c r="CM969" i="86"/>
  <c r="CM970" i="86"/>
  <c r="CM971" i="86"/>
  <c r="CM2" i="86"/>
  <c r="CL2" i="86"/>
  <c r="CI459" i="86"/>
  <c r="CI467" i="86"/>
  <c r="CH467" i="86"/>
  <c r="CI293" i="86"/>
  <c r="CI322" i="86"/>
  <c r="CI488" i="86"/>
  <c r="CI498" i="86"/>
  <c r="CI506" i="86"/>
  <c r="CJ3" i="86" l="1"/>
  <c r="CK3" i="86"/>
  <c r="CL3" i="86"/>
  <c r="CJ4" i="86"/>
  <c r="CK4" i="86"/>
  <c r="CL4" i="86"/>
  <c r="CJ5" i="86"/>
  <c r="CK5" i="86"/>
  <c r="CL5" i="86"/>
  <c r="CJ6" i="86"/>
  <c r="CK6" i="86"/>
  <c r="CL6" i="86"/>
  <c r="CJ7" i="86"/>
  <c r="CK7" i="86"/>
  <c r="CL7" i="86"/>
  <c r="CJ8" i="86"/>
  <c r="CK8" i="86"/>
  <c r="CL8" i="86"/>
  <c r="CJ9" i="86"/>
  <c r="CK9" i="86"/>
  <c r="CL9" i="86"/>
  <c r="CJ10" i="86"/>
  <c r="CK10" i="86"/>
  <c r="CL10" i="86"/>
  <c r="CJ11" i="86"/>
  <c r="CK11" i="86"/>
  <c r="CL11" i="86"/>
  <c r="CJ12" i="86"/>
  <c r="CK12" i="86"/>
  <c r="CL12" i="86"/>
  <c r="CJ13" i="86"/>
  <c r="CK13" i="86"/>
  <c r="CL13" i="86"/>
  <c r="CJ14" i="86"/>
  <c r="CK14" i="86"/>
  <c r="CL14" i="86"/>
  <c r="CJ15" i="86"/>
  <c r="CK15" i="86"/>
  <c r="CL15" i="86"/>
  <c r="CJ16" i="86"/>
  <c r="CK16" i="86"/>
  <c r="CL16" i="86"/>
  <c r="CJ17" i="86"/>
  <c r="CK17" i="86"/>
  <c r="CL17" i="86"/>
  <c r="CJ18" i="86"/>
  <c r="CK18" i="86"/>
  <c r="CL18" i="86"/>
  <c r="CJ19" i="86"/>
  <c r="CK19" i="86"/>
  <c r="CL19" i="86"/>
  <c r="CJ20" i="86"/>
  <c r="CK20" i="86"/>
  <c r="CL20" i="86"/>
  <c r="CJ21" i="86"/>
  <c r="CK21" i="86"/>
  <c r="CL21" i="86"/>
  <c r="CJ22" i="86"/>
  <c r="CK22" i="86"/>
  <c r="CL22" i="86"/>
  <c r="CJ23" i="86"/>
  <c r="CK23" i="86"/>
  <c r="CL23" i="86"/>
  <c r="CJ24" i="86"/>
  <c r="CK24" i="86"/>
  <c r="CL24" i="86"/>
  <c r="CJ25" i="86"/>
  <c r="CK25" i="86"/>
  <c r="CL25" i="86"/>
  <c r="CJ26" i="86"/>
  <c r="CK26" i="86"/>
  <c r="CL26" i="86"/>
  <c r="CJ27" i="86"/>
  <c r="CK27" i="86"/>
  <c r="CL27" i="86"/>
  <c r="CJ28" i="86"/>
  <c r="CK28" i="86"/>
  <c r="CL28" i="86"/>
  <c r="CJ29" i="86"/>
  <c r="CK29" i="86"/>
  <c r="CL29" i="86"/>
  <c r="CJ30" i="86"/>
  <c r="CK30" i="86"/>
  <c r="CL30" i="86"/>
  <c r="CJ31" i="86"/>
  <c r="CK31" i="86"/>
  <c r="CL31" i="86"/>
  <c r="CJ32" i="86"/>
  <c r="CK32" i="86"/>
  <c r="CL32" i="86"/>
  <c r="CJ33" i="86"/>
  <c r="CK33" i="86"/>
  <c r="CL33" i="86"/>
  <c r="CJ34" i="86"/>
  <c r="CK34" i="86"/>
  <c r="CL34" i="86"/>
  <c r="CJ35" i="86"/>
  <c r="CK35" i="86"/>
  <c r="CL35" i="86"/>
  <c r="CJ36" i="86"/>
  <c r="CK36" i="86"/>
  <c r="CL36" i="86"/>
  <c r="CJ37" i="86"/>
  <c r="CK37" i="86"/>
  <c r="CL37" i="86"/>
  <c r="CJ38" i="86"/>
  <c r="CK38" i="86"/>
  <c r="CL38" i="86"/>
  <c r="CJ39" i="86"/>
  <c r="CK39" i="86"/>
  <c r="CL39" i="86"/>
  <c r="CJ40" i="86"/>
  <c r="CK40" i="86"/>
  <c r="CL40" i="86"/>
  <c r="CJ41" i="86"/>
  <c r="CK41" i="86"/>
  <c r="CL41" i="86"/>
  <c r="CJ42" i="86"/>
  <c r="CK42" i="86"/>
  <c r="CL42" i="86"/>
  <c r="CJ43" i="86"/>
  <c r="CK43" i="86"/>
  <c r="CL43" i="86"/>
  <c r="CJ44" i="86"/>
  <c r="CK44" i="86"/>
  <c r="CL44" i="86"/>
  <c r="CJ45" i="86"/>
  <c r="CK45" i="86"/>
  <c r="CL45" i="86"/>
  <c r="CJ46" i="86"/>
  <c r="CK46" i="86"/>
  <c r="CL46" i="86"/>
  <c r="CJ47" i="86"/>
  <c r="CK47" i="86"/>
  <c r="CL47" i="86"/>
  <c r="CJ48" i="86"/>
  <c r="CK48" i="86"/>
  <c r="CL48" i="86"/>
  <c r="CJ49" i="86"/>
  <c r="CK49" i="86"/>
  <c r="CL49" i="86"/>
  <c r="CJ50" i="86"/>
  <c r="CK50" i="86"/>
  <c r="CL50" i="86"/>
  <c r="CJ51" i="86"/>
  <c r="CK51" i="86"/>
  <c r="CL51" i="86"/>
  <c r="CJ52" i="86"/>
  <c r="CK52" i="86"/>
  <c r="CL52" i="86"/>
  <c r="CJ53" i="86"/>
  <c r="CK53" i="86"/>
  <c r="CL53" i="86"/>
  <c r="CJ54" i="86"/>
  <c r="CK54" i="86"/>
  <c r="CL54" i="86"/>
  <c r="CJ55" i="86"/>
  <c r="CK55" i="86"/>
  <c r="CL55" i="86"/>
  <c r="CJ56" i="86"/>
  <c r="CK56" i="86"/>
  <c r="CL56" i="86"/>
  <c r="CJ57" i="86"/>
  <c r="CK57" i="86"/>
  <c r="CL57" i="86"/>
  <c r="CJ58" i="86"/>
  <c r="CK58" i="86"/>
  <c r="CL58" i="86"/>
  <c r="CJ59" i="86"/>
  <c r="CK59" i="86"/>
  <c r="CL59" i="86"/>
  <c r="CJ60" i="86"/>
  <c r="CK60" i="86"/>
  <c r="CL60" i="86"/>
  <c r="CJ61" i="86"/>
  <c r="CK61" i="86"/>
  <c r="CL61" i="86"/>
  <c r="CJ62" i="86"/>
  <c r="CK62" i="86"/>
  <c r="CL62" i="86"/>
  <c r="CJ63" i="86"/>
  <c r="CK63" i="86"/>
  <c r="CL63" i="86"/>
  <c r="CJ64" i="86"/>
  <c r="CK64" i="86"/>
  <c r="CL64" i="86"/>
  <c r="CJ65" i="86"/>
  <c r="CK65" i="86"/>
  <c r="CL65" i="86"/>
  <c r="CJ66" i="86"/>
  <c r="CK66" i="86"/>
  <c r="CL66" i="86"/>
  <c r="CJ67" i="86"/>
  <c r="CK67" i="86"/>
  <c r="CL67" i="86"/>
  <c r="CJ68" i="86"/>
  <c r="CK68" i="86"/>
  <c r="CL68" i="86"/>
  <c r="CJ69" i="86"/>
  <c r="CK69" i="86"/>
  <c r="CL69" i="86"/>
  <c r="CJ70" i="86"/>
  <c r="CK70" i="86"/>
  <c r="CL70" i="86"/>
  <c r="CJ71" i="86"/>
  <c r="CK71" i="86"/>
  <c r="CL71" i="86"/>
  <c r="CJ72" i="86"/>
  <c r="CK72" i="86"/>
  <c r="CL72" i="86"/>
  <c r="CJ73" i="86"/>
  <c r="CK73" i="86"/>
  <c r="CL73" i="86"/>
  <c r="CJ74" i="86"/>
  <c r="CK74" i="86"/>
  <c r="CL74" i="86"/>
  <c r="CJ75" i="86"/>
  <c r="CK75" i="86"/>
  <c r="CL75" i="86"/>
  <c r="CJ76" i="86"/>
  <c r="CK76" i="86"/>
  <c r="CL76" i="86"/>
  <c r="CJ77" i="86"/>
  <c r="CK77" i="86"/>
  <c r="CL77" i="86"/>
  <c r="CJ78" i="86"/>
  <c r="CK78" i="86"/>
  <c r="CL78" i="86"/>
  <c r="CJ79" i="86"/>
  <c r="CK79" i="86"/>
  <c r="CL79" i="86"/>
  <c r="CJ80" i="86"/>
  <c r="CK80" i="86"/>
  <c r="CL80" i="86"/>
  <c r="CJ81" i="86"/>
  <c r="CK81" i="86"/>
  <c r="CL81" i="86"/>
  <c r="CJ82" i="86"/>
  <c r="CK82" i="86"/>
  <c r="CL82" i="86"/>
  <c r="CJ83" i="86"/>
  <c r="CK83" i="86"/>
  <c r="CL83" i="86"/>
  <c r="CJ84" i="86"/>
  <c r="CK84" i="86"/>
  <c r="CL84" i="86"/>
  <c r="CJ85" i="86"/>
  <c r="CK85" i="86"/>
  <c r="CL85" i="86"/>
  <c r="CJ86" i="86"/>
  <c r="CK86" i="86"/>
  <c r="CL86" i="86"/>
  <c r="CJ87" i="86"/>
  <c r="CK87" i="86"/>
  <c r="CL87" i="86"/>
  <c r="CJ88" i="86"/>
  <c r="CK88" i="86"/>
  <c r="CL88" i="86"/>
  <c r="CJ89" i="86"/>
  <c r="CK89" i="86"/>
  <c r="CL89" i="86"/>
  <c r="CJ90" i="86"/>
  <c r="CK90" i="86"/>
  <c r="CL90" i="86"/>
  <c r="CJ91" i="86"/>
  <c r="CK91" i="86"/>
  <c r="CL91" i="86"/>
  <c r="CJ92" i="86"/>
  <c r="CK92" i="86"/>
  <c r="CL92" i="86"/>
  <c r="CJ93" i="86"/>
  <c r="CK93" i="86"/>
  <c r="CL93" i="86"/>
  <c r="CJ94" i="86"/>
  <c r="CK94" i="86"/>
  <c r="CL94" i="86"/>
  <c r="CJ95" i="86"/>
  <c r="CK95" i="86"/>
  <c r="CL95" i="86"/>
  <c r="CJ96" i="86"/>
  <c r="CK96" i="86"/>
  <c r="CL96" i="86"/>
  <c r="CJ97" i="86"/>
  <c r="CK97" i="86"/>
  <c r="CL97" i="86"/>
  <c r="CJ98" i="86"/>
  <c r="CK98" i="86"/>
  <c r="CL98" i="86"/>
  <c r="CJ99" i="86"/>
  <c r="CK99" i="86"/>
  <c r="CL99" i="86"/>
  <c r="CJ100" i="86"/>
  <c r="CK100" i="86"/>
  <c r="CL100" i="86"/>
  <c r="CJ101" i="86"/>
  <c r="CK101" i="86"/>
  <c r="CL101" i="86"/>
  <c r="CJ102" i="86"/>
  <c r="CK102" i="86"/>
  <c r="CL102" i="86"/>
  <c r="CJ103" i="86"/>
  <c r="CK103" i="86"/>
  <c r="CL103" i="86"/>
  <c r="CJ104" i="86"/>
  <c r="CK104" i="86"/>
  <c r="CL104" i="86"/>
  <c r="CJ105" i="86"/>
  <c r="CK105" i="86"/>
  <c r="CL105" i="86"/>
  <c r="CJ106" i="86"/>
  <c r="CK106" i="86"/>
  <c r="CL106" i="86"/>
  <c r="CJ107" i="86"/>
  <c r="CK107" i="86"/>
  <c r="CL107" i="86"/>
  <c r="CJ108" i="86"/>
  <c r="CK108" i="86"/>
  <c r="CL108" i="86"/>
  <c r="CJ109" i="86"/>
  <c r="CK109" i="86"/>
  <c r="CL109" i="86"/>
  <c r="CJ110" i="86"/>
  <c r="CK110" i="86"/>
  <c r="CL110" i="86"/>
  <c r="CJ111" i="86"/>
  <c r="CK111" i="86"/>
  <c r="CL111" i="86"/>
  <c r="CJ112" i="86"/>
  <c r="CK112" i="86"/>
  <c r="CL112" i="86"/>
  <c r="CJ113" i="86"/>
  <c r="CK113" i="86"/>
  <c r="CL113" i="86"/>
  <c r="CJ114" i="86"/>
  <c r="CK114" i="86"/>
  <c r="CL114" i="86"/>
  <c r="CJ115" i="86"/>
  <c r="CK115" i="86"/>
  <c r="CL115" i="86"/>
  <c r="CJ116" i="86"/>
  <c r="CK116" i="86"/>
  <c r="CL116" i="86"/>
  <c r="CJ117" i="86"/>
  <c r="CK117" i="86"/>
  <c r="CL117" i="86"/>
  <c r="CJ118" i="86"/>
  <c r="CK118" i="86"/>
  <c r="CL118" i="86"/>
  <c r="CJ119" i="86"/>
  <c r="CK119" i="86"/>
  <c r="CL119" i="86"/>
  <c r="CJ120" i="86"/>
  <c r="CK120" i="86"/>
  <c r="CL120" i="86"/>
  <c r="CJ121" i="86"/>
  <c r="CK121" i="86"/>
  <c r="CL121" i="86"/>
  <c r="CJ122" i="86"/>
  <c r="CK122" i="86"/>
  <c r="CL122" i="86"/>
  <c r="CJ123" i="86"/>
  <c r="CK123" i="86"/>
  <c r="CL123" i="86"/>
  <c r="CJ124" i="86"/>
  <c r="CK124" i="86"/>
  <c r="CL124" i="86"/>
  <c r="CJ125" i="86"/>
  <c r="CK125" i="86"/>
  <c r="CL125" i="86"/>
  <c r="CJ126" i="86"/>
  <c r="CK126" i="86"/>
  <c r="CL126" i="86"/>
  <c r="CJ127" i="86"/>
  <c r="CK127" i="86"/>
  <c r="CL127" i="86"/>
  <c r="CJ128" i="86"/>
  <c r="CK128" i="86"/>
  <c r="CL128" i="86"/>
  <c r="CJ129" i="86"/>
  <c r="CK129" i="86"/>
  <c r="CL129" i="86"/>
  <c r="CJ130" i="86"/>
  <c r="CK130" i="86"/>
  <c r="CL130" i="86"/>
  <c r="CJ131" i="86"/>
  <c r="CK131" i="86"/>
  <c r="CL131" i="86"/>
  <c r="CJ132" i="86"/>
  <c r="CK132" i="86"/>
  <c r="CL132" i="86"/>
  <c r="CJ133" i="86"/>
  <c r="CK133" i="86"/>
  <c r="CL133" i="86"/>
  <c r="CJ134" i="86"/>
  <c r="CK134" i="86"/>
  <c r="CL134" i="86"/>
  <c r="CJ135" i="86"/>
  <c r="CK135" i="86"/>
  <c r="CL135" i="86"/>
  <c r="CJ136" i="86"/>
  <c r="CK136" i="86"/>
  <c r="CL136" i="86"/>
  <c r="CJ137" i="86"/>
  <c r="CK137" i="86"/>
  <c r="CL137" i="86"/>
  <c r="CJ138" i="86"/>
  <c r="CK138" i="86"/>
  <c r="CL138" i="86"/>
  <c r="CJ139" i="86"/>
  <c r="CK139" i="86"/>
  <c r="CL139" i="86"/>
  <c r="CJ140" i="86"/>
  <c r="CK140" i="86"/>
  <c r="CL140" i="86"/>
  <c r="CJ141" i="86"/>
  <c r="CK141" i="86"/>
  <c r="CL141" i="86"/>
  <c r="CJ142" i="86"/>
  <c r="CK142" i="86"/>
  <c r="CL142" i="86"/>
  <c r="CJ143" i="86"/>
  <c r="CK143" i="86"/>
  <c r="CL143" i="86"/>
  <c r="CJ144" i="86"/>
  <c r="CK144" i="86"/>
  <c r="CL144" i="86"/>
  <c r="CJ145" i="86"/>
  <c r="CK145" i="86"/>
  <c r="CL145" i="86"/>
  <c r="CJ146" i="86"/>
  <c r="CK146" i="86"/>
  <c r="CL146" i="86"/>
  <c r="CJ147" i="86"/>
  <c r="CK147" i="86"/>
  <c r="CL147" i="86"/>
  <c r="CJ148" i="86"/>
  <c r="CK148" i="86"/>
  <c r="CL148" i="86"/>
  <c r="CJ149" i="86"/>
  <c r="CK149" i="86"/>
  <c r="CL149" i="86"/>
  <c r="CJ150" i="86"/>
  <c r="CK150" i="86"/>
  <c r="CL150" i="86"/>
  <c r="CJ151" i="86"/>
  <c r="CK151" i="86"/>
  <c r="CL151" i="86"/>
  <c r="CJ152" i="86"/>
  <c r="CK152" i="86"/>
  <c r="CL152" i="86"/>
  <c r="CJ153" i="86"/>
  <c r="CK153" i="86"/>
  <c r="CL153" i="86"/>
  <c r="CJ154" i="86"/>
  <c r="CK154" i="86"/>
  <c r="CL154" i="86"/>
  <c r="CJ155" i="86"/>
  <c r="CK155" i="86"/>
  <c r="CL155" i="86"/>
  <c r="CJ156" i="86"/>
  <c r="CK156" i="86"/>
  <c r="CL156" i="86"/>
  <c r="CJ157" i="86"/>
  <c r="CK157" i="86"/>
  <c r="CL157" i="86"/>
  <c r="CJ158" i="86"/>
  <c r="CK158" i="86"/>
  <c r="CL158" i="86"/>
  <c r="CJ159" i="86"/>
  <c r="CK159" i="86"/>
  <c r="CL159" i="86"/>
  <c r="CJ160" i="86"/>
  <c r="CK160" i="86"/>
  <c r="CL160" i="86"/>
  <c r="CJ161" i="86"/>
  <c r="CK161" i="86"/>
  <c r="CL161" i="86"/>
  <c r="CJ162" i="86"/>
  <c r="CK162" i="86"/>
  <c r="CL162" i="86"/>
  <c r="CJ163" i="86"/>
  <c r="CK163" i="86"/>
  <c r="CL163" i="86"/>
  <c r="CJ164" i="86"/>
  <c r="CK164" i="86"/>
  <c r="CL164" i="86"/>
  <c r="CJ165" i="86"/>
  <c r="CK165" i="86"/>
  <c r="CL165" i="86"/>
  <c r="CJ166" i="86"/>
  <c r="CK166" i="86"/>
  <c r="CL166" i="86"/>
  <c r="CJ167" i="86"/>
  <c r="CK167" i="86"/>
  <c r="CL167" i="86"/>
  <c r="CJ168" i="86"/>
  <c r="CK168" i="86"/>
  <c r="CL168" i="86"/>
  <c r="CJ169" i="86"/>
  <c r="CK169" i="86"/>
  <c r="CL169" i="86"/>
  <c r="CJ170" i="86"/>
  <c r="CK170" i="86"/>
  <c r="CL170" i="86"/>
  <c r="CJ171" i="86"/>
  <c r="CK171" i="86"/>
  <c r="CL171" i="86"/>
  <c r="CJ172" i="86"/>
  <c r="CK172" i="86"/>
  <c r="CL172" i="86"/>
  <c r="CJ173" i="86"/>
  <c r="CK173" i="86"/>
  <c r="CL173" i="86"/>
  <c r="CJ174" i="86"/>
  <c r="CK174" i="86"/>
  <c r="CL174" i="86"/>
  <c r="CJ175" i="86"/>
  <c r="CK175" i="86"/>
  <c r="CL175" i="86"/>
  <c r="CJ176" i="86"/>
  <c r="CK176" i="86"/>
  <c r="CL176" i="86"/>
  <c r="CJ177" i="86"/>
  <c r="CK177" i="86"/>
  <c r="CL177" i="86"/>
  <c r="CJ178" i="86"/>
  <c r="CK178" i="86"/>
  <c r="CL178" i="86"/>
  <c r="CJ179" i="86"/>
  <c r="CK179" i="86"/>
  <c r="CL179" i="86"/>
  <c r="CJ180" i="86"/>
  <c r="CK180" i="86"/>
  <c r="CL180" i="86"/>
  <c r="CJ181" i="86"/>
  <c r="CK181" i="86"/>
  <c r="CL181" i="86"/>
  <c r="CJ182" i="86"/>
  <c r="CK182" i="86"/>
  <c r="CL182" i="86"/>
  <c r="CJ183" i="86"/>
  <c r="CK183" i="86"/>
  <c r="CL183" i="86"/>
  <c r="CJ184" i="86"/>
  <c r="CK184" i="86"/>
  <c r="CL184" i="86"/>
  <c r="CJ185" i="86"/>
  <c r="CK185" i="86"/>
  <c r="CL185" i="86"/>
  <c r="CJ186" i="86"/>
  <c r="CK186" i="86"/>
  <c r="CL186" i="86"/>
  <c r="CJ187" i="86"/>
  <c r="CK187" i="86"/>
  <c r="CL187" i="86"/>
  <c r="CJ188" i="86"/>
  <c r="CK188" i="86"/>
  <c r="CL188" i="86"/>
  <c r="CJ189" i="86"/>
  <c r="CK189" i="86"/>
  <c r="CL189" i="86"/>
  <c r="CJ190" i="86"/>
  <c r="CK190" i="86"/>
  <c r="CL190" i="86"/>
  <c r="CJ191" i="86"/>
  <c r="CK191" i="86"/>
  <c r="CL191" i="86"/>
  <c r="CJ192" i="86"/>
  <c r="CK192" i="86"/>
  <c r="CL192" i="86"/>
  <c r="CJ193" i="86"/>
  <c r="CK193" i="86"/>
  <c r="CL193" i="86"/>
  <c r="CJ194" i="86"/>
  <c r="CK194" i="86"/>
  <c r="CL194" i="86"/>
  <c r="CJ195" i="86"/>
  <c r="CK195" i="86"/>
  <c r="CL195" i="86"/>
  <c r="CJ196" i="86"/>
  <c r="CK196" i="86"/>
  <c r="CL196" i="86"/>
  <c r="CJ197" i="86"/>
  <c r="CK197" i="86"/>
  <c r="CL197" i="86"/>
  <c r="CJ198" i="86"/>
  <c r="CK198" i="86"/>
  <c r="CL198" i="86"/>
  <c r="CJ199" i="86"/>
  <c r="CK199" i="86"/>
  <c r="CL199" i="86"/>
  <c r="CJ200" i="86"/>
  <c r="CK200" i="86"/>
  <c r="CL200" i="86"/>
  <c r="CJ201" i="86"/>
  <c r="CK201" i="86"/>
  <c r="CL201" i="86"/>
  <c r="CJ202" i="86"/>
  <c r="CK202" i="86"/>
  <c r="CL202" i="86"/>
  <c r="CJ203" i="86"/>
  <c r="CK203" i="86"/>
  <c r="CL203" i="86"/>
  <c r="CJ204" i="86"/>
  <c r="CK204" i="86"/>
  <c r="CL204" i="86"/>
  <c r="CJ205" i="86"/>
  <c r="CK205" i="86"/>
  <c r="CL205" i="86"/>
  <c r="CJ206" i="86"/>
  <c r="CK206" i="86"/>
  <c r="CL206" i="86"/>
  <c r="CJ207" i="86"/>
  <c r="CK207" i="86"/>
  <c r="CL207" i="86"/>
  <c r="CJ209" i="86"/>
  <c r="CK209" i="86"/>
  <c r="CL209" i="86"/>
  <c r="CJ210" i="86"/>
  <c r="CK210" i="86"/>
  <c r="CL210" i="86"/>
  <c r="CJ211" i="86"/>
  <c r="CK211" i="86"/>
  <c r="CL211" i="86"/>
  <c r="CJ212" i="86"/>
  <c r="CK212" i="86"/>
  <c r="CL212" i="86"/>
  <c r="CJ213" i="86"/>
  <c r="CK213" i="86"/>
  <c r="CL213" i="86"/>
  <c r="CJ214" i="86"/>
  <c r="CK214" i="86"/>
  <c r="CL214" i="86"/>
  <c r="CJ215" i="86"/>
  <c r="CK215" i="86"/>
  <c r="CL215" i="86"/>
  <c r="CJ216" i="86"/>
  <c r="CK216" i="86"/>
  <c r="CL216" i="86"/>
  <c r="CJ217" i="86"/>
  <c r="CK217" i="86"/>
  <c r="CL217" i="86"/>
  <c r="CJ218" i="86"/>
  <c r="CK218" i="86"/>
  <c r="CL218" i="86"/>
  <c r="CJ219" i="86"/>
  <c r="CK219" i="86"/>
  <c r="CL219" i="86"/>
  <c r="CJ220" i="86"/>
  <c r="CK220" i="86"/>
  <c r="CL220" i="86"/>
  <c r="CJ221" i="86"/>
  <c r="CK221" i="86"/>
  <c r="CL221" i="86"/>
  <c r="CJ222" i="86"/>
  <c r="CK222" i="86"/>
  <c r="CL222" i="86"/>
  <c r="CJ223" i="86"/>
  <c r="CK223" i="86"/>
  <c r="CL223" i="86"/>
  <c r="CJ224" i="86"/>
  <c r="CK224" i="86"/>
  <c r="CL224" i="86"/>
  <c r="CJ225" i="86"/>
  <c r="CK225" i="86"/>
  <c r="CL225" i="86"/>
  <c r="CJ226" i="86"/>
  <c r="CK226" i="86"/>
  <c r="CL226" i="86"/>
  <c r="CJ227" i="86"/>
  <c r="CK227" i="86"/>
  <c r="CL227" i="86"/>
  <c r="CJ228" i="86"/>
  <c r="CK228" i="86"/>
  <c r="CL228" i="86"/>
  <c r="CJ229" i="86"/>
  <c r="CK229" i="86"/>
  <c r="CL229" i="86"/>
  <c r="CJ230" i="86"/>
  <c r="CK230" i="86"/>
  <c r="CL230" i="86"/>
  <c r="CJ231" i="86"/>
  <c r="CK231" i="86"/>
  <c r="CL231" i="86"/>
  <c r="CJ232" i="86"/>
  <c r="CK232" i="86"/>
  <c r="CL232" i="86"/>
  <c r="CJ233" i="86"/>
  <c r="CK233" i="86"/>
  <c r="CL233" i="86"/>
  <c r="CJ234" i="86"/>
  <c r="CK234" i="86"/>
  <c r="CL234" i="86"/>
  <c r="CJ235" i="86"/>
  <c r="CK235" i="86"/>
  <c r="CL235" i="86"/>
  <c r="CJ236" i="86"/>
  <c r="CK236" i="86"/>
  <c r="CL236" i="86"/>
  <c r="CJ237" i="86"/>
  <c r="CK237" i="86"/>
  <c r="CL237" i="86"/>
  <c r="CJ238" i="86"/>
  <c r="CK238" i="86"/>
  <c r="CL238" i="86"/>
  <c r="CJ239" i="86"/>
  <c r="CK239" i="86"/>
  <c r="CL239" i="86"/>
  <c r="CJ240" i="86"/>
  <c r="CK240" i="86"/>
  <c r="CL240" i="86"/>
  <c r="CJ241" i="86"/>
  <c r="CK241" i="86"/>
  <c r="CL241" i="86"/>
  <c r="CJ242" i="86"/>
  <c r="CK242" i="86"/>
  <c r="CL242" i="86"/>
  <c r="CJ243" i="86"/>
  <c r="CK243" i="86"/>
  <c r="CL243" i="86"/>
  <c r="CJ244" i="86"/>
  <c r="CK244" i="86"/>
  <c r="CL244" i="86"/>
  <c r="CJ245" i="86"/>
  <c r="CK245" i="86"/>
  <c r="CL245" i="86"/>
  <c r="CJ246" i="86"/>
  <c r="CK246" i="86"/>
  <c r="CL246" i="86"/>
  <c r="CJ247" i="86"/>
  <c r="CK247" i="86"/>
  <c r="CL247" i="86"/>
  <c r="CJ248" i="86"/>
  <c r="CK248" i="86"/>
  <c r="CL248" i="86"/>
  <c r="CJ249" i="86"/>
  <c r="CK249" i="86"/>
  <c r="CL249" i="86"/>
  <c r="CJ250" i="86"/>
  <c r="CK250" i="86"/>
  <c r="CL250" i="86"/>
  <c r="CJ251" i="86"/>
  <c r="CK251" i="86"/>
  <c r="CL251" i="86"/>
  <c r="CJ252" i="86"/>
  <c r="CK252" i="86"/>
  <c r="CL252" i="86"/>
  <c r="CJ253" i="86"/>
  <c r="CK253" i="86"/>
  <c r="CL253" i="86"/>
  <c r="CJ254" i="86"/>
  <c r="CK254" i="86"/>
  <c r="CL254" i="86"/>
  <c r="CJ255" i="86"/>
  <c r="CK255" i="86"/>
  <c r="CL255" i="86"/>
  <c r="CJ256" i="86"/>
  <c r="CK256" i="86"/>
  <c r="CL256" i="86"/>
  <c r="CJ257" i="86"/>
  <c r="CK257" i="86"/>
  <c r="CL257" i="86"/>
  <c r="CJ258" i="86"/>
  <c r="CK258" i="86"/>
  <c r="CL258" i="86"/>
  <c r="CJ259" i="86"/>
  <c r="CK259" i="86"/>
  <c r="CL259" i="86"/>
  <c r="CJ260" i="86"/>
  <c r="CK260" i="86"/>
  <c r="CL260" i="86"/>
  <c r="CJ261" i="86"/>
  <c r="CK261" i="86"/>
  <c r="CL261" i="86"/>
  <c r="CJ262" i="86"/>
  <c r="CK262" i="86"/>
  <c r="CL262" i="86"/>
  <c r="CJ263" i="86"/>
  <c r="CK263" i="86"/>
  <c r="CL263" i="86"/>
  <c r="CJ264" i="86"/>
  <c r="CK264" i="86"/>
  <c r="CL264" i="86"/>
  <c r="CJ265" i="86"/>
  <c r="CK265" i="86"/>
  <c r="CL265" i="86"/>
  <c r="CJ266" i="86"/>
  <c r="CK266" i="86"/>
  <c r="CL266" i="86"/>
  <c r="CJ267" i="86"/>
  <c r="CK267" i="86"/>
  <c r="CL267" i="86"/>
  <c r="CJ268" i="86"/>
  <c r="CK268" i="86"/>
  <c r="CL268" i="86"/>
  <c r="CJ269" i="86"/>
  <c r="CK269" i="86"/>
  <c r="CL269" i="86"/>
  <c r="CJ270" i="86"/>
  <c r="CK270" i="86"/>
  <c r="CL270" i="86"/>
  <c r="CJ271" i="86"/>
  <c r="CK271" i="86"/>
  <c r="CL271" i="86"/>
  <c r="CJ272" i="86"/>
  <c r="CK272" i="86"/>
  <c r="CL272" i="86"/>
  <c r="CJ273" i="86"/>
  <c r="CK273" i="86"/>
  <c r="CL273" i="86"/>
  <c r="CJ274" i="86"/>
  <c r="CK274" i="86"/>
  <c r="CL274" i="86"/>
  <c r="CJ275" i="86"/>
  <c r="CK275" i="86"/>
  <c r="CL275" i="86"/>
  <c r="CJ276" i="86"/>
  <c r="CK276" i="86"/>
  <c r="CL276" i="86"/>
  <c r="CJ277" i="86"/>
  <c r="CK277" i="86"/>
  <c r="CL277" i="86"/>
  <c r="CJ278" i="86"/>
  <c r="CK278" i="86"/>
  <c r="CL278" i="86"/>
  <c r="CJ279" i="86"/>
  <c r="CK279" i="86"/>
  <c r="CL279" i="86"/>
  <c r="CJ280" i="86"/>
  <c r="CK280" i="86"/>
  <c r="CL280" i="86"/>
  <c r="CJ281" i="86"/>
  <c r="CK281" i="86"/>
  <c r="CL281" i="86"/>
  <c r="CJ282" i="86"/>
  <c r="CK282" i="86"/>
  <c r="CL282" i="86"/>
  <c r="CJ283" i="86"/>
  <c r="CK283" i="86"/>
  <c r="CL283" i="86"/>
  <c r="CJ284" i="86"/>
  <c r="CK284" i="86"/>
  <c r="CL284" i="86"/>
  <c r="CJ285" i="86"/>
  <c r="CK285" i="86"/>
  <c r="CL285" i="86"/>
  <c r="CJ286" i="86"/>
  <c r="CK286" i="86"/>
  <c r="CL286" i="86"/>
  <c r="CJ287" i="86"/>
  <c r="CK287" i="86"/>
  <c r="CL287" i="86"/>
  <c r="CJ288" i="86"/>
  <c r="CK288" i="86"/>
  <c r="CL288" i="86"/>
  <c r="CJ289" i="86"/>
  <c r="CK289" i="86"/>
  <c r="CL289" i="86"/>
  <c r="CJ290" i="86"/>
  <c r="CK290" i="86"/>
  <c r="CL290" i="86"/>
  <c r="CJ291" i="86"/>
  <c r="CK291" i="86"/>
  <c r="CL291" i="86"/>
  <c r="CJ292" i="86"/>
  <c r="CK292" i="86"/>
  <c r="CL292" i="86"/>
  <c r="CJ293" i="86"/>
  <c r="CK293" i="86"/>
  <c r="CL293" i="86"/>
  <c r="CJ294" i="86"/>
  <c r="CK294" i="86"/>
  <c r="CL294" i="86"/>
  <c r="CJ295" i="86"/>
  <c r="CK295" i="86"/>
  <c r="CL295" i="86"/>
  <c r="CJ296" i="86"/>
  <c r="CK296" i="86"/>
  <c r="CL296" i="86"/>
  <c r="CJ297" i="86"/>
  <c r="CK297" i="86"/>
  <c r="CL297" i="86"/>
  <c r="CJ298" i="86"/>
  <c r="CK298" i="86"/>
  <c r="CL298" i="86"/>
  <c r="CJ299" i="86"/>
  <c r="CK299" i="86"/>
  <c r="CL299" i="86"/>
  <c r="CJ300" i="86"/>
  <c r="CK300" i="86"/>
  <c r="CL300" i="86"/>
  <c r="CJ301" i="86"/>
  <c r="CK301" i="86"/>
  <c r="CL301" i="86"/>
  <c r="CJ302" i="86"/>
  <c r="CK302" i="86"/>
  <c r="CL302" i="86"/>
  <c r="CJ303" i="86"/>
  <c r="CK303" i="86"/>
  <c r="CL303" i="86"/>
  <c r="CJ304" i="86"/>
  <c r="CK304" i="86"/>
  <c r="CL304" i="86"/>
  <c r="CJ305" i="86"/>
  <c r="CK305" i="86"/>
  <c r="CL305" i="86"/>
  <c r="CJ306" i="86"/>
  <c r="CK306" i="86"/>
  <c r="CL306" i="86"/>
  <c r="CJ307" i="86"/>
  <c r="CK307" i="86"/>
  <c r="CL307" i="86"/>
  <c r="CJ308" i="86"/>
  <c r="CK308" i="86"/>
  <c r="CL308" i="86"/>
  <c r="CJ309" i="86"/>
  <c r="CK309" i="86"/>
  <c r="CL309" i="86"/>
  <c r="CJ310" i="86"/>
  <c r="CK310" i="86"/>
  <c r="CL310" i="86"/>
  <c r="CJ311" i="86"/>
  <c r="CK311" i="86"/>
  <c r="CL311" i="86"/>
  <c r="CJ312" i="86"/>
  <c r="CK312" i="86"/>
  <c r="CL312" i="86"/>
  <c r="CJ313" i="86"/>
  <c r="CK313" i="86"/>
  <c r="CL313" i="86"/>
  <c r="CJ314" i="86"/>
  <c r="CK314" i="86"/>
  <c r="CL314" i="86"/>
  <c r="CJ315" i="86"/>
  <c r="CK315" i="86"/>
  <c r="CL315" i="86"/>
  <c r="CJ316" i="86"/>
  <c r="CK316" i="86"/>
  <c r="CL316" i="86"/>
  <c r="CJ317" i="86"/>
  <c r="CK317" i="86"/>
  <c r="CL317" i="86"/>
  <c r="CJ318" i="86"/>
  <c r="CK318" i="86"/>
  <c r="CL318" i="86"/>
  <c r="CJ319" i="86"/>
  <c r="CK319" i="86"/>
  <c r="CL319" i="86"/>
  <c r="CJ320" i="86"/>
  <c r="CK320" i="86"/>
  <c r="CL320" i="86"/>
  <c r="CJ321" i="86"/>
  <c r="CK321" i="86"/>
  <c r="CL321" i="86"/>
  <c r="CJ322" i="86"/>
  <c r="CK322" i="86"/>
  <c r="CL322" i="86"/>
  <c r="CJ323" i="86"/>
  <c r="CK323" i="86"/>
  <c r="CL323" i="86"/>
  <c r="CJ324" i="86"/>
  <c r="CK324" i="86"/>
  <c r="CL324" i="86"/>
  <c r="CJ325" i="86"/>
  <c r="CK325" i="86"/>
  <c r="CL325" i="86"/>
  <c r="CJ326" i="86"/>
  <c r="CK326" i="86"/>
  <c r="CL326" i="86"/>
  <c r="CJ327" i="86"/>
  <c r="CK327" i="86"/>
  <c r="CL327" i="86"/>
  <c r="CJ328" i="86"/>
  <c r="CK328" i="86"/>
  <c r="CL328" i="86"/>
  <c r="CJ329" i="86"/>
  <c r="CK329" i="86"/>
  <c r="CL329" i="86"/>
  <c r="CJ330" i="86"/>
  <c r="CK330" i="86"/>
  <c r="CL330" i="86"/>
  <c r="CJ331" i="86"/>
  <c r="CK331" i="86"/>
  <c r="CL331" i="86"/>
  <c r="CJ332" i="86"/>
  <c r="CK332" i="86"/>
  <c r="CL332" i="86"/>
  <c r="CJ333" i="86"/>
  <c r="CK333" i="86"/>
  <c r="CL333" i="86"/>
  <c r="CJ334" i="86"/>
  <c r="CK334" i="86"/>
  <c r="CL334" i="86"/>
  <c r="CJ335" i="86"/>
  <c r="CK335" i="86"/>
  <c r="CL335" i="86"/>
  <c r="CJ336" i="86"/>
  <c r="CK336" i="86"/>
  <c r="CL336" i="86"/>
  <c r="CJ339" i="86"/>
  <c r="CK339" i="86"/>
  <c r="CL339" i="86"/>
  <c r="CJ340" i="86"/>
  <c r="CK340" i="86"/>
  <c r="CL340" i="86"/>
  <c r="CJ341" i="86"/>
  <c r="CK341" i="86"/>
  <c r="CL341" i="86"/>
  <c r="CJ342" i="86"/>
  <c r="CK342" i="86"/>
  <c r="CL342" i="86"/>
  <c r="CJ343" i="86"/>
  <c r="CK343" i="86"/>
  <c r="CL343" i="86"/>
  <c r="CJ344" i="86"/>
  <c r="CK344" i="86"/>
  <c r="CL344" i="86"/>
  <c r="CJ345" i="86"/>
  <c r="CK345" i="86"/>
  <c r="CL345" i="86"/>
  <c r="CJ346" i="86"/>
  <c r="CK346" i="86"/>
  <c r="CL346" i="86"/>
  <c r="CJ347" i="86"/>
  <c r="CK347" i="86"/>
  <c r="CL347" i="86"/>
  <c r="CJ348" i="86"/>
  <c r="CK348" i="86"/>
  <c r="CL348" i="86"/>
  <c r="CJ349" i="86"/>
  <c r="CK349" i="86"/>
  <c r="CL349" i="86"/>
  <c r="CJ350" i="86"/>
  <c r="CK350" i="86"/>
  <c r="CL350" i="86"/>
  <c r="CJ351" i="86"/>
  <c r="CK351" i="86"/>
  <c r="CL351" i="86"/>
  <c r="CJ352" i="86"/>
  <c r="CK352" i="86"/>
  <c r="CL352" i="86"/>
  <c r="CJ353" i="86"/>
  <c r="CK353" i="86"/>
  <c r="CL353" i="86"/>
  <c r="CJ354" i="86"/>
  <c r="CK354" i="86"/>
  <c r="CL354" i="86"/>
  <c r="CJ355" i="86"/>
  <c r="CK355" i="86"/>
  <c r="CL355" i="86"/>
  <c r="CJ356" i="86"/>
  <c r="CK356" i="86"/>
  <c r="CL356" i="86"/>
  <c r="CJ357" i="86"/>
  <c r="CK357" i="86"/>
  <c r="CL357" i="86"/>
  <c r="CJ358" i="86"/>
  <c r="CK358" i="86"/>
  <c r="CL358" i="86"/>
  <c r="CJ359" i="86"/>
  <c r="CK359" i="86"/>
  <c r="CL359" i="86"/>
  <c r="CJ360" i="86"/>
  <c r="CK360" i="86"/>
  <c r="CL360" i="86"/>
  <c r="CJ361" i="86"/>
  <c r="CK361" i="86"/>
  <c r="CL361" i="86"/>
  <c r="CJ362" i="86"/>
  <c r="CK362" i="86"/>
  <c r="CL362" i="86"/>
  <c r="CJ363" i="86"/>
  <c r="CK363" i="86"/>
  <c r="CL363" i="86"/>
  <c r="CJ364" i="86"/>
  <c r="CK364" i="86"/>
  <c r="CL364" i="86"/>
  <c r="CJ365" i="86"/>
  <c r="CK365" i="86"/>
  <c r="CL365" i="86"/>
  <c r="CJ366" i="86"/>
  <c r="CK366" i="86"/>
  <c r="CL366" i="86"/>
  <c r="CJ367" i="86"/>
  <c r="CK367" i="86"/>
  <c r="CL367" i="86"/>
  <c r="CJ368" i="86"/>
  <c r="CK368" i="86"/>
  <c r="CL368" i="86"/>
  <c r="CJ369" i="86"/>
  <c r="CK369" i="86"/>
  <c r="CL369" i="86"/>
  <c r="CJ370" i="86"/>
  <c r="CK370" i="86"/>
  <c r="CL370" i="86"/>
  <c r="CJ371" i="86"/>
  <c r="CK371" i="86"/>
  <c r="CL371" i="86"/>
  <c r="CJ372" i="86"/>
  <c r="CK372" i="86"/>
  <c r="CL372" i="86"/>
  <c r="CJ373" i="86"/>
  <c r="CK373" i="86"/>
  <c r="CL373" i="86"/>
  <c r="CJ374" i="86"/>
  <c r="CK374" i="86"/>
  <c r="CL374" i="86"/>
  <c r="CJ375" i="86"/>
  <c r="CK375" i="86"/>
  <c r="CL375" i="86"/>
  <c r="CJ376" i="86"/>
  <c r="CK376" i="86"/>
  <c r="CL376" i="86"/>
  <c r="CJ377" i="86"/>
  <c r="CK377" i="86"/>
  <c r="CL377" i="86"/>
  <c r="CJ378" i="86"/>
  <c r="CK378" i="86"/>
  <c r="CL378" i="86"/>
  <c r="CJ379" i="86"/>
  <c r="CK379" i="86"/>
  <c r="CL379" i="86"/>
  <c r="CJ380" i="86"/>
  <c r="CK380" i="86"/>
  <c r="CL380" i="86"/>
  <c r="CJ381" i="86"/>
  <c r="CK381" i="86"/>
  <c r="CL381" i="86"/>
  <c r="CJ382" i="86"/>
  <c r="CK382" i="86"/>
  <c r="CL382" i="86"/>
  <c r="CJ383" i="86"/>
  <c r="CK383" i="86"/>
  <c r="CL383" i="86"/>
  <c r="CJ384" i="86"/>
  <c r="CK384" i="86"/>
  <c r="CL384" i="86"/>
  <c r="CJ385" i="86"/>
  <c r="CK385" i="86"/>
  <c r="CL385" i="86"/>
  <c r="CJ386" i="86"/>
  <c r="CK386" i="86"/>
  <c r="CL386" i="86"/>
  <c r="CJ387" i="86"/>
  <c r="CK387" i="86"/>
  <c r="CL387" i="86"/>
  <c r="CJ388" i="86"/>
  <c r="CK388" i="86"/>
  <c r="CL388" i="86"/>
  <c r="CJ389" i="86"/>
  <c r="CK389" i="86"/>
  <c r="CL389" i="86"/>
  <c r="CJ390" i="86"/>
  <c r="CK390" i="86"/>
  <c r="CL390" i="86"/>
  <c r="CJ391" i="86"/>
  <c r="CK391" i="86"/>
  <c r="CL391" i="86"/>
  <c r="CJ392" i="86"/>
  <c r="CK392" i="86"/>
  <c r="CL392" i="86"/>
  <c r="CJ393" i="86"/>
  <c r="CK393" i="86"/>
  <c r="CL393" i="86"/>
  <c r="CJ394" i="86"/>
  <c r="CK394" i="86"/>
  <c r="CL394" i="86"/>
  <c r="CJ395" i="86"/>
  <c r="CK395" i="86"/>
  <c r="CL395" i="86"/>
  <c r="CJ396" i="86"/>
  <c r="CK396" i="86"/>
  <c r="CL396" i="86"/>
  <c r="CJ397" i="86"/>
  <c r="CK397" i="86"/>
  <c r="CL397" i="86"/>
  <c r="CJ398" i="86"/>
  <c r="CK398" i="86"/>
  <c r="CL398" i="86"/>
  <c r="CJ399" i="86"/>
  <c r="CK399" i="86"/>
  <c r="CL399" i="86"/>
  <c r="CJ400" i="86"/>
  <c r="CK400" i="86"/>
  <c r="CL400" i="86"/>
  <c r="CJ401" i="86"/>
  <c r="CK401" i="86"/>
  <c r="CL401" i="86"/>
  <c r="CJ402" i="86"/>
  <c r="CK402" i="86"/>
  <c r="CL402" i="86"/>
  <c r="CJ403" i="86"/>
  <c r="CK403" i="86"/>
  <c r="CL403" i="86"/>
  <c r="CJ404" i="86"/>
  <c r="CK404" i="86"/>
  <c r="CL404" i="86"/>
  <c r="CJ405" i="86"/>
  <c r="CK405" i="86"/>
  <c r="CL405" i="86"/>
  <c r="CJ406" i="86"/>
  <c r="CK406" i="86"/>
  <c r="CL406" i="86"/>
  <c r="CJ407" i="86"/>
  <c r="CK407" i="86"/>
  <c r="CL407" i="86"/>
  <c r="CJ408" i="86"/>
  <c r="CK408" i="86"/>
  <c r="CL408" i="86"/>
  <c r="CJ409" i="86"/>
  <c r="CK409" i="86"/>
  <c r="CL409" i="86"/>
  <c r="CJ410" i="86"/>
  <c r="CK410" i="86"/>
  <c r="CL410" i="86"/>
  <c r="CJ411" i="86"/>
  <c r="CK411" i="86"/>
  <c r="CL411" i="86"/>
  <c r="CJ412" i="86"/>
  <c r="CK412" i="86"/>
  <c r="CL412" i="86"/>
  <c r="CJ413" i="86"/>
  <c r="CK413" i="86"/>
  <c r="CL413" i="86"/>
  <c r="CJ414" i="86"/>
  <c r="CK414" i="86"/>
  <c r="CL414" i="86"/>
  <c r="CJ415" i="86"/>
  <c r="CK415" i="86"/>
  <c r="CL415" i="86"/>
  <c r="CJ416" i="86"/>
  <c r="CK416" i="86"/>
  <c r="CL416" i="86"/>
  <c r="CJ417" i="86"/>
  <c r="CK417" i="86"/>
  <c r="CL417" i="86"/>
  <c r="CJ418" i="86"/>
  <c r="CK418" i="86"/>
  <c r="CL418" i="86"/>
  <c r="CJ419" i="86"/>
  <c r="CK419" i="86"/>
  <c r="CL419" i="86"/>
  <c r="CJ420" i="86"/>
  <c r="CK420" i="86"/>
  <c r="CL420" i="86"/>
  <c r="CJ422" i="86"/>
  <c r="CK422" i="86"/>
  <c r="CL422" i="86"/>
  <c r="CJ423" i="86"/>
  <c r="CK423" i="86"/>
  <c r="CL423" i="86"/>
  <c r="CJ424" i="86"/>
  <c r="CK424" i="86"/>
  <c r="CL424" i="86"/>
  <c r="CJ425" i="86"/>
  <c r="CK425" i="86"/>
  <c r="CL425" i="86"/>
  <c r="CJ426" i="86"/>
  <c r="CK426" i="86"/>
  <c r="CL426" i="86"/>
  <c r="CJ427" i="86"/>
  <c r="CK427" i="86"/>
  <c r="CL427" i="86"/>
  <c r="CJ428" i="86"/>
  <c r="CK428" i="86"/>
  <c r="CL428" i="86"/>
  <c r="CJ429" i="86"/>
  <c r="CK429" i="86"/>
  <c r="CL429" i="86"/>
  <c r="CJ430" i="86"/>
  <c r="CK430" i="86"/>
  <c r="CL430" i="86"/>
  <c r="CJ431" i="86"/>
  <c r="CK431" i="86"/>
  <c r="CL431" i="86"/>
  <c r="CJ432" i="86"/>
  <c r="CK432" i="86"/>
  <c r="CL432" i="86"/>
  <c r="CJ433" i="86"/>
  <c r="CK433" i="86"/>
  <c r="CL433" i="86"/>
  <c r="CJ434" i="86"/>
  <c r="CK434" i="86"/>
  <c r="CL434" i="86"/>
  <c r="CJ435" i="86"/>
  <c r="CK435" i="86"/>
  <c r="CL435" i="86"/>
  <c r="CJ436" i="86"/>
  <c r="CK436" i="86"/>
  <c r="CL436" i="86"/>
  <c r="CJ437" i="86"/>
  <c r="CK437" i="86"/>
  <c r="CL437" i="86"/>
  <c r="CJ438" i="86"/>
  <c r="CK438" i="86"/>
  <c r="CL438" i="86"/>
  <c r="CJ439" i="86"/>
  <c r="CK439" i="86"/>
  <c r="CL439" i="86"/>
  <c r="CJ440" i="86"/>
  <c r="CK440" i="86"/>
  <c r="CL440" i="86"/>
  <c r="CJ441" i="86"/>
  <c r="CK441" i="86"/>
  <c r="CL441" i="86"/>
  <c r="CJ442" i="86"/>
  <c r="CK442" i="86"/>
  <c r="CL442" i="86"/>
  <c r="CJ443" i="86"/>
  <c r="CK443" i="86"/>
  <c r="CL443" i="86"/>
  <c r="CJ444" i="86"/>
  <c r="CK444" i="86"/>
  <c r="CL444" i="86"/>
  <c r="CJ445" i="86"/>
  <c r="CK445" i="86"/>
  <c r="CL445" i="86"/>
  <c r="CJ446" i="86"/>
  <c r="CK446" i="86"/>
  <c r="CL446" i="86"/>
  <c r="CJ447" i="86"/>
  <c r="CK447" i="86"/>
  <c r="CL447" i="86"/>
  <c r="CJ448" i="86"/>
  <c r="CK448" i="86"/>
  <c r="CL448" i="86"/>
  <c r="CJ449" i="86"/>
  <c r="CK449" i="86"/>
  <c r="CL449" i="86"/>
  <c r="CJ450" i="86"/>
  <c r="CK450" i="86"/>
  <c r="CL450" i="86"/>
  <c r="CJ451" i="86"/>
  <c r="CK451" i="86"/>
  <c r="CL451" i="86"/>
  <c r="CJ452" i="86"/>
  <c r="CK452" i="86"/>
  <c r="CL452" i="86"/>
  <c r="CJ453" i="86"/>
  <c r="CK453" i="86"/>
  <c r="CL453" i="86"/>
  <c r="CJ454" i="86"/>
  <c r="CK454" i="86"/>
  <c r="CL454" i="86"/>
  <c r="CJ455" i="86"/>
  <c r="CK455" i="86"/>
  <c r="CL455" i="86"/>
  <c r="CJ456" i="86"/>
  <c r="CK456" i="86"/>
  <c r="CL456" i="86"/>
  <c r="CJ457" i="86"/>
  <c r="CK457" i="86"/>
  <c r="CL457" i="86"/>
  <c r="CJ458" i="86"/>
  <c r="CK458" i="86"/>
  <c r="CL458" i="86"/>
  <c r="CJ460" i="86"/>
  <c r="CK460" i="86"/>
  <c r="CL460" i="86"/>
  <c r="CJ461" i="86"/>
  <c r="CK461" i="86"/>
  <c r="CL461" i="86"/>
  <c r="CJ462" i="86"/>
  <c r="CK462" i="86"/>
  <c r="CL462" i="86"/>
  <c r="CJ463" i="86"/>
  <c r="CK463" i="86"/>
  <c r="CL463" i="86"/>
  <c r="CJ464" i="86"/>
  <c r="CK464" i="86"/>
  <c r="CL464" i="86"/>
  <c r="CJ465" i="86"/>
  <c r="CK465" i="86"/>
  <c r="CL465" i="86"/>
  <c r="CJ466" i="86"/>
  <c r="CK466" i="86"/>
  <c r="CL466" i="86"/>
  <c r="CJ468" i="86"/>
  <c r="CK468" i="86"/>
  <c r="CL468" i="86"/>
  <c r="CJ469" i="86"/>
  <c r="CK469" i="86"/>
  <c r="CL469" i="86"/>
  <c r="CJ470" i="86"/>
  <c r="CK470" i="86"/>
  <c r="CL470" i="86"/>
  <c r="CJ471" i="86"/>
  <c r="CK471" i="86"/>
  <c r="CL471" i="86"/>
  <c r="CJ472" i="86"/>
  <c r="CK472" i="86"/>
  <c r="CL472" i="86"/>
  <c r="CJ473" i="86"/>
  <c r="CK473" i="86"/>
  <c r="CL473" i="86"/>
  <c r="CJ474" i="86"/>
  <c r="CK474" i="86"/>
  <c r="CL474" i="86"/>
  <c r="CJ475" i="86"/>
  <c r="CK475" i="86"/>
  <c r="CL475" i="86"/>
  <c r="CJ476" i="86"/>
  <c r="CK476" i="86"/>
  <c r="CL476" i="86"/>
  <c r="CJ477" i="86"/>
  <c r="CK477" i="86"/>
  <c r="CL477" i="86"/>
  <c r="CJ478" i="86"/>
  <c r="CK478" i="86"/>
  <c r="CL478" i="86"/>
  <c r="CJ479" i="86"/>
  <c r="CK479" i="86"/>
  <c r="CL479" i="86"/>
  <c r="CJ480" i="86"/>
  <c r="CK480" i="86"/>
  <c r="CL480" i="86"/>
  <c r="CJ481" i="86"/>
  <c r="CK481" i="86"/>
  <c r="CL481" i="86"/>
  <c r="CJ482" i="86"/>
  <c r="CK482" i="86"/>
  <c r="CL482" i="86"/>
  <c r="CJ483" i="86"/>
  <c r="CK483" i="86"/>
  <c r="CL483" i="86"/>
  <c r="CJ484" i="86"/>
  <c r="CK484" i="86"/>
  <c r="CL484" i="86"/>
  <c r="CJ485" i="86"/>
  <c r="CK485" i="86"/>
  <c r="CL485" i="86"/>
  <c r="CJ486" i="86"/>
  <c r="CK486" i="86"/>
  <c r="CL486" i="86"/>
  <c r="CJ487" i="86"/>
  <c r="CK487" i="86"/>
  <c r="CL487" i="86"/>
  <c r="CJ488" i="86"/>
  <c r="CK488" i="86"/>
  <c r="CL488" i="86"/>
  <c r="CJ489" i="86"/>
  <c r="CK489" i="86"/>
  <c r="CL489" i="86"/>
  <c r="CJ490" i="86"/>
  <c r="CK490" i="86"/>
  <c r="CL490" i="86"/>
  <c r="CJ491" i="86"/>
  <c r="CK491" i="86"/>
  <c r="CL491" i="86"/>
  <c r="CJ492" i="86"/>
  <c r="CK492" i="86"/>
  <c r="CL492" i="86"/>
  <c r="CJ493" i="86"/>
  <c r="CK493" i="86"/>
  <c r="CL493" i="86"/>
  <c r="CJ494" i="86"/>
  <c r="CK494" i="86"/>
  <c r="CL494" i="86"/>
  <c r="CJ495" i="86"/>
  <c r="CK495" i="86"/>
  <c r="CL495" i="86"/>
  <c r="CJ496" i="86"/>
  <c r="CK496" i="86"/>
  <c r="CL496" i="86"/>
  <c r="CJ497" i="86"/>
  <c r="CK497" i="86"/>
  <c r="CL497" i="86"/>
  <c r="CJ498" i="86"/>
  <c r="CK498" i="86"/>
  <c r="CL498" i="86"/>
  <c r="CJ499" i="86"/>
  <c r="CK499" i="86"/>
  <c r="CL499" i="86"/>
  <c r="CJ500" i="86"/>
  <c r="CK500" i="86"/>
  <c r="CL500" i="86"/>
  <c r="CJ501" i="86"/>
  <c r="CK501" i="86"/>
  <c r="CL501" i="86"/>
  <c r="CJ502" i="86"/>
  <c r="CK502" i="86"/>
  <c r="CL502" i="86"/>
  <c r="CJ503" i="86"/>
  <c r="CK503" i="86"/>
  <c r="CL503" i="86"/>
  <c r="CJ504" i="86"/>
  <c r="CK504" i="86"/>
  <c r="CL504" i="86"/>
  <c r="CJ505" i="86"/>
  <c r="CK505" i="86"/>
  <c r="CL505" i="86"/>
  <c r="CJ506" i="86"/>
  <c r="CK506" i="86"/>
  <c r="CL506" i="86"/>
  <c r="CJ507" i="86"/>
  <c r="CK507" i="86"/>
  <c r="CL507" i="86"/>
  <c r="CJ508" i="86"/>
  <c r="CK508" i="86"/>
  <c r="CL508" i="86"/>
  <c r="CJ509" i="86"/>
  <c r="CK509" i="86"/>
  <c r="CL509" i="86"/>
  <c r="CJ510" i="86"/>
  <c r="CK510" i="86"/>
  <c r="CL510" i="86"/>
  <c r="CJ511" i="86"/>
  <c r="CK511" i="86"/>
  <c r="CL511" i="86"/>
  <c r="CJ512" i="86"/>
  <c r="CK512" i="86"/>
  <c r="CL512" i="86"/>
  <c r="CJ513" i="86"/>
  <c r="CK513" i="86"/>
  <c r="CL513" i="86"/>
  <c r="CJ514" i="86"/>
  <c r="CK514" i="86"/>
  <c r="CL514" i="86"/>
  <c r="CJ515" i="86"/>
  <c r="CK515" i="86"/>
  <c r="CL515" i="86"/>
  <c r="CJ516" i="86"/>
  <c r="CK516" i="86"/>
  <c r="CL516" i="86"/>
  <c r="CJ517" i="86"/>
  <c r="CK517" i="86"/>
  <c r="CL517" i="86"/>
  <c r="CJ518" i="86"/>
  <c r="CK518" i="86"/>
  <c r="CL518" i="86"/>
  <c r="CJ519" i="86"/>
  <c r="CK519" i="86"/>
  <c r="CL519" i="86"/>
  <c r="CJ520" i="86"/>
  <c r="CK520" i="86"/>
  <c r="CL520" i="86"/>
  <c r="CJ521" i="86"/>
  <c r="CK521" i="86"/>
  <c r="CL521" i="86"/>
  <c r="CJ522" i="86"/>
  <c r="CK522" i="86"/>
  <c r="CL522" i="86"/>
  <c r="CJ523" i="86"/>
  <c r="CK523" i="86"/>
  <c r="CL523" i="86"/>
  <c r="CJ524" i="86"/>
  <c r="CK524" i="86"/>
  <c r="CL524" i="86"/>
  <c r="CJ525" i="86"/>
  <c r="CK525" i="86"/>
  <c r="CL525" i="86"/>
  <c r="CJ526" i="86"/>
  <c r="CK526" i="86"/>
  <c r="CL526" i="86"/>
  <c r="CJ527" i="86"/>
  <c r="CK527" i="86"/>
  <c r="CL527" i="86"/>
  <c r="CJ528" i="86"/>
  <c r="CK528" i="86"/>
  <c r="CL528" i="86"/>
  <c r="CJ529" i="86"/>
  <c r="CK529" i="86"/>
  <c r="CL529" i="86"/>
  <c r="CJ530" i="86"/>
  <c r="CK530" i="86"/>
  <c r="CL530" i="86"/>
  <c r="CJ531" i="86"/>
  <c r="CK531" i="86"/>
  <c r="CL531" i="86"/>
  <c r="CJ532" i="86"/>
  <c r="CK532" i="86"/>
  <c r="CL532" i="86"/>
  <c r="CJ533" i="86"/>
  <c r="CK533" i="86"/>
  <c r="CL533" i="86"/>
  <c r="CJ534" i="86"/>
  <c r="CK534" i="86"/>
  <c r="CL534" i="86"/>
  <c r="CJ535" i="86"/>
  <c r="CK535" i="86"/>
  <c r="CL535" i="86"/>
  <c r="CJ536" i="86"/>
  <c r="CK536" i="86"/>
  <c r="CL536" i="86"/>
  <c r="CJ537" i="86"/>
  <c r="CK537" i="86"/>
  <c r="CL537" i="86"/>
  <c r="CJ538" i="86"/>
  <c r="CK538" i="86"/>
  <c r="CL538" i="86"/>
  <c r="CJ539" i="86"/>
  <c r="CK539" i="86"/>
  <c r="CL539" i="86"/>
  <c r="CJ540" i="86"/>
  <c r="CK540" i="86"/>
  <c r="CL540" i="86"/>
  <c r="CJ541" i="86"/>
  <c r="CK541" i="86"/>
  <c r="CL541" i="86"/>
  <c r="CJ542" i="86"/>
  <c r="CK542" i="86"/>
  <c r="CL542" i="86"/>
  <c r="CJ543" i="86"/>
  <c r="CK543" i="86"/>
  <c r="CL543" i="86"/>
  <c r="CJ544" i="86"/>
  <c r="CK544" i="86"/>
  <c r="CL544" i="86"/>
  <c r="CJ545" i="86"/>
  <c r="CK545" i="86"/>
  <c r="CL545" i="86"/>
  <c r="CJ546" i="86"/>
  <c r="CK546" i="86"/>
  <c r="CL546" i="86"/>
  <c r="CJ547" i="86"/>
  <c r="CK547" i="86"/>
  <c r="CL547" i="86"/>
  <c r="CJ548" i="86"/>
  <c r="CK548" i="86"/>
  <c r="CL548" i="86"/>
  <c r="CJ549" i="86"/>
  <c r="CK549" i="86"/>
  <c r="CL549" i="86"/>
  <c r="CJ550" i="86"/>
  <c r="CK550" i="86"/>
  <c r="CL550" i="86"/>
  <c r="CJ551" i="86"/>
  <c r="CK551" i="86"/>
  <c r="CL551" i="86"/>
  <c r="CJ552" i="86"/>
  <c r="CK552" i="86"/>
  <c r="CL552" i="86"/>
  <c r="CJ553" i="86"/>
  <c r="CK553" i="86"/>
  <c r="CL553" i="86"/>
  <c r="CJ554" i="86"/>
  <c r="CK554" i="86"/>
  <c r="CL554" i="86"/>
  <c r="CJ555" i="86"/>
  <c r="CK555" i="86"/>
  <c r="CL555" i="86"/>
  <c r="CJ556" i="86"/>
  <c r="CK556" i="86"/>
  <c r="CL556" i="86"/>
  <c r="CJ557" i="86"/>
  <c r="CK557" i="86"/>
  <c r="CL557" i="86"/>
  <c r="CJ558" i="86"/>
  <c r="CK558" i="86"/>
  <c r="CL558" i="86"/>
  <c r="CJ559" i="86"/>
  <c r="CK559" i="86"/>
  <c r="CL559" i="86"/>
  <c r="CJ560" i="86"/>
  <c r="CK560" i="86"/>
  <c r="CL560" i="86"/>
  <c r="CJ561" i="86"/>
  <c r="CK561" i="86"/>
  <c r="CL561" i="86"/>
  <c r="CJ562" i="86"/>
  <c r="CK562" i="86"/>
  <c r="CL562" i="86"/>
  <c r="CJ563" i="86"/>
  <c r="CK563" i="86"/>
  <c r="CL563" i="86"/>
  <c r="CJ564" i="86"/>
  <c r="CK564" i="86"/>
  <c r="CL564" i="86"/>
  <c r="CJ565" i="86"/>
  <c r="CK565" i="86"/>
  <c r="CL565" i="86"/>
  <c r="CJ566" i="86"/>
  <c r="CK566" i="86"/>
  <c r="CL566" i="86"/>
  <c r="CJ567" i="86"/>
  <c r="CK567" i="86"/>
  <c r="CL567" i="86"/>
  <c r="CJ568" i="86"/>
  <c r="CK568" i="86"/>
  <c r="CL568" i="86"/>
  <c r="CJ569" i="86"/>
  <c r="CK569" i="86"/>
  <c r="CL569" i="86"/>
  <c r="CJ570" i="86"/>
  <c r="CK570" i="86"/>
  <c r="CL570" i="86"/>
  <c r="CJ571" i="86"/>
  <c r="CK571" i="86"/>
  <c r="CL571" i="86"/>
  <c r="CJ572" i="86"/>
  <c r="CK572" i="86"/>
  <c r="CL572" i="86"/>
  <c r="CJ573" i="86"/>
  <c r="CK573" i="86"/>
  <c r="CL573" i="86"/>
  <c r="CJ574" i="86"/>
  <c r="CK574" i="86"/>
  <c r="CL574" i="86"/>
  <c r="CJ575" i="86"/>
  <c r="CK575" i="86"/>
  <c r="CL575" i="86"/>
  <c r="CJ576" i="86"/>
  <c r="CK576" i="86"/>
  <c r="CL576" i="86"/>
  <c r="CJ577" i="86"/>
  <c r="CK577" i="86"/>
  <c r="CL577" i="86"/>
  <c r="CJ578" i="86"/>
  <c r="CK578" i="86"/>
  <c r="CL578" i="86"/>
  <c r="CJ579" i="86"/>
  <c r="CK579" i="86"/>
  <c r="CL579" i="86"/>
  <c r="CJ580" i="86"/>
  <c r="CK580" i="86"/>
  <c r="CL580" i="86"/>
  <c r="CJ581" i="86"/>
  <c r="CK581" i="86"/>
  <c r="CL581" i="86"/>
  <c r="CJ582" i="86"/>
  <c r="CK582" i="86"/>
  <c r="CL582" i="86"/>
  <c r="CJ583" i="86"/>
  <c r="CK583" i="86"/>
  <c r="CL583" i="86"/>
  <c r="CJ584" i="86"/>
  <c r="CK584" i="86"/>
  <c r="CL584" i="86"/>
  <c r="CJ585" i="86"/>
  <c r="CK585" i="86"/>
  <c r="CL585" i="86"/>
  <c r="CJ586" i="86"/>
  <c r="CK586" i="86"/>
  <c r="CL586" i="86"/>
  <c r="CJ587" i="86"/>
  <c r="CK587" i="86"/>
  <c r="CL587" i="86"/>
  <c r="CJ588" i="86"/>
  <c r="CK588" i="86"/>
  <c r="CL588" i="86"/>
  <c r="CJ589" i="86"/>
  <c r="CK589" i="86"/>
  <c r="CL589" i="86"/>
  <c r="CJ590" i="86"/>
  <c r="CK590" i="86"/>
  <c r="CL590" i="86"/>
  <c r="CJ591" i="86"/>
  <c r="CK591" i="86"/>
  <c r="CL591" i="86"/>
  <c r="CJ592" i="86"/>
  <c r="CK592" i="86"/>
  <c r="CL592" i="86"/>
  <c r="CJ593" i="86"/>
  <c r="CK593" i="86"/>
  <c r="CL593" i="86"/>
  <c r="CJ594" i="86"/>
  <c r="CK594" i="86"/>
  <c r="CL594" i="86"/>
  <c r="CJ595" i="86"/>
  <c r="CK595" i="86"/>
  <c r="CL595" i="86"/>
  <c r="CJ596" i="86"/>
  <c r="CK596" i="86"/>
  <c r="CL596" i="86"/>
  <c r="CJ597" i="86"/>
  <c r="CK597" i="86"/>
  <c r="CL597" i="86"/>
  <c r="CJ598" i="86"/>
  <c r="CK598" i="86"/>
  <c r="CL598" i="86"/>
  <c r="CJ599" i="86"/>
  <c r="CK599" i="86"/>
  <c r="CL599" i="86"/>
  <c r="CJ600" i="86"/>
  <c r="CK600" i="86"/>
  <c r="CL600" i="86"/>
  <c r="CJ601" i="86"/>
  <c r="CK601" i="86"/>
  <c r="CL601" i="86"/>
  <c r="CJ602" i="86"/>
  <c r="CK602" i="86"/>
  <c r="CL602" i="86"/>
  <c r="CJ603" i="86"/>
  <c r="CK603" i="86"/>
  <c r="CL603" i="86"/>
  <c r="CJ604" i="86"/>
  <c r="CK604" i="86"/>
  <c r="CL604" i="86"/>
  <c r="CJ605" i="86"/>
  <c r="CK605" i="86"/>
  <c r="CL605" i="86"/>
  <c r="CJ606" i="86"/>
  <c r="CK606" i="86"/>
  <c r="CL606" i="86"/>
  <c r="CJ608" i="86"/>
  <c r="CK608" i="86"/>
  <c r="CL608" i="86"/>
  <c r="CJ610" i="86"/>
  <c r="CK610" i="86"/>
  <c r="CL610" i="86"/>
  <c r="CJ611" i="86"/>
  <c r="CK611" i="86"/>
  <c r="CL611" i="86"/>
  <c r="CJ612" i="86"/>
  <c r="CK612" i="86"/>
  <c r="CL612" i="86"/>
  <c r="CJ613" i="86"/>
  <c r="CK613" i="86"/>
  <c r="CL613" i="86"/>
  <c r="CJ614" i="86"/>
  <c r="CK614" i="86"/>
  <c r="CL614" i="86"/>
  <c r="CJ615" i="86"/>
  <c r="CK615" i="86"/>
  <c r="CL615" i="86"/>
  <c r="CJ616" i="86"/>
  <c r="CK616" i="86"/>
  <c r="CL616" i="86"/>
  <c r="CJ617" i="86"/>
  <c r="CK617" i="86"/>
  <c r="CL617" i="86"/>
  <c r="CJ618" i="86"/>
  <c r="CK618" i="86"/>
  <c r="CL618" i="86"/>
  <c r="CJ619" i="86"/>
  <c r="CK619" i="86"/>
  <c r="CL619" i="86"/>
  <c r="CJ620" i="86"/>
  <c r="CK620" i="86"/>
  <c r="CL620" i="86"/>
  <c r="CJ621" i="86"/>
  <c r="CK621" i="86"/>
  <c r="CL621" i="86"/>
  <c r="CJ622" i="86"/>
  <c r="CK622" i="86"/>
  <c r="CL622" i="86"/>
  <c r="CJ623" i="86"/>
  <c r="CK623" i="86"/>
  <c r="CL623" i="86"/>
  <c r="CJ624" i="86"/>
  <c r="CK624" i="86"/>
  <c r="CL624" i="86"/>
  <c r="CJ625" i="86"/>
  <c r="CK625" i="86"/>
  <c r="CL625" i="86"/>
  <c r="CJ626" i="86"/>
  <c r="CK626" i="86"/>
  <c r="CL626" i="86"/>
  <c r="CJ627" i="86"/>
  <c r="CK627" i="86"/>
  <c r="CL627" i="86"/>
  <c r="CJ628" i="86"/>
  <c r="CK628" i="86"/>
  <c r="CL628" i="86"/>
  <c r="CJ629" i="86"/>
  <c r="CK629" i="86"/>
  <c r="CL629" i="86"/>
  <c r="CJ630" i="86"/>
  <c r="CK630" i="86"/>
  <c r="CL630" i="86"/>
  <c r="CJ631" i="86"/>
  <c r="CK631" i="86"/>
  <c r="CL631" i="86"/>
  <c r="CJ632" i="86"/>
  <c r="CK632" i="86"/>
  <c r="CL632" i="86"/>
  <c r="CJ633" i="86"/>
  <c r="CK633" i="86"/>
  <c r="CL633" i="86"/>
  <c r="CJ634" i="86"/>
  <c r="CK634" i="86"/>
  <c r="CL634" i="86"/>
  <c r="CJ635" i="86"/>
  <c r="CK635" i="86"/>
  <c r="CL635" i="86"/>
  <c r="CJ636" i="86"/>
  <c r="CK636" i="86"/>
  <c r="CL636" i="86"/>
  <c r="CJ637" i="86"/>
  <c r="CK637" i="86"/>
  <c r="CL637" i="86"/>
  <c r="CJ638" i="86"/>
  <c r="CK638" i="86"/>
  <c r="CL638" i="86"/>
  <c r="CJ639" i="86"/>
  <c r="CK639" i="86"/>
  <c r="CL639" i="86"/>
  <c r="CJ640" i="86"/>
  <c r="CK640" i="86"/>
  <c r="CL640" i="86"/>
  <c r="CJ641" i="86"/>
  <c r="CK641" i="86"/>
  <c r="CL641" i="86"/>
  <c r="CJ642" i="86"/>
  <c r="CK642" i="86"/>
  <c r="CL642" i="86"/>
  <c r="CJ643" i="86"/>
  <c r="CK643" i="86"/>
  <c r="CL643" i="86"/>
  <c r="CJ644" i="86"/>
  <c r="CK644" i="86"/>
  <c r="CL644" i="86"/>
  <c r="CJ645" i="86"/>
  <c r="CK645" i="86"/>
  <c r="CL645" i="86"/>
  <c r="CJ646" i="86"/>
  <c r="CK646" i="86"/>
  <c r="CL646" i="86"/>
  <c r="CJ647" i="86"/>
  <c r="CK647" i="86"/>
  <c r="CL647" i="86"/>
  <c r="CJ648" i="86"/>
  <c r="CK648" i="86"/>
  <c r="CL648" i="86"/>
  <c r="CJ649" i="86"/>
  <c r="CK649" i="86"/>
  <c r="CL649" i="86"/>
  <c r="CJ650" i="86"/>
  <c r="CK650" i="86"/>
  <c r="CL650" i="86"/>
  <c r="CJ651" i="86"/>
  <c r="CK651" i="86"/>
  <c r="CL651" i="86"/>
  <c r="CJ652" i="86"/>
  <c r="CK652" i="86"/>
  <c r="CL652" i="86"/>
  <c r="CJ653" i="86"/>
  <c r="CK653" i="86"/>
  <c r="CL653" i="86"/>
  <c r="CJ654" i="86"/>
  <c r="CK654" i="86"/>
  <c r="CL654" i="86"/>
  <c r="CJ655" i="86"/>
  <c r="CK655" i="86"/>
  <c r="CL655" i="86"/>
  <c r="CJ656" i="86"/>
  <c r="CK656" i="86"/>
  <c r="CL656" i="86"/>
  <c r="CJ657" i="86"/>
  <c r="CK657" i="86"/>
  <c r="CL657" i="86"/>
  <c r="CJ658" i="86"/>
  <c r="CK658" i="86"/>
  <c r="CL658" i="86"/>
  <c r="CJ659" i="86"/>
  <c r="CK659" i="86"/>
  <c r="CL659" i="86"/>
  <c r="CJ660" i="86"/>
  <c r="CK660" i="86"/>
  <c r="CL660" i="86"/>
  <c r="CJ661" i="86"/>
  <c r="CK661" i="86"/>
  <c r="CL661" i="86"/>
  <c r="CJ662" i="86"/>
  <c r="CK662" i="86"/>
  <c r="CL662" i="86"/>
  <c r="CJ663" i="86"/>
  <c r="CK663" i="86"/>
  <c r="CL663" i="86"/>
  <c r="CJ664" i="86"/>
  <c r="CK664" i="86"/>
  <c r="CL664" i="86"/>
  <c r="CJ665" i="86"/>
  <c r="CK665" i="86"/>
  <c r="CL665" i="86"/>
  <c r="CJ666" i="86"/>
  <c r="CK666" i="86"/>
  <c r="CL666" i="86"/>
  <c r="CJ667" i="86"/>
  <c r="CK667" i="86"/>
  <c r="CL667" i="86"/>
  <c r="CJ668" i="86"/>
  <c r="CK668" i="86"/>
  <c r="CL668" i="86"/>
  <c r="CJ669" i="86"/>
  <c r="CK669" i="86"/>
  <c r="CL669" i="86"/>
  <c r="CJ670" i="86"/>
  <c r="CK670" i="86"/>
  <c r="CL670" i="86"/>
  <c r="CJ671" i="86"/>
  <c r="CK671" i="86"/>
  <c r="CL671" i="86"/>
  <c r="CJ672" i="86"/>
  <c r="CK672" i="86"/>
  <c r="CL672" i="86"/>
  <c r="CJ673" i="86"/>
  <c r="CK673" i="86"/>
  <c r="CL673" i="86"/>
  <c r="CJ674" i="86"/>
  <c r="CK674" i="86"/>
  <c r="CL674" i="86"/>
  <c r="CJ675" i="86"/>
  <c r="CK675" i="86"/>
  <c r="CL675" i="86"/>
  <c r="CJ676" i="86"/>
  <c r="CK676" i="86"/>
  <c r="CL676" i="86"/>
  <c r="CJ677" i="86"/>
  <c r="CK677" i="86"/>
  <c r="CL677" i="86"/>
  <c r="CJ678" i="86"/>
  <c r="CK678" i="86"/>
  <c r="CL678" i="86"/>
  <c r="CJ679" i="86"/>
  <c r="CK679" i="86"/>
  <c r="CL679" i="86"/>
  <c r="CJ680" i="86"/>
  <c r="CK680" i="86"/>
  <c r="CL680" i="86"/>
  <c r="CJ681" i="86"/>
  <c r="CK681" i="86"/>
  <c r="CL681" i="86"/>
  <c r="CJ682" i="86"/>
  <c r="CK682" i="86"/>
  <c r="CL682" i="86"/>
  <c r="CJ683" i="86"/>
  <c r="CK683" i="86"/>
  <c r="CL683" i="86"/>
  <c r="CJ684" i="86"/>
  <c r="CK684" i="86"/>
  <c r="CL684" i="86"/>
  <c r="CJ685" i="86"/>
  <c r="CK685" i="86"/>
  <c r="CL685" i="86"/>
  <c r="CJ686" i="86"/>
  <c r="CK686" i="86"/>
  <c r="CL686" i="86"/>
  <c r="CJ687" i="86"/>
  <c r="CK687" i="86"/>
  <c r="CL687" i="86"/>
  <c r="CJ688" i="86"/>
  <c r="CK688" i="86"/>
  <c r="CL688" i="86"/>
  <c r="CJ689" i="86"/>
  <c r="CK689" i="86"/>
  <c r="CL689" i="86"/>
  <c r="CJ690" i="86"/>
  <c r="CK690" i="86"/>
  <c r="CL690" i="86"/>
  <c r="CJ691" i="86"/>
  <c r="CK691" i="86"/>
  <c r="CL691" i="86"/>
  <c r="CJ692" i="86"/>
  <c r="CK692" i="86"/>
  <c r="CL692" i="86"/>
  <c r="CJ693" i="86"/>
  <c r="CK693" i="86"/>
  <c r="CL693" i="86"/>
  <c r="CJ694" i="86"/>
  <c r="CK694" i="86"/>
  <c r="CL694" i="86"/>
  <c r="CJ695" i="86"/>
  <c r="CK695" i="86"/>
  <c r="CL695" i="86"/>
  <c r="CJ696" i="86"/>
  <c r="CK696" i="86"/>
  <c r="CL696" i="86"/>
  <c r="CJ697" i="86"/>
  <c r="CK697" i="86"/>
  <c r="CL697" i="86"/>
  <c r="CJ698" i="86"/>
  <c r="CK698" i="86"/>
  <c r="CL698" i="86"/>
  <c r="CJ699" i="86"/>
  <c r="CK699" i="86"/>
  <c r="CL699" i="86"/>
  <c r="CJ700" i="86"/>
  <c r="CK700" i="86"/>
  <c r="CL700" i="86"/>
  <c r="CJ701" i="86"/>
  <c r="CK701" i="86"/>
  <c r="CL701" i="86"/>
  <c r="CJ702" i="86"/>
  <c r="CK702" i="86"/>
  <c r="CL702" i="86"/>
  <c r="CJ703" i="86"/>
  <c r="CK703" i="86"/>
  <c r="CL703" i="86"/>
  <c r="CJ704" i="86"/>
  <c r="CK704" i="86"/>
  <c r="CL704" i="86"/>
  <c r="CJ705" i="86"/>
  <c r="CK705" i="86"/>
  <c r="CL705" i="86"/>
  <c r="CJ706" i="86"/>
  <c r="CK706" i="86"/>
  <c r="CL706" i="86"/>
  <c r="CJ707" i="86"/>
  <c r="CK707" i="86"/>
  <c r="CL707" i="86"/>
  <c r="CJ708" i="86"/>
  <c r="CK708" i="86"/>
  <c r="CL708" i="86"/>
  <c r="CJ709" i="86"/>
  <c r="CK709" i="86"/>
  <c r="CL709" i="86"/>
  <c r="CJ710" i="86"/>
  <c r="CK710" i="86"/>
  <c r="CL710" i="86"/>
  <c r="CJ711" i="86"/>
  <c r="CK711" i="86"/>
  <c r="CL711" i="86"/>
  <c r="CJ712" i="86"/>
  <c r="CK712" i="86"/>
  <c r="CL712" i="86"/>
  <c r="CJ713" i="86"/>
  <c r="CK713" i="86"/>
  <c r="CL713" i="86"/>
  <c r="CJ714" i="86"/>
  <c r="CK714" i="86"/>
  <c r="CL714" i="86"/>
  <c r="CJ715" i="86"/>
  <c r="CK715" i="86"/>
  <c r="CL715" i="86"/>
  <c r="CJ716" i="86"/>
  <c r="CK716" i="86"/>
  <c r="CL716" i="86"/>
  <c r="CJ717" i="86"/>
  <c r="CK717" i="86"/>
  <c r="CL717" i="86"/>
  <c r="CJ718" i="86"/>
  <c r="CK718" i="86"/>
  <c r="CL718" i="86"/>
  <c r="CJ719" i="86"/>
  <c r="CK719" i="86"/>
  <c r="CL719" i="86"/>
  <c r="CJ720" i="86"/>
  <c r="CK720" i="86"/>
  <c r="CL720" i="86"/>
  <c r="CJ721" i="86"/>
  <c r="CK721" i="86"/>
  <c r="CL721" i="86"/>
  <c r="CJ722" i="86"/>
  <c r="CK722" i="86"/>
  <c r="CL722" i="86"/>
  <c r="CJ723" i="86"/>
  <c r="CK723" i="86"/>
  <c r="CL723" i="86"/>
  <c r="CJ726" i="86"/>
  <c r="CK726" i="86"/>
  <c r="CL726" i="86"/>
  <c r="CJ727" i="86"/>
  <c r="CK727" i="86"/>
  <c r="CL727" i="86"/>
  <c r="CJ728" i="86"/>
  <c r="CK728" i="86"/>
  <c r="CL728" i="86"/>
  <c r="CJ730" i="86"/>
  <c r="CK730" i="86"/>
  <c r="CL730" i="86"/>
  <c r="CJ731" i="86"/>
  <c r="CK731" i="86"/>
  <c r="CL731" i="86"/>
  <c r="CJ732" i="86"/>
  <c r="CK732" i="86"/>
  <c r="CL732" i="86"/>
  <c r="CJ733" i="86"/>
  <c r="CK733" i="86"/>
  <c r="CL733" i="86"/>
  <c r="CJ734" i="86"/>
  <c r="CK734" i="86"/>
  <c r="CL734" i="86"/>
  <c r="CJ735" i="86"/>
  <c r="CK735" i="86"/>
  <c r="CL735" i="86"/>
  <c r="CJ736" i="86"/>
  <c r="CK736" i="86"/>
  <c r="CL736" i="86"/>
  <c r="CJ738" i="86"/>
  <c r="CK738" i="86"/>
  <c r="CL738" i="86"/>
  <c r="CJ739" i="86"/>
  <c r="CK739" i="86"/>
  <c r="CL739" i="86"/>
  <c r="CJ740" i="86"/>
  <c r="CK740" i="86"/>
  <c r="CL740" i="86"/>
  <c r="CJ741" i="86"/>
  <c r="CK741" i="86"/>
  <c r="CL741" i="86"/>
  <c r="CJ742" i="86"/>
  <c r="CK742" i="86"/>
  <c r="CL742" i="86"/>
  <c r="CJ743" i="86"/>
  <c r="CK743" i="86"/>
  <c r="CL743" i="86"/>
  <c r="CJ744" i="86"/>
  <c r="CK744" i="86"/>
  <c r="CL744" i="86"/>
  <c r="CJ745" i="86"/>
  <c r="CK745" i="86"/>
  <c r="CL745" i="86"/>
  <c r="CJ746" i="86"/>
  <c r="CK746" i="86"/>
  <c r="CL746" i="86"/>
  <c r="CJ747" i="86"/>
  <c r="CK747" i="86"/>
  <c r="CL747" i="86"/>
  <c r="CJ748" i="86"/>
  <c r="CK748" i="86"/>
  <c r="CL748" i="86"/>
  <c r="CJ749" i="86"/>
  <c r="CK749" i="86"/>
  <c r="CL749" i="86"/>
  <c r="CJ750" i="86"/>
  <c r="CK750" i="86"/>
  <c r="CL750" i="86"/>
  <c r="CJ751" i="86"/>
  <c r="CK751" i="86"/>
  <c r="CL751" i="86"/>
  <c r="CJ752" i="86"/>
  <c r="CK752" i="86"/>
  <c r="CL752" i="86"/>
  <c r="CJ753" i="86"/>
  <c r="CK753" i="86"/>
  <c r="CL753" i="86"/>
  <c r="CJ754" i="86"/>
  <c r="CK754" i="86"/>
  <c r="CL754" i="86"/>
  <c r="CJ755" i="86"/>
  <c r="CK755" i="86"/>
  <c r="CL755" i="86"/>
  <c r="CJ756" i="86"/>
  <c r="CK756" i="86"/>
  <c r="CL756" i="86"/>
  <c r="CJ757" i="86"/>
  <c r="CK757" i="86"/>
  <c r="CL757" i="86"/>
  <c r="CJ759" i="86"/>
  <c r="CK759" i="86"/>
  <c r="CL759" i="86"/>
  <c r="CJ760" i="86"/>
  <c r="CK760" i="86"/>
  <c r="CL760" i="86"/>
  <c r="CJ761" i="86"/>
  <c r="CK761" i="86"/>
  <c r="CL761" i="86"/>
  <c r="CJ762" i="86"/>
  <c r="CK762" i="86"/>
  <c r="CL762" i="86"/>
  <c r="CJ763" i="86"/>
  <c r="CK763" i="86"/>
  <c r="CL763" i="86"/>
  <c r="CJ764" i="86"/>
  <c r="CK764" i="86"/>
  <c r="CL764" i="86"/>
  <c r="CJ765" i="86"/>
  <c r="CK765" i="86"/>
  <c r="CL765" i="86"/>
  <c r="CJ766" i="86"/>
  <c r="CK766" i="86"/>
  <c r="CL766" i="86"/>
  <c r="CJ767" i="86"/>
  <c r="CK767" i="86"/>
  <c r="CL767" i="86"/>
  <c r="CJ768" i="86"/>
  <c r="CK768" i="86"/>
  <c r="CL768" i="86"/>
  <c r="CJ769" i="86"/>
  <c r="CK769" i="86"/>
  <c r="CL769" i="86"/>
  <c r="CJ770" i="86"/>
  <c r="CK770" i="86"/>
  <c r="CL770" i="86"/>
  <c r="CJ771" i="86"/>
  <c r="CK771" i="86"/>
  <c r="CL771" i="86"/>
  <c r="CJ772" i="86"/>
  <c r="CK772" i="86"/>
  <c r="CL772" i="86"/>
  <c r="CJ773" i="86"/>
  <c r="CK773" i="86"/>
  <c r="CL773" i="86"/>
  <c r="CJ774" i="86"/>
  <c r="CK774" i="86"/>
  <c r="CL774" i="86"/>
  <c r="CJ775" i="86"/>
  <c r="CK775" i="86"/>
  <c r="CL775" i="86"/>
  <c r="CJ777" i="86"/>
  <c r="CK777" i="86"/>
  <c r="CL777" i="86"/>
  <c r="CJ778" i="86"/>
  <c r="CK778" i="86"/>
  <c r="CL778" i="86"/>
  <c r="CJ779" i="86"/>
  <c r="CK779" i="86"/>
  <c r="CL779" i="86"/>
  <c r="CJ780" i="86"/>
  <c r="CK780" i="86"/>
  <c r="CL780" i="86"/>
  <c r="CJ781" i="86"/>
  <c r="CK781" i="86"/>
  <c r="CL781" i="86"/>
  <c r="CJ782" i="86"/>
  <c r="CK782" i="86"/>
  <c r="CL782" i="86"/>
  <c r="CJ783" i="86"/>
  <c r="CK783" i="86"/>
  <c r="CL783" i="86"/>
  <c r="CJ784" i="86"/>
  <c r="CK784" i="86"/>
  <c r="CL784" i="86"/>
  <c r="CJ785" i="86"/>
  <c r="CK785" i="86"/>
  <c r="CL785" i="86"/>
  <c r="CJ786" i="86"/>
  <c r="CK786" i="86"/>
  <c r="CL786" i="86"/>
  <c r="CJ787" i="86"/>
  <c r="CK787" i="86"/>
  <c r="CL787" i="86"/>
  <c r="CJ788" i="86"/>
  <c r="CK788" i="86"/>
  <c r="CL788" i="86"/>
  <c r="CJ789" i="86"/>
  <c r="CK789" i="86"/>
  <c r="CL789" i="86"/>
  <c r="CJ790" i="86"/>
  <c r="CK790" i="86"/>
  <c r="CL790" i="86"/>
  <c r="CJ791" i="86"/>
  <c r="CK791" i="86"/>
  <c r="CL791" i="86"/>
  <c r="CJ792" i="86"/>
  <c r="CK792" i="86"/>
  <c r="CL792" i="86"/>
  <c r="CJ793" i="86"/>
  <c r="CK793" i="86"/>
  <c r="CL793" i="86"/>
  <c r="CJ794" i="86"/>
  <c r="CK794" i="86"/>
  <c r="CL794" i="86"/>
  <c r="CJ795" i="86"/>
  <c r="CK795" i="86"/>
  <c r="CL795" i="86"/>
  <c r="CJ796" i="86"/>
  <c r="CK796" i="86"/>
  <c r="CL796" i="86"/>
  <c r="CJ797" i="86"/>
  <c r="CK797" i="86"/>
  <c r="CL797" i="86"/>
  <c r="CJ798" i="86"/>
  <c r="CK798" i="86"/>
  <c r="CL798" i="86"/>
  <c r="CJ799" i="86"/>
  <c r="CK799" i="86"/>
  <c r="CL799" i="86"/>
  <c r="CJ800" i="86"/>
  <c r="CK800" i="86"/>
  <c r="CL800" i="86"/>
  <c r="CJ801" i="86"/>
  <c r="CK801" i="86"/>
  <c r="CL801" i="86"/>
  <c r="CJ802" i="86"/>
  <c r="CK802" i="86"/>
  <c r="CL802" i="86"/>
  <c r="CJ803" i="86"/>
  <c r="CK803" i="86"/>
  <c r="CL803" i="86"/>
  <c r="CJ804" i="86"/>
  <c r="CK804" i="86"/>
  <c r="CL804" i="86"/>
  <c r="CJ805" i="86"/>
  <c r="CK805" i="86"/>
  <c r="CL805" i="86"/>
  <c r="CJ806" i="86"/>
  <c r="CK806" i="86"/>
  <c r="CL806" i="86"/>
  <c r="CJ807" i="86"/>
  <c r="CK807" i="86"/>
  <c r="CL807" i="86"/>
  <c r="CJ808" i="86"/>
  <c r="CK808" i="86"/>
  <c r="CL808" i="86"/>
  <c r="CJ809" i="86"/>
  <c r="CK809" i="86"/>
  <c r="CL809" i="86"/>
  <c r="CJ810" i="86"/>
  <c r="CK810" i="86"/>
  <c r="CL810" i="86"/>
  <c r="CJ811" i="86"/>
  <c r="CK811" i="86"/>
  <c r="CL811" i="86"/>
  <c r="CJ812" i="86"/>
  <c r="CK812" i="86"/>
  <c r="CL812" i="86"/>
  <c r="CJ813" i="86"/>
  <c r="CK813" i="86"/>
  <c r="CL813" i="86"/>
  <c r="CJ814" i="86"/>
  <c r="CK814" i="86"/>
  <c r="CL814" i="86"/>
  <c r="CJ815" i="86"/>
  <c r="CK815" i="86"/>
  <c r="CL815" i="86"/>
  <c r="CJ816" i="86"/>
  <c r="CK816" i="86"/>
  <c r="CL816" i="86"/>
  <c r="CJ817" i="86"/>
  <c r="CK817" i="86"/>
  <c r="CL817" i="86"/>
  <c r="CJ818" i="86"/>
  <c r="CK818" i="86"/>
  <c r="CL818" i="86"/>
  <c r="CJ819" i="86"/>
  <c r="CK819" i="86"/>
  <c r="CL819" i="86"/>
  <c r="CJ820" i="86"/>
  <c r="CK820" i="86"/>
  <c r="CL820" i="86"/>
  <c r="CJ821" i="86"/>
  <c r="CK821" i="86"/>
  <c r="CL821" i="86"/>
  <c r="CJ822" i="86"/>
  <c r="CK822" i="86"/>
  <c r="CL822" i="86"/>
  <c r="CJ823" i="86"/>
  <c r="CK823" i="86"/>
  <c r="CL823" i="86"/>
  <c r="CJ824" i="86"/>
  <c r="CK824" i="86"/>
  <c r="CL824" i="86"/>
  <c r="CJ826" i="86"/>
  <c r="CK826" i="86"/>
  <c r="CL826" i="86"/>
  <c r="CJ827" i="86"/>
  <c r="CK827" i="86"/>
  <c r="CL827" i="86"/>
  <c r="CJ828" i="86"/>
  <c r="CK828" i="86"/>
  <c r="CL828" i="86"/>
  <c r="CJ829" i="86"/>
  <c r="CK829" i="86"/>
  <c r="CL829" i="86"/>
  <c r="CJ830" i="86"/>
  <c r="CK830" i="86"/>
  <c r="CL830" i="86"/>
  <c r="CJ831" i="86"/>
  <c r="CK831" i="86"/>
  <c r="CL831" i="86"/>
  <c r="CJ832" i="86"/>
  <c r="CK832" i="86"/>
  <c r="CL832" i="86"/>
  <c r="CJ833" i="86"/>
  <c r="CK833" i="86"/>
  <c r="CL833" i="86"/>
  <c r="CJ834" i="86"/>
  <c r="CK834" i="86"/>
  <c r="CL834" i="86"/>
  <c r="CJ835" i="86"/>
  <c r="CK835" i="86"/>
  <c r="CL835" i="86"/>
  <c r="CJ836" i="86"/>
  <c r="CK836" i="86"/>
  <c r="CL836" i="86"/>
  <c r="CJ837" i="86"/>
  <c r="CK837" i="86"/>
  <c r="CL837" i="86"/>
  <c r="CJ838" i="86"/>
  <c r="CK838" i="86"/>
  <c r="CL838" i="86"/>
  <c r="CJ839" i="86"/>
  <c r="CK839" i="86"/>
  <c r="CL839" i="86"/>
  <c r="CJ840" i="86"/>
  <c r="CK840" i="86"/>
  <c r="CL840" i="86"/>
  <c r="CJ841" i="86"/>
  <c r="CK841" i="86"/>
  <c r="CL841" i="86"/>
  <c r="CJ842" i="86"/>
  <c r="CK842" i="86"/>
  <c r="CL842" i="86"/>
  <c r="CJ843" i="86"/>
  <c r="CK843" i="86"/>
  <c r="CL843" i="86"/>
  <c r="CJ844" i="86"/>
  <c r="CK844" i="86"/>
  <c r="CL844" i="86"/>
  <c r="CJ845" i="86"/>
  <c r="CK845" i="86"/>
  <c r="CL845" i="86"/>
  <c r="CJ846" i="86"/>
  <c r="CK846" i="86"/>
  <c r="CL846" i="86"/>
  <c r="CJ847" i="86"/>
  <c r="CK847" i="86"/>
  <c r="CL847" i="86"/>
  <c r="CJ848" i="86"/>
  <c r="CK848" i="86"/>
  <c r="CL848" i="86"/>
  <c r="CJ849" i="86"/>
  <c r="CK849" i="86"/>
  <c r="CL849" i="86"/>
  <c r="CJ850" i="86"/>
  <c r="CK850" i="86"/>
  <c r="CL850" i="86"/>
  <c r="CJ851" i="86"/>
  <c r="CK851" i="86"/>
  <c r="CL851" i="86"/>
  <c r="CJ852" i="86"/>
  <c r="CK852" i="86"/>
  <c r="CL852" i="86"/>
  <c r="CJ853" i="86"/>
  <c r="CK853" i="86"/>
  <c r="CL853" i="86"/>
  <c r="CJ854" i="86"/>
  <c r="CK854" i="86"/>
  <c r="CL854" i="86"/>
  <c r="CJ855" i="86"/>
  <c r="CK855" i="86"/>
  <c r="CL855" i="86"/>
  <c r="CJ856" i="86"/>
  <c r="CK856" i="86"/>
  <c r="CL856" i="86"/>
  <c r="CJ857" i="86"/>
  <c r="CK857" i="86"/>
  <c r="CL857" i="86"/>
  <c r="CJ858" i="86"/>
  <c r="CK858" i="86"/>
  <c r="CL858" i="86"/>
  <c r="CJ859" i="86"/>
  <c r="CK859" i="86"/>
  <c r="CL859" i="86"/>
  <c r="CJ860" i="86"/>
  <c r="CK860" i="86"/>
  <c r="CL860" i="86"/>
  <c r="CJ861" i="86"/>
  <c r="CK861" i="86"/>
  <c r="CL861" i="86"/>
  <c r="CJ862" i="86"/>
  <c r="CK862" i="86"/>
  <c r="CL862" i="86"/>
  <c r="CJ863" i="86"/>
  <c r="CK863" i="86"/>
  <c r="CL863" i="86"/>
  <c r="CJ864" i="86"/>
  <c r="CK864" i="86"/>
  <c r="CL864" i="86"/>
  <c r="CJ865" i="86"/>
  <c r="CK865" i="86"/>
  <c r="CL865" i="86"/>
  <c r="CJ866" i="86"/>
  <c r="CK866" i="86"/>
  <c r="CL866" i="86"/>
  <c r="CJ867" i="86"/>
  <c r="CK867" i="86"/>
  <c r="CL867" i="86"/>
  <c r="CJ868" i="86"/>
  <c r="CK868" i="86"/>
  <c r="CL868" i="86"/>
  <c r="CJ869" i="86"/>
  <c r="CK869" i="86"/>
  <c r="CL869" i="86"/>
  <c r="CJ870" i="86"/>
  <c r="CK870" i="86"/>
  <c r="CL870" i="86"/>
  <c r="CJ871" i="86"/>
  <c r="CK871" i="86"/>
  <c r="CL871" i="86"/>
  <c r="CJ872" i="86"/>
  <c r="CK872" i="86"/>
  <c r="CL872" i="86"/>
  <c r="CJ873" i="86"/>
  <c r="CK873" i="86"/>
  <c r="CL873" i="86"/>
  <c r="CJ874" i="86"/>
  <c r="CK874" i="86"/>
  <c r="CL874" i="86"/>
  <c r="CJ875" i="86"/>
  <c r="CK875" i="86"/>
  <c r="CL875" i="86"/>
  <c r="CJ876" i="86"/>
  <c r="CK876" i="86"/>
  <c r="CL876" i="86"/>
  <c r="CJ877" i="86"/>
  <c r="CK877" i="86"/>
  <c r="CL877" i="86"/>
  <c r="CJ878" i="86"/>
  <c r="CK878" i="86"/>
  <c r="CL878" i="86"/>
  <c r="CJ879" i="86"/>
  <c r="CK879" i="86"/>
  <c r="CL879" i="86"/>
  <c r="CJ880" i="86"/>
  <c r="CK880" i="86"/>
  <c r="CL880" i="86"/>
  <c r="CJ881" i="86"/>
  <c r="CK881" i="86"/>
  <c r="CL881" i="86"/>
  <c r="CJ882" i="86"/>
  <c r="CK882" i="86"/>
  <c r="CL882" i="86"/>
  <c r="CJ883" i="86"/>
  <c r="CK883" i="86"/>
  <c r="CL883" i="86"/>
  <c r="CJ884" i="86"/>
  <c r="CK884" i="86"/>
  <c r="CL884" i="86"/>
  <c r="CJ885" i="86"/>
  <c r="CK885" i="86"/>
  <c r="CL885" i="86"/>
  <c r="CJ886" i="86"/>
  <c r="CK886" i="86"/>
  <c r="CL886" i="86"/>
  <c r="CJ887" i="86"/>
  <c r="CK887" i="86"/>
  <c r="CL887" i="86"/>
  <c r="CJ888" i="86"/>
  <c r="CK888" i="86"/>
  <c r="CL888" i="86"/>
  <c r="CJ889" i="86"/>
  <c r="CK889" i="86"/>
  <c r="CL889" i="86"/>
  <c r="CJ890" i="86"/>
  <c r="CK890" i="86"/>
  <c r="CL890" i="86"/>
  <c r="CJ891" i="86"/>
  <c r="CK891" i="86"/>
  <c r="CL891" i="86"/>
  <c r="CJ892" i="86"/>
  <c r="CK892" i="86"/>
  <c r="CL892" i="86"/>
  <c r="CJ893" i="86"/>
  <c r="CK893" i="86"/>
  <c r="CL893" i="86"/>
  <c r="CJ894" i="86"/>
  <c r="CK894" i="86"/>
  <c r="CL894" i="86"/>
  <c r="CJ895" i="86"/>
  <c r="CK895" i="86"/>
  <c r="CL895" i="86"/>
  <c r="CJ896" i="86"/>
  <c r="CK896" i="86"/>
  <c r="CL896" i="86"/>
  <c r="CJ897" i="86"/>
  <c r="CK897" i="86"/>
  <c r="CL897" i="86"/>
  <c r="CJ898" i="86"/>
  <c r="CK898" i="86"/>
  <c r="CL898" i="86"/>
  <c r="CJ899" i="86"/>
  <c r="CK899" i="86"/>
  <c r="CL899" i="86"/>
  <c r="CJ900" i="86"/>
  <c r="CK900" i="86"/>
  <c r="CL900" i="86"/>
  <c r="CJ901" i="86"/>
  <c r="CK901" i="86"/>
  <c r="CL901" i="86"/>
  <c r="CJ902" i="86"/>
  <c r="CK902" i="86"/>
  <c r="CL902" i="86"/>
  <c r="CJ903" i="86"/>
  <c r="CK903" i="86"/>
  <c r="CL903" i="86"/>
  <c r="CJ904" i="86"/>
  <c r="CK904" i="86"/>
  <c r="CL904" i="86"/>
  <c r="CJ905" i="86"/>
  <c r="CK905" i="86"/>
  <c r="CL905" i="86"/>
  <c r="CJ906" i="86"/>
  <c r="CK906" i="86"/>
  <c r="CL906" i="86"/>
  <c r="CJ907" i="86"/>
  <c r="CK907" i="86"/>
  <c r="CL907" i="86"/>
  <c r="CJ908" i="86"/>
  <c r="CK908" i="86"/>
  <c r="CL908" i="86"/>
  <c r="CJ909" i="86"/>
  <c r="CK909" i="86"/>
  <c r="CL909" i="86"/>
  <c r="CJ910" i="86"/>
  <c r="CK910" i="86"/>
  <c r="CL910" i="86"/>
  <c r="CJ911" i="86"/>
  <c r="CK911" i="86"/>
  <c r="CL911" i="86"/>
  <c r="CJ912" i="86"/>
  <c r="CK912" i="86"/>
  <c r="CL912" i="86"/>
  <c r="CJ913" i="86"/>
  <c r="CK913" i="86"/>
  <c r="CL913" i="86"/>
  <c r="CJ914" i="86"/>
  <c r="CK914" i="86"/>
  <c r="CL914" i="86"/>
  <c r="CJ915" i="86"/>
  <c r="CK915" i="86"/>
  <c r="CL915" i="86"/>
  <c r="CJ916" i="86"/>
  <c r="CK916" i="86"/>
  <c r="CL916" i="86"/>
  <c r="CJ917" i="86"/>
  <c r="CK917" i="86"/>
  <c r="CL917" i="86"/>
  <c r="CJ918" i="86"/>
  <c r="CK918" i="86"/>
  <c r="CL918" i="86"/>
  <c r="CJ919" i="86"/>
  <c r="CK919" i="86"/>
  <c r="CL919" i="86"/>
  <c r="CJ920" i="86"/>
  <c r="CK920" i="86"/>
  <c r="CL920" i="86"/>
  <c r="CJ921" i="86"/>
  <c r="CK921" i="86"/>
  <c r="CL921" i="86"/>
  <c r="CJ922" i="86"/>
  <c r="CK922" i="86"/>
  <c r="CL922" i="86"/>
  <c r="CJ923" i="86"/>
  <c r="CK923" i="86"/>
  <c r="CL923" i="86"/>
  <c r="CJ924" i="86"/>
  <c r="CK924" i="86"/>
  <c r="CL924" i="86"/>
  <c r="CJ925" i="86"/>
  <c r="CK925" i="86"/>
  <c r="CL925" i="86"/>
  <c r="CJ926" i="86"/>
  <c r="CK926" i="86"/>
  <c r="CL926" i="86"/>
  <c r="CJ927" i="86"/>
  <c r="CK927" i="86"/>
  <c r="CL927" i="86"/>
  <c r="CJ929" i="86"/>
  <c r="CK929" i="86"/>
  <c r="CL929" i="86"/>
  <c r="CJ930" i="86"/>
  <c r="CK930" i="86"/>
  <c r="CL930" i="86"/>
  <c r="CJ931" i="86"/>
  <c r="CK931" i="86"/>
  <c r="CL931" i="86"/>
  <c r="CJ932" i="86"/>
  <c r="CK932" i="86"/>
  <c r="CL932" i="86"/>
  <c r="CJ933" i="86"/>
  <c r="CK933" i="86"/>
  <c r="CL933" i="86"/>
  <c r="CJ934" i="86"/>
  <c r="CK934" i="86"/>
  <c r="CL934" i="86"/>
  <c r="CJ935" i="86"/>
  <c r="CK935" i="86"/>
  <c r="CL935" i="86"/>
  <c r="CJ936" i="86"/>
  <c r="CK936" i="86"/>
  <c r="CL936" i="86"/>
  <c r="CJ937" i="86"/>
  <c r="CK937" i="86"/>
  <c r="CL937" i="86"/>
  <c r="CJ938" i="86"/>
  <c r="CK938" i="86"/>
  <c r="CL938" i="86"/>
  <c r="CJ939" i="86"/>
  <c r="CK939" i="86"/>
  <c r="CL939" i="86"/>
  <c r="CJ940" i="86"/>
  <c r="CK940" i="86"/>
  <c r="CL940" i="86"/>
  <c r="CJ941" i="86"/>
  <c r="CK941" i="86"/>
  <c r="CL941" i="86"/>
  <c r="CJ942" i="86"/>
  <c r="CK942" i="86"/>
  <c r="CL942" i="86"/>
  <c r="CJ943" i="86"/>
  <c r="CK943" i="86"/>
  <c r="CL943" i="86"/>
  <c r="CJ945" i="86"/>
  <c r="CK945" i="86"/>
  <c r="CL945" i="86"/>
  <c r="CJ946" i="86"/>
  <c r="CK946" i="86"/>
  <c r="CL946" i="86"/>
  <c r="CJ947" i="86"/>
  <c r="CK947" i="86"/>
  <c r="CL947" i="86"/>
  <c r="CJ948" i="86"/>
  <c r="CK948" i="86"/>
  <c r="CL948" i="86"/>
  <c r="CJ949" i="86"/>
  <c r="CK949" i="86"/>
  <c r="CL949" i="86"/>
  <c r="CJ951" i="86"/>
  <c r="CK951" i="86"/>
  <c r="CL951" i="86"/>
  <c r="CJ952" i="86"/>
  <c r="CK952" i="86"/>
  <c r="CL952" i="86"/>
  <c r="CJ954" i="86"/>
  <c r="CK954" i="86"/>
  <c r="CL954" i="86"/>
  <c r="CJ955" i="86"/>
  <c r="CK955" i="86"/>
  <c r="CL955" i="86"/>
  <c r="CJ956" i="86"/>
  <c r="CK956" i="86"/>
  <c r="CL956" i="86"/>
  <c r="CJ957" i="86"/>
  <c r="CK957" i="86"/>
  <c r="CL957" i="86"/>
  <c r="CJ958" i="86"/>
  <c r="CK958" i="86"/>
  <c r="CL958" i="86"/>
  <c r="CJ959" i="86"/>
  <c r="CK959" i="86"/>
  <c r="CL959" i="86"/>
  <c r="CJ960" i="86"/>
  <c r="CK960" i="86"/>
  <c r="CL960" i="86"/>
  <c r="CJ965" i="86"/>
  <c r="CK965" i="86"/>
  <c r="CL965" i="86"/>
  <c r="CJ966" i="86"/>
  <c r="CK966" i="86"/>
  <c r="CL966" i="86"/>
  <c r="CJ967" i="86"/>
  <c r="CK967" i="86"/>
  <c r="CL967" i="86"/>
  <c r="CJ968" i="86"/>
  <c r="CK968" i="86"/>
  <c r="CL968" i="86"/>
  <c r="CJ969" i="86"/>
  <c r="CK969" i="86"/>
  <c r="CL969" i="86"/>
  <c r="CJ970" i="86"/>
  <c r="CK970" i="86"/>
  <c r="CL970" i="86"/>
  <c r="CJ971" i="86"/>
  <c r="CK971" i="86"/>
  <c r="CL971" i="86"/>
  <c r="CJ977" i="86"/>
  <c r="CK977" i="86"/>
  <c r="CL977" i="86"/>
  <c r="F5" i="96" s="1"/>
  <c r="CJ978" i="86"/>
  <c r="CK978" i="86"/>
  <c r="CJ979" i="86"/>
  <c r="CK979" i="86"/>
  <c r="CJ980" i="86"/>
  <c r="CK980" i="86"/>
  <c r="CJ981" i="86"/>
  <c r="CK981" i="86"/>
  <c r="CK2" i="86"/>
  <c r="CJ2" i="86"/>
  <c r="D5" i="96" l="1"/>
  <c r="E5" i="96"/>
  <c r="BE828" i="86"/>
  <c r="BE829" i="86"/>
  <c r="BD834" i="86"/>
  <c r="BD828" i="86"/>
  <c r="I950" i="86" l="1"/>
  <c r="L950" i="86" s="1"/>
  <c r="AZ950" i="86" l="1"/>
  <c r="BF950" i="86" s="1"/>
  <c r="CM950" i="86"/>
  <c r="CK950" i="86"/>
  <c r="CL950" i="86"/>
  <c r="CJ950" i="86"/>
  <c r="BO531" i="86"/>
  <c r="BT950" i="86" l="1"/>
  <c r="CH950" i="86" s="1"/>
  <c r="AX134" i="86"/>
  <c r="CG950" i="86" l="1"/>
  <c r="CF950" i="86"/>
  <c r="CI950" i="86"/>
  <c r="CH459" i="86"/>
  <c r="CG459" i="86"/>
  <c r="CH293" i="86"/>
  <c r="CH322" i="86"/>
  <c r="CH488" i="86"/>
  <c r="CH498" i="86"/>
  <c r="CH506" i="86"/>
  <c r="CH565" i="86"/>
  <c r="CF467" i="86"/>
  <c r="CG467" i="86"/>
  <c r="CF459" i="86"/>
  <c r="AZ956" i="86" l="1"/>
  <c r="BT956" i="86" s="1"/>
  <c r="L956" i="86"/>
  <c r="K979" i="86"/>
  <c r="L979" i="86" s="1"/>
  <c r="CF956" i="86" l="1"/>
  <c r="CI956" i="86"/>
  <c r="CH956" i="86"/>
  <c r="CG956" i="86"/>
  <c r="BF956" i="86"/>
  <c r="K981" i="86"/>
  <c r="K980" i="86" l="1"/>
  <c r="L980" i="86" s="1"/>
  <c r="L978" i="86"/>
  <c r="K977" i="86"/>
  <c r="L977" i="86" l="1"/>
  <c r="AZ965" i="86"/>
  <c r="BT965" i="86" s="1"/>
  <c r="L965" i="86"/>
  <c r="AZ969" i="86"/>
  <c r="BT969" i="86" s="1"/>
  <c r="L969" i="86"/>
  <c r="AZ970" i="86"/>
  <c r="BT970" i="86" s="1"/>
  <c r="L970" i="86"/>
  <c r="K968" i="86"/>
  <c r="L968" i="86" s="1"/>
  <c r="AZ968" i="86"/>
  <c r="BT968" i="86" s="1"/>
  <c r="L971" i="86"/>
  <c r="AZ971" i="86"/>
  <c r="CF969" i="86" l="1"/>
  <c r="CI969" i="86"/>
  <c r="CF970" i="86"/>
  <c r="CI970" i="86"/>
  <c r="CF965" i="86"/>
  <c r="CI965" i="86"/>
  <c r="CF968" i="86"/>
  <c r="CI968" i="86"/>
  <c r="CH969" i="86"/>
  <c r="CG969" i="86"/>
  <c r="CH970" i="86"/>
  <c r="CG970" i="86"/>
  <c r="CH965" i="86"/>
  <c r="CG965" i="86"/>
  <c r="CH968" i="86"/>
  <c r="CG968" i="86"/>
  <c r="BF965" i="86"/>
  <c r="BF969" i="86"/>
  <c r="BF970" i="86"/>
  <c r="BF968" i="86"/>
  <c r="BT971" i="86"/>
  <c r="CF971" i="86" l="1"/>
  <c r="CI971" i="86"/>
  <c r="CH971" i="86"/>
  <c r="CG971" i="86"/>
  <c r="BF971" i="86"/>
  <c r="L981" i="86"/>
  <c r="AZ966" i="86"/>
  <c r="BF966" i="86" s="1"/>
  <c r="AZ967" i="86"/>
  <c r="BT967" i="86" s="1"/>
  <c r="L967" i="86"/>
  <c r="L966" i="86"/>
  <c r="B5" i="93" l="1"/>
  <c r="B5" i="96"/>
  <c r="CF967" i="86"/>
  <c r="CI967" i="86"/>
  <c r="CH967" i="86"/>
  <c r="CG967" i="86"/>
  <c r="BT966" i="86"/>
  <c r="BF967" i="86"/>
  <c r="CG293" i="86"/>
  <c r="CG322" i="86"/>
  <c r="CG498" i="86"/>
  <c r="CG565" i="86"/>
  <c r="AM16" i="90"/>
  <c r="AZ960" i="86"/>
  <c r="K960" i="86"/>
  <c r="L960" i="86" s="1"/>
  <c r="AZ958" i="86"/>
  <c r="BF958" i="86" s="1"/>
  <c r="K958" i="86"/>
  <c r="L958" i="86" s="1"/>
  <c r="BT954" i="86"/>
  <c r="CF954" i="86" s="1"/>
  <c r="BT3" i="86"/>
  <c r="BT5" i="86"/>
  <c r="CI5" i="86" s="1"/>
  <c r="BT6" i="86"/>
  <c r="CI6" i="86" s="1"/>
  <c r="BT8" i="86"/>
  <c r="BT9" i="86"/>
  <c r="CI9" i="86" s="1"/>
  <c r="BT11" i="86"/>
  <c r="CI11" i="86" s="1"/>
  <c r="BT14" i="86"/>
  <c r="BT17" i="86"/>
  <c r="BT18" i="86"/>
  <c r="CI18" i="86" s="1"/>
  <c r="BT50" i="86"/>
  <c r="CI50" i="86" s="1"/>
  <c r="BT51" i="86"/>
  <c r="CI51" i="86" s="1"/>
  <c r="BT95" i="86"/>
  <c r="BT96" i="86"/>
  <c r="CI96" i="86" s="1"/>
  <c r="BT97" i="86"/>
  <c r="CI97" i="86" s="1"/>
  <c r="BT98" i="86"/>
  <c r="CI98" i="86" s="1"/>
  <c r="BT99" i="86"/>
  <c r="BT100" i="86"/>
  <c r="CI100" i="86" s="1"/>
  <c r="BT101" i="86"/>
  <c r="CI101" i="86" s="1"/>
  <c r="BT102" i="86"/>
  <c r="BT103" i="86"/>
  <c r="CI103" i="86" s="1"/>
  <c r="BT104" i="86"/>
  <c r="CI104" i="86" s="1"/>
  <c r="BT106" i="86"/>
  <c r="CI106" i="86" s="1"/>
  <c r="BT107" i="86"/>
  <c r="BT116" i="86"/>
  <c r="CI116" i="86" s="1"/>
  <c r="BT118" i="86"/>
  <c r="CI118" i="86" s="1"/>
  <c r="BT124" i="86"/>
  <c r="BT138" i="86"/>
  <c r="BT147" i="86"/>
  <c r="CI147" i="86" s="1"/>
  <c r="BT169" i="86"/>
  <c r="BT170" i="86"/>
  <c r="BT208" i="86"/>
  <c r="BT212" i="86"/>
  <c r="CI212" i="86" s="1"/>
  <c r="BT216" i="86"/>
  <c r="BT217" i="86"/>
  <c r="BT218" i="86"/>
  <c r="BT219" i="86"/>
  <c r="CI219" i="86" s="1"/>
  <c r="BT220" i="86"/>
  <c r="BT253" i="86"/>
  <c r="CI253" i="86" s="1"/>
  <c r="BT265" i="86"/>
  <c r="CI265" i="86" s="1"/>
  <c r="BT271" i="86"/>
  <c r="CI271" i="86" s="1"/>
  <c r="BT275" i="86"/>
  <c r="BT278" i="86"/>
  <c r="CI278" i="86" s="1"/>
  <c r="BT281" i="86"/>
  <c r="BT284" i="86"/>
  <c r="CI284" i="86" s="1"/>
  <c r="BT287" i="86"/>
  <c r="CI287" i="86" s="1"/>
  <c r="BT294" i="86"/>
  <c r="CI294" i="86" s="1"/>
  <c r="BT301" i="86"/>
  <c r="CI301" i="86" s="1"/>
  <c r="BT302" i="86"/>
  <c r="CI302" i="86" s="1"/>
  <c r="BT306" i="86"/>
  <c r="CI306" i="86" s="1"/>
  <c r="BT309" i="86"/>
  <c r="BT391" i="86"/>
  <c r="BT394" i="86"/>
  <c r="CI394" i="86" s="1"/>
  <c r="BT400" i="86"/>
  <c r="CI400" i="86" s="1"/>
  <c r="BT421" i="86"/>
  <c r="CI421" i="86" s="1"/>
  <c r="BT422" i="86"/>
  <c r="CI422" i="86" s="1"/>
  <c r="BT455" i="86"/>
  <c r="BT456" i="86"/>
  <c r="BT463" i="86"/>
  <c r="CI463" i="86" s="1"/>
  <c r="BT465" i="86"/>
  <c r="CI465" i="86" s="1"/>
  <c r="BT466" i="86"/>
  <c r="BT468" i="86"/>
  <c r="BT469" i="86"/>
  <c r="CI469" i="86" s="1"/>
  <c r="BT470" i="86"/>
  <c r="BT472" i="86"/>
  <c r="BT473" i="86"/>
  <c r="BT477" i="86"/>
  <c r="CI477" i="86" s="1"/>
  <c r="BT478" i="86"/>
  <c r="CI478" i="86" s="1"/>
  <c r="BT493" i="86"/>
  <c r="BT494" i="86"/>
  <c r="CI494" i="86" s="1"/>
  <c r="BT497" i="86"/>
  <c r="BT499" i="86"/>
  <c r="BT501" i="86"/>
  <c r="BT514" i="86"/>
  <c r="CI514" i="86" s="1"/>
  <c r="BT515" i="86"/>
  <c r="CI515" i="86" s="1"/>
  <c r="BT569" i="86"/>
  <c r="CI569" i="86" s="1"/>
  <c r="BT570" i="86"/>
  <c r="BT578" i="86"/>
  <c r="BT594" i="86"/>
  <c r="CI594" i="86" s="1"/>
  <c r="BT601" i="86"/>
  <c r="CI601" i="86" s="1"/>
  <c r="BT602" i="86"/>
  <c r="BT652" i="86"/>
  <c r="CI652" i="86" s="1"/>
  <c r="BT653" i="86"/>
  <c r="CI653" i="86" s="1"/>
  <c r="BT654" i="86"/>
  <c r="CI654" i="86" s="1"/>
  <c r="BT655" i="86"/>
  <c r="CI655" i="86" s="1"/>
  <c r="BT656" i="86"/>
  <c r="CI656" i="86" s="1"/>
  <c r="BT657" i="86"/>
  <c r="CI657" i="86" s="1"/>
  <c r="BT658" i="86"/>
  <c r="CI658" i="86" s="1"/>
  <c r="BT659" i="86"/>
  <c r="CI659" i="86" s="1"/>
  <c r="BT660" i="86"/>
  <c r="BT661" i="86"/>
  <c r="BT662" i="86"/>
  <c r="CI662" i="86" s="1"/>
  <c r="BT663" i="86"/>
  <c r="CI663" i="86" s="1"/>
  <c r="BT664" i="86"/>
  <c r="CI664" i="86" s="1"/>
  <c r="BT665" i="86"/>
  <c r="BT666" i="86"/>
  <c r="BT667" i="86"/>
  <c r="BT677" i="86"/>
  <c r="CI677" i="86" s="1"/>
  <c r="BT678" i="86"/>
  <c r="CI678" i="86" s="1"/>
  <c r="BT679" i="86"/>
  <c r="CI679" i="86" s="1"/>
  <c r="BT682" i="86"/>
  <c r="CI682" i="86" s="1"/>
  <c r="BT685" i="86"/>
  <c r="CI685" i="86" s="1"/>
  <c r="BT689" i="86"/>
  <c r="BT690" i="86"/>
  <c r="BT692" i="86"/>
  <c r="CI692" i="86" s="1"/>
  <c r="BT695" i="86"/>
  <c r="CI695" i="86" s="1"/>
  <c r="BT696" i="86"/>
  <c r="BT697" i="86"/>
  <c r="CI697" i="86" s="1"/>
  <c r="BT698" i="86"/>
  <c r="BT699" i="86"/>
  <c r="BT700" i="86"/>
  <c r="CI700" i="86" s="1"/>
  <c r="BT701" i="86"/>
  <c r="CI701" i="86" s="1"/>
  <c r="BT703" i="86"/>
  <c r="CI703" i="86" s="1"/>
  <c r="BT704" i="86"/>
  <c r="CI704" i="86" s="1"/>
  <c r="BT705" i="86"/>
  <c r="BT706" i="86"/>
  <c r="BT765" i="86"/>
  <c r="BT774" i="86"/>
  <c r="CI774" i="86" s="1"/>
  <c r="BT775" i="86"/>
  <c r="BT776" i="86"/>
  <c r="CI776" i="86" s="1"/>
  <c r="BT784" i="86"/>
  <c r="CI784" i="86" s="1"/>
  <c r="BT785" i="86"/>
  <c r="CI785" i="86" s="1"/>
  <c r="BT812" i="86"/>
  <c r="BT814" i="86"/>
  <c r="CI814" i="86" s="1"/>
  <c r="BT821" i="86"/>
  <c r="CI821" i="86" s="1"/>
  <c r="BT822" i="86"/>
  <c r="CI822" i="86" s="1"/>
  <c r="BT855" i="86"/>
  <c r="BT856" i="86"/>
  <c r="CI856" i="86" s="1"/>
  <c r="BT857" i="86"/>
  <c r="BT868" i="86"/>
  <c r="BT869" i="86"/>
  <c r="BT870" i="86"/>
  <c r="CI870" i="86" s="1"/>
  <c r="BT871" i="86"/>
  <c r="BT872" i="86"/>
  <c r="CI872" i="86" s="1"/>
  <c r="BT873" i="86"/>
  <c r="CI873" i="86" s="1"/>
  <c r="BT874" i="86"/>
  <c r="CI874" i="86" s="1"/>
  <c r="BT875" i="86"/>
  <c r="CI875" i="86" s="1"/>
  <c r="BT876" i="86"/>
  <c r="CI876" i="86" s="1"/>
  <c r="BT877" i="86"/>
  <c r="BT878" i="86"/>
  <c r="BT879" i="86"/>
  <c r="CI879" i="86" s="1"/>
  <c r="BT880" i="86"/>
  <c r="BT881" i="86"/>
  <c r="BT882" i="86"/>
  <c r="CI882" i="86" s="1"/>
  <c r="BT883" i="86"/>
  <c r="CI883" i="86" s="1"/>
  <c r="BT884" i="86"/>
  <c r="BT914" i="86"/>
  <c r="CI914" i="86" s="1"/>
  <c r="BD2" i="86"/>
  <c r="L959" i="86"/>
  <c r="L955" i="86"/>
  <c r="L952" i="86"/>
  <c r="L951" i="86"/>
  <c r="L949" i="86"/>
  <c r="L948" i="86"/>
  <c r="L947" i="86"/>
  <c r="L946" i="86"/>
  <c r="L945" i="86"/>
  <c r="K957" i="86"/>
  <c r="L957" i="86" s="1"/>
  <c r="K954" i="86"/>
  <c r="L954" i="86" s="1"/>
  <c r="AZ959" i="86"/>
  <c r="BF959" i="86" s="1"/>
  <c r="I953" i="86"/>
  <c r="I944" i="86"/>
  <c r="L943" i="86"/>
  <c r="L942" i="86"/>
  <c r="K941" i="86"/>
  <c r="BD941" i="86" s="1"/>
  <c r="L940" i="86"/>
  <c r="L939" i="86"/>
  <c r="L938" i="86"/>
  <c r="K937" i="86"/>
  <c r="L937" i="86" s="1"/>
  <c r="L936" i="86"/>
  <c r="L935" i="86"/>
  <c r="L934" i="86"/>
  <c r="L933" i="86"/>
  <c r="L932" i="86"/>
  <c r="L931" i="86"/>
  <c r="L930" i="86"/>
  <c r="L929" i="86"/>
  <c r="I928" i="86"/>
  <c r="K927" i="86"/>
  <c r="BD927" i="86" s="1"/>
  <c r="L926" i="86"/>
  <c r="L925" i="86"/>
  <c r="L924" i="86"/>
  <c r="L923" i="86"/>
  <c r="L922" i="86"/>
  <c r="L921" i="86"/>
  <c r="L920" i="86"/>
  <c r="L919" i="86"/>
  <c r="L918" i="86"/>
  <c r="L917" i="86"/>
  <c r="L916" i="86"/>
  <c r="K915" i="86"/>
  <c r="L915" i="86" s="1"/>
  <c r="L914" i="86"/>
  <c r="L913" i="86"/>
  <c r="L912" i="86"/>
  <c r="L911" i="86"/>
  <c r="L910" i="86"/>
  <c r="L909" i="86"/>
  <c r="L908" i="86"/>
  <c r="L907" i="86"/>
  <c r="L906" i="86"/>
  <c r="L905" i="86"/>
  <c r="L904" i="86"/>
  <c r="L903" i="86"/>
  <c r="L902" i="86"/>
  <c r="L901" i="86"/>
  <c r="L900" i="86"/>
  <c r="L899" i="86"/>
  <c r="L898" i="86"/>
  <c r="L897" i="86"/>
  <c r="L896" i="86"/>
  <c r="L895" i="86"/>
  <c r="L894" i="86"/>
  <c r="L893" i="86"/>
  <c r="L892" i="86"/>
  <c r="L891" i="86"/>
  <c r="L890" i="86"/>
  <c r="K889" i="86"/>
  <c r="L889" i="86" s="1"/>
  <c r="L888" i="86"/>
  <c r="L887" i="86"/>
  <c r="L886" i="86"/>
  <c r="L885" i="86"/>
  <c r="L884" i="86"/>
  <c r="L883" i="86"/>
  <c r="L882" i="86"/>
  <c r="L881" i="86"/>
  <c r="L880" i="86"/>
  <c r="L879" i="86"/>
  <c r="L878" i="86"/>
  <c r="L877" i="86"/>
  <c r="L876" i="86"/>
  <c r="L875" i="86"/>
  <c r="L874" i="86"/>
  <c r="L873" i="86"/>
  <c r="L872" i="86"/>
  <c r="L871" i="86"/>
  <c r="L870" i="86"/>
  <c r="L869" i="86"/>
  <c r="L868" i="86"/>
  <c r="L867" i="86"/>
  <c r="L866" i="86"/>
  <c r="L865" i="86"/>
  <c r="L864" i="86"/>
  <c r="L863" i="86"/>
  <c r="L862" i="86"/>
  <c r="L861" i="86"/>
  <c r="L860" i="86"/>
  <c r="L859" i="86"/>
  <c r="L858" i="86"/>
  <c r="L857" i="86"/>
  <c r="L856" i="86"/>
  <c r="K855" i="86"/>
  <c r="L854" i="86"/>
  <c r="L853" i="86"/>
  <c r="L852" i="86"/>
  <c r="L851" i="86"/>
  <c r="L850" i="86"/>
  <c r="L849" i="86"/>
  <c r="L848" i="86"/>
  <c r="L847" i="86"/>
  <c r="L846" i="86"/>
  <c r="L845" i="86"/>
  <c r="L844" i="86"/>
  <c r="L843" i="86"/>
  <c r="L842" i="86"/>
  <c r="L841" i="86"/>
  <c r="L840" i="86"/>
  <c r="L839" i="86"/>
  <c r="L838" i="86"/>
  <c r="L837" i="86"/>
  <c r="L836" i="86"/>
  <c r="L835" i="86"/>
  <c r="L834" i="86"/>
  <c r="K833" i="86"/>
  <c r="BD833" i="86" s="1"/>
  <c r="L832" i="86"/>
  <c r="L831" i="86"/>
  <c r="L830" i="86"/>
  <c r="L829" i="86"/>
  <c r="L828" i="86"/>
  <c r="L827" i="86"/>
  <c r="L826" i="86"/>
  <c r="I825" i="86"/>
  <c r="L824" i="86"/>
  <c r="L823" i="86"/>
  <c r="L822" i="86"/>
  <c r="L821" i="86"/>
  <c r="L820" i="86"/>
  <c r="L819" i="86"/>
  <c r="K818" i="86"/>
  <c r="L818" i="86" s="1"/>
  <c r="L817" i="86"/>
  <c r="K816" i="86"/>
  <c r="BD816" i="86" s="1"/>
  <c r="L815" i="86"/>
  <c r="L814" i="86"/>
  <c r="L813" i="86"/>
  <c r="L812" i="86"/>
  <c r="L811" i="86"/>
  <c r="L810" i="86"/>
  <c r="L809" i="86"/>
  <c r="L808" i="86"/>
  <c r="L807" i="86"/>
  <c r="L806" i="86"/>
  <c r="L805" i="86"/>
  <c r="L804" i="86"/>
  <c r="L803" i="86"/>
  <c r="L802" i="86"/>
  <c r="L801" i="86"/>
  <c r="L800" i="86"/>
  <c r="L799" i="86"/>
  <c r="L798" i="86"/>
  <c r="L797" i="86"/>
  <c r="L796" i="86"/>
  <c r="L795" i="86"/>
  <c r="L794" i="86"/>
  <c r="L793" i="86"/>
  <c r="L792" i="86"/>
  <c r="L791" i="86"/>
  <c r="L790" i="86"/>
  <c r="L789" i="86"/>
  <c r="L788" i="86"/>
  <c r="L787" i="86"/>
  <c r="L786" i="86"/>
  <c r="L785" i="86"/>
  <c r="L784" i="86"/>
  <c r="L783" i="86"/>
  <c r="L782" i="86"/>
  <c r="K781" i="86"/>
  <c r="L780" i="86"/>
  <c r="L779" i="86"/>
  <c r="L778" i="86"/>
  <c r="L777" i="86"/>
  <c r="I776" i="86"/>
  <c r="L775" i="86"/>
  <c r="L774" i="86"/>
  <c r="L773" i="86"/>
  <c r="L772" i="86"/>
  <c r="L771" i="86"/>
  <c r="L770" i="86"/>
  <c r="L769" i="86"/>
  <c r="L768" i="86"/>
  <c r="L767" i="86"/>
  <c r="L766" i="86"/>
  <c r="L765" i="86"/>
  <c r="L764" i="86"/>
  <c r="L763" i="86"/>
  <c r="L762" i="86"/>
  <c r="L761" i="86"/>
  <c r="L760" i="86"/>
  <c r="K759" i="86"/>
  <c r="L759" i="86" s="1"/>
  <c r="I758" i="86"/>
  <c r="L757" i="86"/>
  <c r="L756" i="86"/>
  <c r="K755" i="86"/>
  <c r="L754" i="86"/>
  <c r="L753" i="86"/>
  <c r="L752" i="86"/>
  <c r="L751" i="86"/>
  <c r="L750" i="86"/>
  <c r="L749" i="86"/>
  <c r="L748" i="86"/>
  <c r="K747" i="86"/>
  <c r="L747" i="86" s="1"/>
  <c r="K746" i="86"/>
  <c r="K745" i="86"/>
  <c r="L745" i="86" s="1"/>
  <c r="K744" i="86"/>
  <c r="BD744" i="86" s="1"/>
  <c r="L743" i="86"/>
  <c r="L742" i="86"/>
  <c r="L741" i="86"/>
  <c r="L740" i="86"/>
  <c r="L739" i="86"/>
  <c r="L738" i="86"/>
  <c r="I737" i="86"/>
  <c r="L736" i="86"/>
  <c r="L735" i="86"/>
  <c r="L734" i="86"/>
  <c r="L733" i="86"/>
  <c r="L732" i="86"/>
  <c r="L731" i="86"/>
  <c r="L730" i="86"/>
  <c r="I729" i="86"/>
  <c r="L728" i="86"/>
  <c r="L727" i="86"/>
  <c r="L726" i="86"/>
  <c r="I725" i="86"/>
  <c r="I724" i="86"/>
  <c r="L723" i="86"/>
  <c r="L722" i="86"/>
  <c r="L721" i="86"/>
  <c r="L720" i="86"/>
  <c r="L719" i="86"/>
  <c r="L718" i="86"/>
  <c r="L717" i="86"/>
  <c r="L716" i="86"/>
  <c r="L715" i="86"/>
  <c r="L714" i="86"/>
  <c r="L713" i="86"/>
  <c r="L712" i="86"/>
  <c r="L711" i="86"/>
  <c r="L710" i="86"/>
  <c r="L709" i="86"/>
  <c r="L708" i="86"/>
  <c r="L707" i="86"/>
  <c r="L706" i="86"/>
  <c r="L705" i="86"/>
  <c r="L704" i="86"/>
  <c r="L703" i="86"/>
  <c r="L702" i="86"/>
  <c r="L701" i="86"/>
  <c r="L700" i="86"/>
  <c r="L699" i="86"/>
  <c r="L698" i="86"/>
  <c r="L697" i="86"/>
  <c r="L696" i="86"/>
  <c r="L695" i="86"/>
  <c r="L694" i="86"/>
  <c r="L693" i="86"/>
  <c r="L692" i="86"/>
  <c r="L691" i="86"/>
  <c r="L690" i="86"/>
  <c r="L689" i="86"/>
  <c r="L688" i="86"/>
  <c r="L687" i="86"/>
  <c r="L686" i="86"/>
  <c r="L685" i="86"/>
  <c r="L684" i="86"/>
  <c r="L683" i="86"/>
  <c r="L682" i="86"/>
  <c r="L681" i="86"/>
  <c r="L680" i="86"/>
  <c r="L679" i="86"/>
  <c r="L678" i="86"/>
  <c r="L677" i="86"/>
  <c r="K676" i="86"/>
  <c r="L676" i="86" s="1"/>
  <c r="K675" i="86"/>
  <c r="L675" i="86" s="1"/>
  <c r="L674" i="86"/>
  <c r="L673" i="86"/>
  <c r="L672" i="86"/>
  <c r="L671" i="86"/>
  <c r="L670" i="86"/>
  <c r="L669" i="86"/>
  <c r="L668" i="86"/>
  <c r="L667" i="86"/>
  <c r="L666" i="86"/>
  <c r="L665" i="86"/>
  <c r="L664" i="86"/>
  <c r="L663" i="86"/>
  <c r="L662" i="86"/>
  <c r="L661" i="86"/>
  <c r="L660" i="86"/>
  <c r="L659" i="86"/>
  <c r="L658" i="86"/>
  <c r="L657" i="86"/>
  <c r="L656" i="86"/>
  <c r="L655" i="86"/>
  <c r="L654" i="86"/>
  <c r="L653" i="86"/>
  <c r="L652" i="86"/>
  <c r="L651" i="86"/>
  <c r="L650" i="86"/>
  <c r="L649" i="86"/>
  <c r="L648" i="86"/>
  <c r="L647" i="86"/>
  <c r="L646" i="86"/>
  <c r="L645" i="86"/>
  <c r="K644" i="86"/>
  <c r="BD644" i="86" s="1"/>
  <c r="L643" i="86"/>
  <c r="L642" i="86"/>
  <c r="L641" i="86"/>
  <c r="L640" i="86"/>
  <c r="L639" i="86"/>
  <c r="L638" i="86"/>
  <c r="L637" i="86"/>
  <c r="L636" i="86"/>
  <c r="L635" i="86"/>
  <c r="L634" i="86"/>
  <c r="L633" i="86"/>
  <c r="L632" i="86"/>
  <c r="L631" i="86"/>
  <c r="L630" i="86"/>
  <c r="L629" i="86"/>
  <c r="L628" i="86"/>
  <c r="K627" i="86"/>
  <c r="L627" i="86" s="1"/>
  <c r="K626" i="86"/>
  <c r="L626" i="86" s="1"/>
  <c r="K625" i="86"/>
  <c r="L625" i="86" s="1"/>
  <c r="K624" i="86"/>
  <c r="BD624" i="86" s="1"/>
  <c r="K623" i="86"/>
  <c r="BO623" i="86" s="1"/>
  <c r="K622" i="86"/>
  <c r="K621" i="86"/>
  <c r="L621" i="86" s="1"/>
  <c r="K620" i="86"/>
  <c r="BO620" i="86" s="1"/>
  <c r="L619" i="86"/>
  <c r="L618" i="86"/>
  <c r="L617" i="86"/>
  <c r="L616" i="86"/>
  <c r="L615" i="86"/>
  <c r="L614" i="86"/>
  <c r="L613" i="86"/>
  <c r="K612" i="86"/>
  <c r="BO612" i="86" s="1"/>
  <c r="L611" i="86"/>
  <c r="L610" i="86"/>
  <c r="K609" i="86"/>
  <c r="I609" i="86"/>
  <c r="L608" i="86"/>
  <c r="I607" i="86"/>
  <c r="L606" i="86"/>
  <c r="L605" i="86"/>
  <c r="L604" i="86"/>
  <c r="L603" i="86"/>
  <c r="L602" i="86"/>
  <c r="L601" i="86"/>
  <c r="L600" i="86"/>
  <c r="L599" i="86"/>
  <c r="L598" i="86"/>
  <c r="L597" i="86"/>
  <c r="L596" i="86"/>
  <c r="L595" i="86"/>
  <c r="L594" i="86"/>
  <c r="L593" i="86"/>
  <c r="L592" i="86"/>
  <c r="L591" i="86"/>
  <c r="L590" i="86"/>
  <c r="L589" i="86"/>
  <c r="L588" i="86"/>
  <c r="L587" i="86"/>
  <c r="L586" i="86"/>
  <c r="L585" i="86"/>
  <c r="L584" i="86"/>
  <c r="L583" i="86"/>
  <c r="L582" i="86"/>
  <c r="L581" i="86"/>
  <c r="L580" i="86"/>
  <c r="L579" i="86"/>
  <c r="L578" i="86"/>
  <c r="L577" i="86"/>
  <c r="L576" i="86"/>
  <c r="L575" i="86"/>
  <c r="L574" i="86"/>
  <c r="L573" i="86"/>
  <c r="L572" i="86"/>
  <c r="L571" i="86"/>
  <c r="L570" i="86"/>
  <c r="L569" i="86"/>
  <c r="L568" i="86"/>
  <c r="L567" i="86"/>
  <c r="L566" i="86"/>
  <c r="L565" i="86"/>
  <c r="L564" i="86"/>
  <c r="L563" i="86"/>
  <c r="L562" i="86"/>
  <c r="L561" i="86"/>
  <c r="L560" i="86"/>
  <c r="L559" i="86"/>
  <c r="L558" i="86"/>
  <c r="L557" i="86"/>
  <c r="L556" i="86"/>
  <c r="L555" i="86"/>
  <c r="L554" i="86"/>
  <c r="L553" i="86"/>
  <c r="L552" i="86"/>
  <c r="L551" i="86"/>
  <c r="L550" i="86"/>
  <c r="L549" i="86"/>
  <c r="L548" i="86"/>
  <c r="L547" i="86"/>
  <c r="L546" i="86"/>
  <c r="L545" i="86"/>
  <c r="L544" i="86"/>
  <c r="L543" i="86"/>
  <c r="L542" i="86"/>
  <c r="L541" i="86"/>
  <c r="L540" i="86"/>
  <c r="L539" i="86"/>
  <c r="L538" i="86"/>
  <c r="L537" i="86"/>
  <c r="L536" i="86"/>
  <c r="L535" i="86"/>
  <c r="L534" i="86"/>
  <c r="L533" i="86"/>
  <c r="L532" i="86"/>
  <c r="L531" i="86"/>
  <c r="L530" i="86"/>
  <c r="L529" i="86"/>
  <c r="L528" i="86"/>
  <c r="L527" i="86"/>
  <c r="L526" i="86"/>
  <c r="L525" i="86"/>
  <c r="L524" i="86"/>
  <c r="L523" i="86"/>
  <c r="L522" i="86"/>
  <c r="L521" i="86"/>
  <c r="L520" i="86"/>
  <c r="L519" i="86"/>
  <c r="L518" i="86"/>
  <c r="L517" i="86"/>
  <c r="L516" i="86"/>
  <c r="L515" i="86"/>
  <c r="L514" i="86"/>
  <c r="L513" i="86"/>
  <c r="L512" i="86"/>
  <c r="L511" i="86"/>
  <c r="L510" i="86"/>
  <c r="L509" i="86"/>
  <c r="L508" i="86"/>
  <c r="L507" i="86"/>
  <c r="L506" i="86"/>
  <c r="K505" i="86"/>
  <c r="L505" i="86" s="1"/>
  <c r="L504" i="86"/>
  <c r="L503" i="86"/>
  <c r="L502" i="86"/>
  <c r="L501" i="86"/>
  <c r="L500" i="86"/>
  <c r="L499" i="86"/>
  <c r="L498" i="86"/>
  <c r="L497" i="86"/>
  <c r="K496" i="86"/>
  <c r="L496" i="86" s="1"/>
  <c r="L495" i="86"/>
  <c r="L494" i="86"/>
  <c r="L493" i="86"/>
  <c r="L492" i="86"/>
  <c r="K491" i="86"/>
  <c r="L491" i="86" s="1"/>
  <c r="L490" i="86"/>
  <c r="K489" i="86"/>
  <c r="L488" i="86"/>
  <c r="L487" i="86"/>
  <c r="L486" i="86"/>
  <c r="K485" i="86"/>
  <c r="L485" i="86" s="1"/>
  <c r="L484" i="86"/>
  <c r="L483" i="86"/>
  <c r="L482" i="86"/>
  <c r="K481" i="86"/>
  <c r="BD481" i="86" s="1"/>
  <c r="L480" i="86"/>
  <c r="L479" i="86"/>
  <c r="L478" i="86"/>
  <c r="L477" i="86"/>
  <c r="L476" i="86"/>
  <c r="L475" i="86"/>
  <c r="L474" i="86"/>
  <c r="L473" i="86"/>
  <c r="L472" i="86"/>
  <c r="L471" i="86"/>
  <c r="L470" i="86"/>
  <c r="L469" i="86"/>
  <c r="L468" i="86"/>
  <c r="K466" i="86"/>
  <c r="L465" i="86"/>
  <c r="L464" i="86"/>
  <c r="L463" i="86"/>
  <c r="L462" i="86"/>
  <c r="L461" i="86"/>
  <c r="L460" i="86"/>
  <c r="L458" i="86"/>
  <c r="L457" i="86"/>
  <c r="K456" i="86"/>
  <c r="BO456" i="86" s="1"/>
  <c r="L455" i="86"/>
  <c r="L454" i="86"/>
  <c r="L453" i="86"/>
  <c r="L452" i="86"/>
  <c r="L451" i="86"/>
  <c r="L450" i="86"/>
  <c r="L449" i="86"/>
  <c r="L448" i="86"/>
  <c r="L447" i="86"/>
  <c r="L446" i="86"/>
  <c r="L445" i="86"/>
  <c r="L444" i="86"/>
  <c r="L443" i="86"/>
  <c r="L442" i="86"/>
  <c r="L441" i="86"/>
  <c r="L440" i="86"/>
  <c r="L439" i="86"/>
  <c r="L438" i="86"/>
  <c r="L437" i="86"/>
  <c r="L436" i="86"/>
  <c r="L435" i="86"/>
  <c r="K434" i="86"/>
  <c r="L434" i="86" s="1"/>
  <c r="L433" i="86"/>
  <c r="L432" i="86"/>
  <c r="L431" i="86"/>
  <c r="L430" i="86"/>
  <c r="L429" i="86"/>
  <c r="L428" i="86"/>
  <c r="L427" i="86"/>
  <c r="L426" i="86"/>
  <c r="L425" i="86"/>
  <c r="L424" i="86"/>
  <c r="L423" i="86"/>
  <c r="L422" i="86"/>
  <c r="I421" i="86"/>
  <c r="L420" i="86"/>
  <c r="L419" i="86"/>
  <c r="L418" i="86"/>
  <c r="L417" i="86"/>
  <c r="L416" i="86"/>
  <c r="L415" i="86"/>
  <c r="L414" i="86"/>
  <c r="K413" i="86"/>
  <c r="L413" i="86" s="1"/>
  <c r="L412" i="86"/>
  <c r="L411" i="86"/>
  <c r="K410" i="86"/>
  <c r="BO410" i="86" s="1"/>
  <c r="L409" i="86"/>
  <c r="L408" i="86"/>
  <c r="L407" i="86"/>
  <c r="K406" i="86"/>
  <c r="L405" i="86"/>
  <c r="L404" i="86"/>
  <c r="L403" i="86"/>
  <c r="L402" i="86"/>
  <c r="L401" i="86"/>
  <c r="L400" i="86"/>
  <c r="K399" i="86"/>
  <c r="K398" i="86"/>
  <c r="BO398" i="86" s="1"/>
  <c r="L397" i="86"/>
  <c r="L396" i="86"/>
  <c r="L395" i="86"/>
  <c r="L394" i="86"/>
  <c r="L393" i="86"/>
  <c r="L392" i="86"/>
  <c r="L391" i="86"/>
  <c r="L390" i="86"/>
  <c r="L389" i="86"/>
  <c r="L388" i="86"/>
  <c r="L387" i="86"/>
  <c r="L386" i="86"/>
  <c r="K385" i="86"/>
  <c r="BO385" i="86" s="1"/>
  <c r="L384" i="86"/>
  <c r="L383" i="86"/>
  <c r="L382" i="86"/>
  <c r="L381" i="86"/>
  <c r="L380" i="86"/>
  <c r="L379" i="86"/>
  <c r="L378" i="86"/>
  <c r="L377" i="86"/>
  <c r="L376" i="86"/>
  <c r="L375" i="86"/>
  <c r="L374" i="86"/>
  <c r="K373" i="86"/>
  <c r="BD373" i="86" s="1"/>
  <c r="L372" i="86"/>
  <c r="L371" i="86"/>
  <c r="L370" i="86"/>
  <c r="L369" i="86"/>
  <c r="L368" i="86"/>
  <c r="L367" i="86"/>
  <c r="L366" i="86"/>
  <c r="L365" i="86"/>
  <c r="L364" i="86"/>
  <c r="L363" i="86"/>
  <c r="L362" i="86"/>
  <c r="L361" i="86"/>
  <c r="L360" i="86"/>
  <c r="L359" i="86"/>
  <c r="L358" i="86"/>
  <c r="L357" i="86"/>
  <c r="L356" i="86"/>
  <c r="L355" i="86"/>
  <c r="L354" i="86"/>
  <c r="L353" i="86"/>
  <c r="L352" i="86"/>
  <c r="L351" i="86"/>
  <c r="L350" i="86"/>
  <c r="L349" i="86"/>
  <c r="L348" i="86"/>
  <c r="L347" i="86"/>
  <c r="L346" i="86"/>
  <c r="L345" i="86"/>
  <c r="L344" i="86"/>
  <c r="L343" i="86"/>
  <c r="L342" i="86"/>
  <c r="L341" i="86"/>
  <c r="L340" i="86"/>
  <c r="L339" i="86"/>
  <c r="K338" i="86"/>
  <c r="I338" i="86"/>
  <c r="I337" i="86"/>
  <c r="L336" i="86"/>
  <c r="L335" i="86"/>
  <c r="L334" i="86"/>
  <c r="L333" i="86"/>
  <c r="L332" i="86"/>
  <c r="L331" i="86"/>
  <c r="L330" i="86"/>
  <c r="L329" i="86"/>
  <c r="L328" i="86"/>
  <c r="L327" i="86"/>
  <c r="L326" i="86"/>
  <c r="L325" i="86"/>
  <c r="L324" i="86"/>
  <c r="L323" i="86"/>
  <c r="L322" i="86"/>
  <c r="L321" i="86"/>
  <c r="L320" i="86"/>
  <c r="L319" i="86"/>
  <c r="L318" i="86"/>
  <c r="L317" i="86"/>
  <c r="L316" i="86"/>
  <c r="L315" i="86"/>
  <c r="L314" i="86"/>
  <c r="L313" i="86"/>
  <c r="L312" i="86"/>
  <c r="L311" i="86"/>
  <c r="L310" i="86"/>
  <c r="L309" i="86"/>
  <c r="L308" i="86"/>
  <c r="L307" i="86"/>
  <c r="L306" i="86"/>
  <c r="L305" i="86"/>
  <c r="L304" i="86"/>
  <c r="L303" i="86"/>
  <c r="L302" i="86"/>
  <c r="L301" i="86"/>
  <c r="L300" i="86"/>
  <c r="L299" i="86"/>
  <c r="L298" i="86"/>
  <c r="L297" i="86"/>
  <c r="L296" i="86"/>
  <c r="L295" i="86"/>
  <c r="L294" i="86"/>
  <c r="L293" i="86"/>
  <c r="L292" i="86"/>
  <c r="L291" i="86"/>
  <c r="L290" i="86"/>
  <c r="L289" i="86"/>
  <c r="L288" i="86"/>
  <c r="L287" i="86"/>
  <c r="L286" i="86"/>
  <c r="L285" i="86"/>
  <c r="L284" i="86"/>
  <c r="L283" i="86"/>
  <c r="L282" i="86"/>
  <c r="L281" i="86"/>
  <c r="L280" i="86"/>
  <c r="L279" i="86"/>
  <c r="L278" i="86"/>
  <c r="L277" i="86"/>
  <c r="L276" i="86"/>
  <c r="L275" i="86"/>
  <c r="L274" i="86"/>
  <c r="L273" i="86"/>
  <c r="L272" i="86"/>
  <c r="L271" i="86"/>
  <c r="L270" i="86"/>
  <c r="L269" i="86"/>
  <c r="L268" i="86"/>
  <c r="L267" i="86"/>
  <c r="L266" i="86"/>
  <c r="L265" i="86"/>
  <c r="L264" i="86"/>
  <c r="L263" i="86"/>
  <c r="L262" i="86"/>
  <c r="L261" i="86"/>
  <c r="L260" i="86"/>
  <c r="L259" i="86"/>
  <c r="L258" i="86"/>
  <c r="L257" i="86"/>
  <c r="K256" i="86"/>
  <c r="L256" i="86" s="1"/>
  <c r="L255" i="86"/>
  <c r="L254" i="86"/>
  <c r="L253" i="86"/>
  <c r="L252" i="86"/>
  <c r="L251" i="86"/>
  <c r="L250" i="86"/>
  <c r="L249" i="86"/>
  <c r="L248" i="86"/>
  <c r="L247" i="86"/>
  <c r="L246" i="86"/>
  <c r="L245" i="86"/>
  <c r="L244" i="86"/>
  <c r="K243" i="86"/>
  <c r="BO243" i="86" s="1"/>
  <c r="L242" i="86"/>
  <c r="K241" i="86"/>
  <c r="BO241" i="86" s="1"/>
  <c r="L240" i="86"/>
  <c r="L239" i="86"/>
  <c r="L238" i="86"/>
  <c r="L237" i="86"/>
  <c r="L236" i="86"/>
  <c r="L235" i="86"/>
  <c r="L234" i="86"/>
  <c r="L233" i="86"/>
  <c r="K232" i="86"/>
  <c r="L231" i="86"/>
  <c r="L230" i="86"/>
  <c r="L229" i="86"/>
  <c r="L228" i="86"/>
  <c r="L227" i="86"/>
  <c r="L226" i="86"/>
  <c r="L225" i="86"/>
  <c r="L224" i="86"/>
  <c r="L223" i="86"/>
  <c r="L222" i="86"/>
  <c r="L221" i="86"/>
  <c r="L220" i="86"/>
  <c r="L219" i="86"/>
  <c r="L218" i="86"/>
  <c r="L217" i="86"/>
  <c r="L216" i="86"/>
  <c r="L215" i="86"/>
  <c r="L214" i="86"/>
  <c r="L213" i="86"/>
  <c r="L212" i="86"/>
  <c r="L211" i="86"/>
  <c r="L210" i="86"/>
  <c r="L209" i="86"/>
  <c r="I208" i="86"/>
  <c r="L207" i="86"/>
  <c r="L206" i="86"/>
  <c r="L205" i="86"/>
  <c r="L204" i="86"/>
  <c r="L203" i="86"/>
  <c r="L202" i="86"/>
  <c r="L201" i="86"/>
  <c r="L200" i="86"/>
  <c r="L199" i="86"/>
  <c r="L198" i="86"/>
  <c r="L197" i="86"/>
  <c r="L196" i="86"/>
  <c r="L195" i="86"/>
  <c r="L194" i="86"/>
  <c r="L193" i="86"/>
  <c r="L192" i="86"/>
  <c r="L191" i="86"/>
  <c r="L190" i="86"/>
  <c r="L189" i="86"/>
  <c r="L188" i="86"/>
  <c r="L187" i="86"/>
  <c r="L186" i="86"/>
  <c r="L185" i="86"/>
  <c r="L184" i="86"/>
  <c r="L183" i="86"/>
  <c r="L182" i="86"/>
  <c r="L181" i="86"/>
  <c r="L180" i="86"/>
  <c r="L179" i="86"/>
  <c r="L178" i="86"/>
  <c r="L177" i="86"/>
  <c r="L176" i="86"/>
  <c r="L175" i="86"/>
  <c r="L174" i="86"/>
  <c r="L173" i="86"/>
  <c r="L172" i="86"/>
  <c r="L171" i="86"/>
  <c r="L170" i="86"/>
  <c r="L169" i="86"/>
  <c r="L168" i="86"/>
  <c r="L167" i="86"/>
  <c r="L166" i="86"/>
  <c r="L165" i="86"/>
  <c r="L164" i="86"/>
  <c r="L163" i="86"/>
  <c r="L162" i="86"/>
  <c r="L161" i="86"/>
  <c r="L160" i="86"/>
  <c r="L159" i="86"/>
  <c r="L158" i="86"/>
  <c r="L157" i="86"/>
  <c r="L156" i="86"/>
  <c r="L155" i="86"/>
  <c r="L154" i="86"/>
  <c r="L153" i="86"/>
  <c r="L152" i="86"/>
  <c r="L151" i="86"/>
  <c r="L150" i="86"/>
  <c r="L149" i="86"/>
  <c r="L148" i="86"/>
  <c r="L147" i="86"/>
  <c r="L146" i="86"/>
  <c r="K145" i="86"/>
  <c r="L145" i="86" s="1"/>
  <c r="L144" i="86"/>
  <c r="L143" i="86"/>
  <c r="L142" i="86"/>
  <c r="L141" i="86"/>
  <c r="L140" i="86"/>
  <c r="L139" i="86"/>
  <c r="L138" i="86"/>
  <c r="L137" i="86"/>
  <c r="L136" i="86"/>
  <c r="K135" i="86"/>
  <c r="L135" i="86" s="1"/>
  <c r="L134" i="86"/>
  <c r="L133" i="86"/>
  <c r="L132" i="86"/>
  <c r="L131" i="86"/>
  <c r="L130" i="86"/>
  <c r="L129" i="86"/>
  <c r="L128" i="86"/>
  <c r="L127" i="86"/>
  <c r="L126" i="86"/>
  <c r="L125" i="86"/>
  <c r="L124" i="86"/>
  <c r="K123" i="86"/>
  <c r="L123" i="86" s="1"/>
  <c r="L122" i="86"/>
  <c r="L121" i="86"/>
  <c r="L120" i="86"/>
  <c r="L119" i="86"/>
  <c r="L118" i="86"/>
  <c r="L117" i="86"/>
  <c r="L116" i="86"/>
  <c r="L114" i="86"/>
  <c r="L113" i="86"/>
  <c r="L112" i="86"/>
  <c r="L111" i="86"/>
  <c r="L110" i="86"/>
  <c r="L109" i="86"/>
  <c r="L108" i="86"/>
  <c r="L107" i="86"/>
  <c r="L106" i="86"/>
  <c r="L105" i="86"/>
  <c r="L104" i="86"/>
  <c r="L103" i="86"/>
  <c r="L102" i="86"/>
  <c r="L101" i="86"/>
  <c r="L100" i="86"/>
  <c r="L99" i="86"/>
  <c r="L98" i="86"/>
  <c r="L97" i="86"/>
  <c r="L96" i="86"/>
  <c r="L95" i="86"/>
  <c r="L94" i="86"/>
  <c r="L93" i="86"/>
  <c r="L92" i="86"/>
  <c r="L91" i="86"/>
  <c r="L90" i="86"/>
  <c r="L89" i="86"/>
  <c r="L88" i="86"/>
  <c r="L87" i="86"/>
  <c r="L86" i="86"/>
  <c r="L85" i="86"/>
  <c r="L84" i="86"/>
  <c r="L83" i="86"/>
  <c r="L82" i="86"/>
  <c r="L81" i="86"/>
  <c r="L80" i="86"/>
  <c r="L79" i="86"/>
  <c r="L78" i="86"/>
  <c r="L77" i="86"/>
  <c r="L76" i="86"/>
  <c r="L75" i="86"/>
  <c r="L74" i="86"/>
  <c r="L73" i="86"/>
  <c r="L72" i="86"/>
  <c r="L71" i="86"/>
  <c r="K70" i="86"/>
  <c r="L70" i="86" s="1"/>
  <c r="L69" i="86"/>
  <c r="K68" i="86"/>
  <c r="BD68" i="86" s="1"/>
  <c r="L67" i="86"/>
  <c r="K66" i="86"/>
  <c r="L65" i="86"/>
  <c r="L64" i="86"/>
  <c r="L63" i="86"/>
  <c r="L62" i="86"/>
  <c r="L61" i="86"/>
  <c r="L60" i="86"/>
  <c r="L59" i="86"/>
  <c r="L58" i="86"/>
  <c r="L57" i="86"/>
  <c r="L56" i="86"/>
  <c r="L55" i="86"/>
  <c r="L54" i="86"/>
  <c r="L53" i="86"/>
  <c r="L52" i="86"/>
  <c r="L51" i="86"/>
  <c r="L50" i="86"/>
  <c r="L49" i="86"/>
  <c r="L48" i="86"/>
  <c r="L47" i="86"/>
  <c r="L46" i="86"/>
  <c r="L45" i="86"/>
  <c r="L44" i="86"/>
  <c r="L43" i="86"/>
  <c r="L42" i="86"/>
  <c r="L41" i="86"/>
  <c r="L40" i="86"/>
  <c r="L39" i="86"/>
  <c r="L38" i="86"/>
  <c r="L37" i="86"/>
  <c r="L36" i="86"/>
  <c r="L35" i="86"/>
  <c r="L34" i="86"/>
  <c r="L33" i="86"/>
  <c r="L32" i="86"/>
  <c r="L31" i="86"/>
  <c r="L30" i="86"/>
  <c r="L29" i="86"/>
  <c r="L28" i="86"/>
  <c r="L27" i="86"/>
  <c r="L26" i="86"/>
  <c r="L25" i="86"/>
  <c r="L24" i="86"/>
  <c r="L23" i="86"/>
  <c r="L22" i="86"/>
  <c r="L21" i="86"/>
  <c r="L20" i="86"/>
  <c r="L19" i="86"/>
  <c r="L18" i="86"/>
  <c r="L17" i="86"/>
  <c r="L16" i="86"/>
  <c r="L15" i="86"/>
  <c r="L14" i="86"/>
  <c r="L13" i="86"/>
  <c r="K12" i="86"/>
  <c r="L11" i="86"/>
  <c r="L10" i="86"/>
  <c r="L9" i="86"/>
  <c r="L8" i="86"/>
  <c r="L7" i="86"/>
  <c r="L6" i="86"/>
  <c r="L5" i="86"/>
  <c r="L4" i="86"/>
  <c r="L3" i="86"/>
  <c r="L2" i="86"/>
  <c r="B9" i="90"/>
  <c r="AN9" i="90" s="1"/>
  <c r="BH828" i="86"/>
  <c r="BN828" i="86" s="1"/>
  <c r="BO828" i="86" s="1"/>
  <c r="BN834" i="86"/>
  <c r="AM15" i="90"/>
  <c r="AM14" i="90"/>
  <c r="AZ955" i="86"/>
  <c r="BF955" i="86" s="1"/>
  <c r="AM13" i="90"/>
  <c r="AZ462" i="86"/>
  <c r="BF462" i="86" s="1"/>
  <c r="AM12" i="90"/>
  <c r="AM11" i="90"/>
  <c r="AZ945" i="86"/>
  <c r="BO3" i="86"/>
  <c r="BO4" i="86"/>
  <c r="BO5" i="86"/>
  <c r="BO6" i="86"/>
  <c r="BO7" i="86"/>
  <c r="BO8" i="86"/>
  <c r="BO9" i="86"/>
  <c r="BO10" i="86"/>
  <c r="BO11" i="86"/>
  <c r="BO13" i="86"/>
  <c r="BO14" i="86"/>
  <c r="BO15" i="86"/>
  <c r="BO16" i="86"/>
  <c r="BO17" i="86"/>
  <c r="BO18" i="86"/>
  <c r="BO19" i="86"/>
  <c r="BO20" i="86"/>
  <c r="BO21" i="86"/>
  <c r="BO22" i="86"/>
  <c r="BO23" i="86"/>
  <c r="BO24" i="86"/>
  <c r="BO25" i="86"/>
  <c r="BO26" i="86"/>
  <c r="BO27" i="86"/>
  <c r="BO28" i="86"/>
  <c r="BO29" i="86"/>
  <c r="BO30" i="86"/>
  <c r="BO31" i="86"/>
  <c r="BO32" i="86"/>
  <c r="BO33" i="86"/>
  <c r="BO34" i="86"/>
  <c r="BO35" i="86"/>
  <c r="BO36" i="86"/>
  <c r="BO37" i="86"/>
  <c r="BO38" i="86"/>
  <c r="BO39" i="86"/>
  <c r="BO40" i="86"/>
  <c r="BO41" i="86"/>
  <c r="BO42" i="86"/>
  <c r="BO43" i="86"/>
  <c r="BO44" i="86"/>
  <c r="BO45" i="86"/>
  <c r="BO46" i="86"/>
  <c r="BO47" i="86"/>
  <c r="BO48" i="86"/>
  <c r="BO49" i="86"/>
  <c r="BO50" i="86"/>
  <c r="BO51" i="86"/>
  <c r="BO53" i="86"/>
  <c r="BO54" i="86"/>
  <c r="BO55" i="86"/>
  <c r="BO56" i="86"/>
  <c r="BO57" i="86"/>
  <c r="BO60" i="86"/>
  <c r="BO61" i="86"/>
  <c r="BO63" i="86"/>
  <c r="BO64" i="86"/>
  <c r="BO65" i="86"/>
  <c r="BO67" i="86"/>
  <c r="BO69" i="86"/>
  <c r="BO71" i="86"/>
  <c r="BO72" i="86"/>
  <c r="BO73" i="86"/>
  <c r="BO74" i="86"/>
  <c r="BO75" i="86"/>
  <c r="BO78" i="86"/>
  <c r="BO79" i="86"/>
  <c r="BO80" i="86"/>
  <c r="BO81" i="86"/>
  <c r="BO82" i="86"/>
  <c r="BO85" i="86"/>
  <c r="BO86" i="86"/>
  <c r="BO87" i="86"/>
  <c r="BO88" i="86"/>
  <c r="BO89" i="86"/>
  <c r="BO90" i="86"/>
  <c r="BO91" i="86"/>
  <c r="BO92" i="86"/>
  <c r="BO93" i="86"/>
  <c r="BO94" i="86"/>
  <c r="BO95" i="86"/>
  <c r="BO96" i="86"/>
  <c r="BO97" i="86"/>
  <c r="BO98" i="86"/>
  <c r="BO99" i="86"/>
  <c r="BO100" i="86"/>
  <c r="BO101" i="86"/>
  <c r="BO102" i="86"/>
  <c r="BO103" i="86"/>
  <c r="BO104" i="86"/>
  <c r="BO105" i="86"/>
  <c r="BO106" i="86"/>
  <c r="BO107" i="86"/>
  <c r="BO108" i="86"/>
  <c r="BO109" i="86"/>
  <c r="BO110" i="86"/>
  <c r="BO116" i="86"/>
  <c r="BO117" i="86"/>
  <c r="BO118" i="86"/>
  <c r="BO119" i="86"/>
  <c r="BO120" i="86"/>
  <c r="BO121" i="86"/>
  <c r="BO122" i="86"/>
  <c r="BO124" i="86"/>
  <c r="BO129" i="86"/>
  <c r="BO130" i="86"/>
  <c r="BO131" i="86"/>
  <c r="BO132" i="86"/>
  <c r="BO133" i="86"/>
  <c r="BO134" i="86"/>
  <c r="BO136" i="86"/>
  <c r="BO137" i="86"/>
  <c r="BO138" i="86"/>
  <c r="BO139" i="86"/>
  <c r="BO141" i="86"/>
  <c r="BO142" i="86"/>
  <c r="BO143" i="86"/>
  <c r="BO144" i="86"/>
  <c r="BO146" i="86"/>
  <c r="BO147" i="86"/>
  <c r="BO148" i="86"/>
  <c r="BO149" i="86"/>
  <c r="BO150" i="86"/>
  <c r="BO151" i="86"/>
  <c r="BO152" i="86"/>
  <c r="BO153" i="86"/>
  <c r="BO157" i="86"/>
  <c r="BO158" i="86"/>
  <c r="BO159" i="86"/>
  <c r="BO160" i="86"/>
  <c r="BO161" i="86"/>
  <c r="BO162" i="86"/>
  <c r="BO163" i="86"/>
  <c r="BO164" i="86"/>
  <c r="BO165" i="86"/>
  <c r="BO166" i="86"/>
  <c r="BO167" i="86"/>
  <c r="BO168" i="86"/>
  <c r="BO169" i="86"/>
  <c r="BO170" i="86"/>
  <c r="BO171" i="86"/>
  <c r="BO172" i="86"/>
  <c r="BO173" i="86"/>
  <c r="BO174" i="86"/>
  <c r="BO175" i="86"/>
  <c r="BO176" i="86"/>
  <c r="BO177" i="86"/>
  <c r="BO180" i="86"/>
  <c r="BO181" i="86"/>
  <c r="BO182" i="86"/>
  <c r="BO183" i="86"/>
  <c r="BO188" i="86"/>
  <c r="BO189" i="86"/>
  <c r="BO190" i="86"/>
  <c r="BO191" i="86"/>
  <c r="BO192" i="86"/>
  <c r="BO193" i="86"/>
  <c r="BO194" i="86"/>
  <c r="BO195" i="86"/>
  <c r="BO196" i="86"/>
  <c r="BO197" i="86"/>
  <c r="BO198" i="86"/>
  <c r="BO199" i="86"/>
  <c r="BO200" i="86"/>
  <c r="BO201" i="86"/>
  <c r="BO202" i="86"/>
  <c r="BO203" i="86"/>
  <c r="BO204" i="86"/>
  <c r="BO206" i="86"/>
  <c r="BO207" i="86"/>
  <c r="BO208" i="86"/>
  <c r="BO209" i="86"/>
  <c r="BO210" i="86"/>
  <c r="BO212" i="86"/>
  <c r="BO213" i="86"/>
  <c r="BO214" i="86"/>
  <c r="BO215" i="86"/>
  <c r="BO216" i="86"/>
  <c r="BO217" i="86"/>
  <c r="BO218" i="86"/>
  <c r="BO219" i="86"/>
  <c r="BO220" i="86"/>
  <c r="BO225" i="86"/>
  <c r="BO226" i="86"/>
  <c r="BO227" i="86"/>
  <c r="BO228" i="86"/>
  <c r="BO229" i="86"/>
  <c r="BO230" i="86"/>
  <c r="BO231" i="86"/>
  <c r="BO233" i="86"/>
  <c r="BO234" i="86"/>
  <c r="BO236" i="86"/>
  <c r="BO237" i="86"/>
  <c r="BO238" i="86"/>
  <c r="BO239" i="86"/>
  <c r="BO240" i="86"/>
  <c r="BO242" i="86"/>
  <c r="BO245" i="86"/>
  <c r="BO246" i="86"/>
  <c r="BO247" i="86"/>
  <c r="BO248" i="86"/>
  <c r="BO249" i="86"/>
  <c r="BO250" i="86"/>
  <c r="BO251" i="86"/>
  <c r="BO252" i="86"/>
  <c r="BO253" i="86"/>
  <c r="BO254" i="86"/>
  <c r="BO257" i="86"/>
  <c r="BO258" i="86"/>
  <c r="BO259" i="86"/>
  <c r="BO260" i="86"/>
  <c r="BO261" i="86"/>
  <c r="BO262" i="86"/>
  <c r="BO263" i="86"/>
  <c r="BO264" i="86"/>
  <c r="BO265" i="86"/>
  <c r="BO266" i="86"/>
  <c r="BO267" i="86"/>
  <c r="BO268" i="86"/>
  <c r="BO269" i="86"/>
  <c r="BO270" i="86"/>
  <c r="BO271" i="86"/>
  <c r="BO272" i="86"/>
  <c r="BO273" i="86"/>
  <c r="BO274" i="86"/>
  <c r="BO275" i="86"/>
  <c r="BO276" i="86"/>
  <c r="BO277" i="86"/>
  <c r="BO278" i="86"/>
  <c r="BO279" i="86"/>
  <c r="BO280" i="86"/>
  <c r="BO281" i="86"/>
  <c r="BO282" i="86"/>
  <c r="BO283" i="86"/>
  <c r="BO284" i="86"/>
  <c r="BO285" i="86"/>
  <c r="BO286" i="86"/>
  <c r="BO287" i="86"/>
  <c r="BO288" i="86"/>
  <c r="BO289" i="86"/>
  <c r="BO290" i="86"/>
  <c r="BO291" i="86"/>
  <c r="BO292" i="86"/>
  <c r="BO294" i="86"/>
  <c r="BO295" i="86"/>
  <c r="BO296" i="86"/>
  <c r="BO297" i="86"/>
  <c r="BO298" i="86"/>
  <c r="BO299" i="86"/>
  <c r="BO300" i="86"/>
  <c r="BO301" i="86"/>
  <c r="BO302" i="86"/>
  <c r="BO303" i="86"/>
  <c r="BO304" i="86"/>
  <c r="BO305" i="86"/>
  <c r="BO306" i="86"/>
  <c r="BO307" i="86"/>
  <c r="BO308" i="86"/>
  <c r="BO309" i="86"/>
  <c r="BO310" i="86"/>
  <c r="BO312" i="86"/>
  <c r="BO313" i="86"/>
  <c r="BO314" i="86"/>
  <c r="BO315" i="86"/>
  <c r="BO320" i="86"/>
  <c r="BO321" i="86"/>
  <c r="BO323" i="86"/>
  <c r="BO324" i="86"/>
  <c r="BO325" i="86"/>
  <c r="BO326" i="86"/>
  <c r="BO327" i="86"/>
  <c r="BO328" i="86"/>
  <c r="BO329" i="86"/>
  <c r="BO330" i="86"/>
  <c r="BO331" i="86"/>
  <c r="BO332" i="86"/>
  <c r="BO333" i="86"/>
  <c r="BO334" i="86"/>
  <c r="BO335" i="86"/>
  <c r="BO336" i="86"/>
  <c r="BO337" i="86"/>
  <c r="BO339" i="86"/>
  <c r="BO340" i="86"/>
  <c r="BO341" i="86"/>
  <c r="BO342" i="86"/>
  <c r="BO343" i="86"/>
  <c r="BO344" i="86"/>
  <c r="BO345" i="86"/>
  <c r="BO346" i="86"/>
  <c r="BO348" i="86"/>
  <c r="BO349" i="86"/>
  <c r="BO350" i="86"/>
  <c r="BO351" i="86"/>
  <c r="BO352" i="86"/>
  <c r="BO353" i="86"/>
  <c r="BO354" i="86"/>
  <c r="BO355" i="86"/>
  <c r="BO356" i="86"/>
  <c r="BO357" i="86"/>
  <c r="BO358" i="86"/>
  <c r="BO359" i="86"/>
  <c r="BO360" i="86"/>
  <c r="BO361" i="86"/>
  <c r="BO362" i="86"/>
  <c r="BO363" i="86"/>
  <c r="BO364" i="86"/>
  <c r="BO365" i="86"/>
  <c r="BO366" i="86"/>
  <c r="BO367" i="86"/>
  <c r="BO368" i="86"/>
  <c r="BO369" i="86"/>
  <c r="BO370" i="86"/>
  <c r="BO375" i="86"/>
  <c r="BO376" i="86"/>
  <c r="BO377" i="86"/>
  <c r="BO378" i="86"/>
  <c r="BO379" i="86"/>
  <c r="BO380" i="86"/>
  <c r="BO381" i="86"/>
  <c r="BO382" i="86"/>
  <c r="BO383" i="86"/>
  <c r="BO384" i="86"/>
  <c r="BO386" i="86"/>
  <c r="BO387" i="86"/>
  <c r="BO388" i="86"/>
  <c r="BO391" i="86"/>
  <c r="BO392" i="86"/>
  <c r="BO393" i="86"/>
  <c r="BO394" i="86"/>
  <c r="BO395" i="86"/>
  <c r="BO396" i="86"/>
  <c r="BO397" i="86"/>
  <c r="BO400" i="86"/>
  <c r="BO402" i="86"/>
  <c r="BO403" i="86"/>
  <c r="BO404" i="86"/>
  <c r="BO405" i="86"/>
  <c r="BO407" i="86"/>
  <c r="BO408" i="86"/>
  <c r="BO409" i="86"/>
  <c r="BO411" i="86"/>
  <c r="BO412" i="86"/>
  <c r="BO414" i="86"/>
  <c r="BO415" i="86"/>
  <c r="BO416" i="86"/>
  <c r="BO417" i="86"/>
  <c r="BO418" i="86"/>
  <c r="BO419" i="86"/>
  <c r="BO421" i="86"/>
  <c r="BO422" i="86"/>
  <c r="BO424" i="86"/>
  <c r="BO425" i="86"/>
  <c r="BO426" i="86"/>
  <c r="BO427" i="86"/>
  <c r="BO428" i="86"/>
  <c r="BO429" i="86"/>
  <c r="BO430" i="86"/>
  <c r="BO431" i="86"/>
  <c r="BO432" i="86"/>
  <c r="BO433" i="86"/>
  <c r="BO435" i="86"/>
  <c r="BO436" i="86"/>
  <c r="BO437" i="86"/>
  <c r="BO438" i="86"/>
  <c r="BO439" i="86"/>
  <c r="BO440" i="86"/>
  <c r="BO441" i="86"/>
  <c r="BO442" i="86"/>
  <c r="BO443" i="86"/>
  <c r="BO444" i="86"/>
  <c r="BO445" i="86"/>
  <c r="BO446" i="86"/>
  <c r="BO447" i="86"/>
  <c r="BO448" i="86"/>
  <c r="BO449" i="86"/>
  <c r="BO450" i="86"/>
  <c r="BO451" i="86"/>
  <c r="BO455" i="86"/>
  <c r="BO458" i="86"/>
  <c r="BO459" i="86"/>
  <c r="BO460" i="86"/>
  <c r="BO461" i="86"/>
  <c r="BO462" i="86"/>
  <c r="BO463" i="86"/>
  <c r="BO464" i="86"/>
  <c r="BO465" i="86"/>
  <c r="BO467" i="86"/>
  <c r="BO468" i="86"/>
  <c r="BO469" i="86"/>
  <c r="BO470" i="86"/>
  <c r="BO471" i="86"/>
  <c r="BO472" i="86"/>
  <c r="BO473" i="86"/>
  <c r="BO474" i="86"/>
  <c r="BO475" i="86"/>
  <c r="BO476" i="86"/>
  <c r="BO477" i="86"/>
  <c r="BO478" i="86"/>
  <c r="BO479" i="86"/>
  <c r="BO480" i="86"/>
  <c r="BO482" i="86"/>
  <c r="BO483" i="86"/>
  <c r="BO484" i="86"/>
  <c r="BO486" i="86"/>
  <c r="BO487" i="86"/>
  <c r="BO490" i="86"/>
  <c r="BO492" i="86"/>
  <c r="BO493" i="86"/>
  <c r="BO494" i="86"/>
  <c r="BO495" i="86"/>
  <c r="BO497" i="86"/>
  <c r="BO499" i="86"/>
  <c r="BO500" i="86"/>
  <c r="BO501" i="86"/>
  <c r="BO502" i="86"/>
  <c r="BO503" i="86"/>
  <c r="BO504" i="86"/>
  <c r="BO507" i="86"/>
  <c r="BO508" i="86"/>
  <c r="BO509" i="86"/>
  <c r="BO512" i="86"/>
  <c r="BO513" i="86"/>
  <c r="BO514" i="86"/>
  <c r="BO515" i="86"/>
  <c r="BO516" i="86"/>
  <c r="BO517" i="86"/>
  <c r="BO518" i="86"/>
  <c r="BO519" i="86"/>
  <c r="BO520" i="86"/>
  <c r="BO521" i="86"/>
  <c r="BO522" i="86"/>
  <c r="BO523" i="86"/>
  <c r="BO524" i="86"/>
  <c r="BO525" i="86"/>
  <c r="BO526" i="86"/>
  <c r="BO527" i="86"/>
  <c r="BO528" i="86"/>
  <c r="BO536" i="86"/>
  <c r="BO537" i="86"/>
  <c r="BO538" i="86"/>
  <c r="BO539" i="86"/>
  <c r="BO540" i="86"/>
  <c r="BO541" i="86"/>
  <c r="BO542" i="86"/>
  <c r="BO543" i="86"/>
  <c r="BO544" i="86"/>
  <c r="BO545" i="86"/>
  <c r="BO546" i="86"/>
  <c r="BO547" i="86"/>
  <c r="BO548" i="86"/>
  <c r="BO549" i="86"/>
  <c r="BO550" i="86"/>
  <c r="BO551" i="86"/>
  <c r="BO552" i="86"/>
  <c r="BO553" i="86"/>
  <c r="BO554" i="86"/>
  <c r="BO555" i="86"/>
  <c r="BO556" i="86"/>
  <c r="BO557" i="86"/>
  <c r="BO558" i="86"/>
  <c r="BO559" i="86"/>
  <c r="BO560" i="86"/>
  <c r="BO567" i="86"/>
  <c r="BO568" i="86"/>
  <c r="BO569" i="86"/>
  <c r="BO570" i="86"/>
  <c r="BO571" i="86"/>
  <c r="BO572" i="86"/>
  <c r="BO573" i="86"/>
  <c r="BO574" i="86"/>
  <c r="BO575" i="86"/>
  <c r="BO576" i="86"/>
  <c r="BO577" i="86"/>
  <c r="BO578" i="86"/>
  <c r="BO579" i="86"/>
  <c r="BO580" i="86"/>
  <c r="BO581" i="86"/>
  <c r="BO582" i="86"/>
  <c r="BO583" i="86"/>
  <c r="BO584" i="86"/>
  <c r="BO585" i="86"/>
  <c r="BO586" i="86"/>
  <c r="BO587" i="86"/>
  <c r="BO588" i="86"/>
  <c r="BO589" i="86"/>
  <c r="BO590" i="86"/>
  <c r="BO591" i="86"/>
  <c r="BO592" i="86"/>
  <c r="BO593" i="86"/>
  <c r="BO594" i="86"/>
  <c r="BO595" i="86"/>
  <c r="BO596" i="86"/>
  <c r="BO597" i="86"/>
  <c r="BO598" i="86"/>
  <c r="BO599" i="86"/>
  <c r="BO601" i="86"/>
  <c r="BO602" i="86"/>
  <c r="BO603" i="86"/>
  <c r="BO605" i="86"/>
  <c r="BO606" i="86"/>
  <c r="BO607" i="86"/>
  <c r="BO608" i="86"/>
  <c r="BO610" i="86"/>
  <c r="BO611" i="86"/>
  <c r="BO613" i="86"/>
  <c r="BO614" i="86"/>
  <c r="BO615" i="86"/>
  <c r="BO617" i="86"/>
  <c r="BO618" i="86"/>
  <c r="BO628" i="86"/>
  <c r="BO629" i="86"/>
  <c r="BO630" i="86"/>
  <c r="BO631" i="86"/>
  <c r="BO633" i="86"/>
  <c r="BO634" i="86"/>
  <c r="BO635" i="86"/>
  <c r="BO636" i="86"/>
  <c r="BO637" i="86"/>
  <c r="BO638" i="86"/>
  <c r="BO639" i="86"/>
  <c r="BO640" i="86"/>
  <c r="BO641" i="86"/>
  <c r="BO645" i="86"/>
  <c r="BO646" i="86"/>
  <c r="BO647" i="86"/>
  <c r="BO648" i="86"/>
  <c r="BO649" i="86"/>
  <c r="BO650" i="86"/>
  <c r="BO651" i="86"/>
  <c r="BO652" i="86"/>
  <c r="BO653" i="86"/>
  <c r="BO654" i="86"/>
  <c r="BO655" i="86"/>
  <c r="BO656" i="86"/>
  <c r="BO657" i="86"/>
  <c r="BO658" i="86"/>
  <c r="BO659" i="86"/>
  <c r="BO660" i="86"/>
  <c r="BO661" i="86"/>
  <c r="BO662" i="86"/>
  <c r="BO663" i="86"/>
  <c r="BO664" i="86"/>
  <c r="BO665" i="86"/>
  <c r="BO666" i="86"/>
  <c r="BO667" i="86"/>
  <c r="BO669" i="86"/>
  <c r="BO670" i="86"/>
  <c r="BO671" i="86"/>
  <c r="BO672" i="86"/>
  <c r="BO673" i="86"/>
  <c r="BO674" i="86"/>
  <c r="BO677" i="86"/>
  <c r="BO678" i="86"/>
  <c r="BO679" i="86"/>
  <c r="BO680" i="86"/>
  <c r="BO681" i="86"/>
  <c r="BO682" i="86"/>
  <c r="BO683" i="86"/>
  <c r="BO684" i="86"/>
  <c r="BO685" i="86"/>
  <c r="BO686" i="86"/>
  <c r="BO689" i="86"/>
  <c r="BO690" i="86"/>
  <c r="BO691" i="86"/>
  <c r="BO692" i="86"/>
  <c r="BO693" i="86"/>
  <c r="BO695" i="86"/>
  <c r="BO696" i="86"/>
  <c r="BO697" i="86"/>
  <c r="BO698" i="86"/>
  <c r="BO699" i="86"/>
  <c r="BO700" i="86"/>
  <c r="BO701" i="86"/>
  <c r="BO702" i="86"/>
  <c r="BO703" i="86"/>
  <c r="BO704" i="86"/>
  <c r="BO705" i="86"/>
  <c r="BO706" i="86"/>
  <c r="BO707" i="86"/>
  <c r="BO708" i="86"/>
  <c r="BO709" i="86"/>
  <c r="BO710" i="86"/>
  <c r="BO711" i="86"/>
  <c r="BO712" i="86"/>
  <c r="BO713" i="86"/>
  <c r="BO714" i="86"/>
  <c r="BO715" i="86"/>
  <c r="BO716" i="86"/>
  <c r="BO723" i="86"/>
  <c r="BO724" i="86"/>
  <c r="BO725" i="86"/>
  <c r="BO726" i="86"/>
  <c r="BO727" i="86"/>
  <c r="BO728" i="86"/>
  <c r="BO729" i="86"/>
  <c r="BO730" i="86"/>
  <c r="BO731" i="86"/>
  <c r="BO732" i="86"/>
  <c r="BO733" i="86"/>
  <c r="BO734" i="86"/>
  <c r="BO735" i="86"/>
  <c r="BO736" i="86"/>
  <c r="BO737" i="86"/>
  <c r="BO738" i="86"/>
  <c r="BO739" i="86"/>
  <c r="BO740" i="86"/>
  <c r="BO741" i="86"/>
  <c r="BO742" i="86"/>
  <c r="BO743" i="86"/>
  <c r="BO749" i="86"/>
  <c r="BO750" i="86"/>
  <c r="BO751" i="86"/>
  <c r="BO752" i="86"/>
  <c r="BO753" i="86"/>
  <c r="BO754" i="86"/>
  <c r="BO756" i="86"/>
  <c r="BO761" i="86"/>
  <c r="BO764" i="86"/>
  <c r="BO765" i="86"/>
  <c r="BO766" i="86"/>
  <c r="BO767" i="86"/>
  <c r="BO768" i="86"/>
  <c r="BO769" i="86"/>
  <c r="BO770" i="86"/>
  <c r="BO771" i="86"/>
  <c r="BO772" i="86"/>
  <c r="BO773" i="86"/>
  <c r="BO774" i="86"/>
  <c r="BO775" i="86"/>
  <c r="BO776" i="86"/>
  <c r="BO778" i="86"/>
  <c r="BO779" i="86"/>
  <c r="BO780" i="86"/>
  <c r="BO782" i="86"/>
  <c r="BO783" i="86"/>
  <c r="BO784" i="86"/>
  <c r="BO785" i="86"/>
  <c r="BO786" i="86"/>
  <c r="BO789" i="86"/>
  <c r="BO790" i="86"/>
  <c r="BO791" i="86"/>
  <c r="BO792" i="86"/>
  <c r="BO793" i="86"/>
  <c r="BO794" i="86"/>
  <c r="BO795" i="86"/>
  <c r="BO796" i="86"/>
  <c r="BO797" i="86"/>
  <c r="BO798" i="86"/>
  <c r="BO799" i="86"/>
  <c r="BO800" i="86"/>
  <c r="BO801" i="86"/>
  <c r="BO802" i="86"/>
  <c r="BO803" i="86"/>
  <c r="BO804" i="86"/>
  <c r="BO805" i="86"/>
  <c r="BO806" i="86"/>
  <c r="BO807" i="86"/>
  <c r="BO808" i="86"/>
  <c r="BO809" i="86"/>
  <c r="BO810" i="86"/>
  <c r="BO811" i="86"/>
  <c r="BO812" i="86"/>
  <c r="BO813" i="86"/>
  <c r="BO814" i="86"/>
  <c r="BO815" i="86"/>
  <c r="BO817" i="86"/>
  <c r="BO819" i="86"/>
  <c r="BO820" i="86"/>
  <c r="BO821" i="86"/>
  <c r="BO822" i="86"/>
  <c r="BO823" i="86"/>
  <c r="BO825" i="86"/>
  <c r="BO826" i="86"/>
  <c r="BO827" i="86"/>
  <c r="BO831" i="86"/>
  <c r="BO832" i="86"/>
  <c r="BO835" i="86"/>
  <c r="BO836" i="86"/>
  <c r="BO837" i="86"/>
  <c r="BO838" i="86"/>
  <c r="BO839" i="86"/>
  <c r="BO840" i="86"/>
  <c r="BO841" i="86"/>
  <c r="BO842" i="86"/>
  <c r="BO843" i="86"/>
  <c r="BO844" i="86"/>
  <c r="BO848" i="86"/>
  <c r="BO849" i="86"/>
  <c r="BO850" i="86"/>
  <c r="BO851" i="86"/>
  <c r="BO852" i="86"/>
  <c r="BO853" i="86"/>
  <c r="BO854" i="86"/>
  <c r="BO856" i="86"/>
  <c r="BO857" i="86"/>
  <c r="BO858" i="86"/>
  <c r="BO859" i="86"/>
  <c r="BO860" i="86"/>
  <c r="BO861" i="86"/>
  <c r="BO862" i="86"/>
  <c r="BO863" i="86"/>
  <c r="BO864" i="86"/>
  <c r="BO865" i="86"/>
  <c r="BO866" i="86"/>
  <c r="BO867" i="86"/>
  <c r="BO868" i="86"/>
  <c r="BO869" i="86"/>
  <c r="BO870" i="86"/>
  <c r="BO871" i="86"/>
  <c r="BO872" i="86"/>
  <c r="BO873" i="86"/>
  <c r="BO874" i="86"/>
  <c r="BO875" i="86"/>
  <c r="BO876" i="86"/>
  <c r="BO877" i="86"/>
  <c r="BO878" i="86"/>
  <c r="BO879" i="86"/>
  <c r="BO880" i="86"/>
  <c r="BO881" i="86"/>
  <c r="BO882" i="86"/>
  <c r="BO883" i="86"/>
  <c r="BO884" i="86"/>
  <c r="BO887" i="86"/>
  <c r="BO888" i="86"/>
  <c r="BO890" i="86"/>
  <c r="BO891" i="86"/>
  <c r="BO892" i="86"/>
  <c r="BO893" i="86"/>
  <c r="BO894" i="86"/>
  <c r="BO895" i="86"/>
  <c r="BO896" i="86"/>
  <c r="BO898" i="86"/>
  <c r="BO899" i="86"/>
  <c r="BO901" i="86"/>
  <c r="BO903" i="86"/>
  <c r="BO904" i="86"/>
  <c r="BO906" i="86"/>
  <c r="BO907" i="86"/>
  <c r="BO908" i="86"/>
  <c r="BO909" i="86"/>
  <c r="BO910" i="86"/>
  <c r="BO911" i="86"/>
  <c r="BO912" i="86"/>
  <c r="BO913" i="86"/>
  <c r="BO914" i="86"/>
  <c r="BO922" i="86"/>
  <c r="BO923" i="86"/>
  <c r="BO924" i="86"/>
  <c r="BO925" i="86"/>
  <c r="BO926" i="86"/>
  <c r="BO928" i="86"/>
  <c r="BO929" i="86"/>
  <c r="BO930" i="86"/>
  <c r="BO931" i="86"/>
  <c r="BO932" i="86"/>
  <c r="BO934" i="86"/>
  <c r="BO935" i="86"/>
  <c r="BO936" i="86"/>
  <c r="BO938" i="86"/>
  <c r="BO939" i="86"/>
  <c r="BO940" i="86"/>
  <c r="BO942" i="86"/>
  <c r="BO943" i="86"/>
  <c r="BO944" i="86"/>
  <c r="BO2" i="86"/>
  <c r="BN933" i="86"/>
  <c r="BO933" i="86" s="1"/>
  <c r="BN921" i="86"/>
  <c r="BO921" i="86" s="1"/>
  <c r="BN920" i="86"/>
  <c r="BO920" i="86" s="1"/>
  <c r="BN919" i="86"/>
  <c r="BO919" i="86" s="1"/>
  <c r="BN918" i="86"/>
  <c r="BN917" i="86"/>
  <c r="BO917" i="86" s="1"/>
  <c r="BN916" i="86"/>
  <c r="BN905" i="86"/>
  <c r="BN902" i="86"/>
  <c r="BN900" i="86"/>
  <c r="BO900" i="86" s="1"/>
  <c r="BN897" i="86"/>
  <c r="BO897" i="86" s="1"/>
  <c r="BN886" i="86"/>
  <c r="BO886" i="86" s="1"/>
  <c r="BN885" i="86"/>
  <c r="BO885" i="86" s="1"/>
  <c r="BN847" i="86"/>
  <c r="BO847" i="86" s="1"/>
  <c r="BN846" i="86"/>
  <c r="BN830" i="86"/>
  <c r="BN824" i="86"/>
  <c r="BO824" i="86" s="1"/>
  <c r="BN788" i="86"/>
  <c r="BO788" i="86" s="1"/>
  <c r="BN787" i="86"/>
  <c r="BO787" i="86" s="1"/>
  <c r="BN777" i="86"/>
  <c r="BO777" i="86" s="1"/>
  <c r="BN763" i="86"/>
  <c r="BO763" i="86" s="1"/>
  <c r="BN760" i="86"/>
  <c r="BO760" i="86" s="1"/>
  <c r="BN759" i="86"/>
  <c r="BN758" i="86"/>
  <c r="BO758" i="86" s="1"/>
  <c r="BN757" i="86"/>
  <c r="BO757" i="86" s="1"/>
  <c r="BN748" i="86"/>
  <c r="BO748" i="86" s="1"/>
  <c r="BN721" i="86"/>
  <c r="BO721" i="86" s="1"/>
  <c r="BN717" i="86"/>
  <c r="BN694" i="86"/>
  <c r="BO694" i="86" s="1"/>
  <c r="BN688" i="86"/>
  <c r="BO688" i="86" s="1"/>
  <c r="BN687" i="86"/>
  <c r="BN668" i="86"/>
  <c r="BN643" i="86"/>
  <c r="BO643" i="86" s="1"/>
  <c r="BN642" i="86"/>
  <c r="BO642" i="86" s="1"/>
  <c r="BN632" i="86"/>
  <c r="BO632" i="86" s="1"/>
  <c r="BN619" i="86"/>
  <c r="BO619" i="86" s="1"/>
  <c r="BN616" i="86"/>
  <c r="BN604" i="86"/>
  <c r="BO604" i="86" s="1"/>
  <c r="BN600" i="86"/>
  <c r="BO600" i="86" s="1"/>
  <c r="BN566" i="86"/>
  <c r="BO566" i="86" s="1"/>
  <c r="BN564" i="86"/>
  <c r="BN563" i="86"/>
  <c r="BO563" i="86" s="1"/>
  <c r="BN562" i="86"/>
  <c r="BO562" i="86" s="1"/>
  <c r="BN535" i="86"/>
  <c r="BO535" i="86" s="1"/>
  <c r="BN534" i="86"/>
  <c r="BO534" i="86" s="1"/>
  <c r="BN533" i="86"/>
  <c r="BO533" i="86" s="1"/>
  <c r="BN532" i="86"/>
  <c r="BO532" i="86" s="1"/>
  <c r="BN511" i="86"/>
  <c r="BO511" i="86" s="1"/>
  <c r="BN510" i="86"/>
  <c r="BO510" i="86" s="1"/>
  <c r="BN457" i="86"/>
  <c r="BN453" i="86"/>
  <c r="BO453" i="86" s="1"/>
  <c r="BN452" i="86"/>
  <c r="BN420" i="86"/>
  <c r="BN401" i="86"/>
  <c r="BO401" i="86" s="1"/>
  <c r="BN390" i="86"/>
  <c r="BN389" i="86"/>
  <c r="BO389" i="86" s="1"/>
  <c r="BN374" i="86"/>
  <c r="BO374" i="86" s="1"/>
  <c r="BN373" i="86"/>
  <c r="BN372" i="86"/>
  <c r="BO372" i="86" s="1"/>
  <c r="BN371" i="86"/>
  <c r="BO371" i="86" s="1"/>
  <c r="BN347" i="86"/>
  <c r="BO347" i="86" s="1"/>
  <c r="BN338" i="86"/>
  <c r="BN319" i="86"/>
  <c r="BO319" i="86" s="1"/>
  <c r="BN318" i="86"/>
  <c r="BN317" i="86"/>
  <c r="BO317" i="86" s="1"/>
  <c r="BN311" i="86"/>
  <c r="BO311" i="86" s="1"/>
  <c r="BN256" i="86"/>
  <c r="BO256" i="86" s="1"/>
  <c r="BN255" i="86"/>
  <c r="BO255" i="86" s="1"/>
  <c r="BN244" i="86"/>
  <c r="BO244" i="86" s="1"/>
  <c r="BN235" i="86"/>
  <c r="BO235" i="86" s="1"/>
  <c r="BN224" i="86"/>
  <c r="BO224" i="86" s="1"/>
  <c r="BN222" i="86"/>
  <c r="BO222" i="86" s="1"/>
  <c r="BN221" i="86"/>
  <c r="BO221" i="86" s="1"/>
  <c r="BN211" i="86"/>
  <c r="BO211" i="86" s="1"/>
  <c r="BN205" i="86"/>
  <c r="BO205" i="86" s="1"/>
  <c r="BN179" i="86"/>
  <c r="BO179" i="86" s="1"/>
  <c r="BN178" i="86"/>
  <c r="BN155" i="86"/>
  <c r="BN128" i="86"/>
  <c r="BO128" i="86" s="1"/>
  <c r="BN127" i="86"/>
  <c r="BO127" i="86" s="1"/>
  <c r="BN126" i="86"/>
  <c r="BO126" i="86" s="1"/>
  <c r="BN115" i="86"/>
  <c r="BN114" i="86"/>
  <c r="BO114" i="86" s="1"/>
  <c r="BN113" i="86"/>
  <c r="BO113" i="86" s="1"/>
  <c r="BN112" i="86"/>
  <c r="BO112" i="86" s="1"/>
  <c r="BN111" i="86"/>
  <c r="BO111" i="86" s="1"/>
  <c r="BN84" i="86"/>
  <c r="BO84" i="86" s="1"/>
  <c r="BN83" i="86"/>
  <c r="BO83" i="86" s="1"/>
  <c r="BN77" i="86"/>
  <c r="BO77" i="86" s="1"/>
  <c r="BN76" i="86"/>
  <c r="BO76" i="86" s="1"/>
  <c r="BN62" i="86"/>
  <c r="BO62" i="86" s="1"/>
  <c r="BN59" i="86"/>
  <c r="BN58" i="86"/>
  <c r="BO58" i="86" s="1"/>
  <c r="BN52" i="86"/>
  <c r="BO52" i="86" s="1"/>
  <c r="BD819" i="86"/>
  <c r="BD817" i="86"/>
  <c r="BI819" i="86"/>
  <c r="BH819" i="86"/>
  <c r="BI817" i="86"/>
  <c r="BH817" i="86"/>
  <c r="BI760" i="86"/>
  <c r="BH760" i="86"/>
  <c r="BD760" i="86"/>
  <c r="BI564" i="86"/>
  <c r="BH564" i="86"/>
  <c r="BD564" i="86"/>
  <c r="BI445" i="86"/>
  <c r="BH445" i="86"/>
  <c r="BD445" i="86"/>
  <c r="BI444" i="86"/>
  <c r="BH444" i="86"/>
  <c r="BD444" i="86"/>
  <c r="BI441" i="86"/>
  <c r="BH441" i="86"/>
  <c r="BD441" i="86"/>
  <c r="BI440" i="86"/>
  <c r="BH440" i="86"/>
  <c r="BD440" i="86"/>
  <c r="BI431" i="86"/>
  <c r="BH431" i="86"/>
  <c r="BD431" i="86"/>
  <c r="BD426" i="86"/>
  <c r="BD427" i="86"/>
  <c r="BI427" i="86"/>
  <c r="BH427" i="86"/>
  <c r="BD175" i="86"/>
  <c r="BD176" i="86"/>
  <c r="BD174" i="86"/>
  <c r="BI176" i="86"/>
  <c r="BH176" i="86"/>
  <c r="BD173" i="86"/>
  <c r="BI174" i="86"/>
  <c r="BH174" i="86"/>
  <c r="BI71" i="86"/>
  <c r="BH71" i="86"/>
  <c r="BD71" i="86"/>
  <c r="BI69" i="86"/>
  <c r="BH69" i="86"/>
  <c r="BD69" i="86"/>
  <c r="BI67" i="86"/>
  <c r="BH67" i="86"/>
  <c r="BD67" i="86"/>
  <c r="BH504" i="86"/>
  <c r="BH503" i="86"/>
  <c r="AX492" i="86"/>
  <c r="BI492" i="86" s="1"/>
  <c r="AX484" i="86"/>
  <c r="BD484" i="86" s="1"/>
  <c r="AX476" i="86"/>
  <c r="BI476" i="86" s="1"/>
  <c r="AZ952" i="86"/>
  <c r="BF952" i="86" s="1"/>
  <c r="AZ957" i="86"/>
  <c r="AZ951" i="86"/>
  <c r="BF951" i="86" s="1"/>
  <c r="AZ949" i="86"/>
  <c r="BF949" i="86" s="1"/>
  <c r="AZ948" i="86"/>
  <c r="BF948" i="86" s="1"/>
  <c r="AZ947" i="86"/>
  <c r="AZ946" i="86"/>
  <c r="BF946" i="86" s="1"/>
  <c r="AZ854" i="86"/>
  <c r="BT854" i="86" s="1"/>
  <c r="AZ722" i="86"/>
  <c r="BN722" i="86" s="1"/>
  <c r="AZ628" i="86"/>
  <c r="AZ531" i="86"/>
  <c r="AZ518" i="86"/>
  <c r="BT518" i="86" s="1"/>
  <c r="AZ517" i="86"/>
  <c r="AZ516" i="86"/>
  <c r="AZ513" i="86"/>
  <c r="BF513" i="86" s="1"/>
  <c r="AZ495" i="86"/>
  <c r="BF495" i="86" s="1"/>
  <c r="AZ479" i="86"/>
  <c r="BF479" i="86" s="1"/>
  <c r="AZ471" i="86"/>
  <c r="AZ464" i="86"/>
  <c r="BF464" i="86" s="1"/>
  <c r="AZ454" i="86"/>
  <c r="AZ414" i="86"/>
  <c r="AZ411" i="86"/>
  <c r="AZ408" i="86"/>
  <c r="BT408" i="86" s="1"/>
  <c r="CI408" i="86" s="1"/>
  <c r="AZ404" i="86"/>
  <c r="AZ403" i="86"/>
  <c r="AZ292" i="86"/>
  <c r="AZ291" i="86"/>
  <c r="BT291" i="86" s="1"/>
  <c r="AZ290" i="86"/>
  <c r="AZ289" i="86"/>
  <c r="BT289" i="86" s="1"/>
  <c r="CI289" i="86" s="1"/>
  <c r="AZ288" i="86"/>
  <c r="BF288" i="86" s="1"/>
  <c r="AZ286" i="86"/>
  <c r="BF286" i="86" s="1"/>
  <c r="AZ285" i="86"/>
  <c r="BT285" i="86" s="1"/>
  <c r="AZ283" i="86"/>
  <c r="AZ282" i="86"/>
  <c r="BT282" i="86" s="1"/>
  <c r="CI282" i="86" s="1"/>
  <c r="AZ280" i="86"/>
  <c r="BT280" i="86" s="1"/>
  <c r="AZ279" i="86"/>
  <c r="AZ277" i="86"/>
  <c r="AZ276" i="86"/>
  <c r="AZ274" i="86"/>
  <c r="BF274" i="86" s="1"/>
  <c r="AZ273" i="86"/>
  <c r="AZ272" i="86"/>
  <c r="AZ270" i="86"/>
  <c r="BF270" i="86" s="1"/>
  <c r="AZ269" i="86"/>
  <c r="BT269" i="86" s="1"/>
  <c r="CI269" i="86" s="1"/>
  <c r="AZ268" i="86"/>
  <c r="BT268" i="86" s="1"/>
  <c r="CI268" i="86" s="1"/>
  <c r="AZ267" i="86"/>
  <c r="BF267" i="86" s="1"/>
  <c r="AZ266" i="86"/>
  <c r="BT266" i="86" s="1"/>
  <c r="CI266" i="86" s="1"/>
  <c r="AZ264" i="86"/>
  <c r="BF264" i="86" s="1"/>
  <c r="AZ263" i="86"/>
  <c r="AZ262" i="86"/>
  <c r="BF262" i="86" s="1"/>
  <c r="AZ260" i="86"/>
  <c r="BF260" i="86" s="1"/>
  <c r="AZ259" i="86"/>
  <c r="AZ258" i="86"/>
  <c r="BD409" i="86"/>
  <c r="BH68" i="86"/>
  <c r="BD179" i="86"/>
  <c r="AC28" i="89"/>
  <c r="AC27" i="89"/>
  <c r="AC26" i="89"/>
  <c r="AC25" i="89"/>
  <c r="AC24" i="89"/>
  <c r="AB23" i="89"/>
  <c r="AB22" i="89"/>
  <c r="AB21" i="89"/>
  <c r="AB20" i="89"/>
  <c r="Y19" i="89"/>
  <c r="AB19" i="89" s="1"/>
  <c r="AB18" i="89"/>
  <c r="AB17" i="89"/>
  <c r="AB16" i="89"/>
  <c r="AB15" i="89"/>
  <c r="AB14" i="89"/>
  <c r="AB13" i="89"/>
  <c r="AB12" i="89"/>
  <c r="AB11" i="89"/>
  <c r="Y10" i="89"/>
  <c r="AB10" i="89" s="1"/>
  <c r="AB9" i="89"/>
  <c r="C9" i="89"/>
  <c r="AB8" i="89"/>
  <c r="AB7" i="89"/>
  <c r="Y6" i="89"/>
  <c r="AB6" i="89" s="1"/>
  <c r="AB5" i="89"/>
  <c r="AB4" i="89"/>
  <c r="AB3" i="89"/>
  <c r="D2" i="89"/>
  <c r="AB2" i="89" s="1"/>
  <c r="BD512" i="86"/>
  <c r="BH512" i="86"/>
  <c r="BI512" i="86"/>
  <c r="AM10" i="90"/>
  <c r="AN2" i="90"/>
  <c r="AM4" i="90"/>
  <c r="AM3" i="90"/>
  <c r="AX437" i="86"/>
  <c r="BH437" i="86" s="1"/>
  <c r="AX641" i="86"/>
  <c r="BH641" i="86" s="1"/>
  <c r="AX640" i="86"/>
  <c r="BD640" i="86" s="1"/>
  <c r="AX637" i="86"/>
  <c r="BD637" i="86" s="1"/>
  <c r="AX636" i="86"/>
  <c r="AX639" i="86"/>
  <c r="AX638" i="86"/>
  <c r="BH638" i="86" s="1"/>
  <c r="AX635" i="86"/>
  <c r="BH635" i="86" s="1"/>
  <c r="AX634" i="86"/>
  <c r="AX591" i="86"/>
  <c r="BI591" i="86" s="1"/>
  <c r="AX593" i="86"/>
  <c r="BI134" i="86"/>
  <c r="BD821" i="86"/>
  <c r="BD822" i="86"/>
  <c r="BD823" i="86"/>
  <c r="BD824" i="86"/>
  <c r="BD825" i="86"/>
  <c r="BD826" i="86"/>
  <c r="BD827" i="86"/>
  <c r="BD829" i="86"/>
  <c r="BD830" i="86"/>
  <c r="BD831" i="86"/>
  <c r="BD832" i="86"/>
  <c r="BD835" i="86"/>
  <c r="BD836" i="86"/>
  <c r="BD837" i="86"/>
  <c r="BD838" i="86"/>
  <c r="BD839" i="86"/>
  <c r="BD840" i="86"/>
  <c r="BD842" i="86"/>
  <c r="BD843" i="86"/>
  <c r="BD844" i="86"/>
  <c r="BD846" i="86"/>
  <c r="BD847" i="86"/>
  <c r="BD848" i="86"/>
  <c r="BD849" i="86"/>
  <c r="BD850" i="86"/>
  <c r="BD852" i="86"/>
  <c r="BD856" i="86"/>
  <c r="BD857" i="86"/>
  <c r="BD858" i="86"/>
  <c r="BD859" i="86"/>
  <c r="BD860" i="86"/>
  <c r="BD861" i="86"/>
  <c r="BD863" i="86"/>
  <c r="BD864" i="86"/>
  <c r="BD866" i="86"/>
  <c r="BD867" i="86"/>
  <c r="BD868" i="86"/>
  <c r="BD869" i="86"/>
  <c r="BD870" i="86"/>
  <c r="BD871" i="86"/>
  <c r="BD872" i="86"/>
  <c r="BD873" i="86"/>
  <c r="BD874" i="86"/>
  <c r="BD875" i="86"/>
  <c r="BD876" i="86"/>
  <c r="BD877" i="86"/>
  <c r="BD878" i="86"/>
  <c r="BD879" i="86"/>
  <c r="BD880" i="86"/>
  <c r="BD881" i="86"/>
  <c r="BD882" i="86"/>
  <c r="BD883" i="86"/>
  <c r="BD884" i="86"/>
  <c r="BD885" i="86"/>
  <c r="BD886" i="86"/>
  <c r="BD887" i="86"/>
  <c r="BD888" i="86"/>
  <c r="BD890" i="86"/>
  <c r="BD891" i="86"/>
  <c r="BD892" i="86"/>
  <c r="BD893" i="86"/>
  <c r="BD894" i="86"/>
  <c r="BD895" i="86"/>
  <c r="BD896" i="86"/>
  <c r="BD897" i="86"/>
  <c r="BD898" i="86"/>
  <c r="BD899" i="86"/>
  <c r="BD900" i="86"/>
  <c r="BD901" i="86"/>
  <c r="BD902" i="86"/>
  <c r="BD905" i="86"/>
  <c r="BD906" i="86"/>
  <c r="BD907" i="86"/>
  <c r="BD909" i="86"/>
  <c r="BD911" i="86"/>
  <c r="BD912" i="86"/>
  <c r="BD913" i="86"/>
  <c r="BD914" i="86"/>
  <c r="BD916" i="86"/>
  <c r="BD917" i="86"/>
  <c r="BD918" i="86"/>
  <c r="BD919" i="86"/>
  <c r="BD920" i="86"/>
  <c r="BD921" i="86"/>
  <c r="BD922" i="86"/>
  <c r="BD923" i="86"/>
  <c r="BD924" i="86"/>
  <c r="BD925" i="86"/>
  <c r="BD926" i="86"/>
  <c r="BD928" i="86"/>
  <c r="BD929" i="86"/>
  <c r="BD930" i="86"/>
  <c r="BD931" i="86"/>
  <c r="BD932" i="86"/>
  <c r="BD933" i="86"/>
  <c r="BD935" i="86"/>
  <c r="BD936" i="86"/>
  <c r="BD938" i="86"/>
  <c r="BD939" i="86"/>
  <c r="BD940" i="86"/>
  <c r="BD942" i="86"/>
  <c r="BD943" i="86"/>
  <c r="BD944" i="86"/>
  <c r="BD820" i="86"/>
  <c r="BD461" i="86"/>
  <c r="BD463" i="86"/>
  <c r="BD465" i="86"/>
  <c r="BD468" i="86"/>
  <c r="BD469" i="86"/>
  <c r="BD470" i="86"/>
  <c r="BD472" i="86"/>
  <c r="BD473" i="86"/>
  <c r="BD474" i="86"/>
  <c r="BD475" i="86"/>
  <c r="BD477" i="86"/>
  <c r="BD478" i="86"/>
  <c r="BD480" i="86"/>
  <c r="BD482" i="86"/>
  <c r="BD483" i="86"/>
  <c r="BD486" i="86"/>
  <c r="BD487" i="86"/>
  <c r="BD490" i="86"/>
  <c r="BD493" i="86"/>
  <c r="BD494" i="86"/>
  <c r="BD497" i="86"/>
  <c r="BD499" i="86"/>
  <c r="BD500" i="86"/>
  <c r="BD501" i="86"/>
  <c r="BD502" i="86"/>
  <c r="BD503" i="86"/>
  <c r="BD504" i="86"/>
  <c r="BD507" i="86"/>
  <c r="BD508" i="86"/>
  <c r="BD510" i="86"/>
  <c r="BD511" i="86"/>
  <c r="BD514" i="86"/>
  <c r="BD515" i="86"/>
  <c r="BD519" i="86"/>
  <c r="BD520" i="86"/>
  <c r="BD521" i="86"/>
  <c r="BD522" i="86"/>
  <c r="BD523" i="86"/>
  <c r="BD524" i="86"/>
  <c r="BD525" i="86"/>
  <c r="BD526" i="86"/>
  <c r="BD527" i="86"/>
  <c r="BD528" i="86"/>
  <c r="BD529" i="86"/>
  <c r="BD530" i="86"/>
  <c r="BD532" i="86"/>
  <c r="BD533" i="86"/>
  <c r="BD534" i="86"/>
  <c r="BD535" i="86"/>
  <c r="BD536" i="86"/>
  <c r="BD537" i="86"/>
  <c r="BD538" i="86"/>
  <c r="BD539" i="86"/>
  <c r="BD540" i="86"/>
  <c r="BD541" i="86"/>
  <c r="BD542" i="86"/>
  <c r="BD543" i="86"/>
  <c r="BD544" i="86"/>
  <c r="BD545" i="86"/>
  <c r="BD546" i="86"/>
  <c r="BD547" i="86"/>
  <c r="BD548" i="86"/>
  <c r="BD549" i="86"/>
  <c r="BD550" i="86"/>
  <c r="BD551" i="86"/>
  <c r="BD552" i="86"/>
  <c r="BD553" i="86"/>
  <c r="BD554" i="86"/>
  <c r="BD555" i="86"/>
  <c r="BD556" i="86"/>
  <c r="BD557" i="86"/>
  <c r="BD558" i="86"/>
  <c r="BD559" i="86"/>
  <c r="BD560" i="86"/>
  <c r="BD562" i="86"/>
  <c r="BD563" i="86"/>
  <c r="BD566" i="86"/>
  <c r="BD567" i="86"/>
  <c r="BD568" i="86"/>
  <c r="BD569" i="86"/>
  <c r="BD570" i="86"/>
  <c r="BD571" i="86"/>
  <c r="BD572" i="86"/>
  <c r="BD573" i="86"/>
  <c r="BD574" i="86"/>
  <c r="BD575" i="86"/>
  <c r="BD576" i="86"/>
  <c r="BD577" i="86"/>
  <c r="BD578" i="86"/>
  <c r="BD579" i="86"/>
  <c r="BD580" i="86"/>
  <c r="BD581" i="86"/>
  <c r="BD582" i="86"/>
  <c r="BD583" i="86"/>
  <c r="BD584" i="86"/>
  <c r="BD585" i="86"/>
  <c r="BD587" i="86"/>
  <c r="BD588" i="86"/>
  <c r="BD589" i="86"/>
  <c r="BD590" i="86"/>
  <c r="BD594" i="86"/>
  <c r="BD595" i="86"/>
  <c r="BD596" i="86"/>
  <c r="BD597" i="86"/>
  <c r="BD598" i="86"/>
  <c r="BD599" i="86"/>
  <c r="BD600" i="86"/>
  <c r="BD601" i="86"/>
  <c r="BD602" i="86"/>
  <c r="BD603" i="86"/>
  <c r="BD604" i="86"/>
  <c r="BD605" i="86"/>
  <c r="BD606" i="86"/>
  <c r="BD607" i="86"/>
  <c r="BD608" i="86"/>
  <c r="BD610" i="86"/>
  <c r="BD611" i="86"/>
  <c r="BD613" i="86"/>
  <c r="BD614" i="86"/>
  <c r="BD615" i="86"/>
  <c r="BD616" i="86"/>
  <c r="BD617" i="86"/>
  <c r="BD618" i="86"/>
  <c r="BD619" i="86"/>
  <c r="BD629" i="86"/>
  <c r="BD630" i="86"/>
  <c r="BD631" i="86"/>
  <c r="BD632" i="86"/>
  <c r="BD633" i="86"/>
  <c r="BD642" i="86"/>
  <c r="BD643" i="86"/>
  <c r="BD645" i="86"/>
  <c r="BD646" i="86"/>
  <c r="BD647" i="86"/>
  <c r="BD648" i="86"/>
  <c r="BD649" i="86"/>
  <c r="BD650" i="86"/>
  <c r="BD651" i="86"/>
  <c r="BD652" i="86"/>
  <c r="BD653" i="86"/>
  <c r="BD654" i="86"/>
  <c r="BD655" i="86"/>
  <c r="BD656" i="86"/>
  <c r="BD657" i="86"/>
  <c r="BD658" i="86"/>
  <c r="BD659" i="86"/>
  <c r="BD660" i="86"/>
  <c r="BD661" i="86"/>
  <c r="BD662" i="86"/>
  <c r="BD663" i="86"/>
  <c r="BD664" i="86"/>
  <c r="BD665" i="86"/>
  <c r="BD666" i="86"/>
  <c r="BD667" i="86"/>
  <c r="BD668" i="86"/>
  <c r="BD669" i="86"/>
  <c r="BD670" i="86"/>
  <c r="BD671" i="86"/>
  <c r="BD672" i="86"/>
  <c r="BD673" i="86"/>
  <c r="BD674" i="86"/>
  <c r="BD677" i="86"/>
  <c r="BD678" i="86"/>
  <c r="BD679" i="86"/>
  <c r="BD680" i="86"/>
  <c r="BD681" i="86"/>
  <c r="BD682" i="86"/>
  <c r="BD683" i="86"/>
  <c r="BD684" i="86"/>
  <c r="BD685" i="86"/>
  <c r="BD686" i="86"/>
  <c r="BD687" i="86"/>
  <c r="BD688" i="86"/>
  <c r="BD689" i="86"/>
  <c r="BD690" i="86"/>
  <c r="BD691" i="86"/>
  <c r="BD692" i="86"/>
  <c r="BD693" i="86"/>
  <c r="BD694" i="86"/>
  <c r="BD695" i="86"/>
  <c r="BD696" i="86"/>
  <c r="BD697" i="86"/>
  <c r="BD698" i="86"/>
  <c r="BD699" i="86"/>
  <c r="BD700" i="86"/>
  <c r="BD701" i="86"/>
  <c r="BD702" i="86"/>
  <c r="BD703" i="86"/>
  <c r="BD704" i="86"/>
  <c r="BD705" i="86"/>
  <c r="BD706" i="86"/>
  <c r="BD707" i="86"/>
  <c r="BD708" i="86"/>
  <c r="BD709" i="86"/>
  <c r="BD710" i="86"/>
  <c r="BD711" i="86"/>
  <c r="BD712" i="86"/>
  <c r="BD713" i="86"/>
  <c r="BD714" i="86"/>
  <c r="BD715" i="86"/>
  <c r="BD716" i="86"/>
  <c r="BD717" i="86"/>
  <c r="BD718" i="86"/>
  <c r="BD719" i="86"/>
  <c r="BD720" i="86"/>
  <c r="BD721" i="86"/>
  <c r="BD723" i="86"/>
  <c r="BD724" i="86"/>
  <c r="BD725" i="86"/>
  <c r="BD726" i="86"/>
  <c r="BD727" i="86"/>
  <c r="BD728" i="86"/>
  <c r="BD729" i="86"/>
  <c r="BD730" i="86"/>
  <c r="BD731" i="86"/>
  <c r="BD732" i="86"/>
  <c r="BD733" i="86"/>
  <c r="BD734" i="86"/>
  <c r="BD735" i="86"/>
  <c r="BD736" i="86"/>
  <c r="BD737" i="86"/>
  <c r="BD739" i="86"/>
  <c r="BD740" i="86"/>
  <c r="BD741" i="86"/>
  <c r="BD742" i="86"/>
  <c r="BD743" i="86"/>
  <c r="BD748" i="86"/>
  <c r="BD749" i="86"/>
  <c r="BD750" i="86"/>
  <c r="BD751" i="86"/>
  <c r="BD752" i="86"/>
  <c r="BD753" i="86"/>
  <c r="BD754" i="86"/>
  <c r="BD756" i="86"/>
  <c r="BD757" i="86"/>
  <c r="BD758" i="86"/>
  <c r="BD761" i="86"/>
  <c r="BD763" i="86"/>
  <c r="BD764" i="86"/>
  <c r="BD765" i="86"/>
  <c r="BD766" i="86"/>
  <c r="BD767" i="86"/>
  <c r="BD768" i="86"/>
  <c r="BD769" i="86"/>
  <c r="BD770" i="86"/>
  <c r="BD771" i="86"/>
  <c r="BD772" i="86"/>
  <c r="BD773" i="86"/>
  <c r="BD774" i="86"/>
  <c r="BD775" i="86"/>
  <c r="BD776" i="86"/>
  <c r="BD777" i="86"/>
  <c r="BD778" i="86"/>
  <c r="BD779" i="86"/>
  <c r="BD780" i="86"/>
  <c r="BD782" i="86"/>
  <c r="BD783" i="86"/>
  <c r="BD784" i="86"/>
  <c r="BD785" i="86"/>
  <c r="BD786" i="86"/>
  <c r="BD787" i="86"/>
  <c r="BD788" i="86"/>
  <c r="BD789" i="86"/>
  <c r="BD790" i="86"/>
  <c r="BD791" i="86"/>
  <c r="BD792" i="86"/>
  <c r="BD793" i="86"/>
  <c r="BD794" i="86"/>
  <c r="BD795" i="86"/>
  <c r="BD796" i="86"/>
  <c r="BD797" i="86"/>
  <c r="BD798" i="86"/>
  <c r="BD799" i="86"/>
  <c r="BD800" i="86"/>
  <c r="BD801" i="86"/>
  <c r="BD802" i="86"/>
  <c r="BD803" i="86"/>
  <c r="BD804" i="86"/>
  <c r="BD805" i="86"/>
  <c r="BD806" i="86"/>
  <c r="BD807" i="86"/>
  <c r="BD808" i="86"/>
  <c r="BD809" i="86"/>
  <c r="BD810" i="86"/>
  <c r="BD811" i="86"/>
  <c r="BD812" i="86"/>
  <c r="BD813" i="86"/>
  <c r="BD814" i="86"/>
  <c r="BD815" i="86"/>
  <c r="BD178" i="86"/>
  <c r="BD180" i="86"/>
  <c r="BD181" i="86"/>
  <c r="BD182" i="86"/>
  <c r="BD184" i="86"/>
  <c r="BD185" i="86"/>
  <c r="BD186" i="86"/>
  <c r="BD187" i="86"/>
  <c r="BD188" i="86"/>
  <c r="BD189" i="86"/>
  <c r="BD190" i="86"/>
  <c r="BD191" i="86"/>
  <c r="BD192" i="86"/>
  <c r="BD193" i="86"/>
  <c r="BD194" i="86"/>
  <c r="BD195" i="86"/>
  <c r="BD196" i="86"/>
  <c r="BD197" i="86"/>
  <c r="BD198" i="86"/>
  <c r="BD199" i="86"/>
  <c r="BD200" i="86"/>
  <c r="BD201" i="86"/>
  <c r="BD202" i="86"/>
  <c r="BD203" i="86"/>
  <c r="BD204" i="86"/>
  <c r="BD205" i="86"/>
  <c r="BD207" i="86"/>
  <c r="BD208" i="86"/>
  <c r="BD209" i="86"/>
  <c r="BD210" i="86"/>
  <c r="BD211" i="86"/>
  <c r="BD212" i="86"/>
  <c r="BD213" i="86"/>
  <c r="BD214" i="86"/>
  <c r="BD215" i="86"/>
  <c r="BD216" i="86"/>
  <c r="BD217" i="86"/>
  <c r="BD218" i="86"/>
  <c r="BD219" i="86"/>
  <c r="BD220" i="86"/>
  <c r="BD221" i="86"/>
  <c r="BD222" i="86"/>
  <c r="BD223" i="86"/>
  <c r="BD224" i="86"/>
  <c r="BD225" i="86"/>
  <c r="BD226" i="86"/>
  <c r="BD227" i="86"/>
  <c r="BD228" i="86"/>
  <c r="BD229" i="86"/>
  <c r="BD231" i="86"/>
  <c r="BD233" i="86"/>
  <c r="BD234" i="86"/>
  <c r="BD235" i="86"/>
  <c r="BD236" i="86"/>
  <c r="BD237" i="86"/>
  <c r="BD238" i="86"/>
  <c r="BD239" i="86"/>
  <c r="BD240" i="86"/>
  <c r="BD242" i="86"/>
  <c r="BD244" i="86"/>
  <c r="BD245" i="86"/>
  <c r="BD246" i="86"/>
  <c r="BD247" i="86"/>
  <c r="BD248" i="86"/>
  <c r="BD249" i="86"/>
  <c r="BD250" i="86"/>
  <c r="BD251" i="86"/>
  <c r="BD253" i="86"/>
  <c r="BD255" i="86"/>
  <c r="BD257" i="86"/>
  <c r="BD261" i="86"/>
  <c r="BD265" i="86"/>
  <c r="BD271" i="86"/>
  <c r="BD275" i="86"/>
  <c r="BD278" i="86"/>
  <c r="BD281" i="86"/>
  <c r="BD284" i="86"/>
  <c r="BD287" i="86"/>
  <c r="BD294" i="86"/>
  <c r="BD295" i="86"/>
  <c r="BD296" i="86"/>
  <c r="BD297" i="86"/>
  <c r="BD298" i="86"/>
  <c r="BD299" i="86"/>
  <c r="BD300" i="86"/>
  <c r="BD301" i="86"/>
  <c r="BD302" i="86"/>
  <c r="BD303" i="86"/>
  <c r="BD304" i="86"/>
  <c r="BD305" i="86"/>
  <c r="BD306" i="86"/>
  <c r="BD307" i="86"/>
  <c r="BD308" i="86"/>
  <c r="BD309" i="86"/>
  <c r="BD310" i="86"/>
  <c r="BD311" i="86"/>
  <c r="BD312" i="86"/>
  <c r="BD313" i="86"/>
  <c r="BD314" i="86"/>
  <c r="BD315" i="86"/>
  <c r="BD317" i="86"/>
  <c r="BD318" i="86"/>
  <c r="BD319" i="86"/>
  <c r="BD320" i="86"/>
  <c r="BD321" i="86"/>
  <c r="BD323" i="86"/>
  <c r="BD325" i="86"/>
  <c r="BD327" i="86"/>
  <c r="BD328" i="86"/>
  <c r="BD329" i="86"/>
  <c r="BD330" i="86"/>
  <c r="BD331" i="86"/>
  <c r="BD332" i="86"/>
  <c r="BD333" i="86"/>
  <c r="BD335" i="86"/>
  <c r="BD336" i="86"/>
  <c r="BD339" i="86"/>
  <c r="BD340" i="86"/>
  <c r="BD341" i="86"/>
  <c r="BD342" i="86"/>
  <c r="BD343" i="86"/>
  <c r="BD344" i="86"/>
  <c r="BD345" i="86"/>
  <c r="BD346" i="86"/>
  <c r="BD347" i="86"/>
  <c r="BD348" i="86"/>
  <c r="BD349" i="86"/>
  <c r="BD350" i="86"/>
  <c r="BD351" i="86"/>
  <c r="BD352" i="86"/>
  <c r="BD353" i="86"/>
  <c r="BD354" i="86"/>
  <c r="BD355" i="86"/>
  <c r="BD356" i="86"/>
  <c r="BD357" i="86"/>
  <c r="BD358" i="86"/>
  <c r="BD359" i="86"/>
  <c r="BD360" i="86"/>
  <c r="BD361" i="86"/>
  <c r="BD362" i="86"/>
  <c r="BD363" i="86"/>
  <c r="BD364" i="86"/>
  <c r="BD365" i="86"/>
  <c r="BD366" i="86"/>
  <c r="BD367" i="86"/>
  <c r="BD368" i="86"/>
  <c r="BD369" i="86"/>
  <c r="BD370" i="86"/>
  <c r="BD371" i="86"/>
  <c r="BD372" i="86"/>
  <c r="BD374" i="86"/>
  <c r="BD375" i="86"/>
  <c r="BD376" i="86"/>
  <c r="BD377" i="86"/>
  <c r="BD378" i="86"/>
  <c r="BD379" i="86"/>
  <c r="BD380" i="86"/>
  <c r="BD381" i="86"/>
  <c r="BD382" i="86"/>
  <c r="BD383" i="86"/>
  <c r="BD384" i="86"/>
  <c r="BD386" i="86"/>
  <c r="BD387" i="86"/>
  <c r="BD388" i="86"/>
  <c r="BD389" i="86"/>
  <c r="BD390" i="86"/>
  <c r="BD391" i="86"/>
  <c r="BD392" i="86"/>
  <c r="BD393" i="86"/>
  <c r="BD394" i="86"/>
  <c r="BD395" i="86"/>
  <c r="BD396" i="86"/>
  <c r="BD400" i="86"/>
  <c r="BD401" i="86"/>
  <c r="BD402" i="86"/>
  <c r="BD405" i="86"/>
  <c r="BD407" i="86"/>
  <c r="BD412" i="86"/>
  <c r="BD415" i="86"/>
  <c r="BD416" i="86"/>
  <c r="BD417" i="86"/>
  <c r="BD418" i="86"/>
  <c r="BD420" i="86"/>
  <c r="BD421" i="86"/>
  <c r="BD422" i="86"/>
  <c r="BD424" i="86"/>
  <c r="BD425" i="86"/>
  <c r="BD428" i="86"/>
  <c r="BD429" i="86"/>
  <c r="BD430" i="86"/>
  <c r="BD432" i="86"/>
  <c r="BD433" i="86"/>
  <c r="BD435" i="86"/>
  <c r="BD436" i="86"/>
  <c r="BD438" i="86"/>
  <c r="BD439" i="86"/>
  <c r="BD442" i="86"/>
  <c r="BD443" i="86"/>
  <c r="BD446" i="86"/>
  <c r="BD447" i="86"/>
  <c r="BD448" i="86"/>
  <c r="BD450" i="86"/>
  <c r="BD451" i="86"/>
  <c r="BD452" i="86"/>
  <c r="BD453" i="86"/>
  <c r="BD455" i="86"/>
  <c r="BD457" i="86"/>
  <c r="BD458" i="86"/>
  <c r="BD177" i="86"/>
  <c r="BD3" i="86"/>
  <c r="BD4" i="86"/>
  <c r="BD5" i="86"/>
  <c r="BD6" i="86"/>
  <c r="BD7" i="86"/>
  <c r="BD8" i="86"/>
  <c r="BD9" i="86"/>
  <c r="BD10" i="86"/>
  <c r="BD11" i="86"/>
  <c r="BD13" i="86"/>
  <c r="BD14" i="86"/>
  <c r="BD15" i="86"/>
  <c r="BD16" i="86"/>
  <c r="BD17" i="86"/>
  <c r="BD18" i="86"/>
  <c r="BD19" i="86"/>
  <c r="BD20" i="86"/>
  <c r="BD21" i="86"/>
  <c r="BD22" i="86"/>
  <c r="BD23" i="86"/>
  <c r="BD24" i="86"/>
  <c r="BD25" i="86"/>
  <c r="BD26" i="86"/>
  <c r="BD27" i="86"/>
  <c r="BD28" i="86"/>
  <c r="BD29" i="86"/>
  <c r="BD30" i="86"/>
  <c r="BD31" i="86"/>
  <c r="BD32" i="86"/>
  <c r="BD33" i="86"/>
  <c r="BD34" i="86"/>
  <c r="BD35" i="86"/>
  <c r="BD36" i="86"/>
  <c r="BD37" i="86"/>
  <c r="BD38" i="86"/>
  <c r="BD39" i="86"/>
  <c r="BD40" i="86"/>
  <c r="BD41" i="86"/>
  <c r="BD42" i="86"/>
  <c r="BD43" i="86"/>
  <c r="BD44" i="86"/>
  <c r="BD45" i="86"/>
  <c r="BD46" i="86"/>
  <c r="BD47" i="86"/>
  <c r="BD48" i="86"/>
  <c r="BD49" i="86"/>
  <c r="BD50" i="86"/>
  <c r="BD51" i="86"/>
  <c r="BD52" i="86"/>
  <c r="BD54" i="86"/>
  <c r="BD55" i="86"/>
  <c r="BD58" i="86"/>
  <c r="BD59" i="86"/>
  <c r="BD60" i="86"/>
  <c r="BD61" i="86"/>
  <c r="BD62" i="86"/>
  <c r="BD63" i="86"/>
  <c r="BD64" i="86"/>
  <c r="BD65" i="86"/>
  <c r="BD72" i="86"/>
  <c r="BD73" i="86"/>
  <c r="BD74" i="86"/>
  <c r="BD75" i="86"/>
  <c r="BD76" i="86"/>
  <c r="BD77" i="86"/>
  <c r="BD78" i="86"/>
  <c r="BD79" i="86"/>
  <c r="BD80" i="86"/>
  <c r="BD81" i="86"/>
  <c r="BD82" i="86"/>
  <c r="BD83" i="86"/>
  <c r="BD84" i="86"/>
  <c r="BD85" i="86"/>
  <c r="BD86" i="86"/>
  <c r="BD87" i="86"/>
  <c r="BD88" i="86"/>
  <c r="BD89" i="86"/>
  <c r="BD90" i="86"/>
  <c r="BD91" i="86"/>
  <c r="BD92" i="86"/>
  <c r="BD93" i="86"/>
  <c r="BD94" i="86"/>
  <c r="BD95" i="86"/>
  <c r="BD96" i="86"/>
  <c r="BD97" i="86"/>
  <c r="BD98" i="86"/>
  <c r="BD99" i="86"/>
  <c r="BD100" i="86"/>
  <c r="BD101" i="86"/>
  <c r="BD102" i="86"/>
  <c r="BD103" i="86"/>
  <c r="BD104" i="86"/>
  <c r="BD105" i="86"/>
  <c r="BD106" i="86"/>
  <c r="BD107" i="86"/>
  <c r="BD108" i="86"/>
  <c r="BD109" i="86"/>
  <c r="BD110" i="86"/>
  <c r="BD111" i="86"/>
  <c r="BD112" i="86"/>
  <c r="BD113" i="86"/>
  <c r="BD114" i="86"/>
  <c r="BD115" i="86"/>
  <c r="BD116" i="86"/>
  <c r="BD118" i="86"/>
  <c r="BD119" i="86"/>
  <c r="BD120" i="86"/>
  <c r="BD121" i="86"/>
  <c r="BD122" i="86"/>
  <c r="BD124" i="86"/>
  <c r="BD126" i="86"/>
  <c r="BD127" i="86"/>
  <c r="BD128" i="86"/>
  <c r="BD129" i="86"/>
  <c r="BD130" i="86"/>
  <c r="BD131" i="86"/>
  <c r="BD132" i="86"/>
  <c r="BD133" i="86"/>
  <c r="BD136" i="86"/>
  <c r="BD137" i="86"/>
  <c r="BD138" i="86"/>
  <c r="BD139" i="86"/>
  <c r="BD141" i="86"/>
  <c r="BD142" i="86"/>
  <c r="BD143" i="86"/>
  <c r="BD144" i="86"/>
  <c r="BD146" i="86"/>
  <c r="BD147" i="86"/>
  <c r="BD148" i="86"/>
  <c r="BD149" i="86"/>
  <c r="BD150" i="86"/>
  <c r="BD151" i="86"/>
  <c r="BD152" i="86"/>
  <c r="BD153" i="86"/>
  <c r="BD154" i="86"/>
  <c r="BD155" i="86"/>
  <c r="BD156" i="86"/>
  <c r="BD157" i="86"/>
  <c r="BD158" i="86"/>
  <c r="BD159" i="86"/>
  <c r="BD160" i="86"/>
  <c r="BD161" i="86"/>
  <c r="BD162" i="86"/>
  <c r="BD163" i="86"/>
  <c r="BD164" i="86"/>
  <c r="BD165" i="86"/>
  <c r="BD166" i="86"/>
  <c r="BD167" i="86"/>
  <c r="BD168" i="86"/>
  <c r="BD169" i="86"/>
  <c r="BD170" i="86"/>
  <c r="BD171" i="86"/>
  <c r="BD172" i="86"/>
  <c r="BL420" i="86"/>
  <c r="BL335" i="86"/>
  <c r="BL308" i="86"/>
  <c r="BK420" i="86"/>
  <c r="BK335" i="86"/>
  <c r="BK308" i="86"/>
  <c r="BI943" i="86"/>
  <c r="BI942" i="86"/>
  <c r="BI941" i="86"/>
  <c r="BI940" i="86"/>
  <c r="BI939" i="86"/>
  <c r="BI938" i="86"/>
  <c r="BI937" i="86"/>
  <c r="BI936" i="86"/>
  <c r="BI935" i="86"/>
  <c r="BI933" i="86"/>
  <c r="BI931" i="86"/>
  <c r="BI929" i="86"/>
  <c r="BI927" i="86"/>
  <c r="BI926" i="86"/>
  <c r="BI925" i="86"/>
  <c r="BI924" i="86"/>
  <c r="BI923" i="86"/>
  <c r="BI922" i="86"/>
  <c r="BI921" i="86"/>
  <c r="BI920" i="86"/>
  <c r="BI919" i="86"/>
  <c r="BI918" i="86"/>
  <c r="BI917" i="86"/>
  <c r="BI916" i="86"/>
  <c r="BI915" i="86"/>
  <c r="BI905" i="86"/>
  <c r="BI902" i="86"/>
  <c r="BI901" i="86"/>
  <c r="BI900" i="86"/>
  <c r="BI899" i="86"/>
  <c r="BI898" i="86"/>
  <c r="BI897" i="86"/>
  <c r="BI896" i="86"/>
  <c r="BI895" i="86"/>
  <c r="BI894" i="86"/>
  <c r="BI893" i="86"/>
  <c r="BI892" i="86"/>
  <c r="BI891" i="86"/>
  <c r="BI890" i="86"/>
  <c r="BI889" i="86"/>
  <c r="BI888" i="86"/>
  <c r="BI887" i="86"/>
  <c r="BI886" i="86"/>
  <c r="BI885" i="86"/>
  <c r="BI867" i="86"/>
  <c r="BI866" i="86"/>
  <c r="BI864" i="86"/>
  <c r="BI863" i="86"/>
  <c r="BI860" i="86"/>
  <c r="BI852" i="86"/>
  <c r="BI850" i="86"/>
  <c r="BI849" i="86"/>
  <c r="BI848" i="86"/>
  <c r="BI847" i="86"/>
  <c r="BI846" i="86"/>
  <c r="BI839" i="86"/>
  <c r="BI834" i="86"/>
  <c r="BI833" i="86"/>
  <c r="BI832" i="86"/>
  <c r="BI831" i="86"/>
  <c r="BI830" i="86"/>
  <c r="BI828" i="86"/>
  <c r="BI824" i="86"/>
  <c r="BI818" i="86"/>
  <c r="BI816" i="86"/>
  <c r="BI811" i="86"/>
  <c r="BI810" i="86"/>
  <c r="BI809" i="86"/>
  <c r="BI808" i="86"/>
  <c r="BI807" i="86"/>
  <c r="BI806" i="86"/>
  <c r="BI805" i="86"/>
  <c r="BI804" i="86"/>
  <c r="BI803" i="86"/>
  <c r="BI802" i="86"/>
  <c r="BI801" i="86"/>
  <c r="BI800" i="86"/>
  <c r="BI799" i="86"/>
  <c r="BI798" i="86"/>
  <c r="BI797" i="86"/>
  <c r="BI796" i="86"/>
  <c r="BI795" i="86"/>
  <c r="BI794" i="86"/>
  <c r="BI793" i="86"/>
  <c r="BI792" i="86"/>
  <c r="BI791" i="86"/>
  <c r="BI790" i="86"/>
  <c r="BI789" i="86"/>
  <c r="BI788" i="86"/>
  <c r="BI787" i="86"/>
  <c r="BI786" i="86"/>
  <c r="BI783" i="86"/>
  <c r="BI782" i="86"/>
  <c r="BI781" i="86"/>
  <c r="BI780" i="86"/>
  <c r="BI779" i="86"/>
  <c r="BI778" i="86"/>
  <c r="BI777" i="86"/>
  <c r="BI770" i="86"/>
  <c r="BI769" i="86"/>
  <c r="BI768" i="86"/>
  <c r="BI767" i="86"/>
  <c r="BI766" i="86"/>
  <c r="BI764" i="86"/>
  <c r="BI763" i="86"/>
  <c r="BI761" i="86"/>
  <c r="BI759" i="86"/>
  <c r="BI757" i="86"/>
  <c r="BI756" i="86"/>
  <c r="BI755" i="86"/>
  <c r="BI754" i="86"/>
  <c r="BI753" i="86"/>
  <c r="BI752" i="86"/>
  <c r="BI751" i="86"/>
  <c r="BI750" i="86"/>
  <c r="BI749" i="86"/>
  <c r="BI748" i="86"/>
  <c r="BI747" i="86"/>
  <c r="BI746" i="86"/>
  <c r="BI745" i="86"/>
  <c r="BI744" i="86"/>
  <c r="BI743" i="86"/>
  <c r="BI742" i="86"/>
  <c r="BI741" i="86"/>
  <c r="BI739" i="86"/>
  <c r="BI736" i="86"/>
  <c r="BI735" i="86"/>
  <c r="BI734" i="86"/>
  <c r="BI733" i="86"/>
  <c r="BI732" i="86"/>
  <c r="BI731" i="86"/>
  <c r="BI730" i="86"/>
  <c r="BI728" i="86"/>
  <c r="BI727" i="86"/>
  <c r="BI726" i="86"/>
  <c r="BI723" i="86"/>
  <c r="BI721" i="86"/>
  <c r="BI717" i="86"/>
  <c r="BI716" i="86"/>
  <c r="BI715" i="86"/>
  <c r="BI714" i="86"/>
  <c r="BI713" i="86"/>
  <c r="BI712" i="86"/>
  <c r="BI710" i="86"/>
  <c r="BI708" i="86"/>
  <c r="BI707" i="86"/>
  <c r="BI694" i="86"/>
  <c r="BI693" i="86"/>
  <c r="BI688" i="86"/>
  <c r="BI687" i="86"/>
  <c r="BI686" i="86"/>
  <c r="BI684" i="86"/>
  <c r="BI683" i="86"/>
  <c r="BI681" i="86"/>
  <c r="BI680" i="86"/>
  <c r="BI676" i="86"/>
  <c r="BI675" i="86"/>
  <c r="BI674" i="86"/>
  <c r="BI673" i="86"/>
  <c r="BI672" i="86"/>
  <c r="BI671" i="86"/>
  <c r="BI670" i="86"/>
  <c r="BI669" i="86"/>
  <c r="BI668" i="86"/>
  <c r="BI651" i="86"/>
  <c r="BI650" i="86"/>
  <c r="BI649" i="86"/>
  <c r="BI648" i="86"/>
  <c r="BI647" i="86"/>
  <c r="BI646" i="86"/>
  <c r="BI645" i="86"/>
  <c r="BI644" i="86"/>
  <c r="BI643" i="86"/>
  <c r="BI642" i="86"/>
  <c r="BI633" i="86"/>
  <c r="BI632" i="86"/>
  <c r="BI627" i="86"/>
  <c r="BI626" i="86"/>
  <c r="BI624" i="86"/>
  <c r="BI623" i="86"/>
  <c r="BI622" i="86"/>
  <c r="BI621" i="86"/>
  <c r="BI620" i="86"/>
  <c r="BI619" i="86"/>
  <c r="BI618" i="86"/>
  <c r="BI617" i="86"/>
  <c r="BI616" i="86"/>
  <c r="BI615" i="86"/>
  <c r="BI614" i="86"/>
  <c r="BI613" i="86"/>
  <c r="BI612" i="86"/>
  <c r="BI611" i="86"/>
  <c r="BI610" i="86"/>
  <c r="BI608" i="86"/>
  <c r="BI606" i="86"/>
  <c r="BI605" i="86"/>
  <c r="BI604" i="86"/>
  <c r="BI603" i="86"/>
  <c r="BI600" i="86"/>
  <c r="BI598" i="86"/>
  <c r="BI597" i="86"/>
  <c r="BI596" i="86"/>
  <c r="BI595" i="86"/>
  <c r="BI590" i="86"/>
  <c r="BI589" i="86"/>
  <c r="BI588" i="86"/>
  <c r="BI587" i="86"/>
  <c r="BI585" i="86"/>
  <c r="BI584" i="86"/>
  <c r="BI583" i="86"/>
  <c r="BI582" i="86"/>
  <c r="BI581" i="86"/>
  <c r="BI580" i="86"/>
  <c r="BI579" i="86"/>
  <c r="BI577" i="86"/>
  <c r="BI576" i="86"/>
  <c r="BI575" i="86"/>
  <c r="BI574" i="86"/>
  <c r="BI573" i="86"/>
  <c r="BI572" i="86"/>
  <c r="BI571" i="86"/>
  <c r="BI568" i="86"/>
  <c r="BI567" i="86"/>
  <c r="BI566" i="86"/>
  <c r="BI563" i="86"/>
  <c r="BI562" i="86"/>
  <c r="BI560" i="86"/>
  <c r="BI559" i="86"/>
  <c r="BI558" i="86"/>
  <c r="BI557" i="86"/>
  <c r="BI556" i="86"/>
  <c r="BI555" i="86"/>
  <c r="BI554" i="86"/>
  <c r="BI553" i="86"/>
  <c r="BI552" i="86"/>
  <c r="BI551" i="86"/>
  <c r="BI550" i="86"/>
  <c r="BI549" i="86"/>
  <c r="BI548" i="86"/>
  <c r="BI547" i="86"/>
  <c r="BI546" i="86"/>
  <c r="BI545" i="86"/>
  <c r="BI544" i="86"/>
  <c r="BI543" i="86"/>
  <c r="BI542" i="86"/>
  <c r="BI541" i="86"/>
  <c r="BI540" i="86"/>
  <c r="BI539" i="86"/>
  <c r="BI538" i="86"/>
  <c r="BI537" i="86"/>
  <c r="BI536" i="86"/>
  <c r="BI535" i="86"/>
  <c r="BI534" i="86"/>
  <c r="BI533" i="86"/>
  <c r="BI532" i="86"/>
  <c r="BI528" i="86"/>
  <c r="BI527" i="86"/>
  <c r="BI526" i="86"/>
  <c r="BI525" i="86"/>
  <c r="BI524" i="86"/>
  <c r="BI523" i="86"/>
  <c r="BI522" i="86"/>
  <c r="BI521" i="86"/>
  <c r="BI520" i="86"/>
  <c r="BI519" i="86"/>
  <c r="BI511" i="86"/>
  <c r="BI510" i="86"/>
  <c r="BI508" i="86"/>
  <c r="BI507" i="86"/>
  <c r="BI505" i="86"/>
  <c r="BI504" i="86"/>
  <c r="BI503" i="86"/>
  <c r="BI502" i="86"/>
  <c r="BI500" i="86"/>
  <c r="BI496" i="86"/>
  <c r="BI491" i="86"/>
  <c r="BI490" i="86"/>
  <c r="BI489" i="86"/>
  <c r="BI487" i="86"/>
  <c r="BI486" i="86"/>
  <c r="BI485" i="86"/>
  <c r="BI483" i="86"/>
  <c r="BI482" i="86"/>
  <c r="BI481" i="86"/>
  <c r="BI480" i="86"/>
  <c r="BI475" i="86"/>
  <c r="BI474" i="86"/>
  <c r="BI461" i="86"/>
  <c r="BI458" i="86"/>
  <c r="BI457" i="86"/>
  <c r="BI453" i="86"/>
  <c r="BI450" i="86"/>
  <c r="BI447" i="86"/>
  <c r="BI446" i="86"/>
  <c r="BI443" i="86"/>
  <c r="BI442" i="86"/>
  <c r="BI439" i="86"/>
  <c r="BI438" i="86"/>
  <c r="BI436" i="86"/>
  <c r="BI435" i="86"/>
  <c r="BI434" i="86"/>
  <c r="BI433" i="86"/>
  <c r="BI432" i="86"/>
  <c r="BI430" i="86"/>
  <c r="BI429" i="86"/>
  <c r="BI428" i="86"/>
  <c r="BI426" i="86"/>
  <c r="BI425" i="86"/>
  <c r="BI424" i="86"/>
  <c r="BI418" i="86"/>
  <c r="BI417" i="86"/>
  <c r="BI416" i="86"/>
  <c r="BI415" i="86"/>
  <c r="BI413" i="86"/>
  <c r="BI412" i="86"/>
  <c r="BI409" i="86"/>
  <c r="BI407" i="86"/>
  <c r="BI406" i="86"/>
  <c r="BI405" i="86"/>
  <c r="BI402" i="86"/>
  <c r="BI401" i="86"/>
  <c r="BI399" i="86"/>
  <c r="BI398" i="86"/>
  <c r="BI396" i="86"/>
  <c r="BI395" i="86"/>
  <c r="BI393" i="86"/>
  <c r="BI392" i="86"/>
  <c r="BI390" i="86"/>
  <c r="BI389" i="86"/>
  <c r="BI388" i="86"/>
  <c r="BI387" i="86"/>
  <c r="BI386" i="86"/>
  <c r="BI385" i="86"/>
  <c r="BI384" i="86"/>
  <c r="BI383" i="86"/>
  <c r="BI382" i="86"/>
  <c r="BI381" i="86"/>
  <c r="BI380" i="86"/>
  <c r="BI379" i="86"/>
  <c r="BI378" i="86"/>
  <c r="BI377" i="86"/>
  <c r="BI376" i="86"/>
  <c r="BI375" i="86"/>
  <c r="BI374" i="86"/>
  <c r="BI373" i="86"/>
  <c r="BI372" i="86"/>
  <c r="BI371" i="86"/>
  <c r="BI370" i="86"/>
  <c r="BI369" i="86"/>
  <c r="BI368" i="86"/>
  <c r="BI367" i="86"/>
  <c r="BI366" i="86"/>
  <c r="BI365" i="86"/>
  <c r="BI364" i="86"/>
  <c r="BI363" i="86"/>
  <c r="BI362" i="86"/>
  <c r="BI361" i="86"/>
  <c r="BI360" i="86"/>
  <c r="BI359" i="86"/>
  <c r="BI358" i="86"/>
  <c r="BI357" i="86"/>
  <c r="BI356" i="86"/>
  <c r="BI355" i="86"/>
  <c r="BI354" i="86"/>
  <c r="BI353" i="86"/>
  <c r="BI352" i="86"/>
  <c r="BI351" i="86"/>
  <c r="BI350" i="86"/>
  <c r="BI349" i="86"/>
  <c r="BI348" i="86"/>
  <c r="BI347" i="86"/>
  <c r="BI346" i="86"/>
  <c r="BI345" i="86"/>
  <c r="BI344" i="86"/>
  <c r="BI343" i="86"/>
  <c r="BI342" i="86"/>
  <c r="BI341" i="86"/>
  <c r="BI340" i="86"/>
  <c r="BI339" i="86"/>
  <c r="BI333" i="86"/>
  <c r="BI332" i="86"/>
  <c r="BI331" i="86"/>
  <c r="BI330" i="86"/>
  <c r="BI329" i="86"/>
  <c r="BI328" i="86"/>
  <c r="BI327" i="86"/>
  <c r="BI325" i="86"/>
  <c r="BI323" i="86"/>
  <c r="BI321" i="86"/>
  <c r="BI320" i="86"/>
  <c r="BI319" i="86"/>
  <c r="BI318" i="86"/>
  <c r="BI317" i="86"/>
  <c r="BI315" i="86"/>
  <c r="BI314" i="86"/>
  <c r="BI313" i="86"/>
  <c r="BI312" i="86"/>
  <c r="BI311" i="86"/>
  <c r="BI305" i="86"/>
  <c r="BI304" i="86"/>
  <c r="BI303" i="86"/>
  <c r="BI300" i="86"/>
  <c r="BI299" i="86"/>
  <c r="BI298" i="86"/>
  <c r="BI297" i="86"/>
  <c r="BI296" i="86"/>
  <c r="BI295" i="86"/>
  <c r="BI261" i="86"/>
  <c r="BI257" i="86"/>
  <c r="BI256" i="86"/>
  <c r="BI255" i="86"/>
  <c r="BI251" i="86"/>
  <c r="BI250" i="86"/>
  <c r="BI249" i="86"/>
  <c r="BI248" i="86"/>
  <c r="BI247" i="86"/>
  <c r="BI246" i="86"/>
  <c r="BI245" i="86"/>
  <c r="BI244" i="86"/>
  <c r="BI243" i="86"/>
  <c r="BI242" i="86"/>
  <c r="BI241" i="86"/>
  <c r="BI240" i="86"/>
  <c r="BI239" i="86"/>
  <c r="BI238" i="86"/>
  <c r="BI237" i="86"/>
  <c r="BI236" i="86"/>
  <c r="BI235" i="86"/>
  <c r="BI234" i="86"/>
  <c r="BI233" i="86"/>
  <c r="BI232" i="86"/>
  <c r="BI231" i="86"/>
  <c r="BI229" i="86"/>
  <c r="BI228" i="86"/>
  <c r="BI227" i="86"/>
  <c r="BI226" i="86"/>
  <c r="BI225" i="86"/>
  <c r="BI224" i="86"/>
  <c r="BI223" i="86"/>
  <c r="BI222" i="86"/>
  <c r="BI221" i="86"/>
  <c r="BI215" i="86"/>
  <c r="BI214" i="86"/>
  <c r="BI213" i="86"/>
  <c r="BI211" i="86"/>
  <c r="BI210" i="86"/>
  <c r="BI209" i="86"/>
  <c r="BI205" i="86"/>
  <c r="BI204" i="86"/>
  <c r="BI203" i="86"/>
  <c r="BI202" i="86"/>
  <c r="BI201" i="86"/>
  <c r="BI200" i="86"/>
  <c r="BI199" i="86"/>
  <c r="BI198" i="86"/>
  <c r="BI197" i="86"/>
  <c r="BI196" i="86"/>
  <c r="BI195" i="86"/>
  <c r="BI194" i="86"/>
  <c r="BI193" i="86"/>
  <c r="BI192" i="86"/>
  <c r="BI191" i="86"/>
  <c r="BI190" i="86"/>
  <c r="BI189" i="86"/>
  <c r="BI188" i="86"/>
  <c r="BI187" i="86"/>
  <c r="BI186" i="86"/>
  <c r="BI185" i="86"/>
  <c r="BI184" i="86"/>
  <c r="BI182" i="86"/>
  <c r="BI181" i="86"/>
  <c r="BI180" i="86"/>
  <c r="BI179" i="86"/>
  <c r="BI178" i="86"/>
  <c r="BI177" i="86"/>
  <c r="BI175" i="86"/>
  <c r="BI173" i="86"/>
  <c r="BI172" i="86"/>
  <c r="BI171" i="86"/>
  <c r="BI168" i="86"/>
  <c r="BI167" i="86"/>
  <c r="BI166" i="86"/>
  <c r="BI164" i="86"/>
  <c r="BI163" i="86"/>
  <c r="BI162" i="86"/>
  <c r="BI155" i="86"/>
  <c r="BI153" i="86"/>
  <c r="BI152" i="86"/>
  <c r="BI151" i="86"/>
  <c r="BI150" i="86"/>
  <c r="BI149" i="86"/>
  <c r="BI148" i="86"/>
  <c r="BI146" i="86"/>
  <c r="BI145" i="86"/>
  <c r="BI144" i="86"/>
  <c r="BI143" i="86"/>
  <c r="BI142" i="86"/>
  <c r="BI141" i="86"/>
  <c r="BI136" i="86"/>
  <c r="BI135" i="86"/>
  <c r="BI133" i="86"/>
  <c r="BI132" i="86"/>
  <c r="BI131" i="86"/>
  <c r="BI129" i="86"/>
  <c r="BI128" i="86"/>
  <c r="BI127" i="86"/>
  <c r="BI126" i="86"/>
  <c r="BI123" i="86"/>
  <c r="BI121" i="86"/>
  <c r="BI120" i="86"/>
  <c r="BI119" i="86"/>
  <c r="BI115" i="86"/>
  <c r="BI114" i="86"/>
  <c r="BI112" i="86"/>
  <c r="BI111" i="86"/>
  <c r="BI110" i="86"/>
  <c r="BI109" i="86"/>
  <c r="BI108" i="86"/>
  <c r="BI105" i="86"/>
  <c r="BI94" i="86"/>
  <c r="BI93" i="86"/>
  <c r="BI92" i="86"/>
  <c r="BI91" i="86"/>
  <c r="BI90" i="86"/>
  <c r="BI89" i="86"/>
  <c r="BI88" i="86"/>
  <c r="BI87" i="86"/>
  <c r="BI86" i="86"/>
  <c r="BI85" i="86"/>
  <c r="BI84" i="86"/>
  <c r="BI83" i="86"/>
  <c r="BI82" i="86"/>
  <c r="BI81" i="86"/>
  <c r="BI80" i="86"/>
  <c r="BI79" i="86"/>
  <c r="BI78" i="86"/>
  <c r="BI77" i="86"/>
  <c r="BI76" i="86"/>
  <c r="BI75" i="86"/>
  <c r="BI74" i="86"/>
  <c r="BI73" i="86"/>
  <c r="BI72" i="86"/>
  <c r="BI70" i="86"/>
  <c r="BI68" i="86"/>
  <c r="BI66" i="86"/>
  <c r="BI65" i="86"/>
  <c r="BI64" i="86"/>
  <c r="BI63" i="86"/>
  <c r="BI62" i="86"/>
  <c r="BI61" i="86"/>
  <c r="BI60" i="86"/>
  <c r="BI59" i="86"/>
  <c r="BI58" i="86"/>
  <c r="BI55" i="86"/>
  <c r="BI54" i="86"/>
  <c r="BI52" i="86"/>
  <c r="BI49" i="86"/>
  <c r="BI48" i="86"/>
  <c r="BI47" i="86"/>
  <c r="BI46" i="86"/>
  <c r="BI45" i="86"/>
  <c r="BI44" i="86"/>
  <c r="BI43" i="86"/>
  <c r="BI42" i="86"/>
  <c r="BI41" i="86"/>
  <c r="BI40" i="86"/>
  <c r="BI39" i="86"/>
  <c r="BI38" i="86"/>
  <c r="BI37" i="86"/>
  <c r="BI36" i="86"/>
  <c r="BI35" i="86"/>
  <c r="BI34" i="86"/>
  <c r="BI33" i="86"/>
  <c r="BI32" i="86"/>
  <c r="BI31" i="86"/>
  <c r="BI30" i="86"/>
  <c r="BI29" i="86"/>
  <c r="BI28" i="86"/>
  <c r="BI27" i="86"/>
  <c r="BI26" i="86"/>
  <c r="BI25" i="86"/>
  <c r="BI24" i="86"/>
  <c r="BI23" i="86"/>
  <c r="BI22" i="86"/>
  <c r="BI21" i="86"/>
  <c r="BI20" i="86"/>
  <c r="BI19" i="86"/>
  <c r="BI13" i="86"/>
  <c r="BI12" i="86"/>
  <c r="BI10" i="86"/>
  <c r="BI7" i="86"/>
  <c r="BI4" i="86"/>
  <c r="BI2" i="86"/>
  <c r="BH943" i="86"/>
  <c r="BH942" i="86"/>
  <c r="BH941" i="86"/>
  <c r="BH940" i="86"/>
  <c r="BH939" i="86"/>
  <c r="BH938" i="86"/>
  <c r="BH937" i="86"/>
  <c r="BH936" i="86"/>
  <c r="BH935" i="86"/>
  <c r="BH933" i="86"/>
  <c r="BH931" i="86"/>
  <c r="BH929" i="86"/>
  <c r="BH927" i="86"/>
  <c r="BH926" i="86"/>
  <c r="BH925" i="86"/>
  <c r="BH924" i="86"/>
  <c r="BH923" i="86"/>
  <c r="BH922" i="86"/>
  <c r="BH921" i="86"/>
  <c r="BH920" i="86"/>
  <c r="BH919" i="86"/>
  <c r="BH918" i="86"/>
  <c r="BH917" i="86"/>
  <c r="BH916" i="86"/>
  <c r="BH915" i="86"/>
  <c r="BH905" i="86"/>
  <c r="BH902" i="86"/>
  <c r="BH901" i="86"/>
  <c r="BH900" i="86"/>
  <c r="BH899" i="86"/>
  <c r="BH898" i="86"/>
  <c r="BH897" i="86"/>
  <c r="BH896" i="86"/>
  <c r="BH895" i="86"/>
  <c r="BH894" i="86"/>
  <c r="BH893" i="86"/>
  <c r="BH892" i="86"/>
  <c r="BH891" i="86"/>
  <c r="BH890" i="86"/>
  <c r="BH889" i="86"/>
  <c r="BH888" i="86"/>
  <c r="BH887" i="86"/>
  <c r="BH886" i="86"/>
  <c r="BH885" i="86"/>
  <c r="BH867" i="86"/>
  <c r="BH866" i="86"/>
  <c r="BH864" i="86"/>
  <c r="BH863" i="86"/>
  <c r="BH860" i="86"/>
  <c r="BH852" i="86"/>
  <c r="BH850" i="86"/>
  <c r="BH849" i="86"/>
  <c r="BH848" i="86"/>
  <c r="BH847" i="86"/>
  <c r="BH846" i="86"/>
  <c r="BH839" i="86"/>
  <c r="BH834" i="86"/>
  <c r="BH833" i="86"/>
  <c r="BH832" i="86"/>
  <c r="BH831" i="86"/>
  <c r="BH830" i="86"/>
  <c r="BH824" i="86"/>
  <c r="BJ824" i="86" s="1"/>
  <c r="BH818" i="86"/>
  <c r="BT818" i="86" s="1"/>
  <c r="CI818" i="86" s="1"/>
  <c r="BH816" i="86"/>
  <c r="BH811" i="86"/>
  <c r="BH810" i="86"/>
  <c r="BJ810" i="86" s="1"/>
  <c r="BH809" i="86"/>
  <c r="BH808" i="86"/>
  <c r="BH807" i="86"/>
  <c r="BH806" i="86"/>
  <c r="BH805" i="86"/>
  <c r="BH804" i="86"/>
  <c r="BH803" i="86"/>
  <c r="BH802" i="86"/>
  <c r="BT802" i="86" s="1"/>
  <c r="CI802" i="86" s="1"/>
  <c r="BH801" i="86"/>
  <c r="BJ801" i="86" s="1"/>
  <c r="BH800" i="86"/>
  <c r="BH799" i="86"/>
  <c r="BH798" i="86"/>
  <c r="BJ798" i="86" s="1"/>
  <c r="BH797" i="86"/>
  <c r="BT797" i="86" s="1"/>
  <c r="CI797" i="86" s="1"/>
  <c r="BH796" i="86"/>
  <c r="BH795" i="86"/>
  <c r="BH794" i="86"/>
  <c r="BH793" i="86"/>
  <c r="BH792" i="86"/>
  <c r="BH791" i="86"/>
  <c r="BH790" i="86"/>
  <c r="BH789" i="86"/>
  <c r="BJ789" i="86" s="1"/>
  <c r="BH788" i="86"/>
  <c r="BH787" i="86"/>
  <c r="BJ787" i="86" s="1"/>
  <c r="BH786" i="86"/>
  <c r="BT786" i="86" s="1"/>
  <c r="CI786" i="86" s="1"/>
  <c r="BH783" i="86"/>
  <c r="BT783" i="86" s="1"/>
  <c r="CI783" i="86" s="1"/>
  <c r="BH782" i="86"/>
  <c r="BH781" i="86"/>
  <c r="BH780" i="86"/>
  <c r="BT780" i="86" s="1"/>
  <c r="CI780" i="86" s="1"/>
  <c r="BH779" i="86"/>
  <c r="BH778" i="86"/>
  <c r="BH777" i="86"/>
  <c r="BJ777" i="86" s="1"/>
  <c r="BH770" i="86"/>
  <c r="BH769" i="86"/>
  <c r="BH768" i="86"/>
  <c r="BT768" i="86" s="1"/>
  <c r="BH767" i="86"/>
  <c r="BH766" i="86"/>
  <c r="BJ766" i="86" s="1"/>
  <c r="BH764" i="86"/>
  <c r="BH763" i="86"/>
  <c r="BH761" i="86"/>
  <c r="BH759" i="86"/>
  <c r="BH757" i="86"/>
  <c r="BH756" i="86"/>
  <c r="BJ756" i="86" s="1"/>
  <c r="BH755" i="86"/>
  <c r="BT755" i="86" s="1"/>
  <c r="CI755" i="86" s="1"/>
  <c r="BH754" i="86"/>
  <c r="BJ754" i="86" s="1"/>
  <c r="BH753" i="86"/>
  <c r="BH752" i="86"/>
  <c r="BJ752" i="86" s="1"/>
  <c r="BH751" i="86"/>
  <c r="BH750" i="86"/>
  <c r="BH749" i="86"/>
  <c r="BJ749" i="86" s="1"/>
  <c r="BH748" i="86"/>
  <c r="BH747" i="86"/>
  <c r="BH746" i="86"/>
  <c r="BJ746" i="86" s="1"/>
  <c r="BH745" i="86"/>
  <c r="BH744" i="86"/>
  <c r="BH743" i="86"/>
  <c r="BH742" i="86"/>
  <c r="BJ742" i="86" s="1"/>
  <c r="BH741" i="86"/>
  <c r="BT741" i="86" s="1"/>
  <c r="CI741" i="86" s="1"/>
  <c r="BH739" i="86"/>
  <c r="BH736" i="86"/>
  <c r="BJ736" i="86" s="1"/>
  <c r="BH735" i="86"/>
  <c r="BH734" i="86"/>
  <c r="BJ734" i="86" s="1"/>
  <c r="BH733" i="86"/>
  <c r="BH732" i="86"/>
  <c r="BH731" i="86"/>
  <c r="BT731" i="86" s="1"/>
  <c r="BH730" i="86"/>
  <c r="BH728" i="86"/>
  <c r="BH727" i="86"/>
  <c r="BT727" i="86" s="1"/>
  <c r="CI727" i="86" s="1"/>
  <c r="BH726" i="86"/>
  <c r="BH723" i="86"/>
  <c r="BH721" i="86"/>
  <c r="BH717" i="86"/>
  <c r="BJ717" i="86" s="1"/>
  <c r="BH716" i="86"/>
  <c r="BJ716" i="86" s="1"/>
  <c r="BH715" i="86"/>
  <c r="BH714" i="86"/>
  <c r="BH713" i="86"/>
  <c r="BT713" i="86" s="1"/>
  <c r="CI713" i="86" s="1"/>
  <c r="BH712" i="86"/>
  <c r="BH710" i="86"/>
  <c r="BJ710" i="86" s="1"/>
  <c r="BH708" i="86"/>
  <c r="BT708" i="86" s="1"/>
  <c r="CI708" i="86" s="1"/>
  <c r="BH707" i="86"/>
  <c r="BT707" i="86" s="1"/>
  <c r="BH694" i="86"/>
  <c r="BH693" i="86"/>
  <c r="BJ693" i="86" s="1"/>
  <c r="BH688" i="86"/>
  <c r="BH687" i="86"/>
  <c r="BH686" i="86"/>
  <c r="BT686" i="86" s="1"/>
  <c r="BH684" i="86"/>
  <c r="BH683" i="86"/>
  <c r="BH681" i="86"/>
  <c r="BH680" i="86"/>
  <c r="BJ680" i="86" s="1"/>
  <c r="BH676" i="86"/>
  <c r="BH675" i="86"/>
  <c r="BH674" i="86"/>
  <c r="BH673" i="86"/>
  <c r="BT673" i="86" s="1"/>
  <c r="CI673" i="86" s="1"/>
  <c r="BH672" i="86"/>
  <c r="BJ672" i="86" s="1"/>
  <c r="BH671" i="86"/>
  <c r="BH670" i="86"/>
  <c r="BH669" i="86"/>
  <c r="BH668" i="86"/>
  <c r="BJ668" i="86" s="1"/>
  <c r="BH651" i="86"/>
  <c r="BH650" i="86"/>
  <c r="BT650" i="86" s="1"/>
  <c r="BH649" i="86"/>
  <c r="BJ649" i="86" s="1"/>
  <c r="BH648" i="86"/>
  <c r="BH647" i="86"/>
  <c r="BH646" i="86"/>
  <c r="BJ646" i="86" s="1"/>
  <c r="BH645" i="86"/>
  <c r="BH644" i="86"/>
  <c r="BT644" i="86" s="1"/>
  <c r="BH643" i="86"/>
  <c r="BJ643" i="86" s="1"/>
  <c r="BH642" i="86"/>
  <c r="BJ642" i="86" s="1"/>
  <c r="BH633" i="86"/>
  <c r="BH632" i="86"/>
  <c r="BH627" i="86"/>
  <c r="BH626" i="86"/>
  <c r="BH624" i="86"/>
  <c r="BT624" i="86" s="1"/>
  <c r="BH623" i="86"/>
  <c r="BT623" i="86" s="1"/>
  <c r="CI623" i="86" s="1"/>
  <c r="BH622" i="86"/>
  <c r="BH621" i="86"/>
  <c r="BH620" i="86"/>
  <c r="BH619" i="86"/>
  <c r="BH618" i="86"/>
  <c r="BH617" i="86"/>
  <c r="BT617" i="86" s="1"/>
  <c r="BH616" i="86"/>
  <c r="BH615" i="86"/>
  <c r="BT615" i="86" s="1"/>
  <c r="BH614" i="86"/>
  <c r="BH613" i="86"/>
  <c r="BT613" i="86" s="1"/>
  <c r="BH612" i="86"/>
  <c r="BH611" i="86"/>
  <c r="BT611" i="86" s="1"/>
  <c r="CI611" i="86" s="1"/>
  <c r="BH610" i="86"/>
  <c r="BJ610" i="86" s="1"/>
  <c r="BH608" i="86"/>
  <c r="BJ608" i="86" s="1"/>
  <c r="BH606" i="86"/>
  <c r="BH605" i="86"/>
  <c r="BH604" i="86"/>
  <c r="BH603" i="86"/>
  <c r="BH600" i="86"/>
  <c r="BJ600" i="86" s="1"/>
  <c r="BH598" i="86"/>
  <c r="BH597" i="86"/>
  <c r="BH596" i="86"/>
  <c r="BT596" i="86" s="1"/>
  <c r="CI596" i="86" s="1"/>
  <c r="BH595" i="86"/>
  <c r="BJ595" i="86" s="1"/>
  <c r="BH590" i="86"/>
  <c r="BH589" i="86"/>
  <c r="BT589" i="86" s="1"/>
  <c r="CI589" i="86" s="1"/>
  <c r="BH588" i="86"/>
  <c r="BH587" i="86"/>
  <c r="BT587" i="86" s="1"/>
  <c r="BH585" i="86"/>
  <c r="BH584" i="86"/>
  <c r="BH583" i="86"/>
  <c r="BH582" i="86"/>
  <c r="BT582" i="86" s="1"/>
  <c r="BH581" i="86"/>
  <c r="BJ581" i="86" s="1"/>
  <c r="BH580" i="86"/>
  <c r="BH579" i="86"/>
  <c r="BH577" i="86"/>
  <c r="BH576" i="86"/>
  <c r="BJ576" i="86" s="1"/>
  <c r="BH575" i="86"/>
  <c r="BH574" i="86"/>
  <c r="BJ574" i="86" s="1"/>
  <c r="BH573" i="86"/>
  <c r="BT573" i="86" s="1"/>
  <c r="CI573" i="86" s="1"/>
  <c r="BH572" i="86"/>
  <c r="BJ572" i="86" s="1"/>
  <c r="BH571" i="86"/>
  <c r="BH568" i="86"/>
  <c r="BJ568" i="86" s="1"/>
  <c r="BH567" i="86"/>
  <c r="BH566" i="86"/>
  <c r="BH563" i="86"/>
  <c r="BJ563" i="86" s="1"/>
  <c r="BH562" i="86"/>
  <c r="BH560" i="86"/>
  <c r="BT560" i="86" s="1"/>
  <c r="CI560" i="86" s="1"/>
  <c r="BH559" i="86"/>
  <c r="BH558" i="86"/>
  <c r="BH557" i="86"/>
  <c r="BT557" i="86" s="1"/>
  <c r="BH556" i="86"/>
  <c r="BH555" i="86"/>
  <c r="BJ555" i="86" s="1"/>
  <c r="BH554" i="86"/>
  <c r="BH553" i="86"/>
  <c r="BJ553" i="86" s="1"/>
  <c r="BH552" i="86"/>
  <c r="BJ552" i="86" s="1"/>
  <c r="BH551" i="86"/>
  <c r="BH550" i="86"/>
  <c r="BH549" i="86"/>
  <c r="BT549" i="86" s="1"/>
  <c r="BH548" i="86"/>
  <c r="BH547" i="86"/>
  <c r="BJ547" i="86" s="1"/>
  <c r="BH546" i="86"/>
  <c r="BH545" i="86"/>
  <c r="BT545" i="86" s="1"/>
  <c r="CI545" i="86" s="1"/>
  <c r="BH544" i="86"/>
  <c r="BH543" i="86"/>
  <c r="BJ543" i="86" s="1"/>
  <c r="BH542" i="86"/>
  <c r="BH541" i="86"/>
  <c r="BH540" i="86"/>
  <c r="BH539" i="86"/>
  <c r="BH538" i="86"/>
  <c r="BH537" i="86"/>
  <c r="BH536" i="86"/>
  <c r="BH535" i="86"/>
  <c r="BH534" i="86"/>
  <c r="BH533" i="86"/>
  <c r="BJ533" i="86" s="1"/>
  <c r="BH532" i="86"/>
  <c r="BJ532" i="86" s="1"/>
  <c r="BH528" i="86"/>
  <c r="BJ528" i="86" s="1"/>
  <c r="BH527" i="86"/>
  <c r="BH526" i="86"/>
  <c r="BH525" i="86"/>
  <c r="BT525" i="86" s="1"/>
  <c r="BH524" i="86"/>
  <c r="BT524" i="86" s="1"/>
  <c r="BH523" i="86"/>
  <c r="BJ523" i="86" s="1"/>
  <c r="BH522" i="86"/>
  <c r="BT522" i="86" s="1"/>
  <c r="CI522" i="86" s="1"/>
  <c r="BH521" i="86"/>
  <c r="BH520" i="86"/>
  <c r="BH519" i="86"/>
  <c r="BH511" i="86"/>
  <c r="BH510" i="86"/>
  <c r="BH508" i="86"/>
  <c r="BH507" i="86"/>
  <c r="BH505" i="86"/>
  <c r="BH502" i="86"/>
  <c r="BH500" i="86"/>
  <c r="BH496" i="86"/>
  <c r="BH491" i="86"/>
  <c r="BH490" i="86"/>
  <c r="BH489" i="86"/>
  <c r="BH487" i="86"/>
  <c r="BH486" i="86"/>
  <c r="BH485" i="86"/>
  <c r="BH483" i="86"/>
  <c r="BH482" i="86"/>
  <c r="BH481" i="86"/>
  <c r="BH480" i="86"/>
  <c r="BH475" i="86"/>
  <c r="BH474" i="86"/>
  <c r="BH461" i="86"/>
  <c r="BH458" i="86"/>
  <c r="BH457" i="86"/>
  <c r="BH453" i="86"/>
  <c r="BH450" i="86"/>
  <c r="BH447" i="86"/>
  <c r="BH446" i="86"/>
  <c r="BH443" i="86"/>
  <c r="BH442" i="86"/>
  <c r="BH439" i="86"/>
  <c r="BH438" i="86"/>
  <c r="BH436" i="86"/>
  <c r="BH435" i="86"/>
  <c r="BH434" i="86"/>
  <c r="BH433" i="86"/>
  <c r="BH432" i="86"/>
  <c r="BH430" i="86"/>
  <c r="BH429" i="86"/>
  <c r="BH428" i="86"/>
  <c r="BH426" i="86"/>
  <c r="BH425" i="86"/>
  <c r="BH424" i="86"/>
  <c r="BH418" i="86"/>
  <c r="BH417" i="86"/>
  <c r="BH416" i="86"/>
  <c r="BH415" i="86"/>
  <c r="BH413" i="86"/>
  <c r="BH412" i="86"/>
  <c r="BH409" i="86"/>
  <c r="BH407" i="86"/>
  <c r="BH406" i="86"/>
  <c r="BH405" i="86"/>
  <c r="BH402" i="86"/>
  <c r="BH401" i="86"/>
  <c r="BH399" i="86"/>
  <c r="BH398" i="86"/>
  <c r="BH396" i="86"/>
  <c r="BH395" i="86"/>
  <c r="BH393" i="86"/>
  <c r="BH392" i="86"/>
  <c r="BH390" i="86"/>
  <c r="BH389" i="86"/>
  <c r="BH388" i="86"/>
  <c r="BH387" i="86"/>
  <c r="BH386" i="86"/>
  <c r="BH385" i="86"/>
  <c r="BH384" i="86"/>
  <c r="BH383" i="86"/>
  <c r="BH382" i="86"/>
  <c r="BH381" i="86"/>
  <c r="BH380" i="86"/>
  <c r="BH379" i="86"/>
  <c r="BH378" i="86"/>
  <c r="BH377" i="86"/>
  <c r="BH376" i="86"/>
  <c r="BH375" i="86"/>
  <c r="BH374" i="86"/>
  <c r="BH373" i="86"/>
  <c r="BH372" i="86"/>
  <c r="BH371" i="86"/>
  <c r="BH370" i="86"/>
  <c r="BH369" i="86"/>
  <c r="BH368" i="86"/>
  <c r="BH367" i="86"/>
  <c r="BH366" i="86"/>
  <c r="BH365" i="86"/>
  <c r="BH364" i="86"/>
  <c r="BH363" i="86"/>
  <c r="BH362" i="86"/>
  <c r="BH361" i="86"/>
  <c r="BH360" i="86"/>
  <c r="BH359" i="86"/>
  <c r="BH358" i="86"/>
  <c r="BH357" i="86"/>
  <c r="BH356" i="86"/>
  <c r="BH355" i="86"/>
  <c r="BH354" i="86"/>
  <c r="BH353" i="86"/>
  <c r="BH352" i="86"/>
  <c r="BH351" i="86"/>
  <c r="BH350" i="86"/>
  <c r="BH349" i="86"/>
  <c r="BH348" i="86"/>
  <c r="BH347" i="86"/>
  <c r="BH346" i="86"/>
  <c r="BH345" i="86"/>
  <c r="BH344" i="86"/>
  <c r="BH343" i="86"/>
  <c r="BH342" i="86"/>
  <c r="BH341" i="86"/>
  <c r="BH340" i="86"/>
  <c r="BH339" i="86"/>
  <c r="BH333" i="86"/>
  <c r="BH332" i="86"/>
  <c r="BH331" i="86"/>
  <c r="BH330" i="86"/>
  <c r="BH329" i="86"/>
  <c r="BH328" i="86"/>
  <c r="BH327" i="86"/>
  <c r="BH325" i="86"/>
  <c r="BH323" i="86"/>
  <c r="BH321" i="86"/>
  <c r="BH320" i="86"/>
  <c r="BH319" i="86"/>
  <c r="BH318" i="86"/>
  <c r="BH317" i="86"/>
  <c r="BH315" i="86"/>
  <c r="BH314" i="86"/>
  <c r="BH313" i="86"/>
  <c r="BH312" i="86"/>
  <c r="BH311" i="86"/>
  <c r="BH305" i="86"/>
  <c r="BH304" i="86"/>
  <c r="BH303" i="86"/>
  <c r="BH300" i="86"/>
  <c r="BH299" i="86"/>
  <c r="BH298" i="86"/>
  <c r="BH297" i="86"/>
  <c r="BH296" i="86"/>
  <c r="BH295" i="86"/>
  <c r="BH261" i="86"/>
  <c r="BH257" i="86"/>
  <c r="BH256" i="86"/>
  <c r="BH255" i="86"/>
  <c r="BH251" i="86"/>
  <c r="BH250" i="86"/>
  <c r="BH249" i="86"/>
  <c r="BH248" i="86"/>
  <c r="BH247" i="86"/>
  <c r="BH246" i="86"/>
  <c r="BH245" i="86"/>
  <c r="BH244" i="86"/>
  <c r="BH243" i="86"/>
  <c r="BH242" i="86"/>
  <c r="BH241" i="86"/>
  <c r="BH240" i="86"/>
  <c r="BH239" i="86"/>
  <c r="BH238" i="86"/>
  <c r="BH237" i="86"/>
  <c r="BH236" i="86"/>
  <c r="BH235" i="86"/>
  <c r="BH234" i="86"/>
  <c r="BH233" i="86"/>
  <c r="BH232" i="86"/>
  <c r="BH231" i="86"/>
  <c r="BH229" i="86"/>
  <c r="BH228" i="86"/>
  <c r="BH227" i="86"/>
  <c r="BH226" i="86"/>
  <c r="BH225" i="86"/>
  <c r="BH224" i="86"/>
  <c r="BH223" i="86"/>
  <c r="BH222" i="86"/>
  <c r="BH221" i="86"/>
  <c r="BH215" i="86"/>
  <c r="BH214" i="86"/>
  <c r="BH213" i="86"/>
  <c r="BH211" i="86"/>
  <c r="BH210" i="86"/>
  <c r="BH209" i="86"/>
  <c r="BH205" i="86"/>
  <c r="BH204" i="86"/>
  <c r="BH203" i="86"/>
  <c r="BH202" i="86"/>
  <c r="BH201" i="86"/>
  <c r="BH200" i="86"/>
  <c r="BH199" i="86"/>
  <c r="BH198" i="86"/>
  <c r="BH197" i="86"/>
  <c r="BH196" i="86"/>
  <c r="BH195" i="86"/>
  <c r="BH194" i="86"/>
  <c r="BH193" i="86"/>
  <c r="BH192" i="86"/>
  <c r="BH191" i="86"/>
  <c r="BH190" i="86"/>
  <c r="BH189" i="86"/>
  <c r="BH188" i="86"/>
  <c r="BH187" i="86"/>
  <c r="BN187" i="86" s="1"/>
  <c r="BO187" i="86" s="1"/>
  <c r="BH186" i="86"/>
  <c r="BN186" i="86" s="1"/>
  <c r="BH185" i="86"/>
  <c r="BH184" i="86"/>
  <c r="BN184" i="86" s="1"/>
  <c r="BH182" i="86"/>
  <c r="BH181" i="86"/>
  <c r="BH180" i="86"/>
  <c r="BH179" i="86"/>
  <c r="BH178" i="86"/>
  <c r="BH177" i="86"/>
  <c r="BH175" i="86"/>
  <c r="BH173" i="86"/>
  <c r="BH172" i="86"/>
  <c r="BH171" i="86"/>
  <c r="BH168" i="86"/>
  <c r="BH167" i="86"/>
  <c r="BH166" i="86"/>
  <c r="BH164" i="86"/>
  <c r="BH163" i="86"/>
  <c r="BH162" i="86"/>
  <c r="BH155" i="86"/>
  <c r="BH153" i="86"/>
  <c r="BH152" i="86"/>
  <c r="BH151" i="86"/>
  <c r="BH150" i="86"/>
  <c r="BH149" i="86"/>
  <c r="BH148" i="86"/>
  <c r="BH146" i="86"/>
  <c r="BH145" i="86"/>
  <c r="BH144" i="86"/>
  <c r="BH143" i="86"/>
  <c r="BH142" i="86"/>
  <c r="BH141" i="86"/>
  <c r="BH136" i="86"/>
  <c r="BH135" i="86"/>
  <c r="BH133" i="86"/>
  <c r="BH132" i="86"/>
  <c r="BH131" i="86"/>
  <c r="BH129" i="86"/>
  <c r="BH128" i="86"/>
  <c r="BH127" i="86"/>
  <c r="BH126" i="86"/>
  <c r="BH123" i="86"/>
  <c r="BH121" i="86"/>
  <c r="BH120" i="86"/>
  <c r="BH119" i="86"/>
  <c r="BH115" i="86"/>
  <c r="BH114" i="86"/>
  <c r="BH112" i="86"/>
  <c r="BH111" i="86"/>
  <c r="BH110" i="86"/>
  <c r="BH109" i="86"/>
  <c r="BH108" i="86"/>
  <c r="BH105" i="86"/>
  <c r="BH94" i="86"/>
  <c r="BH93" i="86"/>
  <c r="BH92" i="86"/>
  <c r="BH91" i="86"/>
  <c r="BH90" i="86"/>
  <c r="BH89" i="86"/>
  <c r="BH88" i="86"/>
  <c r="BH87" i="86"/>
  <c r="BH86" i="86"/>
  <c r="BH85" i="86"/>
  <c r="BH84" i="86"/>
  <c r="BH83" i="86"/>
  <c r="BH82" i="86"/>
  <c r="BH81" i="86"/>
  <c r="BH80" i="86"/>
  <c r="BH79" i="86"/>
  <c r="BH78" i="86"/>
  <c r="BH77" i="86"/>
  <c r="BH76" i="86"/>
  <c r="BH75" i="86"/>
  <c r="BH74" i="86"/>
  <c r="BH73" i="86"/>
  <c r="BH72" i="86"/>
  <c r="BH70" i="86"/>
  <c r="BH66" i="86"/>
  <c r="BH65" i="86"/>
  <c r="BH64" i="86"/>
  <c r="BH63" i="86"/>
  <c r="BH62" i="86"/>
  <c r="BH61" i="86"/>
  <c r="BH60" i="86"/>
  <c r="BH59" i="86"/>
  <c r="BH58" i="86"/>
  <c r="BH55" i="86"/>
  <c r="BH54" i="86"/>
  <c r="BH52" i="86"/>
  <c r="BH49" i="86"/>
  <c r="BH48" i="86"/>
  <c r="BH47" i="86"/>
  <c r="BH46" i="86"/>
  <c r="BH45" i="86"/>
  <c r="BH44" i="86"/>
  <c r="BH43" i="86"/>
  <c r="BH42" i="86"/>
  <c r="BH41" i="86"/>
  <c r="BH40" i="86"/>
  <c r="BH39" i="86"/>
  <c r="BH38" i="86"/>
  <c r="BH37" i="86"/>
  <c r="BH36" i="86"/>
  <c r="BH35" i="86"/>
  <c r="BH34" i="86"/>
  <c r="BH33" i="86"/>
  <c r="BH32" i="86"/>
  <c r="BH31" i="86"/>
  <c r="BH30" i="86"/>
  <c r="BH29" i="86"/>
  <c r="BH28" i="86"/>
  <c r="BH27" i="86"/>
  <c r="BH26" i="86"/>
  <c r="BH25" i="86"/>
  <c r="BH24" i="86"/>
  <c r="BH23" i="86"/>
  <c r="BH22" i="86"/>
  <c r="BH21" i="86"/>
  <c r="BH20" i="86"/>
  <c r="BH19" i="86"/>
  <c r="BH13" i="86"/>
  <c r="BH12" i="86"/>
  <c r="BH10" i="86"/>
  <c r="BH7" i="86"/>
  <c r="BH4" i="86"/>
  <c r="BH2" i="86"/>
  <c r="BF215" i="86"/>
  <c r="AX853" i="86"/>
  <c r="BI853" i="86" s="1"/>
  <c r="AN3" i="90"/>
  <c r="AN5" i="90"/>
  <c r="AN6" i="90"/>
  <c r="AN7" i="90"/>
  <c r="AN8" i="90"/>
  <c r="BE420" i="86"/>
  <c r="BE335" i="86"/>
  <c r="BE308" i="86"/>
  <c r="AX419" i="86"/>
  <c r="B92" i="91"/>
  <c r="B120" i="91"/>
  <c r="B114" i="91"/>
  <c r="B91" i="91"/>
  <c r="B109" i="91"/>
  <c r="B93" i="91"/>
  <c r="B40" i="91"/>
  <c r="B26" i="91"/>
  <c r="B81" i="91"/>
  <c r="B35" i="91"/>
  <c r="B27" i="91"/>
  <c r="B28" i="91"/>
  <c r="B97" i="91"/>
  <c r="B101" i="91"/>
  <c r="B113" i="91"/>
  <c r="B78" i="91"/>
  <c r="B100" i="91"/>
  <c r="B86" i="91"/>
  <c r="B95" i="91"/>
  <c r="B87" i="91"/>
  <c r="B25" i="91"/>
  <c r="B82" i="91"/>
  <c r="B83" i="91"/>
  <c r="B55" i="91"/>
  <c r="B33" i="91"/>
  <c r="B77" i="91"/>
  <c r="AX410" i="86"/>
  <c r="BH410" i="86" s="1"/>
  <c r="AX467" i="86"/>
  <c r="BD467" i="86" s="1"/>
  <c r="AX459" i="86"/>
  <c r="BD459" i="86" s="1"/>
  <c r="AX140" i="86"/>
  <c r="AX845" i="86"/>
  <c r="BI845" i="86" s="1"/>
  <c r="AX561" i="86"/>
  <c r="BD561" i="86" s="1"/>
  <c r="AX206" i="86"/>
  <c r="BI206" i="86" s="1"/>
  <c r="AY827" i="86"/>
  <c r="BK827" i="86" s="1"/>
  <c r="AY826" i="86"/>
  <c r="AY932" i="86"/>
  <c r="BL932" i="86" s="1"/>
  <c r="AY930" i="86"/>
  <c r="BE930" i="86" s="1"/>
  <c r="AY913" i="86"/>
  <c r="BL913" i="86" s="1"/>
  <c r="AY912" i="86"/>
  <c r="AY911" i="86"/>
  <c r="BK911" i="86" s="1"/>
  <c r="AY909" i="86"/>
  <c r="BE909" i="86" s="1"/>
  <c r="AY16" i="86"/>
  <c r="AY15" i="86"/>
  <c r="AY451" i="86"/>
  <c r="BT451" i="86" s="1"/>
  <c r="CI451" i="86" s="1"/>
  <c r="AY448" i="86"/>
  <c r="AY336" i="86"/>
  <c r="AY310" i="86"/>
  <c r="BT310" i="86" s="1"/>
  <c r="CI310" i="86" s="1"/>
  <c r="AY307" i="86"/>
  <c r="AY165" i="86"/>
  <c r="AY161" i="86"/>
  <c r="BT161" i="86" s="1"/>
  <c r="AY160" i="86"/>
  <c r="AY159" i="86"/>
  <c r="BE159" i="86" s="1"/>
  <c r="AY158" i="86"/>
  <c r="BT158" i="86" s="1"/>
  <c r="AY157" i="86"/>
  <c r="BE157" i="86" s="1"/>
  <c r="AY156" i="86"/>
  <c r="AY154" i="86"/>
  <c r="BN154" i="86" s="1"/>
  <c r="AY631" i="86"/>
  <c r="BK631" i="86" s="1"/>
  <c r="AY630" i="86"/>
  <c r="AY629" i="86"/>
  <c r="BE629" i="86" s="1"/>
  <c r="AY122" i="86"/>
  <c r="AY907" i="86"/>
  <c r="AY906" i="86"/>
  <c r="BL906" i="86" s="1"/>
  <c r="BN829" i="86"/>
  <c r="BO829" i="86" s="1"/>
  <c r="BK829" i="86"/>
  <c r="BL829" i="86"/>
  <c r="AY859" i="86"/>
  <c r="BE859" i="86" s="1"/>
  <c r="AY858" i="86"/>
  <c r="BK858" i="86" s="1"/>
  <c r="AY844" i="86"/>
  <c r="BE844" i="86" s="1"/>
  <c r="AY861" i="86"/>
  <c r="BE861" i="86" s="1"/>
  <c r="AY840" i="86"/>
  <c r="AY838" i="86"/>
  <c r="AY837" i="86"/>
  <c r="BL837" i="86" s="1"/>
  <c r="AY823" i="86"/>
  <c r="AY820" i="86"/>
  <c r="AY740" i="86"/>
  <c r="AY720" i="86"/>
  <c r="BN720" i="86" s="1"/>
  <c r="AY719" i="86"/>
  <c r="AY718" i="86"/>
  <c r="AY772" i="86"/>
  <c r="BL772" i="86" s="1"/>
  <c r="AY773" i="86"/>
  <c r="BL773" i="86" s="1"/>
  <c r="AY771" i="86"/>
  <c r="BK771" i="86" s="1"/>
  <c r="AY835" i="86"/>
  <c r="BE835" i="86" s="1"/>
  <c r="AY843" i="86"/>
  <c r="AY842" i="86"/>
  <c r="BL842" i="86" s="1"/>
  <c r="AY836" i="86"/>
  <c r="AY815" i="86"/>
  <c r="BE815" i="86" s="1"/>
  <c r="AY813" i="86"/>
  <c r="BT813" i="86" s="1"/>
  <c r="CI813" i="86" s="1"/>
  <c r="AY530" i="86"/>
  <c r="BN530" i="86" s="1"/>
  <c r="BO530" i="86" s="1"/>
  <c r="AY529" i="86"/>
  <c r="BE529" i="86" s="1"/>
  <c r="AY207" i="86"/>
  <c r="BL207" i="86" s="1"/>
  <c r="AY130" i="86"/>
  <c r="BK130" i="86" s="1"/>
  <c r="AY139" i="86"/>
  <c r="BL139" i="86" s="1"/>
  <c r="AY137" i="86"/>
  <c r="AY599" i="86"/>
  <c r="AY691" i="86"/>
  <c r="AY711" i="86"/>
  <c r="AY709" i="86"/>
  <c r="BK709" i="86" s="1"/>
  <c r="AY702" i="86"/>
  <c r="BE702" i="86" s="1"/>
  <c r="AX53" i="86"/>
  <c r="AX904" i="86"/>
  <c r="BH904" i="86" s="1"/>
  <c r="AX903" i="86"/>
  <c r="AX865" i="86"/>
  <c r="BH865" i="86" s="1"/>
  <c r="AX841" i="86"/>
  <c r="AX934" i="86"/>
  <c r="BD934" i="86" s="1"/>
  <c r="AX910" i="86"/>
  <c r="BD910" i="86" s="1"/>
  <c r="AX908" i="86"/>
  <c r="BI908" i="86" s="1"/>
  <c r="AX183" i="86"/>
  <c r="AX125" i="86"/>
  <c r="BN125" i="86" s="1"/>
  <c r="BO125" i="86" s="1"/>
  <c r="AX423" i="86"/>
  <c r="AX326" i="86"/>
  <c r="BH326" i="86" s="1"/>
  <c r="AX337" i="86"/>
  <c r="BD337" i="86" s="1"/>
  <c r="AX324" i="86"/>
  <c r="BH324" i="86" s="1"/>
  <c r="AX738" i="86"/>
  <c r="BD738" i="86" s="1"/>
  <c r="AX334" i="86"/>
  <c r="BH334" i="86" s="1"/>
  <c r="AX509" i="86"/>
  <c r="BI509" i="86" s="1"/>
  <c r="AX316" i="86"/>
  <c r="BH316" i="86" s="1"/>
  <c r="AX57" i="86"/>
  <c r="AX56" i="86"/>
  <c r="AX117" i="86"/>
  <c r="BI117" i="86" s="1"/>
  <c r="AX252" i="86"/>
  <c r="BD252" i="86" s="1"/>
  <c r="AX254" i="86"/>
  <c r="BD254" i="86" s="1"/>
  <c r="AX230" i="86"/>
  <c r="AX851" i="86"/>
  <c r="BD851" i="86" s="1"/>
  <c r="AX862" i="86"/>
  <c r="BH862" i="86" s="1"/>
  <c r="AX397" i="86"/>
  <c r="BH397" i="86" s="1"/>
  <c r="AX625" i="86"/>
  <c r="AX762" i="86"/>
  <c r="AX592" i="86"/>
  <c r="AX586" i="86"/>
  <c r="AX449" i="86"/>
  <c r="BI449" i="86" s="1"/>
  <c r="AX460" i="86"/>
  <c r="BD460" i="86" s="1"/>
  <c r="BD491" i="86"/>
  <c r="BH758" i="86"/>
  <c r="BI758" i="86"/>
  <c r="BI338" i="86"/>
  <c r="BO675" i="86"/>
  <c r="BD626" i="86"/>
  <c r="BD232" i="86"/>
  <c r="BO626" i="86"/>
  <c r="BD256" i="86"/>
  <c r="L385" i="86"/>
  <c r="BI928" i="86"/>
  <c r="BH928" i="86"/>
  <c r="BO644" i="86"/>
  <c r="L620" i="86"/>
  <c r="BD620" i="86"/>
  <c r="BI944" i="86"/>
  <c r="BH944" i="86"/>
  <c r="BD937" i="86"/>
  <c r="BD413" i="86"/>
  <c r="BI729" i="86"/>
  <c r="BO781" i="86"/>
  <c r="L644" i="86"/>
  <c r="L624" i="86"/>
  <c r="BI724" i="86"/>
  <c r="BO485" i="86"/>
  <c r="BH725" i="86"/>
  <c r="L622" i="86"/>
  <c r="BO505" i="86"/>
  <c r="BD485" i="86"/>
  <c r="BK720" i="86"/>
  <c r="BE720" i="86"/>
  <c r="BE837" i="86"/>
  <c r="BE773" i="86"/>
  <c r="BD489" i="86"/>
  <c r="BD505" i="86"/>
  <c r="L232" i="86"/>
  <c r="BO232" i="86"/>
  <c r="BH737" i="86"/>
  <c r="L612" i="86"/>
  <c r="BD612" i="86"/>
  <c r="L744" i="86"/>
  <c r="BJ792" i="86" l="1"/>
  <c r="BD853" i="86"/>
  <c r="BE813" i="86"/>
  <c r="BT612" i="86"/>
  <c r="CI612" i="86" s="1"/>
  <c r="BJ535" i="86"/>
  <c r="L337" i="86"/>
  <c r="CM337" i="86"/>
  <c r="CL337" i="86"/>
  <c r="CJ337" i="86"/>
  <c r="CK337" i="86"/>
  <c r="CM725" i="86"/>
  <c r="CJ725" i="86"/>
  <c r="CK725" i="86"/>
  <c r="CL725" i="86"/>
  <c r="L729" i="86"/>
  <c r="CM729" i="86"/>
  <c r="CJ729" i="86"/>
  <c r="CK729" i="86"/>
  <c r="CL729" i="86"/>
  <c r="BI737" i="86"/>
  <c r="BJ737" i="86" s="1"/>
  <c r="CM737" i="86"/>
  <c r="CJ737" i="86"/>
  <c r="CK737" i="86"/>
  <c r="CL737" i="86"/>
  <c r="CM825" i="86"/>
  <c r="CJ825" i="86"/>
  <c r="CK825" i="86"/>
  <c r="CL825" i="86"/>
  <c r="L953" i="86"/>
  <c r="B4" i="93" s="1"/>
  <c r="CM953" i="86"/>
  <c r="CJ953" i="86"/>
  <c r="CK953" i="86"/>
  <c r="CL953" i="86"/>
  <c r="BH338" i="86"/>
  <c r="BJ338" i="86" s="1"/>
  <c r="CM338" i="86"/>
  <c r="CJ338" i="86"/>
  <c r="CK338" i="86"/>
  <c r="CL338" i="86"/>
  <c r="L421" i="86"/>
  <c r="CM421" i="86"/>
  <c r="CL421" i="86"/>
  <c r="CJ421" i="86"/>
  <c r="CK421" i="86"/>
  <c r="L607" i="86"/>
  <c r="CM607" i="86"/>
  <c r="CL607" i="86"/>
  <c r="CJ607" i="86"/>
  <c r="CK607" i="86"/>
  <c r="L758" i="86"/>
  <c r="CM758" i="86"/>
  <c r="CK758" i="86"/>
  <c r="CL758" i="86"/>
  <c r="CJ758" i="86"/>
  <c r="L208" i="86"/>
  <c r="CM208" i="86"/>
  <c r="CK208" i="86"/>
  <c r="CL208" i="86"/>
  <c r="CJ208" i="86"/>
  <c r="BI609" i="86"/>
  <c r="CM609" i="86"/>
  <c r="CJ609" i="86"/>
  <c r="CK609" i="86"/>
  <c r="CL609" i="86"/>
  <c r="L724" i="86"/>
  <c r="CM724" i="86"/>
  <c r="CJ724" i="86"/>
  <c r="CK724" i="86"/>
  <c r="CL724" i="86"/>
  <c r="L776" i="86"/>
  <c r="CM776" i="86"/>
  <c r="CJ776" i="86"/>
  <c r="CK776" i="86"/>
  <c r="CL776" i="86"/>
  <c r="L928" i="86"/>
  <c r="CM928" i="86"/>
  <c r="CJ928" i="86"/>
  <c r="CK928" i="86"/>
  <c r="CL928" i="86"/>
  <c r="L944" i="86"/>
  <c r="CM944" i="86"/>
  <c r="CJ944" i="86"/>
  <c r="CK944" i="86"/>
  <c r="CL944" i="86"/>
  <c r="BT567" i="86"/>
  <c r="CI567" i="86" s="1"/>
  <c r="B4" i="96"/>
  <c r="BJ603" i="86"/>
  <c r="CI954" i="86"/>
  <c r="CH768" i="86"/>
  <c r="CI768" i="86"/>
  <c r="CH881" i="86"/>
  <c r="CI881" i="86"/>
  <c r="CH877" i="86"/>
  <c r="CI877" i="86"/>
  <c r="CH869" i="86"/>
  <c r="CI869" i="86"/>
  <c r="CH855" i="86"/>
  <c r="CI855" i="86"/>
  <c r="CH812" i="86"/>
  <c r="CI812" i="86"/>
  <c r="CH775" i="86"/>
  <c r="CI775" i="86"/>
  <c r="CH705" i="86"/>
  <c r="CI705" i="86"/>
  <c r="CH696" i="86"/>
  <c r="CI696" i="86"/>
  <c r="CH689" i="86"/>
  <c r="CI689" i="86"/>
  <c r="CH665" i="86"/>
  <c r="CI665" i="86"/>
  <c r="CH661" i="86"/>
  <c r="CI661" i="86"/>
  <c r="CH309" i="86"/>
  <c r="CI309" i="86"/>
  <c r="CH217" i="86"/>
  <c r="CI217" i="86"/>
  <c r="CH170" i="86"/>
  <c r="CI170" i="86"/>
  <c r="CH124" i="86"/>
  <c r="CI124" i="86"/>
  <c r="CH524" i="86"/>
  <c r="CI524" i="86"/>
  <c r="CH615" i="86"/>
  <c r="CI615" i="86"/>
  <c r="CH644" i="86"/>
  <c r="CI644" i="86"/>
  <c r="CH280" i="86"/>
  <c r="CI280" i="86"/>
  <c r="CH291" i="86"/>
  <c r="CI291" i="86"/>
  <c r="CH884" i="86"/>
  <c r="CI884" i="86"/>
  <c r="CH880" i="86"/>
  <c r="CI880" i="86"/>
  <c r="CH868" i="86"/>
  <c r="CI868" i="86"/>
  <c r="CH699" i="86"/>
  <c r="CI699" i="86"/>
  <c r="CH660" i="86"/>
  <c r="CI660" i="86"/>
  <c r="CH578" i="86"/>
  <c r="CI578" i="86"/>
  <c r="CH473" i="86"/>
  <c r="CI473" i="86"/>
  <c r="CH468" i="86"/>
  <c r="CI468" i="86"/>
  <c r="CH456" i="86"/>
  <c r="CI456" i="86"/>
  <c r="CH275" i="86"/>
  <c r="CI275" i="86"/>
  <c r="CH220" i="86"/>
  <c r="CI220" i="86"/>
  <c r="CH216" i="86"/>
  <c r="CI216" i="86"/>
  <c r="CH169" i="86"/>
  <c r="CI169" i="86"/>
  <c r="CH3" i="86"/>
  <c r="CI3" i="86"/>
  <c r="CH285" i="86"/>
  <c r="CI285" i="86"/>
  <c r="CH518" i="86"/>
  <c r="CI518" i="86"/>
  <c r="CH854" i="86"/>
  <c r="CI854" i="86"/>
  <c r="CH587" i="86"/>
  <c r="CI587" i="86"/>
  <c r="CH686" i="86"/>
  <c r="CI686" i="86"/>
  <c r="CH871" i="86"/>
  <c r="CI871" i="86"/>
  <c r="CH857" i="86"/>
  <c r="CI857" i="86"/>
  <c r="CH765" i="86"/>
  <c r="CI765" i="86"/>
  <c r="CH698" i="86"/>
  <c r="CI698" i="86"/>
  <c r="CH667" i="86"/>
  <c r="CI667" i="86"/>
  <c r="CH602" i="86"/>
  <c r="CI602" i="86"/>
  <c r="CH570" i="86"/>
  <c r="CI570" i="86"/>
  <c r="CH501" i="86"/>
  <c r="CI501" i="86"/>
  <c r="CH493" i="86"/>
  <c r="CI493" i="86"/>
  <c r="CH472" i="86"/>
  <c r="CI472" i="86"/>
  <c r="CH466" i="86"/>
  <c r="CI466" i="86"/>
  <c r="CH455" i="86"/>
  <c r="CI455" i="86"/>
  <c r="CH99" i="86"/>
  <c r="CI99" i="86"/>
  <c r="CH95" i="86"/>
  <c r="CI95" i="86"/>
  <c r="CH17" i="86"/>
  <c r="CI17" i="86"/>
  <c r="CH8" i="86"/>
  <c r="CI8" i="86"/>
  <c r="CH497" i="86"/>
  <c r="CI497" i="86"/>
  <c r="CH161" i="86"/>
  <c r="CI161" i="86"/>
  <c r="CH525" i="86"/>
  <c r="CI525" i="86"/>
  <c r="CH582" i="86"/>
  <c r="CI582" i="86"/>
  <c r="CH624" i="86"/>
  <c r="CI624" i="86"/>
  <c r="CH731" i="86"/>
  <c r="CI731" i="86"/>
  <c r="CH158" i="86"/>
  <c r="CI158" i="86"/>
  <c r="CH549" i="86"/>
  <c r="CI549" i="86"/>
  <c r="CH557" i="86"/>
  <c r="CI557" i="86"/>
  <c r="CH613" i="86"/>
  <c r="CI613" i="86"/>
  <c r="CH617" i="86"/>
  <c r="CI617" i="86"/>
  <c r="CH650" i="86"/>
  <c r="CI650" i="86"/>
  <c r="CH707" i="86"/>
  <c r="CI707" i="86"/>
  <c r="CH878" i="86"/>
  <c r="CI878" i="86"/>
  <c r="CH706" i="86"/>
  <c r="CI706" i="86"/>
  <c r="CH690" i="86"/>
  <c r="CI690" i="86"/>
  <c r="CH666" i="86"/>
  <c r="CI666" i="86"/>
  <c r="CH499" i="86"/>
  <c r="CI499" i="86"/>
  <c r="CH470" i="86"/>
  <c r="CI470" i="86"/>
  <c r="CH391" i="86"/>
  <c r="CI391" i="86"/>
  <c r="CH281" i="86"/>
  <c r="CI281" i="86"/>
  <c r="CH218" i="86"/>
  <c r="CI218" i="86"/>
  <c r="CH208" i="86"/>
  <c r="CI208" i="86"/>
  <c r="CH138" i="86"/>
  <c r="CI138" i="86"/>
  <c r="CH107" i="86"/>
  <c r="CI107" i="86"/>
  <c r="CH102" i="86"/>
  <c r="CI102" i="86"/>
  <c r="CH14" i="86"/>
  <c r="CI14" i="86"/>
  <c r="CF966" i="86"/>
  <c r="CI966" i="86"/>
  <c r="BJ616" i="86"/>
  <c r="BT645" i="86"/>
  <c r="L941" i="86"/>
  <c r="BI337" i="86"/>
  <c r="BO937" i="86"/>
  <c r="BJ781" i="86"/>
  <c r="AZ953" i="86"/>
  <c r="BT953" i="86" s="1"/>
  <c r="BO745" i="86"/>
  <c r="BO889" i="86"/>
  <c r="L737" i="86"/>
  <c r="BL130" i="86"/>
  <c r="BM130" i="86" s="1"/>
  <c r="BD621" i="86"/>
  <c r="BO941" i="86"/>
  <c r="BO621" i="86"/>
  <c r="BD241" i="86"/>
  <c r="BD745" i="86"/>
  <c r="BH729" i="86"/>
  <c r="BT729" i="86" s="1"/>
  <c r="BD889" i="86"/>
  <c r="BJ745" i="86"/>
  <c r="BL827" i="86"/>
  <c r="BM827" i="86" s="1"/>
  <c r="BE130" i="86"/>
  <c r="BT119" i="86"/>
  <c r="CI119" i="86" s="1"/>
  <c r="BT566" i="86"/>
  <c r="BJ632" i="86"/>
  <c r="BJ551" i="86"/>
  <c r="BT730" i="86"/>
  <c r="CF730" i="86" s="1"/>
  <c r="BT598" i="86"/>
  <c r="BT531" i="86"/>
  <c r="CI531" i="86" s="1"/>
  <c r="BF531" i="86"/>
  <c r="CH966" i="86"/>
  <c r="CG966" i="86"/>
  <c r="BT115" i="86"/>
  <c r="CF522" i="86"/>
  <c r="CH522" i="86"/>
  <c r="CG713" i="86"/>
  <c r="CH713" i="86"/>
  <c r="CG408" i="86"/>
  <c r="CH408" i="86"/>
  <c r="CG700" i="86"/>
  <c r="CH700" i="86"/>
  <c r="CG678" i="86"/>
  <c r="CH678" i="86"/>
  <c r="CF657" i="86"/>
  <c r="CH657" i="86"/>
  <c r="CF653" i="86"/>
  <c r="CH653" i="86"/>
  <c r="CG594" i="86"/>
  <c r="CH594" i="86"/>
  <c r="CF515" i="86"/>
  <c r="CH515" i="86"/>
  <c r="CG477" i="86"/>
  <c r="CH477" i="86"/>
  <c r="CG469" i="86"/>
  <c r="CH469" i="86"/>
  <c r="CG463" i="86"/>
  <c r="CH463" i="86"/>
  <c r="CG421" i="86"/>
  <c r="CH421" i="86"/>
  <c r="CG294" i="86"/>
  <c r="CH294" i="86"/>
  <c r="CG278" i="86"/>
  <c r="CH278" i="86"/>
  <c r="CG253" i="86"/>
  <c r="CH253" i="86"/>
  <c r="CG106" i="86"/>
  <c r="CH106" i="86"/>
  <c r="CF101" i="86"/>
  <c r="CH101" i="86"/>
  <c r="CF97" i="86"/>
  <c r="CH97" i="86"/>
  <c r="CG50" i="86"/>
  <c r="CH50" i="86"/>
  <c r="CG451" i="86"/>
  <c r="CH451" i="86"/>
  <c r="CG589" i="86"/>
  <c r="CH589" i="86"/>
  <c r="CF708" i="86"/>
  <c r="CH708" i="86"/>
  <c r="CF266" i="86"/>
  <c r="CH266" i="86"/>
  <c r="CG282" i="86"/>
  <c r="CH282" i="86"/>
  <c r="CG876" i="86"/>
  <c r="CH876" i="86"/>
  <c r="CF872" i="86"/>
  <c r="CH872" i="86"/>
  <c r="CG822" i="86"/>
  <c r="CH822" i="86"/>
  <c r="CG785" i="86"/>
  <c r="CH785" i="86"/>
  <c r="CG774" i="86"/>
  <c r="CH774" i="86"/>
  <c r="CF704" i="86"/>
  <c r="CH704" i="86"/>
  <c r="CF695" i="86"/>
  <c r="CH695" i="86"/>
  <c r="CG685" i="86"/>
  <c r="CH685" i="86"/>
  <c r="CG677" i="86"/>
  <c r="CH677" i="86"/>
  <c r="CF664" i="86"/>
  <c r="CH664" i="86"/>
  <c r="CF656" i="86"/>
  <c r="CH656" i="86"/>
  <c r="CG652" i="86"/>
  <c r="CH652" i="86"/>
  <c r="CG514" i="86"/>
  <c r="CH514" i="86"/>
  <c r="CG494" i="86"/>
  <c r="CH494" i="86"/>
  <c r="CF400" i="86"/>
  <c r="CH400" i="86"/>
  <c r="CG306" i="86"/>
  <c r="CH306" i="86"/>
  <c r="CG287" i="86"/>
  <c r="CH287" i="86"/>
  <c r="CG118" i="86"/>
  <c r="CH118" i="86"/>
  <c r="CG104" i="86"/>
  <c r="CH104" i="86"/>
  <c r="CF100" i="86"/>
  <c r="CH100" i="86"/>
  <c r="CF96" i="86"/>
  <c r="CH96" i="86"/>
  <c r="CF18" i="86"/>
  <c r="CH18" i="86"/>
  <c r="CG9" i="86"/>
  <c r="CH9" i="86"/>
  <c r="CG545" i="86"/>
  <c r="CH545" i="86"/>
  <c r="CG727" i="86"/>
  <c r="CH727" i="86"/>
  <c r="CG755" i="86"/>
  <c r="CH755" i="86"/>
  <c r="CG11" i="86"/>
  <c r="CH11" i="86"/>
  <c r="CG310" i="86"/>
  <c r="CH310" i="86"/>
  <c r="CG611" i="86"/>
  <c r="CH611" i="86"/>
  <c r="CG623" i="86"/>
  <c r="CH623" i="86"/>
  <c r="CG741" i="86"/>
  <c r="CH741" i="86"/>
  <c r="CG783" i="86"/>
  <c r="CH783" i="86"/>
  <c r="CG797" i="86"/>
  <c r="CH797" i="86"/>
  <c r="CG818" i="86"/>
  <c r="CH818" i="86"/>
  <c r="CG289" i="86"/>
  <c r="CH289" i="86"/>
  <c r="CG883" i="86"/>
  <c r="CH883" i="86"/>
  <c r="CG879" i="86"/>
  <c r="CH879" i="86"/>
  <c r="CG875" i="86"/>
  <c r="CH875" i="86"/>
  <c r="CF821" i="86"/>
  <c r="CH821" i="86"/>
  <c r="CG784" i="86"/>
  <c r="CH784" i="86"/>
  <c r="CG703" i="86"/>
  <c r="CH703" i="86"/>
  <c r="CG692" i="86"/>
  <c r="CH692" i="86"/>
  <c r="CG682" i="86"/>
  <c r="CH682" i="86"/>
  <c r="CG663" i="86"/>
  <c r="CH663" i="86"/>
  <c r="CG659" i="86"/>
  <c r="CH659" i="86"/>
  <c r="CG655" i="86"/>
  <c r="CH655" i="86"/>
  <c r="CG394" i="86"/>
  <c r="CH394" i="86"/>
  <c r="CG302" i="86"/>
  <c r="CH302" i="86"/>
  <c r="CG284" i="86"/>
  <c r="CH284" i="86"/>
  <c r="CG271" i="86"/>
  <c r="CH271" i="86"/>
  <c r="CG219" i="86"/>
  <c r="CH219" i="86"/>
  <c r="CG212" i="86"/>
  <c r="CH212" i="86"/>
  <c r="CF147" i="86"/>
  <c r="CH147" i="86"/>
  <c r="CF116" i="86"/>
  <c r="CH116" i="86"/>
  <c r="CG103" i="86"/>
  <c r="CH103" i="86"/>
  <c r="CG954" i="86"/>
  <c r="CH954" i="86"/>
  <c r="CG596" i="86"/>
  <c r="CH596" i="86"/>
  <c r="CG269" i="86"/>
  <c r="CH269" i="86"/>
  <c r="CG914" i="86"/>
  <c r="CH914" i="86"/>
  <c r="CF873" i="86"/>
  <c r="CH873" i="86"/>
  <c r="CG5" i="86"/>
  <c r="CH5" i="86"/>
  <c r="CF813" i="86"/>
  <c r="CH813" i="86"/>
  <c r="CF560" i="86"/>
  <c r="CH560" i="86"/>
  <c r="CG567" i="86"/>
  <c r="CG573" i="86"/>
  <c r="CH573" i="86"/>
  <c r="CG673" i="86"/>
  <c r="CH673" i="86"/>
  <c r="CG780" i="86"/>
  <c r="CH780" i="86"/>
  <c r="CG786" i="86"/>
  <c r="CH786" i="86"/>
  <c r="CG802" i="86"/>
  <c r="CH802" i="86"/>
  <c r="CG268" i="86"/>
  <c r="CH268" i="86"/>
  <c r="CG882" i="86"/>
  <c r="CH882" i="86"/>
  <c r="CG874" i="86"/>
  <c r="CH874" i="86"/>
  <c r="CG870" i="86"/>
  <c r="CH870" i="86"/>
  <c r="CF856" i="86"/>
  <c r="CH856" i="86"/>
  <c r="CG814" i="86"/>
  <c r="CH814" i="86"/>
  <c r="CG776" i="86"/>
  <c r="CH776" i="86"/>
  <c r="CG701" i="86"/>
  <c r="CH701" i="86"/>
  <c r="CG697" i="86"/>
  <c r="CH697" i="86"/>
  <c r="CF679" i="86"/>
  <c r="CH679" i="86"/>
  <c r="CF662" i="86"/>
  <c r="CH662" i="86"/>
  <c r="CG658" i="86"/>
  <c r="CH658" i="86"/>
  <c r="CF654" i="86"/>
  <c r="CH654" i="86"/>
  <c r="CG601" i="86"/>
  <c r="CH601" i="86"/>
  <c r="CG569" i="86"/>
  <c r="CH569" i="86"/>
  <c r="CG478" i="86"/>
  <c r="CH478" i="86"/>
  <c r="CG465" i="86"/>
  <c r="CH465" i="86"/>
  <c r="CG422" i="86"/>
  <c r="CH422" i="86"/>
  <c r="CF301" i="86"/>
  <c r="CH301" i="86"/>
  <c r="CG265" i="86"/>
  <c r="CH265" i="86"/>
  <c r="CG98" i="86"/>
  <c r="CH98" i="86"/>
  <c r="CG51" i="86"/>
  <c r="CH51" i="86"/>
  <c r="CG6" i="86"/>
  <c r="CH6" i="86"/>
  <c r="BT626" i="86"/>
  <c r="BD135" i="86"/>
  <c r="BD496" i="86"/>
  <c r="BI326" i="86"/>
  <c r="BJ326" i="86" s="1"/>
  <c r="L398" i="86"/>
  <c r="BD434" i="86"/>
  <c r="BO496" i="86"/>
  <c r="BJ541" i="86"/>
  <c r="BE154" i="86"/>
  <c r="BK837" i="86"/>
  <c r="BM837" i="86" s="1"/>
  <c r="BL720" i="86"/>
  <c r="BT720" i="86" s="1"/>
  <c r="BK773" i="86"/>
  <c r="BT773" i="86" s="1"/>
  <c r="CI773" i="86" s="1"/>
  <c r="BL631" i="86"/>
  <c r="BT631" i="86" s="1"/>
  <c r="BE530" i="86"/>
  <c r="BE158" i="86"/>
  <c r="BH934" i="86"/>
  <c r="BE827" i="86"/>
  <c r="BF954" i="86"/>
  <c r="BO627" i="86"/>
  <c r="BD326" i="86"/>
  <c r="BD398" i="86"/>
  <c r="BT157" i="86"/>
  <c r="CI157" i="86" s="1"/>
  <c r="BH125" i="86"/>
  <c r="BD410" i="86"/>
  <c r="BL771" i="86"/>
  <c r="BT771" i="86" s="1"/>
  <c r="CI771" i="86" s="1"/>
  <c r="BK913" i="86"/>
  <c r="BT913" i="86" s="1"/>
  <c r="BD915" i="86"/>
  <c r="L410" i="86"/>
  <c r="BD243" i="86"/>
  <c r="L243" i="86"/>
  <c r="BD675" i="86"/>
  <c r="BO123" i="86"/>
  <c r="BO135" i="86"/>
  <c r="BD123" i="86"/>
  <c r="BI460" i="86"/>
  <c r="BE771" i="86"/>
  <c r="BE631" i="86"/>
  <c r="BH449" i="86"/>
  <c r="BJ449" i="86" s="1"/>
  <c r="BD117" i="86"/>
  <c r="BJ687" i="86"/>
  <c r="CF874" i="86"/>
  <c r="CF697" i="86"/>
  <c r="BT959" i="86"/>
  <c r="CG959" i="86" s="1"/>
  <c r="CF601" i="86"/>
  <c r="BT806" i="86"/>
  <c r="CI806" i="86" s="1"/>
  <c r="BT809" i="86"/>
  <c r="CI809" i="86" s="1"/>
  <c r="BJ723" i="86"/>
  <c r="BT793" i="86"/>
  <c r="CI793" i="86" s="1"/>
  <c r="BT542" i="86"/>
  <c r="CI542" i="86" s="1"/>
  <c r="BE858" i="86"/>
  <c r="BL529" i="86"/>
  <c r="BH337" i="86"/>
  <c r="BL530" i="86"/>
  <c r="BD324" i="86"/>
  <c r="BH117" i="86"/>
  <c r="BT117" i="86" s="1"/>
  <c r="BH460" i="86"/>
  <c r="BK842" i="86"/>
  <c r="BM842" i="86" s="1"/>
  <c r="BH853" i="86"/>
  <c r="BJ853" i="86" s="1"/>
  <c r="BK530" i="86"/>
  <c r="BI324" i="86"/>
  <c r="BT324" i="86" s="1"/>
  <c r="BT835" i="86"/>
  <c r="CI835" i="86" s="1"/>
  <c r="BE913" i="86"/>
  <c r="BK772" i="86"/>
  <c r="BM772" i="86" s="1"/>
  <c r="BE451" i="86"/>
  <c r="L241" i="86"/>
  <c r="BO624" i="86"/>
  <c r="BJ559" i="86"/>
  <c r="BO747" i="86"/>
  <c r="BL858" i="86"/>
  <c r="BM858" i="86" s="1"/>
  <c r="BI607" i="86"/>
  <c r="BK930" i="86"/>
  <c r="BH724" i="86"/>
  <c r="BJ724" i="86" s="1"/>
  <c r="BO145" i="86"/>
  <c r="L373" i="86"/>
  <c r="BE310" i="86"/>
  <c r="BI904" i="86"/>
  <c r="BJ904" i="86" s="1"/>
  <c r="BH254" i="86"/>
  <c r="BE709" i="86"/>
  <c r="BK529" i="86"/>
  <c r="BO676" i="86"/>
  <c r="BD145" i="86"/>
  <c r="BO413" i="86"/>
  <c r="BD385" i="86"/>
  <c r="BF960" i="86"/>
  <c r="BI934" i="86"/>
  <c r="BD747" i="86"/>
  <c r="BE772" i="86"/>
  <c r="BD676" i="86"/>
  <c r="BO373" i="86"/>
  <c r="BO744" i="86"/>
  <c r="BL930" i="86"/>
  <c r="BI397" i="86"/>
  <c r="BT397" i="86" s="1"/>
  <c r="BE932" i="86"/>
  <c r="BE911" i="86"/>
  <c r="BI254" i="86"/>
  <c r="BL709" i="86"/>
  <c r="BT709" i="86" s="1"/>
  <c r="BK932" i="86"/>
  <c r="BT932" i="86" s="1"/>
  <c r="CI932" i="86" s="1"/>
  <c r="BT159" i="86"/>
  <c r="CI159" i="86" s="1"/>
  <c r="BO915" i="86"/>
  <c r="BO491" i="86"/>
  <c r="BH607" i="86"/>
  <c r="BJ676" i="86"/>
  <c r="CF870" i="86"/>
  <c r="CG856" i="86"/>
  <c r="CF776" i="86"/>
  <c r="BF854" i="86"/>
  <c r="BO818" i="86"/>
  <c r="CF701" i="86"/>
  <c r="L456" i="86"/>
  <c r="BT562" i="86"/>
  <c r="CI562" i="86" s="1"/>
  <c r="BD818" i="86"/>
  <c r="CF882" i="86"/>
  <c r="CF814" i="86"/>
  <c r="BD456" i="86"/>
  <c r="BT87" i="86"/>
  <c r="CI87" i="86" s="1"/>
  <c r="BT365" i="86"/>
  <c r="CI365" i="86" s="1"/>
  <c r="BT381" i="86"/>
  <c r="CI381" i="86" s="1"/>
  <c r="BT385" i="86"/>
  <c r="CI385" i="86" s="1"/>
  <c r="BJ395" i="86"/>
  <c r="BT502" i="86"/>
  <c r="CI502" i="86" s="1"/>
  <c r="BM308" i="86"/>
  <c r="BT574" i="86"/>
  <c r="CI574" i="86" s="1"/>
  <c r="BT688" i="86"/>
  <c r="CI688" i="86" s="1"/>
  <c r="BJ92" i="86"/>
  <c r="CF685" i="86"/>
  <c r="BT748" i="86"/>
  <c r="CI748" i="86" s="1"/>
  <c r="CF6" i="86"/>
  <c r="BT960" i="86"/>
  <c r="CF663" i="86"/>
  <c r="L68" i="86"/>
  <c r="CG97" i="86"/>
  <c r="CF659" i="86"/>
  <c r="CF655" i="86"/>
  <c r="CF50" i="86"/>
  <c r="CF294" i="86"/>
  <c r="CF879" i="86"/>
  <c r="BT553" i="86"/>
  <c r="CI553" i="86" s="1"/>
  <c r="CF11" i="86"/>
  <c r="CF5" i="86"/>
  <c r="CF421" i="86"/>
  <c r="CF692" i="86"/>
  <c r="BT955" i="86"/>
  <c r="CF955" i="86" s="1"/>
  <c r="CF682" i="86"/>
  <c r="BJ69" i="86"/>
  <c r="BJ176" i="86"/>
  <c r="BT441" i="86"/>
  <c r="CI441" i="86" s="1"/>
  <c r="BT819" i="86"/>
  <c r="CI819" i="86" s="1"/>
  <c r="BJ805" i="86"/>
  <c r="BJ558" i="86"/>
  <c r="BT777" i="86"/>
  <c r="CI777" i="86" s="1"/>
  <c r="BJ715" i="86"/>
  <c r="CF394" i="86"/>
  <c r="CF469" i="86"/>
  <c r="BT260" i="86"/>
  <c r="CI260" i="86" s="1"/>
  <c r="CF271" i="86"/>
  <c r="CF212" i="86"/>
  <c r="CG656" i="86"/>
  <c r="CG147" i="86"/>
  <c r="CF103" i="86"/>
  <c r="CG664" i="86"/>
  <c r="CF284" i="86"/>
  <c r="CF282" i="86"/>
  <c r="BT581" i="86"/>
  <c r="CI581" i="86" s="1"/>
  <c r="CF514" i="86"/>
  <c r="CF302" i="86"/>
  <c r="CF477" i="86"/>
  <c r="CF219" i="86"/>
  <c r="CF652" i="86"/>
  <c r="CF465" i="86"/>
  <c r="CF677" i="86"/>
  <c r="CG695" i="86"/>
  <c r="BJ741" i="86"/>
  <c r="CF104" i="86"/>
  <c r="BT676" i="86"/>
  <c r="CI676" i="86" s="1"/>
  <c r="BJ644" i="86"/>
  <c r="BJ828" i="86"/>
  <c r="CG400" i="86"/>
  <c r="CF118" i="86"/>
  <c r="CG18" i="86"/>
  <c r="CF306" i="86"/>
  <c r="CF287" i="86"/>
  <c r="CF594" i="86"/>
  <c r="CF9" i="86"/>
  <c r="CF818" i="86"/>
  <c r="BT528" i="86"/>
  <c r="CI528" i="86" s="1"/>
  <c r="BH134" i="86"/>
  <c r="BT134" i="86" s="1"/>
  <c r="CI134" i="86" s="1"/>
  <c r="BT513" i="86"/>
  <c r="CI513" i="86" s="1"/>
  <c r="BT710" i="86"/>
  <c r="CI710" i="86" s="1"/>
  <c r="CG100" i="86"/>
  <c r="CF478" i="86"/>
  <c r="BT300" i="86"/>
  <c r="CI300" i="86" s="1"/>
  <c r="BT433" i="86"/>
  <c r="CI433" i="86" s="1"/>
  <c r="BJ483" i="86"/>
  <c r="BT943" i="86"/>
  <c r="CI943" i="86" s="1"/>
  <c r="CG654" i="86"/>
  <c r="BF518" i="86"/>
  <c r="BT828" i="86"/>
  <c r="CI828" i="86" s="1"/>
  <c r="BT449" i="86"/>
  <c r="CI449" i="86" s="1"/>
  <c r="BT72" i="86"/>
  <c r="CI72" i="86" s="1"/>
  <c r="BJ413" i="86"/>
  <c r="BH591" i="86"/>
  <c r="BJ591" i="86" s="1"/>
  <c r="BT20" i="86"/>
  <c r="CI20" i="86" s="1"/>
  <c r="BT246" i="86"/>
  <c r="CI246" i="86" s="1"/>
  <c r="BT395" i="86"/>
  <c r="CI395" i="86" s="1"/>
  <c r="BJ86" i="86"/>
  <c r="BJ90" i="86"/>
  <c r="CG101" i="86"/>
  <c r="BF285" i="86"/>
  <c r="BJ727" i="86"/>
  <c r="BT364" i="86"/>
  <c r="CI364" i="86" s="1"/>
  <c r="BJ650" i="86"/>
  <c r="BJ10" i="86"/>
  <c r="BD591" i="86"/>
  <c r="BT736" i="86"/>
  <c r="CI736" i="86" s="1"/>
  <c r="BJ688" i="86"/>
  <c r="BD641" i="86"/>
  <c r="BJ596" i="86"/>
  <c r="BD476" i="86"/>
  <c r="BT505" i="86"/>
  <c r="CI505" i="86" s="1"/>
  <c r="BJ511" i="86"/>
  <c r="BJ522" i="86"/>
  <c r="BT759" i="86"/>
  <c r="CI759" i="86" s="1"/>
  <c r="BT833" i="86"/>
  <c r="CI833" i="86" s="1"/>
  <c r="BJ847" i="86"/>
  <c r="BT895" i="86"/>
  <c r="CI895" i="86" s="1"/>
  <c r="BJ905" i="86"/>
  <c r="BJ918" i="86"/>
  <c r="BT942" i="86"/>
  <c r="CI942" i="86" s="1"/>
  <c r="BT70" i="86"/>
  <c r="CI70" i="86" s="1"/>
  <c r="BJ149" i="86"/>
  <c r="BT181" i="86"/>
  <c r="CI181" i="86" s="1"/>
  <c r="BJ244" i="86"/>
  <c r="BT351" i="86"/>
  <c r="CI351" i="86" s="1"/>
  <c r="BJ487" i="86"/>
  <c r="BJ496" i="86"/>
  <c r="BJ504" i="86"/>
  <c r="BM420" i="86"/>
  <c r="BJ431" i="86"/>
  <c r="BJ566" i="86"/>
  <c r="BT369" i="86"/>
  <c r="CI369" i="86" s="1"/>
  <c r="BJ68" i="86"/>
  <c r="CG266" i="86"/>
  <c r="BT264" i="86"/>
  <c r="CI264" i="86" s="1"/>
  <c r="BJ818" i="86"/>
  <c r="BT749" i="86"/>
  <c r="CI749" i="86" s="1"/>
  <c r="BJ369" i="86"/>
  <c r="BT745" i="86"/>
  <c r="CI745" i="86" s="1"/>
  <c r="BT805" i="86"/>
  <c r="CI805" i="86" s="1"/>
  <c r="BT288" i="86"/>
  <c r="CI288" i="86" s="1"/>
  <c r="CG280" i="86"/>
  <c r="CF280" i="86"/>
  <c r="BF259" i="86"/>
  <c r="BT259" i="86"/>
  <c r="BT958" i="86"/>
  <c r="BJ708" i="86"/>
  <c r="BT274" i="86"/>
  <c r="CI274" i="86" s="1"/>
  <c r="BT558" i="86"/>
  <c r="BJ364" i="86"/>
  <c r="CF914" i="86"/>
  <c r="BJ819" i="86"/>
  <c r="BF280" i="86"/>
  <c r="BF408" i="86"/>
  <c r="BT946" i="86"/>
  <c r="CI946" i="86" s="1"/>
  <c r="BT338" i="86"/>
  <c r="CI338" i="86" s="1"/>
  <c r="BJ211" i="86"/>
  <c r="BT377" i="86"/>
  <c r="CI377" i="86" s="1"/>
  <c r="BJ385" i="86"/>
  <c r="BJ401" i="86"/>
  <c r="BJ429" i="86"/>
  <c r="BT480" i="86"/>
  <c r="CI480" i="86" s="1"/>
  <c r="BT539" i="86"/>
  <c r="BJ539" i="86"/>
  <c r="BT590" i="86"/>
  <c r="CI590" i="86" s="1"/>
  <c r="BJ590" i="86"/>
  <c r="BJ605" i="86"/>
  <c r="BT605" i="86"/>
  <c r="CI605" i="86" s="1"/>
  <c r="BJ753" i="86"/>
  <c r="BT753" i="86"/>
  <c r="BT769" i="86"/>
  <c r="CI769" i="86" s="1"/>
  <c r="BJ769" i="86"/>
  <c r="BJ779" i="86"/>
  <c r="BT779" i="86"/>
  <c r="CI779" i="86" s="1"/>
  <c r="BT411" i="86"/>
  <c r="CI411" i="86" s="1"/>
  <c r="BF411" i="86"/>
  <c r="BT471" i="86"/>
  <c r="BF471" i="86"/>
  <c r="BD492" i="86"/>
  <c r="BH492" i="86"/>
  <c r="BT492" i="86" s="1"/>
  <c r="BT176" i="86"/>
  <c r="BT464" i="86"/>
  <c r="CI464" i="86" s="1"/>
  <c r="CF106" i="86"/>
  <c r="BJ615" i="86"/>
  <c r="BT789" i="86"/>
  <c r="CI789" i="86" s="1"/>
  <c r="CF783" i="86"/>
  <c r="BT68" i="86"/>
  <c r="CI68" i="86" s="1"/>
  <c r="BT543" i="86"/>
  <c r="CI543" i="86" s="1"/>
  <c r="BF269" i="86"/>
  <c r="BT715" i="86"/>
  <c r="CI715" i="86" s="1"/>
  <c r="BI484" i="86"/>
  <c r="BI635" i="86"/>
  <c r="BJ635" i="86" s="1"/>
  <c r="BT576" i="86"/>
  <c r="CI576" i="86" s="1"/>
  <c r="BT951" i="86"/>
  <c r="BT551" i="86"/>
  <c r="BJ524" i="86"/>
  <c r="BD635" i="86"/>
  <c r="BF282" i="86"/>
  <c r="CF876" i="86"/>
  <c r="CG657" i="86"/>
  <c r="BT462" i="86"/>
  <c r="CI462" i="86" s="1"/>
  <c r="BT45" i="86"/>
  <c r="CI45" i="86" s="1"/>
  <c r="BT74" i="86"/>
  <c r="CI74" i="86" s="1"/>
  <c r="BJ78" i="86"/>
  <c r="BT86" i="86"/>
  <c r="CI86" i="86" s="1"/>
  <c r="BT90" i="86"/>
  <c r="CI90" i="86" s="1"/>
  <c r="BT94" i="86"/>
  <c r="BT123" i="86"/>
  <c r="CI123" i="86" s="1"/>
  <c r="BT129" i="86"/>
  <c r="CI129" i="86" s="1"/>
  <c r="BJ135" i="86"/>
  <c r="BT143" i="86"/>
  <c r="CI143" i="86" s="1"/>
  <c r="BT148" i="86"/>
  <c r="CI148" i="86" s="1"/>
  <c r="BT152" i="86"/>
  <c r="CI152" i="86" s="1"/>
  <c r="BT168" i="86"/>
  <c r="CI168" i="86" s="1"/>
  <c r="BJ175" i="86"/>
  <c r="BJ180" i="86"/>
  <c r="BJ189" i="86"/>
  <c r="BJ193" i="86"/>
  <c r="BJ213" i="86"/>
  <c r="BT226" i="86"/>
  <c r="CI226" i="86" s="1"/>
  <c r="BT231" i="86"/>
  <c r="CI231" i="86" s="1"/>
  <c r="BT235" i="86"/>
  <c r="CI235" i="86" s="1"/>
  <c r="BJ239" i="86"/>
  <c r="BT243" i="86"/>
  <c r="CI243" i="86" s="1"/>
  <c r="BT247" i="86"/>
  <c r="CI247" i="86" s="1"/>
  <c r="BT251" i="86"/>
  <c r="CI251" i="86" s="1"/>
  <c r="BJ298" i="86"/>
  <c r="BJ304" i="86"/>
  <c r="BJ318" i="86"/>
  <c r="BT323" i="86"/>
  <c r="CI323" i="86" s="1"/>
  <c r="BT329" i="86"/>
  <c r="CI329" i="86" s="1"/>
  <c r="BJ342" i="86"/>
  <c r="BJ346" i="86"/>
  <c r="BJ358" i="86"/>
  <c r="BT362" i="86"/>
  <c r="CI362" i="86" s="1"/>
  <c r="BT366" i="86"/>
  <c r="CI366" i="86" s="1"/>
  <c r="BJ374" i="86"/>
  <c r="BJ378" i="86"/>
  <c r="BJ382" i="86"/>
  <c r="BJ386" i="86"/>
  <c r="BJ390" i="86"/>
  <c r="BT396" i="86"/>
  <c r="CI396" i="86" s="1"/>
  <c r="BJ409" i="86"/>
  <c r="BT416" i="86"/>
  <c r="CI416" i="86" s="1"/>
  <c r="BT425" i="86"/>
  <c r="CI425" i="86" s="1"/>
  <c r="BJ450" i="86"/>
  <c r="BT450" i="86"/>
  <c r="CI450" i="86" s="1"/>
  <c r="BT461" i="86"/>
  <c r="CI461" i="86" s="1"/>
  <c r="BT486" i="86"/>
  <c r="CI486" i="86" s="1"/>
  <c r="BT491" i="86"/>
  <c r="CI491" i="86" s="1"/>
  <c r="BJ39" i="86"/>
  <c r="BT801" i="86"/>
  <c r="CI801" i="86" s="1"/>
  <c r="BJ143" i="86"/>
  <c r="BJ730" i="86"/>
  <c r="BJ833" i="86"/>
  <c r="BJ505" i="86"/>
  <c r="BT672" i="86"/>
  <c r="BJ231" i="86"/>
  <c r="BJ797" i="86"/>
  <c r="BH484" i="86"/>
  <c r="BJ793" i="86"/>
  <c r="BT555" i="86"/>
  <c r="CI555" i="86" s="1"/>
  <c r="BT69" i="86"/>
  <c r="CI69" i="86" s="1"/>
  <c r="BT572" i="86"/>
  <c r="CI572" i="86" s="1"/>
  <c r="BT286" i="86"/>
  <c r="CI286" i="86" s="1"/>
  <c r="BD134" i="86"/>
  <c r="BF291" i="86"/>
  <c r="BF266" i="86"/>
  <c r="CG873" i="86"/>
  <c r="BJ54" i="86"/>
  <c r="BT64" i="86"/>
  <c r="CI64" i="86" s="1"/>
  <c r="BT510" i="86"/>
  <c r="CI510" i="86" s="1"/>
  <c r="BJ850" i="86"/>
  <c r="BJ864" i="86"/>
  <c r="BJ886" i="86"/>
  <c r="BJ890" i="86"/>
  <c r="BT894" i="86"/>
  <c r="CI894" i="86" s="1"/>
  <c r="BJ898" i="86"/>
  <c r="BJ917" i="86"/>
  <c r="BJ921" i="86"/>
  <c r="BJ925" i="86"/>
  <c r="BT931" i="86"/>
  <c r="CI931" i="86" s="1"/>
  <c r="BT937" i="86"/>
  <c r="CI937" i="86" s="1"/>
  <c r="BT512" i="86"/>
  <c r="CI512" i="86" s="1"/>
  <c r="BJ928" i="86"/>
  <c r="BT758" i="86"/>
  <c r="CI758" i="86" s="1"/>
  <c r="BM829" i="86"/>
  <c r="BJ26" i="86"/>
  <c r="BT30" i="86"/>
  <c r="CI30" i="86" s="1"/>
  <c r="BJ38" i="86"/>
  <c r="BJ59" i="86"/>
  <c r="BT63" i="86"/>
  <c r="CI63" i="86" s="1"/>
  <c r="BJ70" i="86"/>
  <c r="BJ351" i="86"/>
  <c r="BT896" i="86"/>
  <c r="CI896" i="86" s="1"/>
  <c r="BJ923" i="86"/>
  <c r="BT927" i="86"/>
  <c r="CI927" i="86" s="1"/>
  <c r="BJ20" i="86"/>
  <c r="BJ28" i="86"/>
  <c r="BT36" i="86"/>
  <c r="CI36" i="86" s="1"/>
  <c r="BJ44" i="86"/>
  <c r="BT55" i="86"/>
  <c r="CI55" i="86" s="1"/>
  <c r="BT61" i="86"/>
  <c r="CI61" i="86" s="1"/>
  <c r="BJ72" i="86"/>
  <c r="BJ76" i="86"/>
  <c r="BJ84" i="86"/>
  <c r="BT132" i="86"/>
  <c r="CI132" i="86" s="1"/>
  <c r="BJ145" i="86"/>
  <c r="BJ178" i="86"/>
  <c r="BJ191" i="86"/>
  <c r="BJ195" i="86"/>
  <c r="BT203" i="86"/>
  <c r="CI203" i="86" s="1"/>
  <c r="BT215" i="86"/>
  <c r="BJ233" i="86"/>
  <c r="BJ237" i="86"/>
  <c r="BJ300" i="86"/>
  <c r="BT311" i="86"/>
  <c r="CI311" i="86" s="1"/>
  <c r="BJ327" i="86"/>
  <c r="BJ331" i="86"/>
  <c r="BT340" i="86"/>
  <c r="CI340" i="86" s="1"/>
  <c r="BT356" i="86"/>
  <c r="BT380" i="86"/>
  <c r="CI380" i="86" s="1"/>
  <c r="BJ384" i="86"/>
  <c r="BT388" i="86"/>
  <c r="CI388" i="86" s="1"/>
  <c r="BT399" i="86"/>
  <c r="CI399" i="86" s="1"/>
  <c r="BJ406" i="86"/>
  <c r="BJ433" i="86"/>
  <c r="BT438" i="86"/>
  <c r="BJ475" i="86"/>
  <c r="BJ444" i="86"/>
  <c r="CF285" i="86"/>
  <c r="CG285" i="86"/>
  <c r="BT382" i="86"/>
  <c r="CI382" i="86" s="1"/>
  <c r="CF785" i="86"/>
  <c r="BI640" i="86"/>
  <c r="CF774" i="86"/>
  <c r="BT194" i="86"/>
  <c r="CI194" i="86" s="1"/>
  <c r="BT214" i="86"/>
  <c r="CI214" i="86" s="1"/>
  <c r="BD638" i="86"/>
  <c r="BT386" i="86"/>
  <c r="CI386" i="86" s="1"/>
  <c r="BT917" i="86"/>
  <c r="CI917" i="86" s="1"/>
  <c r="CG704" i="86"/>
  <c r="BT248" i="86"/>
  <c r="CI248" i="86" s="1"/>
  <c r="BT426" i="86"/>
  <c r="CI426" i="86" s="1"/>
  <c r="BJ896" i="86"/>
  <c r="BF289" i="86"/>
  <c r="BT541" i="86"/>
  <c r="CI541" i="86" s="1"/>
  <c r="BT949" i="86"/>
  <c r="CI949" i="86" s="1"/>
  <c r="BJ148" i="86"/>
  <c r="BT532" i="86"/>
  <c r="CI532" i="86" s="1"/>
  <c r="BJ214" i="86"/>
  <c r="BT239" i="86"/>
  <c r="CI239" i="86" s="1"/>
  <c r="BT346" i="86"/>
  <c r="CI346" i="86" s="1"/>
  <c r="BJ626" i="86"/>
  <c r="BJ645" i="86"/>
  <c r="CF569" i="86"/>
  <c r="BT643" i="86"/>
  <c r="CI643" i="86" s="1"/>
  <c r="BJ388" i="86"/>
  <c r="BT237" i="86"/>
  <c r="CI237" i="86" s="1"/>
  <c r="BJ613" i="86"/>
  <c r="CF265" i="86"/>
  <c r="BH476" i="86"/>
  <c r="BJ476" i="86" s="1"/>
  <c r="BJ942" i="86"/>
  <c r="BT244" i="86"/>
  <c r="CI244" i="86" s="1"/>
  <c r="BJ673" i="86"/>
  <c r="BJ362" i="86"/>
  <c r="CF822" i="86"/>
  <c r="BJ75" i="86"/>
  <c r="BJ111" i="86"/>
  <c r="CF269" i="86"/>
  <c r="BT754" i="86"/>
  <c r="CI754" i="86" s="1"/>
  <c r="BF268" i="86"/>
  <c r="BT649" i="86"/>
  <c r="CI649" i="86" s="1"/>
  <c r="CF784" i="86"/>
  <c r="BJ567" i="86"/>
  <c r="CF875" i="86"/>
  <c r="CF883" i="86"/>
  <c r="BT175" i="86"/>
  <c r="CI175" i="86" s="1"/>
  <c r="CF51" i="86"/>
  <c r="BT384" i="86"/>
  <c r="CI384" i="86" s="1"/>
  <c r="BT603" i="86"/>
  <c r="CI603" i="86" s="1"/>
  <c r="BJ152" i="86"/>
  <c r="CF678" i="86"/>
  <c r="BT716" i="86"/>
  <c r="BT495" i="86"/>
  <c r="CF703" i="86"/>
  <c r="CF98" i="86"/>
  <c r="BO68" i="86"/>
  <c r="CG872" i="86"/>
  <c r="CF278" i="86"/>
  <c r="CF700" i="86"/>
  <c r="CG731" i="86"/>
  <c r="CF731" i="86"/>
  <c r="CG707" i="86"/>
  <c r="CF707" i="86"/>
  <c r="BT261" i="86"/>
  <c r="BJ261" i="86"/>
  <c r="BJ350" i="86"/>
  <c r="BT350" i="86"/>
  <c r="BJ370" i="86"/>
  <c r="BT370" i="86"/>
  <c r="CI370" i="86" s="1"/>
  <c r="BT548" i="86"/>
  <c r="CI548" i="86" s="1"/>
  <c r="BJ548" i="86"/>
  <c r="BJ606" i="86"/>
  <c r="BT606" i="86"/>
  <c r="CI606" i="86" s="1"/>
  <c r="BJ620" i="86"/>
  <c r="BT620" i="86"/>
  <c r="CI620" i="86" s="1"/>
  <c r="BJ633" i="86"/>
  <c r="BT633" i="86"/>
  <c r="BT712" i="86"/>
  <c r="BJ712" i="86"/>
  <c r="BF272" i="86"/>
  <c r="BT272" i="86"/>
  <c r="BF414" i="86"/>
  <c r="BT414" i="86"/>
  <c r="CI414" i="86" s="1"/>
  <c r="BT847" i="86"/>
  <c r="CI847" i="86" s="1"/>
  <c r="BT496" i="86"/>
  <c r="BT4" i="86"/>
  <c r="BJ4" i="86"/>
  <c r="BT52" i="86"/>
  <c r="BJ52" i="86"/>
  <c r="BJ87" i="86"/>
  <c r="BJ126" i="86"/>
  <c r="BJ223" i="86"/>
  <c r="BT314" i="86"/>
  <c r="CI314" i="86" s="1"/>
  <c r="BJ339" i="86"/>
  <c r="BJ363" i="86"/>
  <c r="BT398" i="86"/>
  <c r="CI398" i="86" s="1"/>
  <c r="BJ417" i="86"/>
  <c r="BJ453" i="86"/>
  <c r="BJ807" i="86"/>
  <c r="BT807" i="86"/>
  <c r="BN185" i="86"/>
  <c r="BO185" i="86" s="1"/>
  <c r="BJ185" i="86"/>
  <c r="BJ197" i="86"/>
  <c r="BT197" i="86"/>
  <c r="CI197" i="86" s="1"/>
  <c r="BJ205" i="86"/>
  <c r="BT205" i="86"/>
  <c r="CI205" i="86" s="1"/>
  <c r="BT222" i="86"/>
  <c r="BJ222" i="86"/>
  <c r="BJ333" i="86"/>
  <c r="BT333" i="86"/>
  <c r="BJ354" i="86"/>
  <c r="BT354" i="86"/>
  <c r="CI354" i="86" s="1"/>
  <c r="BJ402" i="86"/>
  <c r="BT402" i="86"/>
  <c r="BJ442" i="86"/>
  <c r="BT442" i="86"/>
  <c r="CI442" i="86" s="1"/>
  <c r="BT481" i="86"/>
  <c r="BJ481" i="86"/>
  <c r="BT544" i="86"/>
  <c r="BJ544" i="86"/>
  <c r="BJ556" i="86"/>
  <c r="BT556" i="86"/>
  <c r="CI556" i="86" s="1"/>
  <c r="BJ577" i="86"/>
  <c r="BT577" i="86"/>
  <c r="BJ694" i="86"/>
  <c r="BT694" i="86"/>
  <c r="CI694" i="86" s="1"/>
  <c r="BT726" i="86"/>
  <c r="BJ726" i="86"/>
  <c r="BJ735" i="86"/>
  <c r="BT735" i="86"/>
  <c r="CI735" i="86" s="1"/>
  <c r="BT750" i="86"/>
  <c r="BJ750" i="86"/>
  <c r="BJ794" i="86"/>
  <c r="BT794" i="86"/>
  <c r="CI794" i="86" s="1"/>
  <c r="BJ866" i="86"/>
  <c r="BT866" i="86"/>
  <c r="BJ891" i="86"/>
  <c r="BT891" i="86"/>
  <c r="BJ899" i="86"/>
  <c r="BT899" i="86"/>
  <c r="CI899" i="86" s="1"/>
  <c r="BT941" i="86"/>
  <c r="CI941" i="86" s="1"/>
  <c r="BJ941" i="86"/>
  <c r="BH593" i="86"/>
  <c r="BD593" i="86"/>
  <c r="BT517" i="86"/>
  <c r="CI517" i="86" s="1"/>
  <c r="BF517" i="86"/>
  <c r="CG666" i="86"/>
  <c r="CF666" i="86"/>
  <c r="CG218" i="86"/>
  <c r="CF218" i="86"/>
  <c r="CF208" i="86"/>
  <c r="CG208" i="86"/>
  <c r="CG138" i="86"/>
  <c r="CF138" i="86"/>
  <c r="BI638" i="86"/>
  <c r="BJ638" i="86" s="1"/>
  <c r="BT511" i="86"/>
  <c r="CI511" i="86" s="1"/>
  <c r="BJ587" i="86"/>
  <c r="BJ235" i="86"/>
  <c r="BT925" i="86"/>
  <c r="BT13" i="86"/>
  <c r="CI13" i="86" s="1"/>
  <c r="BJ13" i="86"/>
  <c r="BT34" i="86"/>
  <c r="BJ34" i="86"/>
  <c r="BJ46" i="86"/>
  <c r="BT46" i="86"/>
  <c r="CI46" i="86" s="1"/>
  <c r="BT79" i="86"/>
  <c r="CI79" i="86" s="1"/>
  <c r="BT91" i="86"/>
  <c r="BT136" i="86"/>
  <c r="BJ136" i="86"/>
  <c r="BT153" i="86"/>
  <c r="CI153" i="86" s="1"/>
  <c r="BT171" i="86"/>
  <c r="CI171" i="86" s="1"/>
  <c r="BJ171" i="86"/>
  <c r="BJ181" i="86"/>
  <c r="BT227" i="86"/>
  <c r="BJ227" i="86"/>
  <c r="BT240" i="86"/>
  <c r="BJ295" i="86"/>
  <c r="BJ325" i="86"/>
  <c r="BT347" i="86"/>
  <c r="CI347" i="86" s="1"/>
  <c r="BJ359" i="86"/>
  <c r="BJ367" i="86"/>
  <c r="BT367" i="86"/>
  <c r="CI367" i="86" s="1"/>
  <c r="BJ379" i="86"/>
  <c r="BJ392" i="86"/>
  <c r="BJ412" i="86"/>
  <c r="BT432" i="86"/>
  <c r="CI432" i="86" s="1"/>
  <c r="BJ432" i="86"/>
  <c r="BT443" i="86"/>
  <c r="BT474" i="86"/>
  <c r="BJ474" i="86"/>
  <c r="BJ681" i="86"/>
  <c r="BT681" i="86"/>
  <c r="CI681" i="86" s="1"/>
  <c r="BJ743" i="86"/>
  <c r="BT743" i="86"/>
  <c r="BT799" i="86"/>
  <c r="CI799" i="86" s="1"/>
  <c r="BJ799" i="86"/>
  <c r="BT811" i="86"/>
  <c r="BJ811" i="86"/>
  <c r="BJ707" i="86"/>
  <c r="BJ549" i="86"/>
  <c r="BJ713" i="86"/>
  <c r="BJ731" i="86"/>
  <c r="BT850" i="86"/>
  <c r="CI850" i="86" s="1"/>
  <c r="BT374" i="86"/>
  <c r="CI374" i="86" s="1"/>
  <c r="BT646" i="86"/>
  <c r="BT409" i="86"/>
  <c r="CI409" i="86" s="1"/>
  <c r="BJ347" i="86"/>
  <c r="BT766" i="86"/>
  <c r="BJ323" i="86"/>
  <c r="BJ557" i="86"/>
  <c r="BJ755" i="86"/>
  <c r="BJ153" i="86"/>
  <c r="BT781" i="86"/>
  <c r="BJ79" i="86"/>
  <c r="BT948" i="86"/>
  <c r="CI948" i="86" s="1"/>
  <c r="BJ612" i="86"/>
  <c r="BJ562" i="86"/>
  <c r="BJ251" i="86"/>
  <c r="BF722" i="86"/>
  <c r="BT325" i="86"/>
  <c r="CI325" i="86" s="1"/>
  <c r="BJ438" i="86"/>
  <c r="BT233" i="86"/>
  <c r="CI233" i="86" s="1"/>
  <c r="BJ894" i="86"/>
  <c r="BJ560" i="86"/>
  <c r="BT213" i="86"/>
  <c r="CI213" i="86" s="1"/>
  <c r="BT195" i="86"/>
  <c r="BT38" i="86"/>
  <c r="CI38" i="86" s="1"/>
  <c r="BN223" i="86"/>
  <c r="BO223" i="86" s="1"/>
  <c r="BT193" i="86"/>
  <c r="BJ63" i="86"/>
  <c r="BJ525" i="86"/>
  <c r="BJ356" i="86"/>
  <c r="BJ226" i="86"/>
  <c r="BJ201" i="86"/>
  <c r="BT201" i="86"/>
  <c r="BT313" i="86"/>
  <c r="BJ313" i="86"/>
  <c r="BT435" i="86"/>
  <c r="BJ435" i="86"/>
  <c r="BT540" i="86"/>
  <c r="BJ540" i="86"/>
  <c r="BJ669" i="86"/>
  <c r="BT669" i="86"/>
  <c r="BJ790" i="86"/>
  <c r="BT790" i="86"/>
  <c r="BJ887" i="86"/>
  <c r="BT887" i="86"/>
  <c r="BT922" i="86"/>
  <c r="BJ922" i="86"/>
  <c r="BJ926" i="86"/>
  <c r="BT926" i="86"/>
  <c r="CI926" i="86" s="1"/>
  <c r="BT938" i="86"/>
  <c r="CI938" i="86" s="1"/>
  <c r="BJ938" i="86"/>
  <c r="BM335" i="86"/>
  <c r="BT335" i="86"/>
  <c r="CG281" i="86"/>
  <c r="CF281" i="86"/>
  <c r="BT378" i="86"/>
  <c r="CI378" i="86" s="1"/>
  <c r="BT798" i="86"/>
  <c r="BJ573" i="86"/>
  <c r="BJ624" i="86"/>
  <c r="BJ396" i="86"/>
  <c r="BT746" i="86"/>
  <c r="BJ425" i="86"/>
  <c r="BT298" i="86"/>
  <c r="CG161" i="86"/>
  <c r="CF161" i="86"/>
  <c r="BJ42" i="86"/>
  <c r="BT42" i="86"/>
  <c r="BJ83" i="86"/>
  <c r="BT105" i="86"/>
  <c r="BJ105" i="86"/>
  <c r="BJ131" i="86"/>
  <c r="BT144" i="86"/>
  <c r="BJ144" i="86"/>
  <c r="BJ164" i="86"/>
  <c r="BT177" i="86"/>
  <c r="CI177" i="86" s="1"/>
  <c r="BJ190" i="86"/>
  <c r="BT190" i="86"/>
  <c r="CI190" i="86" s="1"/>
  <c r="BJ248" i="86"/>
  <c r="BT299" i="86"/>
  <c r="CI299" i="86" s="1"/>
  <c r="BT319" i="86"/>
  <c r="CI319" i="86" s="1"/>
  <c r="BJ343" i="86"/>
  <c r="BT343" i="86"/>
  <c r="CI343" i="86" s="1"/>
  <c r="BJ355" i="86"/>
  <c r="BT371" i="86"/>
  <c r="CI371" i="86" s="1"/>
  <c r="BT383" i="86"/>
  <c r="CI383" i="86" s="1"/>
  <c r="BJ383" i="86"/>
  <c r="BJ405" i="86"/>
  <c r="BT405" i="86"/>
  <c r="BJ426" i="86"/>
  <c r="BT436" i="86"/>
  <c r="CI436" i="86" s="1"/>
  <c r="BJ526" i="86"/>
  <c r="BT526" i="86"/>
  <c r="BT537" i="86"/>
  <c r="BJ537" i="86"/>
  <c r="BJ791" i="86"/>
  <c r="BT791" i="86"/>
  <c r="CI791" i="86" s="1"/>
  <c r="BT803" i="86"/>
  <c r="CI803" i="86" s="1"/>
  <c r="BJ803" i="86"/>
  <c r="BT48" i="86"/>
  <c r="BJ48" i="86"/>
  <c r="BT65" i="86"/>
  <c r="CI65" i="86" s="1"/>
  <c r="BJ65" i="86"/>
  <c r="BT256" i="86"/>
  <c r="CI256" i="86" s="1"/>
  <c r="BJ256" i="86"/>
  <c r="CF596" i="86"/>
  <c r="CF786" i="86"/>
  <c r="CF408" i="86"/>
  <c r="BJ203" i="86"/>
  <c r="BT568" i="86"/>
  <c r="BT26" i="86"/>
  <c r="CI26" i="86" s="1"/>
  <c r="BT824" i="86"/>
  <c r="BT406" i="86"/>
  <c r="BJ299" i="86"/>
  <c r="BJ545" i="86"/>
  <c r="BJ177" i="86"/>
  <c r="BT164" i="86"/>
  <c r="CI164" i="86" s="1"/>
  <c r="BJ247" i="86"/>
  <c r="BH640" i="86"/>
  <c r="BJ582" i="86"/>
  <c r="BJ380" i="86"/>
  <c r="BJ617" i="86"/>
  <c r="BJ398" i="86"/>
  <c r="BJ314" i="86"/>
  <c r="BT417" i="86"/>
  <c r="CI417" i="86" s="1"/>
  <c r="BT131" i="86"/>
  <c r="BT921" i="86"/>
  <c r="BJ119" i="86"/>
  <c r="BT28" i="86"/>
  <c r="CI28" i="86" s="1"/>
  <c r="BI593" i="86"/>
  <c r="BH639" i="86"/>
  <c r="BI639" i="86"/>
  <c r="BT290" i="86"/>
  <c r="CI290" i="86" s="1"/>
  <c r="BF290" i="86"/>
  <c r="BT404" i="86"/>
  <c r="CI404" i="86" s="1"/>
  <c r="BF404" i="86"/>
  <c r="CG699" i="86"/>
  <c r="CF699" i="86"/>
  <c r="CG665" i="86"/>
  <c r="CF665" i="86"/>
  <c r="CG309" i="86"/>
  <c r="CF309" i="86"/>
  <c r="CG217" i="86"/>
  <c r="CF217" i="86"/>
  <c r="CG170" i="86"/>
  <c r="CF170" i="86"/>
  <c r="CG124" i="86"/>
  <c r="CF124" i="86"/>
  <c r="BD639" i="86"/>
  <c r="BT944" i="86"/>
  <c r="CI944" i="86" s="1"/>
  <c r="BT928" i="86"/>
  <c r="CI928" i="86" s="1"/>
  <c r="BJ758" i="86"/>
  <c r="BT19" i="86"/>
  <c r="BT27" i="86"/>
  <c r="BJ27" i="86"/>
  <c r="BT35" i="86"/>
  <c r="BT39" i="86"/>
  <c r="BJ47" i="86"/>
  <c r="BT54" i="86"/>
  <c r="BJ64" i="86"/>
  <c r="BT76" i="86"/>
  <c r="CI76" i="86" s="1"/>
  <c r="BT84" i="86"/>
  <c r="CI84" i="86" s="1"/>
  <c r="BT92" i="86"/>
  <c r="BJ112" i="86"/>
  <c r="BJ120" i="86"/>
  <c r="BJ132" i="86"/>
  <c r="BT145" i="86"/>
  <c r="BJ155" i="86"/>
  <c r="BT166" i="86"/>
  <c r="BJ182" i="86"/>
  <c r="BT687" i="86"/>
  <c r="CG878" i="86"/>
  <c r="CF878" i="86"/>
  <c r="BI641" i="86"/>
  <c r="BT641" i="86" s="1"/>
  <c r="CI641" i="86" s="1"/>
  <c r="BF516" i="86"/>
  <c r="BT516" i="86"/>
  <c r="CI516" i="86" s="1"/>
  <c r="BT628" i="86"/>
  <c r="BF628" i="86"/>
  <c r="BT947" i="86"/>
  <c r="BF947" i="86"/>
  <c r="BJ67" i="86"/>
  <c r="BO70" i="86"/>
  <c r="BD70" i="86"/>
  <c r="BT10" i="86"/>
  <c r="BJ32" i="86"/>
  <c r="BJ36" i="86"/>
  <c r="BT44" i="86"/>
  <c r="BJ55" i="86"/>
  <c r="BJ61" i="86"/>
  <c r="BJ187" i="86"/>
  <c r="BT191" i="86"/>
  <c r="BJ215" i="86"/>
  <c r="BT249" i="86"/>
  <c r="BT331" i="86"/>
  <c r="BJ340" i="86"/>
  <c r="BJ372" i="86"/>
  <c r="BT376" i="86"/>
  <c r="CI376" i="86" s="1"/>
  <c r="BT413" i="86"/>
  <c r="CI413" i="86" s="1"/>
  <c r="BT475" i="86"/>
  <c r="BT483" i="86"/>
  <c r="BT489" i="86"/>
  <c r="CI489" i="86" s="1"/>
  <c r="BT504" i="86"/>
  <c r="BJ510" i="86"/>
  <c r="BT535" i="86"/>
  <c r="CI535" i="86" s="1"/>
  <c r="BT632" i="86"/>
  <c r="CI632" i="86" s="1"/>
  <c r="BJ846" i="86"/>
  <c r="BT864" i="86"/>
  <c r="BT890" i="86"/>
  <c r="BT898" i="86"/>
  <c r="BJ937" i="86"/>
  <c r="BJ441" i="86"/>
  <c r="CG570" i="86"/>
  <c r="CF570" i="86"/>
  <c r="CF468" i="86"/>
  <c r="CG468" i="86"/>
  <c r="CG99" i="86"/>
  <c r="CF99" i="86"/>
  <c r="CG17" i="86"/>
  <c r="CF17" i="86"/>
  <c r="CF463" i="86"/>
  <c r="CG854" i="86"/>
  <c r="CF854" i="86"/>
  <c r="CF422" i="86"/>
  <c r="BO154" i="86"/>
  <c r="BT154" i="86"/>
  <c r="BJ7" i="86"/>
  <c r="BT7" i="86"/>
  <c r="BJ43" i="86"/>
  <c r="BT43" i="86"/>
  <c r="BT80" i="86"/>
  <c r="BJ80" i="86"/>
  <c r="BJ108" i="86"/>
  <c r="BT108" i="86"/>
  <c r="BT232" i="86"/>
  <c r="BJ232" i="86"/>
  <c r="BJ305" i="86"/>
  <c r="BT305" i="86"/>
  <c r="BT330" i="86"/>
  <c r="BJ330" i="86"/>
  <c r="BT387" i="86"/>
  <c r="BJ387" i="86"/>
  <c r="BO420" i="86"/>
  <c r="BT420" i="86"/>
  <c r="CI420" i="86" s="1"/>
  <c r="BO902" i="86"/>
  <c r="BT902" i="86"/>
  <c r="BO918" i="86"/>
  <c r="BT918" i="86"/>
  <c r="CG881" i="86"/>
  <c r="CF881" i="86"/>
  <c r="CG877" i="86"/>
  <c r="CF877" i="86"/>
  <c r="CG869" i="86"/>
  <c r="CF869" i="86"/>
  <c r="CF855" i="86"/>
  <c r="CG855" i="86"/>
  <c r="CG812" i="86"/>
  <c r="CF812" i="86"/>
  <c r="CG775" i="86"/>
  <c r="CF775" i="86"/>
  <c r="CG706" i="86"/>
  <c r="CF706" i="86"/>
  <c r="CG689" i="86"/>
  <c r="CF689" i="86"/>
  <c r="CF661" i="86"/>
  <c r="CG661" i="86"/>
  <c r="BT23" i="86"/>
  <c r="BJ23" i="86"/>
  <c r="BJ60" i="86"/>
  <c r="BT60" i="86"/>
  <c r="BJ127" i="86"/>
  <c r="BT127" i="86"/>
  <c r="BJ150" i="86"/>
  <c r="BT150" i="86"/>
  <c r="BT198" i="86"/>
  <c r="CI198" i="86" s="1"/>
  <c r="BJ198" i="86"/>
  <c r="BT202" i="86"/>
  <c r="CI202" i="86" s="1"/>
  <c r="BJ202" i="86"/>
  <c r="BT209" i="86"/>
  <c r="BJ209" i="86"/>
  <c r="BJ236" i="86"/>
  <c r="BT236" i="86"/>
  <c r="CF797" i="86"/>
  <c r="CF673" i="86"/>
  <c r="CG549" i="86"/>
  <c r="CF549" i="86"/>
  <c r="BJ436" i="86"/>
  <c r="CG525" i="86"/>
  <c r="CF525" i="86"/>
  <c r="BT182" i="86"/>
  <c r="BT600" i="86"/>
  <c r="BJ443" i="86"/>
  <c r="BT363" i="86"/>
  <c r="CI363" i="86" s="1"/>
  <c r="BT47" i="86"/>
  <c r="CI47" i="86" s="1"/>
  <c r="BT379" i="86"/>
  <c r="BJ19" i="86"/>
  <c r="CG644" i="86"/>
  <c r="CF644" i="86"/>
  <c r="BT453" i="86"/>
  <c r="CI453" i="86" s="1"/>
  <c r="BJ186" i="86"/>
  <c r="BO687" i="86"/>
  <c r="CG301" i="86"/>
  <c r="CF658" i="86"/>
  <c r="CG587" i="86"/>
  <c r="CF587" i="86"/>
  <c r="CG602" i="86"/>
  <c r="CF602" i="86"/>
  <c r="CG501" i="86"/>
  <c r="CF501" i="86"/>
  <c r="CG473" i="86"/>
  <c r="CF473" i="86"/>
  <c r="CF102" i="86"/>
  <c r="CG102" i="86"/>
  <c r="CG95" i="86"/>
  <c r="CF95" i="86"/>
  <c r="CG8" i="86"/>
  <c r="CF8" i="86"/>
  <c r="CF755" i="86"/>
  <c r="CG650" i="86"/>
  <c r="CF650" i="86"/>
  <c r="CG705" i="86"/>
  <c r="CF705" i="86"/>
  <c r="BT187" i="86"/>
  <c r="CF611" i="86"/>
  <c r="CF623" i="86"/>
  <c r="CF802" i="86"/>
  <c r="CF310" i="86"/>
  <c r="BT693" i="86"/>
  <c r="BT734" i="86"/>
  <c r="CI734" i="86" s="1"/>
  <c r="BJ74" i="86"/>
  <c r="BT559" i="86"/>
  <c r="CI559" i="86" s="1"/>
  <c r="BJ783" i="86"/>
  <c r="BT113" i="86"/>
  <c r="CI113" i="86" s="1"/>
  <c r="BJ512" i="86"/>
  <c r="BT111" i="86"/>
  <c r="CG116" i="86"/>
  <c r="BJ311" i="86"/>
  <c r="BJ315" i="86"/>
  <c r="BT604" i="86"/>
  <c r="CI604" i="86" s="1"/>
  <c r="BJ849" i="86"/>
  <c r="BT863" i="86"/>
  <c r="CI863" i="86" s="1"/>
  <c r="BT885" i="86"/>
  <c r="CI885" i="86" s="1"/>
  <c r="BJ897" i="86"/>
  <c r="BJ916" i="86"/>
  <c r="BT920" i="86"/>
  <c r="BT924" i="86"/>
  <c r="CI924" i="86" s="1"/>
  <c r="BT929" i="86"/>
  <c r="CI929" i="86" s="1"/>
  <c r="BJ940" i="86"/>
  <c r="BT12" i="86"/>
  <c r="CI12" i="86" s="1"/>
  <c r="BT21" i="86"/>
  <c r="CI21" i="86" s="1"/>
  <c r="BJ45" i="86"/>
  <c r="BT49" i="86"/>
  <c r="CI49" i="86" s="1"/>
  <c r="BT66" i="86"/>
  <c r="CI66" i="86" s="1"/>
  <c r="BJ85" i="86"/>
  <c r="BJ89" i="86"/>
  <c r="BJ109" i="86"/>
  <c r="BJ121" i="86"/>
  <c r="BT133" i="86"/>
  <c r="CI133" i="86" s="1"/>
  <c r="BJ142" i="86"/>
  <c r="BJ167" i="86"/>
  <c r="BJ184" i="86"/>
  <c r="BT192" i="86"/>
  <c r="CI192" i="86" s="1"/>
  <c r="BJ196" i="86"/>
  <c r="BT211" i="86"/>
  <c r="CI211" i="86" s="1"/>
  <c r="BJ225" i="86"/>
  <c r="BJ229" i="86"/>
  <c r="BT238" i="86"/>
  <c r="CI238" i="86" s="1"/>
  <c r="BJ242" i="86"/>
  <c r="BJ246" i="86"/>
  <c r="BJ250" i="86"/>
  <c r="BT257" i="86"/>
  <c r="CI257" i="86" s="1"/>
  <c r="BT303" i="86"/>
  <c r="BJ312" i="86"/>
  <c r="BJ317" i="86"/>
  <c r="BJ321" i="86"/>
  <c r="BJ332" i="86"/>
  <c r="BT341" i="86"/>
  <c r="CI341" i="86" s="1"/>
  <c r="BJ357" i="86"/>
  <c r="BJ361" i="86"/>
  <c r="BJ377" i="86"/>
  <c r="BJ381" i="86"/>
  <c r="BT407" i="86"/>
  <c r="CI407" i="86" s="1"/>
  <c r="BJ415" i="86"/>
  <c r="BT434" i="86"/>
  <c r="BJ458" i="86"/>
  <c r="BJ480" i="86"/>
  <c r="BJ507" i="86"/>
  <c r="BT614" i="86"/>
  <c r="BT618" i="86"/>
  <c r="CI618" i="86" s="1"/>
  <c r="BJ622" i="86"/>
  <c r="BT651" i="86"/>
  <c r="CI651" i="86" s="1"/>
  <c r="BT671" i="86"/>
  <c r="CI671" i="86" s="1"/>
  <c r="BJ675" i="86"/>
  <c r="BJ714" i="86"/>
  <c r="BT733" i="86"/>
  <c r="BT756" i="86"/>
  <c r="CI756" i="86" s="1"/>
  <c r="BT782" i="86"/>
  <c r="CI782" i="86" s="1"/>
  <c r="BT788" i="86"/>
  <c r="CI788" i="86" s="1"/>
  <c r="BT800" i="86"/>
  <c r="CI800" i="86" s="1"/>
  <c r="BJ830" i="86"/>
  <c r="BT860" i="86"/>
  <c r="CI860" i="86" s="1"/>
  <c r="BJ867" i="86"/>
  <c r="BJ900" i="86"/>
  <c r="BT919" i="86"/>
  <c r="CI919" i="86" s="1"/>
  <c r="BT923" i="86"/>
  <c r="CI923" i="86" s="1"/>
  <c r="BJ943" i="86"/>
  <c r="BT503" i="86"/>
  <c r="CI503" i="86" s="1"/>
  <c r="BT174" i="86"/>
  <c r="CI174" i="86" s="1"/>
  <c r="BT431" i="86"/>
  <c r="BJ564" i="86"/>
  <c r="BJ817" i="86"/>
  <c r="BK137" i="86"/>
  <c r="BL137" i="86"/>
  <c r="BT508" i="86"/>
  <c r="BJ508" i="86"/>
  <c r="BJ534" i="86"/>
  <c r="BT534" i="86"/>
  <c r="BT550" i="86"/>
  <c r="BJ550" i="86"/>
  <c r="BT571" i="86"/>
  <c r="BJ571" i="86"/>
  <c r="BT816" i="86"/>
  <c r="BJ816" i="86"/>
  <c r="BT114" i="86"/>
  <c r="BJ114" i="86"/>
  <c r="BT162" i="86"/>
  <c r="CI162" i="86" s="1"/>
  <c r="BJ162" i="86"/>
  <c r="BJ929" i="86"/>
  <c r="BJ920" i="86"/>
  <c r="BT940" i="86"/>
  <c r="BT229" i="86"/>
  <c r="CI229" i="86" s="1"/>
  <c r="BJ604" i="86"/>
  <c r="BD57" i="86"/>
  <c r="BI57" i="86"/>
  <c r="BH57" i="86"/>
  <c r="BT307" i="86"/>
  <c r="CI307" i="86" s="1"/>
  <c r="BE307" i="86"/>
  <c r="BJ546" i="86"/>
  <c r="BT546" i="86"/>
  <c r="BT81" i="86"/>
  <c r="BJ81" i="86"/>
  <c r="BT146" i="86"/>
  <c r="BJ146" i="86"/>
  <c r="BT204" i="86"/>
  <c r="CI204" i="86" s="1"/>
  <c r="BJ204" i="86"/>
  <c r="BT297" i="86"/>
  <c r="BJ297" i="86"/>
  <c r="BJ328" i="86"/>
  <c r="BT328" i="86"/>
  <c r="BT353" i="86"/>
  <c r="BJ353" i="86"/>
  <c r="BT332" i="86"/>
  <c r="CI332" i="86" s="1"/>
  <c r="BJ885" i="86"/>
  <c r="BT321" i="86"/>
  <c r="CI321" i="86" s="1"/>
  <c r="BJ192" i="86"/>
  <c r="BT85" i="86"/>
  <c r="BT849" i="86"/>
  <c r="CI849" i="86" s="1"/>
  <c r="BJ520" i="86"/>
  <c r="BT520" i="86"/>
  <c r="CI520" i="86" s="1"/>
  <c r="BT527" i="86"/>
  <c r="BJ527" i="86"/>
  <c r="BJ580" i="86"/>
  <c r="BT580" i="86"/>
  <c r="BJ584" i="86"/>
  <c r="BT584" i="86"/>
  <c r="BT831" i="86"/>
  <c r="BJ831" i="86"/>
  <c r="BT893" i="86"/>
  <c r="BJ893" i="86"/>
  <c r="BJ901" i="86"/>
  <c r="BT901" i="86"/>
  <c r="BT2" i="86"/>
  <c r="BJ2" i="86"/>
  <c r="BT37" i="86"/>
  <c r="CI37" i="86" s="1"/>
  <c r="BJ37" i="86"/>
  <c r="BT73" i="86"/>
  <c r="CI73" i="86" s="1"/>
  <c r="BJ73" i="86"/>
  <c r="BJ200" i="86"/>
  <c r="BT200" i="86"/>
  <c r="BJ349" i="86"/>
  <c r="BT349" i="86"/>
  <c r="CI349" i="86" s="1"/>
  <c r="CF741" i="86"/>
  <c r="CF589" i="86"/>
  <c r="CF573" i="86"/>
  <c r="BJ863" i="86"/>
  <c r="BJ303" i="86"/>
  <c r="BT184" i="86"/>
  <c r="CI184" i="86" s="1"/>
  <c r="BT523" i="86"/>
  <c r="BJ538" i="86"/>
  <c r="BJ542" i="86"/>
  <c r="BJ554" i="86"/>
  <c r="BT627" i="86"/>
  <c r="BJ627" i="86"/>
  <c r="BJ848" i="86"/>
  <c r="BT848" i="86"/>
  <c r="CI848" i="86" s="1"/>
  <c r="BJ892" i="86"/>
  <c r="BT892" i="86"/>
  <c r="BT939" i="86"/>
  <c r="BJ939" i="86"/>
  <c r="BD634" i="86"/>
  <c r="BH634" i="86"/>
  <c r="BI634" i="86"/>
  <c r="BH636" i="86"/>
  <c r="BD636" i="86"/>
  <c r="BI636" i="86"/>
  <c r="BI437" i="86"/>
  <c r="BJ437" i="86" s="1"/>
  <c r="BD437" i="86"/>
  <c r="BJ407" i="86"/>
  <c r="BT361" i="86"/>
  <c r="BD53" i="86"/>
  <c r="BH53" i="86"/>
  <c r="BI53" i="86"/>
  <c r="BE711" i="86"/>
  <c r="BK711" i="86"/>
  <c r="BN156" i="86"/>
  <c r="BE156" i="86"/>
  <c r="BE160" i="86"/>
  <c r="BT160" i="86"/>
  <c r="CI160" i="86" s="1"/>
  <c r="BJ12" i="86"/>
  <c r="BT29" i="86"/>
  <c r="BT33" i="86"/>
  <c r="CI33" i="86" s="1"/>
  <c r="BJ33" i="86"/>
  <c r="BJ49" i="86"/>
  <c r="BJ66" i="86"/>
  <c r="BJ188" i="86"/>
  <c r="BT188" i="86"/>
  <c r="BT225" i="86"/>
  <c r="CI225" i="86" s="1"/>
  <c r="BT234" i="86"/>
  <c r="BJ234" i="86"/>
  <c r="BT242" i="86"/>
  <c r="CI242" i="86" s="1"/>
  <c r="BT250" i="86"/>
  <c r="BT312" i="86"/>
  <c r="BT345" i="86"/>
  <c r="BJ345" i="86"/>
  <c r="BJ365" i="86"/>
  <c r="BT401" i="86"/>
  <c r="BT424" i="86"/>
  <c r="BJ424" i="86"/>
  <c r="BJ447" i="86"/>
  <c r="BT458" i="86"/>
  <c r="BJ490" i="86"/>
  <c r="BT490" i="86"/>
  <c r="BJ502" i="86"/>
  <c r="BN454" i="86"/>
  <c r="BF454" i="86"/>
  <c r="CG518" i="86"/>
  <c r="CF518" i="86"/>
  <c r="BJ671" i="86"/>
  <c r="BJ29" i="86"/>
  <c r="BT867" i="86"/>
  <c r="BJ434" i="86"/>
  <c r="BT507" i="86"/>
  <c r="CI507" i="86" s="1"/>
  <c r="BH423" i="86"/>
  <c r="BN423" i="86"/>
  <c r="BO423" i="86" s="1"/>
  <c r="BL336" i="86"/>
  <c r="BE336" i="86"/>
  <c r="BK336" i="86"/>
  <c r="BL826" i="86"/>
  <c r="BE826" i="86"/>
  <c r="BT770" i="86"/>
  <c r="BJ770" i="86"/>
  <c r="BF277" i="86"/>
  <c r="BT277" i="86"/>
  <c r="BT283" i="86"/>
  <c r="BF283" i="86"/>
  <c r="BJ919" i="86"/>
  <c r="BT622" i="86"/>
  <c r="BJ733" i="86"/>
  <c r="BT900" i="86"/>
  <c r="BH252" i="86"/>
  <c r="BL836" i="86"/>
  <c r="BK836" i="86"/>
  <c r="BE836" i="86"/>
  <c r="BO720" i="86"/>
  <c r="BT621" i="86"/>
  <c r="BJ621" i="86"/>
  <c r="BJ670" i="86"/>
  <c r="BT670" i="86"/>
  <c r="BJ674" i="86"/>
  <c r="BT674" i="86"/>
  <c r="BT258" i="86"/>
  <c r="BF258" i="86"/>
  <c r="BT263" i="86"/>
  <c r="BF263" i="86"/>
  <c r="BT563" i="86"/>
  <c r="BT787" i="86"/>
  <c r="CI787" i="86" s="1"/>
  <c r="BE842" i="86"/>
  <c r="BE161" i="86"/>
  <c r="BJ243" i="86"/>
  <c r="BJ491" i="86"/>
  <c r="BJ614" i="86"/>
  <c r="BT675" i="86"/>
  <c r="BT714" i="86"/>
  <c r="BT752" i="86"/>
  <c r="BT810" i="86"/>
  <c r="BT78" i="86"/>
  <c r="BJ94" i="86"/>
  <c r="BJ129" i="86"/>
  <c r="BJ168" i="86"/>
  <c r="BT180" i="86"/>
  <c r="BJ503" i="86"/>
  <c r="BT778" i="86"/>
  <c r="BJ782" i="86"/>
  <c r="BJ800" i="86"/>
  <c r="BT75" i="86"/>
  <c r="BJ91" i="86"/>
  <c r="BJ194" i="86"/>
  <c r="BJ255" i="86"/>
  <c r="BT355" i="86"/>
  <c r="BJ371" i="86"/>
  <c r="BT412" i="86"/>
  <c r="BT552" i="86"/>
  <c r="CI552" i="86" s="1"/>
  <c r="BT680" i="86"/>
  <c r="CI680" i="86" s="1"/>
  <c r="BJ786" i="86"/>
  <c r="BJ802" i="86"/>
  <c r="BT886" i="86"/>
  <c r="BJ902" i="86"/>
  <c r="BJ931" i="86"/>
  <c r="BT829" i="86"/>
  <c r="BT89" i="86"/>
  <c r="BT121" i="86"/>
  <c r="BT142" i="86"/>
  <c r="BT167" i="86"/>
  <c r="BJ860" i="86"/>
  <c r="BT427" i="86"/>
  <c r="BO434" i="86"/>
  <c r="CG653" i="86"/>
  <c r="CG96" i="86"/>
  <c r="CG768" i="86"/>
  <c r="CF768" i="86"/>
  <c r="BD903" i="86"/>
  <c r="BI903" i="86"/>
  <c r="BH903" i="86"/>
  <c r="BL912" i="86"/>
  <c r="BK912" i="86"/>
  <c r="BE912" i="86"/>
  <c r="BO746" i="86"/>
  <c r="L746" i="86"/>
  <c r="BD746" i="86"/>
  <c r="CG708" i="86"/>
  <c r="BT533" i="86"/>
  <c r="BT817" i="86"/>
  <c r="BI410" i="86"/>
  <c r="BJ410" i="86" s="1"/>
  <c r="BD625" i="86"/>
  <c r="BH625" i="86"/>
  <c r="BI625" i="86"/>
  <c r="BH738" i="86"/>
  <c r="BI738" i="86"/>
  <c r="BJ768" i="86"/>
  <c r="CG275" i="86"/>
  <c r="CF275" i="86"/>
  <c r="BE165" i="86"/>
  <c r="BT165" i="86"/>
  <c r="BO186" i="86"/>
  <c r="BT186" i="86"/>
  <c r="L338" i="86"/>
  <c r="BD338" i="86"/>
  <c r="CG522" i="86"/>
  <c r="BD862" i="86"/>
  <c r="BI862" i="86"/>
  <c r="BE906" i="86"/>
  <c r="BK906" i="86"/>
  <c r="CG696" i="86"/>
  <c r="CF696" i="86"/>
  <c r="BH609" i="86"/>
  <c r="BE907" i="86"/>
  <c r="BK907" i="86"/>
  <c r="CG560" i="86"/>
  <c r="CF727" i="86"/>
  <c r="BH230" i="86"/>
  <c r="BI230" i="86"/>
  <c r="BK122" i="86"/>
  <c r="BL122" i="86"/>
  <c r="BE122" i="86"/>
  <c r="CG578" i="86"/>
  <c r="CF578" i="86"/>
  <c r="CF391" i="86"/>
  <c r="CG391" i="86"/>
  <c r="BL740" i="86"/>
  <c r="BE740" i="86"/>
  <c r="BT276" i="86"/>
  <c r="BF276" i="86"/>
  <c r="BO406" i="86"/>
  <c r="L406" i="86"/>
  <c r="BD406" i="86"/>
  <c r="CF871" i="86"/>
  <c r="CG871" i="86"/>
  <c r="CG660" i="86"/>
  <c r="CF660" i="86"/>
  <c r="CF545" i="86"/>
  <c r="BE630" i="86"/>
  <c r="BK630" i="86"/>
  <c r="BT173" i="86"/>
  <c r="BJ173" i="86"/>
  <c r="BJ368" i="86"/>
  <c r="BT368" i="86"/>
  <c r="BT588" i="86"/>
  <c r="CI588" i="86" s="1"/>
  <c r="BJ588" i="86"/>
  <c r="CG613" i="86"/>
  <c r="CF613" i="86"/>
  <c r="CG690" i="86"/>
  <c r="CF690" i="86"/>
  <c r="BJ174" i="86"/>
  <c r="BK823" i="86"/>
  <c r="BL823" i="86"/>
  <c r="BE823" i="86"/>
  <c r="BH561" i="86"/>
  <c r="BN561" i="86"/>
  <c r="BI561" i="86"/>
  <c r="BO722" i="86"/>
  <c r="BT722" i="86"/>
  <c r="BT32" i="86"/>
  <c r="BL630" i="86"/>
  <c r="BD845" i="86"/>
  <c r="BN845" i="86"/>
  <c r="BH845" i="86"/>
  <c r="BJ845" i="86" s="1"/>
  <c r="BT126" i="86"/>
  <c r="CI126" i="86" s="1"/>
  <c r="BT149" i="86"/>
  <c r="BO616" i="86"/>
  <c r="BT616" i="86"/>
  <c r="L755" i="86"/>
  <c r="BD755" i="86"/>
  <c r="BO755" i="86"/>
  <c r="BE843" i="86"/>
  <c r="BK843" i="86"/>
  <c r="BL843" i="86"/>
  <c r="BJ35" i="86"/>
  <c r="BT255" i="86"/>
  <c r="BT339" i="86"/>
  <c r="BT595" i="86"/>
  <c r="L725" i="86"/>
  <c r="BI725" i="86"/>
  <c r="BJ725" i="86" s="1"/>
  <c r="CG14" i="86"/>
  <c r="CF14" i="86"/>
  <c r="BL840" i="86"/>
  <c r="BK840" i="86"/>
  <c r="BE840" i="86"/>
  <c r="BJ759" i="86"/>
  <c r="BO457" i="86"/>
  <c r="BT457" i="86"/>
  <c r="BI910" i="86"/>
  <c r="BH910" i="86"/>
  <c r="CG617" i="86"/>
  <c r="CF617" i="86"/>
  <c r="BO338" i="86"/>
  <c r="CF268" i="86"/>
  <c r="BT952" i="86"/>
  <c r="BH509" i="86"/>
  <c r="BJ509" i="86" s="1"/>
  <c r="BD509" i="86"/>
  <c r="BJ22" i="86"/>
  <c r="BT22" i="86"/>
  <c r="BT521" i="86"/>
  <c r="BJ521" i="86"/>
  <c r="CF289" i="86"/>
  <c r="BK909" i="86"/>
  <c r="BL909" i="86"/>
  <c r="BT933" i="86"/>
  <c r="CI933" i="86" s="1"/>
  <c r="BJ933" i="86"/>
  <c r="BT742" i="86"/>
  <c r="BO668" i="86"/>
  <c r="BT668" i="86"/>
  <c r="CG158" i="86"/>
  <c r="CF158" i="86"/>
  <c r="CG493" i="86"/>
  <c r="CF493" i="86"/>
  <c r="BE137" i="86"/>
  <c r="BI252" i="86"/>
  <c r="BL844" i="86"/>
  <c r="BT109" i="86"/>
  <c r="BJ133" i="86"/>
  <c r="BT447" i="86"/>
  <c r="BJ166" i="86"/>
  <c r="BT245" i="86"/>
  <c r="BT327" i="86"/>
  <c r="BJ348" i="86"/>
  <c r="BJ399" i="86"/>
  <c r="BJ457" i="86"/>
  <c r="BJ732" i="86"/>
  <c r="BJ895" i="86"/>
  <c r="BO59" i="86"/>
  <c r="BT59" i="86"/>
  <c r="CI59" i="86" s="1"/>
  <c r="BO390" i="86"/>
  <c r="BT390" i="86"/>
  <c r="BI586" i="86"/>
  <c r="BK859" i="86"/>
  <c r="BD449" i="86"/>
  <c r="BL911" i="86"/>
  <c r="BM911" i="86" s="1"/>
  <c r="BJ944" i="86"/>
  <c r="BD423" i="86"/>
  <c r="BL702" i="86"/>
  <c r="CG813" i="86"/>
  <c r="BL859" i="86"/>
  <c r="BT83" i="86"/>
  <c r="BI316" i="86"/>
  <c r="BJ316" i="86" s="1"/>
  <c r="BJ651" i="86"/>
  <c r="BJ30" i="86"/>
  <c r="BJ611" i="86"/>
  <c r="BT897" i="86"/>
  <c r="BJ924" i="86"/>
  <c r="BT308" i="86"/>
  <c r="BH586" i="86"/>
  <c r="BI125" i="86"/>
  <c r="BD125" i="86"/>
  <c r="BO564" i="86"/>
  <c r="BT564" i="86"/>
  <c r="CI564" i="86" s="1"/>
  <c r="BT315" i="86"/>
  <c r="BK702" i="86"/>
  <c r="BJ748" i="86"/>
  <c r="BT642" i="86"/>
  <c r="BT372" i="86"/>
  <c r="BT120" i="86"/>
  <c r="BT270" i="86"/>
  <c r="BJ778" i="86"/>
  <c r="BJ806" i="86"/>
  <c r="CF494" i="86"/>
  <c r="CF253" i="86"/>
  <c r="BK844" i="86"/>
  <c r="L481" i="86"/>
  <c r="BO625" i="86"/>
  <c r="BD627" i="86"/>
  <c r="BD586" i="86"/>
  <c r="BD206" i="86"/>
  <c r="BJ115" i="86"/>
  <c r="BT429" i="86"/>
  <c r="BT610" i="86"/>
  <c r="BT479" i="86"/>
  <c r="CI479" i="86" s="1"/>
  <c r="BT945" i="86"/>
  <c r="CI945" i="86" s="1"/>
  <c r="BF945" i="86"/>
  <c r="BO816" i="86"/>
  <c r="L816" i="86"/>
  <c r="BT792" i="86"/>
  <c r="CI792" i="86" s="1"/>
  <c r="BT93" i="86"/>
  <c r="CI93" i="86" s="1"/>
  <c r="BT151" i="86"/>
  <c r="BT373" i="86"/>
  <c r="CI373" i="86" s="1"/>
  <c r="BT519" i="86"/>
  <c r="BT763" i="86"/>
  <c r="CI763" i="86" s="1"/>
  <c r="BJ804" i="86"/>
  <c r="BJ834" i="86"/>
  <c r="BT888" i="86"/>
  <c r="CI888" i="86" s="1"/>
  <c r="BJ935" i="86"/>
  <c r="BT262" i="86"/>
  <c r="CI262" i="86" s="1"/>
  <c r="BT342" i="86"/>
  <c r="BT358" i="86"/>
  <c r="BJ416" i="86"/>
  <c r="BJ486" i="86"/>
  <c r="BT723" i="86"/>
  <c r="BT764" i="86"/>
  <c r="BO481" i="86"/>
  <c r="CG662" i="86"/>
  <c r="BJ589" i="86"/>
  <c r="BJ686" i="86"/>
  <c r="BJ123" i="86"/>
  <c r="CF451" i="86"/>
  <c r="BL711" i="86"/>
  <c r="BT757" i="86"/>
  <c r="BJ809" i="86"/>
  <c r="BD397" i="86"/>
  <c r="BI423" i="86"/>
  <c r="BJ240" i="86"/>
  <c r="BT295" i="86"/>
  <c r="BJ319" i="86"/>
  <c r="BT359" i="86"/>
  <c r="BT392" i="86"/>
  <c r="BT487" i="86"/>
  <c r="BT267" i="86"/>
  <c r="CG3" i="86"/>
  <c r="CF3" i="86"/>
  <c r="AN18" i="90"/>
  <c r="BT62" i="86"/>
  <c r="CI62" i="86" s="1"/>
  <c r="BJ82" i="86"/>
  <c r="BT110" i="86"/>
  <c r="BT135" i="86"/>
  <c r="BT761" i="86"/>
  <c r="BT444" i="86"/>
  <c r="BO184" i="86"/>
  <c r="BJ780" i="86"/>
  <c r="BJ519" i="86"/>
  <c r="BJ62" i="86"/>
  <c r="BI637" i="86"/>
  <c r="BT77" i="86"/>
  <c r="BJ77" i="86"/>
  <c r="BJ179" i="86"/>
  <c r="BT179" i="86"/>
  <c r="BT357" i="86"/>
  <c r="CF524" i="86"/>
  <c r="CG524" i="86"/>
  <c r="BJ796" i="86"/>
  <c r="BT796" i="86"/>
  <c r="CF624" i="86"/>
  <c r="CG624" i="86"/>
  <c r="BT935" i="86"/>
  <c r="BT317" i="86"/>
  <c r="BT25" i="86"/>
  <c r="BJ25" i="86"/>
  <c r="BJ41" i="86"/>
  <c r="BT41" i="86"/>
  <c r="BJ163" i="86"/>
  <c r="BT163" i="86"/>
  <c r="BT199" i="86"/>
  <c r="BJ199" i="86"/>
  <c r="BJ224" i="86"/>
  <c r="BT224" i="86"/>
  <c r="BJ241" i="86"/>
  <c r="BT241" i="86"/>
  <c r="BT296" i="86"/>
  <c r="BJ296" i="86"/>
  <c r="BT320" i="86"/>
  <c r="BJ320" i="86"/>
  <c r="BJ344" i="86"/>
  <c r="BT344" i="86"/>
  <c r="BJ360" i="86"/>
  <c r="BT360" i="86"/>
  <c r="BJ393" i="86"/>
  <c r="BT393" i="86"/>
  <c r="BJ418" i="86"/>
  <c r="BT418" i="86"/>
  <c r="BJ446" i="86"/>
  <c r="BT446" i="86"/>
  <c r="CF557" i="86"/>
  <c r="CG557" i="86"/>
  <c r="BJ579" i="86"/>
  <c r="BT579" i="86"/>
  <c r="BT721" i="86"/>
  <c r="BJ721" i="86"/>
  <c r="CG456" i="86"/>
  <c r="CF456" i="86"/>
  <c r="CG216" i="86"/>
  <c r="CF216" i="86"/>
  <c r="BJ221" i="86"/>
  <c r="BT221" i="86"/>
  <c r="BH637" i="86"/>
  <c r="BJ257" i="86"/>
  <c r="BE448" i="86"/>
  <c r="BT448" i="86"/>
  <c r="BT619" i="86"/>
  <c r="BJ619" i="86"/>
  <c r="BT648" i="86"/>
  <c r="BJ648" i="86"/>
  <c r="BJ684" i="86"/>
  <c r="BT684" i="86"/>
  <c r="CF765" i="86"/>
  <c r="CG765" i="86"/>
  <c r="CG455" i="86"/>
  <c r="CF455" i="86"/>
  <c r="BJ341" i="86"/>
  <c r="BJ618" i="86"/>
  <c r="BJ888" i="86"/>
  <c r="BJ739" i="86"/>
  <c r="BT739" i="86"/>
  <c r="BT82" i="86"/>
  <c r="BJ757" i="86"/>
  <c r="CF686" i="86"/>
  <c r="CG686" i="86"/>
  <c r="BT538" i="86"/>
  <c r="BE719" i="86"/>
  <c r="BL719" i="86"/>
  <c r="BN719" i="86"/>
  <c r="BK719" i="86"/>
  <c r="CF857" i="86"/>
  <c r="CG857" i="86"/>
  <c r="BJ839" i="86"/>
  <c r="BT839" i="86"/>
  <c r="BJ21" i="86"/>
  <c r="BJ376" i="86"/>
  <c r="BI183" i="86"/>
  <c r="BH183" i="86"/>
  <c r="BD183" i="86"/>
  <c r="BJ889" i="86"/>
  <c r="BT889" i="86"/>
  <c r="BT575" i="86"/>
  <c r="BJ575" i="86"/>
  <c r="BT647" i="86"/>
  <c r="BJ647" i="86"/>
  <c r="CG615" i="86"/>
  <c r="CF615" i="86"/>
  <c r="BO834" i="86"/>
  <c r="BT834" i="86"/>
  <c r="CG880" i="86"/>
  <c r="CF880" i="86"/>
  <c r="BT936" i="86"/>
  <c r="BJ936" i="86"/>
  <c r="BT58" i="86"/>
  <c r="BJ58" i="86"/>
  <c r="BJ128" i="86"/>
  <c r="BT128" i="86"/>
  <c r="BT389" i="86"/>
  <c r="BJ389" i="86"/>
  <c r="BJ485" i="86"/>
  <c r="BT485" i="86"/>
  <c r="BJ597" i="86"/>
  <c r="BT597" i="86"/>
  <c r="BJ683" i="86"/>
  <c r="BT683" i="86"/>
  <c r="BJ744" i="86"/>
  <c r="BT744" i="86"/>
  <c r="CF713" i="86"/>
  <c r="BN762" i="86"/>
  <c r="BH762" i="86"/>
  <c r="BI762" i="86"/>
  <c r="BD762" i="86"/>
  <c r="BL691" i="86"/>
  <c r="BK691" i="86"/>
  <c r="BE691" i="86"/>
  <c r="BO916" i="86"/>
  <c r="BT916" i="86"/>
  <c r="BJ93" i="86"/>
  <c r="BK599" i="86"/>
  <c r="BL599" i="86"/>
  <c r="BE599" i="86"/>
  <c r="BO155" i="86"/>
  <c r="BT155" i="86"/>
  <c r="L825" i="86"/>
  <c r="BI825" i="86"/>
  <c r="BH825" i="86"/>
  <c r="CF582" i="86"/>
  <c r="CG582" i="86"/>
  <c r="BJ489" i="86"/>
  <c r="BJ110" i="86"/>
  <c r="BT717" i="86"/>
  <c r="BO717" i="86"/>
  <c r="BO830" i="86"/>
  <c r="BT830" i="86"/>
  <c r="BJ151" i="86"/>
  <c r="BT415" i="86"/>
  <c r="BJ71" i="86"/>
  <c r="BT71" i="86"/>
  <c r="BT760" i="86"/>
  <c r="BJ760" i="86"/>
  <c r="BT318" i="86"/>
  <c r="BO318" i="86"/>
  <c r="BO452" i="86"/>
  <c r="BT452" i="86"/>
  <c r="BJ915" i="86"/>
  <c r="BT915" i="86"/>
  <c r="CF780" i="86"/>
  <c r="BT196" i="86"/>
  <c r="CG291" i="86"/>
  <c r="CF291" i="86"/>
  <c r="BF957" i="86"/>
  <c r="BT957" i="86"/>
  <c r="CF957" i="86" s="1"/>
  <c r="BL718" i="86"/>
  <c r="BE718" i="86"/>
  <c r="BK718" i="86"/>
  <c r="BT24" i="86"/>
  <c r="BJ24" i="86"/>
  <c r="BT40" i="86"/>
  <c r="BJ40" i="86"/>
  <c r="BJ375" i="86"/>
  <c r="BT375" i="86"/>
  <c r="BJ598" i="86"/>
  <c r="BT804" i="86"/>
  <c r="AB30" i="89"/>
  <c r="BF273" i="86"/>
  <c r="BT273" i="86"/>
  <c r="BT905" i="86"/>
  <c r="BO905" i="86"/>
  <c r="BO466" i="86"/>
  <c r="L466" i="86"/>
  <c r="BD466" i="86"/>
  <c r="BJ623" i="86"/>
  <c r="L623" i="86"/>
  <c r="BD623" i="86"/>
  <c r="CF868" i="86"/>
  <c r="CG868" i="86"/>
  <c r="CF497" i="86"/>
  <c r="CG497" i="86"/>
  <c r="CF107" i="86"/>
  <c r="CG107" i="86"/>
  <c r="BD592" i="86"/>
  <c r="BH592" i="86"/>
  <c r="BI592" i="86"/>
  <c r="BD908" i="86"/>
  <c r="BH908" i="86"/>
  <c r="BJ482" i="86"/>
  <c r="BT482" i="86"/>
  <c r="BT832" i="86"/>
  <c r="BJ832" i="86"/>
  <c r="BT178" i="86"/>
  <c r="BO178" i="86"/>
  <c r="BO609" i="86"/>
  <c r="L609" i="86"/>
  <c r="BD609" i="86"/>
  <c r="BD759" i="86"/>
  <c r="BO759" i="86"/>
  <c r="BD855" i="86"/>
  <c r="BO855" i="86"/>
  <c r="L855" i="86"/>
  <c r="BL629" i="86"/>
  <c r="BT15" i="86"/>
  <c r="BE15" i="86"/>
  <c r="BJ808" i="86"/>
  <c r="BT808" i="86"/>
  <c r="BT292" i="86"/>
  <c r="BF292" i="86"/>
  <c r="BT440" i="86"/>
  <c r="BJ440" i="86"/>
  <c r="BO846" i="86"/>
  <c r="BT846" i="86"/>
  <c r="BD66" i="86"/>
  <c r="BO66" i="86"/>
  <c r="L66" i="86"/>
  <c r="BT348" i="86"/>
  <c r="BI334" i="86"/>
  <c r="BD334" i="86"/>
  <c r="BK820" i="86"/>
  <c r="BE820" i="86"/>
  <c r="BL820" i="86"/>
  <c r="BT16" i="86"/>
  <c r="BE16" i="86"/>
  <c r="BJ763" i="86"/>
  <c r="BF279" i="86"/>
  <c r="BT279" i="86"/>
  <c r="BF403" i="86"/>
  <c r="BT403" i="86"/>
  <c r="CG821" i="86"/>
  <c r="BI851" i="86"/>
  <c r="BH851" i="86"/>
  <c r="BD841" i="86"/>
  <c r="BH841" i="86"/>
  <c r="BT31" i="86"/>
  <c r="BJ31" i="86"/>
  <c r="BT88" i="86"/>
  <c r="BJ88" i="86"/>
  <c r="BJ172" i="86"/>
  <c r="BT172" i="86"/>
  <c r="BT189" i="86"/>
  <c r="BT304" i="86"/>
  <c r="BJ329" i="86"/>
  <c r="BJ366" i="86"/>
  <c r="BJ430" i="86"/>
  <c r="BT430" i="86"/>
  <c r="BJ461" i="86"/>
  <c r="BT547" i="86"/>
  <c r="BJ764" i="86"/>
  <c r="L489" i="86"/>
  <c r="BO489" i="86"/>
  <c r="BN718" i="86"/>
  <c r="BE207" i="86"/>
  <c r="BI865" i="86"/>
  <c r="BD865" i="86"/>
  <c r="BD419" i="86"/>
  <c r="BH419" i="86"/>
  <c r="BI419" i="86"/>
  <c r="BT608" i="86"/>
  <c r="BJ747" i="86"/>
  <c r="BT747" i="86"/>
  <c r="BD781" i="86"/>
  <c r="L781" i="86"/>
  <c r="CG169" i="86"/>
  <c r="CF169" i="86"/>
  <c r="BD140" i="86"/>
  <c r="BN140" i="86"/>
  <c r="BT210" i="86"/>
  <c r="BJ210" i="86"/>
  <c r="BJ352" i="86"/>
  <c r="BT352" i="86"/>
  <c r="BJ728" i="86"/>
  <c r="BT728" i="86"/>
  <c r="AM18" i="90"/>
  <c r="AM21" i="90" s="1"/>
  <c r="AC30" i="89"/>
  <c r="BT112" i="86"/>
  <c r="BD399" i="86"/>
  <c r="L399" i="86"/>
  <c r="BO399" i="86"/>
  <c r="CF472" i="86"/>
  <c r="CG472" i="86"/>
  <c r="BI841" i="86"/>
  <c r="BK207" i="86"/>
  <c r="BK838" i="86"/>
  <c r="BE838" i="86"/>
  <c r="BL838" i="86"/>
  <c r="BK629" i="86"/>
  <c r="BT767" i="86"/>
  <c r="BJ767" i="86"/>
  <c r="CG679" i="86"/>
  <c r="CG470" i="86"/>
  <c r="CF470" i="86"/>
  <c r="BJ788" i="86"/>
  <c r="BJ141" i="86"/>
  <c r="BT141" i="86"/>
  <c r="BT228" i="86"/>
  <c r="BJ228" i="86"/>
  <c r="BJ428" i="86"/>
  <c r="BT428" i="86"/>
  <c r="BJ500" i="86"/>
  <c r="BT500" i="86"/>
  <c r="BJ583" i="86"/>
  <c r="BT583" i="86"/>
  <c r="BJ795" i="86"/>
  <c r="BT795" i="86"/>
  <c r="BJ852" i="86"/>
  <c r="BT852" i="86"/>
  <c r="L927" i="86"/>
  <c r="BO927" i="86"/>
  <c r="BJ927" i="86"/>
  <c r="CG515" i="86"/>
  <c r="BT536" i="86"/>
  <c r="BJ536" i="86"/>
  <c r="BT732" i="86"/>
  <c r="BT67" i="86"/>
  <c r="BJ427" i="86"/>
  <c r="L833" i="86"/>
  <c r="BO833" i="86"/>
  <c r="CF698" i="86"/>
  <c r="CG698" i="86"/>
  <c r="BK861" i="86"/>
  <c r="BL861" i="86"/>
  <c r="BJ751" i="86"/>
  <c r="BT751" i="86"/>
  <c r="BT585" i="86"/>
  <c r="BJ585" i="86"/>
  <c r="BT445" i="86"/>
  <c r="BJ445" i="86"/>
  <c r="BO115" i="86"/>
  <c r="CG884" i="86"/>
  <c r="CF884" i="86"/>
  <c r="BJ238" i="86"/>
  <c r="BJ373" i="86"/>
  <c r="BJ439" i="86"/>
  <c r="BT439" i="86"/>
  <c r="BT554" i="86"/>
  <c r="CG667" i="86"/>
  <c r="CF667" i="86"/>
  <c r="CF466" i="86"/>
  <c r="CG466" i="86"/>
  <c r="CG220" i="86"/>
  <c r="CF220" i="86"/>
  <c r="BJ245" i="86"/>
  <c r="BJ761" i="86"/>
  <c r="BH206" i="86"/>
  <c r="BI56" i="86"/>
  <c r="BH56" i="86"/>
  <c r="BD56" i="86"/>
  <c r="BD12" i="86"/>
  <c r="L12" i="86"/>
  <c r="BO12" i="86"/>
  <c r="BO622" i="86"/>
  <c r="BD622" i="86"/>
  <c r="CG499" i="86"/>
  <c r="CF499" i="86"/>
  <c r="BD230" i="86"/>
  <c r="BL907" i="86"/>
  <c r="BN316" i="86"/>
  <c r="BN529" i="86"/>
  <c r="BK740" i="86"/>
  <c r="BE139" i="86"/>
  <c r="BK139" i="86"/>
  <c r="BK826" i="86"/>
  <c r="BD904" i="86"/>
  <c r="BD316" i="86"/>
  <c r="BT815" i="86"/>
  <c r="CG612" i="86" l="1"/>
  <c r="CH612" i="86"/>
  <c r="CF612" i="86"/>
  <c r="BT737" i="86"/>
  <c r="CH737" i="86" s="1"/>
  <c r="CH567" i="86"/>
  <c r="CF567" i="86"/>
  <c r="F2" i="96"/>
  <c r="CL982" i="86"/>
  <c r="CL989" i="86"/>
  <c r="F4" i="96"/>
  <c r="F8" i="96" s="1"/>
  <c r="CK982" i="86"/>
  <c r="E2" i="96"/>
  <c r="E4" i="96"/>
  <c r="E8" i="96" s="1"/>
  <c r="CK989" i="86"/>
  <c r="G2" i="96"/>
  <c r="CM982" i="86"/>
  <c r="CM986" i="86" s="1"/>
  <c r="D4" i="96"/>
  <c r="D8" i="96" s="1"/>
  <c r="CJ989" i="86"/>
  <c r="CJ982" i="86"/>
  <c r="D2" i="96"/>
  <c r="CM989" i="86"/>
  <c r="G4" i="96"/>
  <c r="G8" i="96" s="1"/>
  <c r="B2" i="93"/>
  <c r="B3" i="93" s="1"/>
  <c r="B2" i="96"/>
  <c r="B3" i="96" s="1"/>
  <c r="B8" i="96" s="1"/>
  <c r="CI951" i="86"/>
  <c r="CH951" i="86"/>
  <c r="CG951" i="86"/>
  <c r="CH35" i="86"/>
  <c r="CI35" i="86"/>
  <c r="CH67" i="86"/>
  <c r="CI67" i="86"/>
  <c r="CH852" i="86"/>
  <c r="CI852" i="86"/>
  <c r="CH428" i="86"/>
  <c r="CI428" i="86"/>
  <c r="CH31" i="86"/>
  <c r="CI31" i="86"/>
  <c r="CH16" i="86"/>
  <c r="CI16" i="86"/>
  <c r="CH832" i="86"/>
  <c r="CI832" i="86"/>
  <c r="CH24" i="86"/>
  <c r="CI24" i="86"/>
  <c r="CH452" i="86"/>
  <c r="CI452" i="86"/>
  <c r="CH916" i="86"/>
  <c r="CI916" i="86"/>
  <c r="CH128" i="86"/>
  <c r="CI128" i="86"/>
  <c r="CH739" i="86"/>
  <c r="CI739" i="86"/>
  <c r="CH648" i="86"/>
  <c r="CI648" i="86"/>
  <c r="CH296" i="86"/>
  <c r="CI296" i="86"/>
  <c r="CH761" i="86"/>
  <c r="CI761" i="86"/>
  <c r="CH610" i="86"/>
  <c r="CI610" i="86"/>
  <c r="CH245" i="86"/>
  <c r="CI245" i="86"/>
  <c r="CH89" i="86"/>
  <c r="CI89" i="86"/>
  <c r="CH886" i="86"/>
  <c r="CI886" i="86"/>
  <c r="CH180" i="86"/>
  <c r="CI180" i="86"/>
  <c r="CH675" i="86"/>
  <c r="CI675" i="86"/>
  <c r="CH674" i="86"/>
  <c r="CI674" i="86"/>
  <c r="CH770" i="86"/>
  <c r="CI770" i="86"/>
  <c r="CH401" i="86"/>
  <c r="CI401" i="86"/>
  <c r="CH234" i="86"/>
  <c r="CI234" i="86"/>
  <c r="CH29" i="86"/>
  <c r="CI29" i="86"/>
  <c r="CH627" i="86"/>
  <c r="CI627" i="86"/>
  <c r="CI2" i="86"/>
  <c r="CH2" i="86"/>
  <c r="CH527" i="86"/>
  <c r="CI527" i="86"/>
  <c r="CH81" i="86"/>
  <c r="CI81" i="86"/>
  <c r="CH571" i="86"/>
  <c r="CI571" i="86"/>
  <c r="CH614" i="86"/>
  <c r="CI614" i="86"/>
  <c r="CH387" i="86"/>
  <c r="CI387" i="86"/>
  <c r="CH10" i="86"/>
  <c r="CI10" i="86"/>
  <c r="CH824" i="86"/>
  <c r="CI824" i="86"/>
  <c r="CH48" i="86"/>
  <c r="CI48" i="86"/>
  <c r="CH42" i="86"/>
  <c r="CI42" i="86"/>
  <c r="CH435" i="86"/>
  <c r="CI435" i="86"/>
  <c r="CH195" i="86"/>
  <c r="CI195" i="86"/>
  <c r="CH34" i="86"/>
  <c r="CI34" i="86"/>
  <c r="CH891" i="86"/>
  <c r="CI891" i="86"/>
  <c r="CH402" i="86"/>
  <c r="CI402" i="86"/>
  <c r="CH333" i="86"/>
  <c r="CI333" i="86"/>
  <c r="CH4" i="86"/>
  <c r="CI4" i="86"/>
  <c r="CH551" i="86"/>
  <c r="CI551" i="86"/>
  <c r="CH492" i="86"/>
  <c r="CI492" i="86"/>
  <c r="CF960" i="86"/>
  <c r="CI960" i="86"/>
  <c r="CH709" i="86"/>
  <c r="CI709" i="86"/>
  <c r="CH397" i="86"/>
  <c r="CI397" i="86"/>
  <c r="CH324" i="86"/>
  <c r="CI324" i="86"/>
  <c r="CH115" i="86"/>
  <c r="CI115" i="86"/>
  <c r="CH531" i="86"/>
  <c r="CH815" i="86"/>
  <c r="CI815" i="86"/>
  <c r="CH732" i="86"/>
  <c r="CI732" i="86"/>
  <c r="CH430" i="86"/>
  <c r="CI430" i="86"/>
  <c r="CH304" i="86"/>
  <c r="CI304" i="86"/>
  <c r="CH440" i="86"/>
  <c r="CI440" i="86"/>
  <c r="CH482" i="86"/>
  <c r="CI482" i="86"/>
  <c r="CH905" i="86"/>
  <c r="CI905" i="86"/>
  <c r="CH804" i="86"/>
  <c r="CI804" i="86"/>
  <c r="CH760" i="86"/>
  <c r="CI760" i="86"/>
  <c r="CH717" i="86"/>
  <c r="CI717" i="86"/>
  <c r="CH936" i="86"/>
  <c r="CI936" i="86"/>
  <c r="CH647" i="86"/>
  <c r="CI647" i="86"/>
  <c r="CH684" i="86"/>
  <c r="CI684" i="86"/>
  <c r="CH418" i="86"/>
  <c r="CI418" i="86"/>
  <c r="CH360" i="86"/>
  <c r="CI360" i="86"/>
  <c r="CH241" i="86"/>
  <c r="CI241" i="86"/>
  <c r="CH41" i="86"/>
  <c r="CI41" i="86"/>
  <c r="CH317" i="86"/>
  <c r="CI317" i="86"/>
  <c r="CH796" i="86"/>
  <c r="CI796" i="86"/>
  <c r="CH357" i="86"/>
  <c r="CI357" i="86"/>
  <c r="CH77" i="86"/>
  <c r="CI77" i="86"/>
  <c r="CH135" i="86"/>
  <c r="CI135" i="86"/>
  <c r="CH487" i="86"/>
  <c r="CI487" i="86"/>
  <c r="CH295" i="86"/>
  <c r="CI295" i="86"/>
  <c r="CH429" i="86"/>
  <c r="CI429" i="86"/>
  <c r="CH270" i="86"/>
  <c r="CI270" i="86"/>
  <c r="CH308" i="86"/>
  <c r="CI308" i="86"/>
  <c r="CH521" i="86"/>
  <c r="CI521" i="86"/>
  <c r="CH457" i="86"/>
  <c r="CI457" i="86"/>
  <c r="CH255" i="86"/>
  <c r="CI255" i="86"/>
  <c r="CH186" i="86"/>
  <c r="CI186" i="86"/>
  <c r="CH167" i="86"/>
  <c r="CI167" i="86"/>
  <c r="CH829" i="86"/>
  <c r="CI829" i="86"/>
  <c r="CH412" i="86"/>
  <c r="CI412" i="86"/>
  <c r="CH810" i="86"/>
  <c r="CI810" i="86"/>
  <c r="CH263" i="86"/>
  <c r="CI263" i="86"/>
  <c r="CH621" i="86"/>
  <c r="CI621" i="86"/>
  <c r="CH622" i="86"/>
  <c r="CI622" i="86"/>
  <c r="CH277" i="86"/>
  <c r="CI277" i="86"/>
  <c r="CH250" i="86"/>
  <c r="CI250" i="86"/>
  <c r="CH200" i="86"/>
  <c r="CI200" i="86"/>
  <c r="CH901" i="86"/>
  <c r="CI901" i="86"/>
  <c r="CH580" i="86"/>
  <c r="CI580" i="86"/>
  <c r="CH546" i="86"/>
  <c r="CI546" i="86"/>
  <c r="CH733" i="86"/>
  <c r="CI733" i="86"/>
  <c r="CH111" i="86"/>
  <c r="CI111" i="86"/>
  <c r="CH187" i="86"/>
  <c r="CI187" i="86"/>
  <c r="CH127" i="86"/>
  <c r="CI127" i="86"/>
  <c r="CH918" i="86"/>
  <c r="CI918" i="86"/>
  <c r="CH7" i="86"/>
  <c r="CI7" i="86"/>
  <c r="CH864" i="86"/>
  <c r="CI864" i="86"/>
  <c r="CH475" i="86"/>
  <c r="CI475" i="86"/>
  <c r="CH191" i="86"/>
  <c r="CI191" i="86"/>
  <c r="CH44" i="86"/>
  <c r="CI44" i="86"/>
  <c r="CH947" i="86"/>
  <c r="CI947" i="86"/>
  <c r="CH687" i="86"/>
  <c r="CI687" i="86"/>
  <c r="CH145" i="86"/>
  <c r="CI145" i="86"/>
  <c r="CH92" i="86"/>
  <c r="CI92" i="86"/>
  <c r="CH54" i="86"/>
  <c r="CI54" i="86"/>
  <c r="CH921" i="86"/>
  <c r="CI921" i="86"/>
  <c r="CH790" i="86"/>
  <c r="CI790" i="86"/>
  <c r="CH193" i="86"/>
  <c r="CI193" i="86"/>
  <c r="CH781" i="86"/>
  <c r="CI781" i="86"/>
  <c r="CH646" i="86"/>
  <c r="CI646" i="86"/>
  <c r="CH811" i="86"/>
  <c r="CI811" i="86"/>
  <c r="CH474" i="86"/>
  <c r="CI474" i="86"/>
  <c r="CH481" i="86"/>
  <c r="CI481" i="86"/>
  <c r="CH496" i="86"/>
  <c r="CI496" i="86"/>
  <c r="CH272" i="86"/>
  <c r="CI272" i="86"/>
  <c r="CH633" i="86"/>
  <c r="CI633" i="86"/>
  <c r="CH539" i="86"/>
  <c r="CI539" i="86"/>
  <c r="CH117" i="86"/>
  <c r="CI117" i="86"/>
  <c r="CF959" i="86"/>
  <c r="CI959" i="86"/>
  <c r="CH720" i="86"/>
  <c r="CI720" i="86"/>
  <c r="CH598" i="86"/>
  <c r="CI598" i="86"/>
  <c r="CG566" i="86"/>
  <c r="CI566" i="86"/>
  <c r="CF953" i="86"/>
  <c r="CI953" i="86"/>
  <c r="CH141" i="86"/>
  <c r="CI141" i="86"/>
  <c r="CH608" i="86"/>
  <c r="CI608" i="86"/>
  <c r="CH957" i="86"/>
  <c r="CI957" i="86"/>
  <c r="CH485" i="86"/>
  <c r="CI485" i="86"/>
  <c r="CH642" i="86"/>
  <c r="CI642" i="86"/>
  <c r="CH109" i="86"/>
  <c r="CI109" i="86"/>
  <c r="CH483" i="86"/>
  <c r="CI483" i="86"/>
  <c r="CH298" i="86"/>
  <c r="CI298" i="86"/>
  <c r="CH743" i="86"/>
  <c r="CI743" i="86"/>
  <c r="CH227" i="86"/>
  <c r="CI227" i="86"/>
  <c r="CH712" i="86"/>
  <c r="CI712" i="86"/>
  <c r="CH795" i="86"/>
  <c r="CI795" i="86"/>
  <c r="CH728" i="86"/>
  <c r="CI728" i="86"/>
  <c r="CH747" i="86"/>
  <c r="CI747" i="86"/>
  <c r="CH189" i="86"/>
  <c r="CI189" i="86"/>
  <c r="CH348" i="86"/>
  <c r="CI348" i="86"/>
  <c r="CH178" i="86"/>
  <c r="CI178" i="86"/>
  <c r="CH40" i="86"/>
  <c r="CI40" i="86"/>
  <c r="CH915" i="86"/>
  <c r="CI915" i="86"/>
  <c r="CH71" i="86"/>
  <c r="CI71" i="86"/>
  <c r="CH830" i="86"/>
  <c r="CI830" i="86"/>
  <c r="CH155" i="86"/>
  <c r="CI155" i="86"/>
  <c r="CH597" i="86"/>
  <c r="CI597" i="86"/>
  <c r="CH619" i="86"/>
  <c r="CI619" i="86"/>
  <c r="CH179" i="86"/>
  <c r="CI179" i="86"/>
  <c r="CH358" i="86"/>
  <c r="CI358" i="86"/>
  <c r="CF519" i="86"/>
  <c r="CI519" i="86"/>
  <c r="CH120" i="86"/>
  <c r="CI120" i="86"/>
  <c r="CH447" i="86"/>
  <c r="CI447" i="86"/>
  <c r="CH952" i="86"/>
  <c r="CI952" i="86"/>
  <c r="CH276" i="86"/>
  <c r="CI276" i="86"/>
  <c r="CH142" i="86"/>
  <c r="CI142" i="86"/>
  <c r="CH778" i="86"/>
  <c r="CI778" i="86"/>
  <c r="CH670" i="86"/>
  <c r="CI670" i="86"/>
  <c r="CH867" i="86"/>
  <c r="CI867" i="86"/>
  <c r="CH297" i="86"/>
  <c r="CI297" i="86"/>
  <c r="CH508" i="86"/>
  <c r="CI508" i="86"/>
  <c r="CH379" i="86"/>
  <c r="CI379" i="86"/>
  <c r="CH209" i="86"/>
  <c r="CI209" i="86"/>
  <c r="CH330" i="86"/>
  <c r="CI330" i="86"/>
  <c r="CH105" i="86"/>
  <c r="CI105" i="86"/>
  <c r="CH313" i="86"/>
  <c r="CI313" i="86"/>
  <c r="CH766" i="86"/>
  <c r="CI766" i="86"/>
  <c r="CH443" i="86"/>
  <c r="CI443" i="86"/>
  <c r="CH136" i="86"/>
  <c r="CI136" i="86"/>
  <c r="CH866" i="86"/>
  <c r="CI866" i="86"/>
  <c r="CH577" i="86"/>
  <c r="CI577" i="86"/>
  <c r="CH807" i="86"/>
  <c r="CI807" i="86"/>
  <c r="CH52" i="86"/>
  <c r="CI52" i="86"/>
  <c r="CH261" i="86"/>
  <c r="CI261" i="86"/>
  <c r="CH495" i="86"/>
  <c r="CI495" i="86"/>
  <c r="CH356" i="86"/>
  <c r="CI356" i="86"/>
  <c r="CH215" i="86"/>
  <c r="CI215" i="86"/>
  <c r="CH672" i="86"/>
  <c r="CI672" i="86"/>
  <c r="CH753" i="86"/>
  <c r="CI753" i="86"/>
  <c r="CF958" i="86"/>
  <c r="CI958" i="86"/>
  <c r="CH913" i="86"/>
  <c r="CI913" i="86"/>
  <c r="CH730" i="86"/>
  <c r="CI730" i="86"/>
  <c r="CH645" i="86"/>
  <c r="CI645" i="86"/>
  <c r="CH439" i="86"/>
  <c r="CI439" i="86"/>
  <c r="CH445" i="86"/>
  <c r="CI445" i="86"/>
  <c r="CH583" i="86"/>
  <c r="CI583" i="86"/>
  <c r="CH352" i="86"/>
  <c r="CI352" i="86"/>
  <c r="CH279" i="86"/>
  <c r="CI279" i="86"/>
  <c r="CH808" i="86"/>
  <c r="CI808" i="86"/>
  <c r="CH196" i="86"/>
  <c r="CI196" i="86"/>
  <c r="CH415" i="86"/>
  <c r="CI415" i="86"/>
  <c r="CH683" i="86"/>
  <c r="CI683" i="86"/>
  <c r="CH834" i="86"/>
  <c r="CI834" i="86"/>
  <c r="CH889" i="86"/>
  <c r="CI889" i="86"/>
  <c r="CH25" i="86"/>
  <c r="CI25" i="86"/>
  <c r="CH267" i="86"/>
  <c r="CI267" i="86"/>
  <c r="CH151" i="86"/>
  <c r="CI151" i="86"/>
  <c r="CH83" i="86"/>
  <c r="CI83" i="86"/>
  <c r="CH668" i="86"/>
  <c r="CI668" i="86"/>
  <c r="CH339" i="86"/>
  <c r="CI339" i="86"/>
  <c r="CH149" i="86"/>
  <c r="CI149" i="86"/>
  <c r="CH78" i="86"/>
  <c r="CI78" i="86"/>
  <c r="CH283" i="86"/>
  <c r="CI283" i="86"/>
  <c r="CH458" i="86"/>
  <c r="CI458" i="86"/>
  <c r="CH312" i="86"/>
  <c r="CI312" i="86"/>
  <c r="CH523" i="86"/>
  <c r="CI523" i="86"/>
  <c r="CH893" i="86"/>
  <c r="CI893" i="86"/>
  <c r="CH85" i="86"/>
  <c r="CI85" i="86"/>
  <c r="CH114" i="86"/>
  <c r="CI114" i="86"/>
  <c r="CH434" i="86"/>
  <c r="CI434" i="86"/>
  <c r="CH303" i="86"/>
  <c r="CI303" i="86"/>
  <c r="CH693" i="86"/>
  <c r="CI693" i="86"/>
  <c r="CH890" i="86"/>
  <c r="CI890" i="86"/>
  <c r="CH94" i="86"/>
  <c r="CI94" i="86"/>
  <c r="CH585" i="86"/>
  <c r="CI585" i="86"/>
  <c r="CH500" i="86"/>
  <c r="CI500" i="86"/>
  <c r="CH88" i="86"/>
  <c r="CI88" i="86"/>
  <c r="CH403" i="86"/>
  <c r="CI403" i="86"/>
  <c r="CH846" i="86"/>
  <c r="CI846" i="86"/>
  <c r="CH273" i="86"/>
  <c r="CI273" i="86"/>
  <c r="CH744" i="86"/>
  <c r="CI744" i="86"/>
  <c r="CH721" i="86"/>
  <c r="CI721" i="86"/>
  <c r="CH320" i="86"/>
  <c r="CI320" i="86"/>
  <c r="CH199" i="86"/>
  <c r="CI199" i="86"/>
  <c r="CH935" i="86"/>
  <c r="CI935" i="86"/>
  <c r="CH110" i="86"/>
  <c r="CI110" i="86"/>
  <c r="CH392" i="86"/>
  <c r="CI392" i="86"/>
  <c r="CH757" i="86"/>
  <c r="CI757" i="86"/>
  <c r="CH764" i="86"/>
  <c r="CI764" i="86"/>
  <c r="CH390" i="86"/>
  <c r="CI390" i="86"/>
  <c r="CH742" i="86"/>
  <c r="CI742" i="86"/>
  <c r="CH22" i="86"/>
  <c r="CI22" i="86"/>
  <c r="CH616" i="86"/>
  <c r="CI616" i="86"/>
  <c r="CH32" i="86"/>
  <c r="CI32" i="86"/>
  <c r="CH173" i="86"/>
  <c r="CI173" i="86"/>
  <c r="CH817" i="86"/>
  <c r="CI817" i="86"/>
  <c r="CH752" i="86"/>
  <c r="CI752" i="86"/>
  <c r="CH490" i="86"/>
  <c r="CI490" i="86"/>
  <c r="CH188" i="86"/>
  <c r="CI188" i="86"/>
  <c r="CH939" i="86"/>
  <c r="CI939" i="86"/>
  <c r="CH831" i="86"/>
  <c r="CI831" i="86"/>
  <c r="CH353" i="86"/>
  <c r="CI353" i="86"/>
  <c r="CH146" i="86"/>
  <c r="CI146" i="86"/>
  <c r="CH940" i="86"/>
  <c r="CI940" i="86"/>
  <c r="CH816" i="86"/>
  <c r="CI816" i="86"/>
  <c r="CH550" i="86"/>
  <c r="CI550" i="86"/>
  <c r="CH600" i="86"/>
  <c r="CI600" i="86"/>
  <c r="CH23" i="86"/>
  <c r="CI23" i="86"/>
  <c r="CH232" i="86"/>
  <c r="CI232" i="86"/>
  <c r="CH80" i="86"/>
  <c r="CI80" i="86"/>
  <c r="CH504" i="86"/>
  <c r="CI504" i="86"/>
  <c r="CH331" i="86"/>
  <c r="CI331" i="86"/>
  <c r="CH27" i="86"/>
  <c r="CI27" i="86"/>
  <c r="CH131" i="86"/>
  <c r="CI131" i="86"/>
  <c r="CH568" i="86"/>
  <c r="CI568" i="86"/>
  <c r="CH537" i="86"/>
  <c r="CI537" i="86"/>
  <c r="CH746" i="86"/>
  <c r="CI746" i="86"/>
  <c r="CH798" i="86"/>
  <c r="CI798" i="86"/>
  <c r="CH922" i="86"/>
  <c r="CI922" i="86"/>
  <c r="CH540" i="86"/>
  <c r="CI540" i="86"/>
  <c r="CH240" i="86"/>
  <c r="CI240" i="86"/>
  <c r="CH554" i="86"/>
  <c r="CI554" i="86"/>
  <c r="CH751" i="86"/>
  <c r="CI751" i="86"/>
  <c r="CH536" i="86"/>
  <c r="CI536" i="86"/>
  <c r="CH228" i="86"/>
  <c r="CI228" i="86"/>
  <c r="CH767" i="86"/>
  <c r="CI767" i="86"/>
  <c r="CH112" i="86"/>
  <c r="CI112" i="86"/>
  <c r="CH210" i="86"/>
  <c r="CI210" i="86"/>
  <c r="CH547" i="86"/>
  <c r="CI547" i="86"/>
  <c r="CH172" i="86"/>
  <c r="CI172" i="86"/>
  <c r="CH292" i="86"/>
  <c r="CI292" i="86"/>
  <c r="CH15" i="86"/>
  <c r="CI15" i="86"/>
  <c r="CH375" i="86"/>
  <c r="CI375" i="86"/>
  <c r="CH318" i="86"/>
  <c r="CI318" i="86"/>
  <c r="CH389" i="86"/>
  <c r="CI389" i="86"/>
  <c r="CH58" i="86"/>
  <c r="CI58" i="86"/>
  <c r="CH575" i="86"/>
  <c r="CI575" i="86"/>
  <c r="CH839" i="86"/>
  <c r="CI839" i="86"/>
  <c r="CH538" i="86"/>
  <c r="CI538" i="86"/>
  <c r="CH82" i="86"/>
  <c r="CI82" i="86"/>
  <c r="CH448" i="86"/>
  <c r="CI448" i="86"/>
  <c r="CH221" i="86"/>
  <c r="CI221" i="86"/>
  <c r="CH579" i="86"/>
  <c r="CI579" i="86"/>
  <c r="CH446" i="86"/>
  <c r="CI446" i="86"/>
  <c r="CH393" i="86"/>
  <c r="CI393" i="86"/>
  <c r="CH344" i="86"/>
  <c r="CI344" i="86"/>
  <c r="CH224" i="86"/>
  <c r="CI224" i="86"/>
  <c r="CH163" i="86"/>
  <c r="CI163" i="86"/>
  <c r="CH444" i="86"/>
  <c r="CI444" i="86"/>
  <c r="CH359" i="86"/>
  <c r="CI359" i="86"/>
  <c r="CH723" i="86"/>
  <c r="CI723" i="86"/>
  <c r="CH342" i="86"/>
  <c r="CI342" i="86"/>
  <c r="CH372" i="86"/>
  <c r="CI372" i="86"/>
  <c r="CH315" i="86"/>
  <c r="CI315" i="86"/>
  <c r="CH897" i="86"/>
  <c r="CI897" i="86"/>
  <c r="CH327" i="86"/>
  <c r="CI327" i="86"/>
  <c r="CH595" i="86"/>
  <c r="CI595" i="86"/>
  <c r="CH722" i="86"/>
  <c r="CI722" i="86"/>
  <c r="CH368" i="86"/>
  <c r="CI368" i="86"/>
  <c r="CH165" i="86"/>
  <c r="CI165" i="86"/>
  <c r="CH533" i="86"/>
  <c r="CI533" i="86"/>
  <c r="CH427" i="86"/>
  <c r="CI427" i="86"/>
  <c r="CH121" i="86"/>
  <c r="CI121" i="86"/>
  <c r="CH355" i="86"/>
  <c r="CI355" i="86"/>
  <c r="CH75" i="86"/>
  <c r="CI75" i="86"/>
  <c r="CH714" i="86"/>
  <c r="CI714" i="86"/>
  <c r="CH563" i="86"/>
  <c r="CI563" i="86"/>
  <c r="CH258" i="86"/>
  <c r="CI258" i="86"/>
  <c r="CH900" i="86"/>
  <c r="CI900" i="86"/>
  <c r="CH424" i="86"/>
  <c r="CI424" i="86"/>
  <c r="CH345" i="86"/>
  <c r="CI345" i="86"/>
  <c r="CH361" i="86"/>
  <c r="CI361" i="86"/>
  <c r="CH892" i="86"/>
  <c r="CI892" i="86"/>
  <c r="CH584" i="86"/>
  <c r="CI584" i="86"/>
  <c r="CH328" i="86"/>
  <c r="CI328" i="86"/>
  <c r="CH534" i="86"/>
  <c r="CI534" i="86"/>
  <c r="CH431" i="86"/>
  <c r="CI431" i="86"/>
  <c r="CH920" i="86"/>
  <c r="CI920" i="86"/>
  <c r="CH182" i="86"/>
  <c r="CI182" i="86"/>
  <c r="CH236" i="86"/>
  <c r="CI236" i="86"/>
  <c r="CH150" i="86"/>
  <c r="CI150" i="86"/>
  <c r="CH60" i="86"/>
  <c r="CI60" i="86"/>
  <c r="CH902" i="86"/>
  <c r="CI902" i="86"/>
  <c r="CH305" i="86"/>
  <c r="CI305" i="86"/>
  <c r="CH108" i="86"/>
  <c r="CI108" i="86"/>
  <c r="CH43" i="86"/>
  <c r="CI43" i="86"/>
  <c r="CH154" i="86"/>
  <c r="CI154" i="86"/>
  <c r="CH898" i="86"/>
  <c r="CI898" i="86"/>
  <c r="CH249" i="86"/>
  <c r="CI249" i="86"/>
  <c r="CH628" i="86"/>
  <c r="CI628" i="86"/>
  <c r="CH166" i="86"/>
  <c r="CI166" i="86"/>
  <c r="CH39" i="86"/>
  <c r="CI39" i="86"/>
  <c r="CH19" i="86"/>
  <c r="CI19" i="86"/>
  <c r="CH406" i="86"/>
  <c r="CI406" i="86"/>
  <c r="CH526" i="86"/>
  <c r="CI526" i="86"/>
  <c r="CH405" i="86"/>
  <c r="CI405" i="86"/>
  <c r="CH144" i="86"/>
  <c r="CI144" i="86"/>
  <c r="CH335" i="86"/>
  <c r="CI335" i="86"/>
  <c r="CH887" i="86"/>
  <c r="CI887" i="86"/>
  <c r="CH669" i="86"/>
  <c r="CI669" i="86"/>
  <c r="CH201" i="86"/>
  <c r="CI201" i="86"/>
  <c r="CH91" i="86"/>
  <c r="CI91" i="86"/>
  <c r="CH925" i="86"/>
  <c r="CI925" i="86"/>
  <c r="CH750" i="86"/>
  <c r="CI750" i="86"/>
  <c r="CH726" i="86"/>
  <c r="CI726" i="86"/>
  <c r="CH544" i="86"/>
  <c r="CI544" i="86"/>
  <c r="CH222" i="86"/>
  <c r="CI222" i="86"/>
  <c r="CH350" i="86"/>
  <c r="CI350" i="86"/>
  <c r="CH716" i="86"/>
  <c r="CI716" i="86"/>
  <c r="CH438" i="86"/>
  <c r="CI438" i="86"/>
  <c r="CH176" i="86"/>
  <c r="CI176" i="86"/>
  <c r="CH471" i="86"/>
  <c r="CI471" i="86"/>
  <c r="CH558" i="86"/>
  <c r="CI558" i="86"/>
  <c r="CH259" i="86"/>
  <c r="CI259" i="86"/>
  <c r="CH631" i="86"/>
  <c r="CI631" i="86"/>
  <c r="CF626" i="86"/>
  <c r="CI626" i="86"/>
  <c r="CH729" i="86"/>
  <c r="CI729" i="86"/>
  <c r="BT130" i="86"/>
  <c r="CF130" i="86" s="1"/>
  <c r="BF953" i="86"/>
  <c r="N4" i="93" s="1"/>
  <c r="CG953" i="86"/>
  <c r="CF566" i="86"/>
  <c r="CG730" i="86"/>
  <c r="CF645" i="86"/>
  <c r="CG645" i="86"/>
  <c r="BJ729" i="86"/>
  <c r="BT827" i="86"/>
  <c r="CG827" i="86" s="1"/>
  <c r="BT337" i="86"/>
  <c r="CH566" i="86"/>
  <c r="CH953" i="86"/>
  <c r="CF598" i="86"/>
  <c r="CG598" i="86"/>
  <c r="CG531" i="86"/>
  <c r="CF531" i="86"/>
  <c r="CH55" i="86"/>
  <c r="CF55" i="86"/>
  <c r="BM913" i="86"/>
  <c r="CF59" i="86"/>
  <c r="CH59" i="86"/>
  <c r="CF2" i="86"/>
  <c r="CG2" i="86"/>
  <c r="CG332" i="86"/>
  <c r="CH332" i="86"/>
  <c r="CG756" i="86"/>
  <c r="CH756" i="86"/>
  <c r="CF49" i="86"/>
  <c r="CH49" i="86"/>
  <c r="CG363" i="86"/>
  <c r="CH363" i="86"/>
  <c r="CG535" i="86"/>
  <c r="CH535" i="86"/>
  <c r="CF371" i="86"/>
  <c r="CH371" i="86"/>
  <c r="CG926" i="86"/>
  <c r="CH926" i="86"/>
  <c r="CG799" i="86"/>
  <c r="CH799" i="86"/>
  <c r="CF171" i="86"/>
  <c r="CH171" i="86"/>
  <c r="CG354" i="86"/>
  <c r="CH354" i="86"/>
  <c r="CF197" i="86"/>
  <c r="CH197" i="86"/>
  <c r="CF398" i="86"/>
  <c r="CH398" i="86"/>
  <c r="CG603" i="86"/>
  <c r="CH603" i="86"/>
  <c r="CG55" i="86"/>
  <c r="CG329" i="86"/>
  <c r="CH329" i="86"/>
  <c r="CG143" i="86"/>
  <c r="CH143" i="86"/>
  <c r="CG74" i="86"/>
  <c r="CH74" i="86"/>
  <c r="CG605" i="86"/>
  <c r="CH605" i="86"/>
  <c r="CG274" i="86"/>
  <c r="CH274" i="86"/>
  <c r="CF736" i="86"/>
  <c r="CH736" i="86"/>
  <c r="CG449" i="86"/>
  <c r="CH449" i="86"/>
  <c r="CG777" i="86"/>
  <c r="CH777" i="86"/>
  <c r="CG955" i="86"/>
  <c r="CH955" i="86"/>
  <c r="CG574" i="86"/>
  <c r="CH574" i="86"/>
  <c r="CG562" i="86"/>
  <c r="CH562" i="86"/>
  <c r="CF159" i="86"/>
  <c r="CH159" i="86"/>
  <c r="CG809" i="86"/>
  <c r="CH809" i="86"/>
  <c r="CF888" i="86"/>
  <c r="CH888" i="86"/>
  <c r="CG519" i="86"/>
  <c r="CH519" i="86"/>
  <c r="CG792" i="86"/>
  <c r="CH792" i="86"/>
  <c r="CG945" i="86"/>
  <c r="CH945" i="86"/>
  <c r="CG933" i="86"/>
  <c r="CH933" i="86"/>
  <c r="CG225" i="86"/>
  <c r="CH225" i="86"/>
  <c r="CG848" i="86"/>
  <c r="CH848" i="86"/>
  <c r="CF184" i="86"/>
  <c r="CH184" i="86"/>
  <c r="CF520" i="86"/>
  <c r="CH520" i="86"/>
  <c r="CF229" i="86"/>
  <c r="CH229" i="86"/>
  <c r="CF503" i="86"/>
  <c r="CH503" i="86"/>
  <c r="CG800" i="86"/>
  <c r="CH800" i="86"/>
  <c r="CF651" i="86"/>
  <c r="CH651" i="86"/>
  <c r="CG257" i="86"/>
  <c r="CH257" i="86"/>
  <c r="CG238" i="86"/>
  <c r="CH238" i="86"/>
  <c r="CG929" i="86"/>
  <c r="CH929" i="86"/>
  <c r="CG604" i="86"/>
  <c r="CH604" i="86"/>
  <c r="CG559" i="86"/>
  <c r="CH559" i="86"/>
  <c r="CF453" i="86"/>
  <c r="CH453" i="86"/>
  <c r="CF420" i="86"/>
  <c r="CH420" i="86"/>
  <c r="CF928" i="86"/>
  <c r="CH928" i="86"/>
  <c r="CF404" i="86"/>
  <c r="CH404" i="86"/>
  <c r="CF26" i="86"/>
  <c r="CH26" i="86"/>
  <c r="CG256" i="86"/>
  <c r="CH256" i="86"/>
  <c r="CG299" i="86"/>
  <c r="CH299" i="86"/>
  <c r="CF177" i="86"/>
  <c r="CH177" i="86"/>
  <c r="CG233" i="86"/>
  <c r="CH233" i="86"/>
  <c r="CG409" i="86"/>
  <c r="CH409" i="86"/>
  <c r="CG432" i="86"/>
  <c r="CH432" i="86"/>
  <c r="CG367" i="86"/>
  <c r="CH367" i="86"/>
  <c r="CF153" i="86"/>
  <c r="CH153" i="86"/>
  <c r="CG414" i="86"/>
  <c r="CH414" i="86"/>
  <c r="CG620" i="86"/>
  <c r="CH620" i="86"/>
  <c r="CG384" i="86"/>
  <c r="CH384" i="86"/>
  <c r="CF244" i="86"/>
  <c r="CH244" i="86"/>
  <c r="CG239" i="86"/>
  <c r="CH239" i="86"/>
  <c r="CG949" i="86"/>
  <c r="CH949" i="86"/>
  <c r="CG917" i="86"/>
  <c r="CH917" i="86"/>
  <c r="CG194" i="86"/>
  <c r="CH194" i="86"/>
  <c r="CG382" i="86"/>
  <c r="CH382" i="86"/>
  <c r="CF399" i="86"/>
  <c r="CH399" i="86"/>
  <c r="CG311" i="86"/>
  <c r="CH311" i="86"/>
  <c r="CF927" i="86"/>
  <c r="CH927" i="86"/>
  <c r="CG30" i="86"/>
  <c r="CH30" i="86"/>
  <c r="CG758" i="86"/>
  <c r="CH758" i="86"/>
  <c r="CG512" i="86"/>
  <c r="CH512" i="86"/>
  <c r="CG510" i="86"/>
  <c r="CH510" i="86"/>
  <c r="CG572" i="86"/>
  <c r="CH572" i="86"/>
  <c r="CF801" i="86"/>
  <c r="CH801" i="86"/>
  <c r="CG491" i="86"/>
  <c r="CH491" i="86"/>
  <c r="CG396" i="86"/>
  <c r="CH396" i="86"/>
  <c r="CF323" i="86"/>
  <c r="CH323" i="86"/>
  <c r="CG251" i="86"/>
  <c r="CH251" i="86"/>
  <c r="CF235" i="86"/>
  <c r="CH235" i="86"/>
  <c r="CG168" i="86"/>
  <c r="CH168" i="86"/>
  <c r="CF90" i="86"/>
  <c r="CH90" i="86"/>
  <c r="CG45" i="86"/>
  <c r="CH45" i="86"/>
  <c r="CF715" i="86"/>
  <c r="CH715" i="86"/>
  <c r="CG464" i="86"/>
  <c r="CH464" i="86"/>
  <c r="CF411" i="86"/>
  <c r="CH411" i="86"/>
  <c r="CG769" i="86"/>
  <c r="CH769" i="86"/>
  <c r="CG946" i="86"/>
  <c r="CH946" i="86"/>
  <c r="CG288" i="86"/>
  <c r="CH288" i="86"/>
  <c r="CF749" i="86"/>
  <c r="CH749" i="86"/>
  <c r="CG351" i="86"/>
  <c r="CH351" i="86"/>
  <c r="CG70" i="86"/>
  <c r="CH70" i="86"/>
  <c r="CG895" i="86"/>
  <c r="CH895" i="86"/>
  <c r="CG828" i="86"/>
  <c r="CH828" i="86"/>
  <c r="CG528" i="86"/>
  <c r="CH528" i="86"/>
  <c r="CG553" i="86"/>
  <c r="CH553" i="86"/>
  <c r="CG381" i="86"/>
  <c r="CH381" i="86"/>
  <c r="CG932" i="86"/>
  <c r="CH932" i="86"/>
  <c r="CF835" i="86"/>
  <c r="CH835" i="86"/>
  <c r="CG542" i="86"/>
  <c r="CH542" i="86"/>
  <c r="CG806" i="86"/>
  <c r="CH806" i="86"/>
  <c r="CG771" i="86"/>
  <c r="CH771" i="86"/>
  <c r="CG626" i="86"/>
  <c r="CH626" i="86"/>
  <c r="CG763" i="86"/>
  <c r="CH763" i="86"/>
  <c r="CG507" i="86"/>
  <c r="CH507" i="86"/>
  <c r="CG73" i="86"/>
  <c r="CH73" i="86"/>
  <c r="CF307" i="86"/>
  <c r="CH307" i="86"/>
  <c r="CF919" i="86"/>
  <c r="CH919" i="86"/>
  <c r="CG671" i="86"/>
  <c r="CH671" i="86"/>
  <c r="CF211" i="86"/>
  <c r="CH211" i="86"/>
  <c r="CF202" i="86"/>
  <c r="CH202" i="86"/>
  <c r="CG791" i="86"/>
  <c r="CH791" i="86"/>
  <c r="CG378" i="86"/>
  <c r="CH378" i="86"/>
  <c r="CF38" i="86"/>
  <c r="CH38" i="86"/>
  <c r="CF850" i="86"/>
  <c r="CH850" i="86"/>
  <c r="CG13" i="86"/>
  <c r="CH13" i="86"/>
  <c r="CG899" i="86"/>
  <c r="CH899" i="86"/>
  <c r="CF649" i="86"/>
  <c r="CH649" i="86"/>
  <c r="CG643" i="86"/>
  <c r="CH643" i="86"/>
  <c r="CG894" i="86"/>
  <c r="CH894" i="86"/>
  <c r="CG286" i="86"/>
  <c r="CH286" i="86"/>
  <c r="CG450" i="86"/>
  <c r="CH450" i="86"/>
  <c r="CG68" i="86"/>
  <c r="CH68" i="86"/>
  <c r="CF338" i="86"/>
  <c r="CH338" i="86"/>
  <c r="CG20" i="86"/>
  <c r="CH20" i="86"/>
  <c r="CF943" i="86"/>
  <c r="CH943" i="86"/>
  <c r="CG748" i="86"/>
  <c r="CH748" i="86"/>
  <c r="CG373" i="86"/>
  <c r="CH373" i="86"/>
  <c r="CG479" i="86"/>
  <c r="CH479" i="86"/>
  <c r="CF126" i="86"/>
  <c r="CH126" i="86"/>
  <c r="CG680" i="86"/>
  <c r="CH680" i="86"/>
  <c r="CG787" i="86"/>
  <c r="CH787" i="86"/>
  <c r="CG242" i="86"/>
  <c r="CH242" i="86"/>
  <c r="CF160" i="86"/>
  <c r="CH160" i="86"/>
  <c r="CG37" i="86"/>
  <c r="CH37" i="86"/>
  <c r="CG321" i="86"/>
  <c r="CH321" i="86"/>
  <c r="CG162" i="86"/>
  <c r="CH162" i="86"/>
  <c r="CF788" i="86"/>
  <c r="CH788" i="86"/>
  <c r="CF407" i="86"/>
  <c r="CH407" i="86"/>
  <c r="CG192" i="86"/>
  <c r="CH192" i="86"/>
  <c r="CG133" i="86"/>
  <c r="CH133" i="86"/>
  <c r="CG21" i="86"/>
  <c r="CH21" i="86"/>
  <c r="CG924" i="86"/>
  <c r="CH924" i="86"/>
  <c r="CG885" i="86"/>
  <c r="CH885" i="86"/>
  <c r="CG198" i="86"/>
  <c r="CH198" i="86"/>
  <c r="CF413" i="86"/>
  <c r="CH413" i="86"/>
  <c r="CG641" i="86"/>
  <c r="CH641" i="86"/>
  <c r="CF84" i="86"/>
  <c r="CH84" i="86"/>
  <c r="CG944" i="86"/>
  <c r="CH944" i="86"/>
  <c r="CG436" i="86"/>
  <c r="CH436" i="86"/>
  <c r="CG343" i="86"/>
  <c r="CH343" i="86"/>
  <c r="CG213" i="86"/>
  <c r="CH213" i="86"/>
  <c r="CG79" i="86"/>
  <c r="CH79" i="86"/>
  <c r="CG794" i="86"/>
  <c r="CH794" i="86"/>
  <c r="CG735" i="86"/>
  <c r="CH735" i="86"/>
  <c r="CG694" i="86"/>
  <c r="CH694" i="86"/>
  <c r="CG556" i="86"/>
  <c r="CH556" i="86"/>
  <c r="CG205" i="86"/>
  <c r="CH205" i="86"/>
  <c r="CF548" i="86"/>
  <c r="CH548" i="86"/>
  <c r="CF754" i="86"/>
  <c r="CH754" i="86"/>
  <c r="CG237" i="86"/>
  <c r="CH237" i="86"/>
  <c r="CG541" i="86"/>
  <c r="CH541" i="86"/>
  <c r="CG426" i="86"/>
  <c r="CH426" i="86"/>
  <c r="CG386" i="86"/>
  <c r="CH386" i="86"/>
  <c r="CG388" i="86"/>
  <c r="CH388" i="86"/>
  <c r="CG340" i="86"/>
  <c r="CH340" i="86"/>
  <c r="CF203" i="86"/>
  <c r="CH203" i="86"/>
  <c r="CG36" i="86"/>
  <c r="CH36" i="86"/>
  <c r="CG63" i="86"/>
  <c r="CH63" i="86"/>
  <c r="CF937" i="86"/>
  <c r="CH937" i="86"/>
  <c r="CF64" i="86"/>
  <c r="CH64" i="86"/>
  <c r="CG69" i="86"/>
  <c r="CH69" i="86"/>
  <c r="CF486" i="86"/>
  <c r="CH486" i="86"/>
  <c r="CG425" i="86"/>
  <c r="CH425" i="86"/>
  <c r="CG247" i="86"/>
  <c r="CH247" i="86"/>
  <c r="CG231" i="86"/>
  <c r="CH231" i="86"/>
  <c r="CF152" i="86"/>
  <c r="CH152" i="86"/>
  <c r="CF129" i="86"/>
  <c r="CH129" i="86"/>
  <c r="CG86" i="86"/>
  <c r="CH86" i="86"/>
  <c r="CF462" i="86"/>
  <c r="CH462" i="86"/>
  <c r="CG576" i="86"/>
  <c r="CH576" i="86"/>
  <c r="CF789" i="86"/>
  <c r="CH789" i="86"/>
  <c r="CG779" i="86"/>
  <c r="CH779" i="86"/>
  <c r="CG480" i="86"/>
  <c r="CH480" i="86"/>
  <c r="CG377" i="86"/>
  <c r="CH377" i="86"/>
  <c r="CF805" i="86"/>
  <c r="CH805" i="86"/>
  <c r="CF369" i="86"/>
  <c r="CH369" i="86"/>
  <c r="CG942" i="86"/>
  <c r="CH942" i="86"/>
  <c r="CG395" i="86"/>
  <c r="CH395" i="86"/>
  <c r="CG433" i="86"/>
  <c r="CH433" i="86"/>
  <c r="CG710" i="86"/>
  <c r="CH710" i="86"/>
  <c r="CG960" i="86"/>
  <c r="CH960" i="86"/>
  <c r="CG502" i="86"/>
  <c r="CH502" i="86"/>
  <c r="CG365" i="86"/>
  <c r="CH365" i="86"/>
  <c r="CG793" i="86"/>
  <c r="CH793" i="86"/>
  <c r="CG773" i="86"/>
  <c r="CH773" i="86"/>
  <c r="CF93" i="86"/>
  <c r="CH93" i="86"/>
  <c r="CF588" i="86"/>
  <c r="CH588" i="86"/>
  <c r="CG204" i="86"/>
  <c r="CH204" i="86"/>
  <c r="CG174" i="86"/>
  <c r="CH174" i="86"/>
  <c r="CG516" i="86"/>
  <c r="CH516" i="86"/>
  <c r="CG319" i="86"/>
  <c r="CH319" i="86"/>
  <c r="CG948" i="86"/>
  <c r="CH948" i="86"/>
  <c r="CF347" i="86"/>
  <c r="CH347" i="86"/>
  <c r="CF119" i="86"/>
  <c r="CH119" i="86"/>
  <c r="CF511" i="86"/>
  <c r="CH511" i="86"/>
  <c r="CF442" i="86"/>
  <c r="CH442" i="86"/>
  <c r="CF847" i="86"/>
  <c r="CH847" i="86"/>
  <c r="CF346" i="86"/>
  <c r="CH346" i="86"/>
  <c r="CG214" i="86"/>
  <c r="CH214" i="86"/>
  <c r="CG380" i="86"/>
  <c r="CH380" i="86"/>
  <c r="CG362" i="86"/>
  <c r="CH362" i="86"/>
  <c r="CG759" i="86"/>
  <c r="CH759" i="86"/>
  <c r="CG364" i="86"/>
  <c r="CH364" i="86"/>
  <c r="CG134" i="86"/>
  <c r="CH134" i="86"/>
  <c r="CG676" i="86"/>
  <c r="CH676" i="86"/>
  <c r="CG260" i="86"/>
  <c r="CH260" i="86"/>
  <c r="CG441" i="86"/>
  <c r="CH441" i="86"/>
  <c r="CG385" i="86"/>
  <c r="CH385" i="86"/>
  <c r="CF157" i="86"/>
  <c r="CH157" i="86"/>
  <c r="CG157" i="86"/>
  <c r="CF62" i="86"/>
  <c r="CH62" i="86"/>
  <c r="CG262" i="86"/>
  <c r="CH262" i="86"/>
  <c r="CG564" i="86"/>
  <c r="CH564" i="86"/>
  <c r="CF552" i="86"/>
  <c r="CH552" i="86"/>
  <c r="CF33" i="86"/>
  <c r="CH33" i="86"/>
  <c r="CG349" i="86"/>
  <c r="CH349" i="86"/>
  <c r="CG849" i="86"/>
  <c r="CH849" i="86"/>
  <c r="CF923" i="86"/>
  <c r="CH923" i="86"/>
  <c r="CF860" i="86"/>
  <c r="CH860" i="86"/>
  <c r="CG782" i="86"/>
  <c r="CH782" i="86"/>
  <c r="CG618" i="86"/>
  <c r="CH618" i="86"/>
  <c r="CF341" i="86"/>
  <c r="CH341" i="86"/>
  <c r="CF66" i="86"/>
  <c r="CH66" i="86"/>
  <c r="CG12" i="86"/>
  <c r="CH12" i="86"/>
  <c r="CG863" i="86"/>
  <c r="CH863" i="86"/>
  <c r="CG113" i="86"/>
  <c r="CH113" i="86"/>
  <c r="CF734" i="86"/>
  <c r="CH734" i="86"/>
  <c r="CG47" i="86"/>
  <c r="CH47" i="86"/>
  <c r="CG632" i="86"/>
  <c r="CH632" i="86"/>
  <c r="CG489" i="86"/>
  <c r="CH489" i="86"/>
  <c r="CF376" i="86"/>
  <c r="CH376" i="86"/>
  <c r="CF76" i="86"/>
  <c r="CH76" i="86"/>
  <c r="CG290" i="86"/>
  <c r="CH290" i="86"/>
  <c r="CF28" i="86"/>
  <c r="CH28" i="86"/>
  <c r="CF417" i="86"/>
  <c r="CH417" i="86"/>
  <c r="CG164" i="86"/>
  <c r="CH164" i="86"/>
  <c r="CG65" i="86"/>
  <c r="CH65" i="86"/>
  <c r="CF803" i="86"/>
  <c r="CH803" i="86"/>
  <c r="CG383" i="86"/>
  <c r="CH383" i="86"/>
  <c r="CG190" i="86"/>
  <c r="CH190" i="86"/>
  <c r="CF938" i="86"/>
  <c r="CH938" i="86"/>
  <c r="CF325" i="86"/>
  <c r="CH325" i="86"/>
  <c r="CG374" i="86"/>
  <c r="CH374" i="86"/>
  <c r="CG681" i="86"/>
  <c r="CH681" i="86"/>
  <c r="CF46" i="86"/>
  <c r="CH46" i="86"/>
  <c r="CG517" i="86"/>
  <c r="CH517" i="86"/>
  <c r="CF941" i="86"/>
  <c r="CH941" i="86"/>
  <c r="CG314" i="86"/>
  <c r="CH314" i="86"/>
  <c r="CF606" i="86"/>
  <c r="CH606" i="86"/>
  <c r="CF370" i="86"/>
  <c r="CH370" i="86"/>
  <c r="CG175" i="86"/>
  <c r="CH175" i="86"/>
  <c r="CG532" i="86"/>
  <c r="CH532" i="86"/>
  <c r="CG248" i="86"/>
  <c r="CH248" i="86"/>
  <c r="CG132" i="86"/>
  <c r="CH132" i="86"/>
  <c r="CG61" i="86"/>
  <c r="CH61" i="86"/>
  <c r="CG896" i="86"/>
  <c r="CH896" i="86"/>
  <c r="CG931" i="86"/>
  <c r="CH931" i="86"/>
  <c r="CG555" i="86"/>
  <c r="CH555" i="86"/>
  <c r="CG461" i="86"/>
  <c r="CH461" i="86"/>
  <c r="CG416" i="86"/>
  <c r="CH416" i="86"/>
  <c r="CG366" i="86"/>
  <c r="CH366" i="86"/>
  <c r="CG243" i="86"/>
  <c r="CH243" i="86"/>
  <c r="CG226" i="86"/>
  <c r="CH226" i="86"/>
  <c r="CG148" i="86"/>
  <c r="CH148" i="86"/>
  <c r="CG123" i="86"/>
  <c r="CH123" i="86"/>
  <c r="CG543" i="86"/>
  <c r="CH543" i="86"/>
  <c r="CF590" i="86"/>
  <c r="CH590" i="86"/>
  <c r="CG958" i="86"/>
  <c r="CH958" i="86"/>
  <c r="CG745" i="86"/>
  <c r="CH745" i="86"/>
  <c r="CG264" i="86"/>
  <c r="CH264" i="86"/>
  <c r="CG181" i="86"/>
  <c r="CH181" i="86"/>
  <c r="CG833" i="86"/>
  <c r="CH833" i="86"/>
  <c r="CG505" i="86"/>
  <c r="CH505" i="86"/>
  <c r="CG246" i="86"/>
  <c r="CH246" i="86"/>
  <c r="CF72" i="86"/>
  <c r="CH72" i="86"/>
  <c r="CF300" i="86"/>
  <c r="CH300" i="86"/>
  <c r="CG513" i="86"/>
  <c r="CH513" i="86"/>
  <c r="CG581" i="86"/>
  <c r="CH581" i="86"/>
  <c r="CG819" i="86"/>
  <c r="CH819" i="86"/>
  <c r="CF688" i="86"/>
  <c r="CH688" i="86"/>
  <c r="CG87" i="86"/>
  <c r="CH87" i="86"/>
  <c r="CH959" i="86"/>
  <c r="CF52" i="86"/>
  <c r="CG52" i="86"/>
  <c r="BT837" i="86"/>
  <c r="CI837" i="86" s="1"/>
  <c r="BT326" i="86"/>
  <c r="CI326" i="86" s="1"/>
  <c r="BM631" i="86"/>
  <c r="BT460" i="86"/>
  <c r="CI460" i="86" s="1"/>
  <c r="BM720" i="86"/>
  <c r="BT125" i="86"/>
  <c r="CI125" i="86" s="1"/>
  <c r="BM773" i="86"/>
  <c r="BJ934" i="86"/>
  <c r="BM771" i="86"/>
  <c r="CF806" i="86"/>
  <c r="CF809" i="86"/>
  <c r="CF793" i="86"/>
  <c r="CF542" i="86"/>
  <c r="BT853" i="86"/>
  <c r="CI853" i="86" s="1"/>
  <c r="BT772" i="86"/>
  <c r="CI772" i="86" s="1"/>
  <c r="CF574" i="86"/>
  <c r="BJ324" i="86"/>
  <c r="CF385" i="86"/>
  <c r="BJ117" i="86"/>
  <c r="BM529" i="86"/>
  <c r="CG159" i="86"/>
  <c r="CF748" i="86"/>
  <c r="BJ337" i="86"/>
  <c r="BM530" i="86"/>
  <c r="BM930" i="86"/>
  <c r="BJ460" i="86"/>
  <c r="BT530" i="86"/>
  <c r="CI530" i="86" s="1"/>
  <c r="BT842" i="86"/>
  <c r="CG835" i="86"/>
  <c r="BT930" i="86"/>
  <c r="CI930" i="86" s="1"/>
  <c r="CG688" i="86"/>
  <c r="CF87" i="86"/>
  <c r="BJ607" i="86"/>
  <c r="BT724" i="86"/>
  <c r="CI724" i="86" s="1"/>
  <c r="BJ397" i="86"/>
  <c r="CF365" i="86"/>
  <c r="BT254" i="86"/>
  <c r="CI254" i="86" s="1"/>
  <c r="BJ254" i="86"/>
  <c r="BT934" i="86"/>
  <c r="CI934" i="86" s="1"/>
  <c r="BT607" i="86"/>
  <c r="CI607" i="86" s="1"/>
  <c r="BM709" i="86"/>
  <c r="BM932" i="86"/>
  <c r="BT904" i="86"/>
  <c r="CI904" i="86" s="1"/>
  <c r="BT858" i="86"/>
  <c r="CI858" i="86" s="1"/>
  <c r="CF502" i="86"/>
  <c r="CF562" i="86"/>
  <c r="CF553" i="86"/>
  <c r="CF381" i="86"/>
  <c r="CF819" i="86"/>
  <c r="CF441" i="86"/>
  <c r="CF581" i="86"/>
  <c r="CF932" i="86"/>
  <c r="CG805" i="86"/>
  <c r="CF777" i="86"/>
  <c r="CF321" i="86"/>
  <c r="CG548" i="86"/>
  <c r="CF260" i="86"/>
  <c r="CF68" i="86"/>
  <c r="CF779" i="86"/>
  <c r="CF143" i="86"/>
  <c r="CG300" i="86"/>
  <c r="CG736" i="86"/>
  <c r="BT484" i="86"/>
  <c r="CI484" i="86" s="1"/>
  <c r="CG789" i="86"/>
  <c r="CF181" i="86"/>
  <c r="CF314" i="86"/>
  <c r="BJ492" i="86"/>
  <c r="CF288" i="86"/>
  <c r="CF13" i="86"/>
  <c r="CG235" i="86"/>
  <c r="CG341" i="86"/>
  <c r="CG860" i="86"/>
  <c r="CG197" i="86"/>
  <c r="CG64" i="86"/>
  <c r="CF264" i="86"/>
  <c r="CF676" i="86"/>
  <c r="BT591" i="86"/>
  <c r="CI591" i="86" s="1"/>
  <c r="CG937" i="86"/>
  <c r="CG323" i="86"/>
  <c r="CF395" i="86"/>
  <c r="CF175" i="86"/>
  <c r="CF505" i="86"/>
  <c r="CF710" i="86"/>
  <c r="CF237" i="86"/>
  <c r="CF433" i="86"/>
  <c r="CF833" i="86"/>
  <c r="BT640" i="86"/>
  <c r="CI640" i="86" s="1"/>
  <c r="CF513" i="86"/>
  <c r="CF758" i="86"/>
  <c r="CG90" i="86"/>
  <c r="CG399" i="86"/>
  <c r="CF946" i="86"/>
  <c r="CF931" i="86"/>
  <c r="CF396" i="86"/>
  <c r="CF251" i="86"/>
  <c r="CF311" i="86"/>
  <c r="CF555" i="86"/>
  <c r="CF45" i="86"/>
  <c r="CF30" i="86"/>
  <c r="CF464" i="86"/>
  <c r="CF951" i="86"/>
  <c r="CF491" i="86"/>
  <c r="CG927" i="86"/>
  <c r="CF239" i="86"/>
  <c r="CG590" i="86"/>
  <c r="CG715" i="86"/>
  <c r="CF168" i="86"/>
  <c r="CF681" i="86"/>
  <c r="CF917" i="86"/>
  <c r="CG503" i="86"/>
  <c r="CG46" i="86"/>
  <c r="CG850" i="86"/>
  <c r="CF528" i="86"/>
  <c r="CF194" i="86"/>
  <c r="CF942" i="86"/>
  <c r="CF799" i="86"/>
  <c r="CF286" i="86"/>
  <c r="CF541" i="86"/>
  <c r="CF382" i="86"/>
  <c r="CF198" i="86"/>
  <c r="CF489" i="86"/>
  <c r="CF256" i="86"/>
  <c r="CG347" i="86"/>
  <c r="CF319" i="86"/>
  <c r="BT638" i="86"/>
  <c r="CI638" i="86" s="1"/>
  <c r="CF246" i="86"/>
  <c r="CF247" i="86"/>
  <c r="CF632" i="86"/>
  <c r="CG72" i="86"/>
  <c r="CG749" i="86"/>
  <c r="CG119" i="86"/>
  <c r="BT844" i="86"/>
  <c r="CI844" i="86" s="1"/>
  <c r="CF759" i="86"/>
  <c r="CF63" i="86"/>
  <c r="CF378" i="86"/>
  <c r="CG462" i="86"/>
  <c r="CF620" i="86"/>
  <c r="CG486" i="86"/>
  <c r="CF532" i="86"/>
  <c r="CG938" i="86"/>
  <c r="CF745" i="86"/>
  <c r="CF299" i="86"/>
  <c r="CF86" i="86"/>
  <c r="CF773" i="86"/>
  <c r="BT476" i="86"/>
  <c r="CI476" i="86" s="1"/>
  <c r="CF559" i="86"/>
  <c r="BJ134" i="86"/>
  <c r="CG411" i="86"/>
  <c r="CG398" i="86"/>
  <c r="CG369" i="86"/>
  <c r="CG404" i="86"/>
  <c r="CF134" i="86"/>
  <c r="CF516" i="86"/>
  <c r="CF354" i="86"/>
  <c r="BT911" i="86"/>
  <c r="CI911" i="86" s="1"/>
  <c r="CF449" i="86"/>
  <c r="CF791" i="86"/>
  <c r="CF366" i="86"/>
  <c r="CG38" i="86"/>
  <c r="CG923" i="86"/>
  <c r="CF70" i="86"/>
  <c r="CF899" i="86"/>
  <c r="BT423" i="86"/>
  <c r="CI423" i="86" s="1"/>
  <c r="CF510" i="86"/>
  <c r="CG649" i="86"/>
  <c r="CF828" i="86"/>
  <c r="CF214" i="86"/>
  <c r="CF79" i="86"/>
  <c r="CF895" i="86"/>
  <c r="CF364" i="86"/>
  <c r="CG943" i="86"/>
  <c r="CF517" i="86"/>
  <c r="CF414" i="86"/>
  <c r="CG26" i="86"/>
  <c r="CG153" i="86"/>
  <c r="CG202" i="86"/>
  <c r="CG442" i="86"/>
  <c r="CF47" i="86"/>
  <c r="BJ636" i="86"/>
  <c r="CF351" i="86"/>
  <c r="BT185" i="86"/>
  <c r="CI185" i="86" s="1"/>
  <c r="CF20" i="86"/>
  <c r="CF329" i="86"/>
  <c r="CF492" i="86"/>
  <c r="CG492" i="86"/>
  <c r="CG338" i="86"/>
  <c r="CG754" i="86"/>
  <c r="CG847" i="86"/>
  <c r="CG888" i="86"/>
  <c r="CF363" i="86"/>
  <c r="CF164" i="86"/>
  <c r="CF190" i="86"/>
  <c r="CG33" i="86"/>
  <c r="CG803" i="86"/>
  <c r="CG244" i="86"/>
  <c r="CG129" i="86"/>
  <c r="BM336" i="86"/>
  <c r="CG171" i="86"/>
  <c r="CF65" i="86"/>
  <c r="CG511" i="86"/>
  <c r="CF894" i="86"/>
  <c r="CF383" i="86"/>
  <c r="CF388" i="86"/>
  <c r="CF425" i="86"/>
  <c r="CF576" i="86"/>
  <c r="CG152" i="86"/>
  <c r="CG203" i="86"/>
  <c r="CF340" i="86"/>
  <c r="CF257" i="86"/>
  <c r="CG788" i="86"/>
  <c r="CF233" i="86"/>
  <c r="CF605" i="86"/>
  <c r="CG417" i="86"/>
  <c r="CF948" i="86"/>
  <c r="CF374" i="86"/>
  <c r="BT635" i="86"/>
  <c r="CI635" i="86" s="1"/>
  <c r="CF572" i="86"/>
  <c r="CF132" i="86"/>
  <c r="CF543" i="86"/>
  <c r="CF231" i="86"/>
  <c r="CG371" i="86"/>
  <c r="BT593" i="86"/>
  <c r="CI593" i="86" s="1"/>
  <c r="BJ640" i="86"/>
  <c r="CF36" i="86"/>
  <c r="CG539" i="86"/>
  <c r="CF539" i="86"/>
  <c r="CG558" i="86"/>
  <c r="CF558" i="86"/>
  <c r="CG407" i="86"/>
  <c r="CF461" i="86"/>
  <c r="CF426" i="86"/>
  <c r="CF603" i="86"/>
  <c r="CF769" i="86"/>
  <c r="CF148" i="86"/>
  <c r="CF61" i="86"/>
  <c r="CG94" i="86"/>
  <c r="CF94" i="86"/>
  <c r="CG551" i="86"/>
  <c r="CF551" i="86"/>
  <c r="CF753" i="86"/>
  <c r="CG753" i="86"/>
  <c r="CG259" i="86"/>
  <c r="CF259" i="86"/>
  <c r="CF213" i="86"/>
  <c r="CF863" i="86"/>
  <c r="BJ637" i="86"/>
  <c r="CF618" i="86"/>
  <c r="CF480" i="86"/>
  <c r="CF380" i="86"/>
  <c r="CG801" i="86"/>
  <c r="BJ484" i="86"/>
  <c r="CF205" i="86"/>
  <c r="CF243" i="86"/>
  <c r="CF885" i="86"/>
  <c r="BT137" i="86"/>
  <c r="CI137" i="86" s="1"/>
  <c r="CF450" i="86"/>
  <c r="CF384" i="86"/>
  <c r="CF274" i="86"/>
  <c r="CF512" i="86"/>
  <c r="CF432" i="86"/>
  <c r="CF416" i="86"/>
  <c r="CF643" i="86"/>
  <c r="CF362" i="86"/>
  <c r="CF226" i="86"/>
  <c r="CF69" i="86"/>
  <c r="CF123" i="86"/>
  <c r="CF356" i="86"/>
  <c r="CG356" i="86"/>
  <c r="CF215" i="86"/>
  <c r="CG215" i="86"/>
  <c r="CG176" i="86"/>
  <c r="CF176" i="86"/>
  <c r="CF471" i="86"/>
  <c r="CG471" i="86"/>
  <c r="CG346" i="86"/>
  <c r="CG928" i="86"/>
  <c r="CF386" i="86"/>
  <c r="CF74" i="86"/>
  <c r="CG453" i="86"/>
  <c r="BT836" i="86"/>
  <c r="CI836" i="86" s="1"/>
  <c r="BT336" i="86"/>
  <c r="CI336" i="86" s="1"/>
  <c r="CF377" i="86"/>
  <c r="CF409" i="86"/>
  <c r="CG606" i="86"/>
  <c r="CF896" i="86"/>
  <c r="CG438" i="86"/>
  <c r="CF438" i="86"/>
  <c r="CG672" i="86"/>
  <c r="CF672" i="86"/>
  <c r="CF716" i="86"/>
  <c r="CG716" i="86"/>
  <c r="CG325" i="86"/>
  <c r="CG588" i="86"/>
  <c r="CG413" i="86"/>
  <c r="CG651" i="86"/>
  <c r="CF604" i="86"/>
  <c r="CF782" i="86"/>
  <c r="CF12" i="86"/>
  <c r="BT639" i="86"/>
  <c r="CG941" i="86"/>
  <c r="CF949" i="86"/>
  <c r="BT636" i="86"/>
  <c r="CI636" i="86" s="1"/>
  <c r="CF929" i="86"/>
  <c r="CF926" i="86"/>
  <c r="BJ641" i="86"/>
  <c r="CG177" i="86"/>
  <c r="CF944" i="86"/>
  <c r="CF771" i="86"/>
  <c r="CF238" i="86"/>
  <c r="CF290" i="86"/>
  <c r="CG93" i="86"/>
  <c r="BT725" i="86"/>
  <c r="CI725" i="86" s="1"/>
  <c r="CF507" i="86"/>
  <c r="CF73" i="86"/>
  <c r="BT122" i="86"/>
  <c r="CI122" i="86" s="1"/>
  <c r="BJ634" i="86"/>
  <c r="CF800" i="86"/>
  <c r="CF641" i="86"/>
  <c r="CF248" i="86"/>
  <c r="CF535" i="86"/>
  <c r="CG495" i="86"/>
  <c r="CF495" i="86"/>
  <c r="CG898" i="86"/>
  <c r="CF898" i="86"/>
  <c r="CG39" i="86"/>
  <c r="CF39" i="86"/>
  <c r="CG131" i="86"/>
  <c r="CF131" i="86"/>
  <c r="CF540" i="86"/>
  <c r="CG540" i="86"/>
  <c r="CG646" i="86"/>
  <c r="CF646" i="86"/>
  <c r="CG227" i="86"/>
  <c r="CF227" i="86"/>
  <c r="CG91" i="86"/>
  <c r="CF91" i="86"/>
  <c r="CF333" i="86"/>
  <c r="CG333" i="86"/>
  <c r="CF272" i="86"/>
  <c r="CG272" i="86"/>
  <c r="CG307" i="86"/>
  <c r="CG28" i="86"/>
  <c r="CF694" i="86"/>
  <c r="CG376" i="86"/>
  <c r="CF174" i="86"/>
  <c r="CF735" i="86"/>
  <c r="BT437" i="86"/>
  <c r="CI437" i="86" s="1"/>
  <c r="CF162" i="86"/>
  <c r="CF332" i="86"/>
  <c r="CG76" i="86"/>
  <c r="CG919" i="86"/>
  <c r="CG84" i="86"/>
  <c r="CF890" i="86"/>
  <c r="CG890" i="86"/>
  <c r="CG483" i="86"/>
  <c r="CF483" i="86"/>
  <c r="CG10" i="86"/>
  <c r="CF10" i="86"/>
  <c r="CG35" i="86"/>
  <c r="CF35" i="86"/>
  <c r="CF568" i="86"/>
  <c r="CG568" i="86"/>
  <c r="CF537" i="86"/>
  <c r="CG537" i="86"/>
  <c r="CG105" i="86"/>
  <c r="CF105" i="86"/>
  <c r="CG746" i="86"/>
  <c r="CF746" i="86"/>
  <c r="CG798" i="86"/>
  <c r="CF798" i="86"/>
  <c r="CG669" i="86"/>
  <c r="CF669" i="86"/>
  <c r="CG766" i="86"/>
  <c r="CF766" i="86"/>
  <c r="CG811" i="86"/>
  <c r="CF811" i="86"/>
  <c r="CG474" i="86"/>
  <c r="CF474" i="86"/>
  <c r="CG34" i="86"/>
  <c r="CF34" i="86"/>
  <c r="CF481" i="86"/>
  <c r="CG481" i="86"/>
  <c r="CG4" i="86"/>
  <c r="CF4" i="86"/>
  <c r="CG261" i="86"/>
  <c r="CF261" i="86"/>
  <c r="CG249" i="86"/>
  <c r="CF249" i="86"/>
  <c r="CG628" i="86"/>
  <c r="CF628" i="86"/>
  <c r="CG166" i="86"/>
  <c r="CF166" i="86"/>
  <c r="CG19" i="86"/>
  <c r="CF19" i="86"/>
  <c r="CG435" i="86"/>
  <c r="CF435" i="86"/>
  <c r="CG743" i="86"/>
  <c r="CF743" i="86"/>
  <c r="CF925" i="86"/>
  <c r="CG925" i="86"/>
  <c r="CG891" i="86"/>
  <c r="CF891" i="86"/>
  <c r="CG402" i="86"/>
  <c r="CF402" i="86"/>
  <c r="CF633" i="86"/>
  <c r="CG633" i="86"/>
  <c r="CF204" i="86"/>
  <c r="CG59" i="86"/>
  <c r="CF756" i="86"/>
  <c r="CF671" i="86"/>
  <c r="BJ639" i="86"/>
  <c r="BT910" i="86"/>
  <c r="CI910" i="86" s="1"/>
  <c r="CF556" i="86"/>
  <c r="CG229" i="86"/>
  <c r="CG49" i="86"/>
  <c r="CF436" i="86"/>
  <c r="CF367" i="86"/>
  <c r="CG66" i="86"/>
  <c r="CF343" i="86"/>
  <c r="CG864" i="86"/>
  <c r="CF864" i="86"/>
  <c r="CG475" i="86"/>
  <c r="CF475" i="86"/>
  <c r="CF191" i="86"/>
  <c r="CG191" i="86"/>
  <c r="CF44" i="86"/>
  <c r="CG44" i="86"/>
  <c r="CG947" i="86"/>
  <c r="CF947" i="86"/>
  <c r="CF687" i="86"/>
  <c r="CG687" i="86"/>
  <c r="CG145" i="86"/>
  <c r="CF145" i="86"/>
  <c r="CF92" i="86"/>
  <c r="CG92" i="86"/>
  <c r="CG54" i="86"/>
  <c r="CF54" i="86"/>
  <c r="CF324" i="86"/>
  <c r="CG324" i="86"/>
  <c r="CG406" i="86"/>
  <c r="CF406" i="86"/>
  <c r="CG526" i="86"/>
  <c r="CF526" i="86"/>
  <c r="CG405" i="86"/>
  <c r="CF405" i="86"/>
  <c r="CG144" i="86"/>
  <c r="CF144" i="86"/>
  <c r="CG922" i="86"/>
  <c r="CF922" i="86"/>
  <c r="CG313" i="86"/>
  <c r="CF313" i="86"/>
  <c r="CG195" i="86"/>
  <c r="CF195" i="86"/>
  <c r="CG443" i="86"/>
  <c r="CF443" i="86"/>
  <c r="CG240" i="86"/>
  <c r="CF240" i="86"/>
  <c r="CG136" i="86"/>
  <c r="CF136" i="86"/>
  <c r="CG866" i="86"/>
  <c r="CF866" i="86"/>
  <c r="CG577" i="86"/>
  <c r="CF577" i="86"/>
  <c r="CG496" i="86"/>
  <c r="CF496" i="86"/>
  <c r="CF350" i="86"/>
  <c r="CG350" i="86"/>
  <c r="BT56" i="86"/>
  <c r="CI56" i="86" s="1"/>
  <c r="BM836" i="86"/>
  <c r="CG62" i="86"/>
  <c r="CF849" i="86"/>
  <c r="CG370" i="86"/>
  <c r="BM912" i="86"/>
  <c r="CG211" i="86"/>
  <c r="CF794" i="86"/>
  <c r="CG504" i="86"/>
  <c r="CF504" i="86"/>
  <c r="CG331" i="86"/>
  <c r="CF331" i="86"/>
  <c r="CG27" i="86"/>
  <c r="CF27" i="86"/>
  <c r="CG921" i="86"/>
  <c r="CF921" i="86"/>
  <c r="CG824" i="86"/>
  <c r="CF824" i="86"/>
  <c r="CG48" i="86"/>
  <c r="CF48" i="86"/>
  <c r="CG42" i="86"/>
  <c r="CF42" i="86"/>
  <c r="CF298" i="86"/>
  <c r="CG298" i="86"/>
  <c r="CG335" i="86"/>
  <c r="CF335" i="86"/>
  <c r="CG887" i="86"/>
  <c r="CF887" i="86"/>
  <c r="CG790" i="86"/>
  <c r="CF790" i="86"/>
  <c r="CG201" i="86"/>
  <c r="CF201" i="86"/>
  <c r="CF193" i="86"/>
  <c r="CG193" i="86"/>
  <c r="CG781" i="86"/>
  <c r="CF781" i="86"/>
  <c r="BT223" i="86"/>
  <c r="BJ593" i="86"/>
  <c r="CG750" i="86"/>
  <c r="CF750" i="86"/>
  <c r="CG726" i="86"/>
  <c r="CF726" i="86"/>
  <c r="CG544" i="86"/>
  <c r="CF544" i="86"/>
  <c r="CF222" i="86"/>
  <c r="CG222" i="86"/>
  <c r="CG807" i="86"/>
  <c r="CF807" i="86"/>
  <c r="CG712" i="86"/>
  <c r="CF712" i="86"/>
  <c r="CG918" i="86"/>
  <c r="CF918" i="86"/>
  <c r="CG379" i="86"/>
  <c r="CF379" i="86"/>
  <c r="CG305" i="86"/>
  <c r="CF305" i="86"/>
  <c r="CF7" i="86"/>
  <c r="CG7" i="86"/>
  <c r="CF924" i="86"/>
  <c r="CG431" i="86"/>
  <c r="CF431" i="86"/>
  <c r="CF920" i="86"/>
  <c r="CG920" i="86"/>
  <c r="CG111" i="86"/>
  <c r="CF111" i="86"/>
  <c r="CG209" i="86"/>
  <c r="CF209" i="86"/>
  <c r="CG23" i="86"/>
  <c r="CF23" i="86"/>
  <c r="CF232" i="86"/>
  <c r="CG232" i="86"/>
  <c r="CG80" i="86"/>
  <c r="CF80" i="86"/>
  <c r="CG709" i="86"/>
  <c r="CF709" i="86"/>
  <c r="CG182" i="86"/>
  <c r="CF182" i="86"/>
  <c r="CF127" i="86"/>
  <c r="CG127" i="86"/>
  <c r="BT859" i="86"/>
  <c r="CI859" i="86" s="1"/>
  <c r="CG420" i="86"/>
  <c r="CF192" i="86"/>
  <c r="CF113" i="86"/>
  <c r="CF242" i="86"/>
  <c r="BM718" i="86"/>
  <c r="CG520" i="86"/>
  <c r="CF792" i="86"/>
  <c r="CF479" i="86"/>
  <c r="CF787" i="86"/>
  <c r="CG126" i="86"/>
  <c r="CF21" i="86"/>
  <c r="CF933" i="86"/>
  <c r="BM719" i="86"/>
  <c r="CG160" i="86"/>
  <c r="BJ423" i="86"/>
  <c r="CG552" i="86"/>
  <c r="BT912" i="86"/>
  <c r="CI912" i="86" s="1"/>
  <c r="CF349" i="86"/>
  <c r="BM137" i="86"/>
  <c r="CG614" i="86"/>
  <c r="CF614" i="86"/>
  <c r="CG434" i="86"/>
  <c r="CF434" i="86"/>
  <c r="CG303" i="86"/>
  <c r="CF303" i="86"/>
  <c r="CG693" i="86"/>
  <c r="CF693" i="86"/>
  <c r="CG236" i="86"/>
  <c r="CF236" i="86"/>
  <c r="CG150" i="86"/>
  <c r="CF150" i="86"/>
  <c r="CF60" i="86"/>
  <c r="CG60" i="86"/>
  <c r="CG902" i="86"/>
  <c r="CF902" i="86"/>
  <c r="CG108" i="86"/>
  <c r="CF108" i="86"/>
  <c r="CF43" i="86"/>
  <c r="CG43" i="86"/>
  <c r="CG154" i="86"/>
  <c r="CF154" i="86"/>
  <c r="CF373" i="86"/>
  <c r="CG184" i="86"/>
  <c r="CF848" i="86"/>
  <c r="CG734" i="86"/>
  <c r="BM122" i="86"/>
  <c r="BT903" i="86"/>
  <c r="CI903" i="86" s="1"/>
  <c r="BT410" i="86"/>
  <c r="CI410" i="86" s="1"/>
  <c r="CF133" i="86"/>
  <c r="BJ57" i="86"/>
  <c r="CG733" i="86"/>
  <c r="CF733" i="86"/>
  <c r="CG187" i="86"/>
  <c r="CF187" i="86"/>
  <c r="CG600" i="86"/>
  <c r="CF600" i="86"/>
  <c r="CF387" i="86"/>
  <c r="CG387" i="86"/>
  <c r="CG330" i="86"/>
  <c r="CF330" i="86"/>
  <c r="CG523" i="86"/>
  <c r="CF523" i="86"/>
  <c r="CG527" i="86"/>
  <c r="CF527" i="86"/>
  <c r="CG508" i="86"/>
  <c r="CF508" i="86"/>
  <c r="BJ910" i="86"/>
  <c r="CF680" i="86"/>
  <c r="BT57" i="86"/>
  <c r="CI57" i="86" s="1"/>
  <c r="CG89" i="86"/>
  <c r="CF89" i="86"/>
  <c r="CG886" i="86"/>
  <c r="CF886" i="86"/>
  <c r="CG752" i="86"/>
  <c r="CF752" i="86"/>
  <c r="CG263" i="86"/>
  <c r="CF263" i="86"/>
  <c r="CG621" i="86"/>
  <c r="CF621" i="86"/>
  <c r="CG277" i="86"/>
  <c r="CF277" i="86"/>
  <c r="CG867" i="86"/>
  <c r="CF867" i="86"/>
  <c r="CG490" i="86"/>
  <c r="CF490" i="86"/>
  <c r="CG188" i="86"/>
  <c r="CF188" i="86"/>
  <c r="CG580" i="86"/>
  <c r="CF580" i="86"/>
  <c r="CG353" i="86"/>
  <c r="CF353" i="86"/>
  <c r="CG297" i="86"/>
  <c r="CF297" i="86"/>
  <c r="CG146" i="86"/>
  <c r="CF146" i="86"/>
  <c r="CG940" i="86"/>
  <c r="CF940" i="86"/>
  <c r="CG534" i="86"/>
  <c r="CF534" i="86"/>
  <c r="BM859" i="86"/>
  <c r="CF121" i="86"/>
  <c r="CG121" i="86"/>
  <c r="CG355" i="86"/>
  <c r="CF355" i="86"/>
  <c r="CG674" i="86"/>
  <c r="CF674" i="86"/>
  <c r="CG900" i="86"/>
  <c r="CF900" i="86"/>
  <c r="CG770" i="86"/>
  <c r="CF770" i="86"/>
  <c r="CF250" i="86"/>
  <c r="CG250" i="86"/>
  <c r="BO156" i="86"/>
  <c r="BT156" i="86"/>
  <c r="CG831" i="86"/>
  <c r="CF831" i="86"/>
  <c r="CG85" i="86"/>
  <c r="CF85" i="86"/>
  <c r="CG816" i="86"/>
  <c r="CF816" i="86"/>
  <c r="CF262" i="86"/>
  <c r="BJ762" i="86"/>
  <c r="CF945" i="86"/>
  <c r="BT509" i="86"/>
  <c r="CI509" i="86" s="1"/>
  <c r="CF763" i="86"/>
  <c r="CF225" i="86"/>
  <c r="BJ586" i="86"/>
  <c r="BM843" i="86"/>
  <c r="CG167" i="86"/>
  <c r="CF167" i="86"/>
  <c r="CG829" i="86"/>
  <c r="CF829" i="86"/>
  <c r="CG412" i="86"/>
  <c r="CF412" i="86"/>
  <c r="CG714" i="86"/>
  <c r="CF714" i="86"/>
  <c r="CG670" i="86"/>
  <c r="CF670" i="86"/>
  <c r="CG720" i="86"/>
  <c r="CF720" i="86"/>
  <c r="CG622" i="86"/>
  <c r="CF622" i="86"/>
  <c r="CG424" i="86"/>
  <c r="CF424" i="86"/>
  <c r="CG345" i="86"/>
  <c r="CF345" i="86"/>
  <c r="CG939" i="86"/>
  <c r="CF939" i="86"/>
  <c r="CG893" i="86"/>
  <c r="CF893" i="86"/>
  <c r="CG328" i="86"/>
  <c r="CF328" i="86"/>
  <c r="CG571" i="86"/>
  <c r="CF571" i="86"/>
  <c r="CG427" i="86"/>
  <c r="CF427" i="86"/>
  <c r="CG75" i="86"/>
  <c r="CF75" i="86"/>
  <c r="CG810" i="86"/>
  <c r="CF810" i="86"/>
  <c r="CG283" i="86"/>
  <c r="CF283" i="86"/>
  <c r="BJ53" i="86"/>
  <c r="BT53" i="86"/>
  <c r="CG627" i="86"/>
  <c r="CF627" i="86"/>
  <c r="CG546" i="86"/>
  <c r="CF546" i="86"/>
  <c r="CG114" i="86"/>
  <c r="CF114" i="86"/>
  <c r="CF550" i="86"/>
  <c r="CG550" i="86"/>
  <c r="BM599" i="86"/>
  <c r="CF37" i="86"/>
  <c r="CG142" i="86"/>
  <c r="CF142" i="86"/>
  <c r="CG778" i="86"/>
  <c r="CF778" i="86"/>
  <c r="CF180" i="86"/>
  <c r="CG180" i="86"/>
  <c r="CG78" i="86"/>
  <c r="CF78" i="86"/>
  <c r="CG675" i="86"/>
  <c r="CF675" i="86"/>
  <c r="CG563" i="86"/>
  <c r="CF563" i="86"/>
  <c r="CF258" i="86"/>
  <c r="CG258" i="86"/>
  <c r="BO454" i="86"/>
  <c r="BT454" i="86"/>
  <c r="CG458" i="86"/>
  <c r="CF458" i="86"/>
  <c r="CF401" i="86"/>
  <c r="CG401" i="86"/>
  <c r="CG312" i="86"/>
  <c r="CF312" i="86"/>
  <c r="CG234" i="86"/>
  <c r="CF234" i="86"/>
  <c r="CG29" i="86"/>
  <c r="CF29" i="86"/>
  <c r="CG361" i="86"/>
  <c r="CF361" i="86"/>
  <c r="BT634" i="86"/>
  <c r="CG892" i="86"/>
  <c r="CF892" i="86"/>
  <c r="CG200" i="86"/>
  <c r="CF200" i="86"/>
  <c r="CG901" i="86"/>
  <c r="CF901" i="86"/>
  <c r="CG584" i="86"/>
  <c r="CF584" i="86"/>
  <c r="CG81" i="86"/>
  <c r="CF81" i="86"/>
  <c r="CF359" i="86"/>
  <c r="CG359" i="86"/>
  <c r="CG723" i="86"/>
  <c r="CF723" i="86"/>
  <c r="CG397" i="86"/>
  <c r="CF397" i="86"/>
  <c r="CG327" i="86"/>
  <c r="CF327" i="86"/>
  <c r="CF22" i="86"/>
  <c r="CG22" i="86"/>
  <c r="CG149" i="86"/>
  <c r="CF149" i="86"/>
  <c r="CG117" i="86"/>
  <c r="CF117" i="86"/>
  <c r="CG245" i="86"/>
  <c r="CF245" i="86"/>
  <c r="BT843" i="86"/>
  <c r="CG295" i="86"/>
  <c r="CF295" i="86"/>
  <c r="BM909" i="86"/>
  <c r="BT909" i="86"/>
  <c r="BM840" i="86"/>
  <c r="BT840" i="86"/>
  <c r="BT738" i="86"/>
  <c r="BJ738" i="86"/>
  <c r="BT599" i="86"/>
  <c r="CI599" i="86" s="1"/>
  <c r="CG358" i="86"/>
  <c r="CF358" i="86"/>
  <c r="CF447" i="86"/>
  <c r="CG447" i="86"/>
  <c r="BT586" i="86"/>
  <c r="CG444" i="86"/>
  <c r="CF444" i="86"/>
  <c r="CF342" i="86"/>
  <c r="CG342" i="86"/>
  <c r="CG308" i="86"/>
  <c r="CF308" i="86"/>
  <c r="BT625" i="86"/>
  <c r="BJ625" i="86"/>
  <c r="CG761" i="86"/>
  <c r="CF761" i="86"/>
  <c r="CG109" i="86"/>
  <c r="CF109" i="86"/>
  <c r="BO845" i="86"/>
  <c r="BT845" i="86"/>
  <c r="CF135" i="86"/>
  <c r="CG135" i="86"/>
  <c r="CG897" i="86"/>
  <c r="CF897" i="86"/>
  <c r="CG952" i="86"/>
  <c r="CF952" i="86"/>
  <c r="CG368" i="86"/>
  <c r="CF368" i="86"/>
  <c r="BJ609" i="86"/>
  <c r="BT609" i="86"/>
  <c r="CG392" i="86"/>
  <c r="CF392" i="86"/>
  <c r="CG521" i="86"/>
  <c r="CF521" i="86"/>
  <c r="CF564" i="86"/>
  <c r="CG110" i="86"/>
  <c r="CF110" i="86"/>
  <c r="CF757" i="86"/>
  <c r="CG757" i="86"/>
  <c r="CG270" i="86"/>
  <c r="CF270" i="86"/>
  <c r="CG390" i="86"/>
  <c r="CF390" i="86"/>
  <c r="BM844" i="86"/>
  <c r="BT561" i="86"/>
  <c r="BO561" i="86"/>
  <c r="CF817" i="86"/>
  <c r="CG817" i="86"/>
  <c r="BT711" i="86"/>
  <c r="BM711" i="86"/>
  <c r="CG120" i="86"/>
  <c r="CF120" i="86"/>
  <c r="CG668" i="86"/>
  <c r="CF668" i="86"/>
  <c r="CF32" i="86"/>
  <c r="CG32" i="86"/>
  <c r="BJ561" i="86"/>
  <c r="CG533" i="86"/>
  <c r="CF533" i="86"/>
  <c r="CF372" i="86"/>
  <c r="CG372" i="86"/>
  <c r="BT252" i="86"/>
  <c r="BJ252" i="86"/>
  <c r="CF722" i="86"/>
  <c r="CG722" i="86"/>
  <c r="CF173" i="86"/>
  <c r="CG173" i="86"/>
  <c r="BT906" i="86"/>
  <c r="BM906" i="86"/>
  <c r="CG764" i="86"/>
  <c r="CF764" i="86"/>
  <c r="AB33" i="89"/>
  <c r="CG610" i="86"/>
  <c r="CF610" i="86"/>
  <c r="CG642" i="86"/>
  <c r="CF642" i="86"/>
  <c r="CG729" i="86"/>
  <c r="CF729" i="86"/>
  <c r="CF742" i="86"/>
  <c r="CG742" i="86"/>
  <c r="BM630" i="86"/>
  <c r="BT630" i="86"/>
  <c r="CF186" i="86"/>
  <c r="CG186" i="86"/>
  <c r="CG429" i="86"/>
  <c r="CF429" i="86"/>
  <c r="BT823" i="86"/>
  <c r="BM823" i="86"/>
  <c r="BT862" i="86"/>
  <c r="BJ862" i="86"/>
  <c r="CF83" i="86"/>
  <c r="CG83" i="86"/>
  <c r="CF595" i="86"/>
  <c r="CG595" i="86"/>
  <c r="BJ125" i="86"/>
  <c r="CG276" i="86"/>
  <c r="CF276" i="86"/>
  <c r="BJ230" i="86"/>
  <c r="BT230" i="86"/>
  <c r="CG165" i="86"/>
  <c r="CF165" i="86"/>
  <c r="BJ903" i="86"/>
  <c r="CG267" i="86"/>
  <c r="CF267" i="86"/>
  <c r="CG151" i="86"/>
  <c r="CF151" i="86"/>
  <c r="BM702" i="86"/>
  <c r="BT702" i="86"/>
  <c r="CG339" i="86"/>
  <c r="CF339" i="86"/>
  <c r="CG487" i="86"/>
  <c r="CF487" i="86"/>
  <c r="CG315" i="86"/>
  <c r="CF315" i="86"/>
  <c r="CG457" i="86"/>
  <c r="CF457" i="86"/>
  <c r="CF255" i="86"/>
  <c r="CG255" i="86"/>
  <c r="CF616" i="86"/>
  <c r="CG616" i="86"/>
  <c r="CG905" i="86"/>
  <c r="CF905" i="86"/>
  <c r="CG67" i="86"/>
  <c r="CF67" i="86"/>
  <c r="BO529" i="86"/>
  <c r="BT529" i="86"/>
  <c r="BJ206" i="86"/>
  <c r="BT206" i="86"/>
  <c r="CF500" i="86"/>
  <c r="CG500" i="86"/>
  <c r="CF352" i="86"/>
  <c r="CG352" i="86"/>
  <c r="CG348" i="86"/>
  <c r="CF348" i="86"/>
  <c r="BO762" i="86"/>
  <c r="BT762" i="86"/>
  <c r="CG597" i="86"/>
  <c r="CF597" i="86"/>
  <c r="CG647" i="86"/>
  <c r="CF647" i="86"/>
  <c r="CG82" i="86"/>
  <c r="CF82" i="86"/>
  <c r="CG344" i="86"/>
  <c r="CF344" i="86"/>
  <c r="CG41" i="86"/>
  <c r="CF41" i="86"/>
  <c r="CG796" i="86"/>
  <c r="CF796" i="86"/>
  <c r="CF721" i="86"/>
  <c r="CG721" i="86"/>
  <c r="CF575" i="86"/>
  <c r="CG575" i="86"/>
  <c r="CG957" i="86"/>
  <c r="CG889" i="86"/>
  <c r="CF889" i="86"/>
  <c r="CF320" i="86"/>
  <c r="CG320" i="86"/>
  <c r="CF25" i="86"/>
  <c r="CG25" i="86"/>
  <c r="CG428" i="86"/>
  <c r="CF428" i="86"/>
  <c r="CF608" i="86"/>
  <c r="CG608" i="86"/>
  <c r="CG403" i="86"/>
  <c r="CF403" i="86"/>
  <c r="CG846" i="86"/>
  <c r="CF846" i="86"/>
  <c r="CG739" i="86"/>
  <c r="CF739" i="86"/>
  <c r="CF179" i="86"/>
  <c r="CG179" i="86"/>
  <c r="BT838" i="86"/>
  <c r="BM838" i="86"/>
  <c r="CG273" i="86"/>
  <c r="CF273" i="86"/>
  <c r="CG804" i="86"/>
  <c r="CF804" i="86"/>
  <c r="CG915" i="86"/>
  <c r="CF915" i="86"/>
  <c r="CG389" i="86"/>
  <c r="CF389" i="86"/>
  <c r="CF296" i="86"/>
  <c r="CG296" i="86"/>
  <c r="BJ592" i="86"/>
  <c r="BT592" i="86"/>
  <c r="CG189" i="86"/>
  <c r="CF189" i="86"/>
  <c r="CG916" i="86"/>
  <c r="CF916" i="86"/>
  <c r="BJ183" i="86"/>
  <c r="BT183" i="86"/>
  <c r="BT719" i="86"/>
  <c r="BO719" i="86"/>
  <c r="CG241" i="86"/>
  <c r="CF241" i="86"/>
  <c r="CF317" i="86"/>
  <c r="CG317" i="86"/>
  <c r="CG839" i="86"/>
  <c r="CF839" i="86"/>
  <c r="CG228" i="86"/>
  <c r="CF228" i="86"/>
  <c r="CF585" i="86"/>
  <c r="CG585" i="86"/>
  <c r="CG172" i="86"/>
  <c r="CF172" i="86"/>
  <c r="CG440" i="86"/>
  <c r="CF440" i="86"/>
  <c r="CG375" i="86"/>
  <c r="CF375" i="86"/>
  <c r="CF452" i="86"/>
  <c r="CG452" i="86"/>
  <c r="BT825" i="86"/>
  <c r="BJ825" i="86"/>
  <c r="CG631" i="86"/>
  <c r="CF631" i="86"/>
  <c r="CF935" i="86"/>
  <c r="CG935" i="86"/>
  <c r="CG77" i="86"/>
  <c r="CF77" i="86"/>
  <c r="CG115" i="86"/>
  <c r="CF115" i="86"/>
  <c r="CG196" i="86"/>
  <c r="CF196" i="86"/>
  <c r="CG304" i="86"/>
  <c r="CF304" i="86"/>
  <c r="CG141" i="86"/>
  <c r="CF141" i="86"/>
  <c r="CF279" i="86"/>
  <c r="CG279" i="86"/>
  <c r="CG415" i="86"/>
  <c r="CF415" i="86"/>
  <c r="CF128" i="86"/>
  <c r="CG128" i="86"/>
  <c r="CG684" i="86"/>
  <c r="CF684" i="86"/>
  <c r="CG446" i="86"/>
  <c r="CF446" i="86"/>
  <c r="CG224" i="86"/>
  <c r="CF224" i="86"/>
  <c r="CG430" i="86"/>
  <c r="CF430" i="86"/>
  <c r="CF834" i="86"/>
  <c r="CG834" i="86"/>
  <c r="CG815" i="86"/>
  <c r="CF815" i="86"/>
  <c r="BJ865" i="86"/>
  <c r="BT865" i="86"/>
  <c r="CF292" i="86"/>
  <c r="CG292" i="86"/>
  <c r="BM691" i="86"/>
  <c r="BT691" i="86"/>
  <c r="CF485" i="86"/>
  <c r="CG485" i="86"/>
  <c r="CG554" i="86"/>
  <c r="CF554" i="86"/>
  <c r="CG852" i="86"/>
  <c r="CF852" i="86"/>
  <c r="CG88" i="86"/>
  <c r="CF88" i="86"/>
  <c r="CG16" i="86"/>
  <c r="CF16" i="86"/>
  <c r="CG178" i="86"/>
  <c r="CF178" i="86"/>
  <c r="CG40" i="86"/>
  <c r="CF40" i="86"/>
  <c r="CG318" i="86"/>
  <c r="CF318" i="86"/>
  <c r="CG155" i="86"/>
  <c r="CF155" i="86"/>
  <c r="CF538" i="86"/>
  <c r="CG538" i="86"/>
  <c r="CG221" i="86"/>
  <c r="CF221" i="86"/>
  <c r="CF418" i="86"/>
  <c r="CG418" i="86"/>
  <c r="CF357" i="86"/>
  <c r="CG357" i="86"/>
  <c r="CF747" i="86"/>
  <c r="CG747" i="86"/>
  <c r="CG732" i="86"/>
  <c r="CF732" i="86"/>
  <c r="CF112" i="86"/>
  <c r="CG112" i="86"/>
  <c r="BO718" i="86"/>
  <c r="BT718" i="86"/>
  <c r="BT637" i="86"/>
  <c r="CF58" i="86"/>
  <c r="CG58" i="86"/>
  <c r="CG648" i="86"/>
  <c r="CF648" i="86"/>
  <c r="CF199" i="86"/>
  <c r="CG199" i="86"/>
  <c r="BO316" i="86"/>
  <c r="BT316" i="86"/>
  <c r="CG579" i="86"/>
  <c r="CF579" i="86"/>
  <c r="CF536" i="86"/>
  <c r="CG536" i="86"/>
  <c r="BJ419" i="86"/>
  <c r="BT419" i="86"/>
  <c r="CG751" i="86"/>
  <c r="CF751" i="86"/>
  <c r="BM861" i="86"/>
  <c r="BT861" i="86"/>
  <c r="CF439" i="86"/>
  <c r="CG439" i="86"/>
  <c r="BM826" i="86"/>
  <c r="BT826" i="86"/>
  <c r="CF913" i="86"/>
  <c r="CG913" i="86"/>
  <c r="CG795" i="86"/>
  <c r="CF795" i="86"/>
  <c r="CG31" i="86"/>
  <c r="CF31" i="86"/>
  <c r="CF808" i="86"/>
  <c r="CG808" i="86"/>
  <c r="CF832" i="86"/>
  <c r="CG832" i="86"/>
  <c r="CG24" i="86"/>
  <c r="CF24" i="86"/>
  <c r="CG760" i="86"/>
  <c r="CF760" i="86"/>
  <c r="CG830" i="86"/>
  <c r="CF830" i="86"/>
  <c r="CF744" i="86"/>
  <c r="CG744" i="86"/>
  <c r="CF393" i="86"/>
  <c r="CG393" i="86"/>
  <c r="CG163" i="86"/>
  <c r="CF163" i="86"/>
  <c r="CG445" i="86"/>
  <c r="CF445" i="86"/>
  <c r="BT841" i="86"/>
  <c r="BJ841" i="86"/>
  <c r="CG482" i="86"/>
  <c r="CF482" i="86"/>
  <c r="CG71" i="86"/>
  <c r="CF71" i="86"/>
  <c r="CF936" i="86"/>
  <c r="CG936" i="86"/>
  <c r="CG619" i="86"/>
  <c r="CF619" i="86"/>
  <c r="CF210" i="86"/>
  <c r="CG210" i="86"/>
  <c r="BJ56" i="86"/>
  <c r="CF583" i="86"/>
  <c r="CG583" i="86"/>
  <c r="BT629" i="86"/>
  <c r="BM629" i="86"/>
  <c r="CF728" i="86"/>
  <c r="CG728" i="86"/>
  <c r="CG683" i="86"/>
  <c r="CF683" i="86"/>
  <c r="CF448" i="86"/>
  <c r="CG448" i="86"/>
  <c r="CG360" i="86"/>
  <c r="CF360" i="86"/>
  <c r="BT207" i="86"/>
  <c r="BM207" i="86"/>
  <c r="BM907" i="86"/>
  <c r="BT907" i="86"/>
  <c r="BT140" i="86"/>
  <c r="BO140" i="86"/>
  <c r="BT139" i="86"/>
  <c r="BM139" i="86"/>
  <c r="CG767" i="86"/>
  <c r="CF767" i="86"/>
  <c r="BM820" i="86"/>
  <c r="BT820" i="86"/>
  <c r="BM740" i="86"/>
  <c r="BT740" i="86"/>
  <c r="CG547" i="86"/>
  <c r="CF547" i="86"/>
  <c r="BJ851" i="86"/>
  <c r="BT851" i="86"/>
  <c r="BT334" i="86"/>
  <c r="BJ334" i="86"/>
  <c r="CG15" i="86"/>
  <c r="CF15" i="86"/>
  <c r="BT908" i="86"/>
  <c r="BJ908" i="86"/>
  <c r="CF717" i="86"/>
  <c r="CG717" i="86"/>
  <c r="CG130" i="86" l="1"/>
  <c r="CG737" i="86"/>
  <c r="CI737" i="86"/>
  <c r="CF737" i="86"/>
  <c r="CN989" i="86"/>
  <c r="H8" i="96"/>
  <c r="D12" i="96"/>
  <c r="CO986" i="86"/>
  <c r="R4" i="93"/>
  <c r="O4" i="93"/>
  <c r="P4" i="93"/>
  <c r="Q4" i="93"/>
  <c r="CH740" i="86"/>
  <c r="CI740" i="86"/>
  <c r="CH862" i="86"/>
  <c r="CI862" i="86"/>
  <c r="CH252" i="86"/>
  <c r="CI252" i="86"/>
  <c r="CG337" i="86"/>
  <c r="CI337" i="86"/>
  <c r="CH140" i="86"/>
  <c r="CI140" i="86"/>
  <c r="CH207" i="86"/>
  <c r="CI207" i="86"/>
  <c r="CH316" i="86"/>
  <c r="CI316" i="86"/>
  <c r="CH637" i="86"/>
  <c r="CI637" i="86"/>
  <c r="CH691" i="86"/>
  <c r="CI691" i="86"/>
  <c r="CH865" i="86"/>
  <c r="CI865" i="86"/>
  <c r="CH183" i="86"/>
  <c r="CI183" i="86"/>
  <c r="CH762" i="86"/>
  <c r="CI762" i="86"/>
  <c r="CH206" i="86"/>
  <c r="CI206" i="86"/>
  <c r="CH702" i="86"/>
  <c r="CI702" i="86"/>
  <c r="CH711" i="86"/>
  <c r="CI711" i="86"/>
  <c r="CH561" i="86"/>
  <c r="CI561" i="86"/>
  <c r="CH625" i="86"/>
  <c r="CI625" i="86"/>
  <c r="CH634" i="86"/>
  <c r="CI634" i="86"/>
  <c r="CH842" i="86"/>
  <c r="CI842" i="86"/>
  <c r="CH827" i="86"/>
  <c r="CI827" i="86"/>
  <c r="CH130" i="86"/>
  <c r="CI130" i="86"/>
  <c r="CH820" i="86"/>
  <c r="CI820" i="86"/>
  <c r="CH907" i="86"/>
  <c r="CI907" i="86"/>
  <c r="CH841" i="86"/>
  <c r="CI841" i="86"/>
  <c r="CH718" i="86"/>
  <c r="CI718" i="86"/>
  <c r="CH230" i="86"/>
  <c r="CI230" i="86"/>
  <c r="CH823" i="86"/>
  <c r="CI823" i="86"/>
  <c r="CH906" i="86"/>
  <c r="CI906" i="86"/>
  <c r="CH845" i="86"/>
  <c r="CI845" i="86"/>
  <c r="CH909" i="86"/>
  <c r="CI909" i="86"/>
  <c r="CH843" i="86"/>
  <c r="CI843" i="86"/>
  <c r="CH454" i="86"/>
  <c r="CI454" i="86"/>
  <c r="CH156" i="86"/>
  <c r="CI156" i="86"/>
  <c r="CH223" i="86"/>
  <c r="CI223" i="86"/>
  <c r="CH851" i="86"/>
  <c r="CI851" i="86"/>
  <c r="CH825" i="86"/>
  <c r="CI825" i="86"/>
  <c r="CH719" i="86"/>
  <c r="CI719" i="86"/>
  <c r="CH838" i="86"/>
  <c r="CI838" i="86"/>
  <c r="CH609" i="86"/>
  <c r="CI609" i="86"/>
  <c r="CH586" i="86"/>
  <c r="CI586" i="86"/>
  <c r="CH840" i="86"/>
  <c r="CI840" i="86"/>
  <c r="CH53" i="86"/>
  <c r="CI53" i="86"/>
  <c r="CH908" i="86"/>
  <c r="CI908" i="86"/>
  <c r="CH334" i="86"/>
  <c r="CI334" i="86"/>
  <c r="CH139" i="86"/>
  <c r="CI139" i="86"/>
  <c r="CH629" i="86"/>
  <c r="CI629" i="86"/>
  <c r="CH826" i="86"/>
  <c r="CI826" i="86"/>
  <c r="CH861" i="86"/>
  <c r="CI861" i="86"/>
  <c r="CH419" i="86"/>
  <c r="CI419" i="86"/>
  <c r="CH592" i="86"/>
  <c r="CI592" i="86"/>
  <c r="CH529" i="86"/>
  <c r="CI529" i="86"/>
  <c r="CH630" i="86"/>
  <c r="CI630" i="86"/>
  <c r="CH738" i="86"/>
  <c r="CI738" i="86"/>
  <c r="CH639" i="86"/>
  <c r="CI639" i="86"/>
  <c r="CF827" i="86"/>
  <c r="CF337" i="86"/>
  <c r="CH337" i="86"/>
  <c r="CG599" i="86"/>
  <c r="CH599" i="86"/>
  <c r="CG137" i="86"/>
  <c r="CH137" i="86"/>
  <c r="CG254" i="86"/>
  <c r="CH254" i="86"/>
  <c r="CG853" i="86"/>
  <c r="CH853" i="86"/>
  <c r="CG410" i="86"/>
  <c r="CH410" i="86"/>
  <c r="CG859" i="86"/>
  <c r="CH859" i="86"/>
  <c r="CG56" i="86"/>
  <c r="CH56" i="86"/>
  <c r="CG910" i="86"/>
  <c r="CH910" i="86"/>
  <c r="CG725" i="86"/>
  <c r="CH725" i="86"/>
  <c r="CG593" i="86"/>
  <c r="CH593" i="86"/>
  <c r="CF423" i="86"/>
  <c r="CH423" i="86"/>
  <c r="CG911" i="86"/>
  <c r="CH911" i="86"/>
  <c r="CF858" i="86"/>
  <c r="CH858" i="86"/>
  <c r="CG607" i="86"/>
  <c r="CH607" i="86"/>
  <c r="CF837" i="86"/>
  <c r="CH837" i="86"/>
  <c r="CF57" i="86"/>
  <c r="CH57" i="86"/>
  <c r="CG930" i="86"/>
  <c r="CH930" i="86"/>
  <c r="CG125" i="86"/>
  <c r="CH125" i="86"/>
  <c r="CG903" i="86"/>
  <c r="CH903" i="86"/>
  <c r="CF437" i="86"/>
  <c r="CH437" i="86"/>
  <c r="CF122" i="86"/>
  <c r="CH122" i="86"/>
  <c r="CG336" i="86"/>
  <c r="CH336" i="86"/>
  <c r="CG185" i="86"/>
  <c r="CH185" i="86"/>
  <c r="CG640" i="86"/>
  <c r="CH640" i="86"/>
  <c r="CF484" i="86"/>
  <c r="CH484" i="86"/>
  <c r="CF904" i="86"/>
  <c r="CH904" i="86"/>
  <c r="CF934" i="86"/>
  <c r="CH934" i="86"/>
  <c r="CG460" i="86"/>
  <c r="CH460" i="86"/>
  <c r="CG912" i="86"/>
  <c r="CH912" i="86"/>
  <c r="CF844" i="86"/>
  <c r="CH844" i="86"/>
  <c r="CG591" i="86"/>
  <c r="CH591" i="86"/>
  <c r="CG326" i="86"/>
  <c r="CH326" i="86"/>
  <c r="CG509" i="86"/>
  <c r="CH509" i="86"/>
  <c r="CF636" i="86"/>
  <c r="CH636" i="86"/>
  <c r="CG836" i="86"/>
  <c r="CH836" i="86"/>
  <c r="CG635" i="86"/>
  <c r="CH635" i="86"/>
  <c r="CG476" i="86"/>
  <c r="CH476" i="86"/>
  <c r="CG638" i="86"/>
  <c r="CH638" i="86"/>
  <c r="CG724" i="86"/>
  <c r="CH724" i="86"/>
  <c r="CG530" i="86"/>
  <c r="CH530" i="86"/>
  <c r="CF772" i="86"/>
  <c r="CH772" i="86"/>
  <c r="CG837" i="86"/>
  <c r="CF326" i="86"/>
  <c r="CF460" i="86"/>
  <c r="CF125" i="86"/>
  <c r="CF853" i="86"/>
  <c r="CG772" i="86"/>
  <c r="CG858" i="86"/>
  <c r="CF607" i="86"/>
  <c r="CG934" i="86"/>
  <c r="CF530" i="86"/>
  <c r="CF724" i="86"/>
  <c r="CF930" i="86"/>
  <c r="CG842" i="86"/>
  <c r="CF842" i="86"/>
  <c r="CF254" i="86"/>
  <c r="CG904" i="86"/>
  <c r="CF638" i="86"/>
  <c r="CF640" i="86"/>
  <c r="CF476" i="86"/>
  <c r="CG484" i="86"/>
  <c r="CF336" i="86"/>
  <c r="CF591" i="86"/>
  <c r="CG423" i="86"/>
  <c r="CG844" i="86"/>
  <c r="CF635" i="86"/>
  <c r="CF911" i="86"/>
  <c r="CG636" i="86"/>
  <c r="CF185" i="86"/>
  <c r="CG57" i="86"/>
  <c r="CF836" i="86"/>
  <c r="CG437" i="86"/>
  <c r="CF593" i="86"/>
  <c r="CF56" i="86"/>
  <c r="CF859" i="86"/>
  <c r="CF725" i="86"/>
  <c r="CF903" i="86"/>
  <c r="CG122" i="86"/>
  <c r="CF910" i="86"/>
  <c r="CF137" i="86"/>
  <c r="N2" i="93"/>
  <c r="N8" i="93" s="1"/>
  <c r="CF509" i="86"/>
  <c r="CF639" i="86"/>
  <c r="CG639" i="86"/>
  <c r="CF223" i="86"/>
  <c r="CG223" i="86"/>
  <c r="CF912" i="86"/>
  <c r="CF410" i="86"/>
  <c r="CG454" i="86"/>
  <c r="CF454" i="86"/>
  <c r="CF156" i="86"/>
  <c r="CG156" i="86"/>
  <c r="CF634" i="86"/>
  <c r="CG634" i="86"/>
  <c r="CG53" i="86"/>
  <c r="CF53" i="86"/>
  <c r="CG630" i="86"/>
  <c r="CF630" i="86"/>
  <c r="CG906" i="86"/>
  <c r="CF906" i="86"/>
  <c r="CG738" i="86"/>
  <c r="CF738" i="86"/>
  <c r="CF702" i="86"/>
  <c r="CG702" i="86"/>
  <c r="CG711" i="86"/>
  <c r="CF711" i="86"/>
  <c r="CG845" i="86"/>
  <c r="CF845" i="86"/>
  <c r="CG840" i="86"/>
  <c r="CF840" i="86"/>
  <c r="CG862" i="86"/>
  <c r="CF862" i="86"/>
  <c r="CG252" i="86"/>
  <c r="CF252" i="86"/>
  <c r="CF909" i="86"/>
  <c r="CG909" i="86"/>
  <c r="CF823" i="86"/>
  <c r="CG823" i="86"/>
  <c r="CF561" i="86"/>
  <c r="CG561" i="86"/>
  <c r="CF609" i="86"/>
  <c r="CG609" i="86"/>
  <c r="CG586" i="86"/>
  <c r="CF586" i="86"/>
  <c r="CF599" i="86"/>
  <c r="CF230" i="86"/>
  <c r="CG230" i="86"/>
  <c r="CF843" i="86"/>
  <c r="CG843" i="86"/>
  <c r="CG625" i="86"/>
  <c r="CF625" i="86"/>
  <c r="CG316" i="86"/>
  <c r="CF316" i="86"/>
  <c r="CG183" i="86"/>
  <c r="CF183" i="86"/>
  <c r="CG629" i="86"/>
  <c r="CF629" i="86"/>
  <c r="CG907" i="86"/>
  <c r="CF907" i="86"/>
  <c r="CF838" i="86"/>
  <c r="CG838" i="86"/>
  <c r="CG592" i="86"/>
  <c r="CF592" i="86"/>
  <c r="CG826" i="86"/>
  <c r="CF826" i="86"/>
  <c r="CG139" i="86"/>
  <c r="CF139" i="86"/>
  <c r="CG637" i="86"/>
  <c r="CF637" i="86"/>
  <c r="CG206" i="86"/>
  <c r="CF206" i="86"/>
  <c r="CF334" i="86"/>
  <c r="CG334" i="86"/>
  <c r="CG841" i="86"/>
  <c r="CF841" i="86"/>
  <c r="CG207" i="86"/>
  <c r="CF207" i="86"/>
  <c r="CG851" i="86"/>
  <c r="CF851" i="86"/>
  <c r="CG419" i="86"/>
  <c r="CF419" i="86"/>
  <c r="CG529" i="86"/>
  <c r="CF529" i="86"/>
  <c r="CG861" i="86"/>
  <c r="CF861" i="86"/>
  <c r="CF718" i="86"/>
  <c r="CG718" i="86"/>
  <c r="CG825" i="86"/>
  <c r="CF825" i="86"/>
  <c r="CF908" i="86"/>
  <c r="CG908" i="86"/>
  <c r="CF865" i="86"/>
  <c r="CG865" i="86"/>
  <c r="CG140" i="86"/>
  <c r="CF140" i="86"/>
  <c r="CG740" i="86"/>
  <c r="CF740" i="86"/>
  <c r="CG820" i="86"/>
  <c r="CF820" i="86"/>
  <c r="CF691" i="86"/>
  <c r="CG691" i="86"/>
  <c r="CF762" i="86"/>
  <c r="CG762" i="86"/>
  <c r="CG719" i="86"/>
  <c r="CF719" i="86"/>
  <c r="S4" i="93" l="1"/>
  <c r="O2" i="93"/>
  <c r="R2" i="93"/>
  <c r="R8" i="93" s="1"/>
  <c r="P2" i="93"/>
  <c r="P8" i="93" s="1"/>
  <c r="Q2" i="93"/>
  <c r="Q8" i="93" s="1"/>
  <c r="O8" i="93" l="1"/>
  <c r="S8" i="93" s="1"/>
  <c r="S2" i="93"/>
  <c r="M2" i="93"/>
  <c r="B6" i="93"/>
</calcChain>
</file>

<file path=xl/comments1.xml><?xml version="1.0" encoding="utf-8"?>
<comments xmlns="http://schemas.openxmlformats.org/spreadsheetml/2006/main">
  <authors>
    <author>Olimpia Kanellatu</author>
    <author>Demattè Adriano</author>
    <author xml:space="preserve"> </author>
  </authors>
  <commentList>
    <comment ref="BS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23 e 31 dicembre stabilimento chiuso</t>
        </r>
      </text>
    </comment>
    <comment ref="BQ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31/10 stabilimento chiuso
</t>
        </r>
      </text>
    </comment>
    <comment ref="BS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23 e 31 dicembre stabilimento chiuso</t>
        </r>
      </text>
    </comment>
    <comment ref="BQ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31/10 stabilimento chiuso
</t>
        </r>
      </text>
    </comment>
    <comment ref="BQ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31/10 stabilimento chiuso
</t>
        </r>
      </text>
    </comment>
    <comment ref="BS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23 e 31 dicembre stabilimento chiuso</t>
        </r>
      </text>
    </comment>
    <comment ref="BQ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31/10 stabilimento chiuso
</t>
        </r>
      </text>
    </comment>
    <comment ref="N2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N2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N2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N2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N2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N2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H2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festiva estiva</t>
        </r>
      </text>
    </comment>
    <comment ref="N2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N2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N3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N3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N3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N3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N3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N3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N3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N3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N3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N3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N4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N4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N4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N4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N4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N4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N4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N4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H4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festiva estiva</t>
        </r>
      </text>
    </comment>
    <comment ref="N4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N4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N6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per a.s. 22/23 ancora valido fino ad agosto '23</t>
        </r>
      </text>
    </comment>
    <comment ref="J63" authorId="0" shapeId="0">
      <text>
        <r>
          <rPr>
            <sz val="9"/>
            <color indexed="81"/>
            <rFont val="Tahoma"/>
            <family val="2"/>
          </rPr>
          <t>LS: ok per il 9 posti., come previsto nello scorso appalto. Succ. valutiamo se è necessario il 17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0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si chiede autorizzazione del 9 posti vista l'utenza che non supera le 3-4 persone</t>
        </r>
      </text>
    </comment>
    <comment ref="BQ10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31/10 stabilimento chiuso
</t>
        </r>
      </text>
    </comment>
    <comment ref="AX11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inverno 132,76 x 45 gg estate 92,76*13gg</t>
        </r>
      </text>
    </comment>
    <comment ref="AX13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24 il lunedì (€ 3) - 14,40 da martedì a venerdì (€ 1,80) portati a € 2,00 = € 16,00
</t>
        </r>
      </text>
    </comment>
    <comment ref="J135" authorId="0" shapeId="0">
      <text>
        <r>
          <rPr>
            <b/>
            <sz val="9"/>
            <color indexed="81"/>
            <rFont val="Tahoma"/>
            <family val="2"/>
          </rPr>
          <t>LS: 20p vanno bene da valutare a settembre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erano km 5,50</t>
        </r>
      </text>
    </comment>
    <comment ref="G14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è stata aggiunta Ville a.s. 22/23
</t>
        </r>
      </text>
    </comment>
    <comment ref="AX14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palù-cembra 25 + 3x3,5km per l'aggiunta di ville a.s. 22/23</t>
        </r>
      </text>
    </comment>
    <comment ref="M15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01/10/2022 Oscar svolge servizio al posto di Paolat</t>
        </r>
      </text>
    </comment>
    <comment ref="N15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P15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M15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01/10/2022 Oscar svolge servizio al posto di Paolat</t>
        </r>
      </text>
    </comment>
    <comment ref="N15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P15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M15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01/10/2022 Oscar svolge servizio al posto di Paolat</t>
        </r>
      </text>
    </comment>
    <comment ref="N15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P15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M15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01/10/2022 Oscar svolge servizio al posto di Paolat</t>
        </r>
      </text>
    </comment>
    <comment ref="N15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P15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M15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01/10/2022 Oscar svolge servizio al posto di Paolat</t>
        </r>
      </text>
    </comment>
    <comment ref="N15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P15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M15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01/10/2022 Oscar svolge servizio al posto di Paolat</t>
        </r>
      </text>
    </comment>
    <comment ref="N15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P15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M16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01/10/2022 Oscar svolge servizio al posto di Paolat</t>
        </r>
      </text>
    </comment>
    <comment ref="N16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P16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M16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01/10/2022 Oscar svolge servizio al posto di Paolat</t>
        </r>
      </text>
    </comment>
    <comment ref="N16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P16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M16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01/10/2022 Oscar svolge servizio al posto di Paolat</t>
        </r>
      </text>
    </comment>
    <comment ref="N16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P16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J206" authorId="0" shapeId="0">
      <text>
        <r>
          <rPr>
            <b/>
            <sz val="9"/>
            <color indexed="81"/>
            <rFont val="Tahoma"/>
            <family val="2"/>
          </rPr>
          <t>LS: La corsa titolare e bis presente nel precedente appalto sono state unita in unica corsa con mezzo da 50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09" authorId="0" shapeId="0">
      <text>
        <r>
          <rPr>
            <b/>
            <sz val="9"/>
            <color indexed="81"/>
            <rFont val="Tahoma"/>
            <family val="2"/>
          </rPr>
          <t>LS: Corretto 50 posti, per maggior utenza.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10" authorId="0" shapeId="0">
      <text>
        <r>
          <rPr>
            <b/>
            <sz val="9"/>
            <color indexed="81"/>
            <rFont val="Tahoma"/>
            <family val="2"/>
          </rPr>
          <t>LS: Unite corsa bis + titolare del precedente appalto in unica corsa con mezzo da 50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11" authorId="0" shapeId="0">
      <text>
        <r>
          <rPr>
            <b/>
            <sz val="9"/>
            <color indexed="81"/>
            <rFont val="Tahoma"/>
            <family val="2"/>
          </rPr>
          <t>LS: Lasciamo 20 posti ma va bene anche il mezzo 17 posti. In base all'utenza di sett. Valuteremo.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X21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non era presente nei conteggi</t>
        </r>
      </text>
    </comment>
    <comment ref="J234" authorId="0" shapeId="0">
      <text>
        <r>
          <rPr>
            <b/>
            <sz val="9"/>
            <color indexed="81"/>
            <rFont val="Tahoma"/>
            <family val="2"/>
          </rPr>
          <t>LS: ok 8p come nel precedente appalto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44" authorId="0" shapeId="0">
      <text>
        <r>
          <rPr>
            <b/>
            <sz val="9"/>
            <color indexed="81"/>
            <rFont val="Tahoma"/>
            <family val="2"/>
          </rPr>
          <t>LS: Era autorizzato un 9 posti ma anche nello scorso appalto era richiesto un 29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45" authorId="0" shapeId="0">
      <text>
        <r>
          <rPr>
            <b/>
            <sz val="9"/>
            <color indexed="81"/>
            <rFont val="Tahoma"/>
            <family val="2"/>
          </rPr>
          <t>LS: Inserito mezzo uguale alla corsa n. 655 linea 124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6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erano km 37</t>
        </r>
      </text>
    </comment>
    <comment ref="N26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agosto'23 che raggiunge i 13 anni</t>
        </r>
      </text>
    </comment>
    <comment ref="N27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agosto'23 che raggiunge i 13 anni</t>
        </r>
      </text>
    </comment>
    <comment ref="N27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agosto'23 che raggiunge i 13 anni</t>
        </r>
      </text>
    </comment>
    <comment ref="N28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agosto'23 che raggiunge i 13 anni</t>
        </r>
      </text>
    </comment>
    <comment ref="J293" authorId="0" shapeId="0">
      <text>
        <r>
          <rPr>
            <b/>
            <sz val="9"/>
            <color indexed="81"/>
            <rFont val="Tahoma"/>
            <family val="2"/>
          </rPr>
          <t>LS: Ok per il 17 posti in caso valutiamo più avanti se è necessario il 19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30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il 17/09 corsa sospesa per manifestazione ciclistica</t>
        </r>
      </text>
    </comment>
    <comment ref="BP31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il 17/09 corsa sospesa per manifestazione ciclistica</t>
        </r>
      </text>
    </comment>
    <comment ref="K32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cancellare perché già prevista nella riga 270</t>
        </r>
      </text>
    </comment>
    <comment ref="M34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ex servizio Sarcatour</t>
        </r>
      </text>
    </comment>
    <comment ref="H34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solo invernale
</t>
        </r>
      </text>
    </comment>
    <comment ref="BP35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sopressa il 18/09 per manifestazione ciclistica
</t>
        </r>
      </text>
    </comment>
    <comment ref="BP35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sopressa il 18/09 per manifestazione ciclistica
</t>
        </r>
      </text>
    </comment>
    <comment ref="H37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post festiva + covid</t>
        </r>
      </text>
    </comment>
    <comment ref="J388" authorId="0" shapeId="0">
      <text>
        <r>
          <rPr>
            <b/>
            <sz val="9"/>
            <color indexed="81"/>
            <rFont val="Tahoma"/>
            <family val="2"/>
          </rPr>
          <t>LS: ok per il 22 posti., come previsto nello scorso appalto. Succ. valutiamo se è necessario il 50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98" authorId="0" shapeId="0">
      <text>
        <r>
          <rPr>
            <b/>
            <sz val="9"/>
            <color indexed="81"/>
            <rFont val="Tahoma"/>
            <family val="2"/>
          </rPr>
          <t>LS: ok per il 18 posti., come previsto nello scorso appalto. Succ. valutiamo se è necessario il 22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99" authorId="0" shapeId="0">
      <text>
        <r>
          <rPr>
            <b/>
            <sz val="9"/>
            <color indexed="81"/>
            <rFont val="Tahoma"/>
            <family val="2"/>
          </rPr>
          <t>LS: ok per il 28 posti., come previsto nello scorso appalto. Succ. valutiamo se è necessario il 44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401" authorId="0" shapeId="0">
      <text>
        <r>
          <rPr>
            <b/>
            <sz val="9"/>
            <color indexed="81"/>
            <rFont val="Tahoma"/>
            <family val="2"/>
          </rPr>
          <t>LS: ok per il 9 posti., come previsto nello scorso appalto. Succ. valutiamo se è necessario il 20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40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contattare Fruner per il 2023</t>
        </r>
      </text>
    </comment>
    <comment ref="A40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contattare Fruner per il 2023</t>
        </r>
      </text>
    </comment>
    <comment ref="AX41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lu 37,80 x 33 gg ma,gio 80,87 x 68 gg</t>
        </r>
      </text>
    </comment>
    <comment ref="P41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per a.s. 22/23 ancora valdio fino ad agosto '23</t>
        </r>
      </text>
    </comment>
    <comment ref="J416" authorId="0" shapeId="0">
      <text>
        <r>
          <rPr>
            <b/>
            <sz val="9"/>
            <color indexed="81"/>
            <rFont val="Tahoma"/>
            <family val="2"/>
          </rPr>
          <t>LS: ok per il 9 posti., come previsto nello scorso appalto. Succ. valutiamo se è necessario il 20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418" authorId="0" shapeId="0">
      <text>
        <r>
          <rPr>
            <b/>
            <sz val="9"/>
            <color indexed="81"/>
            <rFont val="Tahoma"/>
            <family val="2"/>
          </rPr>
          <t>LS: ok per il 9 posti., come previsto nello scorso appalto. Succ. valutiamo se è necessario il 29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X41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24 dal lunedì al giovedì - 12,60 il venerdì </t>
        </r>
      </text>
    </comment>
    <comment ref="N42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agosto'23 che raggiunge i 13 anni</t>
        </r>
      </text>
    </comment>
    <comment ref="N42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agosto'23 che raggiunge i 13 anni</t>
        </r>
      </text>
    </comment>
    <comment ref="N42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agosto'23 che raggiunge i 13 anni</t>
        </r>
      </text>
    </comment>
    <comment ref="BR42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svolta anche mercoledì 2 novembre</t>
        </r>
      </text>
    </comment>
    <comment ref="AX43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lu-gio 108 (3 €) ve 102,59 (2,85) </t>
        </r>
      </text>
    </comment>
    <comment ref="N44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agosto'23 che raggiunge i 13 anni</t>
        </r>
      </text>
    </comment>
    <comment ref="N45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agosto'23 che raggiunge i 13 anni</t>
        </r>
      </text>
    </comment>
    <comment ref="AX45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fisso 122,45 + 0,55xkm</t>
        </r>
      </text>
    </comment>
    <comment ref="G46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11/04 corsa svolta da Filippi nuovamente al posto di Tn Service - è stato aggiunto Storo a.s. 22/23</t>
        </r>
      </text>
    </comment>
    <comment ref="I460" authorId="0" shapeId="0">
      <text>
        <r>
          <rPr>
            <b/>
            <sz val="9"/>
            <color indexed="81"/>
            <rFont val="Tahoma"/>
            <family val="2"/>
          </rPr>
          <t xml:space="preserve">Olimpia Kanellatu: 
</t>
        </r>
        <r>
          <rPr>
            <sz val="9"/>
            <color indexed="81"/>
            <rFont val="Tahoma"/>
            <family val="2"/>
          </rPr>
          <t>inseriti da TT 3,2 km in più per partenza da Storo invece di Ca' Rossa</t>
        </r>
      </text>
    </comment>
    <comment ref="R46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per a.s. 22/23 ancora valdio fino ad agosto '23</t>
        </r>
      </text>
    </comment>
    <comment ref="AX46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fisso 122,45 + 0,55xkm</t>
        </r>
      </text>
    </comment>
    <comment ref="N47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agosto'23 che raggiunge i 13 anni</t>
        </r>
      </text>
    </comment>
    <comment ref="AX47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lu,ma,gio 111 (3 €) me-ve 66,60 (1,80) portati a 3 euro
</t>
        </r>
      </text>
    </comment>
    <comment ref="AX47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servizio ex Grassi</t>
        </r>
      </text>
    </comment>
    <comment ref="H48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festiva estiva</t>
        </r>
      </text>
    </comment>
    <comment ref="AX48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trovata solo corsa di andata nei conteggi</t>
        </r>
      </text>
    </comment>
    <comment ref="AX48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servizio ex Grassi</t>
        </r>
      </text>
    </comment>
    <comment ref="AX49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servizio ex Grassi</t>
        </r>
      </text>
    </comment>
    <comment ref="H50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INTRODOTTO SABATO</t>
        </r>
      </text>
    </comment>
    <comment ref="AX50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nei conteggi ho trovato invernale dal lunedì al venerdì
</t>
        </r>
      </text>
    </comment>
    <comment ref="G50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fino a Spiazzo Rendena</t>
        </r>
      </text>
    </comment>
    <comment ref="I50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 km Vestone - Tione sono 54 - la corsa in capitolato arrivava fino a Spiazzo Rendenza con 9 km in più</t>
        </r>
      </text>
    </comment>
    <comment ref="J510" authorId="0" shapeId="0">
      <text>
        <r>
          <rPr>
            <b/>
            <sz val="9"/>
            <color indexed="81"/>
            <rFont val="Tahoma"/>
            <family val="2"/>
          </rPr>
          <t xml:space="preserve">LS: ok per il 9 posti. Succ. valutiamo se necessario 16 posti.
</t>
        </r>
      </text>
    </comment>
    <comment ref="J511" authorId="0" shapeId="0">
      <text>
        <r>
          <rPr>
            <b/>
            <sz val="9"/>
            <color indexed="81"/>
            <rFont val="Tahoma"/>
            <family val="2"/>
          </rPr>
          <t xml:space="preserve">LS: Capienza corretta non è più suddivisa tra periodo con e senza intensificazione.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1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Riesumata: 
</t>
        </r>
        <r>
          <rPr>
            <b/>
            <sz val="9"/>
            <color indexed="81"/>
            <rFont val="Tahoma"/>
            <family val="2"/>
          </rPr>
          <t>L.S.:</t>
        </r>
        <r>
          <rPr>
            <sz val="9"/>
            <color indexed="81"/>
            <rFont val="Tahoma"/>
            <family val="2"/>
          </rPr>
          <t xml:space="preserve"> Modificato l'orario inizialmente previsto</t>
        </r>
      </text>
    </comment>
    <comment ref="H51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era Festiva invernale
dal 1 dic a 31 marzo</t>
        </r>
      </text>
    </comment>
    <comment ref="P52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53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H53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dal lunedì al sabato</t>
        </r>
      </text>
    </comment>
    <comment ref="G56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c'era scritto Luserna-Caldonazzo</t>
        </r>
      </text>
    </comment>
    <comment ref="I56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erano 19km</t>
        </r>
      </text>
    </comment>
    <comment ref="AX56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77,70 luserna - caldonazzo + 22,50 caldonazzo - pergine</t>
        </r>
      </text>
    </comment>
    <comment ref="M56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richiesta a Italbus</t>
        </r>
      </text>
    </comment>
    <comment ref="J584" authorId="0" shapeId="0">
      <text>
        <r>
          <rPr>
            <b/>
            <sz val="9"/>
            <color indexed="81"/>
            <rFont val="Tahoma"/>
            <family val="2"/>
          </rPr>
          <t>LS: ok per il 9 posti. Succ. valutiamo se necessario 14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X58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101,83 giovedì e 139,49 venerdì</t>
        </r>
      </text>
    </comment>
    <comment ref="AX59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101,92 dal lunedì al venerdì - 46,80 il sabato (1,80) portato a € 2,00= € 52,00</t>
        </r>
      </text>
    </comment>
    <comment ref="BS59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il 28/12 svolto bis per presenza 10 pax ulteriori</t>
        </r>
      </text>
    </comment>
    <comment ref="AX59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lu-gio 72,76 - venerdì 21,60 (1,80) portati a € 2,00 = € 24,00</t>
        </r>
      </text>
    </comment>
    <comment ref="H61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frequenza invernale e estiva
</t>
        </r>
      </text>
    </comment>
    <comment ref="K61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gg corretti 202 e non 252</t>
        </r>
      </text>
    </comment>
    <comment ref="AX63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 36 (€ 3,00) ma ve 22,81 (€ 1,90) portato a € 2,00 ma e ve = € 24 (giorni 104)</t>
        </r>
      </text>
    </comment>
    <comment ref="AX63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 36 (€ 3,00) ma ve 22,81 (€ 1,90) portato a € 2,00 ma e ve = € 24 (giorni 104)</t>
        </r>
      </text>
    </comment>
    <comment ref="AX63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 45 (€ 3,00) ma ve 28,52 (€ 1,90) portato a € 2,00 ma e ve = € 30 (giorni 104)</t>
        </r>
      </text>
    </comment>
    <comment ref="AX63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 45 (€ 3,00) ma ve 28,52 (€ 1,90) portato a € 2,00 ma e ve = € 30 (giorni 104)</t>
        </r>
      </text>
    </comment>
    <comment ref="AX63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 36 (€ 3,00) ma ve 22,81 (€ 1,90) portato a € 2,00 ma e ve = € 24 (giorni 104)</t>
        </r>
      </text>
    </comment>
    <comment ref="AX63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 36 (€ 3,00) ma ve 22,81 (€ 1,90) portato a € 2,00 ma e ve = € 24 (giorni 104)</t>
        </r>
      </text>
    </comment>
    <comment ref="AX64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 45 (€ 3,00) ma ve 28,52 (€ 1,90) portato a € 2,00 ma e ve = € 30 (giorni 104)</t>
        </r>
      </text>
    </comment>
    <comment ref="AX64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 45 (€ 3,00) ma ve 28,52 (€ 1,90) portato a € 2,00 ma e ve = € 30 (giorni 104)</t>
        </r>
      </text>
    </comment>
    <comment ref="M64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ex Busmania
</t>
        </r>
      </text>
    </comment>
    <comment ref="R643" authorId="0" shapeId="0">
      <text>
        <r>
          <rPr>
            <b/>
            <sz val="9"/>
            <color indexed="81"/>
            <rFont val="Tahoma"/>
            <family val="2"/>
          </rPr>
          <t xml:space="preserve">Olimpia Kanellatu:
</t>
        </r>
        <r>
          <rPr>
            <sz val="9"/>
            <color indexed="81"/>
            <rFont val="Tahoma"/>
            <family val="2"/>
          </rPr>
          <t xml:space="preserve">mezzo utilizzabile a.s. 22/23 fino a compimento 13° anno
</t>
        </r>
      </text>
    </comment>
    <comment ref="R644" authorId="0" shapeId="0">
      <text>
        <r>
          <rPr>
            <b/>
            <sz val="9"/>
            <color indexed="81"/>
            <rFont val="Tahoma"/>
            <family val="2"/>
          </rPr>
          <t xml:space="preserve">Olimpia Kanellatu:
</t>
        </r>
        <r>
          <rPr>
            <sz val="9"/>
            <color indexed="81"/>
            <rFont val="Tahoma"/>
            <family val="2"/>
          </rPr>
          <t xml:space="preserve">mezzo utilizzabile a.s. 22/23 fino a compimento 13° anno
</t>
        </r>
      </text>
    </comment>
    <comment ref="J645" authorId="0" shapeId="0">
      <text>
        <r>
          <rPr>
            <b/>
            <sz val="9"/>
            <color indexed="81"/>
            <rFont val="Tahoma"/>
            <family val="2"/>
          </rPr>
          <t>LS: Ok per il 24 posti in caso valutiamo più avanti se è necessario il 29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645" authorId="0" shapeId="0">
      <text>
        <r>
          <rPr>
            <b/>
            <sz val="9"/>
            <color indexed="81"/>
            <rFont val="Tahoma"/>
            <family val="2"/>
          </rPr>
          <t xml:space="preserve">Olimpia Kanellatu:
</t>
        </r>
        <r>
          <rPr>
            <sz val="9"/>
            <color indexed="81"/>
            <rFont val="Tahoma"/>
            <family val="2"/>
          </rPr>
          <t xml:space="preserve">mezzo utilizzabile a.s. 22/23 fino a compimento 13° anno
</t>
        </r>
      </text>
    </comment>
    <comment ref="R647" authorId="0" shapeId="0">
      <text>
        <r>
          <rPr>
            <b/>
            <sz val="9"/>
            <color indexed="81"/>
            <rFont val="Tahoma"/>
            <family val="2"/>
          </rPr>
          <t xml:space="preserve">Olimpia Kanellatu:
</t>
        </r>
        <r>
          <rPr>
            <sz val="9"/>
            <color indexed="81"/>
            <rFont val="Tahoma"/>
            <family val="2"/>
          </rPr>
          <t xml:space="preserve">mezzo utilizzabile a.s. 22/23 fino a compimento 13° anno
</t>
        </r>
      </text>
    </comment>
    <comment ref="J648" authorId="0" shapeId="0">
      <text>
        <r>
          <rPr>
            <b/>
            <sz val="9"/>
            <color indexed="81"/>
            <rFont val="Tahoma"/>
            <family val="2"/>
          </rPr>
          <t>LS: Ok per il 24 posti in caso valutiamo più avanti se è necessario il 29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648" authorId="0" shapeId="0">
      <text>
        <r>
          <rPr>
            <b/>
            <sz val="9"/>
            <color indexed="81"/>
            <rFont val="Tahoma"/>
            <family val="2"/>
          </rPr>
          <t xml:space="preserve">Olimpia Kanellatu:
</t>
        </r>
        <r>
          <rPr>
            <sz val="9"/>
            <color indexed="81"/>
            <rFont val="Tahoma"/>
            <family val="2"/>
          </rPr>
          <t xml:space="preserve">mezzo utilizzabile a.s. 22/23 fino a compimento 13° anno
</t>
        </r>
      </text>
    </comment>
    <comment ref="M64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ex Busmania
</t>
        </r>
      </text>
    </comment>
    <comment ref="R649" authorId="0" shapeId="0">
      <text>
        <r>
          <rPr>
            <b/>
            <sz val="9"/>
            <color indexed="81"/>
            <rFont val="Tahoma"/>
            <family val="2"/>
          </rPr>
          <t xml:space="preserve">Olimpia Kanellatu:
</t>
        </r>
        <r>
          <rPr>
            <sz val="9"/>
            <color indexed="81"/>
            <rFont val="Tahoma"/>
            <family val="2"/>
          </rPr>
          <t xml:space="preserve">mezzo utilizzabile a.s. 22/23 fino a compimento 13° anno
</t>
        </r>
      </text>
    </comment>
    <comment ref="R650" authorId="0" shapeId="0">
      <text>
        <r>
          <rPr>
            <b/>
            <sz val="9"/>
            <color indexed="81"/>
            <rFont val="Tahoma"/>
            <family val="2"/>
          </rPr>
          <t xml:space="preserve">Olimpia Kanellatu:
</t>
        </r>
        <r>
          <rPr>
            <sz val="9"/>
            <color indexed="81"/>
            <rFont val="Tahoma"/>
            <family val="2"/>
          </rPr>
          <t xml:space="preserve">mezzo utilizzabile a.s. 22/23 fino a compimento 13° anno
</t>
        </r>
      </text>
    </comment>
    <comment ref="R651" authorId="0" shapeId="0">
      <text>
        <r>
          <rPr>
            <b/>
            <sz val="9"/>
            <color indexed="81"/>
            <rFont val="Tahoma"/>
            <family val="2"/>
          </rPr>
          <t xml:space="preserve">Olimpia Kanellatu:
</t>
        </r>
        <r>
          <rPr>
            <sz val="9"/>
            <color indexed="81"/>
            <rFont val="Tahoma"/>
            <family val="2"/>
          </rPr>
          <t xml:space="preserve">mezzo utilizzabile a.s. 22/23 fino a compimento 13° anno
</t>
        </r>
      </text>
    </comment>
    <comment ref="P65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I65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erano 10 km</t>
        </r>
      </text>
    </comment>
    <comment ref="P65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5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5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5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5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I65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vedi storno km per sostituzione corsa - righe finali file</t>
        </r>
      </text>
    </comment>
    <comment ref="P65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5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6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6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6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6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6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6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I66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erano 10 km</t>
        </r>
      </text>
    </comment>
    <comment ref="P66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6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6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7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J671" authorId="0" shapeId="0">
      <text>
        <r>
          <rPr>
            <b/>
            <sz val="9"/>
            <color indexed="81"/>
            <rFont val="Tahoma"/>
            <family val="2"/>
          </rPr>
          <t>LS: Ok per il 24 posti in caso valutiamo più avanti se è necessario il 29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67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J672" authorId="0" shapeId="0">
      <text>
        <r>
          <rPr>
            <b/>
            <sz val="9"/>
            <color indexed="81"/>
            <rFont val="Tahoma"/>
            <family val="2"/>
          </rPr>
          <t>LS: Ok per il 24 posti in caso valutiamo più avanti se è necessario il 29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67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7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7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J687" authorId="0" shapeId="0">
      <text>
        <r>
          <rPr>
            <b/>
            <sz val="9"/>
            <color indexed="81"/>
            <rFont val="Tahoma"/>
            <family val="2"/>
          </rPr>
          <t>LS: Ok per il 16 posti in caso valutiamo più avanti se è necessario il 22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88" authorId="0" shapeId="0">
      <text>
        <r>
          <rPr>
            <b/>
            <sz val="9"/>
            <color indexed="81"/>
            <rFont val="Tahoma"/>
            <family val="2"/>
          </rPr>
          <t>LS: Ok per il 16 posti in caso valutiamo più avanti se è necessario il 22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1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invernale feriale</t>
        </r>
      </text>
    </comment>
    <comment ref="J721" authorId="0" shapeId="0">
      <text>
        <r>
          <rPr>
            <b/>
            <sz val="9"/>
            <color indexed="81"/>
            <rFont val="Tahoma"/>
            <family val="2"/>
          </rPr>
          <t>LS: Ok per il 9 posti in caso valutiamo più avanti se è necessario il 19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723" authorId="0" shapeId="0">
      <text>
        <r>
          <rPr>
            <b/>
            <sz val="9"/>
            <color indexed="81"/>
            <rFont val="Tahoma"/>
            <family val="2"/>
          </rPr>
          <t>LS: Ok per il 9 posti in caso valutiamo più avanti se è necessario il 19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X73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me-gio 25,20 x 69gg lu-me-ve 35 x 105 gg</t>
        </r>
      </text>
    </comment>
    <comment ref="BS75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svolta anche venerdì 23/12 per scuole Veneto aperte</t>
        </r>
      </text>
    </comment>
    <comment ref="J762" authorId="0" shapeId="0">
      <text>
        <r>
          <rPr>
            <b/>
            <sz val="9"/>
            <color indexed="81"/>
            <rFont val="Tahoma"/>
            <family val="2"/>
          </rPr>
          <t>LS: Ok 9 posti per la tratta Cavedago-Andalo. Successivamente valutiamo se utilizzare il 50 posti</t>
        </r>
      </text>
    </comment>
    <comment ref="J770" authorId="0" shapeId="0">
      <text>
        <r>
          <rPr>
            <b/>
            <sz val="9"/>
            <color indexed="81"/>
            <rFont val="Tahoma"/>
            <family val="2"/>
          </rPr>
          <t>LS: Ok per il 45 posti in caso valutiamo più avanti se è necessario il 50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7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erano 12 km - si compensa con la 511</t>
        </r>
      </text>
    </comment>
    <comment ref="I77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erano 10 km - si compensa con la 510</t>
        </r>
      </text>
    </comment>
    <comment ref="I780" authorId="0" shapeId="0">
      <text>
        <r>
          <rPr>
            <b/>
            <sz val="9"/>
            <color indexed="81"/>
            <rFont val="Tahoma"/>
            <family val="2"/>
          </rPr>
          <t>LS: Vericherò con il controllore se è ancora necessario terminare a Raut visto che comunque passiamo da bivio Raut per arrivare a Toss. I km sono corretti se termina a Toss (altrim. 10,6km)</t>
        </r>
      </text>
    </comment>
    <comment ref="J792" authorId="0" shapeId="0">
      <text>
        <r>
          <rPr>
            <b/>
            <sz val="9"/>
            <color indexed="81"/>
            <rFont val="Tahoma"/>
            <family val="2"/>
          </rPr>
          <t>LS: Ok per il 20 posti in caso valutiamo più avanti se è necessario il 30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00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era 11,4</t>
        </r>
      </text>
    </comment>
    <comment ref="BS83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corsa svolta anche venerdì 23/12 per scuole aperte in Alto Adige</t>
        </r>
      </text>
    </comment>
    <comment ref="J845" authorId="0" shapeId="0">
      <text>
        <r>
          <rPr>
            <b/>
            <sz val="9"/>
            <color indexed="81"/>
            <rFont val="Tahoma"/>
            <family val="2"/>
          </rPr>
          <t>LS: Ok 20. Succ. valutiamo se è necessario utilizzare 40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X84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96,49+34,92 x il bis</t>
        </r>
      </text>
    </comment>
    <comment ref="H85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scolastica solo martedì</t>
        </r>
      </text>
    </comment>
    <comment ref="H85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feriale invernale estivo
</t>
        </r>
      </text>
    </comment>
    <comment ref="J860" authorId="0" shapeId="0">
      <text>
        <r>
          <rPr>
            <b/>
            <sz val="9"/>
            <color indexed="81"/>
            <rFont val="Tahoma"/>
            <family val="2"/>
          </rPr>
          <t>LS: Ok utilizzare mezzo con capienza ridotto. Succ. valutiamo se è necessario il 50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86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feriale invernale estivo
</t>
        </r>
      </text>
    </comment>
    <comment ref="J86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anno scorso svolto con due mezzi - il 2° mezzo non serve (email TT 08/08/2022)</t>
        </r>
      </text>
    </comment>
    <comment ref="J86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2 mezzi (email TT 08/08/22)</t>
        </r>
      </text>
    </comment>
    <comment ref="BP88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BQ88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BS88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RICOMINCIATI TURNI ALTERNATI NEL POMERIGGIO DEL 12/12/22</t>
        </r>
      </text>
    </comment>
    <comment ref="BP88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turni alternati fino al 10/09</t>
        </r>
      </text>
    </comment>
    <comment ref="K887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Nel 2021 non lavorato con questa frequenza</t>
        </r>
      </text>
    </comment>
    <comment ref="BP88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turni alternati fino al 10/09</t>
        </r>
      </text>
    </comment>
    <comment ref="BP88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BQ88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BP89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BQ89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BS89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RICOMINCIATI TURNI ALTERNATI NEL POMERIGGIO DEL 12/12/22</t>
        </r>
      </text>
    </comment>
    <comment ref="BP89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turni alternati fino al 10/09</t>
        </r>
      </text>
    </comment>
    <comment ref="K895" authorId="1" shapeId="0">
      <text>
        <r>
          <rPr>
            <b/>
            <sz val="9"/>
            <color indexed="81"/>
            <rFont val="Tahoma"/>
            <family val="2"/>
          </rPr>
          <t xml:space="preserve">Demattè Adriano:
</t>
        </r>
        <r>
          <rPr>
            <sz val="9"/>
            <color indexed="81"/>
            <rFont val="Tahoma"/>
            <family val="2"/>
          </rPr>
          <t>c.sa periodica (usati gg. 2021)</t>
        </r>
      </text>
    </comment>
    <comment ref="BP89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BQ89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I89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erano 17,50</t>
        </r>
      </text>
    </comment>
    <comment ref="J907" authorId="0" shapeId="0">
      <text>
        <r>
          <rPr>
            <b/>
            <sz val="9"/>
            <color indexed="81"/>
            <rFont val="Tahoma"/>
            <family val="2"/>
          </rPr>
          <t>LS: Ok 16 posti. Succ. valutiamo se è necessario i 19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908" authorId="0" shapeId="0">
      <text>
        <r>
          <rPr>
            <b/>
            <sz val="9"/>
            <color indexed="81"/>
            <rFont val="Tahoma"/>
            <family val="2"/>
          </rPr>
          <t>LS: Ok 9 posti. Succ. valutiamo se è necessario i 15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910" authorId="2" shapeId="0">
      <text>
        <r>
          <rPr>
            <sz val="8"/>
            <color indexed="81"/>
            <rFont val="Tahoma"/>
            <family val="2"/>
          </rPr>
          <t xml:space="preserve">la titolarità del mezzo è soggetta a variazione in base al numero degli alunni sui servizi speciali come l'anno scorso
</t>
        </r>
        <r>
          <rPr>
            <b/>
            <sz val="8"/>
            <color indexed="81"/>
            <rFont val="Tahoma"/>
            <family val="2"/>
          </rPr>
          <t>LS: Ok 9 posti. Succ. valutiamo se è necessario i 15 posti</t>
        </r>
      </text>
    </comment>
    <comment ref="J934" authorId="0" shapeId="0">
      <text>
        <r>
          <rPr>
            <b/>
            <sz val="9"/>
            <color indexed="81"/>
            <rFont val="Tahoma"/>
            <family val="2"/>
          </rPr>
          <t>LS: Ok 9 posti. Succ. valutiamo se è necessario i 16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935" authorId="0" shapeId="0">
      <text>
        <r>
          <rPr>
            <b/>
            <sz val="9"/>
            <color indexed="81"/>
            <rFont val="Tahoma"/>
            <family val="2"/>
          </rPr>
          <t>LS: Ok 9 posti. Succ. valutiamo se è necessario i 16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936" authorId="0" shapeId="0">
      <text>
        <r>
          <rPr>
            <b/>
            <sz val="9"/>
            <color indexed="81"/>
            <rFont val="Tahoma"/>
            <family val="2"/>
          </rPr>
          <t>LS: Ok 9 posti. Succ. valutiamo se è necessario i 16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94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dal lunedì al sabato</t>
        </r>
      </text>
    </comment>
    <comment ref="J941" authorId="0" shapeId="0">
      <text>
        <r>
          <rPr>
            <b/>
            <sz val="9"/>
            <color indexed="81"/>
            <rFont val="Tahoma"/>
            <family val="2"/>
          </rPr>
          <t>LS: Ok 9 posti. Succ. valutiamo se è necessario i 16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94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tariffa concordata con direzione</t>
        </r>
      </text>
    </comment>
    <comment ref="BQ94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venerdì 28/10 sostituito da giovedì 27/10</t>
        </r>
      </text>
    </comment>
    <comment ref="BR95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recupero settembre e ottobre erroneamente non corrisposto</t>
        </r>
      </text>
    </comment>
    <comment ref="CH95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recupero settembre e ottobre erroneamente non corrisposto
</t>
        </r>
      </text>
    </comment>
    <comment ref="J951" authorId="0" shapeId="0">
      <text>
        <r>
          <rPr>
            <b/>
            <sz val="9"/>
            <color indexed="81"/>
            <rFont val="Tahoma"/>
            <family val="2"/>
          </rPr>
          <t>LS: ok per il 9 posti., come previsto nello scorso appalto. Succ. valutiamo se è necessario il 20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R951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corsa sospesa da 30/09/22
</t>
        </r>
      </text>
    </comment>
    <comment ref="BS951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corsa sospesa da 30/09/22
</t>
        </r>
      </text>
    </comment>
    <comment ref="G95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11/04 corsa svolta da Filippi nuovamente al posto di Tn Service - è stato aggiunto Storo a.s. 22/23</t>
        </r>
      </text>
    </comment>
    <comment ref="I953" authorId="0" shapeId="0">
      <text>
        <r>
          <rPr>
            <b/>
            <sz val="9"/>
            <color indexed="81"/>
            <rFont val="Tahoma"/>
            <family val="2"/>
          </rPr>
          <t xml:space="preserve">Olimpia Kanellatu: 
</t>
        </r>
        <r>
          <rPr>
            <sz val="9"/>
            <color indexed="81"/>
            <rFont val="Tahoma"/>
            <family val="2"/>
          </rPr>
          <t>inseriti da TT 3,2 km in più per partenza da Storo invece di Ca' Rossa</t>
        </r>
      </text>
    </comment>
    <comment ref="AZ95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prezzo concordato con la direzione</t>
        </r>
      </text>
    </comment>
    <comment ref="BP954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era 9 gg, ma la c.sa è iniziata il 26/9/22</t>
        </r>
      </text>
    </comment>
    <comment ref="BP955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era 15 gg, ma la c.sa è iniziata il 27/9
</t>
        </r>
      </text>
    </comment>
    <comment ref="J957" authorId="0" shapeId="0">
      <text>
        <r>
          <rPr>
            <b/>
            <sz val="9"/>
            <color indexed="81"/>
            <rFont val="Tahoma"/>
            <family val="2"/>
          </rPr>
          <t>LS: ok per il 28 posti., come previsto nello scorso appalto. Succ. valutiamo se è necessario il 44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957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era 3 gg, ma c.sa iniziata 28/9</t>
        </r>
      </text>
    </comment>
    <comment ref="BQ959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era 8, ma c.sa istituita da 11/10/22</t>
        </r>
      </text>
    </comment>
    <comment ref="BR96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72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ex 645
</t>
        </r>
      </text>
    </comment>
    <comment ref="P97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B973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ex 111
</t>
        </r>
      </text>
    </comment>
  </commentList>
</comments>
</file>

<file path=xl/comments2.xml><?xml version="1.0" encoding="utf-8"?>
<comments xmlns="http://schemas.openxmlformats.org/spreadsheetml/2006/main">
  <authors>
    <author>Olimpia Kanellatu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13,08 km in più x modifica percorso Borghetto scol lu-ve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9,2 km in più per modifica percorso Borghetto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ex servizio Sarcatour</t>
        </r>
      </text>
    </comment>
  </commentList>
</comments>
</file>

<file path=xl/comments3.xml><?xml version="1.0" encoding="utf-8"?>
<comments xmlns="http://schemas.openxmlformats.org/spreadsheetml/2006/main">
  <authors>
    <author>Demattè Adriano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Nel 2021 non lavorato con questa frequenza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 xml:space="preserve">Demattè Adriano:
</t>
        </r>
        <r>
          <rPr>
            <sz val="9"/>
            <color indexed="81"/>
            <rFont val="Tahoma"/>
            <family val="2"/>
          </rPr>
          <t>c.sa periodica (usati gg. 2021)</t>
        </r>
      </text>
    </comment>
  </commentList>
</comments>
</file>

<file path=xl/comments4.xml><?xml version="1.0" encoding="utf-8"?>
<comments xmlns="http://schemas.openxmlformats.org/spreadsheetml/2006/main">
  <authors>
    <author>Olimpia Kanellatu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B2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turni alternati fino al 10/09</t>
        </r>
      </text>
    </comment>
    <comment ref="B2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turni alternati fino al 10/09</t>
        </r>
      </text>
    </comment>
    <comment ref="B4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C4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C4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</commentList>
</comments>
</file>

<file path=xl/comments5.xml><?xml version="1.0" encoding="utf-8"?>
<comments xmlns="http://schemas.openxmlformats.org/spreadsheetml/2006/main">
  <authors>
    <author>Olimpia Kanellatu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elastibus da recuperare in gennaio</t>
        </r>
      </text>
    </comment>
  </commentList>
</comments>
</file>

<file path=xl/comments6.xml><?xml version="1.0" encoding="utf-8"?>
<comments xmlns="http://schemas.openxmlformats.org/spreadsheetml/2006/main">
  <authors>
    <author>Olimpia Kanellatu</author>
    <author>Demattè Adriano</author>
  </authors>
  <commentList>
    <comment ref="M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prezzo concordato con la direzione</t>
        </r>
      </text>
    </comment>
    <comment ref="N2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era 9 gg, ma la c.sa è iniziata il 26/9/22</t>
        </r>
      </text>
    </comment>
    <comment ref="N3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era 15 gg, ma la c.sa è iniziata il 27/9
</t>
        </r>
      </text>
    </comment>
    <comment ref="N4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era 3 gg, ma c.sa iniziata 28/9</t>
        </r>
      </text>
    </comment>
    <comment ref="O5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era 8, ma c.sa istituita da 11/10/22</t>
        </r>
      </text>
    </comment>
    <comment ref="P6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corsa sospesa da 30/09/22
</t>
        </r>
      </text>
    </comment>
    <comment ref="Q6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corsa sospesa da 30/09/22
</t>
        </r>
      </text>
    </comment>
  </commentList>
</comments>
</file>

<file path=xl/sharedStrings.xml><?xml version="1.0" encoding="utf-8"?>
<sst xmlns="http://schemas.openxmlformats.org/spreadsheetml/2006/main" count="16384" uniqueCount="2144">
  <si>
    <t>Trento-Vigo Cavedine</t>
  </si>
  <si>
    <t>estiva feriale</t>
  </si>
  <si>
    <t>Trento-Drena</t>
  </si>
  <si>
    <t>Trento-Centa</t>
  </si>
  <si>
    <t>Lavarone-Trento</t>
  </si>
  <si>
    <t>Trento-Lavarone</t>
  </si>
  <si>
    <t>Viote-Trento</t>
  </si>
  <si>
    <t>Trento-Viote</t>
  </si>
  <si>
    <t>Lagolo-Trento</t>
  </si>
  <si>
    <t>Trento-Lagolo</t>
  </si>
  <si>
    <t>Trento-Rovereto</t>
  </si>
  <si>
    <t>Rovereto-Trento</t>
  </si>
  <si>
    <t>Trento-Borgo V.</t>
  </si>
  <si>
    <t>Levico T. - Borgo V.</t>
  </si>
  <si>
    <t>scolastica solo sabato</t>
  </si>
  <si>
    <t>Baselga-Trento</t>
  </si>
  <si>
    <t>Mezzolombardo-Fai-Santel</t>
  </si>
  <si>
    <t>Molveno-Mezzocorona</t>
  </si>
  <si>
    <t>feriale</t>
  </si>
  <si>
    <t>Trento-Civezzano</t>
  </si>
  <si>
    <t>estiva dal lunedì al venerdì feriale</t>
  </si>
  <si>
    <t>Civezzano-Trento</t>
  </si>
  <si>
    <t>Trento-Grauno</t>
  </si>
  <si>
    <t>Cavalese-Trento</t>
  </si>
  <si>
    <t>Trento-Baselga</t>
  </si>
  <si>
    <t>Baitoni-Tione</t>
  </si>
  <si>
    <t>Tione-Baitoni</t>
  </si>
  <si>
    <t>Rovereto-Pozzacchio</t>
  </si>
  <si>
    <t>Rovereto-Camposilvano</t>
  </si>
  <si>
    <t>Vò Sinistro - Ala Fs</t>
  </si>
  <si>
    <t>Ala Fs - Vò Sinistro</t>
  </si>
  <si>
    <t>Avio - Masi d'Avio</t>
  </si>
  <si>
    <t>Masi d'Avio - Ala Fs</t>
  </si>
  <si>
    <t>Avio CC - Ala FS</t>
  </si>
  <si>
    <t>Avio - Ala Fs</t>
  </si>
  <si>
    <t>Ala Fs - Avio</t>
  </si>
  <si>
    <t>Ala Fs-Avio</t>
  </si>
  <si>
    <t>Avio-Ala Fs</t>
  </si>
  <si>
    <t>Riva-Baitoni</t>
  </si>
  <si>
    <t>invernale non scolastica feriale</t>
  </si>
  <si>
    <t>Pergine-Hacleri</t>
  </si>
  <si>
    <t>Hacleri-pergine</t>
  </si>
  <si>
    <t>Menas-Pellizzano</t>
  </si>
  <si>
    <t>Pellizzano-Menas</t>
  </si>
  <si>
    <t>Laives-Trento</t>
  </si>
  <si>
    <t>Trento-Laives</t>
  </si>
  <si>
    <t>Toss-Mezzolombardo</t>
  </si>
  <si>
    <t>Mezzolombardo-Toss</t>
  </si>
  <si>
    <t>Raut-Toss-Mezzolombardo</t>
  </si>
  <si>
    <t>Roverè della Luna-Mezzolombardo</t>
  </si>
  <si>
    <t>Mezzolombardo-Roverè della Luna</t>
  </si>
  <si>
    <t>Mezzocorona-Faedo</t>
  </si>
  <si>
    <t>Faedo-Mezzocorona</t>
  </si>
  <si>
    <t>Mechel-Cles</t>
  </si>
  <si>
    <t>Cles-Mechel</t>
  </si>
  <si>
    <t>Cles-Fondo</t>
  </si>
  <si>
    <t>Fondo-Cles</t>
  </si>
  <si>
    <t>Cles-Tuenno-Portolo</t>
  </si>
  <si>
    <t>Romallo-Cles</t>
  </si>
  <si>
    <t>Cles-Romallo</t>
  </si>
  <si>
    <t>Portolo-Cles</t>
  </si>
  <si>
    <t>Cles-Portolo</t>
  </si>
  <si>
    <t>Tres-Cles</t>
  </si>
  <si>
    <t>Mollaro-Tres</t>
  </si>
  <si>
    <t>Cles-Lanza</t>
  </si>
  <si>
    <t>Lanza-Cles</t>
  </si>
  <si>
    <t>Cles-Livo-Bresimo</t>
  </si>
  <si>
    <t>Cles-Bresimo-Lanza</t>
  </si>
  <si>
    <t>Bresimo-Livo-Cles</t>
  </si>
  <si>
    <t>Lanza-Bresimo-Cles</t>
  </si>
  <si>
    <t>Mendola-Fondo</t>
  </si>
  <si>
    <t>Cles-Mendola</t>
  </si>
  <si>
    <t>Fondo-Dermulo</t>
  </si>
  <si>
    <t>Sfruz-Dermulo</t>
  </si>
  <si>
    <t>Sfruz-Cles</t>
  </si>
  <si>
    <t>Cis-Cles</t>
  </si>
  <si>
    <t>Cles-Cis</t>
  </si>
  <si>
    <t>Civezzano-Bosco</t>
  </si>
  <si>
    <t>Bosco-Civezzano</t>
  </si>
  <si>
    <t>Pergine-Civezzano-Bosco</t>
  </si>
  <si>
    <t>Olle-Borgo</t>
  </si>
  <si>
    <t>Borgo-Olle</t>
  </si>
  <si>
    <t>Ronchi Borgo</t>
  </si>
  <si>
    <t>Borgo-Ronchi</t>
  </si>
  <si>
    <t>Borgo -Torcegno</t>
  </si>
  <si>
    <t>Samone-Borgo</t>
  </si>
  <si>
    <t>Torcegno-Borgo</t>
  </si>
  <si>
    <t>Borgo-Torcegno</t>
  </si>
  <si>
    <t>percorso</t>
  </si>
  <si>
    <t>ora arr.</t>
  </si>
  <si>
    <t>ora part.</t>
  </si>
  <si>
    <t>Linea</t>
  </si>
  <si>
    <t xml:space="preserve"> </t>
  </si>
  <si>
    <t>19</t>
  </si>
  <si>
    <t>Posti autobus</t>
  </si>
  <si>
    <t xml:space="preserve">frequenza </t>
  </si>
  <si>
    <t>n.
corsa</t>
  </si>
  <si>
    <t>scolastica 
da lunedì a sabato</t>
  </si>
  <si>
    <t>8/ 8</t>
  </si>
  <si>
    <t>20</t>
  </si>
  <si>
    <t>07.05 Sover-Segonzano-Sevignano-Faver bv</t>
  </si>
  <si>
    <t>50</t>
  </si>
  <si>
    <t>Scolastica
solo lunedì</t>
  </si>
  <si>
    <t>scolastica 
da lunedì a venerdì</t>
  </si>
  <si>
    <t xml:space="preserve">Forti Lardaro-Praso-Daone
</t>
  </si>
  <si>
    <t>feriale
estiva</t>
  </si>
  <si>
    <t xml:space="preserve">Drena - Vigo Cavedine </t>
  </si>
  <si>
    <t>feriale
non scolastica</t>
  </si>
  <si>
    <t>feriale 
solo mercoledì</t>
  </si>
  <si>
    <t>Cembra - Segonzano - Valcava</t>
  </si>
  <si>
    <t>Valcava - Segonzano - Cembra</t>
  </si>
  <si>
    <t>54</t>
  </si>
  <si>
    <t>Cles - Castelfondo</t>
  </si>
  <si>
    <t>Tavon - Cles - Cles piazza Fiera</t>
  </si>
  <si>
    <t>Mechel Cles</t>
  </si>
  <si>
    <t>Cles piazza Fiera - Mechel</t>
  </si>
  <si>
    <t>8</t>
  </si>
  <si>
    <t>Fondo  - Fondo (Vasio)  - Fondo</t>
  </si>
  <si>
    <t xml:space="preserve">Fondo (Vasio) - Fondo </t>
  </si>
  <si>
    <t xml:space="preserve">scolastica 
solo venerdì </t>
  </si>
  <si>
    <t>Malè-Somrabbi</t>
  </si>
  <si>
    <t>Bolentina - Montes -Malè</t>
  </si>
  <si>
    <t>Malè - Bolentina</t>
  </si>
  <si>
    <t>scolastica 
solo giorno di sabato</t>
  </si>
  <si>
    <t>Bolentina - Malè</t>
  </si>
  <si>
    <t>15</t>
  </si>
  <si>
    <t>Cles - Cis</t>
  </si>
  <si>
    <t>36</t>
  </si>
  <si>
    <t>Tres (Predaia)-Tres - Taio</t>
  </si>
  <si>
    <t>Tres - Taio</t>
  </si>
  <si>
    <t xml:space="preserve">Dermulo - Coredo - Sfruz </t>
  </si>
  <si>
    <t>Rovereto-Terragnolo - Serrada - Folgaria</t>
  </si>
  <si>
    <t>Serrada - Terragnolo - Rovereto F.S.</t>
  </si>
  <si>
    <t>Mezzomonte - Guardia di Folgaria</t>
  </si>
  <si>
    <t>feriale 
solo martedì</t>
  </si>
  <si>
    <t>Folgaria - Mezzomonte - Guardia di Fogaria</t>
  </si>
  <si>
    <t>invernale feriale 
solo martedì</t>
  </si>
  <si>
    <t>Guardia di Folgaria - Mezzomonte - Folgaria</t>
  </si>
  <si>
    <t>estiva feriale 
solo giorno di martedì</t>
  </si>
  <si>
    <t>Guardia di Folgaria - Mezzomonte</t>
  </si>
  <si>
    <t>Pergine - Tenna - Levico</t>
  </si>
  <si>
    <t>Pergine - Fierozzo - Hacleri - Palù del Fersina</t>
  </si>
  <si>
    <t xml:space="preserve">Palù del Fersina - Viarago - Pergine </t>
  </si>
  <si>
    <t>invernale festivo 
no durante intensificazione: Ponte Immacolata-1° decade aprile)</t>
  </si>
  <si>
    <t>Fucine - Vermiglio</t>
  </si>
  <si>
    <t>Ponte di Legno - Fucine - Malè</t>
  </si>
  <si>
    <t>16</t>
  </si>
  <si>
    <t>Masi di Cavalese - Cavalese</t>
  </si>
  <si>
    <t>Cavalese - Masi di Cavalese</t>
  </si>
  <si>
    <t xml:space="preserve">Cavalese - Varena - Cavalese </t>
  </si>
  <si>
    <t>Tesero - Stava</t>
  </si>
  <si>
    <t>Stava - Tesero</t>
  </si>
  <si>
    <t>Monte Terlago - Trento</t>
  </si>
  <si>
    <t>Trento - Monte Terlago</t>
  </si>
  <si>
    <t>Trento - Aldeno - Garniga</t>
  </si>
  <si>
    <t>feriale 
da lunedì a venerdì</t>
  </si>
  <si>
    <t>24</t>
  </si>
  <si>
    <t>festiva</t>
  </si>
  <si>
    <t>Garniga Vecchia - Garniga - Aldeno - Trento</t>
  </si>
  <si>
    <t>Trento - Aldeno - Garniga - garniga Vecchia</t>
  </si>
  <si>
    <t>Trento - Aldeno - Garniga - Garniga Vecchia</t>
  </si>
  <si>
    <t>invernale feriale 
solo sabato</t>
  </si>
  <si>
    <t>Aldeno - Garniga - Ganiga Vecchia</t>
  </si>
  <si>
    <t>Trento - Terlago - Monte Terlago</t>
  </si>
  <si>
    <t>35</t>
  </si>
  <si>
    <t>55</t>
  </si>
  <si>
    <t>Trento (via Giusti e giro scuole) - Verla (bis)</t>
  </si>
  <si>
    <t>9</t>
  </si>
  <si>
    <t>Regnana-Centrale</t>
  </si>
  <si>
    <t>Centrale-Regnana</t>
  </si>
  <si>
    <t>Bedollo - Svaldi</t>
  </si>
  <si>
    <t>Svaldi - Bedollo</t>
  </si>
  <si>
    <t>Valcava - Brusago</t>
  </si>
  <si>
    <t>6</t>
  </si>
  <si>
    <t>Fiorè - Baselga di Pinè</t>
  </si>
  <si>
    <t>Carbonare - Vigolo Vattaro - Trento (corsa bis)</t>
  </si>
  <si>
    <t>Crescino - Sporminore</t>
  </si>
  <si>
    <t>Crescino - Dercolo - Quetta - Campodenno - Sporminore</t>
  </si>
  <si>
    <t>Crescino Sporminore (bis corsa diretta)</t>
  </si>
  <si>
    <t xml:space="preserve">Lover - Sporminore </t>
  </si>
  <si>
    <t>invernale feriale 
solo venerdì</t>
  </si>
  <si>
    <t xml:space="preserve"> Ponte Arche - Tione ( corsa bis)</t>
  </si>
  <si>
    <t>Tione - Ponte Arche (corsa bis)</t>
  </si>
  <si>
    <t>57</t>
  </si>
  <si>
    <t>Scancio di Segonzano  - Trento giro scuole (corsa bis)</t>
  </si>
  <si>
    <t>Calavino-Dro</t>
  </si>
  <si>
    <t>Drò - Drena - Vigo Cavedine</t>
  </si>
  <si>
    <t>Sarche-Pergolese</t>
  </si>
  <si>
    <t>30</t>
  </si>
  <si>
    <t>Calavino-Riva del Garda</t>
  </si>
  <si>
    <t xml:space="preserve">Tiarno - Storo - Condino - Pieve di Bono </t>
  </si>
  <si>
    <t>56</t>
  </si>
  <si>
    <t>Sarche - Ponte Arche - Tione</t>
  </si>
  <si>
    <t>Ponte Arche - Trento (corsa bis)</t>
  </si>
  <si>
    <t>scolastica 
da lunedì a giovedì</t>
  </si>
  <si>
    <t>Trento - Fornace - Albiano</t>
  </si>
  <si>
    <t>S.Lorenzo - Molveno</t>
  </si>
  <si>
    <t>Andogno - S.Lorenzo in B.</t>
  </si>
  <si>
    <t xml:space="preserve">S.Lorenzo in B.- Andogno </t>
  </si>
  <si>
    <t>Ponte Arche - S.Lorenzo in Banale</t>
  </si>
  <si>
    <t>S.Lorenzo in Banale - Ponte Arche</t>
  </si>
  <si>
    <t>S.Lorenzo in Banale - Molveno</t>
  </si>
  <si>
    <t>Calceranica-Caldonazzo-Levico-Borgo
(C.sa bis sostitutiva treno)</t>
  </si>
  <si>
    <t>invernale
da lunedì a venerdì</t>
  </si>
  <si>
    <t>Vezzano Apt-V.Cavedine</t>
  </si>
  <si>
    <t>V.Cavedine-Trento</t>
  </si>
  <si>
    <t>festiva invernale</t>
  </si>
  <si>
    <t>Monte Terlago - Cadine - Forte Bus del Vela</t>
  </si>
  <si>
    <t>Sopramomnte - Monte Terlago</t>
  </si>
  <si>
    <t>Monte Terlago - Sopramonte</t>
  </si>
  <si>
    <t>Terlago - Covelo - Maso Ariol - Monte Terlago</t>
  </si>
  <si>
    <t>Sopramonte - Monte Terlago</t>
  </si>
  <si>
    <t>Terlago - Sopramonte</t>
  </si>
  <si>
    <t>Trento - Terlago - Covelo -Ciago - Monte Terlago</t>
  </si>
  <si>
    <t>M.Terlago-Covelo-Terlago-TN</t>
  </si>
  <si>
    <t>Monte Terlago - Covelo - Terlago - TN</t>
  </si>
  <si>
    <t>L. Lamar -M.Terlago 17.55  (Prolungamento)</t>
  </si>
  <si>
    <t>Terlago bivio - M.te Terlago</t>
  </si>
  <si>
    <t>M.te Terlago - Laghi Lamar (prolungamento)</t>
  </si>
  <si>
    <t>Cadine - Terlago - M.terlago</t>
  </si>
  <si>
    <t>Vezzano - Fraveggio - Ciago - Ranzo (settimane pari)</t>
  </si>
  <si>
    <t>Vezzano Apt - Ranzo - Margone</t>
  </si>
  <si>
    <t xml:space="preserve">scolastica 
solo martedì e giovedì </t>
  </si>
  <si>
    <t>Vezzano Apt - Ciago (bis)</t>
  </si>
  <si>
    <t>Margone - Ranzo - Vezzano bivio sud</t>
  </si>
  <si>
    <t>Sardagna - Trento</t>
  </si>
  <si>
    <t>Trento - Sardagna</t>
  </si>
  <si>
    <t>Kamauz - Maso Tingerla (prolungamento)</t>
  </si>
  <si>
    <t>25</t>
  </si>
  <si>
    <t>Pergine - Canezza - Kamauz</t>
  </si>
  <si>
    <t>Roveda bivio - Kamauz</t>
  </si>
  <si>
    <t>Kamuz - Roveda Bivio</t>
  </si>
  <si>
    <t>Kamauz - Roveda Bivio</t>
  </si>
  <si>
    <t>Ala F.S. - Ronchi di Ala ( Ponzolotti)</t>
  </si>
  <si>
    <t>29</t>
  </si>
  <si>
    <t>Ronchi di Ala (Ponzolotti) - Ala F.S.</t>
  </si>
  <si>
    <t>Ala F.S.- Ronchi di Ala</t>
  </si>
  <si>
    <t>Vigo Cavedine - Masi di Vigo</t>
  </si>
  <si>
    <t>Masi di Vigo - Vigo Cavedine</t>
  </si>
  <si>
    <t>feriale 
solo martedì e venerdì</t>
  </si>
  <si>
    <t>Cogolo - Celentino paese</t>
  </si>
  <si>
    <t>Comasine - Cogolo</t>
  </si>
  <si>
    <t>scolastica 
 sabato</t>
  </si>
  <si>
    <t>Strombiano- Celentino Bivio</t>
  </si>
  <si>
    <t>Celentino paese - Celentino Bivio</t>
  </si>
  <si>
    <t>scolastica
lun+merc+giov+ven</t>
  </si>
  <si>
    <t>Claiano bv-Ortisè-Menas</t>
  </si>
  <si>
    <t>Cusiano - Passo Tonale</t>
  </si>
  <si>
    <t xml:space="preserve">Passo Tonale - Vermiglio - Fucine -Pellizzano - Mezzana -  Dimaro </t>
  </si>
  <si>
    <t>Passo Tonale - Stavel - Vermiglio</t>
  </si>
  <si>
    <t>Menas - Pellizzano</t>
  </si>
  <si>
    <t>estiva
lunedi-venerdì</t>
  </si>
  <si>
    <t>Santel-Mezzolombardo</t>
  </si>
  <si>
    <t>scolastica 
sabato</t>
  </si>
  <si>
    <t>41</t>
  </si>
  <si>
    <t>Tesero-Palù di Giovo</t>
  </si>
  <si>
    <t>Cembra - Scancio di Segonzano</t>
  </si>
  <si>
    <t>S.Michele - Cembra</t>
  </si>
  <si>
    <t>Valda - Faver - Cembra - Ville - S.Michele</t>
  </si>
  <si>
    <t>Palù di Giovo - Ville di Giovo - Verla</t>
  </si>
  <si>
    <t>Verla - Palù di Giovo, nei gg. senza scuola  e estivi   transita da Ville di Giovo</t>
  </si>
  <si>
    <t>Verla - Palù di Giovo</t>
  </si>
  <si>
    <t>Palù di Giovo - Verla</t>
  </si>
  <si>
    <t>Grauno - Trento</t>
  </si>
  <si>
    <t>47</t>
  </si>
  <si>
    <t>Cembra - Trento (corsa bis)</t>
  </si>
  <si>
    <t>Cembra - Capriana</t>
  </si>
  <si>
    <t>estiva feriale 
dal lunedì al venerdì</t>
  </si>
  <si>
    <t>Levico - Borgo Valsugana</t>
  </si>
  <si>
    <t>22</t>
  </si>
  <si>
    <t>Tione - Montagne</t>
  </si>
  <si>
    <t>Ponte Arche - S.Lorenzo - Molveno</t>
  </si>
  <si>
    <t>Montagne-Tione</t>
  </si>
  <si>
    <t>Preore-Montagne</t>
  </si>
  <si>
    <t>invernale giornaliera</t>
  </si>
  <si>
    <t>Tione - M. di Campiglio C.Carlo Magno</t>
  </si>
  <si>
    <t>Tione - Baitoni</t>
  </si>
  <si>
    <t>Ponte Arche - Cavrasto - Bivedo</t>
  </si>
  <si>
    <t>Ponte Arche - Fiavè - Lundo - Comano</t>
  </si>
  <si>
    <t>Ponte Arche - Sclemo - S.Lorenzo</t>
  </si>
  <si>
    <t>Ponte Arche - Stenico - Sclemo</t>
  </si>
  <si>
    <t>Sclemo - Stenico - Ponte Arche</t>
  </si>
  <si>
    <t>scolastica 
solo venerdì</t>
  </si>
  <si>
    <t xml:space="preserve">Pieve di Bono (loc. Creto) - Prezzo </t>
  </si>
  <si>
    <t xml:space="preserve">Condino-Pieve di Bono - Strada </t>
  </si>
  <si>
    <t>Prezzo - Pieve di Bono</t>
  </si>
  <si>
    <t>Por - Pieve di Bono (loc. Strada)</t>
  </si>
  <si>
    <t>Castel Condino - Cimego</t>
  </si>
  <si>
    <t>Cimone bivio Pietra - Vigile</t>
  </si>
  <si>
    <t>Vigile - Cimone bivio Pietra</t>
  </si>
  <si>
    <t>estiva feriale 
solo giorno di giovedì</t>
  </si>
  <si>
    <t>Solaiolo - Cavalese                                          al martedì partenza alle 14.30</t>
  </si>
  <si>
    <t>Cavalese - Solaiolo                                                         al martedi partenza alle 14.15</t>
  </si>
  <si>
    <t>feriale 
solo giovedì</t>
  </si>
  <si>
    <t>Falesina - Pergine</t>
  </si>
  <si>
    <t>Pergine - Falesina</t>
  </si>
  <si>
    <t xml:space="preserve">Sveseri Bivio - Facendi </t>
  </si>
  <si>
    <t xml:space="preserve">Sover-Montesover                                        </t>
  </si>
  <si>
    <t>Sover - Montesover</t>
  </si>
  <si>
    <t>Montesover- Gabard (prolungamento c.sa 67)</t>
  </si>
  <si>
    <t>Montesover - Sover</t>
  </si>
  <si>
    <t>Facendi  - Sveseri Bivio</t>
  </si>
  <si>
    <t>Casatta - Sover</t>
  </si>
  <si>
    <t>Piscine - Sover</t>
  </si>
  <si>
    <t>Ischia-Pergine V
(c.sa bis a L.423)</t>
  </si>
  <si>
    <t>Lases - Trento Port'Aquila (corsa bis)</t>
  </si>
  <si>
    <t>Regnana Alta-Centrale B.</t>
  </si>
  <si>
    <t xml:space="preserve">Baselga di Pinè - S.Mauro </t>
  </si>
  <si>
    <t>S.Mauro - Baselga di Pinè</t>
  </si>
  <si>
    <t>4</t>
  </si>
  <si>
    <t>Baselga di Pinè - Fiorè</t>
  </si>
  <si>
    <t>scolastica
mar+gio</t>
  </si>
  <si>
    <t>Predazzo sc.-Bellamonte</t>
  </si>
  <si>
    <t>Bellamonte - Predazzo sc.</t>
  </si>
  <si>
    <t>Tregiovo - Revò</t>
  </si>
  <si>
    <t>Revò - Tregiovo</t>
  </si>
  <si>
    <t>Brez - Salobbi</t>
  </si>
  <si>
    <t>Salobbi - Brez</t>
  </si>
  <si>
    <t>Castelfondo - Revò - Cles</t>
  </si>
  <si>
    <t>Serso-Pergine V. 
C.sa bis L.417</t>
  </si>
  <si>
    <t>Levico (S.P. 228 maso Rosso) - Borgo - Feltre Vellai</t>
  </si>
  <si>
    <t>Pergine - Frassilongo - Fierozzo - Hacleri</t>
  </si>
  <si>
    <t>Sicina - Casatta</t>
  </si>
  <si>
    <t>Casatta - Sicina</t>
  </si>
  <si>
    <t xml:space="preserve">Sicina - Casatta - Pradel </t>
  </si>
  <si>
    <t xml:space="preserve">estiva feriale </t>
  </si>
  <si>
    <t>Grumes - Giro masi</t>
  </si>
  <si>
    <t>Pregasina - Riva del Garda</t>
  </si>
  <si>
    <t>Rovereto-Piazza Terragnolo - Zoreri</t>
  </si>
  <si>
    <t>Zoreri-Piazza Terragnolo-Rovereto</t>
  </si>
  <si>
    <t>feriale invernale 
martedì e giovedì</t>
  </si>
  <si>
    <t>17</t>
  </si>
  <si>
    <t>Piazza di Terragnolo -Zoreri - Geroli</t>
  </si>
  <si>
    <t>Geroli - Piazza di Terragnolo - Zencheri           (ore 6.50 prolungamento per Valle e Costa)</t>
  </si>
  <si>
    <t>Folgaria - Rovereto F.S.  (corsa bis)</t>
  </si>
  <si>
    <t>S. Pellegrino - Moena</t>
  </si>
  <si>
    <t>Moena - S.Pellegrino</t>
  </si>
  <si>
    <t>Moena - Falcade</t>
  </si>
  <si>
    <t>Falcade - Moena</t>
  </si>
  <si>
    <t xml:space="preserve"> Borgo vals. - Ronchi Valsugana  giro masi</t>
  </si>
  <si>
    <t>Ronchi Valsugana  giro masi - Borgo vals.</t>
  </si>
  <si>
    <t>Levico -Vigolo vattaro</t>
  </si>
  <si>
    <t xml:space="preserve">Pergine - Levico - Centa </t>
  </si>
  <si>
    <t>Vigolo Vattaro - Levico</t>
  </si>
  <si>
    <t>Centa - Calceranica</t>
  </si>
  <si>
    <t>Vattaro - Vigolo Vattaro (corsa bis)</t>
  </si>
  <si>
    <t>Centa - Trento</t>
  </si>
  <si>
    <t>feriale non scolastica
da lunedì a sabato</t>
  </si>
  <si>
    <t>Centa - Pergine</t>
  </si>
  <si>
    <t>Bosentino - Vigolo Vattaro (corsa bis)</t>
  </si>
  <si>
    <t>Pian dei Pradi - Trento (corsa bis)</t>
  </si>
  <si>
    <t>Aldeno - Pomarolo</t>
  </si>
  <si>
    <t>Sarche - Pergolese - Pietramurata</t>
  </si>
  <si>
    <t>Due Laghi - S. Massenza</t>
  </si>
  <si>
    <t>S. Massenza - Due laghi</t>
  </si>
  <si>
    <t>20,00</t>
  </si>
  <si>
    <t>Albaredo - Raossi</t>
  </si>
  <si>
    <t>Raossi - Albaredo</t>
  </si>
  <si>
    <t>Ometto - Raossi</t>
  </si>
  <si>
    <t>Raossi - Ometto</t>
  </si>
  <si>
    <t>Raossi -Ometto</t>
  </si>
  <si>
    <t>feriale non scolastica 
da lunedì a venerdì</t>
  </si>
  <si>
    <t>Rovereto - Raossi</t>
  </si>
  <si>
    <t>Ometto - Rovereto</t>
  </si>
  <si>
    <t>feriale 
solo lunedì e giovedì</t>
  </si>
  <si>
    <t>Pian delle Fugazze - Raossi</t>
  </si>
  <si>
    <t>Raossi - Pian delle Fugazze</t>
  </si>
  <si>
    <t>Valmorbia - Raossi</t>
  </si>
  <si>
    <t>Raossi - Valmorbia</t>
  </si>
  <si>
    <t>Calvola - Ville del Monte</t>
  </si>
  <si>
    <t xml:space="preserve">scolastica 
da lunedì a giovedì </t>
  </si>
  <si>
    <t>Fiavè-V.Lomaso-P.Arche
prolungamento 16.35 Riva-Fiavè</t>
  </si>
  <si>
    <t xml:space="preserve">Riva del Garda - Pregasina </t>
  </si>
  <si>
    <t xml:space="preserve">Riva del Garda - Tenno - Fiavè </t>
  </si>
  <si>
    <t>Scolastica
lun+mar+gio+ven</t>
  </si>
  <si>
    <t>Tiarno Sopra - Storo</t>
  </si>
  <si>
    <t xml:space="preserve">Condino - Brione </t>
  </si>
  <si>
    <t>Storo - Lodrone - Baitoni</t>
  </si>
  <si>
    <t>scolastica 
solo venerdì e sabato</t>
  </si>
  <si>
    <t>Bondone - Ponte Caffaro bivio</t>
  </si>
  <si>
    <t>Brione - Condino</t>
  </si>
  <si>
    <t>Bondone - Baitoni</t>
  </si>
  <si>
    <t>Massimeno - Giustino</t>
  </si>
  <si>
    <t>Mori FS - Mori Bar Centrale</t>
  </si>
  <si>
    <t>Mori - Besagno - Brentonico</t>
  </si>
  <si>
    <t>Pergine - Civezzano</t>
  </si>
  <si>
    <t>Fornace - Civezzano 7.11 - Pergine</t>
  </si>
  <si>
    <t xml:space="preserve">Civezzano-Fornace </t>
  </si>
  <si>
    <t xml:space="preserve">Ville del Monte - Ponte Arche </t>
  </si>
  <si>
    <t xml:space="preserve">scolastica 
lun+mar+mer+ven </t>
  </si>
  <si>
    <t>Ville del Monte - Calvola</t>
  </si>
  <si>
    <t>S.Croce - Ponte Arche</t>
  </si>
  <si>
    <t>Villa-Sesto bivio - Ponte Arche - Tione (corsa bis)</t>
  </si>
  <si>
    <t>Ponte Arche - Lundo</t>
  </si>
  <si>
    <t>Lundo - Ponte Arche</t>
  </si>
  <si>
    <t>Luserna - Caldonazzo</t>
  </si>
  <si>
    <t xml:space="preserve">feriale solo 
lunedì e mercoledì </t>
  </si>
  <si>
    <t>Borgo Vals. - Roncegno giro masi</t>
  </si>
  <si>
    <t xml:space="preserve">invernale feriale 
solo lunedì e mercoledì </t>
  </si>
  <si>
    <t xml:space="preserve">Roncegno giro Masi - Borgo Vals. </t>
  </si>
  <si>
    <t xml:space="preserve">estivo feriale
solo giorni di lunedì e mercoledì </t>
  </si>
  <si>
    <t>Masi di Imer - Pozza di fassa</t>
  </si>
  <si>
    <t>Spormaggiore-Trento</t>
  </si>
  <si>
    <t>scolastica lunedì</t>
  </si>
  <si>
    <t>scolastica venerdì</t>
  </si>
  <si>
    <t>Ponte Arche-Trento</t>
  </si>
  <si>
    <t>40</t>
  </si>
  <si>
    <t xml:space="preserve">Mezzolombardo-Nave S.Rocco-Mezzolombardo </t>
  </si>
  <si>
    <t>Trento FTM-Mezzolombardo FTM  (serv. Sostitutivo treno)</t>
  </si>
  <si>
    <t>Caldonazzo-Pergine</t>
  </si>
  <si>
    <t>Rizzolaga-Sover</t>
  </si>
  <si>
    <t>Malè-Cogolo</t>
  </si>
  <si>
    <t>Fucine - Pejo</t>
  </si>
  <si>
    <t>Mezzocorona - Faedo</t>
  </si>
  <si>
    <t>Faedo - Mezzocorona</t>
  </si>
  <si>
    <t xml:space="preserve">Scancio di Segonzano-Lases
in coinc. con c.sa Tte da Ist. Alberghiero Tesero </t>
  </si>
  <si>
    <t xml:space="preserve">scolastica
martedì </t>
  </si>
  <si>
    <t>Sover-Scancio di Segonzano</t>
  </si>
  <si>
    <t>scolastica 
solo martedì</t>
  </si>
  <si>
    <t>Dermulo-Coredo-Sfruz</t>
  </si>
  <si>
    <t>S. Orsola Mantovani- Mala - Viarago - Pergine (corsa bis)</t>
  </si>
  <si>
    <t>Grumes-Capriana</t>
  </si>
  <si>
    <t xml:space="preserve">scolastica 
solo  lun-mar-gio </t>
  </si>
  <si>
    <t xml:space="preserve">Cavalese - Veronza </t>
  </si>
  <si>
    <t>Estiva
lunedì-sabato</t>
  </si>
  <si>
    <t>Estiva
lunedì-venerdì</t>
  </si>
  <si>
    <t>Trento FTM - Lavis - Mezzolombardo</t>
  </si>
  <si>
    <t>Feriale invernale
giovedì</t>
  </si>
  <si>
    <t>Pergine-Fierozzo-Palu' F.-S.Orsola-Pergine</t>
  </si>
  <si>
    <t>Festiva</t>
  </si>
  <si>
    <t>Cles-Mezzana-Fucine-Peio</t>
  </si>
  <si>
    <t>P.di Bono Borel - Castel Condino</t>
  </si>
  <si>
    <t>Maso Tingherla-Kamauz (prolungamento c.sa x Roveda bv)</t>
  </si>
  <si>
    <t>Baselga P.-Rizzolaga (prolungamento c.sa x Sover)</t>
  </si>
  <si>
    <t>Pregasina bv.-Pregasina</t>
  </si>
  <si>
    <t>Faver loc.Ponciac-Cembra loc.Molini-Cembra</t>
  </si>
  <si>
    <t>Comasine bv.-Strombiano-Celentino</t>
  </si>
  <si>
    <t>scolastica
solo mart-merc-ven</t>
  </si>
  <si>
    <t>Comasine bv-Comasine paese-Comasine bv</t>
  </si>
  <si>
    <t>Trento - Covelo-Ciago-Monte Terlago</t>
  </si>
  <si>
    <t>Trento-Vezzano-v.Cavedine</t>
  </si>
  <si>
    <t>feriale estivo + senza scuola
da lunedì a venerdì</t>
  </si>
  <si>
    <t>Molveno-Andalo-Mezzolombardo</t>
  </si>
  <si>
    <t>Centa-Bosentino-V.Vattaro-Trento</t>
  </si>
  <si>
    <t>Invernale 
festiva</t>
  </si>
  <si>
    <t>Trento-V.Vattaro-Bosentino-Centa</t>
  </si>
  <si>
    <t>Monte Terlago-Ciago-Vezzano-V.Cavedine</t>
  </si>
  <si>
    <t>invernale 
festiva</t>
  </si>
  <si>
    <t>Pellizzano-Claiano bv.-Menas</t>
  </si>
  <si>
    <t>Garniga V.-Garniga-Aldeno-Ravina-Trento</t>
  </si>
  <si>
    <t>Invernale
festiva</t>
  </si>
  <si>
    <t>Riva-Bezzecca-Concei-Tiarno</t>
  </si>
  <si>
    <t>Invernale no scuola
lun-ven</t>
  </si>
  <si>
    <t>Tiarno-Concei-Bezzecca-Riva</t>
  </si>
  <si>
    <t>Trento-V.Vattaro-Bosentino-Centa-Carbonare</t>
  </si>
  <si>
    <t>Carbonare-Centa-Bosentino-V.Vattaro-Trento</t>
  </si>
  <si>
    <t>Storo-Tremalzo bv.-Tiarno</t>
  </si>
  <si>
    <t>Tiarno-Tremalzo bv.-Storo</t>
  </si>
  <si>
    <t>estiva 
martedì feriale</t>
  </si>
  <si>
    <t>Cavalese-Ospedale-Cavalese</t>
  </si>
  <si>
    <t>Mezzolombardo-Vigo di Ton-Toss</t>
  </si>
  <si>
    <t>Storo-Baitoni</t>
  </si>
  <si>
    <t>Vigo Cavedine-Dro</t>
  </si>
  <si>
    <t>Dro-Riva del Garda</t>
  </si>
  <si>
    <t>Revò-Tregiovo</t>
  </si>
  <si>
    <t>scolastica 
mar-gio-ven-sab</t>
  </si>
  <si>
    <t xml:space="preserve">Trento-Levico (prolungamento c.sa per Feltre </t>
  </si>
  <si>
    <t>scolastica 
lunedì + post festivi</t>
  </si>
  <si>
    <t>Drò - Drena - Vigo Cavedine-Calavino</t>
  </si>
  <si>
    <t>Lagolo-Lasino</t>
  </si>
  <si>
    <t>Caldonazzo  FS-Luserna</t>
  </si>
  <si>
    <t>Ville d.Monte S.Antonio-Fiavè-Ponte Arche</t>
  </si>
  <si>
    <t>Mezzocorona FS-Campodenno-Cles</t>
  </si>
  <si>
    <t>Mezzolombardo - Denno -Cles</t>
  </si>
  <si>
    <t>Cles-Campodenno-Mezzocorona FS</t>
  </si>
  <si>
    <t>feriale
sabato</t>
  </si>
  <si>
    <t>feriale invernale
sabato</t>
  </si>
  <si>
    <t>Lavis FTM-Nave S.Rocco-Mezzolombardo</t>
  </si>
  <si>
    <t>Mezzolombardo-Nave S.Rocco-Lavis FTM</t>
  </si>
  <si>
    <t>invernale
lunedì-sabato</t>
  </si>
  <si>
    <t>Crescino-Spormaggiore-Molveno</t>
  </si>
  <si>
    <t>Deggiano-Mastellina FTM</t>
  </si>
  <si>
    <t>Tiarno - Storo-Baitoni-Darzo-P.di Bono</t>
  </si>
  <si>
    <t xml:space="preserve">Cimego-Castel Condino </t>
  </si>
  <si>
    <t xml:space="preserve">Sfuz- Credai 
(prolungamento c.sa Dermulo - Coredo - Sfruz) </t>
  </si>
  <si>
    <t>Pregasina bivio-Pregasina</t>
  </si>
  <si>
    <t>Valle S.Felice - Rovereto (c.sa bis)</t>
  </si>
  <si>
    <t xml:space="preserve">Cles - Cis </t>
  </si>
  <si>
    <t xml:space="preserve">Cis - Cles </t>
  </si>
  <si>
    <t>Tesero - Stava (dal 19/11/18)</t>
  </si>
  <si>
    <t>Stava - Cavalese (dal 19/11/18)</t>
  </si>
  <si>
    <t>Trento-Pergine-Levico-Borgo</t>
  </si>
  <si>
    <t>Dimaro staz.FTM-Campiglio-S.A.Mavignola</t>
  </si>
  <si>
    <t>invernale 
da lunedì a sabato</t>
  </si>
  <si>
    <t>Dermulo FTM-Mezzocorona FS</t>
  </si>
  <si>
    <t>Lago Cavedine Trebi-Sarche</t>
  </si>
  <si>
    <t>Sarche-Lago Cavedine Trebi</t>
  </si>
  <si>
    <t>Fondo-Romeno-Dermulo-Cles</t>
  </si>
  <si>
    <t>Lasino-Lagolo</t>
  </si>
  <si>
    <t>estiva
lun-mer-gio</t>
  </si>
  <si>
    <t>Lagolo-Lasino-Vezzano</t>
  </si>
  <si>
    <t xml:space="preserve">estiva
feriale </t>
  </si>
  <si>
    <t>Trento-Pergine-Baselga Pinè</t>
  </si>
  <si>
    <t>Moena-Passo S.Pellegrino</t>
  </si>
  <si>
    <t>Passo S. Pellegrino-Moena</t>
  </si>
  <si>
    <t>Moena-Passo S.Pellegrino-Falcade</t>
  </si>
  <si>
    <t>Falcade-Passo S. Pellegrino-Moena</t>
  </si>
  <si>
    <t>Mezzolombardo-Termon</t>
  </si>
  <si>
    <t>Mezzolombardo-Denno-Cles</t>
  </si>
  <si>
    <t xml:space="preserve">estiva
sabato </t>
  </si>
  <si>
    <t>Mezzocorona Fs-S.Michele a/A</t>
  </si>
  <si>
    <t>Borgo-Levico-Caldonazzo-Trento</t>
  </si>
  <si>
    <t>Trento-Pergine-gallerie-Levico-Borgo</t>
  </si>
  <si>
    <t>Trento-Sardagna-Vason-Viote</t>
  </si>
  <si>
    <t>Viote-Vason-Sardagna-Trento</t>
  </si>
  <si>
    <t>Luserna-Caldonazzo</t>
  </si>
  <si>
    <t>Caldonazzo-Luserna</t>
  </si>
  <si>
    <t xml:space="preserve">Folgaria - Rovereto </t>
  </si>
  <si>
    <t>Rovereto-Pian della Fugazze</t>
  </si>
  <si>
    <t>Pian delle Fugazze-Rovereto</t>
  </si>
  <si>
    <t>Stramentizzo - Casatta</t>
  </si>
  <si>
    <t>estiva+inv
festiva</t>
  </si>
  <si>
    <t>S. Michele-Mezzolombardo-Spormaggire-Molveno</t>
  </si>
  <si>
    <t>53</t>
  </si>
  <si>
    <t>Molveno-Dorsino</t>
  </si>
  <si>
    <t>festiva 
invernale</t>
  </si>
  <si>
    <t>Denno FTM-Moncovo-Truzzi bivio-Toss</t>
  </si>
  <si>
    <t>Mezzzolombardo-Termon</t>
  </si>
  <si>
    <t>Baitoni-Bondone</t>
  </si>
  <si>
    <t xml:space="preserve">scolastica 
solo sabato </t>
  </si>
  <si>
    <t>Mezzocorona FS-Denno-Cles</t>
  </si>
  <si>
    <t>Pozza Fassa-Predazzo-P.so Rolle-Fiera P.-Imer</t>
  </si>
  <si>
    <t>Mezzocorona FS-S. Michele Ist. Agrario
prolungamento c.sa per Cembra</t>
  </si>
  <si>
    <t>scolastica 
solo mar-gio-ven</t>
  </si>
  <si>
    <t>scolastica
sabato</t>
  </si>
  <si>
    <t>Scancio di Segonzano-Sevignano
prolungamento  c.sa Cembra-Scancio</t>
  </si>
  <si>
    <t>Roveda bivio - Kamauz-Maso Tingherla</t>
  </si>
  <si>
    <t>Verla - Palù di Giovo (strada breve)</t>
  </si>
  <si>
    <t>scolastica 
solo Venerdì</t>
  </si>
  <si>
    <t>Tione-P.Arche</t>
  </si>
  <si>
    <t>P.Arche-Tione</t>
  </si>
  <si>
    <t>Fiavè-P.Arche</t>
  </si>
  <si>
    <t>Lundo-P.Arche</t>
  </si>
  <si>
    <t>Tione-Trento</t>
  </si>
  <si>
    <t>Trento-Tione</t>
  </si>
  <si>
    <t>P.Arche-Lundo</t>
  </si>
  <si>
    <t>P.Arche-S. Lorenzo in B.</t>
  </si>
  <si>
    <t>Vezzano APT-Vigo Cavedine-Drena</t>
  </si>
  <si>
    <t>festiva invernale
invernale</t>
  </si>
  <si>
    <t>Mezzolombardo - Nave s. Rocco - Trento (dal 12/09/19)</t>
  </si>
  <si>
    <t>festiva 
estiva</t>
  </si>
  <si>
    <t>invernale + estiva
festiva</t>
  </si>
  <si>
    <t>14</t>
  </si>
  <si>
    <t>S.Agnese-Civezzano</t>
  </si>
  <si>
    <t>Mezzolombardo-Mezzocorona FS</t>
  </si>
  <si>
    <t>6.20 S.Antonio di Mavignola-Campiglio-Dimaro</t>
  </si>
  <si>
    <t>Marilleva 1400 - Marilleva 900</t>
  </si>
  <si>
    <t>Ponte Arche - S.Croce Bleggio</t>
  </si>
  <si>
    <t xml:space="preserve">scolastica 
lun+merc+ven </t>
  </si>
  <si>
    <t>Toss-Raut 
(prolungamento c.sa da Denno FTM-Toss)</t>
  </si>
  <si>
    <t>scolastica 
gio+ven</t>
  </si>
  <si>
    <t>scolastica 
lun+mar+mer</t>
  </si>
  <si>
    <t xml:space="preserve">Ponte Caffaro - Bondone </t>
  </si>
  <si>
    <t>Rovereto - Folgaria</t>
  </si>
  <si>
    <t>Crescino-Sporminore</t>
  </si>
  <si>
    <t xml:space="preserve">Passo Tonale - Vermiglio </t>
  </si>
  <si>
    <t>Pergine-Palù del Fersina</t>
  </si>
  <si>
    <t>feriale estiva
da lunedì a venerdì</t>
  </si>
  <si>
    <t>Luserna-Caldonazzo-Pergine</t>
  </si>
  <si>
    <t>Invernale feriale
solo giovedì</t>
  </si>
  <si>
    <t>Riva-Sarche (c.sa bis)</t>
  </si>
  <si>
    <t>Borgo V. - Ronchi</t>
  </si>
  <si>
    <t>Ronchi - Borgo V.</t>
  </si>
  <si>
    <t>Trento - Pergine</t>
  </si>
  <si>
    <t>Lavarone - V.Vattaro</t>
  </si>
  <si>
    <t>Pian dei Pradi - Lavarone</t>
  </si>
  <si>
    <t>Cavizzana - Malè</t>
  </si>
  <si>
    <t>estiva
2° e 4° mercoledì feriale</t>
  </si>
  <si>
    <t>Malè - Cavizzana</t>
  </si>
  <si>
    <t>Bivedo-P.Arche</t>
  </si>
  <si>
    <t>Tione-C.C.Magno</t>
  </si>
  <si>
    <t>C.C.Magno-Tione</t>
  </si>
  <si>
    <t>Malè-Marrilleva 1400</t>
  </si>
  <si>
    <t>Marilleva 1400 - Malè</t>
  </si>
  <si>
    <t>Mezzana FTM - Pejo</t>
  </si>
  <si>
    <t>Pejo - Fucine</t>
  </si>
  <si>
    <t>Tione-Tione-Ospedale-Tione</t>
  </si>
  <si>
    <t>invernale
feriale sabato</t>
  </si>
  <si>
    <t>Tione-Ragoli-Trento</t>
  </si>
  <si>
    <t>non scolastica 
da lunedì a sabato</t>
  </si>
  <si>
    <t>non scolastica 
da lunedì a venerdì</t>
  </si>
  <si>
    <t>estiva 
da lunedì a giovedì</t>
  </si>
  <si>
    <t>Ala F.S. - Ronchi di Ala + (Ponzolotti)</t>
  </si>
  <si>
    <t>(Ponzolotti) + Ronchi di Ala - Ala F.S.</t>
  </si>
  <si>
    <t xml:space="preserve">scolastica 
da lunedì a venerdì; 
non scolastici 
solo lun-merc-ven  </t>
  </si>
  <si>
    <t>Kamauz - Canezza - Pergine
+1,8km prolungamento bar sole</t>
  </si>
  <si>
    <t xml:space="preserve">Terzolas Revò o 12.20 Terzolas Revò per turni alternati </t>
  </si>
  <si>
    <t>invernale 
da lun a sab 
(sospesa gg chiusura magazzino Melinda)</t>
  </si>
  <si>
    <t xml:space="preserve">Terzolas - Revò turno a giornata     </t>
  </si>
  <si>
    <t>invernale
da lunedì a venerdì (sospesa gg chiusura magazzino Melinda)</t>
  </si>
  <si>
    <t xml:space="preserve">Terzolas - Revò turno a giornata  </t>
  </si>
  <si>
    <t>Revò - Terzolas o 20.00 Terzolas - Revò per turni alternati</t>
  </si>
  <si>
    <t xml:space="preserve">Revò - Terzolas turno a giornata </t>
  </si>
  <si>
    <t>feriale 
da lunedì a venerdì corsa operai 
(sospesa gg chiusura magazzino Melinda)</t>
  </si>
  <si>
    <t>Vermiglio - Mezzana
(periodo NON di intensificazione: fino al 7/12 e dopo Pasqua circa)</t>
  </si>
  <si>
    <t>Fucine - Mezzana
(periodo di intensificazione: dal 8/12 a Pasqua circa)</t>
  </si>
  <si>
    <t>Ceniga-Dro - Sarche - Trento (corsa bis)</t>
  </si>
  <si>
    <t>Km  corsa/servizio</t>
  </si>
  <si>
    <t>Servizio a chiamata Elastibus del Chiese fino Tione 2^ navetta Elastibus Bondone)</t>
  </si>
  <si>
    <t>Servizio a chiamata Elastibus del Chiese fino Tione 1^ navetta Elastibus Pieve Bono)</t>
  </si>
  <si>
    <t>Vezzano -Vigo Cavedine-Drena</t>
  </si>
  <si>
    <t>Trento-Terlago-M.te Terlago-Ciago-Vezzano-Vigo Cavedine-Drena</t>
  </si>
  <si>
    <t>Baitoni-Riva</t>
  </si>
  <si>
    <t>Riva d.G-Ponte Arche</t>
  </si>
  <si>
    <t>Ponte Arche - Riva del Garda</t>
  </si>
  <si>
    <t>Ponte Arche - Riva d.G</t>
  </si>
  <si>
    <t>estiva 
dal lunedì al venerdì feriale</t>
  </si>
  <si>
    <t>invernale non scolastica 
feriale</t>
  </si>
  <si>
    <t>scolastica 
solo lunedì e postfest.</t>
  </si>
  <si>
    <t>Scolastica
venerdì+prefest. infrasett.</t>
  </si>
  <si>
    <t xml:space="preserve">Trento-Sover </t>
  </si>
  <si>
    <t xml:space="preserve">Trento-Fornace-Sover </t>
  </si>
  <si>
    <t>Luserna-Lavarone-Carbonare-Folgaria-Calliano-Rovereto,</t>
  </si>
  <si>
    <t>Raossi - Piano Vallarsa -P. Fugazze - Camposilvano</t>
  </si>
  <si>
    <t xml:space="preserve">Camposilvano - Speccheri  - Raossi </t>
  </si>
  <si>
    <t xml:space="preserve">Vanza - Anghebeni-S.Anna.-Anghebeni-Raossi </t>
  </si>
  <si>
    <t>feriale 
solo martedì mercoledì e venerdì</t>
  </si>
  <si>
    <t>Ala - Ronchi di Ala -Ponzolotti</t>
  </si>
  <si>
    <t>Ponzolotti - Ronchi di Ala -  Ala F.S.</t>
  </si>
  <si>
    <t>Garniga Vecchia- Garniga T. - Aldeno - Trento</t>
  </si>
  <si>
    <t>Pergine-Fierozzo-Palu' F.-S.Orsola-Pergine (estate ore 12.45)</t>
  </si>
  <si>
    <t>Portolo-Tuenno-Cles</t>
  </si>
  <si>
    <t>Lanza-Livo</t>
  </si>
  <si>
    <t>scolastica 
da martedì a venerdì 
(esclusi giorni postfest.)</t>
  </si>
  <si>
    <t>scolastica 
solo lunedì e posfest.</t>
  </si>
  <si>
    <t>scolastica 
da martedì a venerdì 
(esclusi giorni postfest)</t>
  </si>
  <si>
    <t>Albiano-Lases-Segonzano</t>
  </si>
  <si>
    <t>Cavalese - Tesero - Tesero Casa Riposo - Masi - Cavalese</t>
  </si>
  <si>
    <t>invernale feriale 
da lunedì a sabato 
(periodo intensificazione circa 20 dic- fine marzo)</t>
  </si>
  <si>
    <t>feriale invernale 
lun-ven-sab e gg. pre e postfest.
(non si effettua nel periodo di effettuazione 20 dic-fine marzo))</t>
  </si>
  <si>
    <t>Pergine - Bosentino-V.Vattaro</t>
  </si>
  <si>
    <t>Pergine - Caldonazzo-Luserna</t>
  </si>
  <si>
    <t>Trento - Vigolo Vattaro -Centa</t>
  </si>
  <si>
    <t>Mezzomonte-Guardia di Folgaria</t>
  </si>
  <si>
    <t>Pian delle Fugazze - Camposilvano- Speccheri- Raossi</t>
  </si>
  <si>
    <t>Ala-Serravalle-Chizzola-Ala</t>
  </si>
  <si>
    <t>Ala Fs-Serravalle-Chizzola-Pilcante</t>
  </si>
  <si>
    <t>invernale non scolastico lunedì-venerdì</t>
  </si>
  <si>
    <t>Trento- Giro Città-Nogarè-Baselga-Montesover</t>
  </si>
  <si>
    <t>scolastica 
solo sabato</t>
  </si>
  <si>
    <t>Hacleri-Canezza Bar al Sole-Pergine</t>
  </si>
  <si>
    <t>Hacleri-Pergine</t>
  </si>
  <si>
    <t>Mezzolombardo-Fai-
Andalo Maso Toscana</t>
  </si>
  <si>
    <t>invernale feriale
sabato</t>
  </si>
  <si>
    <t xml:space="preserve">Mezzolombardo - Nave s. Rocco - Trento </t>
  </si>
  <si>
    <t>Cles-Coredo-Merlonga-Sfruz</t>
  </si>
  <si>
    <t>Credaia-Sfruz-Tavon-Dermulo</t>
  </si>
  <si>
    <t>Sfruz-Tavon-Dermulo</t>
  </si>
  <si>
    <t>Dermulo-Tavon-Sfruz</t>
  </si>
  <si>
    <t>scolastica 
martedì-mercoledì-venerdì</t>
  </si>
  <si>
    <t xml:space="preserve">scolastica dal lunedì al giovedì </t>
  </si>
  <si>
    <t>Dermulo - Dambel - Cavareno - Don - Cavareno - Fondo</t>
  </si>
  <si>
    <t>Cles-Dermulo-Romeno-Fondo</t>
  </si>
  <si>
    <t>scolastica 
mart+merc+giov+ven</t>
  </si>
  <si>
    <t>Vermiglio-Stavel-Vallon-Passo Tonale</t>
  </si>
  <si>
    <t>Pellizzano-Castello-Menas</t>
  </si>
  <si>
    <t>Menas-Castello-Pellizzano</t>
  </si>
  <si>
    <t>Capriana-Grauno</t>
  </si>
  <si>
    <t>Scolastica
mart+merc</t>
  </si>
  <si>
    <t xml:space="preserve">scolastica 
lunedì </t>
  </si>
  <si>
    <t>Maso Gabard-Rizzolaga-Baselga</t>
  </si>
  <si>
    <t>Cembra - Scancio di Segonzano - Sevignano</t>
  </si>
  <si>
    <t>Capriana-Grumes-Valda
(prolungamento c.sa per S.Michele)</t>
  </si>
  <si>
    <t>Capriana-Grumese - Valda 
(prolungamento c.sa per S.Michele)</t>
  </si>
  <si>
    <t>Vezzano Apt- Margone</t>
  </si>
  <si>
    <t>Drena-Vigo Cavedine -Vezzano</t>
  </si>
  <si>
    <t>Vigo Cavedine - Vezzano -Trento</t>
  </si>
  <si>
    <t>Drena-Vigo Cavedine-Vezzano</t>
  </si>
  <si>
    <t>Monte Terlago - Cadine</t>
  </si>
  <si>
    <t>Tavodo-Andogno - S.Lorenzo in B.</t>
  </si>
  <si>
    <t>S.Lorenzo in B.-Tavodo</t>
  </si>
  <si>
    <t>Ponte Arche - Cares - Sesto bivio</t>
  </si>
  <si>
    <t xml:space="preserve">scolastica 
solo lunedì martedì e giovedì </t>
  </si>
  <si>
    <t>Castellir - Bellamonte-Predazzo</t>
  </si>
  <si>
    <t>Predazzo-Bellamonte - Castellir</t>
  </si>
  <si>
    <t>Civezzano Ist. De Carneri - Civezzano-Pergine V.</t>
  </si>
  <si>
    <t xml:space="preserve">Drena - Masi di Vigo C. -  Vigo Cavedine </t>
  </si>
  <si>
    <t>Vigo Cavedine - Masi di Vigio C. - Drena</t>
  </si>
  <si>
    <t>Trento - Monte Terlago (estate ore 18.40)</t>
  </si>
  <si>
    <t>Feriale 
estiva + no scuola</t>
  </si>
  <si>
    <t>Pieve di Bono-Storo-Riva</t>
  </si>
  <si>
    <t xml:space="preserve">Tiarno-Tremalzo bv.-Storo
</t>
  </si>
  <si>
    <t>Tiarno Off.Mariani-Bezzecca-Riva del Garda</t>
  </si>
  <si>
    <t>invernale 
solo sabato non scol.</t>
  </si>
  <si>
    <t>Ca' Rossa-Fontanedo-Tione-Istituto</t>
  </si>
  <si>
    <t>Vigo Cavedine - Masi di Vigo - Drena</t>
  </si>
  <si>
    <t>Maso Tingherla-Kamauz - Roveda Bivio</t>
  </si>
  <si>
    <t xml:space="preserve">Pergine-Hacleri </t>
  </si>
  <si>
    <t>Cavedago-Fai-Andalo-Molveno</t>
  </si>
  <si>
    <t>Celentino Bivio - Strombiano - Celentino Paese</t>
  </si>
  <si>
    <t>Loc. Ruc Riccomassimo-Lodrone</t>
  </si>
  <si>
    <t>5</t>
  </si>
  <si>
    <t>Ponte Caffaro-Storo-Baitoni</t>
  </si>
  <si>
    <t>Raossi - Vanza (in estate ore 10.35)</t>
  </si>
  <si>
    <t>Roncegno giro Masi - Borgo Vals.
  la partenza ad ore 8.00 solo mesi di luglio e agosto (con orario estivo giu e set ore 9.00)</t>
  </si>
  <si>
    <t>Molveno-Fai-Mezzocorona</t>
  </si>
  <si>
    <t>Mezzocorona-Spormaggiore-Molveno</t>
  </si>
  <si>
    <t>Maso S. Lorenzo - S. Felice  Fierozzo</t>
  </si>
  <si>
    <t>Rovereto - Pozzacchio</t>
  </si>
  <si>
    <t>Invernale
sabato</t>
  </si>
  <si>
    <t>Riva del Garda - Ponte Arche</t>
  </si>
  <si>
    <t>nr. gg</t>
  </si>
  <si>
    <t>Tot km</t>
  </si>
  <si>
    <t>scolastica 
solo lun+mer</t>
  </si>
  <si>
    <t>feriale 
da martedì a sabato</t>
  </si>
  <si>
    <t>scolastica 
lunedì (settimane pari)</t>
  </si>
  <si>
    <t>Festiva invernale
dal 1 dic a 31 marzo</t>
  </si>
  <si>
    <t xml:space="preserve">Vigo Cavedine - Drena </t>
  </si>
  <si>
    <t>DITTA</t>
  </si>
  <si>
    <t>MDL s.r.l.</t>
  </si>
  <si>
    <t xml:space="preserve">S. DUE DI SARTORELLI  LUCA </t>
  </si>
  <si>
    <t>DMG</t>
  </si>
  <si>
    <t>M.G.M. DI CASARI MARCO</t>
  </si>
  <si>
    <t>FERSINA TOUR S.R.L</t>
  </si>
  <si>
    <t xml:space="preserve">MONAUNI CARLO S.N.C. DI MONAUNI GERARDO E C. </t>
  </si>
  <si>
    <t xml:space="preserve">VPT SRL </t>
  </si>
  <si>
    <t xml:space="preserve">PERINI FRANCO </t>
  </si>
  <si>
    <t>AUTONOLEGGIO DI GUADAGNINI FERDINANDO E ZAMPIERI DAVID S.N.C.</t>
  </si>
  <si>
    <t xml:space="preserve">SIGNORI SI PARTE DI DONINI IORAM </t>
  </si>
  <si>
    <t>GROFF TOUR DI TATTI CARLA</t>
  </si>
  <si>
    <t>GROFF PAOLO</t>
  </si>
  <si>
    <t>AUTONOLEGGI VISINTAINER di VISINTAINER FRANCESCO</t>
  </si>
  <si>
    <t>ITALBUS S.N.C. DI CASAGRANDE ARMANDO E CHRISTIAN &amp; C.</t>
  </si>
  <si>
    <t>GROFF  ALFREDO</t>
  </si>
  <si>
    <t>x</t>
  </si>
  <si>
    <t xml:space="preserve">Pineta Faedo-S.Michele-Mezzocorona </t>
  </si>
  <si>
    <t xml:space="preserve">PAOLAT GROUP SNC DI PAOLAT GIORGIO &amp; C. </t>
  </si>
  <si>
    <t>VITO DI PEDRON VITTORIA</t>
  </si>
  <si>
    <t>OSCAR VIAGGI DI FORMOLO OSCAR</t>
  </si>
  <si>
    <t>TAXI  ZETA DI ZAMPIERI SERGIO</t>
  </si>
  <si>
    <t>DESILVESTRO TAXI E VIAGGI SRL</t>
  </si>
  <si>
    <t>HOTEL AL BIVIO SRL</t>
  </si>
  <si>
    <t xml:space="preserve">ZAMPEDRI STEFANO </t>
  </si>
  <si>
    <t>SARCATOUR s.r.l.</t>
  </si>
  <si>
    <t>TRENTINOBUS SRL</t>
  </si>
  <si>
    <t>SOLETANA VIAGGI S.R.L.</t>
  </si>
  <si>
    <t>PEDERZOLLI DENIS</t>
  </si>
  <si>
    <t>CLUB DELLAI S.R.L.</t>
  </si>
  <si>
    <t>NICE srl</t>
  </si>
  <si>
    <t>RIGOTTI FLAVIO</t>
  </si>
  <si>
    <t>FABIO VIAGGI SRL</t>
  </si>
  <si>
    <t>AUTONOLEGGI FILIPPI S.R.L. UNIPERSONALE</t>
  </si>
  <si>
    <t>FRUNER VIAGGI IN EUROPA DI FRUNER TATIANA E SIMONE FRUNER SAS</t>
  </si>
  <si>
    <t xml:space="preserve">AUTOSERVIZI MATTUZZI CLAUDIO &amp; C. S.N.C. </t>
  </si>
  <si>
    <t xml:space="preserve">MAESTRI AUGUSTO &amp; C. S.N.C. </t>
  </si>
  <si>
    <t xml:space="preserve">EUROTOUR SERVICE (IN SIGLA E.T.S.) DI AZZOLINI LUCA &amp; C. S.N.C. </t>
  </si>
  <si>
    <t>TN SERVICE LORENZI A CAPITALE RIDOTTO S.R.L. DI TAVELLI ANDREA</t>
  </si>
  <si>
    <t>BUS MANIA srl</t>
  </si>
  <si>
    <t>AUTOFFICINA LUNELLI DI LUNELLI STEFANO &amp; C. S.N.C.</t>
  </si>
  <si>
    <t xml:space="preserve">STENGHELE SRL  </t>
  </si>
  <si>
    <t>TOMA SPEED DI TOMASELLI PIERGIORGIO</t>
  </si>
  <si>
    <t>AUTONOLEGGI PEGORARO S.N.C. di PEGORARO LUCIANO &amp; C.</t>
  </si>
  <si>
    <t>ANDREOLLI FRANCO</t>
  </si>
  <si>
    <t>AUTOSERVIZI ANDREOLLI SNC DI ANDREOLLI PAOLO &amp; C.</t>
  </si>
  <si>
    <t>VALDUGA FRANCESCO</t>
  </si>
  <si>
    <t>PEDRINOLLA GRAZIANO s.r.l.</t>
  </si>
  <si>
    <t xml:space="preserve">TOLLER S.N.C. DI TOLLER CALLISTO E C. </t>
  </si>
  <si>
    <t>TODESCHI AUTONOLEGGI SRL</t>
  </si>
  <si>
    <t xml:space="preserve">BUS MANIA SRL </t>
  </si>
  <si>
    <t>PEDRINOLLA FABRIZIO</t>
  </si>
  <si>
    <t>MARTINA MATTEO</t>
  </si>
  <si>
    <t xml:space="preserve">MARTINA MATTEO </t>
  </si>
  <si>
    <t>MARGON DIEGO</t>
  </si>
  <si>
    <t>ANGELI CAMILLO</t>
  </si>
  <si>
    <t xml:space="preserve">SVALDI PIERINO </t>
  </si>
  <si>
    <t>FONTANARI SERGIO</t>
  </si>
  <si>
    <t>VALBUS S.R.L.</t>
  </si>
  <si>
    <t>PERGBUS DI FUCHS MARIO E C. S.N.C.</t>
  </si>
  <si>
    <t>PLANCHEL RENATO</t>
  </si>
  <si>
    <t xml:space="preserve">ERIKA TOURS SRL </t>
  </si>
  <si>
    <t>GENZIANA S.r.l.</t>
  </si>
  <si>
    <t>VIAGGI FORMOLO S.A.S. DI FORMOLO ANGELO &amp; C.</t>
  </si>
  <si>
    <t>GORINI LUIGI</t>
  </si>
  <si>
    <t xml:space="preserve">VIAGGI CICOLINI S.R.L .  </t>
  </si>
  <si>
    <t>ALPINABUS DI MARTINTONI MAURO</t>
  </si>
  <si>
    <t>FIABA VIAGGI SNC DI FANTI MILVA</t>
  </si>
  <si>
    <t xml:space="preserve">BUCELLA IVANO </t>
  </si>
  <si>
    <t>VIAGGI CORNELIO DI FLESSATI NICOLA E C. S.N.C.</t>
  </si>
  <si>
    <t>BIANCANEVE VIAGGI DI
 DALLATORRE MARCO</t>
  </si>
  <si>
    <t xml:space="preserve">TONALE VIAGGI DI PANIZZA CLAUDIO </t>
  </si>
  <si>
    <t xml:space="preserve">TAXI-MINIBUS-AUTOBUS PANIZZA S.A.S. DI ZENDELI ILIR </t>
  </si>
  <si>
    <t>PATERNOSTER LORENZO</t>
  </si>
  <si>
    <t>FE856YK</t>
  </si>
  <si>
    <t>FM492NR</t>
  </si>
  <si>
    <t>FN174MX</t>
  </si>
  <si>
    <t>FF721CS</t>
  </si>
  <si>
    <t>FX036WC</t>
  </si>
  <si>
    <t>EV877GJ</t>
  </si>
  <si>
    <t>GG128PN</t>
  </si>
  <si>
    <t>FT942AZ</t>
  </si>
  <si>
    <t>FN299MX</t>
  </si>
  <si>
    <t>CS792NG</t>
  </si>
  <si>
    <t>FG405XM</t>
  </si>
  <si>
    <t>bacino 2 estate 2021</t>
  </si>
  <si>
    <t>NUOVA</t>
  </si>
  <si>
    <t>inverno</t>
  </si>
  <si>
    <t>estate</t>
  </si>
  <si>
    <t>lun</t>
  </si>
  <si>
    <t>mart</t>
  </si>
  <si>
    <t>merc</t>
  </si>
  <si>
    <t>giov</t>
  </si>
  <si>
    <t>ven</t>
  </si>
  <si>
    <t>sab</t>
  </si>
  <si>
    <t>fest</t>
  </si>
  <si>
    <t>postfest</t>
  </si>
  <si>
    <t>prefest</t>
  </si>
  <si>
    <t>fer</t>
  </si>
  <si>
    <t>scol</t>
  </si>
  <si>
    <t>estiva da lun a sab (sospesa gg chiusura magazzino Melinda)</t>
  </si>
  <si>
    <t>estiva da lunedì a venerdì corsa operai (sospesa gg chiusura magazzino Melinda)</t>
  </si>
  <si>
    <t>non scol lun</t>
  </si>
  <si>
    <t>non scol mart</t>
  </si>
  <si>
    <t>non scol merc</t>
  </si>
  <si>
    <t>non scol giov</t>
  </si>
  <si>
    <t>non scol ven</t>
  </si>
  <si>
    <t>non scol sab</t>
  </si>
  <si>
    <t>no postfest</t>
  </si>
  <si>
    <t>MEZZO TITOLARE</t>
  </si>
  <si>
    <t>posti mezzo titolare</t>
  </si>
  <si>
    <t>FP041BC</t>
  </si>
  <si>
    <t>GA014HT</t>
  </si>
  <si>
    <t>18</t>
  </si>
  <si>
    <t>FT016JR</t>
  </si>
  <si>
    <t>FZ904BE</t>
  </si>
  <si>
    <t>FW770WP</t>
  </si>
  <si>
    <t>FZ556KF</t>
  </si>
  <si>
    <t>FF887CS</t>
  </si>
  <si>
    <t>FN113MX</t>
  </si>
  <si>
    <t>FV847NS</t>
  </si>
  <si>
    <t>FX671LT</t>
  </si>
  <si>
    <t>ER906KZ</t>
  </si>
  <si>
    <t>FG831XD</t>
  </si>
  <si>
    <t>FN589MX</t>
  </si>
  <si>
    <t>FL778HC</t>
  </si>
  <si>
    <t>FC208RJ</t>
  </si>
  <si>
    <t>GF141FZ</t>
  </si>
  <si>
    <t xml:space="preserve"> GF141FZ</t>
  </si>
  <si>
    <t>FR770WP</t>
  </si>
  <si>
    <t>GE316VX</t>
  </si>
  <si>
    <t>FN483MX</t>
  </si>
  <si>
    <t>ER857KZ</t>
  </si>
  <si>
    <t xml:space="preserve"> ED494MM</t>
  </si>
  <si>
    <t>ES852SX</t>
  </si>
  <si>
    <t>FF899CS</t>
  </si>
  <si>
    <t>FN117MX</t>
  </si>
  <si>
    <t>FF723CS</t>
  </si>
  <si>
    <t>FZ047KX</t>
  </si>
  <si>
    <t xml:space="preserve"> GC807JF</t>
  </si>
  <si>
    <t>GC807JF</t>
  </si>
  <si>
    <t>FT217LV</t>
  </si>
  <si>
    <t>FE926YK</t>
  </si>
  <si>
    <t>EV659LA</t>
  </si>
  <si>
    <t>FZ000KS</t>
  </si>
  <si>
    <t>FZ894BE</t>
  </si>
  <si>
    <t>FZ898BE</t>
  </si>
  <si>
    <t>FZ906BE</t>
  </si>
  <si>
    <t>FE205HG</t>
  </si>
  <si>
    <t>EY732LP</t>
  </si>
  <si>
    <t>GA996ER</t>
  </si>
  <si>
    <t>FR777WP</t>
  </si>
  <si>
    <t>GG078PN</t>
  </si>
  <si>
    <t>FN293MX</t>
  </si>
  <si>
    <t>FC109RJ</t>
  </si>
  <si>
    <t>FY964HP</t>
  </si>
  <si>
    <t>FW755WP</t>
  </si>
  <si>
    <t>FW720WP</t>
  </si>
  <si>
    <t>FS198ZG</t>
  </si>
  <si>
    <t>FS248ZL</t>
  </si>
  <si>
    <t>FC395RJ</t>
  </si>
  <si>
    <t>GA057TM</t>
  </si>
  <si>
    <t>GH502KX</t>
  </si>
  <si>
    <t>EZ997DM</t>
  </si>
  <si>
    <t>DZ900LD</t>
  </si>
  <si>
    <t>GC624CS</t>
  </si>
  <si>
    <t>FY975HP</t>
  </si>
  <si>
    <t>FL561HC</t>
  </si>
  <si>
    <t>GE457VX</t>
  </si>
  <si>
    <t>FB913BJ</t>
  </si>
  <si>
    <t>FZ987BE</t>
  </si>
  <si>
    <t>GA701ER</t>
  </si>
  <si>
    <t>FG050NA</t>
  </si>
  <si>
    <t>FB997BJ</t>
  </si>
  <si>
    <t>FR892WP</t>
  </si>
  <si>
    <t>EK946GV</t>
  </si>
  <si>
    <t>FW907WP</t>
  </si>
  <si>
    <t>EC412AD</t>
  </si>
  <si>
    <t>EP445NZ</t>
  </si>
  <si>
    <t>EK645JA</t>
  </si>
  <si>
    <t>FF601CS</t>
  </si>
  <si>
    <t>FL557HC</t>
  </si>
  <si>
    <t>EH342PM</t>
  </si>
  <si>
    <t>FN568MX</t>
  </si>
  <si>
    <t>FE091HG</t>
  </si>
  <si>
    <t>GA938ER</t>
  </si>
  <si>
    <t>GE347VX</t>
  </si>
  <si>
    <t>GA984ER</t>
  </si>
  <si>
    <t>FN426MX</t>
  </si>
  <si>
    <t>GE453VX</t>
  </si>
  <si>
    <t>GE452VX</t>
  </si>
  <si>
    <t>GC658CS</t>
  </si>
  <si>
    <t>GC466NL</t>
  </si>
  <si>
    <t>GJ181FP</t>
  </si>
  <si>
    <t>EW959KB</t>
  </si>
  <si>
    <t>FV001FA</t>
  </si>
  <si>
    <t>FC321RJ</t>
  </si>
  <si>
    <t xml:space="preserve">Ville-Palù di Giovo-Cembra </t>
  </si>
  <si>
    <t>GH464KX</t>
  </si>
  <si>
    <t>FS184ZG</t>
  </si>
  <si>
    <t>EL182VV</t>
  </si>
  <si>
    <t>EV696LA</t>
  </si>
  <si>
    <t>ET415HZ</t>
  </si>
  <si>
    <t>GH078PC</t>
  </si>
  <si>
    <t>FA893GW</t>
  </si>
  <si>
    <t>FT944AZ</t>
  </si>
  <si>
    <t>FE022HG</t>
  </si>
  <si>
    <t xml:space="preserve"> EP148JJ </t>
  </si>
  <si>
    <t>FE293HG</t>
  </si>
  <si>
    <t>EJ941ZA</t>
  </si>
  <si>
    <t>FR781WP</t>
  </si>
  <si>
    <t>ED930MM</t>
  </si>
  <si>
    <t xml:space="preserve"> GE371BA</t>
  </si>
  <si>
    <t>FJ988YE</t>
  </si>
  <si>
    <t>GH106PC</t>
  </si>
  <si>
    <t>FF891CS</t>
  </si>
  <si>
    <t>EN920NH</t>
  </si>
  <si>
    <t>FL934HC</t>
  </si>
  <si>
    <t>GE439VX</t>
  </si>
  <si>
    <t>GH441KX</t>
  </si>
  <si>
    <t>GH658ZZ</t>
  </si>
  <si>
    <t>FV524FA</t>
  </si>
  <si>
    <t>GG613WS</t>
  </si>
  <si>
    <t>GA007TD</t>
  </si>
  <si>
    <t>EW749GD</t>
  </si>
  <si>
    <t>FA989GW</t>
  </si>
  <si>
    <t>FP560ED</t>
  </si>
  <si>
    <t>Trento-Sover-Cavalese</t>
  </si>
  <si>
    <t>Trento-Cembra-Cavalese</t>
  </si>
  <si>
    <t>FH845YZ</t>
  </si>
  <si>
    <t>ET848ZJ</t>
  </si>
  <si>
    <t>FW821WP</t>
  </si>
  <si>
    <t>FR952WP</t>
  </si>
  <si>
    <t>FK791WG</t>
  </si>
  <si>
    <t>FA895BD</t>
  </si>
  <si>
    <t>EV936EW</t>
  </si>
  <si>
    <t>FL596HC</t>
  </si>
  <si>
    <t>FV978FS</t>
  </si>
  <si>
    <t>FC188RJ</t>
  </si>
  <si>
    <t>ET984ZJ</t>
  </si>
  <si>
    <t>ER716KZ</t>
  </si>
  <si>
    <t xml:space="preserve">FT534CV </t>
  </si>
  <si>
    <t xml:space="preserve">
FZ889KY
</t>
  </si>
  <si>
    <t>FJ097PL</t>
  </si>
  <si>
    <t>FB912BJ</t>
  </si>
  <si>
    <t>EX903HC</t>
  </si>
  <si>
    <t xml:space="preserve"> EX903HC</t>
  </si>
  <si>
    <t>GA903ER</t>
  </si>
  <si>
    <t>ER747KZ</t>
  </si>
  <si>
    <t>EZ827RB</t>
  </si>
  <si>
    <t>EZ779XL</t>
  </si>
  <si>
    <t>EZ943DM</t>
  </si>
  <si>
    <t>FY833HP</t>
  </si>
  <si>
    <t>GA901ZZ</t>
  </si>
  <si>
    <t>FN025MX</t>
  </si>
  <si>
    <t>EJ940ZA</t>
  </si>
  <si>
    <t>FW832WP</t>
  </si>
  <si>
    <t>EC937AD</t>
  </si>
  <si>
    <t>GC420NL</t>
  </si>
  <si>
    <t>FZ833BE</t>
  </si>
  <si>
    <t>FH993YZ</t>
  </si>
  <si>
    <t>GG015PN</t>
  </si>
  <si>
    <t xml:space="preserve"> FL916HC</t>
  </si>
  <si>
    <t xml:space="preserve"> FE599HG</t>
  </si>
  <si>
    <t>EW792KB</t>
  </si>
  <si>
    <t>FH992YZ</t>
  </si>
  <si>
    <t>FR981TK</t>
  </si>
  <si>
    <t>EX037JY</t>
  </si>
  <si>
    <t>ED726MM</t>
  </si>
  <si>
    <t>GH569KX</t>
  </si>
  <si>
    <t>GK228BZ</t>
  </si>
  <si>
    <t>FZ783BE</t>
  </si>
  <si>
    <t>57+18 in piedi</t>
  </si>
  <si>
    <t>GG487PS</t>
  </si>
  <si>
    <t>COSTO CTA ex lotto 1</t>
  </si>
  <si>
    <t>COSTO CTA ex lotto 2</t>
  </si>
  <si>
    <t>forfait ex lotto 2</t>
  </si>
  <si>
    <t>integrazione</t>
  </si>
  <si>
    <t xml:space="preserve">COSTO GIORNALIERO FORFAIT x + CORSE  </t>
  </si>
  <si>
    <t>cod integr 1</t>
  </si>
  <si>
    <t>cod integr 2</t>
  </si>
  <si>
    <t>cod integr 3</t>
  </si>
  <si>
    <t>cod integr 4</t>
  </si>
  <si>
    <t>cod integr 5</t>
  </si>
  <si>
    <t>cod integr 6</t>
  </si>
  <si>
    <t>cod integr 7</t>
  </si>
  <si>
    <t>cod integr 8</t>
  </si>
  <si>
    <t>cod integr 9</t>
  </si>
  <si>
    <t>cod integr 10</t>
  </si>
  <si>
    <t>cod integr 11</t>
  </si>
  <si>
    <t>cod integr 12</t>
  </si>
  <si>
    <t>MARTINA MATTEO 1</t>
  </si>
  <si>
    <t>MARTINA MATTEO 2</t>
  </si>
  <si>
    <t xml:space="preserve">COSTO ANNUO 12 mesi FORFAIT x + CORSE  </t>
  </si>
  <si>
    <t>PEDRINOLLA GRAZIANO s.r.l. 1</t>
  </si>
  <si>
    <t>PEDRINOLLA GRAZIANO s.r.l. 2</t>
  </si>
  <si>
    <t>PERINI FRANCO 1</t>
  </si>
  <si>
    <t>PERINI FRANCO 2</t>
  </si>
  <si>
    <t>PERINI FRANCO 3</t>
  </si>
  <si>
    <t>PERINI FRANCO 4</t>
  </si>
  <si>
    <t>SOLETANA VIAGGI S.R.L. 1</t>
  </si>
  <si>
    <t>SOLETANA VIAGGI S.R.L. 2</t>
  </si>
  <si>
    <t>MAESTRI AUGUSTO &amp; C. S.N.C.  Forfait</t>
  </si>
  <si>
    <t>SOLETANA VIAGGI S.R.L. 3</t>
  </si>
  <si>
    <t>SOLETANA VIAGGI S.R.L. 4</t>
  </si>
  <si>
    <t>TRENTINOBUS SRL forfait</t>
  </si>
  <si>
    <t>COSTO CTA NUOVA</t>
  </si>
  <si>
    <t>costo annuo ex lotto 1</t>
  </si>
  <si>
    <t>costo annuo corse nuove</t>
  </si>
  <si>
    <t>costo annuo ex lotto 2</t>
  </si>
  <si>
    <t>forfait Giudicarie estivo</t>
  </si>
  <si>
    <t>gg</t>
  </si>
  <si>
    <t>mesi</t>
  </si>
  <si>
    <t>costo annuo Giudicarie estivo</t>
  </si>
  <si>
    <t>anno</t>
  </si>
  <si>
    <t>costo annuo ex lotto1</t>
  </si>
  <si>
    <t>Integr GIORNALIERA ex lotto 2</t>
  </si>
  <si>
    <t>Integr MENSILE 10 mesi ex lotto 1</t>
  </si>
  <si>
    <t>costo annuo ex lotto2</t>
  </si>
  <si>
    <t xml:space="preserve"> FN744MW</t>
  </si>
  <si>
    <t>AUMENTO diversificato ex lotto1 ANNUO</t>
  </si>
  <si>
    <t>EL182VV GH464KX (9)</t>
  </si>
  <si>
    <t>fascia capienza mezzi</t>
  </si>
  <si>
    <t>Veronza - Aguai - Carano - Cavalese</t>
  </si>
  <si>
    <t>Penedallo-Bosco-Civezzano-Trento</t>
  </si>
  <si>
    <t>Bellamonte - Predazzo</t>
  </si>
  <si>
    <t>feriale estiva</t>
  </si>
  <si>
    <t>invernale + estiva
lunedì-sabato</t>
  </si>
  <si>
    <t>Monte Terlago - Terlago - Trento</t>
  </si>
  <si>
    <t xml:space="preserve">S.Lorenzo in Banale - Villa Banale - Ponte Arche </t>
  </si>
  <si>
    <t>Luserna - Caldonazzo - Pergine</t>
  </si>
  <si>
    <t>feriale invernale
da lunedì a venerdì</t>
  </si>
  <si>
    <t>invernale scolastico
lunedì-sabato</t>
  </si>
  <si>
    <t xml:space="preserve">scolastica 
solo martedì </t>
  </si>
  <si>
    <t>scolastica 
solo giovedì</t>
  </si>
  <si>
    <t>feriale invernale</t>
  </si>
  <si>
    <t xml:space="preserve">Terzolas Revò o 12.15 Terzolas Revò per turni alternati </t>
  </si>
  <si>
    <t>FF182VP</t>
  </si>
  <si>
    <t>GH911KX</t>
  </si>
  <si>
    <t>AUMENTO diversificato ex lotto2 ANNUO</t>
  </si>
  <si>
    <t>AUMENTO € 2,00 9-35 POSTI ex lotto1</t>
  </si>
  <si>
    <t>AUMENTO € 2,00 9-35 POSTI ex lotto2</t>
  </si>
  <si>
    <t>AUMENTO € 3,00 36-60 POSTI ex lotto1</t>
  </si>
  <si>
    <t>AUMENTO € 3,00 36-60 POSTI ex lotto2</t>
  </si>
  <si>
    <t>Fornace - Pian del Gacc (ore 14:00 part. il sabato)</t>
  </si>
  <si>
    <t>Civezzano Ist. De Carneri - 7:12 Civezzano-Pergine V.</t>
  </si>
  <si>
    <t>(Ponzolotti)+Ronchi di Ala - Ala F.S.</t>
  </si>
  <si>
    <t>274/275</t>
  </si>
  <si>
    <t>276/277</t>
  </si>
  <si>
    <t>278/279</t>
  </si>
  <si>
    <t>Lausen polo scol. - Canal S.Bovo - Ronco Chiesa</t>
  </si>
  <si>
    <t>518/509</t>
  </si>
  <si>
    <t>Lover - Dercolo-Cles (tratta Lover - Dercolo extracap.)</t>
  </si>
  <si>
    <t>197/198</t>
  </si>
  <si>
    <t>Loc. Roncio - Mezzana FTM</t>
  </si>
  <si>
    <t>NUOVA PREV. N. 02/2022</t>
  </si>
  <si>
    <t>FB779BJ</t>
  </si>
  <si>
    <t>EX946HC</t>
  </si>
  <si>
    <t>GK152EV</t>
  </si>
  <si>
    <t>Vestone - Tione</t>
  </si>
  <si>
    <t>Festiva invernale</t>
  </si>
  <si>
    <t>invernale lunedì-venerdì</t>
  </si>
  <si>
    <t>FR792WP</t>
  </si>
  <si>
    <t>SRT S.R.L.</t>
  </si>
  <si>
    <t>FE259HG</t>
  </si>
  <si>
    <t>FD479MP</t>
  </si>
  <si>
    <t>FF736CS</t>
  </si>
  <si>
    <t>FG976XM</t>
  </si>
  <si>
    <t>FX671LT + FR784WP</t>
  </si>
  <si>
    <t>30 + 21</t>
  </si>
  <si>
    <t>GJ571MK</t>
  </si>
  <si>
    <t>GJ553MK</t>
  </si>
  <si>
    <t xml:space="preserve">S.Giacomo - Brentonico </t>
  </si>
  <si>
    <t>FL716HC</t>
  </si>
  <si>
    <t>Cis - Cles</t>
  </si>
  <si>
    <t>Cis - Cles + Sc. Medie (+2° mezzo 7:12 Cis - 7:17 Mostizzolo)</t>
  </si>
  <si>
    <t>aggiornato percorso</t>
  </si>
  <si>
    <t xml:space="preserve">FZ889KY + FJ097PL
</t>
  </si>
  <si>
    <t>24 + 21</t>
  </si>
  <si>
    <t>Pozza di Fassa - Trento Autost.</t>
  </si>
  <si>
    <t>scolastica di venerdì a settimane alterne</t>
  </si>
  <si>
    <t>DOLOMITI RENT A CAR S.N.C. DI ROMOR MARSHA &amp; C.</t>
  </si>
  <si>
    <t>NUOVA PREV. N. 03/2022</t>
  </si>
  <si>
    <t>VIAGGI VALFASSA S.R.L.</t>
  </si>
  <si>
    <t>FR797WP</t>
  </si>
  <si>
    <t>Trento Autost. - Pozza di Fassa</t>
  </si>
  <si>
    <t>festivi esclusi precedenti a vacanza scol a settimane alterne</t>
  </si>
  <si>
    <t>Scolastica lun+gio+ven</t>
  </si>
  <si>
    <t>dal 26/09/2022 era solo mar+mer</t>
  </si>
  <si>
    <t>Prolungamento Fiavè loc. Curè - Favrio-Cornelle-Fiavè</t>
  </si>
  <si>
    <t>scolastica mercoledì</t>
  </si>
  <si>
    <t>dal 28/09/2022 era solo lu+ma+gio</t>
  </si>
  <si>
    <t>Ala F.S. - Ronchi di Ala prolungamento per fermata loc. Rocca</t>
  </si>
  <si>
    <t>frequenza</t>
  </si>
  <si>
    <t>annuale feriale sab</t>
  </si>
  <si>
    <t>annuale feriale lu-ve</t>
  </si>
  <si>
    <t>scolastica lu-ve</t>
  </si>
  <si>
    <t>invernale festiva</t>
  </si>
  <si>
    <t>estiva festiva</t>
  </si>
  <si>
    <t>scolastica lu, ma, me, gio</t>
  </si>
  <si>
    <t>scolastica lu-sa</t>
  </si>
  <si>
    <t>estiva feriale lu-sa</t>
  </si>
  <si>
    <t>invernale feriale lu-ve</t>
  </si>
  <si>
    <t>estiva feriale lu-ve</t>
  </si>
  <si>
    <t>invernale feriale no scol lu-sa</t>
  </si>
  <si>
    <t>scolastica sab</t>
  </si>
  <si>
    <t>invernale feriale lu-sa</t>
  </si>
  <si>
    <t>annuale feriale lu-sa</t>
  </si>
  <si>
    <t>annuale feriale ma, me, gio, ve, sab</t>
  </si>
  <si>
    <t>annuale festiva</t>
  </si>
  <si>
    <t>scolastica ma, me</t>
  </si>
  <si>
    <t>scolastica ma</t>
  </si>
  <si>
    <t>estiva feriale lu-sa + no scol lu-ve</t>
  </si>
  <si>
    <t>estiva feriale sab</t>
  </si>
  <si>
    <t>scolastica lu</t>
  </si>
  <si>
    <t>scolastica ve</t>
  </si>
  <si>
    <t>scolastica ma, gio</t>
  </si>
  <si>
    <t>sì</t>
  </si>
  <si>
    <t>scolastica lu + postfest</t>
  </si>
  <si>
    <t>scolastica ve + prefest</t>
  </si>
  <si>
    <t>annuale feriale me</t>
  </si>
  <si>
    <t>scolastica ma, me, gio, ve (no postfest)</t>
  </si>
  <si>
    <t>invernale feriale sab</t>
  </si>
  <si>
    <t>estiva feriale lu, me, gio</t>
  </si>
  <si>
    <t>scolastica lu sett. Pari</t>
  </si>
  <si>
    <t>estiva feriale lu-sa + no scol lu-sa</t>
  </si>
  <si>
    <t>scolastica lu, me, ve</t>
  </si>
  <si>
    <t>scolastica lu, ma, me, ve</t>
  </si>
  <si>
    <t>scolastica lu, ma, gio, ve</t>
  </si>
  <si>
    <t>invernale feriale no scol lu-ve</t>
  </si>
  <si>
    <t>scolastica ve, sa</t>
  </si>
  <si>
    <t>scolastica ma, gio, ve</t>
  </si>
  <si>
    <t>scolastica gio, ve</t>
  </si>
  <si>
    <t>scolastica lu, me</t>
  </si>
  <si>
    <t>scolastica lu, ma, me</t>
  </si>
  <si>
    <t>invernale feriale ven</t>
  </si>
  <si>
    <t>estiva feriale gio</t>
  </si>
  <si>
    <t>estiva feriale lu-gio</t>
  </si>
  <si>
    <t>invernale feriale gio</t>
  </si>
  <si>
    <t>estiva feriale ma</t>
  </si>
  <si>
    <t>invernale feriale ma</t>
  </si>
  <si>
    <t>annuale feriale ma</t>
  </si>
  <si>
    <t>annuale feriale lu, gio</t>
  </si>
  <si>
    <t>annuale feriale ma, me, ve</t>
  </si>
  <si>
    <t>invernale feriale ma, gio</t>
  </si>
  <si>
    <t>scolastica lu-ve + non scol lu, me, ve</t>
  </si>
  <si>
    <t>annuale feriale gio</t>
  </si>
  <si>
    <t>estiva feriale lu, me</t>
  </si>
  <si>
    <t>invernale feriale lu, me</t>
  </si>
  <si>
    <t>scolastica ma, me, ve</t>
  </si>
  <si>
    <t>scolastica gio</t>
  </si>
  <si>
    <t>scolastica ma, gio, ve, sab</t>
  </si>
  <si>
    <t>scolastica lu, me, gio, ve</t>
  </si>
  <si>
    <t>estiva feriale me (solo 2° e 4° mese)</t>
  </si>
  <si>
    <t>annuale feriale ma, ve</t>
  </si>
  <si>
    <t>scolastica ma, me, gio, ve</t>
  </si>
  <si>
    <t>scolastica ve a settimane alterne</t>
  </si>
  <si>
    <t>scolastica festiva a settimane alterne</t>
  </si>
  <si>
    <t>scolastica lu, gio, ve</t>
  </si>
  <si>
    <t>scolastica me</t>
  </si>
  <si>
    <t>n° righe capitolato: 928</t>
  </si>
  <si>
    <t>frequenza corretta da capitolato</t>
  </si>
  <si>
    <t>km corretti da capitolato</t>
  </si>
  <si>
    <t>Eliminata già compresa</t>
  </si>
  <si>
    <t>variazione da capitolato</t>
  </si>
  <si>
    <t>variazione km capitolato</t>
  </si>
  <si>
    <t>EX673MT</t>
  </si>
  <si>
    <t>ED770MM 9 pp + FZ898BE 55pp</t>
  </si>
  <si>
    <t>Prolungamento Storo Sp.69 (km 2) - Ca' Rossa</t>
  </si>
  <si>
    <t>MARTINA MATTEO 3</t>
  </si>
  <si>
    <t>MARTINA MATTEO 4</t>
  </si>
  <si>
    <t>km capitolato annui</t>
  </si>
  <si>
    <t>costo km/pieno anno</t>
  </si>
  <si>
    <t>ricavo capitolato anno</t>
  </si>
  <si>
    <t>ribasso</t>
  </si>
  <si>
    <t>ricavo capitolato anno finito</t>
  </si>
  <si>
    <t>franchigia aumento km</t>
  </si>
  <si>
    <t>franchigia diminuzione km</t>
  </si>
  <si>
    <t>soglia x km extra annui - ricavo non corrisposto</t>
  </si>
  <si>
    <t>65 bis</t>
  </si>
  <si>
    <t>66 bis</t>
  </si>
  <si>
    <t>67 bis</t>
  </si>
  <si>
    <t>FN744MW</t>
  </si>
  <si>
    <t>scolastica di lunedì, mercoledì e venerdì</t>
  </si>
  <si>
    <t>scolastica di martedì e giovedì</t>
  </si>
  <si>
    <t>AUTOSERVIZI MATTUZZI CLAUDIO &amp; C. S.N.C.</t>
  </si>
  <si>
    <t>169 bis</t>
  </si>
  <si>
    <t>170 bis</t>
  </si>
  <si>
    <t>Estiva
lunedì-sabato a mesi alterni</t>
  </si>
  <si>
    <t>420 bis</t>
  </si>
  <si>
    <t>423 bis</t>
  </si>
  <si>
    <t>432 bis</t>
  </si>
  <si>
    <t>435 bis</t>
  </si>
  <si>
    <t>445 bis</t>
  </si>
  <si>
    <t>Estiva lunedì-venerdì</t>
  </si>
  <si>
    <t>Estiva sabato</t>
  </si>
  <si>
    <t>MAESTRI AUGUSTO &amp; C. S.N.C.</t>
  </si>
  <si>
    <t>controllo variazioni tempi/km</t>
  </si>
  <si>
    <t>454 bis</t>
  </si>
  <si>
    <t>551 bis</t>
  </si>
  <si>
    <t>scolastica a mesi alterni
da lunedì a venerdì</t>
  </si>
  <si>
    <t>STENGHELE SRL</t>
  </si>
  <si>
    <t>GJ549MK</t>
  </si>
  <si>
    <t>746 bis</t>
  </si>
  <si>
    <t>scolastica il sabato</t>
  </si>
  <si>
    <t>802 bis</t>
  </si>
  <si>
    <t>803 bis</t>
  </si>
  <si>
    <t>VIAGGI CICOLINI S.R.L .</t>
  </si>
  <si>
    <t>ERIKA TOURS SRL</t>
  </si>
  <si>
    <t>TAXI VIAGGI VALENTINELLI DI VALENTINELLI GIORGIO &amp; C. SNC</t>
  </si>
  <si>
    <t>Integr corse nuove</t>
  </si>
  <si>
    <t>Integrazione 20 euro &lt;7:00</t>
  </si>
  <si>
    <t>Integrazione ANNUA 20 euro &lt;7:00</t>
  </si>
  <si>
    <t>Tres (Predaia)-via Predaia inc. v. Tavana</t>
  </si>
  <si>
    <t>tot forfait annuo</t>
  </si>
  <si>
    <t>tot integrazioni annue</t>
  </si>
  <si>
    <t>km extra a.s. 2022/2023</t>
  </si>
  <si>
    <t>giorni di sostituzione SRT concordato con direzione</t>
  </si>
  <si>
    <t>note appalto</t>
  </si>
  <si>
    <t>MEZZO DI RISERVA 1</t>
  </si>
  <si>
    <t>posti mezzo di riserva 1</t>
  </si>
  <si>
    <t xml:space="preserve">MEZZO DI RISERVA 2 </t>
  </si>
  <si>
    <t>FL557HC (MDL)</t>
  </si>
  <si>
    <t>FL781HC</t>
  </si>
  <si>
    <t>FA989GW (Perini)</t>
  </si>
  <si>
    <t>FF182VP (Perini)</t>
  </si>
  <si>
    <t>23+20</t>
  </si>
  <si>
    <t>FE629SK</t>
  </si>
  <si>
    <t>FL596HC (Sarcatour)</t>
  </si>
  <si>
    <t>FW907WP solo al sabato</t>
  </si>
  <si>
    <t xml:space="preserve"> FC376RJ</t>
  </si>
  <si>
    <t>FN339MX</t>
  </si>
  <si>
    <t>FC376RJ</t>
  </si>
  <si>
    <t>FG707GA</t>
  </si>
  <si>
    <t>CJ625MG</t>
  </si>
  <si>
    <t>FX408CM</t>
  </si>
  <si>
    <t>FH962KW</t>
  </si>
  <si>
    <t>EW035MJ</t>
  </si>
  <si>
    <t>FY974HP</t>
  </si>
  <si>
    <t>FR820WP (Fersina Tour)</t>
  </si>
  <si>
    <t>FN583MX</t>
  </si>
  <si>
    <t>FR784WP</t>
  </si>
  <si>
    <t/>
  </si>
  <si>
    <t>DZ957SD</t>
  </si>
  <si>
    <t>GH779KX</t>
  </si>
  <si>
    <t>GH738AD</t>
  </si>
  <si>
    <t>EN858WY</t>
  </si>
  <si>
    <t>ED494MM</t>
  </si>
  <si>
    <t xml:space="preserve"> FN299MX</t>
  </si>
  <si>
    <t>EZ992DM</t>
  </si>
  <si>
    <t>FZ897BE</t>
  </si>
  <si>
    <t>FZ896BE</t>
  </si>
  <si>
    <t>FW184AM</t>
  </si>
  <si>
    <t>FB808BJ</t>
  </si>
  <si>
    <t>FA919GW</t>
  </si>
  <si>
    <t>EZ943DM (solo orario invernale)</t>
  </si>
  <si>
    <r>
      <t>EC412AD</t>
    </r>
    <r>
      <rPr>
        <strike/>
        <sz val="8"/>
        <rFont val="Arial"/>
        <family val="2"/>
      </rPr>
      <t xml:space="preserve"> </t>
    </r>
    <r>
      <rPr>
        <sz val="8"/>
        <rFont val="Arial"/>
        <family val="2"/>
      </rPr>
      <t>solo al sabato</t>
    </r>
  </si>
  <si>
    <t>GK228BZ (sabato)</t>
  </si>
  <si>
    <t>CS792NG (il venerdì)</t>
  </si>
  <si>
    <t xml:space="preserve">GH658ZZ
no mart-ven </t>
  </si>
  <si>
    <t>ER923KZ (Aut. Andreolli)</t>
  </si>
  <si>
    <t>FC144RJ</t>
  </si>
  <si>
    <t>ES314MS</t>
  </si>
  <si>
    <t>GJ655MK</t>
  </si>
  <si>
    <t>FE585HG</t>
  </si>
  <si>
    <t>FN191MX (Pedrinolla Gr.)</t>
  </si>
  <si>
    <t>FH120DD</t>
  </si>
  <si>
    <t>GA991ZZ</t>
  </si>
  <si>
    <t>FW865WP</t>
  </si>
  <si>
    <t>FY999HP</t>
  </si>
  <si>
    <t>FN678GD</t>
  </si>
  <si>
    <t>FS143ZG</t>
  </si>
  <si>
    <t>FN217MX (Corn Adolfo)</t>
  </si>
  <si>
    <t>FF849CS</t>
  </si>
  <si>
    <t xml:space="preserve"> FZ898BE</t>
  </si>
  <si>
    <t xml:space="preserve"> FZ906BE</t>
  </si>
  <si>
    <t xml:space="preserve"> FZ901BE</t>
  </si>
  <si>
    <t>FZ901BE</t>
  </si>
  <si>
    <t>GC698CS</t>
  </si>
  <si>
    <t>ER846KZ</t>
  </si>
  <si>
    <t xml:space="preserve">FF849CS </t>
  </si>
  <si>
    <t>60</t>
  </si>
  <si>
    <t>FK451EC</t>
  </si>
  <si>
    <t>FZ889KY</t>
  </si>
  <si>
    <t>FN391MX</t>
  </si>
  <si>
    <t>DT209DB</t>
  </si>
  <si>
    <t xml:space="preserve"> FZ889KY</t>
  </si>
  <si>
    <t>GH911KX (Gorini)</t>
  </si>
  <si>
    <t>FC384RJ</t>
  </si>
  <si>
    <t>EJ947ZA</t>
  </si>
  <si>
    <t>FC200RJ</t>
  </si>
  <si>
    <t>FR346WN</t>
  </si>
  <si>
    <t>FW902WP</t>
  </si>
  <si>
    <t>GC751CS</t>
  </si>
  <si>
    <t>GA900ER</t>
  </si>
  <si>
    <t>GA902ER</t>
  </si>
  <si>
    <t>ER506KZ</t>
  </si>
  <si>
    <t>FL803HC</t>
  </si>
  <si>
    <t>FS184ZG  FL803HC (9)</t>
  </si>
  <si>
    <t>GE374VX</t>
  </si>
  <si>
    <t>FR853MY</t>
  </si>
  <si>
    <t>FR796WP</t>
  </si>
  <si>
    <t>FR320WN</t>
  </si>
  <si>
    <t>Cles-Mezzana-Fucine</t>
  </si>
  <si>
    <t>FP633ED</t>
  </si>
  <si>
    <t>FM515LT</t>
  </si>
  <si>
    <t>GC951CS</t>
  </si>
  <si>
    <t>Cod. Fermata Partenza</t>
  </si>
  <si>
    <t>FERMATA PARTENZA</t>
  </si>
  <si>
    <t>Cod. Fermata Arrivo</t>
  </si>
  <si>
    <t>FERMATA ARRIVO</t>
  </si>
  <si>
    <t xml:space="preserve">  0001FS</t>
  </si>
  <si>
    <t xml:space="preserve">TRENTO (Stazione FS)         </t>
  </si>
  <si>
    <t xml:space="preserve">  1169SB</t>
  </si>
  <si>
    <t xml:space="preserve">Laives - Stabilimento Seeber </t>
  </si>
  <si>
    <t xml:space="preserve">  0001VG</t>
  </si>
  <si>
    <t xml:space="preserve">Trento(Via Giusti)           </t>
  </si>
  <si>
    <t xml:space="preserve">VERLA                        </t>
  </si>
  <si>
    <t xml:space="preserve">TRENTO   (Autostaz.)         </t>
  </si>
  <si>
    <t xml:space="preserve">CAVALESE  (Autostaz.)        </t>
  </si>
  <si>
    <t xml:space="preserve">ALBIANO                      </t>
  </si>
  <si>
    <t xml:space="preserve">TRENTO (Autostaz.)         </t>
  </si>
  <si>
    <t xml:space="preserve">SOVER                        </t>
  </si>
  <si>
    <t xml:space="preserve">  MEZZOLOMBARDO                </t>
  </si>
  <si>
    <t xml:space="preserve">  6113AD</t>
  </si>
  <si>
    <t xml:space="preserve">Rovere' (Trentinalatte)      </t>
  </si>
  <si>
    <t xml:space="preserve">  1070OS</t>
  </si>
  <si>
    <t xml:space="preserve">Cavalese (Ospedale)          </t>
  </si>
  <si>
    <t xml:space="preserve">  1250AT</t>
  </si>
  <si>
    <t xml:space="preserve">Moena (Albergo Trentino)     </t>
  </si>
  <si>
    <t xml:space="preserve">FALCADE                      </t>
  </si>
  <si>
    <t xml:space="preserve">  1253CM</t>
  </si>
  <si>
    <t xml:space="preserve">  P.S.PELLEGRINO (FUN.)        </t>
  </si>
  <si>
    <t xml:space="preserve">P.S.PELLEGRINO (FUN.)        </t>
  </si>
  <si>
    <t xml:space="preserve">VIOTE                        </t>
  </si>
  <si>
    <t xml:space="preserve">CALAVINO                     </t>
  </si>
  <si>
    <t xml:space="preserve">RIVA DEL G. (Autostaz.)      </t>
  </si>
  <si>
    <t xml:space="preserve">DRENA                        </t>
  </si>
  <si>
    <t xml:space="preserve">  2040RR</t>
  </si>
  <si>
    <t>VEZZANO (Piazza)</t>
  </si>
  <si>
    <t xml:space="preserve">DRO                          </t>
  </si>
  <si>
    <t xml:space="preserve">VIGO CAVEDINE                </t>
  </si>
  <si>
    <t xml:space="preserve">VEZZANO (Piazza)             </t>
  </si>
  <si>
    <t xml:space="preserve">S.Massenza                   </t>
  </si>
  <si>
    <t xml:space="preserve">Due Laghi                    </t>
  </si>
  <si>
    <t xml:space="preserve">  2023AL</t>
  </si>
  <si>
    <t xml:space="preserve">M.TERLAGO (H. 2 Laghi)       </t>
  </si>
  <si>
    <t xml:space="preserve">CASTEL CONDINO               </t>
  </si>
  <si>
    <t xml:space="preserve">Cimego                       </t>
  </si>
  <si>
    <t xml:space="preserve">PREGASINA                    </t>
  </si>
  <si>
    <t xml:space="preserve">Pregasina Bivio              </t>
  </si>
  <si>
    <t xml:space="preserve">  3100SV</t>
  </si>
  <si>
    <t xml:space="preserve">ROVERETO (Via Savioli)       </t>
  </si>
  <si>
    <t xml:space="preserve">PIAN DELLE FUGAZZE           </t>
  </si>
  <si>
    <t xml:space="preserve">ROVERETO (Via Manzoni)       </t>
  </si>
  <si>
    <t xml:space="preserve">VALCAVA                      </t>
  </si>
  <si>
    <t xml:space="preserve">BRUSAGO                      </t>
  </si>
  <si>
    <t xml:space="preserve">Svaldi                       </t>
  </si>
  <si>
    <t xml:space="preserve">BEDOLLO                      </t>
  </si>
  <si>
    <t xml:space="preserve">  6120ST</t>
  </si>
  <si>
    <t xml:space="preserve">Mezzolombardo (V.Devigili)   </t>
  </si>
  <si>
    <t xml:space="preserve">  1010MT</t>
  </si>
  <si>
    <t xml:space="preserve">LAVIS (Staz. FTM)            </t>
  </si>
  <si>
    <t xml:space="preserve">  1010CS</t>
  </si>
  <si>
    <t>LAVIS</t>
  </si>
  <si>
    <t xml:space="preserve">LANZA DI RUMO                </t>
  </si>
  <si>
    <t xml:space="preserve">CLES (Autostaz.)             </t>
  </si>
  <si>
    <t xml:space="preserve">MALE'                        </t>
  </si>
  <si>
    <t xml:space="preserve">SOMRABBI                     </t>
  </si>
  <si>
    <t xml:space="preserve">  1059SO</t>
  </si>
  <si>
    <t xml:space="preserve">Solaiolo Basso               </t>
  </si>
  <si>
    <t xml:space="preserve">  1081CA</t>
  </si>
  <si>
    <t xml:space="preserve">Grumes maso Casel            </t>
  </si>
  <si>
    <t xml:space="preserve">  1081RR</t>
  </si>
  <si>
    <t>GRUMES</t>
  </si>
  <si>
    <t xml:space="preserve">  1079PC</t>
  </si>
  <si>
    <t xml:space="preserve">Faver Via Ponciach, civ. 1   </t>
  </si>
  <si>
    <t xml:space="preserve">  1078RR</t>
  </si>
  <si>
    <t xml:space="preserve">Cembra           </t>
  </si>
  <si>
    <t>CEMBRA</t>
  </si>
  <si>
    <t xml:space="preserve">CAPRIANA                     </t>
  </si>
  <si>
    <t xml:space="preserve">Valda                        </t>
  </si>
  <si>
    <t xml:space="preserve">S.Michele a/Adige            </t>
  </si>
  <si>
    <t xml:space="preserve">GRAUNO                       </t>
  </si>
  <si>
    <t xml:space="preserve">  1081TO</t>
  </si>
  <si>
    <t xml:space="preserve">Grumes maso Todescat         </t>
  </si>
  <si>
    <t xml:space="preserve">Tesero                       </t>
  </si>
  <si>
    <t>1075CP</t>
  </si>
  <si>
    <t xml:space="preserve">Palu' di G. (C.Polisportivo)  </t>
  </si>
  <si>
    <t xml:space="preserve">  1113MO</t>
  </si>
  <si>
    <t xml:space="preserve">Albiano (Via Roma)           </t>
  </si>
  <si>
    <t xml:space="preserve">  1118SB</t>
  </si>
  <si>
    <t xml:space="preserve">Scancio S. (Snack Bar)       </t>
  </si>
  <si>
    <t xml:space="preserve">Piscine                      </t>
  </si>
  <si>
    <t xml:space="preserve">  1118SR</t>
  </si>
  <si>
    <t>Scancio S.(Snack Bar)</t>
  </si>
  <si>
    <t xml:space="preserve">  1112PE</t>
  </si>
  <si>
    <t xml:space="preserve">LASES Pesa                   </t>
  </si>
  <si>
    <t xml:space="preserve">  0001PA</t>
  </si>
  <si>
    <t>TRENTO  Port'Aquila</t>
  </si>
  <si>
    <t xml:space="preserve">  1079FB</t>
  </si>
  <si>
    <t xml:space="preserve">Faver bivio                  </t>
  </si>
  <si>
    <t xml:space="preserve">CIVEZZANO                    </t>
  </si>
  <si>
    <t xml:space="preserve">FORNACE                      </t>
  </si>
  <si>
    <t xml:space="preserve">  1138VC</t>
  </si>
  <si>
    <t xml:space="preserve">Pian del Gac"Villaggio"      </t>
  </si>
  <si>
    <t xml:space="preserve">  1087FL</t>
  </si>
  <si>
    <t xml:space="preserve">Stramentizzo (Bivio)         </t>
  </si>
  <si>
    <t xml:space="preserve">CASATTA di VALFL.            </t>
  </si>
  <si>
    <t xml:space="preserve">SCANCIO SEGONZANO            </t>
  </si>
  <si>
    <t xml:space="preserve">LASES (Pesa)                 </t>
  </si>
  <si>
    <t xml:space="preserve">CIVEZZANO </t>
  </si>
  <si>
    <t xml:space="preserve">TRENTO Autostaz.              </t>
  </si>
  <si>
    <t>Ville di Giovo</t>
  </si>
  <si>
    <t xml:space="preserve">PALU' DI GIOVO               </t>
  </si>
  <si>
    <t xml:space="preserve">FAEDO PINETA                 </t>
  </si>
  <si>
    <t xml:space="preserve">  MEZZOCORONA FERROVIA         </t>
  </si>
  <si>
    <t xml:space="preserve">  6100FS</t>
  </si>
  <si>
    <t xml:space="preserve">  MEZZOCORONA (St. FS)         </t>
  </si>
  <si>
    <t xml:space="preserve">  6120EM</t>
  </si>
  <si>
    <t xml:space="preserve">Mezz.do Ex Sc. Media  (via Rotaliana)       </t>
  </si>
  <si>
    <t xml:space="preserve">Masi di Cavalese             </t>
  </si>
  <si>
    <t xml:space="preserve">  1152HV</t>
  </si>
  <si>
    <t xml:space="preserve">V.VERONZA (H.Veronza)        </t>
  </si>
  <si>
    <t xml:space="preserve">Stava                        </t>
  </si>
  <si>
    <t xml:space="preserve">  1070SE</t>
  </si>
  <si>
    <t xml:space="preserve">SICINA                       </t>
  </si>
  <si>
    <t xml:space="preserve">Pradel                       </t>
  </si>
  <si>
    <t xml:space="preserve">  4100CI</t>
  </si>
  <si>
    <t xml:space="preserve">PERGINE (C.Intermodale)      </t>
  </si>
  <si>
    <t xml:space="preserve">  1100OX</t>
  </si>
  <si>
    <t xml:space="preserve">Civezzano Scuola Media       </t>
  </si>
  <si>
    <t xml:space="preserve">  4100RR</t>
  </si>
  <si>
    <t>PERGINE V. (P.Gavazzi)</t>
  </si>
  <si>
    <t>1100OX</t>
  </si>
  <si>
    <t>Civezzano Scuola Media</t>
  </si>
  <si>
    <t>4100CI</t>
  </si>
  <si>
    <t xml:space="preserve">PERGINE V. Intermodale        </t>
  </si>
  <si>
    <t xml:space="preserve">BOSCO di CIVEZZANO           </t>
  </si>
  <si>
    <t xml:space="preserve">S.AGNESE                     </t>
  </si>
  <si>
    <t xml:space="preserve">  1100SR</t>
  </si>
  <si>
    <t xml:space="preserve">Civezzano (Quadrivio )       </t>
  </si>
  <si>
    <t xml:space="preserve">MONTESOVER                   </t>
  </si>
  <si>
    <t xml:space="preserve">  1123SA</t>
  </si>
  <si>
    <t>Facendi V.S.Antonio(Capitello)</t>
  </si>
  <si>
    <t xml:space="preserve">Sveseri  Bivio               </t>
  </si>
  <si>
    <t xml:space="preserve">  4060MG</t>
  </si>
  <si>
    <t xml:space="preserve">Brusago (Maso Gabart)        </t>
  </si>
  <si>
    <t xml:space="preserve">  4025UP</t>
  </si>
  <si>
    <t xml:space="preserve">BASELGA P. (Municipio)       </t>
  </si>
  <si>
    <t xml:space="preserve">  1221HT</t>
  </si>
  <si>
    <t xml:space="preserve">Bellamonte (H.Torretta)      </t>
  </si>
  <si>
    <t xml:space="preserve">PREDAZZO (Autostaz.)         </t>
  </si>
  <si>
    <t xml:space="preserve">  1221CS</t>
  </si>
  <si>
    <t xml:space="preserve">Castelir di Bellamonte       </t>
  </si>
  <si>
    <t xml:space="preserve">  1220SM</t>
  </si>
  <si>
    <t xml:space="preserve">Predazzo - Scuole Medie      </t>
  </si>
  <si>
    <t xml:space="preserve">  1220SC</t>
  </si>
  <si>
    <t xml:space="preserve">Predazzo(C.so Degasperi)     </t>
  </si>
  <si>
    <t xml:space="preserve">  5111RR</t>
  </si>
  <si>
    <t>Masi di Imer</t>
  </si>
  <si>
    <t xml:space="preserve">POZZA DI FASSA               </t>
  </si>
  <si>
    <t xml:space="preserve">  0954IA</t>
  </si>
  <si>
    <t xml:space="preserve">S.Michele a/A.- Ist. Agrario </t>
  </si>
  <si>
    <t xml:space="preserve">Sevignano                    </t>
  </si>
  <si>
    <t xml:space="preserve">PONTE ARCHE (Autost.)        </t>
  </si>
  <si>
    <t xml:space="preserve">TIONE (Autostazione)         </t>
  </si>
  <si>
    <t xml:space="preserve">LAGOLO                       </t>
  </si>
  <si>
    <t xml:space="preserve">Lasino                       </t>
  </si>
  <si>
    <t xml:space="preserve">  2620RO</t>
  </si>
  <si>
    <t xml:space="preserve">Sardagna (Rotatoria)         </t>
  </si>
  <si>
    <t xml:space="preserve">MARGONE                      </t>
  </si>
  <si>
    <t xml:space="preserve">  2040SN</t>
  </si>
  <si>
    <t xml:space="preserve">Vezzano Sud                  </t>
  </si>
  <si>
    <t xml:space="preserve">  2040SD</t>
  </si>
  <si>
    <t xml:space="preserve">Vezzano Apt                  </t>
  </si>
  <si>
    <t xml:space="preserve">Ciago                        </t>
  </si>
  <si>
    <t xml:space="preserve">RANZO                        </t>
  </si>
  <si>
    <t xml:space="preserve">Ceniga                       </t>
  </si>
  <si>
    <t xml:space="preserve">  2058TB</t>
  </si>
  <si>
    <t xml:space="preserve">Lago di Cavedine (Trebi)     </t>
  </si>
  <si>
    <t xml:space="preserve">  2120RR</t>
  </si>
  <si>
    <t xml:space="preserve">SARCHE (Centro Comm.)        </t>
  </si>
  <si>
    <t xml:space="preserve">SARCHE (Cassa Rurale)        </t>
  </si>
  <si>
    <t xml:space="preserve">  2125FA</t>
  </si>
  <si>
    <t xml:space="preserve">Pietramurata </t>
  </si>
  <si>
    <t xml:space="preserve">Pergolese                    </t>
  </si>
  <si>
    <t xml:space="preserve">  0001PL</t>
  </si>
  <si>
    <t xml:space="preserve">"Forte Bus de Vela"         </t>
  </si>
  <si>
    <t xml:space="preserve">  2010RR</t>
  </si>
  <si>
    <t>Cadine</t>
  </si>
  <si>
    <t xml:space="preserve">Cadine                       </t>
  </si>
  <si>
    <t xml:space="preserve">Laghi di Lamar               </t>
  </si>
  <si>
    <t xml:space="preserve">Terlago bivio                </t>
  </si>
  <si>
    <t xml:space="preserve">MONTE TERLAGO (P.zza)        </t>
  </si>
  <si>
    <t xml:space="preserve">TERLAGO                      </t>
  </si>
  <si>
    <t xml:space="preserve">  2215RR</t>
  </si>
  <si>
    <t>Sclemo</t>
  </si>
  <si>
    <t xml:space="preserve">S.LORENZO IN B.              </t>
  </si>
  <si>
    <t xml:space="preserve">MOLVENO (Centro)             </t>
  </si>
  <si>
    <t xml:space="preserve">  2219CH</t>
  </si>
  <si>
    <t xml:space="preserve">S.Lorenzo (Chiesa)           </t>
  </si>
  <si>
    <t xml:space="preserve">Andogno                      </t>
  </si>
  <si>
    <t xml:space="preserve">  2216SR</t>
  </si>
  <si>
    <t>Tavodo (incr.S.P.)</t>
  </si>
  <si>
    <t xml:space="preserve">  2216SP</t>
  </si>
  <si>
    <t xml:space="preserve">Tavodo (SP)                  </t>
  </si>
  <si>
    <t xml:space="preserve">  0956RR</t>
  </si>
  <si>
    <t>MOLVENO</t>
  </si>
  <si>
    <t xml:space="preserve">Dorsino                      </t>
  </si>
  <si>
    <t xml:space="preserve">LUNDO                        </t>
  </si>
  <si>
    <t xml:space="preserve">BIVEDO                       </t>
  </si>
  <si>
    <t xml:space="preserve">Villa di Bleggio             </t>
  </si>
  <si>
    <t xml:space="preserve">SANTA CROCE                  </t>
  </si>
  <si>
    <t xml:space="preserve">Sesto bivio                  </t>
  </si>
  <si>
    <t xml:space="preserve">  2185BR</t>
  </si>
  <si>
    <t>Fiave' (Bar Aurora)</t>
  </si>
  <si>
    <t xml:space="preserve">  2185CU</t>
  </si>
  <si>
    <t xml:space="preserve">Fiave' Curè                  </t>
  </si>
  <si>
    <t xml:space="preserve">  2185CN</t>
  </si>
  <si>
    <t xml:space="preserve">Cornelle                     </t>
  </si>
  <si>
    <t xml:space="preserve">Calvola                      </t>
  </si>
  <si>
    <t xml:space="preserve">Ville del Monte              </t>
  </si>
  <si>
    <t xml:space="preserve">  2221SA</t>
  </si>
  <si>
    <t xml:space="preserve">Villa S.Antonio              </t>
  </si>
  <si>
    <t>2170RR</t>
  </si>
  <si>
    <t>Comano Terme</t>
  </si>
  <si>
    <t xml:space="preserve">  2185RR</t>
  </si>
  <si>
    <t>FIAVE'</t>
  </si>
  <si>
    <t xml:space="preserve">  2301RR</t>
  </si>
  <si>
    <t>Forti di Lardaro</t>
  </si>
  <si>
    <t xml:space="preserve">DAONE                        </t>
  </si>
  <si>
    <t xml:space="preserve">Por                          </t>
  </si>
  <si>
    <t xml:space="preserve">  2304RR</t>
  </si>
  <si>
    <t>Strada</t>
  </si>
  <si>
    <t xml:space="preserve">Ponte Cimego                 </t>
  </si>
  <si>
    <t xml:space="preserve">  2305BO</t>
  </si>
  <si>
    <t xml:space="preserve">Pieve di Bono (Tratt.Borel)  </t>
  </si>
  <si>
    <t xml:space="preserve">BAITONI                      </t>
  </si>
  <si>
    <t xml:space="preserve">PIEVE DI BONO                </t>
  </si>
  <si>
    <t>2156MR</t>
  </si>
  <si>
    <t>Tiarno di Sopra-Mariani</t>
  </si>
  <si>
    <t xml:space="preserve">STORO                        </t>
  </si>
  <si>
    <t xml:space="preserve">  2156RR</t>
  </si>
  <si>
    <t>TIARNO DI SOPRA</t>
  </si>
  <si>
    <t xml:space="preserve">  2314RR</t>
  </si>
  <si>
    <t xml:space="preserve">Bondone                      </t>
  </si>
  <si>
    <t xml:space="preserve">  2314RU</t>
  </si>
  <si>
    <t xml:space="preserve">Storo Al Ruch                 </t>
  </si>
  <si>
    <t xml:space="preserve">  2321RR</t>
  </si>
  <si>
    <t>Lodrone</t>
  </si>
  <si>
    <t xml:space="preserve">Brione di Condino            </t>
  </si>
  <si>
    <t xml:space="preserve">CONDINO                      </t>
  </si>
  <si>
    <t xml:space="preserve">Ponte Caffaro Bivio          </t>
  </si>
  <si>
    <t xml:space="preserve">  2313RR</t>
  </si>
  <si>
    <t>Ca' Rossa</t>
  </si>
  <si>
    <t xml:space="preserve">  2290IS</t>
  </si>
  <si>
    <t xml:space="preserve">Tione - Istituto             </t>
  </si>
  <si>
    <t xml:space="preserve">Prezzo                       </t>
  </si>
  <si>
    <t xml:space="preserve">BAITONI       </t>
  </si>
  <si>
    <t xml:space="preserve">TIONE Autostazione            </t>
  </si>
  <si>
    <t xml:space="preserve">  2322BP</t>
  </si>
  <si>
    <t xml:space="preserve">Ponte Caffaro Bar Ponte      </t>
  </si>
  <si>
    <t xml:space="preserve">Ponte Caffaro bivio          </t>
  </si>
  <si>
    <t xml:space="preserve">VESTONE                      </t>
  </si>
  <si>
    <t xml:space="preserve">Preore                       </t>
  </si>
  <si>
    <t xml:space="preserve">MONTAGNE (Binio)             </t>
  </si>
  <si>
    <t xml:space="preserve">  2055ST</t>
  </si>
  <si>
    <t xml:space="preserve">Masi di Sotto  civ. 6        </t>
  </si>
  <si>
    <t xml:space="preserve">CAMPO CARLOMAGNO             </t>
  </si>
  <si>
    <t xml:space="preserve">Massimeno                    </t>
  </si>
  <si>
    <t xml:space="preserve">Giustino                     </t>
  </si>
  <si>
    <t xml:space="preserve">  TIONE Autostazione            </t>
  </si>
  <si>
    <t xml:space="preserve">CAMPO CARLOMAGNO              </t>
  </si>
  <si>
    <t xml:space="preserve">  2621SD</t>
  </si>
  <si>
    <t xml:space="preserve">Sopramonte     </t>
  </si>
  <si>
    <t xml:space="preserve">Sopramonte                 </t>
  </si>
  <si>
    <t xml:space="preserve">  3100FR</t>
  </si>
  <si>
    <t>ROVERETO (Staz.F.S.)</t>
  </si>
  <si>
    <t xml:space="preserve">  3100FS</t>
  </si>
  <si>
    <t xml:space="preserve">Vigile                       </t>
  </si>
  <si>
    <t xml:space="preserve">  3670PI</t>
  </si>
  <si>
    <t xml:space="preserve">Cimone - Bivio Pietra        </t>
  </si>
  <si>
    <t xml:space="preserve">GARNIGA VECCHIA              </t>
  </si>
  <si>
    <t xml:space="preserve">ALDENO                       </t>
  </si>
  <si>
    <t xml:space="preserve">GARNIGA TERME                </t>
  </si>
  <si>
    <t xml:space="preserve">LUSERNA                      </t>
  </si>
  <si>
    <t xml:space="preserve">  4270PT</t>
  </si>
  <si>
    <t>Caldonazzo</t>
  </si>
  <si>
    <t xml:space="preserve">CARBONARE                    </t>
  </si>
  <si>
    <t xml:space="preserve">CENTA                        </t>
  </si>
  <si>
    <t xml:space="preserve">  4260RR</t>
  </si>
  <si>
    <t>Calceranica al Lago</t>
  </si>
  <si>
    <t>Pian Dei Pradi</t>
  </si>
  <si>
    <t xml:space="preserve">VATTARO                      </t>
  </si>
  <si>
    <t xml:space="preserve">VIGOLO VATTARO               </t>
  </si>
  <si>
    <t xml:space="preserve">Bosentino                    </t>
  </si>
  <si>
    <t xml:space="preserve">  4300SP</t>
  </si>
  <si>
    <t xml:space="preserve">Levico T.-Via Roma, 61       </t>
  </si>
  <si>
    <t xml:space="preserve">  4270FS</t>
  </si>
  <si>
    <t xml:space="preserve">Caldonazzo - Staz. FS        </t>
  </si>
  <si>
    <t xml:space="preserve">LAVARONE CAPPELLA            </t>
  </si>
  <si>
    <t xml:space="preserve">TRENTO   (Autostaz.)          </t>
  </si>
  <si>
    <t xml:space="preserve">LAVARONE CAPPELLA             </t>
  </si>
  <si>
    <t xml:space="preserve">  4300IC</t>
  </si>
  <si>
    <t>Levico T.-Istituto Comprensivo</t>
  </si>
  <si>
    <t xml:space="preserve">Passo S.Valentino            </t>
  </si>
  <si>
    <t xml:space="preserve">BRENTONICO                   </t>
  </si>
  <si>
    <t xml:space="preserve">  3542UR</t>
  </si>
  <si>
    <t xml:space="preserve">Mori di fronte Mc Donald's   </t>
  </si>
  <si>
    <t xml:space="preserve">Mori (Stazione F.S.)         </t>
  </si>
  <si>
    <t xml:space="preserve">MORI (Bar Centrale)          </t>
  </si>
  <si>
    <t xml:space="preserve">Guardia di Folgaria          </t>
  </si>
  <si>
    <t xml:space="preserve">Mezzomonte                   </t>
  </si>
  <si>
    <t xml:space="preserve">  3045SP</t>
  </si>
  <si>
    <t xml:space="preserve">FOLGARIA (Palasport)         </t>
  </si>
  <si>
    <t xml:space="preserve">  3045NU</t>
  </si>
  <si>
    <t xml:space="preserve">Folgaria - P.le N.Unite      </t>
  </si>
  <si>
    <t xml:space="preserve">VALLE S.FELICE               </t>
  </si>
  <si>
    <t xml:space="preserve">  3100PC</t>
  </si>
  <si>
    <t xml:space="preserve">Rovereto - Ist. don Milani   </t>
  </si>
  <si>
    <t xml:space="preserve">RONZO CHIENIS                </t>
  </si>
  <si>
    <t xml:space="preserve">Pomarolo                     </t>
  </si>
  <si>
    <t xml:space="preserve">RAOSSI                       </t>
  </si>
  <si>
    <t xml:space="preserve">Valmorbia                    </t>
  </si>
  <si>
    <t xml:space="preserve">  CAMPOSILVANO                 </t>
  </si>
  <si>
    <t xml:space="preserve">  3155SP</t>
  </si>
  <si>
    <t xml:space="preserve">Vanza paese incr. SP50       </t>
  </si>
  <si>
    <t xml:space="preserve">Vanza SP50                   </t>
  </si>
  <si>
    <t xml:space="preserve">POZZACCHIO                   </t>
  </si>
  <si>
    <t xml:space="preserve">OMETTO                       </t>
  </si>
  <si>
    <t xml:space="preserve">  3100VP</t>
  </si>
  <si>
    <t xml:space="preserve">ROVERETO (Aut.-V.Paoli)      </t>
  </si>
  <si>
    <t xml:space="preserve">ROVERETO  (Autostaz.)        </t>
  </si>
  <si>
    <t xml:space="preserve">Albaredo                     </t>
  </si>
  <si>
    <t xml:space="preserve">  3047RR</t>
  </si>
  <si>
    <t>SERRADA</t>
  </si>
  <si>
    <t xml:space="preserve">Geroli                       </t>
  </si>
  <si>
    <t xml:space="preserve">PIAZZA DI TERRAGNOLO         </t>
  </si>
  <si>
    <t xml:space="preserve">Zoreri-Soldati               </t>
  </si>
  <si>
    <t xml:space="preserve">  3045PG</t>
  </si>
  <si>
    <t xml:space="preserve">Folgaria (Via Battisti)      </t>
  </si>
  <si>
    <t xml:space="preserve">  3358PL</t>
  </si>
  <si>
    <t xml:space="preserve">Vo' Sinistro (Pass.Livello)  </t>
  </si>
  <si>
    <t xml:space="preserve">  3346FS</t>
  </si>
  <si>
    <t xml:space="preserve">ALA (Staz. FS)               </t>
  </si>
  <si>
    <t xml:space="preserve">  3350VB</t>
  </si>
  <si>
    <t xml:space="preserve">AVIO (Via M.Baldo)           </t>
  </si>
  <si>
    <t xml:space="preserve">  3350CC</t>
  </si>
  <si>
    <t xml:space="preserve">Avio (carabinieri)           </t>
  </si>
  <si>
    <t xml:space="preserve">Pilcante                     </t>
  </si>
  <si>
    <t xml:space="preserve">MASI D'AVIO                  </t>
  </si>
  <si>
    <t xml:space="preserve">  3346OR</t>
  </si>
  <si>
    <t>ALA (Ospedale bivio)</t>
  </si>
  <si>
    <t xml:space="preserve">ALA (Ospedale bivio).        </t>
  </si>
  <si>
    <t xml:space="preserve">  3337PO</t>
  </si>
  <si>
    <t xml:space="preserve">Ponzolotti                   </t>
  </si>
  <si>
    <t xml:space="preserve">Ronchi di Ala                </t>
  </si>
  <si>
    <t xml:space="preserve">LEVICO T.  (Autostaz.)       </t>
  </si>
  <si>
    <t xml:space="preserve">  4400VA</t>
  </si>
  <si>
    <t xml:space="preserve">BORGO VALS. (Valli)          </t>
  </si>
  <si>
    <t xml:space="preserve">BORGO V.(C.Intermodale)      </t>
  </si>
  <si>
    <t xml:space="preserve">Rizzolaga                    </t>
  </si>
  <si>
    <t xml:space="preserve">Fiore'                       </t>
  </si>
  <si>
    <t xml:space="preserve">SAMONE                       </t>
  </si>
  <si>
    <t xml:space="preserve">TORCEGNO                     </t>
  </si>
  <si>
    <t xml:space="preserve">OLLE                         </t>
  </si>
  <si>
    <t xml:space="preserve">Ronchi (Zurli)               </t>
  </si>
  <si>
    <t xml:space="preserve">RONCHI VALSUGANA             </t>
  </si>
  <si>
    <t xml:space="preserve">  4123RR</t>
  </si>
  <si>
    <t>S.ORSOLA</t>
  </si>
  <si>
    <t xml:space="preserve">  4100SA</t>
  </si>
  <si>
    <t xml:space="preserve">Pergine V. Scuole Andreatta  </t>
  </si>
  <si>
    <t xml:space="preserve">Serso                        </t>
  </si>
  <si>
    <t xml:space="preserve">PALU' del F.                 </t>
  </si>
  <si>
    <t>4126BA</t>
  </si>
  <si>
    <t>Battisti</t>
  </si>
  <si>
    <t xml:space="preserve">Maso Tingherla               </t>
  </si>
  <si>
    <t xml:space="preserve">KAMAUZ                       </t>
  </si>
  <si>
    <t xml:space="preserve">Hacleri                      </t>
  </si>
  <si>
    <t xml:space="preserve">Roveda bivio                 </t>
  </si>
  <si>
    <t xml:space="preserve">  4142SL</t>
  </si>
  <si>
    <t>S.Felice Fierozzo Maso Lorenzo</t>
  </si>
  <si>
    <t>S. Felice Fierozzo</t>
  </si>
  <si>
    <t xml:space="preserve">ISCHIA DI PERGINE            </t>
  </si>
  <si>
    <t xml:space="preserve">  4300PM</t>
  </si>
  <si>
    <t xml:space="preserve">LEVICO T.( Via Avancini)     </t>
  </si>
  <si>
    <t xml:space="preserve">Falesina                     </t>
  </si>
  <si>
    <t xml:space="preserve">  4048AL</t>
  </si>
  <si>
    <t xml:space="preserve">Regnana Alta                 </t>
  </si>
  <si>
    <t xml:space="preserve">CENTRALE DI BEDOLLO          </t>
  </si>
  <si>
    <t xml:space="preserve">REGNANA                      </t>
  </si>
  <si>
    <t xml:space="preserve">S.MAURO                      </t>
  </si>
  <si>
    <t xml:space="preserve">BASELGA di PINE' (Lago)      </t>
  </si>
  <si>
    <t xml:space="preserve">RONCEGNO TERME               </t>
  </si>
  <si>
    <t xml:space="preserve">  4400OS</t>
  </si>
  <si>
    <t xml:space="preserve">BORGO VALS.(Ospedale)        </t>
  </si>
  <si>
    <t xml:space="preserve">CANAL S.BOVO                 </t>
  </si>
  <si>
    <t xml:space="preserve">RONCO CHIESA                 </t>
  </si>
  <si>
    <t xml:space="preserve">  4300BB</t>
  </si>
  <si>
    <t xml:space="preserve"> LEVICO TERME(SP.228)         </t>
  </si>
  <si>
    <t xml:space="preserve">LEVICO TERME(SP.228)         </t>
  </si>
  <si>
    <t xml:space="preserve">Feltre-Vellai                </t>
  </si>
  <si>
    <t xml:space="preserve">DERMULO                      </t>
  </si>
  <si>
    <t xml:space="preserve">Cavedago                     </t>
  </si>
  <si>
    <t xml:space="preserve">Santel (S.p. 64)             </t>
  </si>
  <si>
    <t xml:space="preserve">SPORMAGGIORE                 </t>
  </si>
  <si>
    <t xml:space="preserve">Crescino             </t>
  </si>
  <si>
    <t xml:space="preserve">  6137MT</t>
  </si>
  <si>
    <t xml:space="preserve">Andalo - Maso Toscana        </t>
  </si>
  <si>
    <t xml:space="preserve">  6126RA</t>
  </si>
  <si>
    <t xml:space="preserve">Raut                         </t>
  </si>
  <si>
    <t xml:space="preserve">TOSS                         </t>
  </si>
  <si>
    <t xml:space="preserve">  6150TM</t>
  </si>
  <si>
    <t xml:space="preserve">Denno  FTM                  </t>
  </si>
  <si>
    <t xml:space="preserve">Dercolo (Bivio)              </t>
  </si>
  <si>
    <t xml:space="preserve">Lover                        </t>
  </si>
  <si>
    <t xml:space="preserve">Sporminore                   </t>
  </si>
  <si>
    <t xml:space="preserve">  6143OT</t>
  </si>
  <si>
    <t xml:space="preserve">Sporminore civ. 86           </t>
  </si>
  <si>
    <t xml:space="preserve">Termon                       </t>
  </si>
  <si>
    <t xml:space="preserve">  6120SM</t>
  </si>
  <si>
    <t xml:space="preserve">Mezzolombardo Sc. Media      </t>
  </si>
  <si>
    <t xml:space="preserve">PORTOLO                      </t>
  </si>
  <si>
    <t xml:space="preserve">  6220PF</t>
  </si>
  <si>
    <t xml:space="preserve">Cles (Piazza Fiera)          </t>
  </si>
  <si>
    <t xml:space="preserve">MECHEL                       </t>
  </si>
  <si>
    <t xml:space="preserve">  6191TA</t>
  </si>
  <si>
    <t>Tres Via Predaia inc. V.Tavana</t>
  </si>
  <si>
    <t xml:space="preserve">  6190SM</t>
  </si>
  <si>
    <t xml:space="preserve">Taio (Plesso Scolastico)     </t>
  </si>
  <si>
    <t xml:space="preserve">  6170ST</t>
  </si>
  <si>
    <t xml:space="preserve">MOLLARO (Staz.FTM)           </t>
  </si>
  <si>
    <t xml:space="preserve">Tres                         </t>
  </si>
  <si>
    <t>6504CR</t>
  </si>
  <si>
    <t>Credai</t>
  </si>
  <si>
    <t xml:space="preserve">SFRUZ                        </t>
  </si>
  <si>
    <t xml:space="preserve">Tavon                        </t>
  </si>
  <si>
    <t xml:space="preserve">  6580CA</t>
  </si>
  <si>
    <t xml:space="preserve">FONDO (Via Garibaldi)        </t>
  </si>
  <si>
    <t xml:space="preserve">PASSO MENDOLA                </t>
  </si>
  <si>
    <t xml:space="preserve">Castelfondo                  </t>
  </si>
  <si>
    <t xml:space="preserve">Fondo loc. Vasio             </t>
  </si>
  <si>
    <t xml:space="preserve">  6675AN</t>
  </si>
  <si>
    <t xml:space="preserve">Salobbi  Bacheca Comunale    </t>
  </si>
  <si>
    <t xml:space="preserve">Brez                         </t>
  </si>
  <si>
    <t xml:space="preserve">Tregiovo                     </t>
  </si>
  <si>
    <t xml:space="preserve">Revo'                        </t>
  </si>
  <si>
    <t xml:space="preserve">Romallo                      </t>
  </si>
  <si>
    <t>6675SA</t>
  </si>
  <si>
    <t xml:space="preserve">Salobbi   </t>
  </si>
  <si>
    <t xml:space="preserve">CIS                          </t>
  </si>
  <si>
    <t>46.36513832853683, 11.029254119523086</t>
  </si>
  <si>
    <t>15 Via delle Scuole</t>
  </si>
  <si>
    <t xml:space="preserve">BRESIMO                      </t>
  </si>
  <si>
    <t xml:space="preserve">LIVO                         </t>
  </si>
  <si>
    <t xml:space="preserve">Terzolas (Bivio paese)       </t>
  </si>
  <si>
    <t xml:space="preserve">  6655ME</t>
  </si>
  <si>
    <t xml:space="preserve">Revo'  (Magazzino Melinda)   </t>
  </si>
  <si>
    <t xml:space="preserve">BOLENTINA                    </t>
  </si>
  <si>
    <t xml:space="preserve">S.Antonio di Mavignola       </t>
  </si>
  <si>
    <t xml:space="preserve">  6340ST</t>
  </si>
  <si>
    <t xml:space="preserve">DIMARO (Staz. FTM)           </t>
  </si>
  <si>
    <t xml:space="preserve">  2470RR</t>
  </si>
  <si>
    <t>S.Antonio di Mavignola</t>
  </si>
  <si>
    <t xml:space="preserve">  6382SO</t>
  </si>
  <si>
    <t xml:space="preserve">MARILLEVA 1400               </t>
  </si>
  <si>
    <t xml:space="preserve">Marilleva 900                </t>
  </si>
  <si>
    <t xml:space="preserve">  6382SS</t>
  </si>
  <si>
    <t xml:space="preserve">MARILLEVA 1400 Solaria       </t>
  </si>
  <si>
    <t xml:space="preserve">MENAS                        </t>
  </si>
  <si>
    <t xml:space="preserve">PELLIZZANO                   </t>
  </si>
  <si>
    <t xml:space="preserve">Claiano Bivio                </t>
  </si>
  <si>
    <t xml:space="preserve">Celentino Bivio              </t>
  </si>
  <si>
    <t xml:space="preserve">  6402PA</t>
  </si>
  <si>
    <t xml:space="preserve">Celentino paese              </t>
  </si>
  <si>
    <t xml:space="preserve">  6402ST</t>
  </si>
  <si>
    <t xml:space="preserve">Strombiano                   </t>
  </si>
  <si>
    <t xml:space="preserve">  6350DP</t>
  </si>
  <si>
    <t xml:space="preserve">Deggiano Paese               </t>
  </si>
  <si>
    <t xml:space="preserve">Mastellina   Staz. FTM                </t>
  </si>
  <si>
    <t>6270TM</t>
  </si>
  <si>
    <t>Cavizzana</t>
  </si>
  <si>
    <t xml:space="preserve">  6403PA</t>
  </si>
  <si>
    <t xml:space="preserve">Comasine paese               </t>
  </si>
  <si>
    <t xml:space="preserve">COGOLO                       </t>
  </si>
  <si>
    <t xml:space="preserve">Comasine bivio               </t>
  </si>
  <si>
    <t xml:space="preserve">  6220MS</t>
  </si>
  <si>
    <t xml:space="preserve">Cles - Negozio Mascotti      </t>
  </si>
  <si>
    <t xml:space="preserve">PEIO                         </t>
  </si>
  <si>
    <t xml:space="preserve">FUCINE                       </t>
  </si>
  <si>
    <t xml:space="preserve">  6380MT</t>
  </si>
  <si>
    <t xml:space="preserve">Mezzana (staz FTM)           </t>
  </si>
  <si>
    <t xml:space="preserve">PASSO TONALE                 </t>
  </si>
  <si>
    <t xml:space="preserve">VERMIGLIO                    </t>
  </si>
  <si>
    <t xml:space="preserve">  6408NO</t>
  </si>
  <si>
    <t xml:space="preserve">Vermiglio nord               </t>
  </si>
  <si>
    <t xml:space="preserve">  6340PT</t>
  </si>
  <si>
    <t xml:space="preserve">DIMARO (Ponte)               </t>
  </si>
  <si>
    <t xml:space="preserve">Cusiano                      </t>
  </si>
  <si>
    <t>4260Z936W929:Z944X952W941:Z944W626:Z944</t>
  </si>
  <si>
    <t xml:space="preserve">Calceranica al Lago          </t>
  </si>
  <si>
    <t xml:space="preserve">  6380RO</t>
  </si>
  <si>
    <t xml:space="preserve">  Località Roncio               </t>
  </si>
  <si>
    <t>6380TM</t>
  </si>
  <si>
    <t xml:space="preserve">MEZZANA FTM                  </t>
  </si>
  <si>
    <t>1300IA</t>
  </si>
  <si>
    <t xml:space="preserve">Pozza di Fassa-Istituto Arte  </t>
  </si>
  <si>
    <t>1300UP</t>
  </si>
  <si>
    <t xml:space="preserve">POZZA DI FASSA </t>
  </si>
  <si>
    <t>CAPRIANA</t>
  </si>
  <si>
    <t xml:space="preserve">  GRAUNO                        </t>
  </si>
  <si>
    <t>2313RR</t>
  </si>
  <si>
    <t>SP 69</t>
  </si>
  <si>
    <t xml:space="preserve">FUCINE </t>
  </si>
  <si>
    <t>data inizio</t>
  </si>
  <si>
    <t>data fine</t>
  </si>
  <si>
    <t>data inizio 1</t>
  </si>
  <si>
    <t>data fine 1</t>
  </si>
  <si>
    <t>posti mezzo di riserva 2</t>
  </si>
  <si>
    <t>giorni settembre 2022</t>
  </si>
  <si>
    <t>giorni ottobre 2022</t>
  </si>
  <si>
    <t>giorni novembre 2022</t>
  </si>
  <si>
    <t>giorni dicembre 2022</t>
  </si>
  <si>
    <t>frequenza corsa</t>
  </si>
  <si>
    <t>annuale feriale lu, me</t>
  </si>
  <si>
    <t>giorni settembre'22</t>
  </si>
  <si>
    <t>giorni ottobre'22</t>
  </si>
  <si>
    <t>1\1</t>
  </si>
  <si>
    <t>02\02</t>
  </si>
  <si>
    <t>Estiva lunedì-sabato agosto/settembre</t>
  </si>
  <si>
    <t>Estiva lunedì-sabato giugno/luglio</t>
  </si>
  <si>
    <t>estiva feriale lu-sa agosto/settembre</t>
  </si>
  <si>
    <t>estiva feriale lu-sa giugno/luglio</t>
  </si>
  <si>
    <t>scolastica lu-ve ott-dic-febb-apr-giu</t>
  </si>
  <si>
    <t>scolastica lu-ve sett-nov-genn-mar-magg</t>
  </si>
  <si>
    <t>estiva feriale lu-sa giugno/agosto</t>
  </si>
  <si>
    <t>estiva feriale lu-sa luglio/settembre</t>
  </si>
  <si>
    <t>invernale feriale lu-sa (in intensificazione linea 123)</t>
  </si>
  <si>
    <t>invernale feriale lu, ve, sab + prefest + postfest (eccetto intensificazione linea 123)</t>
  </si>
  <si>
    <t>invernale feriale lu-ve (in intensificazione linea 646)</t>
  </si>
  <si>
    <t>invernale feriale lu-sa (eccetto intensificazione linea 646)</t>
  </si>
  <si>
    <t>invernale festivo (eccetto intensificazione linea 646)</t>
  </si>
  <si>
    <t>annuale feriale lu-ve elastibus</t>
  </si>
  <si>
    <t>estiva feriale lu-sa melinda</t>
  </si>
  <si>
    <t>annuale feriale lu-ve a giornata melinda</t>
  </si>
  <si>
    <t>invernale feriale lu-sa a turni melinda</t>
  </si>
  <si>
    <t>estiva feriale lu-ve melinda</t>
  </si>
  <si>
    <t>invernale feriale lu-ve melinda</t>
  </si>
  <si>
    <t>verifica imponibile settembre'22</t>
  </si>
  <si>
    <t>costo/corsa</t>
  </si>
  <si>
    <t>frequenza forfait / integrazioni</t>
  </si>
  <si>
    <t>costo forfait / integrazioni</t>
  </si>
  <si>
    <t>mensile</t>
  </si>
  <si>
    <t>gg forfait / integrazioni sett'22</t>
  </si>
  <si>
    <t>INTEGRAZIONE SOSTITUZIONI</t>
  </si>
  <si>
    <t>NUOVA frequenza corretta da capitolato</t>
  </si>
  <si>
    <t>dal 12/09/2022 inserimento loc. Rocca come all'andata</t>
  </si>
  <si>
    <t>dal 12/09/2022 partenza da Storo SP69</t>
  </si>
  <si>
    <t>dal 11/10/2022 nuova</t>
  </si>
  <si>
    <t>extra</t>
  </si>
  <si>
    <t>Tipologia</t>
  </si>
  <si>
    <t>capitolato</t>
  </si>
  <si>
    <t>extracapitolato</t>
  </si>
  <si>
    <t>Tot km/annui ipotesi</t>
  </si>
  <si>
    <t>differenza km da capitolato al 01/09/2022</t>
  </si>
  <si>
    <t>ricavo annuo extracapitolato non corrisposto</t>
  </si>
  <si>
    <t>tariffa extracapitolato</t>
  </si>
  <si>
    <t>FH962KW (MDL)</t>
  </si>
  <si>
    <t>55 24</t>
  </si>
  <si>
    <t>EW749GD (Perini)</t>
  </si>
  <si>
    <t>GH658ZZ (Perini)</t>
  </si>
  <si>
    <t>GD933VT</t>
  </si>
  <si>
    <t>62  61</t>
  </si>
  <si>
    <t>FF887CS (Aut. Filippi)</t>
  </si>
  <si>
    <t>COSTO ANNUO IPOTESI</t>
  </si>
  <si>
    <t>costo effettivo sett'22</t>
  </si>
  <si>
    <t>Verla bivio - Ville di Giovo - Verla deviazione Tesero - Palù</t>
  </si>
  <si>
    <t>1072BV</t>
  </si>
  <si>
    <t xml:space="preserve">Verla (Bivio)                 </t>
  </si>
  <si>
    <t>dal 03/10/2022 prolungamento</t>
  </si>
  <si>
    <t xml:space="preserve">Favrio  </t>
  </si>
  <si>
    <t xml:space="preserve">  2185CA</t>
  </si>
  <si>
    <t xml:space="preserve">Fiave' (Caseificio)           </t>
  </si>
  <si>
    <r>
      <t>Favrio - Dasindo - Fiavè loc. Curè -</t>
    </r>
    <r>
      <rPr>
        <strike/>
        <sz val="10"/>
        <rFont val="Arial"/>
        <family val="2"/>
      </rPr>
      <t xml:space="preserve"> Cornelle</t>
    </r>
    <r>
      <rPr>
        <sz val="10"/>
        <rFont val="Arial"/>
        <family val="2"/>
      </rPr>
      <t xml:space="preserve"> - Fiavè</t>
    </r>
  </si>
  <si>
    <t>dal 12/09/2022 al 30/09/2022</t>
  </si>
  <si>
    <t>dal 12/10/2022 prolungamento</t>
  </si>
  <si>
    <t>Solaiolo Alto - Solaiolo</t>
  </si>
  <si>
    <t>Solaiolo Alto</t>
  </si>
  <si>
    <t>ES278NX</t>
  </si>
  <si>
    <t>FR599WM</t>
  </si>
  <si>
    <t>EK526JA</t>
  </si>
  <si>
    <t>EN513NH</t>
  </si>
  <si>
    <t xml:space="preserve"> FY946HP</t>
  </si>
  <si>
    <t>FR981TK (Groff Tour)</t>
  </si>
  <si>
    <t>EX931HC</t>
  </si>
  <si>
    <t>FR820WP</t>
  </si>
  <si>
    <t>EJ873ZA</t>
  </si>
  <si>
    <t>FF501YE</t>
  </si>
  <si>
    <t>9+7</t>
  </si>
  <si>
    <t>20+7</t>
  </si>
  <si>
    <t>ER812KZ</t>
  </si>
  <si>
    <t>EZ866DM</t>
  </si>
  <si>
    <t>FJ863YE</t>
  </si>
  <si>
    <t>GH939KX</t>
  </si>
  <si>
    <t>GH658ZZ
no mart-ven e sab.</t>
  </si>
  <si>
    <t>GH658ZZ no mart e ven</t>
  </si>
  <si>
    <t>EX007PS</t>
  </si>
  <si>
    <t>FN308MX</t>
  </si>
  <si>
    <t>FE584HG</t>
  </si>
  <si>
    <t>FR954WP</t>
  </si>
  <si>
    <t>FM433JT</t>
  </si>
  <si>
    <t>DV944RG</t>
  </si>
  <si>
    <t>FT942AZ (lu-ve)</t>
  </si>
  <si>
    <t xml:space="preserve"> FW805WP</t>
  </si>
  <si>
    <t>FE271HG</t>
  </si>
  <si>
    <t>GE387VX</t>
  </si>
  <si>
    <t>FZ734BE</t>
  </si>
  <si>
    <t>GC523CS</t>
  </si>
  <si>
    <t xml:space="preserve"> ED909MM</t>
  </si>
  <si>
    <t>FF724CS</t>
  </si>
  <si>
    <t>ED909MM /solo al sabato GC523CS (23)</t>
  </si>
  <si>
    <t>FG963XM</t>
  </si>
  <si>
    <t>FE301HG</t>
  </si>
  <si>
    <t>EM088EK</t>
  </si>
  <si>
    <t>FV848NS</t>
  </si>
  <si>
    <t>FL648HC</t>
  </si>
  <si>
    <t>GE316VX (Busmania)</t>
  </si>
  <si>
    <t>FN191MX</t>
  </si>
  <si>
    <t>FR576WM</t>
  </si>
  <si>
    <t>EX952HC</t>
  </si>
  <si>
    <t>FL786HC</t>
  </si>
  <si>
    <t>FN143MX</t>
  </si>
  <si>
    <t>FL606HC</t>
  </si>
  <si>
    <t>GE440VX</t>
  </si>
  <si>
    <t>verifica imponibile ottobre'22</t>
  </si>
  <si>
    <t>costo effettivo ott'22</t>
  </si>
  <si>
    <t>a seguito cancellazione corsa 19.55 sarche-tione concordato con direzione</t>
  </si>
  <si>
    <t>gg forfait / integrazioni ott'22</t>
  </si>
  <si>
    <t>GG008PL</t>
  </si>
  <si>
    <t>48/56</t>
  </si>
  <si>
    <t>57/31</t>
  </si>
  <si>
    <t>24/31</t>
  </si>
  <si>
    <t>(Fai Miravalle) - Cortalta-Trento</t>
  </si>
  <si>
    <t>6135MV</t>
  </si>
  <si>
    <t xml:space="preserve">Fai Paganella - Miravalle     </t>
  </si>
  <si>
    <t>(Solaiolo Alto extracapitolato) - Solaiolo basso - Cavalese</t>
  </si>
  <si>
    <t>46.294100387964086, 11.389613582411105</t>
  </si>
  <si>
    <t>Ronzo-V.S.Felice.Mori-Rovereto</t>
  </si>
  <si>
    <t>EJ855RC (Fersina Tour)</t>
  </si>
  <si>
    <t>EL182VV (Paternoster )</t>
  </si>
  <si>
    <t xml:space="preserve"> EM401DR (Groff Tour)</t>
  </si>
  <si>
    <t>FA981GW (Planchel)</t>
  </si>
  <si>
    <t>FE259HG (DMG)</t>
  </si>
  <si>
    <t>FF736CS (Taxizeta)</t>
  </si>
  <si>
    <t>FG962XM (Giacomelli)</t>
  </si>
  <si>
    <t>FH992YZ (VITO VIAGGI)</t>
  </si>
  <si>
    <t>FK451EC (Erika Tours)</t>
  </si>
  <si>
    <t>FN554MX (MDL)</t>
  </si>
  <si>
    <t>FS248ZL (Genziana)</t>
  </si>
  <si>
    <t>FT534CV (Stenghele)</t>
  </si>
  <si>
    <t>FT942AZ (Tn Service)</t>
  </si>
  <si>
    <t xml:space="preserve">FV001FA (Vito Viaggi) </t>
  </si>
  <si>
    <t>FY240VT FR993WP</t>
  </si>
  <si>
    <t xml:space="preserve">FZ047KX GC807JF
</t>
  </si>
  <si>
    <t>FZ833BE (Trentinobus)</t>
  </si>
  <si>
    <t>GC807JF FR993WP</t>
  </si>
  <si>
    <t>GE457VX (Groff Tour)</t>
  </si>
  <si>
    <t>GK228BZ (TN Service)</t>
  </si>
  <si>
    <t>DT209DB FZ889KY</t>
  </si>
  <si>
    <t>EK710SE (Paolat)</t>
  </si>
  <si>
    <t>ER857KZ (Club dellai)</t>
  </si>
  <si>
    <t>EV659LA (Erika Tours) / FK451EC (Erika Tours)</t>
  </si>
  <si>
    <t>FA989GW (Perini) / FL781HC (Perini)</t>
  </si>
  <si>
    <t>FE205HG (Fersina Tour) / FY999HP (Fersina Tour)</t>
  </si>
  <si>
    <t>FE585HG  FF601CS (Martina)</t>
  </si>
  <si>
    <t>FE599HG (Viaggi Cicolini)</t>
  </si>
  <si>
    <t>FR777WP (Fersina Tour)</t>
  </si>
  <si>
    <t>FZ863BE (Giacomelli)</t>
  </si>
  <si>
    <t>FZ889KY (Valentinelli) / FK451EC (Erika Tours)</t>
  </si>
  <si>
    <t>GE308VX (D'Amico)</t>
  </si>
  <si>
    <t>scolastica</t>
  </si>
  <si>
    <t>dal 30/11/2022 nuova</t>
  </si>
  <si>
    <t>Pergolese</t>
  </si>
  <si>
    <t>eliminata dal 30/11/2022</t>
  </si>
  <si>
    <t>invernale lunedì-sabato</t>
  </si>
  <si>
    <t>Stramentizzo bv - Sover</t>
  </si>
  <si>
    <t>scolastica martedì e mercoledì</t>
  </si>
  <si>
    <t>BAZZAVAN S.A.S. DI BAZZANELLA ANDREA</t>
  </si>
  <si>
    <t>Stramentizzo (Bivio)</t>
  </si>
  <si>
    <t>1087FL</t>
  </si>
  <si>
    <t>SOVER</t>
  </si>
  <si>
    <t>GC917HM</t>
  </si>
  <si>
    <t>GG058PN</t>
  </si>
  <si>
    <t>dal 28/11/2022 nuova</t>
  </si>
  <si>
    <t>102-103</t>
  </si>
  <si>
    <t>Cembra-Sevignano-Civezzano sc. Media</t>
  </si>
  <si>
    <t>dal 29/11/2022 nuova</t>
  </si>
  <si>
    <t>scolastica il martedì</t>
  </si>
  <si>
    <t>scolastica il lunedì</t>
  </si>
  <si>
    <t>6408NO</t>
  </si>
  <si>
    <t>Vermiglio nord</t>
  </si>
  <si>
    <t>Ponte di Legno - Vermiglio</t>
  </si>
  <si>
    <t>46.25536943397489, 10.509713206468964</t>
  </si>
  <si>
    <t xml:space="preserve">Ponte di Legno - P.le Cida </t>
  </si>
  <si>
    <t>dal 21/11/2022 nuova</t>
  </si>
  <si>
    <t>Cles - Lanza di Rumo</t>
  </si>
  <si>
    <t>CLES (Autostaz.)</t>
  </si>
  <si>
    <t>LANZA DI RUMO</t>
  </si>
  <si>
    <t>eliminata dal 02/11/2022</t>
  </si>
  <si>
    <t>FE205HG (ditta Fersina)</t>
  </si>
  <si>
    <t>sostituisce corsa 131 linea 102</t>
  </si>
  <si>
    <t>Lisignago - Trento (corsa bis) storno km corsa sostituita</t>
  </si>
  <si>
    <t>Santel - Mezzolombardo</t>
  </si>
  <si>
    <t>Santel (S.p. 64)</t>
  </si>
  <si>
    <t>eliminata dal 14/11/2022</t>
  </si>
  <si>
    <t>cap</t>
  </si>
  <si>
    <t>eliminata dal 14/11/2022 riga 417</t>
  </si>
  <si>
    <t>eliminata dal 30/11/2022 riga 339</t>
  </si>
  <si>
    <t>Eliminata dall'inizio</t>
  </si>
  <si>
    <t>Eliminata già compresa - corsa nuova</t>
  </si>
  <si>
    <t>eliminata nuova</t>
  </si>
  <si>
    <t>sostituita dal 02/11/2022 riga 111</t>
  </si>
  <si>
    <t>sostituita dal 05/11/2022 riga 645</t>
  </si>
  <si>
    <t>sostituita Pedrinolla Graziano srl</t>
  </si>
  <si>
    <t>sostituita Nice srl</t>
  </si>
  <si>
    <t>Avio - Ala Fs storno km corsa sostituita</t>
  </si>
  <si>
    <t>sostituisce corsa 401 linea 334 da Avio</t>
  </si>
  <si>
    <t>dal 02/11/2022 prolungamento</t>
  </si>
  <si>
    <t>giorni novembre'22</t>
  </si>
  <si>
    <t>03\02</t>
  </si>
  <si>
    <t>km x forfait sett'22</t>
  </si>
  <si>
    <t>km x forfait ott'22</t>
  </si>
  <si>
    <t>gg forfait / integrazioni nov'22</t>
  </si>
  <si>
    <t>km x forfait nov'22</t>
  </si>
  <si>
    <t>verifica imponibile novembre'22</t>
  </si>
  <si>
    <t>dal 27/09/2022 prolungamento sostituito il 02/11</t>
  </si>
  <si>
    <t>eliminata dal 02/11/2022 riga 337</t>
  </si>
  <si>
    <t>21</t>
  </si>
  <si>
    <t>costo effettivo nov'22</t>
  </si>
  <si>
    <t>dal 12/09/2022 prolungamento corsa riga 773</t>
  </si>
  <si>
    <t>Lover - Dercolo prolungamento corsa Dercolo - Cles</t>
  </si>
  <si>
    <t>sostituzione</t>
  </si>
  <si>
    <t>EY198WJ</t>
  </si>
  <si>
    <t>FA895BD (FL781HC+FA989GW Perini già autorizzate in caso di cambio titolarità)</t>
  </si>
  <si>
    <t>FS483LF</t>
  </si>
  <si>
    <t>FN676GD</t>
  </si>
  <si>
    <t>km sett'22 effettivi</t>
  </si>
  <si>
    <t>km ott'22 effettivi</t>
  </si>
  <si>
    <t>km nov'22 effettivi</t>
  </si>
  <si>
    <t>km dic'22 effettivi</t>
  </si>
  <si>
    <t>km capitolato</t>
  </si>
  <si>
    <t>giorni dicembre'22</t>
  </si>
  <si>
    <t>02\01</t>
  </si>
  <si>
    <t>gg forfait / integrazioni dic'22</t>
  </si>
  <si>
    <t>km x forfait dic'22</t>
  </si>
  <si>
    <t>costo effettivo dic'22</t>
  </si>
  <si>
    <t>Luserna-Lavarone-Carbonare-Folgaria-Calliano-Rovereto (ore 16:20 dal 26/12/22 al 19/03/23)</t>
  </si>
  <si>
    <t>Rovereto-Calliano-Folgaria-Carbonare-Lavarone-Luserna (ore 18:15 dal 26/12/22 al 19/03/23)</t>
  </si>
  <si>
    <t>GK082FC</t>
  </si>
  <si>
    <t xml:space="preserve">FF887CS </t>
  </si>
  <si>
    <t>GL551LP</t>
  </si>
  <si>
    <t>GK228BZ (TN Service) GL551LP</t>
  </si>
  <si>
    <t>57 37</t>
  </si>
  <si>
    <t>verifica imponibile dicembre'22</t>
  </si>
  <si>
    <t>elastibus da recuperare in gennaio</t>
  </si>
  <si>
    <t>EV877GJ (ditta Italbus)</t>
  </si>
  <si>
    <t>GC658CS (ditta Nice srl)</t>
  </si>
  <si>
    <t>GA984ER (ditta Nice srl)</t>
  </si>
  <si>
    <t>FW970WP</t>
  </si>
  <si>
    <t>ATP SRLS</t>
  </si>
  <si>
    <t>GA984ER (ditta Nice srl) FN426MX (ditta Nice srl)</t>
  </si>
  <si>
    <t>23  20</t>
  </si>
  <si>
    <t>FN426MX (ditta Nice srl)</t>
  </si>
  <si>
    <t>GG008PL (ditta Nice srl)  FN426MX (ditta Nice srl)</t>
  </si>
  <si>
    <t>50  20</t>
  </si>
  <si>
    <t>deviazione Bastianelli</t>
  </si>
  <si>
    <t>Denno FTM-Moncovo-Truzzi bivio-Toss-Raut</t>
  </si>
  <si>
    <t>Mezzolombardo-Toss-Mezzolombardo</t>
  </si>
  <si>
    <t>sostituita con linea 611</t>
  </si>
  <si>
    <t>verifica imponibile</t>
  </si>
  <si>
    <t>note d'accredito</t>
  </si>
  <si>
    <t>guadagnini</t>
  </si>
  <si>
    <t>valentinelli</t>
  </si>
  <si>
    <t>trentinobus</t>
  </si>
  <si>
    <t>biancaneve</t>
  </si>
  <si>
    <t>fruner</t>
  </si>
  <si>
    <t>settembre</t>
  </si>
  <si>
    <t>ottobre</t>
  </si>
  <si>
    <t>novembre</t>
  </si>
  <si>
    <t>dicembre</t>
  </si>
  <si>
    <t>km capitolato eliminati</t>
  </si>
  <si>
    <t>km settembre 2022</t>
  </si>
  <si>
    <t>km ottobre 2022</t>
  </si>
  <si>
    <t>km novembre 2022</t>
  </si>
  <si>
    <t>km dicembre 2022</t>
  </si>
  <si>
    <t>tot km extra capitolato 2022 fatturati</t>
  </si>
  <si>
    <t>km tot percorsi sett-dic 2022</t>
  </si>
  <si>
    <t>TOTALI</t>
  </si>
  <si>
    <t>COSTI TOTALI 2022</t>
  </si>
  <si>
    <t xml:space="preserve">Tot km/annui </t>
  </si>
  <si>
    <t>FN362MX</t>
  </si>
  <si>
    <t>FH120DD  FY870HP</t>
  </si>
  <si>
    <t>21                                    9</t>
  </si>
  <si>
    <t>dal 19/01/2023 nuova</t>
  </si>
  <si>
    <t>Oscar Viaggi conclusa</t>
  </si>
  <si>
    <t>Taxi Viaggi Valentinelli concluso</t>
  </si>
  <si>
    <t xml:space="preserve">Nice srl sostituita </t>
  </si>
  <si>
    <t xml:space="preserve">Sarcatour srl eliminata </t>
  </si>
  <si>
    <t xml:space="preserve">Pedrinolla Graziano srl sostituita </t>
  </si>
  <si>
    <t>Sarcatour srl eliminata dall'inizio</t>
  </si>
  <si>
    <t>Soletana Viaggi srl eliminata dall'inizio</t>
  </si>
  <si>
    <t>eliminata dall'inizio</t>
  </si>
  <si>
    <t>Nice srl eliminata dall'inizio</t>
  </si>
  <si>
    <t>ARCO  Autostaz.</t>
  </si>
  <si>
    <t>3100VP</t>
  </si>
  <si>
    <t xml:space="preserve">ROVERETO Via Paoli            </t>
  </si>
  <si>
    <t>Arco - Rovereto</t>
  </si>
  <si>
    <t>Trento - Riva del Garda</t>
  </si>
  <si>
    <t xml:space="preserve">RIVA DEL G. Autostaz.         </t>
  </si>
  <si>
    <t>Rovereto - Trento</t>
  </si>
  <si>
    <t>GJ968MK</t>
  </si>
  <si>
    <t>GE453VX (Nice srl)</t>
  </si>
  <si>
    <t>GG008PL (Nice srl)</t>
  </si>
  <si>
    <t>?</t>
  </si>
  <si>
    <t>scolastica lu, ma, gio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</si>
</sst>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-* #,##0_-;\-* #,##0_-;_-* &quot;-&quot;_-;_-@_-"/>
    <numFmt numFmtId="165" formatCode="_-&quot;€&quot;\ * #,##0.00_-;\-&quot;€&quot;\ * #,##0.00_-;_-&quot;€&quot;\ * &quot;-&quot;??_-;_-@_-"/>
    <numFmt numFmtId="166" formatCode="_-* #,##0.00_-;\-* #,##0.00_-;_-* &quot;-&quot;??_-;_-@_-"/>
    <numFmt numFmtId="167" formatCode="000"/>
    <numFmt numFmtId="168" formatCode="_-* #,##0_-;\-* #,##0_-;_-* &quot;-&quot;??_-;_-@_-"/>
    <numFmt numFmtId="169" formatCode="0.000%"/>
    <numFmt numFmtId="170" formatCode="_-&quot;€&quot;\ * #,##0.0000_-;\-&quot;€&quot;\ * #,##0.0000_-;_-&quot;€&quot;\ * &quot;-&quot;??_-;_-@_-"/>
  </numFmts>
  <fonts count="55">
    <font>
      <sz val="10"/>
      <name val="Tahoma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0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8"/>
      <name val="Tahoma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0"/>
      <name val="Tahoma"/>
      <family val="2"/>
    </font>
    <font>
      <strike/>
      <sz val="8"/>
      <name val="Arial"/>
      <family val="2"/>
    </font>
    <font>
      <strike/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color rgb="FF000000"/>
      <name val="Liberation Sans"/>
    </font>
    <font>
      <sz val="10"/>
      <color rgb="FFFFFFFF"/>
      <name val="Liberation Sans"/>
    </font>
    <font>
      <sz val="10"/>
      <color rgb="FFCC0000"/>
      <name val="Liberation Sans"/>
    </font>
    <font>
      <b/>
      <sz val="10"/>
      <color rgb="FFFFFFFF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sz val="18"/>
      <color rgb="FF000000"/>
      <name val="Liberation Sans"/>
    </font>
    <font>
      <sz val="12"/>
      <color rgb="FF000000"/>
      <name val="Liberation Sans"/>
    </font>
    <font>
      <sz val="10"/>
      <color rgb="FF996600"/>
      <name val="Liberation Sans"/>
    </font>
    <font>
      <sz val="11"/>
      <color theme="1"/>
      <name val="Liberation Sans"/>
    </font>
    <font>
      <sz val="10"/>
      <color rgb="FF333333"/>
      <name val="Liberation Sans"/>
    </font>
    <font>
      <sz val="8"/>
      <color rgb="FF0070C0"/>
      <name val="Arial"/>
      <family val="2"/>
    </font>
    <font>
      <sz val="10"/>
      <color rgb="FF0070C0"/>
      <name val="Tahoma"/>
      <family val="2"/>
    </font>
    <font>
      <b/>
      <sz val="10"/>
      <color rgb="FF0070C0"/>
      <name val="Tahoma"/>
      <family val="2"/>
    </font>
    <font>
      <sz val="10"/>
      <color rgb="FFFF0000"/>
      <name val="Tahoma"/>
      <family val="2"/>
    </font>
    <font>
      <strike/>
      <sz val="8"/>
      <color rgb="FFFF0000"/>
      <name val="Arial"/>
      <family val="2"/>
    </font>
    <font>
      <b/>
      <sz val="8"/>
      <color rgb="FF0070C0"/>
      <name val="Arial"/>
      <family val="2"/>
    </font>
    <font>
      <sz val="9"/>
      <name val="Arial"/>
      <family val="2"/>
    </font>
    <font>
      <sz val="8"/>
      <color rgb="FFFF0000"/>
      <name val="Arial"/>
      <family val="2"/>
    </font>
    <font>
      <b/>
      <sz val="10"/>
      <color rgb="FFFF0000"/>
      <name val="Arial"/>
      <family val="2"/>
    </font>
    <font>
      <b/>
      <sz val="11"/>
      <color rgb="FFFF0000"/>
      <name val="Arial"/>
      <family val="2"/>
    </font>
    <font>
      <b/>
      <sz val="9"/>
      <color rgb="FFFF0000"/>
      <name val="Arial"/>
      <family val="2"/>
    </font>
    <font>
      <b/>
      <sz val="8"/>
      <color rgb="FFFF0000"/>
      <name val="Arial"/>
      <family val="2"/>
    </font>
    <font>
      <sz val="10"/>
      <color theme="1" tint="0.499984740745262"/>
      <name val="Tahoma"/>
      <family val="2"/>
    </font>
    <font>
      <b/>
      <sz val="10"/>
      <color theme="1" tint="0.499984740745262"/>
      <name val="Tahoma"/>
      <family val="2"/>
    </font>
    <font>
      <sz val="8"/>
      <color rgb="FF0070C0"/>
      <name val="Tahoma"/>
      <family val="2"/>
    </font>
  </fonts>
  <fills count="2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52">
    <xf numFmtId="0" fontId="0" fillId="0" borderId="0"/>
    <xf numFmtId="0" fontId="28" fillId="0" borderId="0"/>
    <xf numFmtId="0" fontId="29" fillId="3" borderId="0"/>
    <xf numFmtId="0" fontId="29" fillId="4" borderId="0"/>
    <xf numFmtId="0" fontId="28" fillId="5" borderId="0"/>
    <xf numFmtId="0" fontId="30" fillId="6" borderId="0"/>
    <xf numFmtId="0" fontId="31" fillId="7" borderId="0"/>
    <xf numFmtId="0" fontId="32" fillId="0" borderId="0"/>
    <xf numFmtId="0" fontId="33" fillId="8" borderId="0"/>
    <xf numFmtId="0" fontId="34" fillId="0" borderId="0"/>
    <xf numFmtId="0" fontId="35" fillId="0" borderId="0"/>
    <xf numFmtId="0" fontId="36" fillId="0" borderId="0"/>
    <xf numFmtId="166" fontId="1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37" fillId="9" borderId="0"/>
    <xf numFmtId="0" fontId="27" fillId="0" borderId="0"/>
    <xf numFmtId="0" fontId="19" fillId="0" borderId="0"/>
    <xf numFmtId="0" fontId="10" fillId="0" borderId="0"/>
    <xf numFmtId="0" fontId="3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1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10" fillId="0" borderId="0"/>
    <xf numFmtId="0" fontId="10" fillId="0" borderId="0"/>
    <xf numFmtId="0" fontId="39" fillId="9" borderId="6"/>
    <xf numFmtId="9" fontId="12" fillId="0" borderId="0" applyFont="0" applyFill="0" applyBorder="0" applyAlignment="0" applyProtection="0"/>
    <xf numFmtId="0" fontId="38" fillId="0" borderId="0"/>
    <xf numFmtId="0" fontId="38" fillId="0" borderId="0"/>
    <xf numFmtId="165" fontId="1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30" fillId="0" borderId="0"/>
  </cellStyleXfs>
  <cellXfs count="355">
    <xf numFmtId="0" fontId="0" fillId="0" borderId="0" xfId="0"/>
    <xf numFmtId="0" fontId="11" fillId="0" borderId="0" xfId="43" applyFont="1" applyFill="1" applyBorder="1" applyAlignment="1">
      <alignment vertical="center" wrapText="1"/>
    </xf>
    <xf numFmtId="0" fontId="10" fillId="0" borderId="1" xfId="43" applyFont="1" applyFill="1" applyBorder="1" applyAlignment="1">
      <alignment vertical="center" wrapText="1"/>
    </xf>
    <xf numFmtId="0" fontId="11" fillId="0" borderId="0" xfId="43" applyFont="1" applyFill="1" applyBorder="1" applyAlignment="1">
      <alignment horizontal="center" vertical="center" wrapText="1"/>
    </xf>
    <xf numFmtId="0" fontId="10" fillId="0" borderId="1" xfId="42" applyFont="1" applyFill="1" applyBorder="1"/>
    <xf numFmtId="0" fontId="10" fillId="0" borderId="1" xfId="42" applyFont="1" applyFill="1" applyBorder="1" applyAlignment="1">
      <alignment wrapText="1"/>
    </xf>
    <xf numFmtId="0" fontId="10" fillId="0" borderId="1" xfId="43" applyNumberFormat="1" applyFont="1" applyFill="1" applyBorder="1" applyAlignment="1">
      <alignment vertical="center" wrapText="1"/>
    </xf>
    <xf numFmtId="0" fontId="10" fillId="0" borderId="1" xfId="42" applyFont="1" applyFill="1" applyBorder="1" applyAlignment="1">
      <alignment horizontal="left"/>
    </xf>
    <xf numFmtId="0" fontId="0" fillId="0" borderId="0" xfId="0" applyFill="1"/>
    <xf numFmtId="0" fontId="18" fillId="0" borderId="1" xfId="42" applyFont="1" applyFill="1" applyBorder="1"/>
    <xf numFmtId="0" fontId="18" fillId="0" borderId="1" xfId="42" applyFont="1" applyFill="1" applyBorder="1" applyAlignment="1">
      <alignment wrapText="1"/>
    </xf>
    <xf numFmtId="0" fontId="18" fillId="0" borderId="1" xfId="43" applyNumberFormat="1" applyFont="1" applyFill="1" applyBorder="1" applyAlignment="1">
      <alignment vertical="center" wrapText="1"/>
    </xf>
    <xf numFmtId="0" fontId="18" fillId="0" borderId="1" xfId="43" applyFont="1" applyFill="1" applyBorder="1" applyAlignment="1">
      <alignment vertical="center" wrapText="1"/>
    </xf>
    <xf numFmtId="0" fontId="18" fillId="0" borderId="1" xfId="42" applyFont="1" applyFill="1" applyBorder="1" applyAlignment="1">
      <alignment horizontal="left" wrapText="1"/>
    </xf>
    <xf numFmtId="0" fontId="18" fillId="0" borderId="1" xfId="42" applyFont="1" applyFill="1" applyBorder="1" applyAlignment="1">
      <alignment horizontal="left"/>
    </xf>
    <xf numFmtId="0" fontId="18" fillId="0" borderId="1" xfId="0" applyFont="1" applyFill="1" applyBorder="1" applyAlignment="1">
      <alignment vertical="center" wrapText="1"/>
    </xf>
    <xf numFmtId="168" fontId="18" fillId="0" borderId="1" xfId="12" applyNumberFormat="1" applyFont="1" applyFill="1" applyBorder="1" applyAlignment="1">
      <alignment vertical="center" wrapText="1"/>
    </xf>
    <xf numFmtId="168" fontId="18" fillId="0" borderId="1" xfId="12" applyNumberFormat="1" applyFont="1" applyFill="1" applyBorder="1" applyAlignment="1">
      <alignment vertical="center"/>
    </xf>
    <xf numFmtId="168" fontId="18" fillId="0" borderId="1" xfId="12" applyNumberFormat="1" applyFont="1" applyFill="1" applyBorder="1"/>
    <xf numFmtId="168" fontId="10" fillId="0" borderId="1" xfId="12" applyNumberFormat="1" applyFont="1" applyFill="1" applyBorder="1" applyAlignment="1">
      <alignment vertical="center" wrapText="1"/>
    </xf>
    <xf numFmtId="168" fontId="10" fillId="0" borderId="1" xfId="12" applyNumberFormat="1" applyFont="1" applyFill="1" applyBorder="1"/>
    <xf numFmtId="168" fontId="10" fillId="0" borderId="1" xfId="0" applyNumberFormat="1" applyFont="1" applyFill="1" applyBorder="1"/>
    <xf numFmtId="0" fontId="10" fillId="0" borderId="0" xfId="43" applyFont="1" applyFill="1" applyBorder="1" applyAlignment="1">
      <alignment horizontal="center" vertical="center" wrapText="1"/>
    </xf>
    <xf numFmtId="0" fontId="10" fillId="0" borderId="0" xfId="43" applyFont="1" applyFill="1" applyBorder="1" applyAlignment="1">
      <alignment vertical="center" wrapText="1"/>
    </xf>
    <xf numFmtId="0" fontId="11" fillId="0" borderId="0" xfId="0" applyFont="1" applyFill="1" applyBorder="1" applyAlignment="1">
      <alignment vertical="center" wrapText="1"/>
    </xf>
    <xf numFmtId="0" fontId="0" fillId="0" borderId="0" xfId="0" applyFont="1"/>
    <xf numFmtId="0" fontId="11" fillId="10" borderId="0" xfId="43" applyFont="1" applyFill="1" applyBorder="1" applyAlignment="1">
      <alignment horizontal="center" vertical="center" wrapText="1"/>
    </xf>
    <xf numFmtId="165" fontId="11" fillId="0" borderId="0" xfId="48" applyFont="1" applyFill="1" applyBorder="1" applyAlignment="1">
      <alignment horizontal="center" vertical="center" wrapText="1"/>
    </xf>
    <xf numFmtId="165" fontId="0" fillId="0" borderId="0" xfId="48" applyFont="1"/>
    <xf numFmtId="0" fontId="11" fillId="0" borderId="0" xfId="0" applyFont="1" applyBorder="1" applyAlignment="1">
      <alignment vertical="center" wrapText="1"/>
    </xf>
    <xf numFmtId="0" fontId="11" fillId="11" borderId="0" xfId="0" applyFont="1" applyFill="1" applyBorder="1" applyAlignment="1">
      <alignment vertical="center" wrapText="1"/>
    </xf>
    <xf numFmtId="0" fontId="12" fillId="0" borderId="0" xfId="0" applyFont="1"/>
    <xf numFmtId="165" fontId="0" fillId="0" borderId="0" xfId="0" applyNumberFormat="1"/>
    <xf numFmtId="0" fontId="0" fillId="0" borderId="0" xfId="0" applyAlignment="1">
      <alignment wrapText="1"/>
    </xf>
    <xf numFmtId="0" fontId="0" fillId="12" borderId="0" xfId="0" applyFill="1"/>
    <xf numFmtId="44" fontId="0" fillId="0" borderId="0" xfId="0" applyNumberFormat="1"/>
    <xf numFmtId="0" fontId="40" fillId="0" borderId="0" xfId="0" applyFont="1" applyFill="1" applyAlignment="1">
      <alignment horizontal="center"/>
    </xf>
    <xf numFmtId="0" fontId="11" fillId="0" borderId="0" xfId="43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center" wrapText="1"/>
    </xf>
    <xf numFmtId="0" fontId="11" fillId="0" borderId="0" xfId="0" applyFont="1" applyBorder="1" applyAlignment="1">
      <alignment horizontal="center" wrapText="1"/>
    </xf>
    <xf numFmtId="0" fontId="11" fillId="0" borderId="0" xfId="0" applyFont="1" applyFill="1" applyBorder="1" applyAlignment="1">
      <alignment horizontal="center"/>
    </xf>
    <xf numFmtId="0" fontId="40" fillId="0" borderId="0" xfId="0" applyFont="1" applyFill="1" applyBorder="1" applyAlignment="1">
      <alignment horizontal="center" wrapText="1"/>
    </xf>
    <xf numFmtId="0" fontId="40" fillId="0" borderId="0" xfId="43" applyFont="1" applyFill="1" applyBorder="1" applyAlignment="1">
      <alignment horizontal="center" wrapText="1"/>
    </xf>
    <xf numFmtId="0" fontId="40" fillId="0" borderId="0" xfId="0" applyFont="1" applyBorder="1" applyAlignment="1">
      <alignment horizontal="center"/>
    </xf>
    <xf numFmtId="0" fontId="40" fillId="0" borderId="0" xfId="43" applyFont="1" applyBorder="1" applyAlignment="1">
      <alignment horizontal="center" wrapText="1"/>
    </xf>
    <xf numFmtId="0" fontId="40" fillId="0" borderId="0" xfId="0" applyFont="1" applyBorder="1" applyAlignment="1">
      <alignment horizontal="center" wrapText="1"/>
    </xf>
    <xf numFmtId="0" fontId="40" fillId="0" borderId="0" xfId="0" applyFont="1" applyFill="1" applyBorder="1" applyAlignment="1">
      <alignment horizontal="center"/>
    </xf>
    <xf numFmtId="0" fontId="40" fillId="0" borderId="0" xfId="43" applyFont="1" applyFill="1" applyAlignment="1">
      <alignment horizontal="center" wrapText="1"/>
    </xf>
    <xf numFmtId="0" fontId="41" fillId="0" borderId="0" xfId="0" applyFont="1" applyFill="1" applyAlignment="1">
      <alignment horizontal="center"/>
    </xf>
    <xf numFmtId="0" fontId="11" fillId="0" borderId="1" xfId="0" applyFont="1" applyBorder="1" applyAlignment="1">
      <alignment horizontal="center" wrapText="1"/>
    </xf>
    <xf numFmtId="0" fontId="11" fillId="13" borderId="0" xfId="0" applyFont="1" applyFill="1" applyBorder="1" applyAlignment="1">
      <alignment horizontal="center" wrapText="1"/>
    </xf>
    <xf numFmtId="165" fontId="12" fillId="12" borderId="0" xfId="48" applyFont="1" applyFill="1"/>
    <xf numFmtId="0" fontId="24" fillId="0" borderId="0" xfId="0" applyFont="1" applyFill="1"/>
    <xf numFmtId="0" fontId="12" fillId="0" borderId="0" xfId="0" applyFont="1" applyFill="1"/>
    <xf numFmtId="0" fontId="24" fillId="0" borderId="0" xfId="0" applyFont="1"/>
    <xf numFmtId="0" fontId="0" fillId="0" borderId="0" xfId="0" applyFont="1" applyFill="1"/>
    <xf numFmtId="165" fontId="24" fillId="0" borderId="0" xfId="48" applyFont="1"/>
    <xf numFmtId="0" fontId="41" fillId="0" borderId="0" xfId="0" applyFont="1"/>
    <xf numFmtId="166" fontId="41" fillId="0" borderId="0" xfId="12" applyFont="1"/>
    <xf numFmtId="165" fontId="41" fillId="0" borderId="0" xfId="48" applyFont="1"/>
    <xf numFmtId="165" fontId="42" fillId="0" borderId="0" xfId="48" applyFont="1"/>
    <xf numFmtId="169" fontId="41" fillId="0" borderId="0" xfId="0" applyNumberFormat="1" applyFont="1"/>
    <xf numFmtId="9" fontId="41" fillId="0" borderId="0" xfId="0" applyNumberFormat="1" applyFont="1"/>
    <xf numFmtId="165" fontId="43" fillId="0" borderId="0" xfId="48" applyFont="1"/>
    <xf numFmtId="0" fontId="40" fillId="12" borderId="0" xfId="0" applyFont="1" applyFill="1" applyBorder="1" applyAlignment="1">
      <alignment horizontal="center" wrapText="1"/>
    </xf>
    <xf numFmtId="0" fontId="40" fillId="12" borderId="0" xfId="43" applyFont="1" applyFill="1" applyBorder="1" applyAlignment="1">
      <alignment horizontal="center" wrapText="1"/>
    </xf>
    <xf numFmtId="0" fontId="0" fillId="0" borderId="0" xfId="0" applyFill="1" applyAlignment="1">
      <alignment horizontal="center"/>
    </xf>
    <xf numFmtId="165" fontId="11" fillId="0" borderId="0" xfId="48" applyFont="1" applyFill="1" applyBorder="1" applyAlignment="1">
      <alignment horizontal="center" wrapText="1"/>
    </xf>
    <xf numFmtId="165" fontId="11" fillId="0" borderId="0" xfId="48" applyFont="1" applyBorder="1" applyAlignment="1">
      <alignment horizontal="center" wrapText="1"/>
    </xf>
    <xf numFmtId="0" fontId="11" fillId="14" borderId="0" xfId="43" applyFont="1" applyFill="1" applyBorder="1" applyAlignment="1">
      <alignment horizontal="center" wrapText="1"/>
    </xf>
    <xf numFmtId="168" fontId="11" fillId="0" borderId="0" xfId="43" applyNumberFormat="1" applyFont="1" applyFill="1" applyBorder="1" applyAlignment="1">
      <alignment horizontal="center" wrapText="1"/>
    </xf>
    <xf numFmtId="165" fontId="11" fillId="15" borderId="0" xfId="48" applyFont="1" applyFill="1" applyBorder="1" applyAlignment="1">
      <alignment horizontal="center" wrapText="1"/>
    </xf>
    <xf numFmtId="168" fontId="11" fillId="15" borderId="0" xfId="43" applyNumberFormat="1" applyFont="1" applyFill="1" applyBorder="1" applyAlignment="1">
      <alignment horizontal="center" wrapText="1"/>
    </xf>
    <xf numFmtId="0" fontId="11" fillId="13" borderId="0" xfId="43" applyFont="1" applyFill="1" applyBorder="1" applyAlignment="1">
      <alignment horizontal="center" wrapText="1"/>
    </xf>
    <xf numFmtId="0" fontId="11" fillId="0" borderId="0" xfId="43" applyFont="1" applyFill="1" applyAlignment="1">
      <alignment horizontal="center" wrapText="1"/>
    </xf>
    <xf numFmtId="0" fontId="11" fillId="0" borderId="0" xfId="43" applyFont="1" applyBorder="1" applyAlignment="1">
      <alignment horizontal="center" wrapText="1"/>
    </xf>
    <xf numFmtId="0" fontId="11" fillId="0" borderId="0" xfId="43" applyFont="1" applyFill="1" applyBorder="1" applyAlignment="1">
      <alignment horizontal="center"/>
    </xf>
    <xf numFmtId="165" fontId="11" fillId="16" borderId="0" xfId="48" applyFont="1" applyFill="1" applyBorder="1" applyAlignment="1">
      <alignment horizontal="center" wrapText="1"/>
    </xf>
    <xf numFmtId="168" fontId="11" fillId="16" borderId="0" xfId="43" applyNumberFormat="1" applyFont="1" applyFill="1" applyBorder="1" applyAlignment="1">
      <alignment horizontal="center" wrapText="1"/>
    </xf>
    <xf numFmtId="165" fontId="11" fillId="13" borderId="0" xfId="48" applyFont="1" applyFill="1" applyBorder="1" applyAlignment="1">
      <alignment horizontal="center" wrapText="1"/>
    </xf>
    <xf numFmtId="0" fontId="11" fillId="11" borderId="0" xfId="0" applyFont="1" applyFill="1" applyBorder="1" applyAlignment="1">
      <alignment horizontal="center" wrapText="1"/>
    </xf>
    <xf numFmtId="0" fontId="44" fillId="13" borderId="0" xfId="43" applyFont="1" applyFill="1" applyBorder="1" applyAlignment="1">
      <alignment horizontal="center" wrapText="1"/>
    </xf>
    <xf numFmtId="0" fontId="44" fillId="0" borderId="0" xfId="43" applyFont="1" applyFill="1" applyBorder="1" applyAlignment="1">
      <alignment horizontal="center" wrapText="1"/>
    </xf>
    <xf numFmtId="166" fontId="11" fillId="0" borderId="0" xfId="43" applyNumberFormat="1" applyFont="1" applyFill="1" applyBorder="1" applyAlignment="1">
      <alignment horizontal="center" wrapText="1"/>
    </xf>
    <xf numFmtId="0" fontId="0" fillId="0" borderId="0" xfId="0" applyFill="1" applyBorder="1" applyAlignment="1">
      <alignment horizontal="center"/>
    </xf>
    <xf numFmtId="0" fontId="0" fillId="13" borderId="0" xfId="0" applyFill="1" applyAlignment="1">
      <alignment horizontal="center"/>
    </xf>
    <xf numFmtId="168" fontId="11" fillId="13" borderId="0" xfId="43" applyNumberFormat="1" applyFont="1" applyFill="1" applyBorder="1" applyAlignment="1">
      <alignment horizontal="center" wrapText="1"/>
    </xf>
    <xf numFmtId="44" fontId="11" fillId="0" borderId="0" xfId="43" applyNumberFormat="1" applyFont="1" applyFill="1" applyBorder="1" applyAlignment="1">
      <alignment horizontal="center" wrapText="1"/>
    </xf>
    <xf numFmtId="0" fontId="0" fillId="0" borderId="0" xfId="0" applyAlignment="1">
      <alignment horizontal="right"/>
    </xf>
    <xf numFmtId="0" fontId="24" fillId="0" borderId="0" xfId="0" applyFont="1" applyAlignment="1">
      <alignment horizontal="right"/>
    </xf>
    <xf numFmtId="44" fontId="24" fillId="0" borderId="0" xfId="0" applyNumberFormat="1" applyFont="1"/>
    <xf numFmtId="0" fontId="41" fillId="0" borderId="0" xfId="0" applyFont="1" applyAlignment="1">
      <alignment horizontal="right"/>
    </xf>
    <xf numFmtId="0" fontId="42" fillId="0" borderId="0" xfId="0" applyFont="1" applyAlignment="1">
      <alignment horizontal="right"/>
    </xf>
    <xf numFmtId="44" fontId="0" fillId="12" borderId="0" xfId="0" applyNumberFormat="1" applyFill="1"/>
    <xf numFmtId="165" fontId="0" fillId="0" borderId="0" xfId="48" applyFont="1" applyFill="1" applyBorder="1"/>
    <xf numFmtId="165" fontId="11" fillId="14" borderId="0" xfId="48" applyFont="1" applyFill="1" applyBorder="1" applyAlignment="1">
      <alignment horizontal="center" wrapText="1"/>
    </xf>
    <xf numFmtId="165" fontId="12" fillId="17" borderId="0" xfId="48" applyFont="1" applyFill="1"/>
    <xf numFmtId="0" fontId="40" fillId="13" borderId="0" xfId="0" applyFont="1" applyFill="1" applyBorder="1" applyAlignment="1">
      <alignment horizontal="center" wrapText="1"/>
    </xf>
    <xf numFmtId="14" fontId="40" fillId="0" borderId="0" xfId="0" applyNumberFormat="1" applyFont="1" applyFill="1" applyBorder="1" applyAlignment="1">
      <alignment horizontal="center" wrapText="1"/>
    </xf>
    <xf numFmtId="14" fontId="40" fillId="0" borderId="0" xfId="0" applyNumberFormat="1" applyFont="1" applyFill="1" applyAlignment="1">
      <alignment horizontal="center"/>
    </xf>
    <xf numFmtId="0" fontId="23" fillId="0" borderId="0" xfId="43" applyFont="1" applyFill="1" applyBorder="1" applyAlignment="1">
      <alignment horizontal="center" vertical="top" wrapText="1"/>
    </xf>
    <xf numFmtId="165" fontId="11" fillId="10" borderId="0" xfId="48" applyFont="1" applyFill="1" applyBorder="1" applyAlignment="1">
      <alignment horizontal="center" vertical="top" wrapText="1"/>
    </xf>
    <xf numFmtId="0" fontId="11" fillId="10" borderId="0" xfId="43" applyFont="1" applyFill="1" applyBorder="1" applyAlignment="1">
      <alignment horizontal="center" vertical="top"/>
    </xf>
    <xf numFmtId="0" fontId="11" fillId="10" borderId="0" xfId="43" applyFont="1" applyFill="1" applyBorder="1" applyAlignment="1">
      <alignment horizontal="center" vertical="top" wrapText="1"/>
    </xf>
    <xf numFmtId="0" fontId="11" fillId="18" borderId="0" xfId="43" applyFont="1" applyFill="1" applyBorder="1" applyAlignment="1">
      <alignment horizontal="center" vertical="top" wrapText="1"/>
    </xf>
    <xf numFmtId="165" fontId="11" fillId="18" borderId="0" xfId="48" applyFont="1" applyFill="1" applyBorder="1" applyAlignment="1">
      <alignment horizontal="center" vertical="top" wrapText="1"/>
    </xf>
    <xf numFmtId="165" fontId="11" fillId="0" borderId="0" xfId="48" applyFont="1" applyFill="1" applyBorder="1" applyAlignment="1">
      <alignment horizontal="center" vertical="top" wrapText="1"/>
    </xf>
    <xf numFmtId="165" fontId="11" fillId="19" borderId="0" xfId="48" applyFont="1" applyFill="1" applyBorder="1" applyAlignment="1">
      <alignment horizontal="center" vertical="top" wrapText="1"/>
    </xf>
    <xf numFmtId="0" fontId="45" fillId="0" borderId="0" xfId="42" applyFont="1" applyFill="1" applyBorder="1" applyAlignment="1">
      <alignment horizontal="center" vertical="top" wrapText="1"/>
    </xf>
    <xf numFmtId="0" fontId="45" fillId="0" borderId="0" xfId="43" applyFont="1" applyFill="1" applyBorder="1" applyAlignment="1">
      <alignment horizontal="center" vertical="top" wrapText="1"/>
    </xf>
    <xf numFmtId="0" fontId="45" fillId="0" borderId="0" xfId="0" applyFont="1" applyBorder="1" applyAlignment="1">
      <alignment horizontal="center" vertical="top" wrapText="1"/>
    </xf>
    <xf numFmtId="0" fontId="11" fillId="0" borderId="0" xfId="43" applyFont="1" applyFill="1" applyBorder="1" applyAlignment="1">
      <alignment horizontal="center" vertical="top" wrapText="1"/>
    </xf>
    <xf numFmtId="49" fontId="17" fillId="0" borderId="2" xfId="43" applyNumberFormat="1" applyFont="1" applyFill="1" applyBorder="1" applyAlignment="1">
      <alignment horizontal="center" wrapText="1"/>
    </xf>
    <xf numFmtId="2" fontId="17" fillId="0" borderId="2" xfId="43" applyNumberFormat="1" applyFont="1" applyFill="1" applyBorder="1" applyAlignment="1">
      <alignment horizontal="center" wrapText="1"/>
    </xf>
    <xf numFmtId="49" fontId="40" fillId="0" borderId="0" xfId="43" applyNumberFormat="1" applyFont="1" applyFill="1" applyBorder="1" applyAlignment="1">
      <alignment horizontal="center" wrapText="1"/>
    </xf>
    <xf numFmtId="49" fontId="40" fillId="0" borderId="0" xfId="0" applyNumberFormat="1" applyFont="1" applyFill="1" applyBorder="1" applyAlignment="1">
      <alignment horizontal="center"/>
    </xf>
    <xf numFmtId="49" fontId="40" fillId="0" borderId="0" xfId="0" applyNumberFormat="1" applyFont="1" applyFill="1" applyBorder="1" applyAlignment="1">
      <alignment horizontal="center" wrapText="1"/>
    </xf>
    <xf numFmtId="49" fontId="40" fillId="0" borderId="0" xfId="0" applyNumberFormat="1" applyFont="1" applyFill="1" applyAlignment="1">
      <alignment horizontal="center"/>
    </xf>
    <xf numFmtId="49" fontId="40" fillId="0" borderId="0" xfId="0" applyNumberFormat="1" applyFont="1" applyBorder="1" applyAlignment="1">
      <alignment horizontal="center" wrapText="1"/>
    </xf>
    <xf numFmtId="49" fontId="11" fillId="0" borderId="0" xfId="43" applyNumberFormat="1" applyFont="1" applyFill="1" applyBorder="1" applyAlignment="1">
      <alignment horizontal="center" wrapText="1"/>
    </xf>
    <xf numFmtId="1" fontId="17" fillId="0" borderId="2" xfId="43" applyNumberFormat="1" applyFont="1" applyFill="1" applyBorder="1" applyAlignment="1">
      <alignment horizontal="center" wrapText="1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17" fillId="0" borderId="1" xfId="43" applyFont="1" applyFill="1" applyBorder="1" applyAlignment="1">
      <alignment horizontal="center" vertical="center" wrapText="1"/>
    </xf>
    <xf numFmtId="49" fontId="0" fillId="0" borderId="0" xfId="0" applyNumberFormat="1" applyFill="1"/>
    <xf numFmtId="0" fontId="11" fillId="0" borderId="0" xfId="45" applyNumberFormat="1" applyFont="1" applyFill="1" applyBorder="1" applyAlignment="1">
      <alignment horizontal="center" wrapText="1"/>
    </xf>
    <xf numFmtId="0" fontId="11" fillId="0" borderId="0" xfId="43" applyNumberFormat="1" applyFont="1" applyFill="1" applyBorder="1" applyAlignment="1">
      <alignment horizontal="center" wrapText="1"/>
    </xf>
    <xf numFmtId="165" fontId="11" fillId="0" borderId="0" xfId="0" applyNumberFormat="1" applyFont="1" applyFill="1" applyBorder="1" applyAlignment="1">
      <alignment horizontal="center" wrapText="1"/>
    </xf>
    <xf numFmtId="44" fontId="11" fillId="15" borderId="0" xfId="43" applyNumberFormat="1" applyFont="1" applyFill="1" applyBorder="1" applyAlignment="1">
      <alignment horizontal="center" wrapText="1"/>
    </xf>
    <xf numFmtId="165" fontId="11" fillId="18" borderId="0" xfId="48" applyFont="1" applyFill="1" applyBorder="1" applyAlignment="1">
      <alignment horizontal="center" wrapText="1"/>
    </xf>
    <xf numFmtId="44" fontId="11" fillId="18" borderId="0" xfId="43" applyNumberFormat="1" applyFont="1" applyFill="1" applyBorder="1" applyAlignment="1">
      <alignment horizontal="center" wrapText="1"/>
    </xf>
    <xf numFmtId="166" fontId="0" fillId="0" borderId="0" xfId="12" applyFont="1"/>
    <xf numFmtId="166" fontId="0" fillId="0" borderId="0" xfId="0" applyNumberFormat="1"/>
    <xf numFmtId="43" fontId="0" fillId="0" borderId="0" xfId="0" applyNumberFormat="1"/>
    <xf numFmtId="9" fontId="41" fillId="0" borderId="0" xfId="0" applyNumberFormat="1" applyFont="1" applyAlignment="1">
      <alignment wrapText="1"/>
    </xf>
    <xf numFmtId="43" fontId="43" fillId="0" borderId="0" xfId="0" applyNumberFormat="1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2" fillId="0" borderId="0" xfId="43" applyFont="1" applyFill="1" applyBorder="1" applyAlignment="1">
      <alignment horizontal="right" wrapText="1"/>
    </xf>
    <xf numFmtId="0" fontId="11" fillId="20" borderId="0" xfId="43" applyFont="1" applyFill="1" applyBorder="1" applyAlignment="1">
      <alignment vertical="center" wrapText="1"/>
    </xf>
    <xf numFmtId="0" fontId="0" fillId="20" borderId="0" xfId="0" applyFill="1"/>
    <xf numFmtId="170" fontId="41" fillId="0" borderId="0" xfId="48" applyNumberFormat="1" applyFont="1"/>
    <xf numFmtId="165" fontId="24" fillId="0" borderId="0" xfId="0" applyNumberFormat="1" applyFont="1"/>
    <xf numFmtId="0" fontId="0" fillId="0" borderId="0" xfId="0" applyFont="1" applyAlignment="1">
      <alignment horizontal="left" vertical="center" wrapText="1"/>
    </xf>
    <xf numFmtId="0" fontId="11" fillId="0" borderId="0" xfId="0" applyFont="1" applyFill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1" fillId="0" borderId="0" xfId="31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 wrapText="1"/>
    </xf>
    <xf numFmtId="0" fontId="22" fillId="0" borderId="0" xfId="42" applyFont="1" applyFill="1" applyBorder="1" applyAlignment="1">
      <alignment horizontal="center" vertical="center" wrapText="1"/>
    </xf>
    <xf numFmtId="0" fontId="23" fillId="0" borderId="0" xfId="43" applyFont="1" applyFill="1" applyBorder="1" applyAlignment="1">
      <alignment horizontal="center" vertical="center" wrapText="1"/>
    </xf>
    <xf numFmtId="0" fontId="17" fillId="2" borderId="1" xfId="43" applyFont="1" applyFill="1" applyBorder="1" applyAlignment="1">
      <alignment horizontal="center" vertical="center" wrapText="1"/>
    </xf>
    <xf numFmtId="2" fontId="17" fillId="2" borderId="1" xfId="43" applyNumberFormat="1" applyFont="1" applyFill="1" applyBorder="1" applyAlignment="1">
      <alignment horizontal="center" vertical="center" wrapText="1"/>
    </xf>
    <xf numFmtId="167" fontId="10" fillId="0" borderId="1" xfId="42" applyNumberFormat="1" applyFont="1" applyFill="1" applyBorder="1" applyAlignment="1">
      <alignment horizontal="center" vertical="center"/>
    </xf>
    <xf numFmtId="0" fontId="10" fillId="0" borderId="1" xfId="43" applyFont="1" applyFill="1" applyBorder="1" applyAlignment="1">
      <alignment horizontal="center" vertical="center" wrapText="1"/>
    </xf>
    <xf numFmtId="20" fontId="10" fillId="0" borderId="1" xfId="43" applyNumberFormat="1" applyFont="1" applyFill="1" applyBorder="1" applyAlignment="1">
      <alignment horizontal="center" vertical="center" wrapText="1"/>
    </xf>
    <xf numFmtId="0" fontId="10" fillId="0" borderId="1" xfId="43" applyNumberFormat="1" applyFont="1" applyFill="1" applyBorder="1" applyAlignment="1">
      <alignment horizontal="center" vertical="center" wrapText="1"/>
    </xf>
    <xf numFmtId="2" fontId="10" fillId="0" borderId="1" xfId="43" applyNumberFormat="1" applyFont="1" applyFill="1" applyBorder="1" applyAlignment="1">
      <alignment horizontal="center" vertical="center" wrapText="1"/>
    </xf>
    <xf numFmtId="1" fontId="10" fillId="0" borderId="1" xfId="43" applyNumberFormat="1" applyFont="1" applyFill="1" applyBorder="1" applyAlignment="1">
      <alignment horizontal="center" vertical="center" wrapText="1"/>
    </xf>
    <xf numFmtId="168" fontId="10" fillId="0" borderId="1" xfId="12" applyNumberFormat="1" applyFont="1" applyFill="1" applyBorder="1" applyAlignment="1">
      <alignment horizontal="center" vertical="center" wrapText="1"/>
    </xf>
    <xf numFmtId="166" fontId="10" fillId="0" borderId="1" xfId="12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 wrapText="1"/>
    </xf>
    <xf numFmtId="0" fontId="11" fillId="0" borderId="0" xfId="0" applyFont="1" applyFill="1" applyAlignment="1">
      <alignment horizontal="center" vertical="center" wrapText="1"/>
    </xf>
    <xf numFmtId="0" fontId="10" fillId="0" borderId="1" xfId="42" applyFont="1" applyFill="1" applyBorder="1" applyAlignment="1">
      <alignment horizontal="center" vertical="center"/>
    </xf>
    <xf numFmtId="20" fontId="10" fillId="0" borderId="1" xfId="42" applyNumberFormat="1" applyFont="1" applyFill="1" applyBorder="1" applyAlignment="1">
      <alignment horizontal="center" vertical="center"/>
    </xf>
    <xf numFmtId="0" fontId="10" fillId="0" borderId="1" xfId="42" applyFont="1" applyFill="1" applyBorder="1" applyAlignment="1">
      <alignment horizontal="center" vertical="center" wrapText="1"/>
    </xf>
    <xf numFmtId="1" fontId="10" fillId="0" borderId="1" xfId="42" applyNumberFormat="1" applyFont="1" applyFill="1" applyBorder="1" applyAlignment="1">
      <alignment horizontal="center" vertical="center"/>
    </xf>
    <xf numFmtId="20" fontId="10" fillId="13" borderId="1" xfId="43" applyNumberFormat="1" applyFont="1" applyFill="1" applyBorder="1" applyAlignment="1">
      <alignment horizontal="center" vertical="center" wrapText="1"/>
    </xf>
    <xf numFmtId="0" fontId="10" fillId="13" borderId="1" xfId="43" applyFont="1" applyFill="1" applyBorder="1" applyAlignment="1">
      <alignment horizontal="center" vertical="center" wrapText="1"/>
    </xf>
    <xf numFmtId="0" fontId="11" fillId="0" borderId="0" xfId="0" applyFont="1" applyFill="1" applyAlignment="1">
      <alignment horizontal="center" vertical="center"/>
    </xf>
    <xf numFmtId="20" fontId="10" fillId="13" borderId="1" xfId="42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68" fontId="10" fillId="13" borderId="1" xfId="12" applyNumberFormat="1" applyFont="1" applyFill="1" applyBorder="1" applyAlignment="1">
      <alignment horizontal="center" vertical="center" wrapText="1"/>
    </xf>
    <xf numFmtId="0" fontId="22" fillId="0" borderId="0" xfId="43" applyFont="1" applyFill="1" applyBorder="1" applyAlignment="1">
      <alignment horizontal="center" vertical="center" wrapText="1"/>
    </xf>
    <xf numFmtId="0" fontId="23" fillId="13" borderId="0" xfId="43" applyFont="1" applyFill="1" applyBorder="1" applyAlignment="1">
      <alignment horizontal="center" vertical="center" wrapText="1"/>
    </xf>
    <xf numFmtId="0" fontId="11" fillId="0" borderId="0" xfId="43" applyFont="1" applyBorder="1" applyAlignment="1">
      <alignment horizontal="center" vertical="center" wrapText="1"/>
    </xf>
    <xf numFmtId="0" fontId="21" fillId="0" borderId="0" xfId="0" applyFont="1" applyFill="1" applyAlignment="1">
      <alignment horizontal="center" vertical="center" wrapText="1"/>
    </xf>
    <xf numFmtId="0" fontId="11" fillId="0" borderId="0" xfId="31" applyFont="1" applyFill="1" applyBorder="1" applyAlignment="1">
      <alignment horizontal="center" vertical="center" wrapText="1"/>
    </xf>
    <xf numFmtId="0" fontId="10" fillId="13" borderId="1" xfId="42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1" fillId="0" borderId="0" xfId="31" applyFont="1" applyBorder="1" applyAlignment="1">
      <alignment horizontal="center" vertical="center" wrapText="1"/>
    </xf>
    <xf numFmtId="2" fontId="10" fillId="13" borderId="1" xfId="43" applyNumberFormat="1" applyFont="1" applyFill="1" applyBorder="1" applyAlignment="1">
      <alignment horizontal="center" vertical="center" wrapText="1"/>
    </xf>
    <xf numFmtId="0" fontId="10" fillId="13" borderId="1" xfId="42" applyFont="1" applyFill="1" applyBorder="1" applyAlignment="1">
      <alignment horizontal="center" vertical="center"/>
    </xf>
    <xf numFmtId="1" fontId="10" fillId="13" borderId="1" xfId="43" applyNumberFormat="1" applyFont="1" applyFill="1" applyBorder="1" applyAlignment="1">
      <alignment horizontal="center" vertical="center" wrapText="1"/>
    </xf>
    <xf numFmtId="0" fontId="10" fillId="13" borderId="1" xfId="43" applyNumberFormat="1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20" fontId="10" fillId="13" borderId="1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1" fontId="10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20" fontId="10" fillId="0" borderId="1" xfId="0" applyNumberFormat="1" applyFont="1" applyFill="1" applyBorder="1" applyAlignment="1">
      <alignment horizontal="center" vertical="center"/>
    </xf>
    <xf numFmtId="168" fontId="10" fillId="0" borderId="1" xfId="12" applyNumberFormat="1" applyFont="1" applyFill="1" applyBorder="1" applyAlignment="1">
      <alignment horizontal="center" vertical="center"/>
    </xf>
    <xf numFmtId="0" fontId="20" fillId="0" borderId="1" xfId="43" applyFont="1" applyFill="1" applyBorder="1" applyAlignment="1">
      <alignment horizontal="center" vertical="center" wrapText="1"/>
    </xf>
    <xf numFmtId="0" fontId="11" fillId="0" borderId="1" xfId="31" applyFont="1" applyFill="1" applyBorder="1" applyAlignment="1">
      <alignment horizontal="center" vertical="center" wrapText="1"/>
    </xf>
    <xf numFmtId="0" fontId="11" fillId="0" borderId="1" xfId="31" applyFont="1" applyBorder="1" applyAlignment="1">
      <alignment horizontal="center" vertical="center" wrapText="1"/>
    </xf>
    <xf numFmtId="168" fontId="10" fillId="13" borderId="1" xfId="12" applyNumberFormat="1" applyFont="1" applyFill="1" applyBorder="1" applyAlignment="1">
      <alignment horizontal="center" vertical="center"/>
    </xf>
    <xf numFmtId="20" fontId="10" fillId="0" borderId="3" xfId="43" applyNumberFormat="1" applyFont="1" applyFill="1" applyBorder="1" applyAlignment="1">
      <alignment horizontal="center" vertical="center" wrapText="1"/>
    </xf>
    <xf numFmtId="0" fontId="10" fillId="0" borderId="3" xfId="43" applyFont="1" applyFill="1" applyBorder="1" applyAlignment="1">
      <alignment horizontal="center" vertical="center" wrapText="1"/>
    </xf>
    <xf numFmtId="0" fontId="10" fillId="13" borderId="1" xfId="0" applyFont="1" applyFill="1" applyBorder="1" applyAlignment="1">
      <alignment horizontal="center" vertical="center" wrapText="1"/>
    </xf>
    <xf numFmtId="0" fontId="10" fillId="0" borderId="4" xfId="43" applyFont="1" applyFill="1" applyBorder="1" applyAlignment="1">
      <alignment horizontal="center" vertical="center" wrapText="1"/>
    </xf>
    <xf numFmtId="20" fontId="10" fillId="0" borderId="1" xfId="0" applyNumberFormat="1" applyFont="1" applyFill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center" vertical="center" wrapText="1"/>
    </xf>
    <xf numFmtId="20" fontId="10" fillId="13" borderId="1" xfId="42" applyNumberFormat="1" applyFont="1" applyFill="1" applyBorder="1" applyAlignment="1">
      <alignment horizontal="center" vertical="center" wrapText="1"/>
    </xf>
    <xf numFmtId="49" fontId="11" fillId="0" borderId="0" xfId="0" applyNumberFormat="1" applyFont="1" applyBorder="1" applyAlignment="1">
      <alignment horizontal="center" vertical="center" wrapText="1"/>
    </xf>
    <xf numFmtId="0" fontId="25" fillId="0" borderId="0" xfId="0" applyFont="1" applyBorder="1" applyAlignment="1">
      <alignment horizontal="center" vertical="center" wrapText="1"/>
    </xf>
    <xf numFmtId="0" fontId="12" fillId="0" borderId="0" xfId="0" applyFont="1" applyFill="1" applyAlignment="1">
      <alignment horizontal="center" vertical="center" wrapText="1"/>
    </xf>
    <xf numFmtId="168" fontId="10" fillId="0" borderId="1" xfId="0" applyNumberFormat="1" applyFont="1" applyFill="1" applyBorder="1" applyAlignment="1">
      <alignment horizontal="center" vertical="center"/>
    </xf>
    <xf numFmtId="2" fontId="11" fillId="0" borderId="0" xfId="43" applyNumberFormat="1" applyFont="1" applyFill="1" applyBorder="1" applyAlignment="1">
      <alignment horizontal="center" vertical="center" wrapText="1"/>
    </xf>
    <xf numFmtId="1" fontId="11" fillId="0" borderId="0" xfId="43" applyNumberFormat="1" applyFont="1" applyFill="1" applyBorder="1" applyAlignment="1">
      <alignment horizontal="center" vertical="center" wrapText="1"/>
    </xf>
    <xf numFmtId="168" fontId="11" fillId="0" borderId="0" xfId="12" applyNumberFormat="1" applyFont="1" applyFill="1" applyBorder="1" applyAlignment="1">
      <alignment horizontal="center" vertical="center" wrapText="1"/>
    </xf>
    <xf numFmtId="2" fontId="11" fillId="0" borderId="0" xfId="12" applyNumberFormat="1" applyFont="1" applyFill="1" applyBorder="1" applyAlignment="1">
      <alignment horizontal="center" vertical="center" wrapText="1"/>
    </xf>
    <xf numFmtId="2" fontId="11" fillId="0" borderId="0" xfId="43" applyNumberFormat="1" applyFont="1" applyBorder="1" applyAlignment="1">
      <alignment horizontal="center" vertical="center" wrapText="1"/>
    </xf>
    <xf numFmtId="168" fontId="11" fillId="0" borderId="0" xfId="12" applyNumberFormat="1" applyFont="1" applyBorder="1" applyAlignment="1">
      <alignment horizontal="center" vertical="center" wrapText="1"/>
    </xf>
    <xf numFmtId="0" fontId="11" fillId="13" borderId="0" xfId="0" applyFont="1" applyFill="1" applyBorder="1" applyAlignment="1">
      <alignment horizontal="center" vertical="center" wrapText="1"/>
    </xf>
    <xf numFmtId="20" fontId="10" fillId="0" borderId="1" xfId="43" applyNumberFormat="1" applyFont="1" applyFill="1" applyBorder="1" applyAlignment="1">
      <alignment horizontal="center" wrapText="1"/>
    </xf>
    <xf numFmtId="0" fontId="10" fillId="13" borderId="1" xfId="43" applyFont="1" applyFill="1" applyBorder="1" applyAlignment="1">
      <alignment horizontal="center" wrapText="1"/>
    </xf>
    <xf numFmtId="20" fontId="10" fillId="13" borderId="1" xfId="43" applyNumberFormat="1" applyFont="1" applyFill="1" applyBorder="1" applyAlignment="1">
      <alignment horizontal="center" wrapText="1"/>
    </xf>
    <xf numFmtId="0" fontId="11" fillId="21" borderId="0" xfId="43" applyFont="1" applyFill="1" applyBorder="1" applyAlignment="1">
      <alignment horizontal="center" vertical="center" wrapText="1"/>
    </xf>
    <xf numFmtId="0" fontId="23" fillId="21" borderId="0" xfId="43" applyFont="1" applyFill="1" applyBorder="1" applyAlignment="1">
      <alignment horizontal="center" vertical="center" wrapText="1"/>
    </xf>
    <xf numFmtId="0" fontId="10" fillId="21" borderId="1" xfId="43" applyFont="1" applyFill="1" applyBorder="1" applyAlignment="1">
      <alignment horizontal="center" vertical="center" wrapText="1"/>
    </xf>
    <xf numFmtId="0" fontId="10" fillId="21" borderId="1" xfId="43" applyNumberFormat="1" applyFont="1" applyFill="1" applyBorder="1" applyAlignment="1">
      <alignment horizontal="center" vertical="center" wrapText="1"/>
    </xf>
    <xf numFmtId="20" fontId="10" fillId="21" borderId="1" xfId="43" applyNumberFormat="1" applyFont="1" applyFill="1" applyBorder="1" applyAlignment="1">
      <alignment horizontal="center" vertical="center" wrapText="1"/>
    </xf>
    <xf numFmtId="2" fontId="10" fillId="21" borderId="1" xfId="43" applyNumberFormat="1" applyFont="1" applyFill="1" applyBorder="1" applyAlignment="1">
      <alignment horizontal="center" vertical="center" wrapText="1"/>
    </xf>
    <xf numFmtId="1" fontId="10" fillId="21" borderId="1" xfId="43" applyNumberFormat="1" applyFont="1" applyFill="1" applyBorder="1" applyAlignment="1">
      <alignment horizontal="center" vertical="center" wrapText="1"/>
    </xf>
    <xf numFmtId="168" fontId="10" fillId="21" borderId="1" xfId="12" applyNumberFormat="1" applyFont="1" applyFill="1" applyBorder="1" applyAlignment="1">
      <alignment horizontal="center" vertical="center"/>
    </xf>
    <xf numFmtId="166" fontId="10" fillId="21" borderId="1" xfId="12" applyFont="1" applyFill="1" applyBorder="1" applyAlignment="1">
      <alignment horizontal="center" vertical="center" wrapText="1"/>
    </xf>
    <xf numFmtId="0" fontId="11" fillId="21" borderId="1" xfId="0" applyFont="1" applyFill="1" applyBorder="1" applyAlignment="1">
      <alignment horizontal="center" vertical="center" wrapText="1"/>
    </xf>
    <xf numFmtId="0" fontId="11" fillId="21" borderId="0" xfId="0" applyFont="1" applyFill="1" applyBorder="1" applyAlignment="1">
      <alignment horizontal="center" wrapText="1"/>
    </xf>
    <xf numFmtId="0" fontId="11" fillId="21" borderId="0" xfId="43" applyFont="1" applyFill="1" applyBorder="1" applyAlignment="1">
      <alignment horizontal="center" wrapText="1"/>
    </xf>
    <xf numFmtId="44" fontId="11" fillId="21" borderId="0" xfId="43" applyNumberFormat="1" applyFont="1" applyFill="1" applyBorder="1" applyAlignment="1">
      <alignment horizontal="center" wrapText="1"/>
    </xf>
    <xf numFmtId="165" fontId="11" fillId="21" borderId="0" xfId="48" applyFont="1" applyFill="1" applyBorder="1" applyAlignment="1">
      <alignment horizontal="center" wrapText="1"/>
    </xf>
    <xf numFmtId="168" fontId="10" fillId="21" borderId="1" xfId="12" applyNumberFormat="1" applyFont="1" applyFill="1" applyBorder="1" applyAlignment="1">
      <alignment horizontal="center" vertical="center" wrapText="1"/>
    </xf>
    <xf numFmtId="0" fontId="40" fillId="21" borderId="0" xfId="0" applyFont="1" applyFill="1" applyBorder="1" applyAlignment="1">
      <alignment horizontal="center" wrapText="1"/>
    </xf>
    <xf numFmtId="0" fontId="10" fillId="21" borderId="1" xfId="42" applyFont="1" applyFill="1" applyBorder="1" applyAlignment="1">
      <alignment horizontal="center" vertical="center"/>
    </xf>
    <xf numFmtId="20" fontId="10" fillId="21" borderId="1" xfId="42" applyNumberFormat="1" applyFont="1" applyFill="1" applyBorder="1" applyAlignment="1">
      <alignment horizontal="center" vertical="center"/>
    </xf>
    <xf numFmtId="0" fontId="10" fillId="21" borderId="1" xfId="42" applyFont="1" applyFill="1" applyBorder="1" applyAlignment="1">
      <alignment horizontal="center" vertical="center" wrapText="1"/>
    </xf>
    <xf numFmtId="1" fontId="10" fillId="21" borderId="1" xfId="42" applyNumberFormat="1" applyFont="1" applyFill="1" applyBorder="1" applyAlignment="1">
      <alignment horizontal="center" vertical="center"/>
    </xf>
    <xf numFmtId="0" fontId="10" fillId="21" borderId="1" xfId="0" applyFont="1" applyFill="1" applyBorder="1" applyAlignment="1">
      <alignment horizontal="center" vertical="center"/>
    </xf>
    <xf numFmtId="20" fontId="10" fillId="21" borderId="1" xfId="0" applyNumberFormat="1" applyFont="1" applyFill="1" applyBorder="1" applyAlignment="1">
      <alignment horizontal="center" vertical="center"/>
    </xf>
    <xf numFmtId="0" fontId="10" fillId="21" borderId="1" xfId="0" applyFont="1" applyFill="1" applyBorder="1" applyAlignment="1">
      <alignment horizontal="center" vertical="center" wrapText="1"/>
    </xf>
    <xf numFmtId="1" fontId="10" fillId="21" borderId="1" xfId="0" applyNumberFormat="1" applyFont="1" applyFill="1" applyBorder="1" applyAlignment="1">
      <alignment horizontal="center" vertical="center"/>
    </xf>
    <xf numFmtId="0" fontId="11" fillId="21" borderId="0" xfId="0" applyFont="1" applyFill="1" applyBorder="1" applyAlignment="1">
      <alignment horizontal="center" vertical="center" wrapText="1"/>
    </xf>
    <xf numFmtId="168" fontId="11" fillId="21" borderId="0" xfId="43" applyNumberFormat="1" applyFont="1" applyFill="1" applyBorder="1" applyAlignment="1">
      <alignment horizontal="center" wrapText="1"/>
    </xf>
    <xf numFmtId="14" fontId="40" fillId="21" borderId="0" xfId="0" applyNumberFormat="1" applyFont="1" applyFill="1" applyBorder="1" applyAlignment="1">
      <alignment horizontal="center" wrapText="1"/>
    </xf>
    <xf numFmtId="0" fontId="40" fillId="21" borderId="0" xfId="43" applyFont="1" applyFill="1" applyBorder="1" applyAlignment="1">
      <alignment horizontal="center" wrapText="1"/>
    </xf>
    <xf numFmtId="14" fontId="40" fillId="21" borderId="0" xfId="0" applyNumberFormat="1" applyFont="1" applyFill="1" applyAlignment="1">
      <alignment horizontal="center"/>
    </xf>
    <xf numFmtId="0" fontId="11" fillId="21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22" fillId="0" borderId="0" xfId="43" applyFont="1" applyFill="1" applyBorder="1" applyAlignment="1">
      <alignment horizontal="center" wrapText="1"/>
    </xf>
    <xf numFmtId="49" fontId="45" fillId="0" borderId="0" xfId="0" applyNumberFormat="1" applyFont="1" applyFill="1" applyBorder="1" applyAlignment="1">
      <alignment horizontal="center"/>
    </xf>
    <xf numFmtId="49" fontId="45" fillId="0" borderId="0" xfId="0" applyNumberFormat="1" applyFont="1" applyFill="1" applyBorder="1" applyAlignment="1">
      <alignment horizontal="center" wrapText="1"/>
    </xf>
    <xf numFmtId="49" fontId="45" fillId="0" borderId="0" xfId="43" applyNumberFormat="1" applyFont="1" applyFill="1" applyBorder="1" applyAlignment="1">
      <alignment horizontal="center" wrapText="1"/>
    </xf>
    <xf numFmtId="0" fontId="45" fillId="0" borderId="0" xfId="0" applyFont="1" applyFill="1" applyBorder="1" applyAlignment="1">
      <alignment horizontal="center"/>
    </xf>
    <xf numFmtId="0" fontId="45" fillId="0" borderId="0" xfId="43" applyFont="1" applyFill="1" applyBorder="1" applyAlignment="1">
      <alignment horizontal="center" wrapText="1"/>
    </xf>
    <xf numFmtId="49" fontId="45" fillId="0" borderId="0" xfId="0" applyNumberFormat="1" applyFont="1" applyFill="1" applyAlignment="1">
      <alignment horizontal="center"/>
    </xf>
    <xf numFmtId="166" fontId="11" fillId="0" borderId="0" xfId="12" applyFont="1" applyFill="1" applyBorder="1" applyAlignment="1">
      <alignment horizontal="center" wrapText="1"/>
    </xf>
    <xf numFmtId="20" fontId="10" fillId="13" borderId="5" xfId="0" applyNumberFormat="1" applyFont="1" applyFill="1" applyBorder="1" applyAlignment="1">
      <alignment horizontal="center" vertical="center" wrapText="1"/>
    </xf>
    <xf numFmtId="0" fontId="10" fillId="13" borderId="5" xfId="0" applyFont="1" applyFill="1" applyBorder="1" applyAlignment="1">
      <alignment horizontal="center" vertical="center" wrapText="1"/>
    </xf>
    <xf numFmtId="165" fontId="0" fillId="12" borderId="0" xfId="48" applyFont="1" applyFill="1"/>
    <xf numFmtId="44" fontId="11" fillId="12" borderId="0" xfId="43" applyNumberFormat="1" applyFont="1" applyFill="1" applyBorder="1" applyAlignment="1">
      <alignment horizontal="center" wrapText="1"/>
    </xf>
    <xf numFmtId="0" fontId="11" fillId="13" borderId="0" xfId="0" applyFont="1" applyFill="1" applyAlignment="1">
      <alignment horizontal="center" vertical="center" wrapText="1"/>
    </xf>
    <xf numFmtId="0" fontId="11" fillId="13" borderId="0" xfId="0" applyFont="1" applyFill="1" applyAlignment="1">
      <alignment horizontal="center" vertical="center"/>
    </xf>
    <xf numFmtId="0" fontId="11" fillId="13" borderId="0" xfId="0" applyFont="1" applyFill="1" applyBorder="1" applyAlignment="1">
      <alignment horizontal="center" vertical="center"/>
    </xf>
    <xf numFmtId="0" fontId="11" fillId="13" borderId="0" xfId="43" applyFont="1" applyFill="1" applyBorder="1" applyAlignment="1">
      <alignment horizontal="center" vertical="center" wrapText="1"/>
    </xf>
    <xf numFmtId="165" fontId="11" fillId="0" borderId="0" xfId="43" applyNumberFormat="1" applyFont="1" applyFill="1" applyBorder="1" applyAlignment="1">
      <alignment horizontal="center" wrapText="1"/>
    </xf>
    <xf numFmtId="0" fontId="46" fillId="0" borderId="0" xfId="43" applyFont="1" applyFill="1" applyBorder="1" applyAlignment="1">
      <alignment horizontal="center" vertical="top" wrapText="1"/>
    </xf>
    <xf numFmtId="0" fontId="0" fillId="0" borderId="0" xfId="0" applyFont="1" applyAlignment="1">
      <alignment horizontal="center"/>
    </xf>
    <xf numFmtId="166" fontId="47" fillId="0" borderId="0" xfId="12" applyFont="1" applyFill="1" applyBorder="1" applyAlignment="1">
      <alignment horizontal="center" wrapText="1"/>
    </xf>
    <xf numFmtId="0" fontId="11" fillId="21" borderId="1" xfId="43" applyFont="1" applyFill="1" applyBorder="1" applyAlignment="1">
      <alignment horizontal="center" vertical="center" wrapText="1"/>
    </xf>
    <xf numFmtId="165" fontId="11" fillId="12" borderId="0" xfId="48" applyFont="1" applyFill="1" applyBorder="1" applyAlignment="1">
      <alignment horizontal="center" wrapText="1"/>
    </xf>
    <xf numFmtId="14" fontId="11" fillId="0" borderId="0" xfId="0" applyNumberFormat="1" applyFont="1" applyFill="1" applyAlignment="1">
      <alignment horizontal="center"/>
    </xf>
    <xf numFmtId="0" fontId="25" fillId="13" borderId="0" xfId="43" applyFont="1" applyFill="1" applyBorder="1" applyAlignment="1">
      <alignment horizontal="center" wrapText="1"/>
    </xf>
    <xf numFmtId="0" fontId="25" fillId="0" borderId="0" xfId="43" applyFont="1" applyFill="1" applyBorder="1" applyAlignment="1">
      <alignment horizontal="center" wrapText="1"/>
    </xf>
    <xf numFmtId="44" fontId="11" fillId="13" borderId="0" xfId="43" applyNumberFormat="1" applyFont="1" applyFill="1" applyBorder="1" applyAlignment="1">
      <alignment horizontal="center" wrapText="1"/>
    </xf>
    <xf numFmtId="0" fontId="11" fillId="22" borderId="0" xfId="43" applyFont="1" applyFill="1" applyBorder="1" applyAlignment="1">
      <alignment horizontal="center" vertical="center" wrapText="1"/>
    </xf>
    <xf numFmtId="0" fontId="23" fillId="22" borderId="0" xfId="43" applyFont="1" applyFill="1" applyBorder="1" applyAlignment="1">
      <alignment horizontal="center" vertical="center" wrapText="1"/>
    </xf>
    <xf numFmtId="0" fontId="10" fillId="22" borderId="1" xfId="43" applyFont="1" applyFill="1" applyBorder="1" applyAlignment="1">
      <alignment horizontal="center" vertical="center" wrapText="1"/>
    </xf>
    <xf numFmtId="0" fontId="10" fillId="22" borderId="1" xfId="43" applyNumberFormat="1" applyFont="1" applyFill="1" applyBorder="1" applyAlignment="1">
      <alignment horizontal="center" vertical="center" wrapText="1"/>
    </xf>
    <xf numFmtId="20" fontId="10" fillId="22" borderId="1" xfId="43" applyNumberFormat="1" applyFont="1" applyFill="1" applyBorder="1" applyAlignment="1">
      <alignment horizontal="center" vertical="center" wrapText="1"/>
    </xf>
    <xf numFmtId="2" fontId="10" fillId="22" borderId="1" xfId="43" applyNumberFormat="1" applyFont="1" applyFill="1" applyBorder="1" applyAlignment="1">
      <alignment horizontal="center" vertical="center" wrapText="1"/>
    </xf>
    <xf numFmtId="1" fontId="10" fillId="22" borderId="1" xfId="43" applyNumberFormat="1" applyFont="1" applyFill="1" applyBorder="1" applyAlignment="1">
      <alignment horizontal="center" vertical="center" wrapText="1"/>
    </xf>
    <xf numFmtId="168" fontId="10" fillId="22" borderId="1" xfId="12" applyNumberFormat="1" applyFont="1" applyFill="1" applyBorder="1" applyAlignment="1">
      <alignment horizontal="center" vertical="center" wrapText="1"/>
    </xf>
    <xf numFmtId="166" fontId="10" fillId="22" borderId="1" xfId="12" applyFont="1" applyFill="1" applyBorder="1" applyAlignment="1">
      <alignment horizontal="center" vertical="center" wrapText="1"/>
    </xf>
    <xf numFmtId="0" fontId="11" fillId="22" borderId="1" xfId="0" applyFont="1" applyFill="1" applyBorder="1" applyAlignment="1">
      <alignment horizontal="center" vertical="center" wrapText="1"/>
    </xf>
    <xf numFmtId="0" fontId="11" fillId="22" borderId="0" xfId="0" applyFont="1" applyFill="1" applyBorder="1" applyAlignment="1">
      <alignment horizontal="center" vertical="center" wrapText="1"/>
    </xf>
    <xf numFmtId="0" fontId="11" fillId="22" borderId="0" xfId="0" applyFont="1" applyFill="1" applyBorder="1" applyAlignment="1">
      <alignment horizontal="center" vertical="center"/>
    </xf>
    <xf numFmtId="0" fontId="40" fillId="22" borderId="0" xfId="0" applyFont="1" applyFill="1" applyBorder="1" applyAlignment="1">
      <alignment horizontal="center" wrapText="1"/>
    </xf>
    <xf numFmtId="14" fontId="40" fillId="22" borderId="0" xfId="0" applyNumberFormat="1" applyFont="1" applyFill="1" applyBorder="1" applyAlignment="1">
      <alignment horizontal="center" wrapText="1"/>
    </xf>
    <xf numFmtId="0" fontId="40" fillId="22" borderId="0" xfId="43" applyFont="1" applyFill="1" applyBorder="1" applyAlignment="1">
      <alignment horizontal="center" wrapText="1"/>
    </xf>
    <xf numFmtId="165" fontId="11" fillId="22" borderId="0" xfId="48" applyFont="1" applyFill="1" applyBorder="1" applyAlignment="1">
      <alignment horizontal="center" wrapText="1"/>
    </xf>
    <xf numFmtId="0" fontId="11" fillId="22" borderId="0" xfId="43" applyFont="1" applyFill="1" applyBorder="1" applyAlignment="1">
      <alignment horizontal="center" wrapText="1"/>
    </xf>
    <xf numFmtId="168" fontId="11" fillId="22" borderId="0" xfId="43" applyNumberFormat="1" applyFont="1" applyFill="1" applyBorder="1" applyAlignment="1">
      <alignment horizontal="center" wrapText="1"/>
    </xf>
    <xf numFmtId="44" fontId="11" fillId="22" borderId="0" xfId="43" applyNumberFormat="1" applyFont="1" applyFill="1" applyBorder="1" applyAlignment="1">
      <alignment horizontal="center" wrapText="1"/>
    </xf>
    <xf numFmtId="0" fontId="10" fillId="22" borderId="1" xfId="42" applyFont="1" applyFill="1" applyBorder="1" applyAlignment="1">
      <alignment horizontal="center" vertical="center"/>
    </xf>
    <xf numFmtId="20" fontId="10" fillId="22" borderId="1" xfId="42" applyNumberFormat="1" applyFont="1" applyFill="1" applyBorder="1" applyAlignment="1">
      <alignment horizontal="center" vertical="center"/>
    </xf>
    <xf numFmtId="0" fontId="10" fillId="22" borderId="1" xfId="42" applyFont="1" applyFill="1" applyBorder="1" applyAlignment="1">
      <alignment horizontal="center" vertical="center" wrapText="1"/>
    </xf>
    <xf numFmtId="1" fontId="10" fillId="22" borderId="1" xfId="42" applyNumberFormat="1" applyFont="1" applyFill="1" applyBorder="1" applyAlignment="1">
      <alignment horizontal="center" vertical="center"/>
    </xf>
    <xf numFmtId="14" fontId="40" fillId="22" borderId="0" xfId="0" applyNumberFormat="1" applyFont="1" applyFill="1" applyAlignment="1">
      <alignment horizontal="center"/>
    </xf>
    <xf numFmtId="166" fontId="11" fillId="12" borderId="0" xfId="12" applyFont="1" applyFill="1" applyBorder="1" applyAlignment="1">
      <alignment horizontal="center" wrapText="1"/>
    </xf>
    <xf numFmtId="166" fontId="11" fillId="12" borderId="0" xfId="43" applyNumberFormat="1" applyFont="1" applyFill="1" applyBorder="1" applyAlignment="1">
      <alignment horizontal="center" wrapText="1"/>
    </xf>
    <xf numFmtId="0" fontId="11" fillId="13" borderId="1" xfId="0" applyFont="1" applyFill="1" applyBorder="1" applyAlignment="1">
      <alignment horizontal="center" vertical="center" wrapText="1"/>
    </xf>
    <xf numFmtId="0" fontId="48" fillId="12" borderId="0" xfId="43" applyFont="1" applyFill="1" applyBorder="1" applyAlignment="1">
      <alignment horizontal="center" wrapText="1"/>
    </xf>
    <xf numFmtId="0" fontId="49" fillId="12" borderId="0" xfId="43" applyFont="1" applyFill="1" applyBorder="1" applyAlignment="1">
      <alignment horizontal="center" wrapText="1"/>
    </xf>
    <xf numFmtId="49" fontId="40" fillId="21" borderId="0" xfId="0" applyNumberFormat="1" applyFont="1" applyFill="1" applyBorder="1" applyAlignment="1">
      <alignment horizontal="center" wrapText="1"/>
    </xf>
    <xf numFmtId="0" fontId="11" fillId="22" borderId="0" xfId="0" applyFont="1" applyFill="1" applyBorder="1" applyAlignment="1">
      <alignment horizontal="center" wrapText="1"/>
    </xf>
    <xf numFmtId="0" fontId="11" fillId="22" borderId="0" xfId="0" applyFont="1" applyFill="1" applyBorder="1" applyAlignment="1">
      <alignment horizontal="center"/>
    </xf>
    <xf numFmtId="0" fontId="50" fillId="12" borderId="0" xfId="43" applyFont="1" applyFill="1" applyBorder="1" applyAlignment="1">
      <alignment horizontal="center" wrapText="1"/>
    </xf>
    <xf numFmtId="0" fontId="51" fillId="12" borderId="0" xfId="43" applyFont="1" applyFill="1" applyBorder="1" applyAlignment="1">
      <alignment horizontal="center" wrapText="1"/>
    </xf>
    <xf numFmtId="0" fontId="22" fillId="11" borderId="0" xfId="42" applyFont="1" applyFill="1" applyBorder="1" applyAlignment="1">
      <alignment horizontal="center" vertical="center" wrapText="1"/>
    </xf>
    <xf numFmtId="0" fontId="23" fillId="11" borderId="0" xfId="43" applyFont="1" applyFill="1" applyBorder="1" applyAlignment="1">
      <alignment horizontal="center" vertical="center" wrapText="1"/>
    </xf>
    <xf numFmtId="0" fontId="17" fillId="11" borderId="1" xfId="43" applyFont="1" applyFill="1" applyBorder="1" applyAlignment="1">
      <alignment horizontal="center" vertical="center" wrapText="1"/>
    </xf>
    <xf numFmtId="2" fontId="17" fillId="11" borderId="1" xfId="43" applyNumberFormat="1" applyFont="1" applyFill="1" applyBorder="1" applyAlignment="1">
      <alignment horizontal="center" vertical="center" wrapText="1"/>
    </xf>
    <xf numFmtId="0" fontId="45" fillId="11" borderId="0" xfId="42" applyFont="1" applyFill="1" applyBorder="1" applyAlignment="1">
      <alignment horizontal="center" vertical="top" wrapText="1"/>
    </xf>
    <xf numFmtId="165" fontId="11" fillId="11" borderId="0" xfId="48" applyFont="1" applyFill="1" applyBorder="1" applyAlignment="1">
      <alignment horizontal="center" vertical="top" wrapText="1"/>
    </xf>
    <xf numFmtId="0" fontId="23" fillId="11" borderId="0" xfId="43" applyFont="1" applyFill="1" applyBorder="1" applyAlignment="1">
      <alignment horizontal="center" vertical="top" wrapText="1"/>
    </xf>
    <xf numFmtId="0" fontId="11" fillId="11" borderId="0" xfId="43" applyFont="1" applyFill="1" applyBorder="1" applyAlignment="1">
      <alignment horizontal="center" vertical="top" wrapText="1"/>
    </xf>
    <xf numFmtId="0" fontId="11" fillId="11" borderId="0" xfId="43" applyFont="1" applyFill="1" applyBorder="1" applyAlignment="1">
      <alignment horizontal="center" vertical="center" wrapText="1"/>
    </xf>
    <xf numFmtId="0" fontId="10" fillId="11" borderId="1" xfId="43" applyFont="1" applyFill="1" applyBorder="1" applyAlignment="1">
      <alignment horizontal="center" vertical="center" wrapText="1"/>
    </xf>
    <xf numFmtId="20" fontId="10" fillId="11" borderId="1" xfId="43" applyNumberFormat="1" applyFont="1" applyFill="1" applyBorder="1" applyAlignment="1">
      <alignment horizontal="center" vertical="center" wrapText="1"/>
    </xf>
    <xf numFmtId="2" fontId="10" fillId="11" borderId="1" xfId="43" applyNumberFormat="1" applyFont="1" applyFill="1" applyBorder="1" applyAlignment="1">
      <alignment horizontal="center" vertical="center" wrapText="1"/>
    </xf>
    <xf numFmtId="0" fontId="11" fillId="11" borderId="1" xfId="0" applyFont="1" applyFill="1" applyBorder="1" applyAlignment="1">
      <alignment horizontal="center" vertical="center" wrapText="1"/>
    </xf>
    <xf numFmtId="14" fontId="40" fillId="11" borderId="0" xfId="0" applyNumberFormat="1" applyFont="1" applyFill="1" applyBorder="1" applyAlignment="1">
      <alignment horizontal="center" wrapText="1"/>
    </xf>
    <xf numFmtId="0" fontId="40" fillId="11" borderId="0" xfId="0" applyFont="1" applyFill="1" applyBorder="1" applyAlignment="1">
      <alignment horizontal="center" wrapText="1"/>
    </xf>
    <xf numFmtId="165" fontId="11" fillId="11" borderId="0" xfId="48" applyFont="1" applyFill="1" applyBorder="1" applyAlignment="1">
      <alignment horizontal="center" wrapText="1"/>
    </xf>
    <xf numFmtId="0" fontId="48" fillId="11" borderId="0" xfId="43" applyFont="1" applyFill="1" applyBorder="1" applyAlignment="1">
      <alignment horizontal="center" wrapText="1"/>
    </xf>
    <xf numFmtId="0" fontId="11" fillId="11" borderId="0" xfId="43" applyFont="1" applyFill="1" applyBorder="1" applyAlignment="1">
      <alignment horizontal="center" wrapText="1"/>
    </xf>
    <xf numFmtId="0" fontId="10" fillId="11" borderId="1" xfId="43" applyNumberFormat="1" applyFont="1" applyFill="1" applyBorder="1" applyAlignment="1">
      <alignment horizontal="center" vertical="center" wrapText="1"/>
    </xf>
    <xf numFmtId="1" fontId="10" fillId="11" borderId="1" xfId="43" applyNumberFormat="1" applyFont="1" applyFill="1" applyBorder="1" applyAlignment="1">
      <alignment horizontal="center" vertical="center" wrapText="1"/>
    </xf>
    <xf numFmtId="0" fontId="49" fillId="11" borderId="0" xfId="43" applyFont="1" applyFill="1" applyBorder="1" applyAlignment="1">
      <alignment horizontal="center" wrapText="1"/>
    </xf>
    <xf numFmtId="0" fontId="50" fillId="11" borderId="0" xfId="43" applyFont="1" applyFill="1" applyBorder="1" applyAlignment="1">
      <alignment horizontal="center" wrapText="1"/>
    </xf>
    <xf numFmtId="0" fontId="51" fillId="11" borderId="0" xfId="43" applyFont="1" applyFill="1" applyBorder="1" applyAlignment="1">
      <alignment horizontal="center" wrapText="1"/>
    </xf>
    <xf numFmtId="43" fontId="11" fillId="0" borderId="0" xfId="43" applyNumberFormat="1" applyFont="1" applyFill="1" applyBorder="1" applyAlignment="1">
      <alignment horizontal="center" wrapText="1"/>
    </xf>
    <xf numFmtId="43" fontId="24" fillId="0" borderId="0" xfId="0" applyNumberFormat="1" applyFont="1"/>
    <xf numFmtId="166" fontId="24" fillId="0" borderId="0" xfId="0" applyNumberFormat="1" applyFont="1"/>
    <xf numFmtId="0" fontId="0" fillId="0" borderId="0" xfId="0" applyAlignment="1">
      <alignment vertical="center" wrapText="1"/>
    </xf>
    <xf numFmtId="0" fontId="24" fillId="0" borderId="0" xfId="0" applyFont="1" applyAlignment="1">
      <alignment vertical="center" wrapText="1"/>
    </xf>
    <xf numFmtId="0" fontId="0" fillId="0" borderId="0" xfId="0" applyAlignment="1">
      <alignment vertical="center"/>
    </xf>
    <xf numFmtId="166" fontId="52" fillId="0" borderId="0" xfId="12" applyFont="1"/>
    <xf numFmtId="0" fontId="53" fillId="0" borderId="0" xfId="0" applyFont="1"/>
    <xf numFmtId="165" fontId="41" fillId="0" borderId="0" xfId="48" applyFont="1" applyAlignment="1">
      <alignment wrapText="1"/>
    </xf>
    <xf numFmtId="165" fontId="41" fillId="0" borderId="0" xfId="0" applyNumberFormat="1" applyFont="1"/>
    <xf numFmtId="165" fontId="42" fillId="0" borderId="0" xfId="0" applyNumberFormat="1" applyFont="1"/>
    <xf numFmtId="0" fontId="11" fillId="23" borderId="0" xfId="0" applyFont="1" applyFill="1" applyBorder="1" applyAlignment="1">
      <alignment horizontal="center" vertical="center" wrapText="1"/>
    </xf>
    <xf numFmtId="14" fontId="40" fillId="12" borderId="0" xfId="0" applyNumberFormat="1" applyFont="1" applyFill="1" applyBorder="1" applyAlignment="1">
      <alignment horizontal="center" wrapText="1"/>
    </xf>
    <xf numFmtId="0" fontId="11" fillId="12" borderId="0" xfId="43" applyFont="1" applyFill="1" applyBorder="1" applyAlignment="1">
      <alignment horizontal="center" vertical="center" wrapText="1"/>
    </xf>
    <xf numFmtId="165" fontId="54" fillId="0" borderId="0" xfId="48" applyFont="1"/>
    <xf numFmtId="0" fontId="40" fillId="24" borderId="0" xfId="0" applyFont="1" applyFill="1" applyBorder="1" applyAlignment="1">
      <alignment horizontal="center"/>
    </xf>
  </cellXfs>
  <cellStyles count="52">
    <cellStyle name="Accent" xfId="1"/>
    <cellStyle name="Accent 1" xfId="2"/>
    <cellStyle name="Accent 2" xfId="3"/>
    <cellStyle name="Accent 3" xfId="4"/>
    <cellStyle name="Bad" xfId="5"/>
    <cellStyle name="Error" xfId="6"/>
    <cellStyle name="Footnote" xfId="7"/>
    <cellStyle name="Good" xfId="8"/>
    <cellStyle name="Heading (user)" xfId="9"/>
    <cellStyle name="Heading 1" xfId="10"/>
    <cellStyle name="Heading 2" xfId="11"/>
    <cellStyle name="Migliaia" xfId="12" builtinId="3"/>
    <cellStyle name="Migliaia [0] 2" xfId="13"/>
    <cellStyle name="Migliaia [0] 3" xfId="14"/>
    <cellStyle name="Migliaia 2" xfId="15"/>
    <cellStyle name="Migliaia 2 2" xfId="16"/>
    <cellStyle name="Migliaia 2 2 2" xfId="17"/>
    <cellStyle name="Migliaia 2 2 2 2" xfId="18"/>
    <cellStyle name="Migliaia 3" xfId="19"/>
    <cellStyle name="Migliaia 4" xfId="20"/>
    <cellStyle name="Migliaia 5" xfId="21"/>
    <cellStyle name="Migliaia 6" xfId="22"/>
    <cellStyle name="Migliaia 7" xfId="23"/>
    <cellStyle name="Migliaia 8" xfId="24"/>
    <cellStyle name="Migliaia 9" xfId="25"/>
    <cellStyle name="Neutral" xfId="26"/>
    <cellStyle name="Normale" xfId="0" builtinId="0"/>
    <cellStyle name="Normale 10" xfId="27"/>
    <cellStyle name="Normale 11" xfId="28"/>
    <cellStyle name="Normale 11 2" xfId="29"/>
    <cellStyle name="Normale 12" xfId="30"/>
    <cellStyle name="Normale 2" xfId="31"/>
    <cellStyle name="Normale 2 2" xfId="32"/>
    <cellStyle name="Normale 2 2 2" xfId="33"/>
    <cellStyle name="Normale 3" xfId="34"/>
    <cellStyle name="Normale 4" xfId="35"/>
    <cellStyle name="Normale 4 2" xfId="36"/>
    <cellStyle name="Normale 5" xfId="37"/>
    <cellStyle name="Normale 6" xfId="38"/>
    <cellStyle name="Normale 7" xfId="39"/>
    <cellStyle name="Normale 8" xfId="40"/>
    <cellStyle name="Normale 9" xfId="41"/>
    <cellStyle name="Normale_Copia di ALLEGATO_2_LOTTO_DUE_con autobus in usufrutto  exel" xfId="42"/>
    <cellStyle name="Normale_Elenco servizi capitolato appalto 2012-14" xfId="43"/>
    <cellStyle name="Note" xfId="44"/>
    <cellStyle name="Percentuale" xfId="45" builtinId="5"/>
    <cellStyle name="Status" xfId="46"/>
    <cellStyle name="Text" xfId="47"/>
    <cellStyle name="Valuta" xfId="48" builtinId="4"/>
    <cellStyle name="Valuta 2" xfId="49"/>
    <cellStyle name="Valuta 3" xfId="50"/>
    <cellStyle name="Warning" xfId="51"/>
  </cellStyles>
  <dxfs count="396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0000"/>
      </font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1" defaultTableStyle="Stile tabella 1" defaultPivotStyle="PivotStyleLight16">
    <tableStyle name="Stile tabella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utonoleggiatori/FATTURE/Fatture%202016-2017%20Extraurban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utonoleggiatori/Copia%20di%20WWW%20NEW%20FATTURE%202005%20bi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iorni"/>
      <sheetName val="tabelle"/>
      <sheetName val="Calcolo saldo 2015-16"/>
      <sheetName val="Calcolo fatturazione 2016-17"/>
      <sheetName val="Km 2016"/>
      <sheetName val="Conguaglio Lotto 2"/>
      <sheetName val="Pivot x conguaglio"/>
      <sheetName val="Chiusura Borghetto"/>
      <sheetName val="Calcoli L.2"/>
      <sheetName val="Pivot L.2"/>
      <sheetName val="Lotto 2"/>
      <sheetName val="In detrazione"/>
      <sheetName val="Mattuzzi-Predaia"/>
      <sheetName val="No appalto PAT"/>
      <sheetName val="riassunto"/>
      <sheetName val="Chk km"/>
      <sheetName val=" Lotto 1 "/>
      <sheetName val="dic-16"/>
      <sheetName val="nov-16"/>
      <sheetName val="ott-16"/>
      <sheetName val="Ago-16"/>
      <sheetName val="Lug-16"/>
      <sheetName val="Giu-16"/>
      <sheetName val="Mag-16"/>
      <sheetName val="Apr-16"/>
      <sheetName val="Mar-16"/>
      <sheetName val="Feb-16"/>
      <sheetName val="gen-16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iorni"/>
      <sheetName val="tabelle"/>
      <sheetName val="Foglio1"/>
      <sheetName val="fattura"/>
      <sheetName val="targheautisti"/>
      <sheetName val="nol"/>
      <sheetName val="SET 04"/>
    </sheetNames>
    <sheetDataSet>
      <sheetData sheetId="0">
        <row r="1">
          <cell r="H1" t="str">
            <v>scol</v>
          </cell>
        </row>
        <row r="2">
          <cell r="H2">
            <v>19</v>
          </cell>
        </row>
        <row r="3">
          <cell r="H3">
            <v>22</v>
          </cell>
        </row>
        <row r="4">
          <cell r="H4">
            <v>27</v>
          </cell>
        </row>
        <row r="5">
          <cell r="H5">
            <v>22</v>
          </cell>
        </row>
        <row r="6">
          <cell r="H6">
            <v>25</v>
          </cell>
        </row>
        <row r="7">
          <cell r="H7">
            <v>4</v>
          </cell>
        </row>
        <row r="8">
          <cell r="H8">
            <v>0</v>
          </cell>
        </row>
        <row r="9">
          <cell r="H9">
            <v>0</v>
          </cell>
        </row>
        <row r="10">
          <cell r="H10">
            <v>16</v>
          </cell>
        </row>
        <row r="11">
          <cell r="H11">
            <v>26</v>
          </cell>
        </row>
        <row r="12">
          <cell r="H12">
            <v>25</v>
          </cell>
        </row>
        <row r="13">
          <cell r="H13">
            <v>18</v>
          </cell>
        </row>
        <row r="14">
          <cell r="H14">
            <v>204</v>
          </cell>
        </row>
        <row r="31">
          <cell r="H31" t="str">
            <v>scol</v>
          </cell>
        </row>
        <row r="32">
          <cell r="H32">
            <v>22</v>
          </cell>
        </row>
        <row r="34">
          <cell r="H34">
            <v>0</v>
          </cell>
        </row>
      </sheetData>
      <sheetData sheetId="1">
        <row r="6">
          <cell r="E6" t="str">
            <v>A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>
    <tabColor indexed="53"/>
    <pageSetUpPr fitToPage="1"/>
  </sheetPr>
  <dimension ref="A1:CO1018"/>
  <sheetViews>
    <sheetView tabSelected="1" zoomScaleNormal="100" workbookViewId="0">
      <pane ySplit="1" topLeftCell="A2" activePane="bottomLeft" state="frozen"/>
      <selection pane="bottomLeft" activeCell="L8" sqref="L8"/>
    </sheetView>
  </sheetViews>
  <sheetFormatPr defaultRowHeight="12.75"/>
  <cols>
    <col min="1" max="1" width="16.85546875" style="3" customWidth="1"/>
    <col min="2" max="2" width="9.140625" style="3"/>
    <col min="3" max="3" width="10.7109375" style="182" bestFit="1" customWidth="1"/>
    <col min="4" max="4" width="8.28515625" style="182" customWidth="1"/>
    <col min="5" max="5" width="9.7109375" style="182" bestFit="1" customWidth="1"/>
    <col min="6" max="6" width="8.7109375" style="182" bestFit="1" customWidth="1"/>
    <col min="7" max="7" width="25.7109375" style="3" customWidth="1"/>
    <col min="8" max="8" width="18.42578125" style="3" customWidth="1"/>
    <col min="9" max="9" width="9.42578125" style="219" customWidth="1"/>
    <col min="10" max="10" width="9.28515625" style="216" customWidth="1"/>
    <col min="11" max="11" width="11.5703125" style="220" customWidth="1"/>
    <col min="12" max="12" width="12.85546875" style="218" customWidth="1"/>
    <col min="13" max="13" width="19.42578125" style="3" customWidth="1"/>
    <col min="14" max="18" width="11" style="3" customWidth="1"/>
    <col min="19" max="19" width="11.5703125" style="3" customWidth="1"/>
    <col min="20" max="20" width="9.140625" style="37" customWidth="1"/>
    <col min="21" max="21" width="13.42578125" style="37" customWidth="1"/>
    <col min="22" max="22" width="9.140625" style="37" customWidth="1"/>
    <col min="23" max="23" width="15.42578125" style="37" customWidth="1"/>
    <col min="24" max="24" width="15" style="37" customWidth="1"/>
    <col min="25" max="27" width="13.5703125" style="37" customWidth="1"/>
    <col min="28" max="28" width="24.140625" style="37" customWidth="1"/>
    <col min="29" max="29" width="9.140625" style="37" customWidth="1"/>
    <col min="30" max="30" width="5" style="37" customWidth="1"/>
    <col min="31" max="31" width="5.7109375" style="37" customWidth="1"/>
    <col min="32" max="32" width="4.5703125" style="37" customWidth="1"/>
    <col min="33" max="33" width="5" style="37" customWidth="1"/>
    <col min="34" max="34" width="4.5703125" style="37" customWidth="1"/>
    <col min="35" max="35" width="5.140625" style="37" customWidth="1"/>
    <col min="36" max="36" width="5.5703125" style="37" customWidth="1"/>
    <col min="37" max="38" width="4.5703125" style="37" customWidth="1"/>
    <col min="39" max="39" width="4.140625" style="37" customWidth="1"/>
    <col min="40" max="40" width="5.140625" style="37" customWidth="1"/>
    <col min="41" max="41" width="5" style="37" customWidth="1"/>
    <col min="42" max="42" width="5.28515625" style="37" customWidth="1"/>
    <col min="43" max="43" width="4.5703125" style="37" customWidth="1"/>
    <col min="44" max="44" width="4.42578125" style="37" customWidth="1"/>
    <col min="45" max="45" width="5.28515625" style="37" customWidth="1"/>
    <col min="46" max="46" width="5.42578125" style="37" customWidth="1"/>
    <col min="47" max="47" width="5.140625" style="37" customWidth="1"/>
    <col min="48" max="48" width="4.5703125" style="37" customWidth="1"/>
    <col min="49" max="49" width="4.140625" style="37" customWidth="1"/>
    <col min="50" max="51" width="10.28515625" style="67" customWidth="1"/>
    <col min="52" max="52" width="9.140625" style="37" customWidth="1"/>
    <col min="53" max="54" width="19.7109375" style="76" customWidth="1"/>
    <col min="55" max="55" width="11.7109375" style="37" customWidth="1"/>
    <col min="56" max="56" width="16.28515625" style="37" customWidth="1"/>
    <col min="57" max="57" width="14.5703125" style="37" customWidth="1"/>
    <col min="58" max="58" width="14.5703125" style="67" customWidth="1"/>
    <col min="59" max="59" width="9.140625" style="37" customWidth="1"/>
    <col min="60" max="60" width="11.7109375" style="37" customWidth="1"/>
    <col min="61" max="61" width="14.140625" style="37" customWidth="1"/>
    <col min="62" max="62" width="16.140625" style="67" customWidth="1"/>
    <col min="63" max="64" width="10.85546875" style="37" customWidth="1"/>
    <col min="65" max="65" width="14" style="37" customWidth="1"/>
    <col min="66" max="66" width="9.140625" style="67" customWidth="1"/>
    <col min="67" max="67" width="13.140625" style="67" customWidth="1"/>
    <col min="68" max="71" width="9.140625" style="37" customWidth="1"/>
    <col min="72" max="72" width="11.140625" style="37" customWidth="1"/>
    <col min="73" max="73" width="10.140625" style="37" customWidth="1"/>
    <col min="74" max="81" width="9.5703125" style="37" customWidth="1"/>
    <col min="82" max="82" width="12.42578125" style="37" customWidth="1"/>
    <col min="83" max="83" width="14.28515625" style="37" customWidth="1"/>
    <col min="84" max="84" width="11.85546875" style="37" customWidth="1"/>
    <col min="85" max="85" width="11.140625" customWidth="1"/>
    <col min="86" max="86" width="12.42578125" style="37" customWidth="1"/>
    <col min="87" max="87" width="10.28515625" style="37" customWidth="1"/>
    <col min="88" max="90" width="9.5703125" style="37" customWidth="1"/>
    <col min="91" max="91" width="9.5703125" style="37" bestFit="1" customWidth="1"/>
    <col min="92" max="92" width="9.140625" style="37"/>
    <col min="93" max="93" width="10.42578125" style="37" bestFit="1" customWidth="1"/>
    <col min="94" max="16384" width="9.140625" style="37"/>
  </cols>
  <sheetData>
    <row r="1" spans="1:91" s="111" customFormat="1" ht="45">
      <c r="A1" s="155" t="s">
        <v>1236</v>
      </c>
      <c r="B1" s="156" t="s">
        <v>1178</v>
      </c>
      <c r="C1" s="157" t="s">
        <v>91</v>
      </c>
      <c r="D1" s="157" t="s">
        <v>96</v>
      </c>
      <c r="E1" s="157" t="s">
        <v>90</v>
      </c>
      <c r="F1" s="157" t="s">
        <v>89</v>
      </c>
      <c r="G1" s="157" t="s">
        <v>88</v>
      </c>
      <c r="H1" s="157" t="s">
        <v>95</v>
      </c>
      <c r="I1" s="158" t="s">
        <v>607</v>
      </c>
      <c r="J1" s="157" t="s">
        <v>94</v>
      </c>
      <c r="K1" s="157" t="s">
        <v>711</v>
      </c>
      <c r="L1" s="157" t="s">
        <v>712</v>
      </c>
      <c r="M1" s="157" t="s">
        <v>718</v>
      </c>
      <c r="N1" s="155" t="s">
        <v>827</v>
      </c>
      <c r="O1" s="155" t="s">
        <v>828</v>
      </c>
      <c r="P1" s="155" t="s">
        <v>1237</v>
      </c>
      <c r="Q1" s="155" t="s">
        <v>1238</v>
      </c>
      <c r="R1" s="155" t="s">
        <v>1239</v>
      </c>
      <c r="S1" s="155" t="s">
        <v>1837</v>
      </c>
      <c r="T1" s="110" t="s">
        <v>1325</v>
      </c>
      <c r="U1" s="109" t="s">
        <v>1326</v>
      </c>
      <c r="V1" s="110" t="s">
        <v>1327</v>
      </c>
      <c r="W1" s="109" t="s">
        <v>1328</v>
      </c>
      <c r="X1" s="108" t="s">
        <v>1833</v>
      </c>
      <c r="Y1" s="108" t="s">
        <v>1834</v>
      </c>
      <c r="Z1" s="108" t="s">
        <v>1835</v>
      </c>
      <c r="AA1" s="108" t="s">
        <v>1836</v>
      </c>
      <c r="AB1" s="108" t="s">
        <v>1111</v>
      </c>
      <c r="AC1" s="108" t="s">
        <v>1215</v>
      </c>
      <c r="AD1" s="109" t="s">
        <v>805</v>
      </c>
      <c r="AE1" s="109" t="s">
        <v>806</v>
      </c>
      <c r="AF1" s="109" t="s">
        <v>816</v>
      </c>
      <c r="AG1" s="109" t="s">
        <v>817</v>
      </c>
      <c r="AH1" s="109" t="s">
        <v>807</v>
      </c>
      <c r="AI1" s="109" t="s">
        <v>808</v>
      </c>
      <c r="AJ1" s="109" t="s">
        <v>809</v>
      </c>
      <c r="AK1" s="109" t="s">
        <v>810</v>
      </c>
      <c r="AL1" s="109" t="s">
        <v>811</v>
      </c>
      <c r="AM1" s="109" t="s">
        <v>812</v>
      </c>
      <c r="AN1" s="109" t="s">
        <v>813</v>
      </c>
      <c r="AO1" s="109" t="s">
        <v>814</v>
      </c>
      <c r="AP1" s="109" t="s">
        <v>826</v>
      </c>
      <c r="AQ1" s="109" t="s">
        <v>815</v>
      </c>
      <c r="AR1" s="109" t="s">
        <v>820</v>
      </c>
      <c r="AS1" s="109" t="s">
        <v>821</v>
      </c>
      <c r="AT1" s="109" t="s">
        <v>822</v>
      </c>
      <c r="AU1" s="109" t="s">
        <v>823</v>
      </c>
      <c r="AV1" s="109" t="s">
        <v>824</v>
      </c>
      <c r="AW1" s="109" t="s">
        <v>825</v>
      </c>
      <c r="AX1" s="101" t="s">
        <v>992</v>
      </c>
      <c r="AY1" s="101" t="s">
        <v>993</v>
      </c>
      <c r="AZ1" s="101" t="s">
        <v>1024</v>
      </c>
      <c r="BA1" s="102" t="s">
        <v>994</v>
      </c>
      <c r="BB1" s="102" t="s">
        <v>1028</v>
      </c>
      <c r="BC1" s="103" t="s">
        <v>995</v>
      </c>
      <c r="BD1" s="104" t="s">
        <v>1025</v>
      </c>
      <c r="BE1" s="104" t="s">
        <v>1027</v>
      </c>
      <c r="BF1" s="105" t="s">
        <v>1026</v>
      </c>
      <c r="BG1" s="106" t="s">
        <v>1040</v>
      </c>
      <c r="BH1" s="106" t="s">
        <v>1058</v>
      </c>
      <c r="BI1" s="106" t="s">
        <v>1060</v>
      </c>
      <c r="BJ1" s="107" t="s">
        <v>1038</v>
      </c>
      <c r="BK1" s="106" t="s">
        <v>1059</v>
      </c>
      <c r="BL1" s="106" t="s">
        <v>1061</v>
      </c>
      <c r="BM1" s="107" t="s">
        <v>1057</v>
      </c>
      <c r="BN1" s="106" t="s">
        <v>1229</v>
      </c>
      <c r="BO1" s="107" t="s">
        <v>1230</v>
      </c>
      <c r="BP1" s="100" t="s">
        <v>1838</v>
      </c>
      <c r="BQ1" s="100" t="s">
        <v>1839</v>
      </c>
      <c r="BR1" s="100" t="s">
        <v>1840</v>
      </c>
      <c r="BS1" s="100" t="s">
        <v>1841</v>
      </c>
      <c r="BT1" s="111" t="s">
        <v>1868</v>
      </c>
      <c r="BU1" s="111" t="s">
        <v>1869</v>
      </c>
      <c r="BV1" s="111" t="s">
        <v>1872</v>
      </c>
      <c r="BW1" s="111" t="s">
        <v>2049</v>
      </c>
      <c r="BX1" s="111" t="s">
        <v>1956</v>
      </c>
      <c r="BY1" s="111" t="s">
        <v>2050</v>
      </c>
      <c r="BZ1" s="111" t="s">
        <v>2051</v>
      </c>
      <c r="CA1" s="111" t="s">
        <v>2052</v>
      </c>
      <c r="CB1" s="111" t="s">
        <v>2072</v>
      </c>
      <c r="CC1" s="111" t="s">
        <v>2073</v>
      </c>
      <c r="CD1" s="111" t="s">
        <v>1870</v>
      </c>
      <c r="CE1" s="111" t="s">
        <v>1873</v>
      </c>
      <c r="CF1" s="111" t="s">
        <v>1867</v>
      </c>
      <c r="CG1" s="111" t="s">
        <v>1953</v>
      </c>
      <c r="CH1" s="111" t="s">
        <v>2053</v>
      </c>
      <c r="CI1" s="111" t="s">
        <v>2082</v>
      </c>
      <c r="CJ1" s="273" t="s">
        <v>2065</v>
      </c>
      <c r="CK1" s="273" t="s">
        <v>2066</v>
      </c>
      <c r="CL1" s="273" t="s">
        <v>2067</v>
      </c>
      <c r="CM1" s="273" t="s">
        <v>2068</v>
      </c>
    </row>
    <row r="2" spans="1:91" ht="25.5">
      <c r="B2" s="156">
        <v>1</v>
      </c>
      <c r="C2" s="159">
        <v>91</v>
      </c>
      <c r="D2" s="160">
        <v>492</v>
      </c>
      <c r="E2" s="161">
        <v>0.52430555555555558</v>
      </c>
      <c r="F2" s="161">
        <v>0.56944444444444442</v>
      </c>
      <c r="G2" s="161" t="s">
        <v>45</v>
      </c>
      <c r="H2" s="162" t="s">
        <v>475</v>
      </c>
      <c r="I2" s="163">
        <v>50</v>
      </c>
      <c r="J2" s="164">
        <v>50</v>
      </c>
      <c r="K2" s="165">
        <v>50</v>
      </c>
      <c r="L2" s="166">
        <f t="shared" ref="L2:L64" si="0">+K2*I2</f>
        <v>2500</v>
      </c>
      <c r="M2" s="167" t="s">
        <v>1081</v>
      </c>
      <c r="N2" s="154"/>
      <c r="O2" s="154"/>
      <c r="P2" s="168" t="s">
        <v>1886</v>
      </c>
      <c r="Q2" s="168">
        <v>54</v>
      </c>
      <c r="R2" s="150" t="s">
        <v>1240</v>
      </c>
      <c r="S2" s="151">
        <v>53</v>
      </c>
      <c r="T2" s="45" t="s">
        <v>1329</v>
      </c>
      <c r="U2" s="45" t="s">
        <v>1330</v>
      </c>
      <c r="V2" s="45" t="s">
        <v>1331</v>
      </c>
      <c r="W2" s="45" t="s">
        <v>1332</v>
      </c>
      <c r="X2" s="98">
        <v>44805</v>
      </c>
      <c r="Y2" s="98">
        <v>45169</v>
      </c>
      <c r="Z2" s="98"/>
      <c r="AA2" s="98"/>
      <c r="AB2" s="41" t="s">
        <v>1112</v>
      </c>
      <c r="AC2" s="41"/>
      <c r="AD2" s="42" t="s">
        <v>734</v>
      </c>
      <c r="AE2" s="42" t="s">
        <v>734</v>
      </c>
      <c r="AF2" s="42" t="s">
        <v>734</v>
      </c>
      <c r="AG2" s="42"/>
      <c r="AH2" s="42"/>
      <c r="AI2" s="42"/>
      <c r="AJ2" s="42"/>
      <c r="AK2" s="42"/>
      <c r="AL2" s="42"/>
      <c r="AM2" s="42" t="s">
        <v>734</v>
      </c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68">
        <v>150</v>
      </c>
      <c r="BA2" s="68"/>
      <c r="BB2" s="68"/>
      <c r="BD2" s="67">
        <f t="shared" ref="BD2:BD66" si="1">AX2*K2</f>
        <v>7500</v>
      </c>
      <c r="BE2" s="67"/>
      <c r="BF2" s="37"/>
      <c r="BG2" s="69">
        <v>2</v>
      </c>
      <c r="BH2" s="67">
        <f>IF(AND((AX2/I2)&lt;2,BG2=1),(I2*2)-AX2,0)</f>
        <v>0</v>
      </c>
      <c r="BI2" s="67">
        <f>IF(AND((AX2/I2)&lt;3,BG2=2),(I2*3)-AX2,0)</f>
        <v>0</v>
      </c>
      <c r="BJ2" s="70">
        <f>(BH2+BI2)*K2</f>
        <v>0</v>
      </c>
      <c r="BN2" s="37"/>
      <c r="BO2" s="70">
        <f t="shared" ref="BO2:BO64" si="2">BN2*K2</f>
        <v>0</v>
      </c>
      <c r="BP2" s="37">
        <v>4</v>
      </c>
      <c r="BQ2" s="37">
        <v>5</v>
      </c>
      <c r="BR2" s="37">
        <v>4</v>
      </c>
      <c r="BS2" s="37">
        <v>3</v>
      </c>
      <c r="BT2" s="87">
        <f t="shared" ref="BT2:BT64" si="3">SUM(AX2:AZ2)+SUM(BH2:BI2)+SUM(BK2:BL2)+BN2</f>
        <v>150</v>
      </c>
      <c r="BU2" s="87"/>
      <c r="BV2" s="87"/>
      <c r="BW2" s="87"/>
      <c r="BX2" s="87"/>
      <c r="BY2" s="87"/>
      <c r="BZ2" s="87"/>
      <c r="CA2" s="87"/>
      <c r="CB2" s="87"/>
      <c r="CC2" s="87"/>
      <c r="CD2" s="87"/>
      <c r="CF2" s="67">
        <f t="shared" ref="CF2:CF66" si="4">(BT2*BP2)+(BV2*CD2)</f>
        <v>600</v>
      </c>
      <c r="CG2" s="67">
        <f t="shared" ref="CG2:CG66" si="5">(BT2*BQ2)+(BX2*CD2)</f>
        <v>750</v>
      </c>
      <c r="CH2" s="67">
        <f>(BR2*BT2)+(BZ2*CD2)</f>
        <v>600</v>
      </c>
      <c r="CI2" s="67">
        <f>(BS2*BT2)+(CB2*CD2)</f>
        <v>450</v>
      </c>
      <c r="CJ2" s="37">
        <f>BP2*I2</f>
        <v>200</v>
      </c>
      <c r="CK2" s="37">
        <f>BQ2*I2</f>
        <v>250</v>
      </c>
      <c r="CL2" s="37">
        <f>BR2*I2</f>
        <v>200</v>
      </c>
      <c r="CM2" s="37">
        <f>BS2*I2</f>
        <v>150</v>
      </c>
    </row>
    <row r="3" spans="1:91" ht="25.5">
      <c r="B3" s="156">
        <v>2</v>
      </c>
      <c r="C3" s="159">
        <v>91</v>
      </c>
      <c r="D3" s="169">
        <v>492</v>
      </c>
      <c r="E3" s="170">
        <v>0.52430555555555558</v>
      </c>
      <c r="F3" s="170">
        <v>0.56944444444444442</v>
      </c>
      <c r="G3" s="171" t="s">
        <v>45</v>
      </c>
      <c r="H3" s="160" t="s">
        <v>155</v>
      </c>
      <c r="I3" s="169">
        <v>50</v>
      </c>
      <c r="J3" s="172">
        <v>50</v>
      </c>
      <c r="K3" s="165">
        <v>245</v>
      </c>
      <c r="L3" s="166">
        <f t="shared" si="0"/>
        <v>12250</v>
      </c>
      <c r="M3" s="167" t="s">
        <v>1081</v>
      </c>
      <c r="N3" s="154"/>
      <c r="O3" s="154"/>
      <c r="P3" s="168" t="s">
        <v>1886</v>
      </c>
      <c r="Q3" s="168">
        <v>54</v>
      </c>
      <c r="R3" s="150" t="s">
        <v>1240</v>
      </c>
      <c r="S3" s="151">
        <v>53</v>
      </c>
      <c r="T3" s="45" t="s">
        <v>1329</v>
      </c>
      <c r="U3" s="45" t="s">
        <v>1330</v>
      </c>
      <c r="V3" s="45" t="s">
        <v>1331</v>
      </c>
      <c r="W3" s="45" t="s">
        <v>1332</v>
      </c>
      <c r="X3" s="98">
        <v>44805</v>
      </c>
      <c r="Y3" s="98">
        <v>45169</v>
      </c>
      <c r="Z3" s="98"/>
      <c r="AA3" s="98"/>
      <c r="AB3" s="41" t="s">
        <v>1113</v>
      </c>
      <c r="AC3" s="41"/>
      <c r="AD3" s="42" t="s">
        <v>734</v>
      </c>
      <c r="AE3" s="42" t="s">
        <v>734</v>
      </c>
      <c r="AF3" s="42" t="s">
        <v>734</v>
      </c>
      <c r="AG3" s="42"/>
      <c r="AH3" s="42" t="s">
        <v>734</v>
      </c>
      <c r="AI3" s="42" t="s">
        <v>734</v>
      </c>
      <c r="AJ3" s="42" t="s">
        <v>734</v>
      </c>
      <c r="AK3" s="42" t="s">
        <v>734</v>
      </c>
      <c r="AL3" s="42" t="s">
        <v>734</v>
      </c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BA3" s="39" t="s">
        <v>720</v>
      </c>
      <c r="BB3" s="39"/>
      <c r="BD3" s="67">
        <f t="shared" si="1"/>
        <v>0</v>
      </c>
      <c r="BF3" s="37"/>
      <c r="BG3" s="69">
        <v>2</v>
      </c>
      <c r="BI3" s="67"/>
      <c r="BJ3" s="37"/>
      <c r="BN3" s="37"/>
      <c r="BO3" s="70">
        <f t="shared" si="2"/>
        <v>0</v>
      </c>
      <c r="BP3" s="37">
        <v>22</v>
      </c>
      <c r="BQ3" s="73">
        <v>20</v>
      </c>
      <c r="BR3" s="37">
        <v>21</v>
      </c>
      <c r="BS3" s="37">
        <v>20</v>
      </c>
      <c r="BT3" s="87">
        <f t="shared" si="3"/>
        <v>0</v>
      </c>
      <c r="BU3" s="87" t="s">
        <v>1113</v>
      </c>
      <c r="BV3" s="127">
        <v>22</v>
      </c>
      <c r="BW3" s="127"/>
      <c r="BX3" s="127">
        <v>20</v>
      </c>
      <c r="BY3" s="127"/>
      <c r="BZ3" s="127">
        <v>21</v>
      </c>
      <c r="CA3" s="127"/>
      <c r="CB3" s="127">
        <v>20</v>
      </c>
      <c r="CC3" s="127"/>
      <c r="CD3" s="87">
        <v>400</v>
      </c>
      <c r="CF3" s="67">
        <f t="shared" si="4"/>
        <v>8800</v>
      </c>
      <c r="CG3" s="67">
        <f t="shared" si="5"/>
        <v>8000</v>
      </c>
      <c r="CH3" s="67">
        <f t="shared" ref="CH3:CH33" si="6">(BR3*BT3)+(BZ3*CD3)</f>
        <v>8400</v>
      </c>
      <c r="CI3" s="67">
        <f>(BS3*BT3)+(CB3*CD3)</f>
        <v>8000</v>
      </c>
      <c r="CJ3" s="37">
        <f t="shared" ref="CJ3:CJ66" si="7">BP3*I3</f>
        <v>1100</v>
      </c>
      <c r="CK3" s="37">
        <f t="shared" ref="CK3:CK66" si="8">BQ3*I3</f>
        <v>1000</v>
      </c>
      <c r="CL3" s="37">
        <f t="shared" ref="CL3:CL66" si="9">BR3*I3</f>
        <v>1050</v>
      </c>
      <c r="CM3" s="37">
        <f t="shared" ref="CM3:CM66" si="10">BS3*I3</f>
        <v>1000</v>
      </c>
    </row>
    <row r="4" spans="1:91" ht="33.75">
      <c r="B4" s="156">
        <v>3</v>
      </c>
      <c r="C4" s="159">
        <v>91</v>
      </c>
      <c r="D4" s="160">
        <v>493</v>
      </c>
      <c r="E4" s="161">
        <v>0.59375</v>
      </c>
      <c r="F4" s="161">
        <v>0.63541666666666663</v>
      </c>
      <c r="G4" s="161" t="s">
        <v>44</v>
      </c>
      <c r="H4" s="162" t="s">
        <v>475</v>
      </c>
      <c r="I4" s="163">
        <v>50</v>
      </c>
      <c r="J4" s="164">
        <v>50</v>
      </c>
      <c r="K4" s="165">
        <v>50</v>
      </c>
      <c r="L4" s="166">
        <f t="shared" si="0"/>
        <v>2500</v>
      </c>
      <c r="M4" s="167" t="s">
        <v>1081</v>
      </c>
      <c r="N4" s="154"/>
      <c r="O4" s="154"/>
      <c r="P4" s="168" t="s">
        <v>1886</v>
      </c>
      <c r="Q4" s="168">
        <v>54</v>
      </c>
      <c r="R4" s="150" t="s">
        <v>1240</v>
      </c>
      <c r="S4" s="151">
        <v>53</v>
      </c>
      <c r="T4" s="45" t="s">
        <v>1331</v>
      </c>
      <c r="U4" s="45" t="s">
        <v>1332</v>
      </c>
      <c r="V4" s="45" t="s">
        <v>1329</v>
      </c>
      <c r="W4" s="45" t="s">
        <v>1330</v>
      </c>
      <c r="X4" s="98">
        <v>44805</v>
      </c>
      <c r="Y4" s="98">
        <v>45169</v>
      </c>
      <c r="Z4" s="98"/>
      <c r="AA4" s="98"/>
      <c r="AB4" s="41" t="s">
        <v>1112</v>
      </c>
      <c r="AC4" s="41"/>
      <c r="AD4" s="42" t="s">
        <v>734</v>
      </c>
      <c r="AE4" s="42" t="s">
        <v>734</v>
      </c>
      <c r="AF4" s="42" t="s">
        <v>734</v>
      </c>
      <c r="AG4" s="42"/>
      <c r="AH4" s="42"/>
      <c r="AI4" s="42"/>
      <c r="AJ4" s="42"/>
      <c r="AK4" s="42"/>
      <c r="AL4" s="42"/>
      <c r="AM4" s="42" t="s">
        <v>734</v>
      </c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68">
        <v>150</v>
      </c>
      <c r="BA4" s="68"/>
      <c r="BB4" s="68"/>
      <c r="BD4" s="67">
        <f t="shared" si="1"/>
        <v>7500</v>
      </c>
      <c r="BE4" s="67"/>
      <c r="BF4" s="37"/>
      <c r="BG4" s="69">
        <v>2</v>
      </c>
      <c r="BH4" s="67">
        <f>IF(AND((AX4/I4)&lt;2,BG4=1),(I4*2)-AX4,0)</f>
        <v>0</v>
      </c>
      <c r="BI4" s="67">
        <f>IF(AND((AX4/I4)&lt;3,BG4=2),(I4*3)-AX4,0)</f>
        <v>0</v>
      </c>
      <c r="BJ4" s="70">
        <f>(BH4+BI4)*K4</f>
        <v>0</v>
      </c>
      <c r="BN4" s="37"/>
      <c r="BO4" s="70">
        <f t="shared" si="2"/>
        <v>0</v>
      </c>
      <c r="BP4" s="37">
        <v>4</v>
      </c>
      <c r="BQ4" s="37">
        <v>5</v>
      </c>
      <c r="BR4" s="37">
        <v>4</v>
      </c>
      <c r="BS4" s="37">
        <v>3</v>
      </c>
      <c r="BT4" s="87">
        <f t="shared" si="3"/>
        <v>150</v>
      </c>
      <c r="BU4" s="87"/>
      <c r="BV4" s="87"/>
      <c r="BW4" s="87"/>
      <c r="BX4" s="87"/>
      <c r="BY4" s="87"/>
      <c r="BZ4" s="87"/>
      <c r="CA4" s="87"/>
      <c r="CB4" s="87"/>
      <c r="CC4" s="87"/>
      <c r="CD4" s="87"/>
      <c r="CF4" s="67">
        <f t="shared" si="4"/>
        <v>600</v>
      </c>
      <c r="CG4" s="67">
        <f t="shared" si="5"/>
        <v>750</v>
      </c>
      <c r="CH4" s="67">
        <f t="shared" si="6"/>
        <v>600</v>
      </c>
      <c r="CI4" s="67">
        <f t="shared" ref="CI4:CI67" si="11">(BS4*BT4)+(CB4*CD4)</f>
        <v>450</v>
      </c>
      <c r="CJ4" s="37">
        <f t="shared" si="7"/>
        <v>200</v>
      </c>
      <c r="CK4" s="37">
        <f t="shared" si="8"/>
        <v>250</v>
      </c>
      <c r="CL4" s="37">
        <f t="shared" si="9"/>
        <v>200</v>
      </c>
      <c r="CM4" s="37">
        <f t="shared" si="10"/>
        <v>150</v>
      </c>
    </row>
    <row r="5" spans="1:91" ht="33.75">
      <c r="B5" s="156">
        <v>4</v>
      </c>
      <c r="C5" s="159">
        <v>91</v>
      </c>
      <c r="D5" s="169">
        <v>493</v>
      </c>
      <c r="E5" s="170">
        <v>0.59375</v>
      </c>
      <c r="F5" s="170">
        <v>0.63541666666666663</v>
      </c>
      <c r="G5" s="171" t="s">
        <v>44</v>
      </c>
      <c r="H5" s="160" t="s">
        <v>155</v>
      </c>
      <c r="I5" s="169">
        <v>50</v>
      </c>
      <c r="J5" s="172">
        <v>50</v>
      </c>
      <c r="K5" s="165">
        <v>245</v>
      </c>
      <c r="L5" s="166">
        <f t="shared" si="0"/>
        <v>12250</v>
      </c>
      <c r="M5" s="167" t="s">
        <v>1081</v>
      </c>
      <c r="N5" s="154"/>
      <c r="O5" s="154"/>
      <c r="P5" s="168" t="s">
        <v>1886</v>
      </c>
      <c r="Q5" s="168">
        <v>54</v>
      </c>
      <c r="R5" s="150" t="s">
        <v>1240</v>
      </c>
      <c r="S5" s="151">
        <v>53</v>
      </c>
      <c r="T5" s="45" t="s">
        <v>1331</v>
      </c>
      <c r="U5" s="45" t="s">
        <v>1332</v>
      </c>
      <c r="V5" s="45" t="s">
        <v>1329</v>
      </c>
      <c r="W5" s="45" t="s">
        <v>1330</v>
      </c>
      <c r="X5" s="98">
        <v>44805</v>
      </c>
      <c r="Y5" s="98">
        <v>45169</v>
      </c>
      <c r="Z5" s="98"/>
      <c r="AA5" s="98"/>
      <c r="AB5" s="41" t="s">
        <v>1113</v>
      </c>
      <c r="AC5" s="41"/>
      <c r="AD5" s="42" t="s">
        <v>734</v>
      </c>
      <c r="AE5" s="42" t="s">
        <v>734</v>
      </c>
      <c r="AF5" s="42" t="s">
        <v>734</v>
      </c>
      <c r="AG5" s="42"/>
      <c r="AH5" s="42" t="s">
        <v>734</v>
      </c>
      <c r="AI5" s="42" t="s">
        <v>734</v>
      </c>
      <c r="AJ5" s="42" t="s">
        <v>734</v>
      </c>
      <c r="AK5" s="42" t="s">
        <v>734</v>
      </c>
      <c r="AL5" s="42" t="s">
        <v>734</v>
      </c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BA5" s="39" t="s">
        <v>720</v>
      </c>
      <c r="BB5" s="39"/>
      <c r="BD5" s="67">
        <f t="shared" si="1"/>
        <v>0</v>
      </c>
      <c r="BF5" s="37"/>
      <c r="BG5" s="69">
        <v>2</v>
      </c>
      <c r="BI5" s="67"/>
      <c r="BJ5" s="37"/>
      <c r="BN5" s="37"/>
      <c r="BO5" s="70">
        <f t="shared" si="2"/>
        <v>0</v>
      </c>
      <c r="BP5" s="37">
        <v>22</v>
      </c>
      <c r="BQ5" s="73">
        <v>20</v>
      </c>
      <c r="BR5" s="37">
        <v>21</v>
      </c>
      <c r="BS5" s="37">
        <v>20</v>
      </c>
      <c r="BT5" s="87">
        <f t="shared" si="3"/>
        <v>0</v>
      </c>
      <c r="BU5" s="87"/>
      <c r="BV5" s="87"/>
      <c r="BW5" s="87"/>
      <c r="BX5" s="87"/>
      <c r="BY5" s="87"/>
      <c r="BZ5" s="87"/>
      <c r="CA5" s="87"/>
      <c r="CB5" s="87"/>
      <c r="CC5" s="87"/>
      <c r="CD5" s="87"/>
      <c r="CF5" s="67">
        <f t="shared" si="4"/>
        <v>0</v>
      </c>
      <c r="CG5" s="67">
        <f t="shared" si="5"/>
        <v>0</v>
      </c>
      <c r="CH5" s="67">
        <f t="shared" si="6"/>
        <v>0</v>
      </c>
      <c r="CI5" s="67">
        <f t="shared" si="11"/>
        <v>0</v>
      </c>
      <c r="CJ5" s="37">
        <f t="shared" si="7"/>
        <v>1100</v>
      </c>
      <c r="CK5" s="37">
        <f t="shared" si="8"/>
        <v>1000</v>
      </c>
      <c r="CL5" s="37">
        <f t="shared" si="9"/>
        <v>1050</v>
      </c>
      <c r="CM5" s="37">
        <f t="shared" si="10"/>
        <v>1000</v>
      </c>
    </row>
    <row r="6" spans="1:91" ht="25.5">
      <c r="B6" s="156">
        <v>5</v>
      </c>
      <c r="C6" s="159">
        <v>91</v>
      </c>
      <c r="D6" s="169">
        <v>494</v>
      </c>
      <c r="E6" s="170">
        <v>0.86458333333333337</v>
      </c>
      <c r="F6" s="170">
        <v>0.90625</v>
      </c>
      <c r="G6" s="171" t="s">
        <v>45</v>
      </c>
      <c r="H6" s="160" t="s">
        <v>155</v>
      </c>
      <c r="I6" s="169">
        <v>50</v>
      </c>
      <c r="J6" s="172">
        <v>50</v>
      </c>
      <c r="K6" s="165">
        <v>245</v>
      </c>
      <c r="L6" s="166">
        <f t="shared" si="0"/>
        <v>12250</v>
      </c>
      <c r="M6" s="167" t="s">
        <v>1081</v>
      </c>
      <c r="N6" s="154"/>
      <c r="O6" s="154"/>
      <c r="P6" s="168" t="s">
        <v>1886</v>
      </c>
      <c r="Q6" s="168">
        <v>54</v>
      </c>
      <c r="R6" s="150" t="s">
        <v>1240</v>
      </c>
      <c r="S6" s="151">
        <v>53</v>
      </c>
      <c r="T6" s="45" t="s">
        <v>1329</v>
      </c>
      <c r="U6" s="45" t="s">
        <v>1330</v>
      </c>
      <c r="V6" s="45" t="s">
        <v>1331</v>
      </c>
      <c r="W6" s="45" t="s">
        <v>1332</v>
      </c>
      <c r="X6" s="98">
        <v>44805</v>
      </c>
      <c r="Y6" s="98">
        <v>45169</v>
      </c>
      <c r="Z6" s="98"/>
      <c r="AA6" s="98"/>
      <c r="AB6" s="41" t="s">
        <v>1113</v>
      </c>
      <c r="AC6" s="41"/>
      <c r="AD6" s="42" t="s">
        <v>734</v>
      </c>
      <c r="AE6" s="42" t="s">
        <v>734</v>
      </c>
      <c r="AF6" s="42" t="s">
        <v>734</v>
      </c>
      <c r="AG6" s="42"/>
      <c r="AH6" s="42" t="s">
        <v>734</v>
      </c>
      <c r="AI6" s="42" t="s">
        <v>734</v>
      </c>
      <c r="AJ6" s="42" t="s">
        <v>734</v>
      </c>
      <c r="AK6" s="42" t="s">
        <v>734</v>
      </c>
      <c r="AL6" s="42" t="s">
        <v>734</v>
      </c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BA6" s="39" t="s">
        <v>720</v>
      </c>
      <c r="BB6" s="39"/>
      <c r="BD6" s="67">
        <f t="shared" si="1"/>
        <v>0</v>
      </c>
      <c r="BF6" s="37"/>
      <c r="BG6" s="69">
        <v>2</v>
      </c>
      <c r="BI6" s="67"/>
      <c r="BJ6" s="37"/>
      <c r="BN6" s="37"/>
      <c r="BO6" s="70">
        <f t="shared" si="2"/>
        <v>0</v>
      </c>
      <c r="BP6" s="37">
        <v>22</v>
      </c>
      <c r="BQ6" s="73">
        <v>20</v>
      </c>
      <c r="BR6" s="37">
        <v>21</v>
      </c>
      <c r="BS6" s="37">
        <v>20</v>
      </c>
      <c r="BT6" s="87">
        <f t="shared" si="3"/>
        <v>0</v>
      </c>
      <c r="BU6" s="87"/>
      <c r="BV6" s="87"/>
      <c r="BW6" s="87"/>
      <c r="BX6" s="87"/>
      <c r="BY6" s="87"/>
      <c r="BZ6" s="87"/>
      <c r="CA6" s="87"/>
      <c r="CB6" s="87"/>
      <c r="CC6" s="87"/>
      <c r="CD6" s="87"/>
      <c r="CF6" s="67">
        <f t="shared" si="4"/>
        <v>0</v>
      </c>
      <c r="CG6" s="67">
        <f t="shared" si="5"/>
        <v>0</v>
      </c>
      <c r="CH6" s="67">
        <f t="shared" si="6"/>
        <v>0</v>
      </c>
      <c r="CI6" s="67">
        <f t="shared" si="11"/>
        <v>0</v>
      </c>
      <c r="CJ6" s="37">
        <f t="shared" si="7"/>
        <v>1100</v>
      </c>
      <c r="CK6" s="37">
        <f t="shared" si="8"/>
        <v>1000</v>
      </c>
      <c r="CL6" s="37">
        <f t="shared" si="9"/>
        <v>1050</v>
      </c>
      <c r="CM6" s="37">
        <f t="shared" si="10"/>
        <v>1000</v>
      </c>
    </row>
    <row r="7" spans="1:91" ht="33.75">
      <c r="B7" s="156">
        <v>6</v>
      </c>
      <c r="C7" s="159">
        <v>91</v>
      </c>
      <c r="D7" s="160">
        <v>495</v>
      </c>
      <c r="E7" s="161">
        <v>0.92361111111111116</v>
      </c>
      <c r="F7" s="161">
        <v>0.96527777777777779</v>
      </c>
      <c r="G7" s="161" t="s">
        <v>44</v>
      </c>
      <c r="H7" s="162" t="s">
        <v>475</v>
      </c>
      <c r="I7" s="163">
        <v>50</v>
      </c>
      <c r="J7" s="164">
        <v>50</v>
      </c>
      <c r="K7" s="165">
        <v>50</v>
      </c>
      <c r="L7" s="166">
        <f t="shared" si="0"/>
        <v>2500</v>
      </c>
      <c r="M7" s="167" t="s">
        <v>1081</v>
      </c>
      <c r="N7" s="154"/>
      <c r="O7" s="154"/>
      <c r="P7" s="168" t="s">
        <v>1886</v>
      </c>
      <c r="Q7" s="168">
        <v>54</v>
      </c>
      <c r="R7" s="150" t="s">
        <v>1240</v>
      </c>
      <c r="S7" s="151">
        <v>53</v>
      </c>
      <c r="T7" s="45" t="s">
        <v>1331</v>
      </c>
      <c r="U7" s="45" t="s">
        <v>1332</v>
      </c>
      <c r="V7" s="45" t="s">
        <v>1329</v>
      </c>
      <c r="W7" s="45" t="s">
        <v>1330</v>
      </c>
      <c r="X7" s="98">
        <v>44805</v>
      </c>
      <c r="Y7" s="98">
        <v>45169</v>
      </c>
      <c r="Z7" s="98"/>
      <c r="AA7" s="98"/>
      <c r="AB7" s="41" t="s">
        <v>1112</v>
      </c>
      <c r="AC7" s="41"/>
      <c r="AD7" s="42" t="s">
        <v>734</v>
      </c>
      <c r="AE7" s="42" t="s">
        <v>734</v>
      </c>
      <c r="AF7" s="42" t="s">
        <v>734</v>
      </c>
      <c r="AG7" s="42"/>
      <c r="AH7" s="42"/>
      <c r="AI7" s="42"/>
      <c r="AJ7" s="42"/>
      <c r="AK7" s="42"/>
      <c r="AL7" s="42"/>
      <c r="AM7" s="42" t="s">
        <v>734</v>
      </c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68">
        <v>150</v>
      </c>
      <c r="BA7" s="68"/>
      <c r="BB7" s="68"/>
      <c r="BD7" s="67">
        <f t="shared" si="1"/>
        <v>7500</v>
      </c>
      <c r="BE7" s="67"/>
      <c r="BF7" s="37"/>
      <c r="BG7" s="69">
        <v>2</v>
      </c>
      <c r="BH7" s="67">
        <f>IF(AND((AX7/I7)&lt;2,BG7=1),(I7*2)-AX7,0)</f>
        <v>0</v>
      </c>
      <c r="BI7" s="67">
        <f>IF(AND((AX7/I7)&lt;3,BG7=2),(I7*3)-AX7,0)</f>
        <v>0</v>
      </c>
      <c r="BJ7" s="70">
        <f>(BH7+BI7)*K7</f>
        <v>0</v>
      </c>
      <c r="BN7" s="37"/>
      <c r="BO7" s="70">
        <f t="shared" si="2"/>
        <v>0</v>
      </c>
      <c r="BP7" s="37">
        <v>4</v>
      </c>
      <c r="BQ7" s="37">
        <v>5</v>
      </c>
      <c r="BR7" s="37">
        <v>4</v>
      </c>
      <c r="BS7" s="37">
        <v>3</v>
      </c>
      <c r="BT7" s="87">
        <f t="shared" si="3"/>
        <v>150</v>
      </c>
      <c r="BU7" s="87"/>
      <c r="BV7" s="87"/>
      <c r="BW7" s="87"/>
      <c r="BX7" s="87"/>
      <c r="BY7" s="87"/>
      <c r="BZ7" s="87"/>
      <c r="CA7" s="87"/>
      <c r="CB7" s="87"/>
      <c r="CC7" s="87"/>
      <c r="CD7" s="87"/>
      <c r="CF7" s="67">
        <f t="shared" si="4"/>
        <v>600</v>
      </c>
      <c r="CG7" s="67">
        <f t="shared" si="5"/>
        <v>750</v>
      </c>
      <c r="CH7" s="67">
        <f t="shared" si="6"/>
        <v>600</v>
      </c>
      <c r="CI7" s="67">
        <f t="shared" si="11"/>
        <v>450</v>
      </c>
      <c r="CJ7" s="37">
        <f t="shared" si="7"/>
        <v>200</v>
      </c>
      <c r="CK7" s="37">
        <f t="shared" si="8"/>
        <v>250</v>
      </c>
      <c r="CL7" s="37">
        <f t="shared" si="9"/>
        <v>200</v>
      </c>
      <c r="CM7" s="37">
        <f t="shared" si="10"/>
        <v>150</v>
      </c>
    </row>
    <row r="8" spans="1:91" ht="33.75">
      <c r="B8" s="156">
        <v>7</v>
      </c>
      <c r="C8" s="159">
        <v>91</v>
      </c>
      <c r="D8" s="169">
        <v>495</v>
      </c>
      <c r="E8" s="170">
        <v>0.92361111111111116</v>
      </c>
      <c r="F8" s="170">
        <v>0.96527777777777779</v>
      </c>
      <c r="G8" s="171" t="s">
        <v>44</v>
      </c>
      <c r="H8" s="160" t="s">
        <v>155</v>
      </c>
      <c r="I8" s="169">
        <v>50</v>
      </c>
      <c r="J8" s="172">
        <v>50</v>
      </c>
      <c r="K8" s="165">
        <v>245</v>
      </c>
      <c r="L8" s="166">
        <f t="shared" si="0"/>
        <v>12250</v>
      </c>
      <c r="M8" s="167" t="s">
        <v>1081</v>
      </c>
      <c r="N8" s="154"/>
      <c r="O8" s="154"/>
      <c r="P8" s="168" t="s">
        <v>1886</v>
      </c>
      <c r="Q8" s="168">
        <v>54</v>
      </c>
      <c r="R8" s="150" t="s">
        <v>1240</v>
      </c>
      <c r="S8" s="151">
        <v>53</v>
      </c>
      <c r="T8" s="45" t="s">
        <v>1331</v>
      </c>
      <c r="U8" s="45" t="s">
        <v>1332</v>
      </c>
      <c r="V8" s="45" t="s">
        <v>1329</v>
      </c>
      <c r="W8" s="45" t="s">
        <v>1330</v>
      </c>
      <c r="X8" s="98">
        <v>44805</v>
      </c>
      <c r="Y8" s="98">
        <v>45169</v>
      </c>
      <c r="Z8" s="98"/>
      <c r="AA8" s="98"/>
      <c r="AB8" s="41" t="s">
        <v>1113</v>
      </c>
      <c r="AC8" s="41"/>
      <c r="AD8" s="42" t="s">
        <v>734</v>
      </c>
      <c r="AE8" s="42" t="s">
        <v>734</v>
      </c>
      <c r="AF8" s="42" t="s">
        <v>734</v>
      </c>
      <c r="AG8" s="42"/>
      <c r="AH8" s="42" t="s">
        <v>734</v>
      </c>
      <c r="AI8" s="42" t="s">
        <v>734</v>
      </c>
      <c r="AJ8" s="42" t="s">
        <v>734</v>
      </c>
      <c r="AK8" s="42" t="s">
        <v>734</v>
      </c>
      <c r="AL8" s="42" t="s">
        <v>734</v>
      </c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BA8" s="39" t="s">
        <v>720</v>
      </c>
      <c r="BB8" s="39"/>
      <c r="BD8" s="67">
        <f t="shared" si="1"/>
        <v>0</v>
      </c>
      <c r="BF8" s="37"/>
      <c r="BG8" s="69">
        <v>2</v>
      </c>
      <c r="BI8" s="67"/>
      <c r="BJ8" s="37"/>
      <c r="BN8" s="37"/>
      <c r="BO8" s="70">
        <f t="shared" si="2"/>
        <v>0</v>
      </c>
      <c r="BP8" s="37">
        <v>22</v>
      </c>
      <c r="BQ8" s="73">
        <v>20</v>
      </c>
      <c r="BR8" s="37">
        <v>21</v>
      </c>
      <c r="BS8" s="37">
        <v>20</v>
      </c>
      <c r="BT8" s="87">
        <f t="shared" si="3"/>
        <v>0</v>
      </c>
      <c r="BU8" s="87"/>
      <c r="BV8" s="87"/>
      <c r="BW8" s="87"/>
      <c r="BX8" s="87"/>
      <c r="BY8" s="87"/>
      <c r="BZ8" s="87"/>
      <c r="CA8" s="87"/>
      <c r="CB8" s="87"/>
      <c r="CC8" s="87"/>
      <c r="CD8" s="87"/>
      <c r="CF8" s="67">
        <f t="shared" si="4"/>
        <v>0</v>
      </c>
      <c r="CG8" s="67">
        <f t="shared" si="5"/>
        <v>0</v>
      </c>
      <c r="CH8" s="67">
        <f t="shared" si="6"/>
        <v>0</v>
      </c>
      <c r="CI8" s="67">
        <f t="shared" si="11"/>
        <v>0</v>
      </c>
      <c r="CJ8" s="37">
        <f t="shared" si="7"/>
        <v>1100</v>
      </c>
      <c r="CK8" s="37">
        <f t="shared" si="8"/>
        <v>1000</v>
      </c>
      <c r="CL8" s="37">
        <f t="shared" si="9"/>
        <v>1050</v>
      </c>
      <c r="CM8" s="37">
        <f t="shared" si="10"/>
        <v>1000</v>
      </c>
    </row>
    <row r="9" spans="1:91" ht="45">
      <c r="B9" s="156">
        <v>8</v>
      </c>
      <c r="C9" s="160">
        <v>102</v>
      </c>
      <c r="D9" s="160">
        <v>146</v>
      </c>
      <c r="E9" s="161">
        <v>0.55277777777777781</v>
      </c>
      <c r="F9" s="161">
        <v>0.5805555555555556</v>
      </c>
      <c r="G9" s="160" t="s">
        <v>166</v>
      </c>
      <c r="H9" s="160" t="s">
        <v>103</v>
      </c>
      <c r="I9" s="163">
        <v>19</v>
      </c>
      <c r="J9" s="164" t="s">
        <v>165</v>
      </c>
      <c r="K9" s="165">
        <v>174</v>
      </c>
      <c r="L9" s="166">
        <f t="shared" si="0"/>
        <v>3306</v>
      </c>
      <c r="M9" s="167" t="s">
        <v>748</v>
      </c>
      <c r="N9" s="150" t="s">
        <v>907</v>
      </c>
      <c r="O9" s="150">
        <v>57</v>
      </c>
      <c r="P9" s="268" t="s">
        <v>1957</v>
      </c>
      <c r="Q9" s="271">
        <v>50</v>
      </c>
      <c r="R9" s="150" t="s">
        <v>1991</v>
      </c>
      <c r="S9" s="152" t="s">
        <v>1958</v>
      </c>
      <c r="T9" s="45" t="s">
        <v>1333</v>
      </c>
      <c r="U9" s="45" t="s">
        <v>1334</v>
      </c>
      <c r="V9" s="45">
        <v>1072</v>
      </c>
      <c r="W9" s="45" t="s">
        <v>1335</v>
      </c>
      <c r="X9" s="98">
        <v>44816</v>
      </c>
      <c r="Y9" s="98">
        <v>45086</v>
      </c>
      <c r="Z9" s="98"/>
      <c r="AA9" s="98"/>
      <c r="AB9" s="41" t="s">
        <v>1114</v>
      </c>
      <c r="AC9" s="41"/>
      <c r="AD9" s="42"/>
      <c r="AE9" s="42"/>
      <c r="AF9" s="42"/>
      <c r="AG9" s="42" t="s">
        <v>734</v>
      </c>
      <c r="AH9" s="42" t="s">
        <v>734</v>
      </c>
      <c r="AI9" s="42" t="s">
        <v>734</v>
      </c>
      <c r="AJ9" s="42" t="s">
        <v>734</v>
      </c>
      <c r="AK9" s="42" t="s">
        <v>734</v>
      </c>
      <c r="AL9" s="42" t="s">
        <v>734</v>
      </c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68">
        <v>34.200000000000003</v>
      </c>
      <c r="AY9" s="37"/>
      <c r="BA9" s="68"/>
      <c r="BB9" s="68"/>
      <c r="BD9" s="67">
        <f t="shared" si="1"/>
        <v>5950.8</v>
      </c>
      <c r="BE9" s="67"/>
      <c r="BF9" s="37"/>
      <c r="BG9" s="69">
        <v>2</v>
      </c>
      <c r="BH9" s="71"/>
      <c r="BI9" s="71"/>
      <c r="BJ9" s="72"/>
      <c r="BN9" s="37"/>
      <c r="BO9" s="70">
        <f t="shared" si="2"/>
        <v>0</v>
      </c>
      <c r="BP9" s="37">
        <v>15</v>
      </c>
      <c r="BQ9" s="37">
        <v>20</v>
      </c>
      <c r="BR9" s="37">
        <v>21</v>
      </c>
      <c r="BS9" s="37">
        <v>15</v>
      </c>
      <c r="BT9" s="87">
        <f t="shared" si="3"/>
        <v>34.200000000000003</v>
      </c>
      <c r="BU9" s="87"/>
      <c r="BV9" s="87"/>
      <c r="BW9" s="87"/>
      <c r="BX9" s="87"/>
      <c r="BY9" s="87"/>
      <c r="BZ9" s="87"/>
      <c r="CA9" s="87"/>
      <c r="CB9" s="87"/>
      <c r="CC9" s="87"/>
      <c r="CD9" s="87"/>
      <c r="CF9" s="67">
        <f t="shared" si="4"/>
        <v>513</v>
      </c>
      <c r="CG9" s="67">
        <f t="shared" si="5"/>
        <v>684</v>
      </c>
      <c r="CH9" s="67">
        <f t="shared" si="6"/>
        <v>718.2</v>
      </c>
      <c r="CI9" s="67">
        <f t="shared" si="11"/>
        <v>513</v>
      </c>
      <c r="CJ9" s="37">
        <f t="shared" si="7"/>
        <v>285</v>
      </c>
      <c r="CK9" s="37">
        <f t="shared" si="8"/>
        <v>380</v>
      </c>
      <c r="CL9" s="37">
        <f t="shared" si="9"/>
        <v>399</v>
      </c>
      <c r="CM9" s="37">
        <f t="shared" si="10"/>
        <v>285</v>
      </c>
    </row>
    <row r="10" spans="1:91" ht="25.5">
      <c r="B10" s="156">
        <v>9</v>
      </c>
      <c r="C10" s="160">
        <v>103</v>
      </c>
      <c r="D10" s="162">
        <v>110</v>
      </c>
      <c r="E10" s="161">
        <v>0.51388888888888895</v>
      </c>
      <c r="F10" s="173">
        <v>0.59166666666666667</v>
      </c>
      <c r="G10" s="174" t="s">
        <v>945</v>
      </c>
      <c r="H10" s="160" t="s">
        <v>525</v>
      </c>
      <c r="I10" s="163">
        <v>62</v>
      </c>
      <c r="J10" s="164" t="s">
        <v>406</v>
      </c>
      <c r="K10" s="165">
        <v>45</v>
      </c>
      <c r="L10" s="166">
        <f t="shared" si="0"/>
        <v>2790</v>
      </c>
      <c r="M10" s="167" t="s">
        <v>726</v>
      </c>
      <c r="N10" s="150" t="s">
        <v>943</v>
      </c>
      <c r="O10" s="150">
        <v>48</v>
      </c>
      <c r="P10" s="150" t="s">
        <v>1055</v>
      </c>
      <c r="Q10" s="150">
        <v>45</v>
      </c>
      <c r="R10" s="168" t="s">
        <v>1241</v>
      </c>
      <c r="S10" s="175">
        <v>56</v>
      </c>
      <c r="T10" s="45">
        <v>1</v>
      </c>
      <c r="U10" s="45" t="s">
        <v>1336</v>
      </c>
      <c r="V10" s="45">
        <v>1070</v>
      </c>
      <c r="W10" s="45" t="s">
        <v>1337</v>
      </c>
      <c r="X10" s="99">
        <v>44816</v>
      </c>
      <c r="Y10" s="99">
        <v>45100</v>
      </c>
      <c r="Z10" s="99"/>
      <c r="AA10" s="99"/>
      <c r="AB10" s="36" t="s">
        <v>1115</v>
      </c>
      <c r="AC10" s="36"/>
      <c r="AD10" s="42" t="s">
        <v>734</v>
      </c>
      <c r="AE10" s="42"/>
      <c r="AF10" s="42"/>
      <c r="AG10" s="42"/>
      <c r="AH10" s="42"/>
      <c r="AI10" s="42"/>
      <c r="AJ10" s="42"/>
      <c r="AK10" s="42"/>
      <c r="AL10" s="42"/>
      <c r="AM10" s="42"/>
      <c r="AN10" s="42" t="s">
        <v>734</v>
      </c>
      <c r="AO10" s="42"/>
      <c r="AP10" s="42"/>
      <c r="AQ10" s="42"/>
      <c r="AR10" s="42"/>
      <c r="AS10" s="42"/>
      <c r="AT10" s="42"/>
      <c r="AU10" s="42"/>
      <c r="AV10" s="42"/>
      <c r="AW10" s="42"/>
      <c r="AX10" s="68">
        <v>186</v>
      </c>
      <c r="BA10" s="68"/>
      <c r="BB10" s="68"/>
      <c r="BD10" s="67">
        <f t="shared" si="1"/>
        <v>8370</v>
      </c>
      <c r="BE10" s="67"/>
      <c r="BF10" s="37"/>
      <c r="BG10" s="69">
        <v>2</v>
      </c>
      <c r="BH10" s="67">
        <f>IF(AND((AX10/I10)&lt;2,BG10=1),(I10*2)-AX10,0)</f>
        <v>0</v>
      </c>
      <c r="BI10" s="67">
        <f>IF(AND((AX10/I10)&lt;3,BG10=2),(I10*3)-AX10,0)</f>
        <v>0</v>
      </c>
      <c r="BJ10" s="70">
        <f>(BH10+BI10)*K10</f>
        <v>0</v>
      </c>
      <c r="BN10" s="37"/>
      <c r="BO10" s="70">
        <f t="shared" si="2"/>
        <v>0</v>
      </c>
      <c r="BP10" s="37">
        <v>2</v>
      </c>
      <c r="BQ10" s="37">
        <v>5</v>
      </c>
      <c r="BR10" s="37">
        <v>5</v>
      </c>
      <c r="BS10" s="37">
        <v>6</v>
      </c>
      <c r="BT10" s="87">
        <f t="shared" si="3"/>
        <v>186</v>
      </c>
      <c r="BU10" s="87"/>
      <c r="BV10" s="87"/>
      <c r="BW10" s="87"/>
      <c r="BX10" s="87"/>
      <c r="BY10" s="87"/>
      <c r="BZ10" s="87"/>
      <c r="CA10" s="87"/>
      <c r="CB10" s="87"/>
      <c r="CC10" s="87"/>
      <c r="CD10" s="87"/>
      <c r="CF10" s="67">
        <f t="shared" si="4"/>
        <v>372</v>
      </c>
      <c r="CG10" s="67">
        <f t="shared" si="5"/>
        <v>930</v>
      </c>
      <c r="CH10" s="67">
        <f t="shared" si="6"/>
        <v>930</v>
      </c>
      <c r="CI10" s="67">
        <f t="shared" si="11"/>
        <v>1116</v>
      </c>
      <c r="CJ10" s="37">
        <f t="shared" si="7"/>
        <v>124</v>
      </c>
      <c r="CK10" s="37">
        <f t="shared" si="8"/>
        <v>310</v>
      </c>
      <c r="CL10" s="37">
        <f t="shared" si="9"/>
        <v>310</v>
      </c>
      <c r="CM10" s="37">
        <f t="shared" si="10"/>
        <v>372</v>
      </c>
    </row>
    <row r="11" spans="1:91" ht="25.5">
      <c r="B11" s="156">
        <v>10</v>
      </c>
      <c r="C11" s="169">
        <v>103</v>
      </c>
      <c r="D11" s="169">
        <v>110</v>
      </c>
      <c r="E11" s="170">
        <v>0.51388888888888895</v>
      </c>
      <c r="F11" s="176">
        <v>0.59166666666666667</v>
      </c>
      <c r="G11" s="174" t="s">
        <v>945</v>
      </c>
      <c r="H11" s="160" t="s">
        <v>550</v>
      </c>
      <c r="I11" s="169">
        <v>62</v>
      </c>
      <c r="J11" s="172">
        <v>30</v>
      </c>
      <c r="K11" s="165">
        <v>13</v>
      </c>
      <c r="L11" s="166">
        <f t="shared" si="0"/>
        <v>806</v>
      </c>
      <c r="M11" s="167" t="s">
        <v>726</v>
      </c>
      <c r="N11" s="150" t="s">
        <v>943</v>
      </c>
      <c r="O11" s="150">
        <v>48</v>
      </c>
      <c r="P11" s="150" t="s">
        <v>1055</v>
      </c>
      <c r="Q11" s="150">
        <v>45</v>
      </c>
      <c r="R11" s="168" t="s">
        <v>1241</v>
      </c>
      <c r="S11" s="175">
        <v>56</v>
      </c>
      <c r="T11" s="45">
        <v>1</v>
      </c>
      <c r="U11" s="45" t="s">
        <v>1336</v>
      </c>
      <c r="V11" s="45">
        <v>1070</v>
      </c>
      <c r="W11" s="45" t="s">
        <v>1337</v>
      </c>
      <c r="X11" s="99">
        <v>44562</v>
      </c>
      <c r="Y11" s="99">
        <v>44815</v>
      </c>
      <c r="Z11" s="99">
        <v>45101</v>
      </c>
      <c r="AA11" s="99">
        <v>45169</v>
      </c>
      <c r="AB11" s="36" t="s">
        <v>1116</v>
      </c>
      <c r="AC11" s="36"/>
      <c r="AD11" s="42"/>
      <c r="AE11" s="42" t="s">
        <v>734</v>
      </c>
      <c r="AF11" s="42"/>
      <c r="AG11" s="42"/>
      <c r="AH11" s="42"/>
      <c r="AI11" s="42"/>
      <c r="AJ11" s="42"/>
      <c r="AK11" s="42"/>
      <c r="AL11" s="42"/>
      <c r="AM11" s="42"/>
      <c r="AN11" s="42" t="s">
        <v>734</v>
      </c>
      <c r="AO11" s="42"/>
      <c r="AP11" s="42"/>
      <c r="AQ11" s="42"/>
      <c r="AR11" s="42"/>
      <c r="AS11" s="42"/>
      <c r="AT11" s="42"/>
      <c r="AU11" s="42"/>
      <c r="AV11" s="42"/>
      <c r="AW11" s="42"/>
      <c r="BA11" s="38" t="s">
        <v>1014</v>
      </c>
      <c r="BB11" s="38"/>
      <c r="BD11" s="67">
        <f t="shared" si="1"/>
        <v>0</v>
      </c>
      <c r="BF11" s="37"/>
      <c r="BG11" s="73">
        <v>1</v>
      </c>
      <c r="BI11" s="67"/>
      <c r="BJ11" s="37"/>
      <c r="BN11" s="37"/>
      <c r="BO11" s="70">
        <f t="shared" si="2"/>
        <v>0</v>
      </c>
      <c r="BP11" s="37">
        <v>2</v>
      </c>
      <c r="BQ11" s="37">
        <v>0</v>
      </c>
      <c r="BR11" s="37">
        <v>0</v>
      </c>
      <c r="BT11" s="87">
        <f t="shared" si="3"/>
        <v>0</v>
      </c>
      <c r="BU11" s="87" t="s">
        <v>1116</v>
      </c>
      <c r="BV11" s="127">
        <v>2</v>
      </c>
      <c r="BW11" s="127"/>
      <c r="BX11" s="127">
        <v>0</v>
      </c>
      <c r="BY11" s="127"/>
      <c r="BZ11" s="127">
        <v>0</v>
      </c>
      <c r="CA11" s="127"/>
      <c r="CB11" s="127">
        <v>0</v>
      </c>
      <c r="CC11" s="127"/>
      <c r="CD11" s="87">
        <v>350</v>
      </c>
      <c r="CF11" s="67">
        <f t="shared" si="4"/>
        <v>700</v>
      </c>
      <c r="CG11" s="67">
        <f t="shared" si="5"/>
        <v>0</v>
      </c>
      <c r="CH11" s="67">
        <f t="shared" si="6"/>
        <v>0</v>
      </c>
      <c r="CI11" s="67">
        <f t="shared" si="11"/>
        <v>0</v>
      </c>
      <c r="CJ11" s="37">
        <f t="shared" si="7"/>
        <v>124</v>
      </c>
      <c r="CK11" s="37">
        <f t="shared" si="8"/>
        <v>0</v>
      </c>
      <c r="CL11" s="37">
        <f t="shared" si="9"/>
        <v>0</v>
      </c>
      <c r="CM11" s="37">
        <f t="shared" si="10"/>
        <v>0</v>
      </c>
    </row>
    <row r="12" spans="1:91" ht="25.5">
      <c r="B12" s="156">
        <v>11</v>
      </c>
      <c r="C12" s="160">
        <v>103</v>
      </c>
      <c r="D12" s="160">
        <v>118</v>
      </c>
      <c r="E12" s="161">
        <v>0.69444444444444453</v>
      </c>
      <c r="F12" s="161">
        <v>0.72916666666666663</v>
      </c>
      <c r="G12" s="160" t="s">
        <v>195</v>
      </c>
      <c r="H12" s="160" t="s">
        <v>194</v>
      </c>
      <c r="I12" s="163">
        <v>27</v>
      </c>
      <c r="J12" s="164" t="s">
        <v>165</v>
      </c>
      <c r="K12" s="165">
        <f>34+34+36+33</f>
        <v>137</v>
      </c>
      <c r="L12" s="166">
        <f t="shared" si="0"/>
        <v>3699</v>
      </c>
      <c r="M12" s="167" t="s">
        <v>1081</v>
      </c>
      <c r="N12" s="154"/>
      <c r="O12" s="154"/>
      <c r="P12" s="150" t="s">
        <v>1242</v>
      </c>
      <c r="Q12" s="150">
        <v>48</v>
      </c>
      <c r="R12" s="150" t="s">
        <v>1243</v>
      </c>
      <c r="S12" s="175">
        <v>45</v>
      </c>
      <c r="T12" s="45">
        <v>1</v>
      </c>
      <c r="U12" s="45" t="s">
        <v>1336</v>
      </c>
      <c r="V12" s="45">
        <v>1113</v>
      </c>
      <c r="W12" s="45" t="s">
        <v>1338</v>
      </c>
      <c r="X12" s="98">
        <v>44816</v>
      </c>
      <c r="Y12" s="98">
        <v>45086</v>
      </c>
      <c r="Z12" s="98"/>
      <c r="AA12" s="98"/>
      <c r="AB12" s="43" t="s">
        <v>1117</v>
      </c>
      <c r="AC12" s="43"/>
      <c r="AD12" s="42"/>
      <c r="AE12" s="42"/>
      <c r="AF12" s="42"/>
      <c r="AG12" s="42" t="s">
        <v>734</v>
      </c>
      <c r="AH12" s="42" t="s">
        <v>734</v>
      </c>
      <c r="AI12" s="42" t="s">
        <v>734</v>
      </c>
      <c r="AJ12" s="42" t="s">
        <v>734</v>
      </c>
      <c r="AK12" s="42" t="s">
        <v>734</v>
      </c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68">
        <v>81</v>
      </c>
      <c r="BA12" s="68"/>
      <c r="BB12" s="68"/>
      <c r="BD12" s="67">
        <f t="shared" si="1"/>
        <v>11097</v>
      </c>
      <c r="BE12" s="67"/>
      <c r="BF12" s="37"/>
      <c r="BG12" s="69">
        <v>2</v>
      </c>
      <c r="BH12" s="67">
        <f>IF(AND((AX12/I12)&lt;2,BG12=1),(I12*2)-AX12,0)</f>
        <v>0</v>
      </c>
      <c r="BI12" s="67">
        <f>IF(AND((AX12/I12)&lt;3,BG12=2),(I12*3)-AX12,0)</f>
        <v>0</v>
      </c>
      <c r="BJ12" s="70">
        <f>(BH12+BI12)*K12</f>
        <v>0</v>
      </c>
      <c r="BN12" s="37"/>
      <c r="BO12" s="70">
        <f t="shared" si="2"/>
        <v>0</v>
      </c>
      <c r="BP12" s="37">
        <v>12</v>
      </c>
      <c r="BQ12" s="37">
        <v>16</v>
      </c>
      <c r="BR12" s="37">
        <v>17</v>
      </c>
      <c r="BS12" s="37">
        <v>12</v>
      </c>
      <c r="BT12" s="87">
        <f t="shared" si="3"/>
        <v>81</v>
      </c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F12" s="67">
        <f t="shared" si="4"/>
        <v>972</v>
      </c>
      <c r="CG12" s="67">
        <f t="shared" si="5"/>
        <v>1296</v>
      </c>
      <c r="CH12" s="67">
        <f t="shared" si="6"/>
        <v>1377</v>
      </c>
      <c r="CI12" s="67">
        <f t="shared" si="11"/>
        <v>972</v>
      </c>
      <c r="CJ12" s="37">
        <f t="shared" si="7"/>
        <v>324</v>
      </c>
      <c r="CK12" s="37">
        <f t="shared" si="8"/>
        <v>432</v>
      </c>
      <c r="CL12" s="37">
        <f t="shared" si="9"/>
        <v>459</v>
      </c>
      <c r="CM12" s="37">
        <f t="shared" si="10"/>
        <v>324</v>
      </c>
    </row>
    <row r="13" spans="1:91" ht="25.5">
      <c r="B13" s="156">
        <v>12</v>
      </c>
      <c r="C13" s="160">
        <v>103</v>
      </c>
      <c r="D13" s="162">
        <v>119</v>
      </c>
      <c r="E13" s="161">
        <v>0.70833333333333337</v>
      </c>
      <c r="F13" s="173">
        <v>0.78611111111111109</v>
      </c>
      <c r="G13" s="160" t="s">
        <v>23</v>
      </c>
      <c r="H13" s="160" t="s">
        <v>525</v>
      </c>
      <c r="I13" s="163">
        <v>62</v>
      </c>
      <c r="J13" s="164" t="s">
        <v>406</v>
      </c>
      <c r="K13" s="165">
        <v>45</v>
      </c>
      <c r="L13" s="166">
        <f t="shared" si="0"/>
        <v>2790</v>
      </c>
      <c r="M13" s="167" t="s">
        <v>726</v>
      </c>
      <c r="N13" s="150" t="s">
        <v>943</v>
      </c>
      <c r="O13" s="150">
        <v>48</v>
      </c>
      <c r="P13" s="150" t="s">
        <v>1055</v>
      </c>
      <c r="Q13" s="150">
        <v>45</v>
      </c>
      <c r="R13" s="168" t="s">
        <v>1241</v>
      </c>
      <c r="S13" s="175">
        <v>56</v>
      </c>
      <c r="T13" s="45">
        <v>1070</v>
      </c>
      <c r="U13" s="45" t="s">
        <v>1337</v>
      </c>
      <c r="V13" s="45">
        <v>1</v>
      </c>
      <c r="W13" s="45" t="s">
        <v>1339</v>
      </c>
      <c r="X13" s="99">
        <v>44816</v>
      </c>
      <c r="Y13" s="99">
        <v>45100</v>
      </c>
      <c r="Z13" s="99"/>
      <c r="AA13" s="99"/>
      <c r="AB13" s="36" t="s">
        <v>1115</v>
      </c>
      <c r="AC13" s="36"/>
      <c r="AD13" s="42" t="s">
        <v>734</v>
      </c>
      <c r="AE13" s="42"/>
      <c r="AF13" s="42"/>
      <c r="AG13" s="42"/>
      <c r="AH13" s="42"/>
      <c r="AI13" s="42"/>
      <c r="AJ13" s="42"/>
      <c r="AK13" s="42"/>
      <c r="AL13" s="42"/>
      <c r="AM13" s="42"/>
      <c r="AN13" s="42" t="s">
        <v>734</v>
      </c>
      <c r="AO13" s="42"/>
      <c r="AP13" s="42"/>
      <c r="AQ13" s="42"/>
      <c r="AR13" s="42"/>
      <c r="AS13" s="42"/>
      <c r="AT13" s="42"/>
      <c r="AU13" s="42"/>
      <c r="AV13" s="42"/>
      <c r="AW13" s="42"/>
      <c r="AX13" s="67">
        <v>186</v>
      </c>
      <c r="BA13" s="67"/>
      <c r="BB13" s="67"/>
      <c r="BD13" s="67">
        <f t="shared" si="1"/>
        <v>8370</v>
      </c>
      <c r="BE13" s="67"/>
      <c r="BF13" s="37"/>
      <c r="BG13" s="69">
        <v>2</v>
      </c>
      <c r="BH13" s="67">
        <f>IF(AND((AX13/I13)&lt;2,BG13=1),(I13*2)-AX13,0)</f>
        <v>0</v>
      </c>
      <c r="BI13" s="67">
        <f>IF(AND((AX13/I13)&lt;3,BG13=2),(I13*3)-AX13,0)</f>
        <v>0</v>
      </c>
      <c r="BJ13" s="70">
        <f>(BH13+BI13)*K13</f>
        <v>0</v>
      </c>
      <c r="BN13" s="37"/>
      <c r="BO13" s="70">
        <f t="shared" si="2"/>
        <v>0</v>
      </c>
      <c r="BP13" s="37">
        <v>2</v>
      </c>
      <c r="BQ13" s="37">
        <v>5</v>
      </c>
      <c r="BR13" s="37">
        <v>5</v>
      </c>
      <c r="BS13" s="37">
        <v>6</v>
      </c>
      <c r="BT13" s="87">
        <f t="shared" si="3"/>
        <v>186</v>
      </c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F13" s="67">
        <f t="shared" si="4"/>
        <v>372</v>
      </c>
      <c r="CG13" s="67">
        <f t="shared" si="5"/>
        <v>930</v>
      </c>
      <c r="CH13" s="67">
        <f t="shared" si="6"/>
        <v>930</v>
      </c>
      <c r="CI13" s="67">
        <f t="shared" si="11"/>
        <v>1116</v>
      </c>
      <c r="CJ13" s="37">
        <f t="shared" si="7"/>
        <v>124</v>
      </c>
      <c r="CK13" s="37">
        <f t="shared" si="8"/>
        <v>310</v>
      </c>
      <c r="CL13" s="37">
        <f t="shared" si="9"/>
        <v>310</v>
      </c>
      <c r="CM13" s="37">
        <f t="shared" si="10"/>
        <v>372</v>
      </c>
    </row>
    <row r="14" spans="1:91" ht="25.5">
      <c r="B14" s="156">
        <v>13</v>
      </c>
      <c r="C14" s="169">
        <v>103</v>
      </c>
      <c r="D14" s="169">
        <v>119</v>
      </c>
      <c r="E14" s="170">
        <v>0.70833333333333337</v>
      </c>
      <c r="F14" s="170">
        <v>0.78888888888888886</v>
      </c>
      <c r="G14" s="171" t="s">
        <v>23</v>
      </c>
      <c r="H14" s="160" t="s">
        <v>550</v>
      </c>
      <c r="I14" s="169">
        <v>62</v>
      </c>
      <c r="J14" s="172">
        <v>30</v>
      </c>
      <c r="K14" s="165">
        <v>13</v>
      </c>
      <c r="L14" s="166">
        <f t="shared" si="0"/>
        <v>806</v>
      </c>
      <c r="M14" s="167" t="s">
        <v>726</v>
      </c>
      <c r="N14" s="150" t="s">
        <v>943</v>
      </c>
      <c r="O14" s="150">
        <v>48</v>
      </c>
      <c r="P14" s="150" t="s">
        <v>1055</v>
      </c>
      <c r="Q14" s="150">
        <v>45</v>
      </c>
      <c r="R14" s="168" t="s">
        <v>1241</v>
      </c>
      <c r="S14" s="175">
        <v>56</v>
      </c>
      <c r="T14" s="45">
        <v>1070</v>
      </c>
      <c r="U14" s="45" t="s">
        <v>1337</v>
      </c>
      <c r="V14" s="45">
        <v>1</v>
      </c>
      <c r="W14" s="45" t="s">
        <v>1339</v>
      </c>
      <c r="X14" s="99">
        <v>44562</v>
      </c>
      <c r="Y14" s="99">
        <v>44815</v>
      </c>
      <c r="Z14" s="99">
        <v>45101</v>
      </c>
      <c r="AA14" s="99">
        <v>45169</v>
      </c>
      <c r="AB14" s="36" t="s">
        <v>1116</v>
      </c>
      <c r="AC14" s="36"/>
      <c r="AD14" s="42"/>
      <c r="AE14" s="42" t="s">
        <v>734</v>
      </c>
      <c r="AF14" s="42"/>
      <c r="AG14" s="42"/>
      <c r="AH14" s="42"/>
      <c r="AI14" s="42"/>
      <c r="AJ14" s="42"/>
      <c r="AK14" s="42"/>
      <c r="AL14" s="42"/>
      <c r="AM14" s="42"/>
      <c r="AN14" s="42" t="s">
        <v>734</v>
      </c>
      <c r="AO14" s="42"/>
      <c r="AP14" s="42"/>
      <c r="AQ14" s="42"/>
      <c r="AR14" s="42"/>
      <c r="AS14" s="42"/>
      <c r="AT14" s="42"/>
      <c r="AU14" s="42"/>
      <c r="AV14" s="42"/>
      <c r="AW14" s="42"/>
      <c r="BA14" s="38" t="s">
        <v>1015</v>
      </c>
      <c r="BB14" s="38"/>
      <c r="BD14" s="67">
        <f t="shared" si="1"/>
        <v>0</v>
      </c>
      <c r="BF14" s="37"/>
      <c r="BG14" s="73">
        <v>1</v>
      </c>
      <c r="BI14" s="67"/>
      <c r="BJ14" s="37"/>
      <c r="BN14" s="37"/>
      <c r="BO14" s="70">
        <f t="shared" si="2"/>
        <v>0</v>
      </c>
      <c r="BP14" s="37">
        <v>2</v>
      </c>
      <c r="BQ14" s="37">
        <v>0</v>
      </c>
      <c r="BR14" s="37">
        <v>0</v>
      </c>
      <c r="BT14" s="87">
        <f t="shared" si="3"/>
        <v>0</v>
      </c>
      <c r="BU14" s="87" t="s">
        <v>1116</v>
      </c>
      <c r="BV14" s="127">
        <v>2</v>
      </c>
      <c r="BW14" s="127"/>
      <c r="BX14" s="127">
        <v>0</v>
      </c>
      <c r="BY14" s="127"/>
      <c r="BZ14" s="127">
        <v>0</v>
      </c>
      <c r="CA14" s="127"/>
      <c r="CB14" s="127">
        <v>0</v>
      </c>
      <c r="CC14" s="127"/>
      <c r="CD14" s="87">
        <v>350</v>
      </c>
      <c r="CF14" s="67">
        <f t="shared" si="4"/>
        <v>700</v>
      </c>
      <c r="CG14" s="67">
        <f t="shared" si="5"/>
        <v>0</v>
      </c>
      <c r="CH14" s="67">
        <f t="shared" si="6"/>
        <v>0</v>
      </c>
      <c r="CI14" s="67">
        <f t="shared" si="11"/>
        <v>0</v>
      </c>
      <c r="CJ14" s="37">
        <f t="shared" si="7"/>
        <v>124</v>
      </c>
      <c r="CK14" s="37">
        <f t="shared" si="8"/>
        <v>0</v>
      </c>
      <c r="CL14" s="37">
        <f t="shared" si="9"/>
        <v>0</v>
      </c>
      <c r="CM14" s="37">
        <f t="shared" si="10"/>
        <v>0</v>
      </c>
    </row>
    <row r="15" spans="1:91" ht="45">
      <c r="B15" s="156">
        <v>14</v>
      </c>
      <c r="C15" s="169">
        <v>103</v>
      </c>
      <c r="D15" s="169">
        <v>124</v>
      </c>
      <c r="E15" s="170">
        <v>0.77430555555555547</v>
      </c>
      <c r="F15" s="176">
        <v>0.83333333333333337</v>
      </c>
      <c r="G15" s="171" t="s">
        <v>621</v>
      </c>
      <c r="H15" s="171" t="s">
        <v>475</v>
      </c>
      <c r="I15" s="169">
        <v>48</v>
      </c>
      <c r="J15" s="172">
        <v>50</v>
      </c>
      <c r="K15" s="165">
        <v>50</v>
      </c>
      <c r="L15" s="166">
        <f t="shared" si="0"/>
        <v>2400</v>
      </c>
      <c r="M15" s="308" t="s">
        <v>2088</v>
      </c>
      <c r="N15" s="352" t="s">
        <v>2139</v>
      </c>
      <c r="O15" s="352">
        <v>57</v>
      </c>
      <c r="P15" s="150" t="s">
        <v>2140</v>
      </c>
      <c r="Q15" s="150">
        <v>57</v>
      </c>
      <c r="R15" s="150" t="s">
        <v>1992</v>
      </c>
      <c r="S15" s="3">
        <v>57</v>
      </c>
      <c r="T15" s="45">
        <v>1</v>
      </c>
      <c r="U15" s="45" t="s">
        <v>1336</v>
      </c>
      <c r="V15" s="45">
        <v>1122</v>
      </c>
      <c r="W15" s="45" t="s">
        <v>1340</v>
      </c>
      <c r="X15" s="98">
        <v>44805</v>
      </c>
      <c r="Y15" s="98">
        <v>45169</v>
      </c>
      <c r="Z15" s="98"/>
      <c r="AA15" s="98"/>
      <c r="AB15" s="41" t="s">
        <v>1112</v>
      </c>
      <c r="AC15" s="41"/>
      <c r="AD15" s="42" t="s">
        <v>734</v>
      </c>
      <c r="AE15" s="42" t="s">
        <v>734</v>
      </c>
      <c r="AF15" s="42" t="s">
        <v>734</v>
      </c>
      <c r="AG15" s="42"/>
      <c r="AH15" s="42"/>
      <c r="AI15" s="42"/>
      <c r="AJ15" s="42"/>
      <c r="AK15" s="42"/>
      <c r="AL15" s="42"/>
      <c r="AM15" s="42" t="s">
        <v>734</v>
      </c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Y15" s="67">
        <f>2.6*44</f>
        <v>114.4</v>
      </c>
      <c r="BA15" s="67"/>
      <c r="BB15" s="67"/>
      <c r="BD15" s="67">
        <f t="shared" si="1"/>
        <v>0</v>
      </c>
      <c r="BE15" s="67">
        <f>AY15*K15</f>
        <v>5720</v>
      </c>
      <c r="BF15" s="37"/>
      <c r="BG15" s="69">
        <v>2</v>
      </c>
      <c r="BI15" s="67"/>
      <c r="BJ15" s="37"/>
      <c r="BK15" s="71"/>
      <c r="BL15" s="71"/>
      <c r="BM15" s="72"/>
      <c r="BN15" s="37"/>
      <c r="BO15" s="70">
        <f t="shared" si="2"/>
        <v>0</v>
      </c>
      <c r="BP15" s="37">
        <v>4</v>
      </c>
      <c r="BQ15" s="37">
        <v>5</v>
      </c>
      <c r="BR15" s="37">
        <v>4</v>
      </c>
      <c r="BS15" s="37">
        <v>5</v>
      </c>
      <c r="BT15" s="87">
        <f t="shared" si="3"/>
        <v>114.4</v>
      </c>
      <c r="BU15" s="87"/>
      <c r="BV15" s="87"/>
      <c r="BW15" s="87"/>
      <c r="BX15" s="87"/>
      <c r="BY15" s="87"/>
      <c r="BZ15" s="87"/>
      <c r="CA15" s="87"/>
      <c r="CB15" s="87"/>
      <c r="CC15" s="87"/>
      <c r="CD15" s="87"/>
      <c r="CF15" s="67">
        <f t="shared" si="4"/>
        <v>457.6</v>
      </c>
      <c r="CG15" s="67">
        <f t="shared" si="5"/>
        <v>572</v>
      </c>
      <c r="CH15" s="67">
        <f t="shared" si="6"/>
        <v>457.6</v>
      </c>
      <c r="CI15" s="67">
        <f t="shared" si="11"/>
        <v>572</v>
      </c>
      <c r="CJ15" s="37">
        <f t="shared" si="7"/>
        <v>192</v>
      </c>
      <c r="CK15" s="37">
        <f t="shared" si="8"/>
        <v>240</v>
      </c>
      <c r="CL15" s="37">
        <f t="shared" si="9"/>
        <v>192</v>
      </c>
      <c r="CM15" s="37">
        <f t="shared" si="10"/>
        <v>240</v>
      </c>
    </row>
    <row r="16" spans="1:91" ht="45">
      <c r="B16" s="156">
        <v>15</v>
      </c>
      <c r="C16" s="169">
        <v>103</v>
      </c>
      <c r="D16" s="169">
        <v>124</v>
      </c>
      <c r="E16" s="170">
        <v>0.77430555555555547</v>
      </c>
      <c r="F16" s="170">
        <v>0.82638888888888884</v>
      </c>
      <c r="G16" s="171" t="s">
        <v>620</v>
      </c>
      <c r="H16" s="160" t="s">
        <v>155</v>
      </c>
      <c r="I16" s="169">
        <v>44</v>
      </c>
      <c r="J16" s="172">
        <v>50</v>
      </c>
      <c r="K16" s="165">
        <v>252</v>
      </c>
      <c r="L16" s="166">
        <f t="shared" si="0"/>
        <v>11088</v>
      </c>
      <c r="M16" s="308" t="s">
        <v>2088</v>
      </c>
      <c r="N16" s="352" t="s">
        <v>2139</v>
      </c>
      <c r="O16" s="352">
        <v>57</v>
      </c>
      <c r="P16" s="268" t="s">
        <v>2141</v>
      </c>
      <c r="Q16" s="271">
        <v>50</v>
      </c>
      <c r="R16" s="150" t="s">
        <v>1992</v>
      </c>
      <c r="S16" s="3">
        <v>57</v>
      </c>
      <c r="T16" s="45">
        <v>1</v>
      </c>
      <c r="U16" s="45" t="s">
        <v>1336</v>
      </c>
      <c r="V16" s="45">
        <v>1122</v>
      </c>
      <c r="W16" s="45" t="s">
        <v>1340</v>
      </c>
      <c r="X16" s="98">
        <v>44805</v>
      </c>
      <c r="Y16" s="98">
        <v>45169</v>
      </c>
      <c r="Z16" s="98"/>
      <c r="AA16" s="98"/>
      <c r="AB16" s="41" t="s">
        <v>1113</v>
      </c>
      <c r="AC16" s="41"/>
      <c r="AD16" s="42" t="s">
        <v>734</v>
      </c>
      <c r="AE16" s="42" t="s">
        <v>734</v>
      </c>
      <c r="AF16" s="42" t="s">
        <v>734</v>
      </c>
      <c r="AG16" s="42"/>
      <c r="AH16" s="42" t="s">
        <v>734</v>
      </c>
      <c r="AI16" s="42" t="s">
        <v>734</v>
      </c>
      <c r="AJ16" s="42" t="s">
        <v>734</v>
      </c>
      <c r="AK16" s="42" t="s">
        <v>734</v>
      </c>
      <c r="AL16" s="42" t="s">
        <v>734</v>
      </c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Y16" s="67">
        <f>2.6*44</f>
        <v>114.4</v>
      </c>
      <c r="BA16" s="67"/>
      <c r="BB16" s="67"/>
      <c r="BD16" s="67">
        <f t="shared" si="1"/>
        <v>0</v>
      </c>
      <c r="BE16" s="67">
        <f>AY16*K16</f>
        <v>28828.800000000003</v>
      </c>
      <c r="BF16" s="37"/>
      <c r="BG16" s="69">
        <v>2</v>
      </c>
      <c r="BI16" s="67"/>
      <c r="BJ16" s="37"/>
      <c r="BK16" s="71"/>
      <c r="BL16" s="71"/>
      <c r="BM16" s="72"/>
      <c r="BN16" s="37"/>
      <c r="BO16" s="70">
        <f t="shared" si="2"/>
        <v>0</v>
      </c>
      <c r="BP16" s="37">
        <v>22</v>
      </c>
      <c r="BQ16" s="37">
        <v>21</v>
      </c>
      <c r="BR16" s="37">
        <v>21</v>
      </c>
      <c r="BS16" s="37">
        <v>20</v>
      </c>
      <c r="BT16" s="87">
        <f t="shared" si="3"/>
        <v>114.4</v>
      </c>
      <c r="BU16" s="87"/>
      <c r="BV16" s="87"/>
      <c r="BW16" s="87"/>
      <c r="BX16" s="87"/>
      <c r="BY16" s="87"/>
      <c r="BZ16" s="87"/>
      <c r="CA16" s="87"/>
      <c r="CB16" s="87"/>
      <c r="CC16" s="87"/>
      <c r="CD16" s="87"/>
      <c r="CF16" s="67">
        <f t="shared" si="4"/>
        <v>2516.8000000000002</v>
      </c>
      <c r="CG16" s="67">
        <f t="shared" si="5"/>
        <v>2402.4</v>
      </c>
      <c r="CH16" s="67">
        <f t="shared" si="6"/>
        <v>2402.4</v>
      </c>
      <c r="CI16" s="67">
        <f t="shared" si="11"/>
        <v>2288</v>
      </c>
      <c r="CJ16" s="37">
        <f t="shared" si="7"/>
        <v>968</v>
      </c>
      <c r="CK16" s="37">
        <f t="shared" si="8"/>
        <v>924</v>
      </c>
      <c r="CL16" s="37">
        <f t="shared" si="9"/>
        <v>924</v>
      </c>
      <c r="CM16" s="37">
        <f t="shared" si="10"/>
        <v>880</v>
      </c>
    </row>
    <row r="17" spans="1:91" ht="33.75">
      <c r="B17" s="156">
        <v>16</v>
      </c>
      <c r="C17" s="169">
        <v>107</v>
      </c>
      <c r="D17" s="169">
        <v>570</v>
      </c>
      <c r="E17" s="170">
        <v>0.71180555555555547</v>
      </c>
      <c r="F17" s="170">
        <v>0.72638888888888886</v>
      </c>
      <c r="G17" s="171" t="s">
        <v>50</v>
      </c>
      <c r="H17" s="160" t="s">
        <v>97</v>
      </c>
      <c r="I17" s="169">
        <v>15</v>
      </c>
      <c r="J17" s="172">
        <v>30</v>
      </c>
      <c r="K17" s="165">
        <v>208</v>
      </c>
      <c r="L17" s="166">
        <f t="shared" si="0"/>
        <v>3120</v>
      </c>
      <c r="M17" s="308" t="s">
        <v>2088</v>
      </c>
      <c r="N17" s="352" t="s">
        <v>2139</v>
      </c>
      <c r="O17" s="352">
        <v>57</v>
      </c>
      <c r="P17" s="150" t="s">
        <v>2140</v>
      </c>
      <c r="Q17" s="150">
        <v>57</v>
      </c>
      <c r="R17" s="150" t="s">
        <v>1995</v>
      </c>
      <c r="S17" s="150" t="s">
        <v>990</v>
      </c>
      <c r="T17" s="45">
        <v>6120</v>
      </c>
      <c r="U17" s="45" t="s">
        <v>1341</v>
      </c>
      <c r="V17" s="45" t="s">
        <v>1342</v>
      </c>
      <c r="W17" s="45" t="s">
        <v>1343</v>
      </c>
      <c r="X17" s="98">
        <v>44816</v>
      </c>
      <c r="Y17" s="98">
        <v>45086</v>
      </c>
      <c r="Z17" s="98"/>
      <c r="AA17" s="98"/>
      <c r="AB17" s="41" t="s">
        <v>1118</v>
      </c>
      <c r="AC17" s="41"/>
      <c r="AD17" s="42"/>
      <c r="AE17" s="42"/>
      <c r="AF17" s="42"/>
      <c r="AG17" s="42" t="s">
        <v>734</v>
      </c>
      <c r="AH17" s="42" t="s">
        <v>734</v>
      </c>
      <c r="AI17" s="42" t="s">
        <v>734</v>
      </c>
      <c r="AJ17" s="42" t="s">
        <v>734</v>
      </c>
      <c r="AK17" s="42" t="s">
        <v>734</v>
      </c>
      <c r="AL17" s="42" t="s">
        <v>734</v>
      </c>
      <c r="AM17" s="42" t="s">
        <v>734</v>
      </c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Y17" s="37"/>
      <c r="BA17" s="39" t="s">
        <v>725</v>
      </c>
      <c r="BB17" s="39"/>
      <c r="BD17" s="67">
        <f t="shared" si="1"/>
        <v>0</v>
      </c>
      <c r="BF17" s="37"/>
      <c r="BG17" s="73">
        <v>1</v>
      </c>
      <c r="BI17" s="67"/>
      <c r="BJ17" s="37"/>
      <c r="BN17" s="37"/>
      <c r="BO17" s="70">
        <f t="shared" si="2"/>
        <v>0</v>
      </c>
      <c r="BP17" s="37">
        <v>17</v>
      </c>
      <c r="BQ17" s="37">
        <v>25</v>
      </c>
      <c r="BR17" s="37">
        <v>25</v>
      </c>
      <c r="BS17" s="37">
        <v>18</v>
      </c>
      <c r="BT17" s="87">
        <f t="shared" si="3"/>
        <v>0</v>
      </c>
      <c r="BU17" s="87" t="s">
        <v>1118</v>
      </c>
      <c r="BV17" s="127">
        <v>17</v>
      </c>
      <c r="BW17" s="127"/>
      <c r="BX17" s="127">
        <v>25</v>
      </c>
      <c r="BY17" s="127"/>
      <c r="BZ17" s="127">
        <v>25</v>
      </c>
      <c r="CA17" s="127"/>
      <c r="CB17" s="127">
        <v>18</v>
      </c>
      <c r="CC17" s="127"/>
      <c r="CD17" s="87">
        <v>165</v>
      </c>
      <c r="CF17" s="67">
        <f t="shared" si="4"/>
        <v>2805</v>
      </c>
      <c r="CG17" s="67">
        <f t="shared" si="5"/>
        <v>4125</v>
      </c>
      <c r="CH17" s="67">
        <f t="shared" si="6"/>
        <v>4125</v>
      </c>
      <c r="CI17" s="67">
        <f t="shared" si="11"/>
        <v>2970</v>
      </c>
      <c r="CJ17" s="37">
        <f t="shared" si="7"/>
        <v>255</v>
      </c>
      <c r="CK17" s="37">
        <f t="shared" si="8"/>
        <v>375</v>
      </c>
      <c r="CL17" s="37">
        <f t="shared" si="9"/>
        <v>375</v>
      </c>
      <c r="CM17" s="37">
        <f t="shared" si="10"/>
        <v>270</v>
      </c>
    </row>
    <row r="18" spans="1:91" ht="25.5">
      <c r="B18" s="156">
        <v>17</v>
      </c>
      <c r="C18" s="169">
        <v>107</v>
      </c>
      <c r="D18" s="169">
        <v>571</v>
      </c>
      <c r="E18" s="170">
        <v>0.72638888888888886</v>
      </c>
      <c r="F18" s="170">
        <v>0.7402777777777777</v>
      </c>
      <c r="G18" s="171" t="s">
        <v>49</v>
      </c>
      <c r="H18" s="160" t="s">
        <v>97</v>
      </c>
      <c r="I18" s="169">
        <v>15</v>
      </c>
      <c r="J18" s="172">
        <v>30</v>
      </c>
      <c r="K18" s="165">
        <v>208</v>
      </c>
      <c r="L18" s="166">
        <f t="shared" si="0"/>
        <v>3120</v>
      </c>
      <c r="M18" s="308" t="s">
        <v>2088</v>
      </c>
      <c r="N18" s="352" t="s">
        <v>2139</v>
      </c>
      <c r="O18" s="352">
        <v>57</v>
      </c>
      <c r="P18" s="268" t="s">
        <v>2141</v>
      </c>
      <c r="Q18" s="271">
        <v>50</v>
      </c>
      <c r="R18" s="150" t="s">
        <v>1995</v>
      </c>
      <c r="S18" s="150" t="s">
        <v>990</v>
      </c>
      <c r="T18" s="45" t="s">
        <v>1342</v>
      </c>
      <c r="U18" s="45" t="s">
        <v>1343</v>
      </c>
      <c r="V18" s="45">
        <v>6120</v>
      </c>
      <c r="W18" s="45" t="s">
        <v>1341</v>
      </c>
      <c r="X18" s="98">
        <v>44816</v>
      </c>
      <c r="Y18" s="98">
        <v>45086</v>
      </c>
      <c r="Z18" s="98"/>
      <c r="AA18" s="98"/>
      <c r="AB18" s="41" t="s">
        <v>1118</v>
      </c>
      <c r="AC18" s="41"/>
      <c r="AD18" s="42"/>
      <c r="AE18" s="42"/>
      <c r="AF18" s="42"/>
      <c r="AG18" s="42" t="s">
        <v>734</v>
      </c>
      <c r="AH18" s="42" t="s">
        <v>734</v>
      </c>
      <c r="AI18" s="42" t="s">
        <v>734</v>
      </c>
      <c r="AJ18" s="42" t="s">
        <v>734</v>
      </c>
      <c r="AK18" s="42" t="s">
        <v>734</v>
      </c>
      <c r="AL18" s="42" t="s">
        <v>734</v>
      </c>
      <c r="AM18" s="42" t="s">
        <v>734</v>
      </c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Y18" s="37"/>
      <c r="BA18" s="39" t="s">
        <v>725</v>
      </c>
      <c r="BB18" s="39"/>
      <c r="BD18" s="67">
        <f t="shared" si="1"/>
        <v>0</v>
      </c>
      <c r="BF18" s="37"/>
      <c r="BG18" s="73">
        <v>1</v>
      </c>
      <c r="BI18" s="67"/>
      <c r="BJ18" s="37"/>
      <c r="BN18" s="37"/>
      <c r="BO18" s="70">
        <f t="shared" si="2"/>
        <v>0</v>
      </c>
      <c r="BP18" s="37">
        <v>17</v>
      </c>
      <c r="BQ18" s="37">
        <v>25</v>
      </c>
      <c r="BR18" s="37">
        <v>25</v>
      </c>
      <c r="BS18" s="37">
        <v>18</v>
      </c>
      <c r="BT18" s="87">
        <f t="shared" si="3"/>
        <v>0</v>
      </c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F18" s="67">
        <f t="shared" si="4"/>
        <v>0</v>
      </c>
      <c r="CG18" s="67">
        <f t="shared" si="5"/>
        <v>0</v>
      </c>
      <c r="CH18" s="67">
        <f t="shared" si="6"/>
        <v>0</v>
      </c>
      <c r="CI18" s="67">
        <f t="shared" si="11"/>
        <v>0</v>
      </c>
      <c r="CJ18" s="37">
        <f t="shared" si="7"/>
        <v>255</v>
      </c>
      <c r="CK18" s="37">
        <f t="shared" si="8"/>
        <v>375</v>
      </c>
      <c r="CL18" s="37">
        <f t="shared" si="9"/>
        <v>375</v>
      </c>
      <c r="CM18" s="37">
        <f t="shared" si="10"/>
        <v>270</v>
      </c>
    </row>
    <row r="19" spans="1:91" ht="25.5">
      <c r="B19" s="156">
        <v>18</v>
      </c>
      <c r="C19" s="160">
        <v>120</v>
      </c>
      <c r="D19" s="162">
        <v>178</v>
      </c>
      <c r="E19" s="161">
        <v>0.62013888888888891</v>
      </c>
      <c r="F19" s="161">
        <v>0.62708333333333333</v>
      </c>
      <c r="G19" s="160" t="s">
        <v>459</v>
      </c>
      <c r="H19" s="160" t="s">
        <v>525</v>
      </c>
      <c r="I19" s="163">
        <v>4</v>
      </c>
      <c r="J19" s="164" t="s">
        <v>406</v>
      </c>
      <c r="K19" s="165">
        <v>45</v>
      </c>
      <c r="L19" s="166">
        <f t="shared" si="0"/>
        <v>180</v>
      </c>
      <c r="M19" s="177" t="s">
        <v>726</v>
      </c>
      <c r="N19" s="150" t="s">
        <v>943</v>
      </c>
      <c r="O19" s="150">
        <v>48</v>
      </c>
      <c r="P19" s="150" t="s">
        <v>1055</v>
      </c>
      <c r="Q19" s="150">
        <v>45</v>
      </c>
      <c r="R19" s="168" t="s">
        <v>1241</v>
      </c>
      <c r="S19" s="175">
        <v>56</v>
      </c>
      <c r="T19" s="45" t="s">
        <v>1344</v>
      </c>
      <c r="U19" s="45" t="s">
        <v>1345</v>
      </c>
      <c r="V19" s="45">
        <v>1070</v>
      </c>
      <c r="W19" s="45" t="s">
        <v>1337</v>
      </c>
      <c r="X19" s="99">
        <v>44816</v>
      </c>
      <c r="Y19" s="99">
        <v>45100</v>
      </c>
      <c r="Z19" s="99"/>
      <c r="AA19" s="99"/>
      <c r="AB19" s="36" t="s">
        <v>1115</v>
      </c>
      <c r="AC19" s="36"/>
      <c r="AD19" s="42" t="s">
        <v>734</v>
      </c>
      <c r="AE19" s="42"/>
      <c r="AF19" s="42"/>
      <c r="AG19" s="42"/>
      <c r="AH19" s="42"/>
      <c r="AI19" s="42"/>
      <c r="AJ19" s="42"/>
      <c r="AK19" s="42"/>
      <c r="AL19" s="42"/>
      <c r="AM19" s="42"/>
      <c r="AN19" s="42" t="s">
        <v>734</v>
      </c>
      <c r="AO19" s="42"/>
      <c r="AP19" s="42"/>
      <c r="AQ19" s="42"/>
      <c r="AR19" s="42"/>
      <c r="AS19" s="42"/>
      <c r="AT19" s="42"/>
      <c r="AU19" s="42"/>
      <c r="AV19" s="42"/>
      <c r="AW19" s="42"/>
      <c r="AX19" s="68">
        <v>12</v>
      </c>
      <c r="BA19" s="68"/>
      <c r="BB19" s="68"/>
      <c r="BD19" s="67">
        <f t="shared" si="1"/>
        <v>540</v>
      </c>
      <c r="BE19" s="67"/>
      <c r="BF19" s="37"/>
      <c r="BG19" s="69">
        <v>2</v>
      </c>
      <c r="BH19" s="67">
        <f t="shared" ref="BH19:BH49" si="12">IF(AND((AX19/I19)&lt;2,BG19=1),(I19*2)-AX19,0)</f>
        <v>0</v>
      </c>
      <c r="BI19" s="67">
        <f t="shared" ref="BI19:BI49" si="13">IF(AND((AX19/I19)&lt;3,BG19=2),(I19*3)-AX19,0)</f>
        <v>0</v>
      </c>
      <c r="BJ19" s="70">
        <f t="shared" ref="BJ19:BJ49" si="14">(BH19+BI19)*K19</f>
        <v>0</v>
      </c>
      <c r="BN19" s="37"/>
      <c r="BO19" s="70">
        <f t="shared" si="2"/>
        <v>0</v>
      </c>
      <c r="BP19" s="37">
        <v>2</v>
      </c>
      <c r="BQ19" s="37">
        <v>5</v>
      </c>
      <c r="BR19" s="37">
        <v>5</v>
      </c>
      <c r="BS19" s="37">
        <v>6</v>
      </c>
      <c r="BT19" s="87">
        <f t="shared" si="3"/>
        <v>12</v>
      </c>
      <c r="BU19" s="87"/>
      <c r="BV19" s="87"/>
      <c r="BW19" s="87"/>
      <c r="BX19" s="87"/>
      <c r="BY19" s="87"/>
      <c r="BZ19" s="87"/>
      <c r="CA19" s="87"/>
      <c r="CB19" s="87"/>
      <c r="CC19" s="87"/>
      <c r="CD19" s="87"/>
      <c r="CF19" s="67">
        <f t="shared" si="4"/>
        <v>24</v>
      </c>
      <c r="CG19" s="67">
        <f t="shared" si="5"/>
        <v>60</v>
      </c>
      <c r="CH19" s="67">
        <f t="shared" si="6"/>
        <v>60</v>
      </c>
      <c r="CI19" s="67">
        <f t="shared" si="11"/>
        <v>72</v>
      </c>
      <c r="CJ19" s="37">
        <f t="shared" si="7"/>
        <v>8</v>
      </c>
      <c r="CK19" s="37">
        <f t="shared" si="8"/>
        <v>20</v>
      </c>
      <c r="CL19" s="37">
        <f t="shared" si="9"/>
        <v>20</v>
      </c>
      <c r="CM19" s="37">
        <f t="shared" si="10"/>
        <v>24</v>
      </c>
    </row>
    <row r="20" spans="1:91" ht="25.5">
      <c r="B20" s="156">
        <v>19</v>
      </c>
      <c r="C20" s="160">
        <v>120</v>
      </c>
      <c r="D20" s="162">
        <v>55</v>
      </c>
      <c r="E20" s="161">
        <v>0.66180555555555554</v>
      </c>
      <c r="F20" s="161">
        <v>0.66875000000000007</v>
      </c>
      <c r="G20" s="160" t="s">
        <v>459</v>
      </c>
      <c r="H20" s="160" t="s">
        <v>550</v>
      </c>
      <c r="I20" s="163">
        <v>4</v>
      </c>
      <c r="J20" s="164" t="s">
        <v>93</v>
      </c>
      <c r="K20" s="165">
        <v>13</v>
      </c>
      <c r="L20" s="166">
        <f t="shared" si="0"/>
        <v>52</v>
      </c>
      <c r="M20" s="167" t="s">
        <v>726</v>
      </c>
      <c r="N20" s="150" t="s">
        <v>943</v>
      </c>
      <c r="O20" s="150">
        <v>48</v>
      </c>
      <c r="P20" s="150" t="s">
        <v>1055</v>
      </c>
      <c r="Q20" s="150">
        <v>45</v>
      </c>
      <c r="R20" s="168" t="s">
        <v>1241</v>
      </c>
      <c r="S20" s="175">
        <v>56</v>
      </c>
      <c r="T20" s="45">
        <v>1070</v>
      </c>
      <c r="U20" s="45" t="s">
        <v>1337</v>
      </c>
      <c r="V20" s="45" t="s">
        <v>1344</v>
      </c>
      <c r="W20" s="45" t="s">
        <v>1345</v>
      </c>
      <c r="X20" s="99">
        <v>44562</v>
      </c>
      <c r="Y20" s="99">
        <v>44815</v>
      </c>
      <c r="Z20" s="99">
        <v>45101</v>
      </c>
      <c r="AA20" s="99">
        <v>45169</v>
      </c>
      <c r="AB20" s="36" t="s">
        <v>1116</v>
      </c>
      <c r="AC20" s="36"/>
      <c r="AD20" s="42"/>
      <c r="AE20" s="42" t="s">
        <v>734</v>
      </c>
      <c r="AF20" s="42"/>
      <c r="AG20" s="42"/>
      <c r="AH20" s="42"/>
      <c r="AI20" s="42"/>
      <c r="AJ20" s="42"/>
      <c r="AK20" s="42"/>
      <c r="AL20" s="42"/>
      <c r="AM20" s="42"/>
      <c r="AN20" s="42" t="s">
        <v>734</v>
      </c>
      <c r="AO20" s="42"/>
      <c r="AP20" s="42"/>
      <c r="AQ20" s="42"/>
      <c r="AR20" s="42"/>
      <c r="AS20" s="42"/>
      <c r="AT20" s="42"/>
      <c r="AU20" s="42"/>
      <c r="AV20" s="42"/>
      <c r="AW20" s="42"/>
      <c r="AX20" s="68">
        <v>18</v>
      </c>
      <c r="BA20" s="68"/>
      <c r="BB20" s="68"/>
      <c r="BD20" s="67">
        <f t="shared" si="1"/>
        <v>234</v>
      </c>
      <c r="BE20" s="67"/>
      <c r="BF20" s="37"/>
      <c r="BG20" s="73">
        <v>1</v>
      </c>
      <c r="BH20" s="67">
        <f t="shared" si="12"/>
        <v>0</v>
      </c>
      <c r="BI20" s="67">
        <f t="shared" si="13"/>
        <v>0</v>
      </c>
      <c r="BJ20" s="70">
        <f t="shared" si="14"/>
        <v>0</v>
      </c>
      <c r="BN20" s="37"/>
      <c r="BO20" s="70">
        <f t="shared" si="2"/>
        <v>0</v>
      </c>
      <c r="BP20" s="37">
        <v>2</v>
      </c>
      <c r="BQ20" s="37">
        <v>0</v>
      </c>
      <c r="BR20" s="37">
        <v>0</v>
      </c>
      <c r="BT20" s="87">
        <f t="shared" si="3"/>
        <v>18</v>
      </c>
      <c r="BU20" s="87"/>
      <c r="BV20" s="87"/>
      <c r="BW20" s="87"/>
      <c r="BX20" s="87"/>
      <c r="BY20" s="87"/>
      <c r="BZ20" s="87"/>
      <c r="CA20" s="87"/>
      <c r="CB20" s="87"/>
      <c r="CC20" s="87"/>
      <c r="CD20" s="87"/>
      <c r="CF20" s="67">
        <f t="shared" si="4"/>
        <v>36</v>
      </c>
      <c r="CG20" s="67">
        <f t="shared" si="5"/>
        <v>0</v>
      </c>
      <c r="CH20" s="67">
        <f t="shared" si="6"/>
        <v>0</v>
      </c>
      <c r="CI20" s="67">
        <f t="shared" si="11"/>
        <v>0</v>
      </c>
      <c r="CJ20" s="37">
        <f t="shared" si="7"/>
        <v>8</v>
      </c>
      <c r="CK20" s="37">
        <f t="shared" si="8"/>
        <v>0</v>
      </c>
      <c r="CL20" s="37">
        <f t="shared" si="9"/>
        <v>0</v>
      </c>
      <c r="CM20" s="37">
        <f t="shared" si="10"/>
        <v>0</v>
      </c>
    </row>
    <row r="21" spans="1:91" ht="25.5">
      <c r="B21" s="156">
        <v>20</v>
      </c>
      <c r="C21" s="160">
        <v>120</v>
      </c>
      <c r="D21" s="162">
        <v>90</v>
      </c>
      <c r="E21" s="161">
        <v>0.66180555555555554</v>
      </c>
      <c r="F21" s="161">
        <v>0.66875000000000007</v>
      </c>
      <c r="G21" s="160" t="s">
        <v>459</v>
      </c>
      <c r="H21" s="160" t="s">
        <v>525</v>
      </c>
      <c r="I21" s="163">
        <v>4</v>
      </c>
      <c r="J21" s="164" t="s">
        <v>406</v>
      </c>
      <c r="K21" s="165">
        <v>45</v>
      </c>
      <c r="L21" s="166">
        <f t="shared" si="0"/>
        <v>180</v>
      </c>
      <c r="M21" s="177" t="s">
        <v>726</v>
      </c>
      <c r="N21" s="150" t="s">
        <v>943</v>
      </c>
      <c r="O21" s="150">
        <v>48</v>
      </c>
      <c r="P21" s="150" t="s">
        <v>1055</v>
      </c>
      <c r="Q21" s="150">
        <v>45</v>
      </c>
      <c r="R21" s="168" t="s">
        <v>1241</v>
      </c>
      <c r="S21" s="175">
        <v>56</v>
      </c>
      <c r="T21" s="45">
        <v>1070</v>
      </c>
      <c r="U21" s="45" t="s">
        <v>1337</v>
      </c>
      <c r="V21" s="45" t="s">
        <v>1344</v>
      </c>
      <c r="W21" s="45" t="s">
        <v>1345</v>
      </c>
      <c r="X21" s="99">
        <v>44816</v>
      </c>
      <c r="Y21" s="99">
        <v>45100</v>
      </c>
      <c r="Z21" s="99"/>
      <c r="AA21" s="99"/>
      <c r="AB21" s="36" t="s">
        <v>1115</v>
      </c>
      <c r="AC21" s="36"/>
      <c r="AD21" s="42" t="s">
        <v>734</v>
      </c>
      <c r="AE21" s="42"/>
      <c r="AF21" s="42"/>
      <c r="AG21" s="42"/>
      <c r="AH21" s="42"/>
      <c r="AI21" s="42"/>
      <c r="AJ21" s="42"/>
      <c r="AK21" s="42"/>
      <c r="AL21" s="42"/>
      <c r="AM21" s="42"/>
      <c r="AN21" s="42" t="s">
        <v>734</v>
      </c>
      <c r="AO21" s="42"/>
      <c r="AP21" s="42"/>
      <c r="AQ21" s="42"/>
      <c r="AR21" s="42"/>
      <c r="AS21" s="42"/>
      <c r="AT21" s="42"/>
      <c r="AU21" s="42"/>
      <c r="AV21" s="42"/>
      <c r="AW21" s="42"/>
      <c r="AX21" s="68">
        <v>12</v>
      </c>
      <c r="BA21" s="68"/>
      <c r="BB21" s="68"/>
      <c r="BD21" s="67">
        <f t="shared" si="1"/>
        <v>540</v>
      </c>
      <c r="BE21" s="67"/>
      <c r="BF21" s="37"/>
      <c r="BG21" s="69">
        <v>2</v>
      </c>
      <c r="BH21" s="67">
        <f t="shared" si="12"/>
        <v>0</v>
      </c>
      <c r="BI21" s="67">
        <f t="shared" si="13"/>
        <v>0</v>
      </c>
      <c r="BJ21" s="70">
        <f t="shared" si="14"/>
        <v>0</v>
      </c>
      <c r="BN21" s="37"/>
      <c r="BO21" s="70">
        <f t="shared" si="2"/>
        <v>0</v>
      </c>
      <c r="BP21" s="37">
        <v>2</v>
      </c>
      <c r="BQ21" s="37">
        <v>5</v>
      </c>
      <c r="BR21" s="37">
        <v>5</v>
      </c>
      <c r="BS21" s="37">
        <v>6</v>
      </c>
      <c r="BT21" s="87">
        <f t="shared" si="3"/>
        <v>12</v>
      </c>
      <c r="BU21" s="87"/>
      <c r="BV21" s="87"/>
      <c r="BW21" s="87"/>
      <c r="BX21" s="87"/>
      <c r="BY21" s="87"/>
      <c r="BZ21" s="87"/>
      <c r="CA21" s="87"/>
      <c r="CB21" s="87"/>
      <c r="CC21" s="87"/>
      <c r="CD21" s="87"/>
      <c r="CF21" s="67">
        <f t="shared" si="4"/>
        <v>24</v>
      </c>
      <c r="CG21" s="67">
        <f t="shared" si="5"/>
        <v>60</v>
      </c>
      <c r="CH21" s="67">
        <f t="shared" si="6"/>
        <v>60</v>
      </c>
      <c r="CI21" s="67">
        <f t="shared" si="11"/>
        <v>72</v>
      </c>
      <c r="CJ21" s="37">
        <f t="shared" si="7"/>
        <v>8</v>
      </c>
      <c r="CK21" s="37">
        <f t="shared" si="8"/>
        <v>20</v>
      </c>
      <c r="CL21" s="37">
        <f t="shared" si="9"/>
        <v>20</v>
      </c>
      <c r="CM21" s="37">
        <f t="shared" si="10"/>
        <v>24</v>
      </c>
    </row>
    <row r="22" spans="1:91" ht="33.75">
      <c r="B22" s="156">
        <v>21</v>
      </c>
      <c r="C22" s="160">
        <v>123</v>
      </c>
      <c r="D22" s="160">
        <v>172</v>
      </c>
      <c r="E22" s="161">
        <v>0.36805555555555558</v>
      </c>
      <c r="F22" s="161">
        <v>0.40138888888888885</v>
      </c>
      <c r="G22" s="160" t="s">
        <v>337</v>
      </c>
      <c r="H22" s="160" t="s">
        <v>424</v>
      </c>
      <c r="I22" s="163">
        <v>22</v>
      </c>
      <c r="J22" s="164" t="s">
        <v>101</v>
      </c>
      <c r="K22" s="165">
        <v>67</v>
      </c>
      <c r="L22" s="166">
        <f t="shared" si="0"/>
        <v>1474</v>
      </c>
      <c r="M22" s="167" t="s">
        <v>740</v>
      </c>
      <c r="N22" s="221" t="s">
        <v>2119</v>
      </c>
      <c r="O22" s="221">
        <v>43</v>
      </c>
      <c r="P22" s="150" t="s">
        <v>1982</v>
      </c>
      <c r="Q22" s="150" t="s">
        <v>1244</v>
      </c>
      <c r="S22" s="150"/>
      <c r="T22" s="45" t="s">
        <v>1346</v>
      </c>
      <c r="U22" s="45" t="s">
        <v>1347</v>
      </c>
      <c r="V22" s="45">
        <v>1255</v>
      </c>
      <c r="W22" s="45" t="s">
        <v>1348</v>
      </c>
      <c r="X22" s="99">
        <v>44562</v>
      </c>
      <c r="Y22" s="99">
        <v>44815</v>
      </c>
      <c r="Z22" s="99">
        <v>45101</v>
      </c>
      <c r="AA22" s="99">
        <v>45169</v>
      </c>
      <c r="AB22" s="42" t="s">
        <v>1119</v>
      </c>
      <c r="AC22" s="42"/>
      <c r="AD22" s="42"/>
      <c r="AE22" s="42" t="s">
        <v>734</v>
      </c>
      <c r="AF22" s="42" t="s">
        <v>734</v>
      </c>
      <c r="AG22" s="42"/>
      <c r="AH22" s="42" t="s">
        <v>734</v>
      </c>
      <c r="AI22" s="42" t="s">
        <v>734</v>
      </c>
      <c r="AJ22" s="42" t="s">
        <v>734</v>
      </c>
      <c r="AK22" s="42" t="s">
        <v>734</v>
      </c>
      <c r="AL22" s="42" t="s">
        <v>734</v>
      </c>
      <c r="AM22" s="42" t="s">
        <v>734</v>
      </c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68">
        <v>63.39</v>
      </c>
      <c r="AY22" s="37"/>
      <c r="BA22" s="68"/>
      <c r="BB22" s="68"/>
      <c r="BD22" s="67">
        <f t="shared" si="1"/>
        <v>4247.13</v>
      </c>
      <c r="BE22" s="67"/>
      <c r="BF22" s="37"/>
      <c r="BG22" s="69">
        <v>2</v>
      </c>
      <c r="BH22" s="67">
        <f t="shared" si="12"/>
        <v>0</v>
      </c>
      <c r="BI22" s="67">
        <f t="shared" si="13"/>
        <v>2.6099999999999994</v>
      </c>
      <c r="BJ22" s="70">
        <f t="shared" si="14"/>
        <v>174.86999999999995</v>
      </c>
      <c r="BN22" s="37"/>
      <c r="BO22" s="70">
        <f t="shared" si="2"/>
        <v>0</v>
      </c>
      <c r="BP22" s="37">
        <v>9</v>
      </c>
      <c r="BQ22" s="37">
        <v>0</v>
      </c>
      <c r="BR22" s="37">
        <v>0</v>
      </c>
      <c r="BS22" s="37">
        <v>0</v>
      </c>
      <c r="BT22" s="87">
        <f t="shared" si="3"/>
        <v>66</v>
      </c>
      <c r="BU22" s="87"/>
      <c r="BV22" s="87"/>
      <c r="BW22" s="87"/>
      <c r="BX22" s="87"/>
      <c r="BY22" s="87"/>
      <c r="BZ22" s="87"/>
      <c r="CA22" s="87"/>
      <c r="CB22" s="87"/>
      <c r="CC22" s="87"/>
      <c r="CD22" s="87"/>
      <c r="CF22" s="67">
        <f t="shared" si="4"/>
        <v>594</v>
      </c>
      <c r="CG22" s="67">
        <f t="shared" si="5"/>
        <v>0</v>
      </c>
      <c r="CH22" s="67">
        <f t="shared" si="6"/>
        <v>0</v>
      </c>
      <c r="CI22" s="67">
        <f t="shared" si="11"/>
        <v>0</v>
      </c>
      <c r="CJ22" s="37">
        <f t="shared" si="7"/>
        <v>198</v>
      </c>
      <c r="CK22" s="37">
        <f t="shared" si="8"/>
        <v>0</v>
      </c>
      <c r="CL22" s="37">
        <f t="shared" si="9"/>
        <v>0</v>
      </c>
      <c r="CM22" s="37">
        <f t="shared" si="10"/>
        <v>0</v>
      </c>
    </row>
    <row r="23" spans="1:91" ht="33.75">
      <c r="B23" s="156">
        <v>22</v>
      </c>
      <c r="C23" s="160">
        <v>123</v>
      </c>
      <c r="D23" s="160">
        <v>172</v>
      </c>
      <c r="E23" s="161">
        <v>0.36805555555555558</v>
      </c>
      <c r="F23" s="161">
        <v>0.39374999999999999</v>
      </c>
      <c r="G23" s="160" t="s">
        <v>505</v>
      </c>
      <c r="H23" s="160" t="s">
        <v>550</v>
      </c>
      <c r="I23" s="163">
        <v>22</v>
      </c>
      <c r="J23" s="164" t="s">
        <v>101</v>
      </c>
      <c r="K23" s="165">
        <v>13</v>
      </c>
      <c r="L23" s="166">
        <f t="shared" si="0"/>
        <v>286</v>
      </c>
      <c r="M23" s="167" t="s">
        <v>740</v>
      </c>
      <c r="N23" s="221" t="s">
        <v>2119</v>
      </c>
      <c r="O23" s="221">
        <v>43</v>
      </c>
      <c r="P23" s="150" t="s">
        <v>1982</v>
      </c>
      <c r="Q23" s="150" t="s">
        <v>1244</v>
      </c>
      <c r="S23" s="150"/>
      <c r="T23" s="45" t="s">
        <v>1346</v>
      </c>
      <c r="U23" s="45" t="s">
        <v>1347</v>
      </c>
      <c r="V23" s="45">
        <v>1255</v>
      </c>
      <c r="W23" s="45" t="s">
        <v>1348</v>
      </c>
      <c r="X23" s="99">
        <v>44562</v>
      </c>
      <c r="Y23" s="99">
        <v>44815</v>
      </c>
      <c r="Z23" s="99">
        <v>45101</v>
      </c>
      <c r="AA23" s="99">
        <v>45169</v>
      </c>
      <c r="AB23" s="36" t="s">
        <v>1116</v>
      </c>
      <c r="AC23" s="36"/>
      <c r="AD23" s="42"/>
      <c r="AE23" s="42" t="s">
        <v>734</v>
      </c>
      <c r="AF23" s="42"/>
      <c r="AG23" s="42"/>
      <c r="AH23" s="42"/>
      <c r="AI23" s="42"/>
      <c r="AJ23" s="42"/>
      <c r="AK23" s="42"/>
      <c r="AL23" s="42"/>
      <c r="AM23" s="42"/>
      <c r="AN23" s="42" t="s">
        <v>734</v>
      </c>
      <c r="AO23" s="42"/>
      <c r="AP23" s="42"/>
      <c r="AQ23" s="42"/>
      <c r="AR23" s="42"/>
      <c r="AS23" s="42"/>
      <c r="AT23" s="42"/>
      <c r="AU23" s="42"/>
      <c r="AV23" s="42"/>
      <c r="AW23" s="42"/>
      <c r="AX23" s="68">
        <v>66</v>
      </c>
      <c r="AY23" s="37"/>
      <c r="BA23" s="68"/>
      <c r="BB23" s="68"/>
      <c r="BD23" s="67">
        <f t="shared" si="1"/>
        <v>858</v>
      </c>
      <c r="BE23" s="67"/>
      <c r="BF23" s="37"/>
      <c r="BG23" s="69">
        <v>2</v>
      </c>
      <c r="BH23" s="67">
        <f t="shared" si="12"/>
        <v>0</v>
      </c>
      <c r="BI23" s="67">
        <f t="shared" si="13"/>
        <v>0</v>
      </c>
      <c r="BJ23" s="70">
        <f t="shared" si="14"/>
        <v>0</v>
      </c>
      <c r="BN23" s="37"/>
      <c r="BO23" s="70">
        <f t="shared" si="2"/>
        <v>0</v>
      </c>
      <c r="BP23" s="37">
        <v>2</v>
      </c>
      <c r="BQ23" s="37">
        <v>0</v>
      </c>
      <c r="BR23" s="37">
        <v>0</v>
      </c>
      <c r="BT23" s="87">
        <f t="shared" si="3"/>
        <v>66</v>
      </c>
      <c r="BU23" s="87"/>
      <c r="BV23" s="87"/>
      <c r="BW23" s="87"/>
      <c r="BX23" s="87"/>
      <c r="BY23" s="87"/>
      <c r="BZ23" s="87"/>
      <c r="CA23" s="87"/>
      <c r="CB23" s="87"/>
      <c r="CC23" s="87"/>
      <c r="CD23" s="87"/>
      <c r="CF23" s="67">
        <f t="shared" si="4"/>
        <v>132</v>
      </c>
      <c r="CG23" s="67">
        <f t="shared" si="5"/>
        <v>0</v>
      </c>
      <c r="CH23" s="67">
        <f t="shared" si="6"/>
        <v>0</v>
      </c>
      <c r="CI23" s="67">
        <f t="shared" si="11"/>
        <v>0</v>
      </c>
      <c r="CJ23" s="37">
        <f t="shared" si="7"/>
        <v>44</v>
      </c>
      <c r="CK23" s="37">
        <f t="shared" si="8"/>
        <v>0</v>
      </c>
      <c r="CL23" s="37">
        <f t="shared" si="9"/>
        <v>0</v>
      </c>
      <c r="CM23" s="37">
        <f t="shared" si="10"/>
        <v>0</v>
      </c>
    </row>
    <row r="24" spans="1:91" ht="33.75">
      <c r="B24" s="156">
        <v>23</v>
      </c>
      <c r="C24" s="160">
        <v>123</v>
      </c>
      <c r="D24" s="160">
        <v>173</v>
      </c>
      <c r="E24" s="161">
        <v>0.40069444444444446</v>
      </c>
      <c r="F24" s="161">
        <v>0.42638888888888887</v>
      </c>
      <c r="G24" s="160" t="s">
        <v>338</v>
      </c>
      <c r="H24" s="160" t="s">
        <v>1</v>
      </c>
      <c r="I24" s="163">
        <v>22</v>
      </c>
      <c r="J24" s="164" t="s">
        <v>101</v>
      </c>
      <c r="K24" s="165">
        <v>67</v>
      </c>
      <c r="L24" s="166">
        <f t="shared" si="0"/>
        <v>1474</v>
      </c>
      <c r="M24" s="167" t="s">
        <v>740</v>
      </c>
      <c r="N24" s="221" t="s">
        <v>2119</v>
      </c>
      <c r="O24" s="221">
        <v>43</v>
      </c>
      <c r="P24" s="150" t="s">
        <v>1982</v>
      </c>
      <c r="Q24" s="150" t="s">
        <v>1244</v>
      </c>
      <c r="S24" s="150"/>
      <c r="T24" s="45">
        <v>1255</v>
      </c>
      <c r="U24" s="45" t="s">
        <v>1348</v>
      </c>
      <c r="V24" s="45" t="s">
        <v>1346</v>
      </c>
      <c r="W24" s="45" t="s">
        <v>1347</v>
      </c>
      <c r="X24" s="99">
        <v>44562</v>
      </c>
      <c r="Y24" s="99">
        <v>44815</v>
      </c>
      <c r="Z24" s="99">
        <v>45101</v>
      </c>
      <c r="AA24" s="99">
        <v>45169</v>
      </c>
      <c r="AB24" s="42" t="s">
        <v>1119</v>
      </c>
      <c r="AC24" s="42"/>
      <c r="AD24" s="42"/>
      <c r="AE24" s="42" t="s">
        <v>734</v>
      </c>
      <c r="AF24" s="42" t="s">
        <v>734</v>
      </c>
      <c r="AG24" s="42"/>
      <c r="AH24" s="42" t="s">
        <v>734</v>
      </c>
      <c r="AI24" s="42" t="s">
        <v>734</v>
      </c>
      <c r="AJ24" s="42" t="s">
        <v>734</v>
      </c>
      <c r="AK24" s="42" t="s">
        <v>734</v>
      </c>
      <c r="AL24" s="42" t="s">
        <v>734</v>
      </c>
      <c r="AM24" s="42" t="s">
        <v>734</v>
      </c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68">
        <v>63.39</v>
      </c>
      <c r="AY24" s="37"/>
      <c r="BA24" s="68"/>
      <c r="BB24" s="68"/>
      <c r="BD24" s="67">
        <f t="shared" si="1"/>
        <v>4247.13</v>
      </c>
      <c r="BE24" s="67"/>
      <c r="BF24" s="37"/>
      <c r="BG24" s="69">
        <v>2</v>
      </c>
      <c r="BH24" s="67">
        <f t="shared" si="12"/>
        <v>0</v>
      </c>
      <c r="BI24" s="67">
        <f t="shared" si="13"/>
        <v>2.6099999999999994</v>
      </c>
      <c r="BJ24" s="70">
        <f t="shared" si="14"/>
        <v>174.86999999999995</v>
      </c>
      <c r="BN24" s="37"/>
      <c r="BO24" s="70">
        <f t="shared" si="2"/>
        <v>0</v>
      </c>
      <c r="BP24" s="37">
        <v>9</v>
      </c>
      <c r="BQ24" s="37">
        <v>0</v>
      </c>
      <c r="BR24" s="37">
        <v>0</v>
      </c>
      <c r="BS24" s="37">
        <v>0</v>
      </c>
      <c r="BT24" s="87">
        <f t="shared" si="3"/>
        <v>66</v>
      </c>
      <c r="BU24" s="87"/>
      <c r="BV24" s="87"/>
      <c r="BW24" s="87"/>
      <c r="BX24" s="87"/>
      <c r="BY24" s="87"/>
      <c r="BZ24" s="87"/>
      <c r="CA24" s="87"/>
      <c r="CB24" s="87"/>
      <c r="CC24" s="87"/>
      <c r="CD24" s="87"/>
      <c r="CF24" s="67">
        <f t="shared" si="4"/>
        <v>594</v>
      </c>
      <c r="CG24" s="67">
        <f t="shared" si="5"/>
        <v>0</v>
      </c>
      <c r="CH24" s="67">
        <f t="shared" si="6"/>
        <v>0</v>
      </c>
      <c r="CI24" s="67">
        <f t="shared" si="11"/>
        <v>0</v>
      </c>
      <c r="CJ24" s="37">
        <f t="shared" si="7"/>
        <v>198</v>
      </c>
      <c r="CK24" s="37">
        <f t="shared" si="8"/>
        <v>0</v>
      </c>
      <c r="CL24" s="37">
        <f t="shared" si="9"/>
        <v>0</v>
      </c>
      <c r="CM24" s="37">
        <f t="shared" si="10"/>
        <v>0</v>
      </c>
    </row>
    <row r="25" spans="1:91" ht="33.75">
      <c r="B25" s="156">
        <v>24</v>
      </c>
      <c r="C25" s="160">
        <v>123</v>
      </c>
      <c r="D25" s="160">
        <v>173</v>
      </c>
      <c r="E25" s="161">
        <v>0.40069444444444446</v>
      </c>
      <c r="F25" s="161">
        <v>0.42638888888888887</v>
      </c>
      <c r="G25" s="160" t="s">
        <v>506</v>
      </c>
      <c r="H25" s="160" t="s">
        <v>550</v>
      </c>
      <c r="I25" s="163">
        <v>22</v>
      </c>
      <c r="J25" s="164" t="s">
        <v>101</v>
      </c>
      <c r="K25" s="165">
        <v>13</v>
      </c>
      <c r="L25" s="166">
        <f t="shared" si="0"/>
        <v>286</v>
      </c>
      <c r="M25" s="167" t="s">
        <v>740</v>
      </c>
      <c r="N25" s="221" t="s">
        <v>2119</v>
      </c>
      <c r="O25" s="221">
        <v>43</v>
      </c>
      <c r="P25" s="150" t="s">
        <v>1982</v>
      </c>
      <c r="Q25" s="150" t="s">
        <v>1244</v>
      </c>
      <c r="S25" s="150"/>
      <c r="T25" s="45">
        <v>1255</v>
      </c>
      <c r="U25" s="45" t="s">
        <v>1348</v>
      </c>
      <c r="V25" s="45" t="s">
        <v>1346</v>
      </c>
      <c r="W25" s="45" t="s">
        <v>1347</v>
      </c>
      <c r="X25" s="99">
        <v>44562</v>
      </c>
      <c r="Y25" s="99">
        <v>44815</v>
      </c>
      <c r="Z25" s="99">
        <v>45101</v>
      </c>
      <c r="AA25" s="99">
        <v>45169</v>
      </c>
      <c r="AB25" s="36" t="s">
        <v>1116</v>
      </c>
      <c r="AC25" s="36"/>
      <c r="AD25" s="42"/>
      <c r="AE25" s="42" t="s">
        <v>734</v>
      </c>
      <c r="AF25" s="42"/>
      <c r="AG25" s="42"/>
      <c r="AH25" s="42"/>
      <c r="AI25" s="42"/>
      <c r="AJ25" s="42"/>
      <c r="AK25" s="42"/>
      <c r="AL25" s="42"/>
      <c r="AM25" s="42"/>
      <c r="AN25" s="42" t="s">
        <v>734</v>
      </c>
      <c r="AO25" s="42"/>
      <c r="AP25" s="42"/>
      <c r="AQ25" s="42"/>
      <c r="AR25" s="42"/>
      <c r="AS25" s="42"/>
      <c r="AT25" s="42"/>
      <c r="AU25" s="42"/>
      <c r="AV25" s="42"/>
      <c r="AW25" s="42"/>
      <c r="AX25" s="68">
        <v>66</v>
      </c>
      <c r="AY25" s="37"/>
      <c r="BA25" s="68"/>
      <c r="BB25" s="68"/>
      <c r="BD25" s="67">
        <f t="shared" si="1"/>
        <v>858</v>
      </c>
      <c r="BE25" s="67"/>
      <c r="BF25" s="37"/>
      <c r="BG25" s="69">
        <v>2</v>
      </c>
      <c r="BH25" s="67">
        <f t="shared" si="12"/>
        <v>0</v>
      </c>
      <c r="BI25" s="67">
        <f t="shared" si="13"/>
        <v>0</v>
      </c>
      <c r="BJ25" s="70">
        <f t="shared" si="14"/>
        <v>0</v>
      </c>
      <c r="BN25" s="37"/>
      <c r="BO25" s="70">
        <f t="shared" si="2"/>
        <v>0</v>
      </c>
      <c r="BP25" s="37">
        <v>2</v>
      </c>
      <c r="BQ25" s="37">
        <v>0</v>
      </c>
      <c r="BR25" s="37">
        <v>0</v>
      </c>
      <c r="BT25" s="87">
        <f t="shared" si="3"/>
        <v>66</v>
      </c>
      <c r="BU25" s="87"/>
      <c r="BV25" s="87"/>
      <c r="BW25" s="87"/>
      <c r="BX25" s="87"/>
      <c r="BY25" s="87"/>
      <c r="BZ25" s="87"/>
      <c r="CA25" s="87"/>
      <c r="CB25" s="87"/>
      <c r="CC25" s="87"/>
      <c r="CD25" s="87"/>
      <c r="CF25" s="67">
        <f t="shared" si="4"/>
        <v>132</v>
      </c>
      <c r="CG25" s="67">
        <f t="shared" si="5"/>
        <v>0</v>
      </c>
      <c r="CH25" s="67">
        <f t="shared" si="6"/>
        <v>0</v>
      </c>
      <c r="CI25" s="67">
        <f t="shared" si="11"/>
        <v>0</v>
      </c>
      <c r="CJ25" s="37">
        <f t="shared" si="7"/>
        <v>44</v>
      </c>
      <c r="CK25" s="37">
        <f t="shared" si="8"/>
        <v>0</v>
      </c>
      <c r="CL25" s="37">
        <f t="shared" si="9"/>
        <v>0</v>
      </c>
      <c r="CM25" s="37">
        <f t="shared" si="10"/>
        <v>0</v>
      </c>
    </row>
    <row r="26" spans="1:91" ht="33.75">
      <c r="B26" s="156">
        <v>25</v>
      </c>
      <c r="C26" s="160">
        <v>123</v>
      </c>
      <c r="D26" s="160">
        <v>174</v>
      </c>
      <c r="E26" s="161">
        <v>0.43055555555555558</v>
      </c>
      <c r="F26" s="173">
        <v>0.46875</v>
      </c>
      <c r="G26" s="160" t="s">
        <v>336</v>
      </c>
      <c r="H26" s="160" t="s">
        <v>1</v>
      </c>
      <c r="I26" s="163">
        <v>12</v>
      </c>
      <c r="J26" s="164" t="s">
        <v>101</v>
      </c>
      <c r="K26" s="165">
        <v>67</v>
      </c>
      <c r="L26" s="166">
        <f t="shared" si="0"/>
        <v>804</v>
      </c>
      <c r="M26" s="167" t="s">
        <v>740</v>
      </c>
      <c r="N26" s="221" t="s">
        <v>2119</v>
      </c>
      <c r="O26" s="221">
        <v>43</v>
      </c>
      <c r="P26" s="150" t="s">
        <v>1982</v>
      </c>
      <c r="Q26" s="150" t="s">
        <v>1244</v>
      </c>
      <c r="S26" s="150"/>
      <c r="T26" s="45" t="s">
        <v>1346</v>
      </c>
      <c r="U26" s="45" t="s">
        <v>1347</v>
      </c>
      <c r="V26" s="45" t="s">
        <v>1349</v>
      </c>
      <c r="W26" s="45" t="s">
        <v>1350</v>
      </c>
      <c r="X26" s="99">
        <v>44562</v>
      </c>
      <c r="Y26" s="99">
        <v>44815</v>
      </c>
      <c r="Z26" s="99">
        <v>45101</v>
      </c>
      <c r="AA26" s="99">
        <v>45169</v>
      </c>
      <c r="AB26" s="42" t="s">
        <v>1119</v>
      </c>
      <c r="AC26" s="42"/>
      <c r="AD26" s="42"/>
      <c r="AE26" s="42" t="s">
        <v>734</v>
      </c>
      <c r="AF26" s="42" t="s">
        <v>734</v>
      </c>
      <c r="AG26" s="42"/>
      <c r="AH26" s="42" t="s">
        <v>734</v>
      </c>
      <c r="AI26" s="42" t="s">
        <v>734</v>
      </c>
      <c r="AJ26" s="42" t="s">
        <v>734</v>
      </c>
      <c r="AK26" s="42" t="s">
        <v>734</v>
      </c>
      <c r="AL26" s="42" t="s">
        <v>734</v>
      </c>
      <c r="AM26" s="42" t="s">
        <v>734</v>
      </c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68">
        <v>21.6</v>
      </c>
      <c r="AY26" s="37"/>
      <c r="BA26" s="68"/>
      <c r="BB26" s="68"/>
      <c r="BD26" s="67">
        <f t="shared" si="1"/>
        <v>1447.2</v>
      </c>
      <c r="BE26" s="67"/>
      <c r="BF26" s="37"/>
      <c r="BG26" s="69">
        <v>2</v>
      </c>
      <c r="BH26" s="67">
        <f t="shared" si="12"/>
        <v>0</v>
      </c>
      <c r="BI26" s="67">
        <f t="shared" si="13"/>
        <v>14.399999999999999</v>
      </c>
      <c r="BJ26" s="70">
        <f t="shared" si="14"/>
        <v>964.8</v>
      </c>
      <c r="BN26" s="37"/>
      <c r="BO26" s="70">
        <f t="shared" si="2"/>
        <v>0</v>
      </c>
      <c r="BP26" s="37">
        <v>9</v>
      </c>
      <c r="BQ26" s="37">
        <v>0</v>
      </c>
      <c r="BR26" s="37">
        <v>0</v>
      </c>
      <c r="BS26" s="37">
        <v>0</v>
      </c>
      <c r="BT26" s="87">
        <f t="shared" si="3"/>
        <v>36</v>
      </c>
      <c r="BU26" s="87"/>
      <c r="BV26" s="87"/>
      <c r="BW26" s="87"/>
      <c r="BX26" s="87"/>
      <c r="BY26" s="87"/>
      <c r="BZ26" s="87"/>
      <c r="CA26" s="87"/>
      <c r="CB26" s="87"/>
      <c r="CC26" s="87"/>
      <c r="CD26" s="87"/>
      <c r="CF26" s="67">
        <f t="shared" si="4"/>
        <v>324</v>
      </c>
      <c r="CG26" s="67">
        <f t="shared" si="5"/>
        <v>0</v>
      </c>
      <c r="CH26" s="67">
        <f t="shared" si="6"/>
        <v>0</v>
      </c>
      <c r="CI26" s="67">
        <f t="shared" si="11"/>
        <v>0</v>
      </c>
      <c r="CJ26" s="37">
        <f t="shared" si="7"/>
        <v>108</v>
      </c>
      <c r="CK26" s="37">
        <f t="shared" si="8"/>
        <v>0</v>
      </c>
      <c r="CL26" s="37">
        <f t="shared" si="9"/>
        <v>0</v>
      </c>
      <c r="CM26" s="37">
        <f t="shared" si="10"/>
        <v>0</v>
      </c>
    </row>
    <row r="27" spans="1:91" ht="33.75">
      <c r="B27" s="156">
        <v>26</v>
      </c>
      <c r="C27" s="160">
        <v>123</v>
      </c>
      <c r="D27" s="160">
        <v>174</v>
      </c>
      <c r="E27" s="161">
        <v>0.43055555555555558</v>
      </c>
      <c r="F27" s="173">
        <v>0.4458333333333333</v>
      </c>
      <c r="G27" s="160" t="s">
        <v>503</v>
      </c>
      <c r="H27" s="160" t="s">
        <v>550</v>
      </c>
      <c r="I27" s="163">
        <v>12</v>
      </c>
      <c r="J27" s="164" t="s">
        <v>101</v>
      </c>
      <c r="K27" s="165">
        <v>13</v>
      </c>
      <c r="L27" s="166">
        <f t="shared" si="0"/>
        <v>156</v>
      </c>
      <c r="M27" s="167" t="s">
        <v>740</v>
      </c>
      <c r="N27" s="221" t="s">
        <v>2119</v>
      </c>
      <c r="O27" s="221">
        <v>43</v>
      </c>
      <c r="P27" s="150" t="s">
        <v>1982</v>
      </c>
      <c r="Q27" s="150" t="s">
        <v>1244</v>
      </c>
      <c r="S27" s="150"/>
      <c r="T27" s="45" t="s">
        <v>1346</v>
      </c>
      <c r="U27" s="45" t="s">
        <v>1347</v>
      </c>
      <c r="V27" s="45" t="s">
        <v>1349</v>
      </c>
      <c r="W27" s="45" t="s">
        <v>1350</v>
      </c>
      <c r="X27" s="99">
        <v>44562</v>
      </c>
      <c r="Y27" s="99">
        <v>44815</v>
      </c>
      <c r="Z27" s="99">
        <v>45101</v>
      </c>
      <c r="AA27" s="99">
        <v>45169</v>
      </c>
      <c r="AB27" s="36" t="s">
        <v>1116</v>
      </c>
      <c r="AC27" s="36"/>
      <c r="AD27" s="42"/>
      <c r="AE27" s="42" t="s">
        <v>734</v>
      </c>
      <c r="AF27" s="42"/>
      <c r="AG27" s="42"/>
      <c r="AH27" s="42"/>
      <c r="AI27" s="42"/>
      <c r="AJ27" s="42"/>
      <c r="AK27" s="42"/>
      <c r="AL27" s="42"/>
      <c r="AM27" s="42"/>
      <c r="AN27" s="42" t="s">
        <v>734</v>
      </c>
      <c r="AO27" s="42"/>
      <c r="AP27" s="42"/>
      <c r="AQ27" s="42"/>
      <c r="AR27" s="42"/>
      <c r="AS27" s="42"/>
      <c r="AT27" s="42"/>
      <c r="AU27" s="42"/>
      <c r="AV27" s="42"/>
      <c r="AW27" s="42"/>
      <c r="AX27" s="68">
        <v>36</v>
      </c>
      <c r="AY27" s="37"/>
      <c r="BA27" s="68"/>
      <c r="BB27" s="68"/>
      <c r="BD27" s="67">
        <f t="shared" si="1"/>
        <v>468</v>
      </c>
      <c r="BE27" s="67"/>
      <c r="BF27" s="37"/>
      <c r="BG27" s="69">
        <v>2</v>
      </c>
      <c r="BH27" s="67">
        <f t="shared" si="12"/>
        <v>0</v>
      </c>
      <c r="BI27" s="67">
        <f t="shared" si="13"/>
        <v>0</v>
      </c>
      <c r="BJ27" s="70">
        <f t="shared" si="14"/>
        <v>0</v>
      </c>
      <c r="BN27" s="37"/>
      <c r="BO27" s="70">
        <f t="shared" si="2"/>
        <v>0</v>
      </c>
      <c r="BP27" s="37">
        <v>2</v>
      </c>
      <c r="BQ27" s="37">
        <v>0</v>
      </c>
      <c r="BR27" s="37">
        <v>0</v>
      </c>
      <c r="BT27" s="87">
        <f t="shared" si="3"/>
        <v>36</v>
      </c>
      <c r="BU27" s="87"/>
      <c r="BV27" s="87"/>
      <c r="BW27" s="87"/>
      <c r="BX27" s="87"/>
      <c r="BY27" s="87"/>
      <c r="BZ27" s="87"/>
      <c r="CA27" s="87"/>
      <c r="CB27" s="87"/>
      <c r="CC27" s="87"/>
      <c r="CD27" s="87"/>
      <c r="CF27" s="67">
        <f t="shared" si="4"/>
        <v>72</v>
      </c>
      <c r="CG27" s="67">
        <f t="shared" si="5"/>
        <v>0</v>
      </c>
      <c r="CH27" s="67">
        <f t="shared" si="6"/>
        <v>0</v>
      </c>
      <c r="CI27" s="67">
        <f t="shared" si="11"/>
        <v>0</v>
      </c>
      <c r="CJ27" s="37">
        <f t="shared" si="7"/>
        <v>24</v>
      </c>
      <c r="CK27" s="37">
        <f t="shared" si="8"/>
        <v>0</v>
      </c>
      <c r="CL27" s="37">
        <f t="shared" si="9"/>
        <v>0</v>
      </c>
      <c r="CM27" s="37">
        <f t="shared" si="10"/>
        <v>0</v>
      </c>
    </row>
    <row r="28" spans="1:91" ht="33.75">
      <c r="A28" s="178" t="s">
        <v>1179</v>
      </c>
      <c r="B28" s="156">
        <v>27</v>
      </c>
      <c r="C28" s="160">
        <v>123</v>
      </c>
      <c r="D28" s="160">
        <v>175</v>
      </c>
      <c r="E28" s="161">
        <v>0.44930555555555557</v>
      </c>
      <c r="F28" s="161">
        <v>0.46527777777777773</v>
      </c>
      <c r="G28" s="160" t="s">
        <v>504</v>
      </c>
      <c r="H28" s="174" t="s">
        <v>1044</v>
      </c>
      <c r="I28" s="163">
        <v>12</v>
      </c>
      <c r="J28" s="164" t="s">
        <v>101</v>
      </c>
      <c r="K28" s="179">
        <v>67</v>
      </c>
      <c r="L28" s="166">
        <f t="shared" si="0"/>
        <v>804</v>
      </c>
      <c r="M28" s="167" t="s">
        <v>740</v>
      </c>
      <c r="N28" s="221" t="s">
        <v>2119</v>
      </c>
      <c r="O28" s="221">
        <v>43</v>
      </c>
      <c r="P28" s="150" t="s">
        <v>1982</v>
      </c>
      <c r="Q28" s="150" t="s">
        <v>1244</v>
      </c>
      <c r="S28" s="150"/>
      <c r="T28" s="45" t="s">
        <v>1349</v>
      </c>
      <c r="U28" s="45" t="s">
        <v>1351</v>
      </c>
      <c r="V28" s="45" t="s">
        <v>1346</v>
      </c>
      <c r="W28" s="45" t="s">
        <v>1347</v>
      </c>
      <c r="X28" s="99">
        <v>44562</v>
      </c>
      <c r="Y28" s="99">
        <v>44815</v>
      </c>
      <c r="Z28" s="99">
        <v>45101</v>
      </c>
      <c r="AA28" s="99">
        <v>45169</v>
      </c>
      <c r="AB28" s="42" t="s">
        <v>1119</v>
      </c>
      <c r="AC28" s="42"/>
      <c r="AD28" s="42"/>
      <c r="AE28" s="42" t="s">
        <v>734</v>
      </c>
      <c r="AF28" s="42" t="s">
        <v>734</v>
      </c>
      <c r="AG28" s="42"/>
      <c r="AH28" s="42" t="s">
        <v>734</v>
      </c>
      <c r="AI28" s="42" t="s">
        <v>734</v>
      </c>
      <c r="AJ28" s="42" t="s">
        <v>734</v>
      </c>
      <c r="AK28" s="42" t="s">
        <v>734</v>
      </c>
      <c r="AL28" s="42" t="s">
        <v>734</v>
      </c>
      <c r="AM28" s="42" t="s">
        <v>734</v>
      </c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68">
        <v>21.6</v>
      </c>
      <c r="AY28" s="37"/>
      <c r="BA28" s="68"/>
      <c r="BB28" s="68"/>
      <c r="BD28" s="67">
        <f t="shared" si="1"/>
        <v>1447.2</v>
      </c>
      <c r="BE28" s="67"/>
      <c r="BF28" s="37"/>
      <c r="BG28" s="69">
        <v>2</v>
      </c>
      <c r="BH28" s="67">
        <f t="shared" si="12"/>
        <v>0</v>
      </c>
      <c r="BI28" s="67">
        <f t="shared" si="13"/>
        <v>14.399999999999999</v>
      </c>
      <c r="BJ28" s="70">
        <f t="shared" si="14"/>
        <v>964.8</v>
      </c>
      <c r="BN28" s="37"/>
      <c r="BO28" s="70">
        <f t="shared" si="2"/>
        <v>0</v>
      </c>
      <c r="BP28" s="37">
        <v>9</v>
      </c>
      <c r="BQ28" s="37">
        <v>0</v>
      </c>
      <c r="BR28" s="37">
        <v>0</v>
      </c>
      <c r="BS28" s="37">
        <v>0</v>
      </c>
      <c r="BT28" s="87">
        <f t="shared" si="3"/>
        <v>36</v>
      </c>
      <c r="BU28" s="87"/>
      <c r="BV28" s="87"/>
      <c r="BW28" s="87"/>
      <c r="BX28" s="87"/>
      <c r="BY28" s="87"/>
      <c r="BZ28" s="87"/>
      <c r="CA28" s="87"/>
      <c r="CB28" s="87"/>
      <c r="CC28" s="87"/>
      <c r="CD28" s="87"/>
      <c r="CF28" s="67">
        <f t="shared" si="4"/>
        <v>324</v>
      </c>
      <c r="CG28" s="67">
        <f t="shared" si="5"/>
        <v>0</v>
      </c>
      <c r="CH28" s="67">
        <f t="shared" si="6"/>
        <v>0</v>
      </c>
      <c r="CI28" s="67">
        <f t="shared" si="11"/>
        <v>0</v>
      </c>
      <c r="CJ28" s="37">
        <f t="shared" si="7"/>
        <v>108</v>
      </c>
      <c r="CK28" s="37">
        <f t="shared" si="8"/>
        <v>0</v>
      </c>
      <c r="CL28" s="37">
        <f t="shared" si="9"/>
        <v>0</v>
      </c>
      <c r="CM28" s="37">
        <f t="shared" si="10"/>
        <v>0</v>
      </c>
    </row>
    <row r="29" spans="1:91" ht="33.75">
      <c r="B29" s="156">
        <v>28</v>
      </c>
      <c r="C29" s="160">
        <v>123</v>
      </c>
      <c r="D29" s="160">
        <v>175</v>
      </c>
      <c r="E29" s="161">
        <v>0.44930555555555557</v>
      </c>
      <c r="F29" s="161">
        <v>0.46527777777777773</v>
      </c>
      <c r="G29" s="160" t="s">
        <v>335</v>
      </c>
      <c r="H29" s="160" t="s">
        <v>550</v>
      </c>
      <c r="I29" s="163">
        <v>12</v>
      </c>
      <c r="J29" s="164" t="s">
        <v>101</v>
      </c>
      <c r="K29" s="165">
        <v>13</v>
      </c>
      <c r="L29" s="166">
        <f t="shared" si="0"/>
        <v>156</v>
      </c>
      <c r="M29" s="167" t="s">
        <v>740</v>
      </c>
      <c r="N29" s="221" t="s">
        <v>2119</v>
      </c>
      <c r="O29" s="221">
        <v>43</v>
      </c>
      <c r="P29" s="150" t="s">
        <v>1982</v>
      </c>
      <c r="Q29" s="150" t="s">
        <v>1244</v>
      </c>
      <c r="S29" s="150"/>
      <c r="T29" s="45" t="s">
        <v>1349</v>
      </c>
      <c r="U29" s="45" t="s">
        <v>1351</v>
      </c>
      <c r="V29" s="45" t="s">
        <v>1346</v>
      </c>
      <c r="W29" s="45" t="s">
        <v>1347</v>
      </c>
      <c r="X29" s="99">
        <v>44562</v>
      </c>
      <c r="Y29" s="99">
        <v>44815</v>
      </c>
      <c r="Z29" s="99">
        <v>45101</v>
      </c>
      <c r="AA29" s="99">
        <v>45169</v>
      </c>
      <c r="AB29" s="36" t="s">
        <v>1116</v>
      </c>
      <c r="AC29" s="36"/>
      <c r="AD29" s="42"/>
      <c r="AE29" s="42" t="s">
        <v>734</v>
      </c>
      <c r="AF29" s="42"/>
      <c r="AG29" s="42"/>
      <c r="AH29" s="42"/>
      <c r="AI29" s="42"/>
      <c r="AJ29" s="42"/>
      <c r="AK29" s="42"/>
      <c r="AL29" s="42"/>
      <c r="AM29" s="42"/>
      <c r="AN29" s="42" t="s">
        <v>734</v>
      </c>
      <c r="AO29" s="42"/>
      <c r="AP29" s="42"/>
      <c r="AQ29" s="42"/>
      <c r="AR29" s="42"/>
      <c r="AS29" s="42"/>
      <c r="AT29" s="42"/>
      <c r="AU29" s="42"/>
      <c r="AV29" s="42"/>
      <c r="AW29" s="42"/>
      <c r="AX29" s="68">
        <v>36</v>
      </c>
      <c r="AY29" s="37"/>
      <c r="BA29" s="68"/>
      <c r="BB29" s="68"/>
      <c r="BD29" s="67">
        <f t="shared" si="1"/>
        <v>468</v>
      </c>
      <c r="BE29" s="67"/>
      <c r="BF29" s="37"/>
      <c r="BG29" s="69">
        <v>2</v>
      </c>
      <c r="BH29" s="67">
        <f t="shared" si="12"/>
        <v>0</v>
      </c>
      <c r="BI29" s="67">
        <f t="shared" si="13"/>
        <v>0</v>
      </c>
      <c r="BJ29" s="70">
        <f t="shared" si="14"/>
        <v>0</v>
      </c>
      <c r="BN29" s="37"/>
      <c r="BO29" s="70">
        <f t="shared" si="2"/>
        <v>0</v>
      </c>
      <c r="BP29" s="37">
        <v>2</v>
      </c>
      <c r="BQ29" s="37">
        <v>0</v>
      </c>
      <c r="BR29" s="37">
        <v>0</v>
      </c>
      <c r="BT29" s="87">
        <f t="shared" si="3"/>
        <v>36</v>
      </c>
      <c r="BU29" s="87"/>
      <c r="BV29" s="87"/>
      <c r="BW29" s="87"/>
      <c r="BX29" s="87"/>
      <c r="BY29" s="87"/>
      <c r="BZ29" s="87"/>
      <c r="CA29" s="87"/>
      <c r="CB29" s="87"/>
      <c r="CC29" s="87"/>
      <c r="CD29" s="87"/>
      <c r="CF29" s="67">
        <f t="shared" si="4"/>
        <v>72</v>
      </c>
      <c r="CG29" s="67">
        <f t="shared" si="5"/>
        <v>0</v>
      </c>
      <c r="CH29" s="67">
        <f t="shared" si="6"/>
        <v>0</v>
      </c>
      <c r="CI29" s="67">
        <f t="shared" si="11"/>
        <v>0</v>
      </c>
      <c r="CJ29" s="37">
        <f t="shared" si="7"/>
        <v>24</v>
      </c>
      <c r="CK29" s="37">
        <f t="shared" si="8"/>
        <v>0</v>
      </c>
      <c r="CL29" s="37">
        <f t="shared" si="9"/>
        <v>0</v>
      </c>
      <c r="CM29" s="37">
        <f t="shared" si="10"/>
        <v>0</v>
      </c>
    </row>
    <row r="30" spans="1:91" ht="33.75">
      <c r="B30" s="156">
        <v>29</v>
      </c>
      <c r="C30" s="160">
        <v>123</v>
      </c>
      <c r="D30" s="160">
        <v>176</v>
      </c>
      <c r="E30" s="161">
        <v>0.47222222222222227</v>
      </c>
      <c r="F30" s="161">
        <v>0.48749999999999999</v>
      </c>
      <c r="G30" s="160" t="s">
        <v>503</v>
      </c>
      <c r="H30" s="160" t="s">
        <v>501</v>
      </c>
      <c r="I30" s="163">
        <v>12</v>
      </c>
      <c r="J30" s="164" t="s">
        <v>101</v>
      </c>
      <c r="K30" s="165">
        <v>67</v>
      </c>
      <c r="L30" s="166">
        <f t="shared" si="0"/>
        <v>804</v>
      </c>
      <c r="M30" s="167" t="s">
        <v>740</v>
      </c>
      <c r="N30" s="221" t="s">
        <v>2119</v>
      </c>
      <c r="O30" s="221">
        <v>43</v>
      </c>
      <c r="P30" s="150" t="s">
        <v>1982</v>
      </c>
      <c r="Q30" s="150" t="s">
        <v>1244</v>
      </c>
      <c r="S30" s="150"/>
      <c r="T30" s="45" t="s">
        <v>1346</v>
      </c>
      <c r="U30" s="45" t="s">
        <v>1347</v>
      </c>
      <c r="V30" s="45" t="s">
        <v>1349</v>
      </c>
      <c r="W30" s="45" t="s">
        <v>1350</v>
      </c>
      <c r="X30" s="99">
        <v>44562</v>
      </c>
      <c r="Y30" s="99">
        <v>44815</v>
      </c>
      <c r="Z30" s="99">
        <v>45101</v>
      </c>
      <c r="AA30" s="99">
        <v>45169</v>
      </c>
      <c r="AB30" s="42" t="s">
        <v>1119</v>
      </c>
      <c r="AC30" s="42"/>
      <c r="AD30" s="42"/>
      <c r="AE30" s="42" t="s">
        <v>734</v>
      </c>
      <c r="AF30" s="42" t="s">
        <v>734</v>
      </c>
      <c r="AG30" s="42"/>
      <c r="AH30" s="42" t="s">
        <v>734</v>
      </c>
      <c r="AI30" s="42" t="s">
        <v>734</v>
      </c>
      <c r="AJ30" s="42" t="s">
        <v>734</v>
      </c>
      <c r="AK30" s="42" t="s">
        <v>734</v>
      </c>
      <c r="AL30" s="42" t="s">
        <v>734</v>
      </c>
      <c r="AM30" s="42" t="s">
        <v>734</v>
      </c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68">
        <v>36</v>
      </c>
      <c r="AY30" s="37"/>
      <c r="BA30" s="68"/>
      <c r="BB30" s="68"/>
      <c r="BD30" s="67">
        <f t="shared" si="1"/>
        <v>2412</v>
      </c>
      <c r="BE30" s="67"/>
      <c r="BF30" s="37"/>
      <c r="BG30" s="69">
        <v>2</v>
      </c>
      <c r="BH30" s="67">
        <f t="shared" si="12"/>
        <v>0</v>
      </c>
      <c r="BI30" s="67">
        <f t="shared" si="13"/>
        <v>0</v>
      </c>
      <c r="BJ30" s="70">
        <f t="shared" si="14"/>
        <v>0</v>
      </c>
      <c r="BN30" s="37"/>
      <c r="BO30" s="70">
        <f t="shared" si="2"/>
        <v>0</v>
      </c>
      <c r="BP30" s="37">
        <v>9</v>
      </c>
      <c r="BQ30" s="37">
        <v>0</v>
      </c>
      <c r="BR30" s="37">
        <v>0</v>
      </c>
      <c r="BS30" s="37">
        <v>0</v>
      </c>
      <c r="BT30" s="87">
        <f t="shared" si="3"/>
        <v>36</v>
      </c>
      <c r="BU30" s="87"/>
      <c r="BV30" s="87"/>
      <c r="BW30" s="87"/>
      <c r="BX30" s="87"/>
      <c r="BY30" s="87"/>
      <c r="BZ30" s="87"/>
      <c r="CA30" s="87"/>
      <c r="CB30" s="87"/>
      <c r="CC30" s="87"/>
      <c r="CD30" s="87"/>
      <c r="CF30" s="67">
        <f t="shared" si="4"/>
        <v>324</v>
      </c>
      <c r="CG30" s="67">
        <f t="shared" si="5"/>
        <v>0</v>
      </c>
      <c r="CH30" s="67">
        <f t="shared" si="6"/>
        <v>0</v>
      </c>
      <c r="CI30" s="67">
        <f t="shared" si="11"/>
        <v>0</v>
      </c>
      <c r="CJ30" s="37">
        <f t="shared" si="7"/>
        <v>108</v>
      </c>
      <c r="CK30" s="37">
        <f t="shared" si="8"/>
        <v>0</v>
      </c>
      <c r="CL30" s="37">
        <f t="shared" si="9"/>
        <v>0</v>
      </c>
      <c r="CM30" s="37">
        <f t="shared" si="10"/>
        <v>0</v>
      </c>
    </row>
    <row r="31" spans="1:91" ht="33.75">
      <c r="B31" s="156">
        <v>30</v>
      </c>
      <c r="C31" s="160">
        <v>123</v>
      </c>
      <c r="D31" s="160">
        <v>176</v>
      </c>
      <c r="E31" s="161">
        <v>0.47222222222222227</v>
      </c>
      <c r="F31" s="161">
        <v>0.48749999999999999</v>
      </c>
      <c r="G31" s="160" t="s">
        <v>503</v>
      </c>
      <c r="H31" s="160" t="s">
        <v>550</v>
      </c>
      <c r="I31" s="163">
        <v>12</v>
      </c>
      <c r="J31" s="164" t="s">
        <v>101</v>
      </c>
      <c r="K31" s="165">
        <v>13</v>
      </c>
      <c r="L31" s="166">
        <f t="shared" si="0"/>
        <v>156</v>
      </c>
      <c r="M31" s="167" t="s">
        <v>740</v>
      </c>
      <c r="N31" s="221" t="s">
        <v>2119</v>
      </c>
      <c r="O31" s="221">
        <v>43</v>
      </c>
      <c r="P31" s="150" t="s">
        <v>1982</v>
      </c>
      <c r="Q31" s="150" t="s">
        <v>1244</v>
      </c>
      <c r="S31" s="150"/>
      <c r="T31" s="45" t="s">
        <v>1346</v>
      </c>
      <c r="U31" s="45" t="s">
        <v>1347</v>
      </c>
      <c r="V31" s="45" t="s">
        <v>1349</v>
      </c>
      <c r="W31" s="45" t="s">
        <v>1350</v>
      </c>
      <c r="X31" s="99">
        <v>44562</v>
      </c>
      <c r="Y31" s="99">
        <v>44815</v>
      </c>
      <c r="Z31" s="99">
        <v>45101</v>
      </c>
      <c r="AA31" s="99">
        <v>45169</v>
      </c>
      <c r="AB31" s="36" t="s">
        <v>1116</v>
      </c>
      <c r="AC31" s="36"/>
      <c r="AD31" s="42"/>
      <c r="AE31" s="42" t="s">
        <v>734</v>
      </c>
      <c r="AF31" s="42"/>
      <c r="AG31" s="42"/>
      <c r="AH31" s="42"/>
      <c r="AI31" s="42"/>
      <c r="AJ31" s="42"/>
      <c r="AK31" s="42"/>
      <c r="AL31" s="42"/>
      <c r="AM31" s="42"/>
      <c r="AN31" s="42" t="s">
        <v>734</v>
      </c>
      <c r="AO31" s="42"/>
      <c r="AP31" s="42"/>
      <c r="AQ31" s="42"/>
      <c r="AR31" s="42"/>
      <c r="AS31" s="42"/>
      <c r="AT31" s="42"/>
      <c r="AU31" s="42"/>
      <c r="AV31" s="42"/>
      <c r="AW31" s="42"/>
      <c r="AX31" s="68">
        <v>36</v>
      </c>
      <c r="AY31" s="37"/>
      <c r="BA31" s="68"/>
      <c r="BB31" s="68"/>
      <c r="BD31" s="67">
        <f t="shared" si="1"/>
        <v>468</v>
      </c>
      <c r="BE31" s="67"/>
      <c r="BF31" s="37"/>
      <c r="BG31" s="69">
        <v>2</v>
      </c>
      <c r="BH31" s="67">
        <f t="shared" si="12"/>
        <v>0</v>
      </c>
      <c r="BI31" s="67">
        <f t="shared" si="13"/>
        <v>0</v>
      </c>
      <c r="BJ31" s="70">
        <f t="shared" si="14"/>
        <v>0</v>
      </c>
      <c r="BN31" s="37"/>
      <c r="BO31" s="70">
        <f t="shared" si="2"/>
        <v>0</v>
      </c>
      <c r="BP31" s="37">
        <v>2</v>
      </c>
      <c r="BQ31" s="37">
        <v>0</v>
      </c>
      <c r="BR31" s="37">
        <v>0</v>
      </c>
      <c r="BT31" s="87">
        <f t="shared" si="3"/>
        <v>36</v>
      </c>
      <c r="BU31" s="87"/>
      <c r="BV31" s="87"/>
      <c r="BW31" s="87"/>
      <c r="BX31" s="87"/>
      <c r="BY31" s="87"/>
      <c r="BZ31" s="87"/>
      <c r="CA31" s="87"/>
      <c r="CB31" s="87"/>
      <c r="CC31" s="87"/>
      <c r="CD31" s="87"/>
      <c r="CF31" s="67">
        <f t="shared" si="4"/>
        <v>72</v>
      </c>
      <c r="CG31" s="67">
        <f t="shared" si="5"/>
        <v>0</v>
      </c>
      <c r="CH31" s="67">
        <f t="shared" si="6"/>
        <v>0</v>
      </c>
      <c r="CI31" s="67">
        <f t="shared" si="11"/>
        <v>0</v>
      </c>
      <c r="CJ31" s="37">
        <f t="shared" si="7"/>
        <v>24</v>
      </c>
      <c r="CK31" s="37">
        <f t="shared" si="8"/>
        <v>0</v>
      </c>
      <c r="CL31" s="37">
        <f t="shared" si="9"/>
        <v>0</v>
      </c>
      <c r="CM31" s="37">
        <f t="shared" si="10"/>
        <v>0</v>
      </c>
    </row>
    <row r="32" spans="1:91" ht="33.75">
      <c r="B32" s="156">
        <v>31</v>
      </c>
      <c r="C32" s="160">
        <v>123</v>
      </c>
      <c r="D32" s="160">
        <v>177</v>
      </c>
      <c r="E32" s="161">
        <v>0.4909722222222222</v>
      </c>
      <c r="F32" s="161">
        <v>0.50694444444444442</v>
      </c>
      <c r="G32" s="160" t="s">
        <v>504</v>
      </c>
      <c r="H32" s="160" t="s">
        <v>501</v>
      </c>
      <c r="I32" s="163">
        <v>12</v>
      </c>
      <c r="J32" s="164" t="s">
        <v>101</v>
      </c>
      <c r="K32" s="165">
        <v>67</v>
      </c>
      <c r="L32" s="166">
        <f t="shared" si="0"/>
        <v>804</v>
      </c>
      <c r="M32" s="167" t="s">
        <v>740</v>
      </c>
      <c r="N32" s="221" t="s">
        <v>2119</v>
      </c>
      <c r="O32" s="221">
        <v>43</v>
      </c>
      <c r="P32" s="150" t="s">
        <v>1982</v>
      </c>
      <c r="Q32" s="150" t="s">
        <v>1244</v>
      </c>
      <c r="S32" s="150"/>
      <c r="T32" s="45" t="s">
        <v>1349</v>
      </c>
      <c r="U32" s="45" t="s">
        <v>1351</v>
      </c>
      <c r="V32" s="45" t="s">
        <v>1346</v>
      </c>
      <c r="W32" s="45" t="s">
        <v>1347</v>
      </c>
      <c r="X32" s="99">
        <v>44562</v>
      </c>
      <c r="Y32" s="99">
        <v>44815</v>
      </c>
      <c r="Z32" s="99">
        <v>45101</v>
      </c>
      <c r="AA32" s="99">
        <v>45169</v>
      </c>
      <c r="AB32" s="42" t="s">
        <v>1119</v>
      </c>
      <c r="AC32" s="42"/>
      <c r="AD32" s="42"/>
      <c r="AE32" s="42" t="s">
        <v>734</v>
      </c>
      <c r="AF32" s="42" t="s">
        <v>734</v>
      </c>
      <c r="AG32" s="42"/>
      <c r="AH32" s="42" t="s">
        <v>734</v>
      </c>
      <c r="AI32" s="42" t="s">
        <v>734</v>
      </c>
      <c r="AJ32" s="42" t="s">
        <v>734</v>
      </c>
      <c r="AK32" s="42" t="s">
        <v>734</v>
      </c>
      <c r="AL32" s="42" t="s">
        <v>734</v>
      </c>
      <c r="AM32" s="42" t="s">
        <v>734</v>
      </c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68">
        <v>36</v>
      </c>
      <c r="AY32" s="37"/>
      <c r="BA32" s="68"/>
      <c r="BB32" s="68"/>
      <c r="BD32" s="67">
        <f t="shared" si="1"/>
        <v>2412</v>
      </c>
      <c r="BE32" s="67"/>
      <c r="BF32" s="37"/>
      <c r="BG32" s="69">
        <v>2</v>
      </c>
      <c r="BH32" s="67">
        <f t="shared" si="12"/>
        <v>0</v>
      </c>
      <c r="BI32" s="67">
        <f t="shared" si="13"/>
        <v>0</v>
      </c>
      <c r="BJ32" s="70">
        <f t="shared" si="14"/>
        <v>0</v>
      </c>
      <c r="BN32" s="37"/>
      <c r="BO32" s="70">
        <f t="shared" si="2"/>
        <v>0</v>
      </c>
      <c r="BP32" s="37">
        <v>9</v>
      </c>
      <c r="BQ32" s="37">
        <v>0</v>
      </c>
      <c r="BR32" s="37">
        <v>0</v>
      </c>
      <c r="BS32" s="37">
        <v>0</v>
      </c>
      <c r="BT32" s="87">
        <f t="shared" si="3"/>
        <v>36</v>
      </c>
      <c r="BU32" s="87"/>
      <c r="BV32" s="87"/>
      <c r="BW32" s="87"/>
      <c r="BX32" s="87"/>
      <c r="BY32" s="87"/>
      <c r="BZ32" s="87"/>
      <c r="CA32" s="87"/>
      <c r="CB32" s="87"/>
      <c r="CC32" s="87"/>
      <c r="CD32" s="87"/>
      <c r="CF32" s="67">
        <f t="shared" si="4"/>
        <v>324</v>
      </c>
      <c r="CG32" s="67">
        <f t="shared" si="5"/>
        <v>0</v>
      </c>
      <c r="CH32" s="67">
        <f t="shared" si="6"/>
        <v>0</v>
      </c>
      <c r="CI32" s="67">
        <f t="shared" si="11"/>
        <v>0</v>
      </c>
      <c r="CJ32" s="37">
        <f t="shared" si="7"/>
        <v>108</v>
      </c>
      <c r="CK32" s="37">
        <f t="shared" si="8"/>
        <v>0</v>
      </c>
      <c r="CL32" s="37">
        <f t="shared" si="9"/>
        <v>0</v>
      </c>
      <c r="CM32" s="37">
        <f t="shared" si="10"/>
        <v>0</v>
      </c>
    </row>
    <row r="33" spans="1:91" ht="33.75">
      <c r="B33" s="156">
        <v>32</v>
      </c>
      <c r="C33" s="160">
        <v>123</v>
      </c>
      <c r="D33" s="160">
        <v>177</v>
      </c>
      <c r="E33" s="161">
        <v>0.4909722222222222</v>
      </c>
      <c r="F33" s="161">
        <v>0.50694444444444442</v>
      </c>
      <c r="G33" s="160" t="s">
        <v>504</v>
      </c>
      <c r="H33" s="160" t="s">
        <v>550</v>
      </c>
      <c r="I33" s="163">
        <v>12</v>
      </c>
      <c r="J33" s="164" t="s">
        <v>101</v>
      </c>
      <c r="K33" s="165">
        <v>13</v>
      </c>
      <c r="L33" s="166">
        <f t="shared" si="0"/>
        <v>156</v>
      </c>
      <c r="M33" s="167" t="s">
        <v>740</v>
      </c>
      <c r="N33" s="221" t="s">
        <v>2119</v>
      </c>
      <c r="O33" s="221">
        <v>43</v>
      </c>
      <c r="P33" s="150" t="s">
        <v>1982</v>
      </c>
      <c r="Q33" s="150" t="s">
        <v>1244</v>
      </c>
      <c r="S33" s="150"/>
      <c r="T33" s="45" t="s">
        <v>1349</v>
      </c>
      <c r="U33" s="45" t="s">
        <v>1351</v>
      </c>
      <c r="V33" s="45" t="s">
        <v>1346</v>
      </c>
      <c r="W33" s="45" t="s">
        <v>1347</v>
      </c>
      <c r="X33" s="99">
        <v>44562</v>
      </c>
      <c r="Y33" s="99">
        <v>44815</v>
      </c>
      <c r="Z33" s="99">
        <v>45101</v>
      </c>
      <c r="AA33" s="99">
        <v>45169</v>
      </c>
      <c r="AB33" s="36" t="s">
        <v>1116</v>
      </c>
      <c r="AC33" s="36"/>
      <c r="AD33" s="42"/>
      <c r="AE33" s="42" t="s">
        <v>734</v>
      </c>
      <c r="AF33" s="42"/>
      <c r="AG33" s="42"/>
      <c r="AH33" s="42"/>
      <c r="AI33" s="42"/>
      <c r="AJ33" s="42"/>
      <c r="AK33" s="42"/>
      <c r="AL33" s="42"/>
      <c r="AM33" s="42"/>
      <c r="AN33" s="42" t="s">
        <v>734</v>
      </c>
      <c r="AO33" s="42"/>
      <c r="AP33" s="42"/>
      <c r="AQ33" s="42"/>
      <c r="AR33" s="42"/>
      <c r="AS33" s="42"/>
      <c r="AT33" s="42"/>
      <c r="AU33" s="42"/>
      <c r="AV33" s="42"/>
      <c r="AW33" s="42"/>
      <c r="AX33" s="68">
        <v>36</v>
      </c>
      <c r="AY33" s="37"/>
      <c r="BA33" s="68"/>
      <c r="BB33" s="68"/>
      <c r="BD33" s="67">
        <f t="shared" si="1"/>
        <v>468</v>
      </c>
      <c r="BE33" s="67"/>
      <c r="BF33" s="37"/>
      <c r="BG33" s="69">
        <v>2</v>
      </c>
      <c r="BH33" s="67">
        <f t="shared" si="12"/>
        <v>0</v>
      </c>
      <c r="BI33" s="67">
        <f t="shared" si="13"/>
        <v>0</v>
      </c>
      <c r="BJ33" s="70">
        <f t="shared" si="14"/>
        <v>0</v>
      </c>
      <c r="BN33" s="37"/>
      <c r="BO33" s="70">
        <f t="shared" si="2"/>
        <v>0</v>
      </c>
      <c r="BP33" s="37">
        <v>2</v>
      </c>
      <c r="BQ33" s="37">
        <v>0</v>
      </c>
      <c r="BR33" s="37">
        <v>0</v>
      </c>
      <c r="BT33" s="87">
        <f t="shared" si="3"/>
        <v>36</v>
      </c>
      <c r="BU33" s="87"/>
      <c r="BV33" s="87"/>
      <c r="BW33" s="87"/>
      <c r="BX33" s="87"/>
      <c r="BY33" s="87"/>
      <c r="BZ33" s="87"/>
      <c r="CA33" s="87"/>
      <c r="CB33" s="87"/>
      <c r="CC33" s="87"/>
      <c r="CD33" s="87"/>
      <c r="CF33" s="67">
        <f t="shared" si="4"/>
        <v>72</v>
      </c>
      <c r="CG33" s="67">
        <f t="shared" si="5"/>
        <v>0</v>
      </c>
      <c r="CH33" s="67">
        <f t="shared" si="6"/>
        <v>0</v>
      </c>
      <c r="CI33" s="67">
        <f t="shared" si="11"/>
        <v>0</v>
      </c>
      <c r="CJ33" s="37">
        <f t="shared" si="7"/>
        <v>24</v>
      </c>
      <c r="CK33" s="37">
        <f t="shared" si="8"/>
        <v>0</v>
      </c>
      <c r="CL33" s="37">
        <f t="shared" si="9"/>
        <v>0</v>
      </c>
      <c r="CM33" s="37">
        <f t="shared" si="10"/>
        <v>0</v>
      </c>
    </row>
    <row r="34" spans="1:91" ht="33.75">
      <c r="B34" s="156">
        <v>33</v>
      </c>
      <c r="C34" s="160">
        <v>123</v>
      </c>
      <c r="D34" s="160">
        <v>178</v>
      </c>
      <c r="E34" s="161">
        <v>0.57638888888888895</v>
      </c>
      <c r="F34" s="161">
        <v>0.59166666666666667</v>
      </c>
      <c r="G34" s="160" t="s">
        <v>503</v>
      </c>
      <c r="H34" s="160" t="s">
        <v>501</v>
      </c>
      <c r="I34" s="163">
        <v>12</v>
      </c>
      <c r="J34" s="164" t="s">
        <v>101</v>
      </c>
      <c r="K34" s="165">
        <v>67</v>
      </c>
      <c r="L34" s="166">
        <f t="shared" si="0"/>
        <v>804</v>
      </c>
      <c r="M34" s="167" t="s">
        <v>740</v>
      </c>
      <c r="N34" s="221" t="s">
        <v>2119</v>
      </c>
      <c r="O34" s="221">
        <v>43</v>
      </c>
      <c r="P34" s="150" t="s">
        <v>1982</v>
      </c>
      <c r="Q34" s="150" t="s">
        <v>1244</v>
      </c>
      <c r="S34" s="150"/>
      <c r="T34" s="45" t="s">
        <v>1346</v>
      </c>
      <c r="U34" s="45" t="s">
        <v>1347</v>
      </c>
      <c r="V34" s="45" t="s">
        <v>1349</v>
      </c>
      <c r="W34" s="45" t="s">
        <v>1350</v>
      </c>
      <c r="X34" s="99">
        <v>44562</v>
      </c>
      <c r="Y34" s="99">
        <v>44815</v>
      </c>
      <c r="Z34" s="99">
        <v>45101</v>
      </c>
      <c r="AA34" s="99">
        <v>45169</v>
      </c>
      <c r="AB34" s="42" t="s">
        <v>1119</v>
      </c>
      <c r="AC34" s="42"/>
      <c r="AD34" s="42"/>
      <c r="AE34" s="42" t="s">
        <v>734</v>
      </c>
      <c r="AF34" s="42" t="s">
        <v>734</v>
      </c>
      <c r="AG34" s="42"/>
      <c r="AH34" s="42" t="s">
        <v>734</v>
      </c>
      <c r="AI34" s="42" t="s">
        <v>734</v>
      </c>
      <c r="AJ34" s="42" t="s">
        <v>734</v>
      </c>
      <c r="AK34" s="42" t="s">
        <v>734</v>
      </c>
      <c r="AL34" s="42" t="s">
        <v>734</v>
      </c>
      <c r="AM34" s="42" t="s">
        <v>734</v>
      </c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68">
        <v>36</v>
      </c>
      <c r="AY34" s="37"/>
      <c r="BA34" s="68"/>
      <c r="BB34" s="68"/>
      <c r="BD34" s="67">
        <f t="shared" si="1"/>
        <v>2412</v>
      </c>
      <c r="BE34" s="67"/>
      <c r="BF34" s="37"/>
      <c r="BG34" s="69">
        <v>2</v>
      </c>
      <c r="BH34" s="67">
        <f t="shared" si="12"/>
        <v>0</v>
      </c>
      <c r="BI34" s="67">
        <f t="shared" si="13"/>
        <v>0</v>
      </c>
      <c r="BJ34" s="70">
        <f t="shared" si="14"/>
        <v>0</v>
      </c>
      <c r="BN34" s="37"/>
      <c r="BO34" s="70">
        <f t="shared" si="2"/>
        <v>0</v>
      </c>
      <c r="BP34" s="37">
        <v>9</v>
      </c>
      <c r="BQ34" s="37">
        <v>0</v>
      </c>
      <c r="BR34" s="37">
        <v>0</v>
      </c>
      <c r="BS34" s="37">
        <v>0</v>
      </c>
      <c r="BT34" s="87">
        <f t="shared" si="3"/>
        <v>36</v>
      </c>
      <c r="BU34" s="87"/>
      <c r="BV34" s="87"/>
      <c r="BW34" s="87"/>
      <c r="BX34" s="87"/>
      <c r="BY34" s="87"/>
      <c r="BZ34" s="87"/>
      <c r="CA34" s="87"/>
      <c r="CB34" s="87"/>
      <c r="CC34" s="87"/>
      <c r="CD34" s="87"/>
      <c r="CF34" s="67">
        <f t="shared" si="4"/>
        <v>324</v>
      </c>
      <c r="CG34" s="67">
        <f t="shared" si="5"/>
        <v>0</v>
      </c>
      <c r="CH34" s="67">
        <f t="shared" ref="CH34:CH54" si="15">(BR34*BT34)+(BZ34*CD34)</f>
        <v>0</v>
      </c>
      <c r="CI34" s="67">
        <f t="shared" si="11"/>
        <v>0</v>
      </c>
      <c r="CJ34" s="37">
        <f t="shared" si="7"/>
        <v>108</v>
      </c>
      <c r="CK34" s="37">
        <f t="shared" si="8"/>
        <v>0</v>
      </c>
      <c r="CL34" s="37">
        <f t="shared" si="9"/>
        <v>0</v>
      </c>
      <c r="CM34" s="37">
        <f t="shared" si="10"/>
        <v>0</v>
      </c>
    </row>
    <row r="35" spans="1:91" ht="33.75">
      <c r="B35" s="156">
        <v>34</v>
      </c>
      <c r="C35" s="160">
        <v>123</v>
      </c>
      <c r="D35" s="160">
        <v>178</v>
      </c>
      <c r="E35" s="161">
        <v>0.57638888888888895</v>
      </c>
      <c r="F35" s="161">
        <v>0.59166666666666667</v>
      </c>
      <c r="G35" s="160" t="s">
        <v>503</v>
      </c>
      <c r="H35" s="160" t="s">
        <v>550</v>
      </c>
      <c r="I35" s="163">
        <v>12</v>
      </c>
      <c r="J35" s="164" t="s">
        <v>101</v>
      </c>
      <c r="K35" s="165">
        <v>13</v>
      </c>
      <c r="L35" s="166">
        <f t="shared" si="0"/>
        <v>156</v>
      </c>
      <c r="M35" s="167" t="s">
        <v>740</v>
      </c>
      <c r="N35" s="221" t="s">
        <v>2119</v>
      </c>
      <c r="O35" s="221">
        <v>43</v>
      </c>
      <c r="P35" s="150" t="s">
        <v>1982</v>
      </c>
      <c r="Q35" s="150" t="s">
        <v>1244</v>
      </c>
      <c r="S35" s="150"/>
      <c r="T35" s="45" t="s">
        <v>1346</v>
      </c>
      <c r="U35" s="45" t="s">
        <v>1347</v>
      </c>
      <c r="V35" s="45" t="s">
        <v>1349</v>
      </c>
      <c r="W35" s="45" t="s">
        <v>1350</v>
      </c>
      <c r="X35" s="99">
        <v>44562</v>
      </c>
      <c r="Y35" s="99">
        <v>44815</v>
      </c>
      <c r="Z35" s="99">
        <v>45101</v>
      </c>
      <c r="AA35" s="99">
        <v>45169</v>
      </c>
      <c r="AB35" s="36" t="s">
        <v>1116</v>
      </c>
      <c r="AC35" s="36"/>
      <c r="AD35" s="42"/>
      <c r="AE35" s="42" t="s">
        <v>734</v>
      </c>
      <c r="AF35" s="42"/>
      <c r="AG35" s="42"/>
      <c r="AH35" s="42"/>
      <c r="AI35" s="42"/>
      <c r="AJ35" s="42"/>
      <c r="AK35" s="42"/>
      <c r="AL35" s="42"/>
      <c r="AM35" s="42"/>
      <c r="AN35" s="42" t="s">
        <v>734</v>
      </c>
      <c r="AO35" s="42"/>
      <c r="AP35" s="42"/>
      <c r="AQ35" s="42"/>
      <c r="AR35" s="42"/>
      <c r="AS35" s="42"/>
      <c r="AT35" s="42"/>
      <c r="AU35" s="42"/>
      <c r="AV35" s="42"/>
      <c r="AW35" s="42"/>
      <c r="AX35" s="68">
        <v>36</v>
      </c>
      <c r="AY35" s="37"/>
      <c r="BA35" s="68"/>
      <c r="BB35" s="68"/>
      <c r="BD35" s="67">
        <f t="shared" si="1"/>
        <v>468</v>
      </c>
      <c r="BE35" s="67"/>
      <c r="BF35" s="37"/>
      <c r="BG35" s="69">
        <v>2</v>
      </c>
      <c r="BH35" s="67">
        <f t="shared" si="12"/>
        <v>0</v>
      </c>
      <c r="BI35" s="67">
        <f t="shared" si="13"/>
        <v>0</v>
      </c>
      <c r="BJ35" s="70">
        <f t="shared" si="14"/>
        <v>0</v>
      </c>
      <c r="BN35" s="37"/>
      <c r="BO35" s="70">
        <f t="shared" si="2"/>
        <v>0</v>
      </c>
      <c r="BP35" s="37">
        <v>2</v>
      </c>
      <c r="BQ35" s="37">
        <v>0</v>
      </c>
      <c r="BR35" s="37">
        <v>0</v>
      </c>
      <c r="BT35" s="87">
        <f t="shared" si="3"/>
        <v>36</v>
      </c>
      <c r="BU35" s="87"/>
      <c r="BV35" s="87"/>
      <c r="BW35" s="87"/>
      <c r="BX35" s="87"/>
      <c r="BY35" s="87"/>
      <c r="BZ35" s="87"/>
      <c r="CA35" s="87"/>
      <c r="CB35" s="87"/>
      <c r="CC35" s="87"/>
      <c r="CD35" s="87"/>
      <c r="CF35" s="67">
        <f t="shared" si="4"/>
        <v>72</v>
      </c>
      <c r="CG35" s="67">
        <f t="shared" si="5"/>
        <v>0</v>
      </c>
      <c r="CH35" s="67">
        <f t="shared" si="15"/>
        <v>0</v>
      </c>
      <c r="CI35" s="67">
        <f t="shared" si="11"/>
        <v>0</v>
      </c>
      <c r="CJ35" s="37">
        <f t="shared" si="7"/>
        <v>24</v>
      </c>
      <c r="CK35" s="37">
        <f t="shared" si="8"/>
        <v>0</v>
      </c>
      <c r="CL35" s="37">
        <f t="shared" si="9"/>
        <v>0</v>
      </c>
      <c r="CM35" s="37">
        <f t="shared" si="10"/>
        <v>0</v>
      </c>
    </row>
    <row r="36" spans="1:91" ht="33.75">
      <c r="B36" s="156">
        <v>35</v>
      </c>
      <c r="C36" s="160">
        <v>123</v>
      </c>
      <c r="D36" s="160">
        <v>179</v>
      </c>
      <c r="E36" s="161">
        <v>0.59722222222222221</v>
      </c>
      <c r="F36" s="161">
        <v>0.61249999999999993</v>
      </c>
      <c r="G36" s="160" t="s">
        <v>504</v>
      </c>
      <c r="H36" s="160" t="s">
        <v>501</v>
      </c>
      <c r="I36" s="163">
        <v>12</v>
      </c>
      <c r="J36" s="164" t="s">
        <v>101</v>
      </c>
      <c r="K36" s="165">
        <v>67</v>
      </c>
      <c r="L36" s="166">
        <f t="shared" si="0"/>
        <v>804</v>
      </c>
      <c r="M36" s="167" t="s">
        <v>740</v>
      </c>
      <c r="N36" s="221" t="s">
        <v>2119</v>
      </c>
      <c r="O36" s="221">
        <v>43</v>
      </c>
      <c r="P36" s="150" t="s">
        <v>1982</v>
      </c>
      <c r="Q36" s="150" t="s">
        <v>1244</v>
      </c>
      <c r="S36" s="150"/>
      <c r="T36" s="45" t="s">
        <v>1349</v>
      </c>
      <c r="U36" s="45" t="s">
        <v>1351</v>
      </c>
      <c r="V36" s="45" t="s">
        <v>1346</v>
      </c>
      <c r="W36" s="45" t="s">
        <v>1347</v>
      </c>
      <c r="X36" s="99">
        <v>44562</v>
      </c>
      <c r="Y36" s="99">
        <v>44815</v>
      </c>
      <c r="Z36" s="99">
        <v>45101</v>
      </c>
      <c r="AA36" s="99">
        <v>45169</v>
      </c>
      <c r="AB36" s="42" t="s">
        <v>1119</v>
      </c>
      <c r="AC36" s="42"/>
      <c r="AD36" s="42"/>
      <c r="AE36" s="42" t="s">
        <v>734</v>
      </c>
      <c r="AF36" s="42" t="s">
        <v>734</v>
      </c>
      <c r="AG36" s="42"/>
      <c r="AH36" s="42" t="s">
        <v>734</v>
      </c>
      <c r="AI36" s="42" t="s">
        <v>734</v>
      </c>
      <c r="AJ36" s="42" t="s">
        <v>734</v>
      </c>
      <c r="AK36" s="42" t="s">
        <v>734</v>
      </c>
      <c r="AL36" s="42" t="s">
        <v>734</v>
      </c>
      <c r="AM36" s="42" t="s">
        <v>734</v>
      </c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68">
        <v>36</v>
      </c>
      <c r="AY36" s="37"/>
      <c r="BA36" s="68"/>
      <c r="BB36" s="68"/>
      <c r="BD36" s="67">
        <f t="shared" si="1"/>
        <v>2412</v>
      </c>
      <c r="BE36" s="67"/>
      <c r="BF36" s="37"/>
      <c r="BG36" s="69">
        <v>2</v>
      </c>
      <c r="BH36" s="67">
        <f t="shared" si="12"/>
        <v>0</v>
      </c>
      <c r="BI36" s="67">
        <f t="shared" si="13"/>
        <v>0</v>
      </c>
      <c r="BJ36" s="70">
        <f t="shared" si="14"/>
        <v>0</v>
      </c>
      <c r="BN36" s="37"/>
      <c r="BO36" s="70">
        <f t="shared" si="2"/>
        <v>0</v>
      </c>
      <c r="BP36" s="37">
        <v>9</v>
      </c>
      <c r="BQ36" s="37">
        <v>0</v>
      </c>
      <c r="BR36" s="37">
        <v>0</v>
      </c>
      <c r="BS36" s="37">
        <v>0</v>
      </c>
      <c r="BT36" s="87">
        <f t="shared" si="3"/>
        <v>36</v>
      </c>
      <c r="BU36" s="87"/>
      <c r="BV36" s="87"/>
      <c r="BW36" s="87"/>
      <c r="BX36" s="87"/>
      <c r="BY36" s="87"/>
      <c r="BZ36" s="87"/>
      <c r="CA36" s="87"/>
      <c r="CB36" s="87"/>
      <c r="CC36" s="87"/>
      <c r="CD36" s="87"/>
      <c r="CF36" s="67">
        <f t="shared" si="4"/>
        <v>324</v>
      </c>
      <c r="CG36" s="67">
        <f t="shared" si="5"/>
        <v>0</v>
      </c>
      <c r="CH36" s="67">
        <f t="shared" si="15"/>
        <v>0</v>
      </c>
      <c r="CI36" s="67">
        <f t="shared" si="11"/>
        <v>0</v>
      </c>
      <c r="CJ36" s="37">
        <f t="shared" si="7"/>
        <v>108</v>
      </c>
      <c r="CK36" s="37">
        <f t="shared" si="8"/>
        <v>0</v>
      </c>
      <c r="CL36" s="37">
        <f t="shared" si="9"/>
        <v>0</v>
      </c>
      <c r="CM36" s="37">
        <f t="shared" si="10"/>
        <v>0</v>
      </c>
    </row>
    <row r="37" spans="1:91" s="74" customFormat="1" ht="33.75">
      <c r="A37" s="3"/>
      <c r="B37" s="156">
        <v>36</v>
      </c>
      <c r="C37" s="160">
        <v>123</v>
      </c>
      <c r="D37" s="160">
        <v>179</v>
      </c>
      <c r="E37" s="161">
        <v>0.59722222222222221</v>
      </c>
      <c r="F37" s="161">
        <v>0.61249999999999993</v>
      </c>
      <c r="G37" s="160" t="s">
        <v>504</v>
      </c>
      <c r="H37" s="160" t="s">
        <v>550</v>
      </c>
      <c r="I37" s="163">
        <v>12</v>
      </c>
      <c r="J37" s="164" t="s">
        <v>101</v>
      </c>
      <c r="K37" s="165">
        <v>13</v>
      </c>
      <c r="L37" s="166">
        <f t="shared" si="0"/>
        <v>156</v>
      </c>
      <c r="M37" s="167" t="s">
        <v>740</v>
      </c>
      <c r="N37" s="221" t="s">
        <v>2119</v>
      </c>
      <c r="O37" s="221">
        <v>43</v>
      </c>
      <c r="P37" s="150" t="s">
        <v>1982</v>
      </c>
      <c r="Q37" s="150" t="s">
        <v>1244</v>
      </c>
      <c r="R37" s="3"/>
      <c r="S37" s="150"/>
      <c r="T37" s="45" t="s">
        <v>1349</v>
      </c>
      <c r="U37" s="45" t="s">
        <v>1351</v>
      </c>
      <c r="V37" s="45" t="s">
        <v>1346</v>
      </c>
      <c r="W37" s="45" t="s">
        <v>1347</v>
      </c>
      <c r="X37" s="99">
        <v>44562</v>
      </c>
      <c r="Y37" s="99">
        <v>44815</v>
      </c>
      <c r="Z37" s="99">
        <v>45101</v>
      </c>
      <c r="AA37" s="99">
        <v>45169</v>
      </c>
      <c r="AB37" s="36" t="s">
        <v>1116</v>
      </c>
      <c r="AC37" s="36"/>
      <c r="AD37" s="42"/>
      <c r="AE37" s="42" t="s">
        <v>734</v>
      </c>
      <c r="AF37" s="42"/>
      <c r="AG37" s="42"/>
      <c r="AH37" s="42"/>
      <c r="AI37" s="42"/>
      <c r="AJ37" s="42"/>
      <c r="AK37" s="42"/>
      <c r="AL37" s="42"/>
      <c r="AM37" s="42"/>
      <c r="AN37" s="42" t="s">
        <v>734</v>
      </c>
      <c r="AO37" s="42"/>
      <c r="AP37" s="42"/>
      <c r="AQ37" s="42"/>
      <c r="AR37" s="42"/>
      <c r="AS37" s="42"/>
      <c r="AT37" s="42"/>
      <c r="AU37" s="42"/>
      <c r="AV37" s="42"/>
      <c r="AW37" s="42"/>
      <c r="AX37" s="68">
        <v>36</v>
      </c>
      <c r="AY37" s="37"/>
      <c r="AZ37" s="37"/>
      <c r="BA37" s="68"/>
      <c r="BB37" s="68"/>
      <c r="BC37" s="37"/>
      <c r="BD37" s="67">
        <f t="shared" si="1"/>
        <v>468</v>
      </c>
      <c r="BE37" s="67"/>
      <c r="BF37" s="37"/>
      <c r="BG37" s="69">
        <v>2</v>
      </c>
      <c r="BH37" s="67">
        <f t="shared" si="12"/>
        <v>0</v>
      </c>
      <c r="BI37" s="67">
        <f t="shared" si="13"/>
        <v>0</v>
      </c>
      <c r="BJ37" s="70">
        <f t="shared" si="14"/>
        <v>0</v>
      </c>
      <c r="BK37" s="37"/>
      <c r="BL37" s="37"/>
      <c r="BM37" s="37"/>
      <c r="BN37" s="37"/>
      <c r="BO37" s="70">
        <f t="shared" si="2"/>
        <v>0</v>
      </c>
      <c r="BP37" s="37">
        <v>2</v>
      </c>
      <c r="BQ37" s="37">
        <v>0</v>
      </c>
      <c r="BR37" s="37">
        <v>0</v>
      </c>
      <c r="BS37" s="37"/>
      <c r="BT37" s="87">
        <f t="shared" si="3"/>
        <v>36</v>
      </c>
      <c r="BU37" s="87"/>
      <c r="BV37" s="87"/>
      <c r="BW37" s="87"/>
      <c r="BX37" s="87"/>
      <c r="BY37" s="87"/>
      <c r="BZ37" s="87"/>
      <c r="CA37" s="87"/>
      <c r="CB37" s="87"/>
      <c r="CC37" s="87"/>
      <c r="CD37" s="87"/>
      <c r="CE37" s="37"/>
      <c r="CF37" s="67">
        <f t="shared" si="4"/>
        <v>72</v>
      </c>
      <c r="CG37" s="67">
        <f t="shared" si="5"/>
        <v>0</v>
      </c>
      <c r="CH37" s="67">
        <f t="shared" si="15"/>
        <v>0</v>
      </c>
      <c r="CI37" s="67">
        <f t="shared" si="11"/>
        <v>0</v>
      </c>
      <c r="CJ37" s="37">
        <f t="shared" si="7"/>
        <v>24</v>
      </c>
      <c r="CK37" s="37">
        <f t="shared" si="8"/>
        <v>0</v>
      </c>
      <c r="CL37" s="37">
        <f t="shared" si="9"/>
        <v>0</v>
      </c>
      <c r="CM37" s="37">
        <f t="shared" si="10"/>
        <v>0</v>
      </c>
    </row>
    <row r="38" spans="1:91" ht="33.75">
      <c r="B38" s="156">
        <v>37</v>
      </c>
      <c r="C38" s="160">
        <v>123</v>
      </c>
      <c r="D38" s="160">
        <v>180</v>
      </c>
      <c r="E38" s="161">
        <v>0.65972222222222221</v>
      </c>
      <c r="F38" s="161">
        <v>0.67499999999999993</v>
      </c>
      <c r="G38" s="160" t="s">
        <v>503</v>
      </c>
      <c r="H38" s="160" t="s">
        <v>501</v>
      </c>
      <c r="I38" s="163">
        <v>12</v>
      </c>
      <c r="J38" s="164" t="s">
        <v>101</v>
      </c>
      <c r="K38" s="165">
        <v>67</v>
      </c>
      <c r="L38" s="166">
        <f t="shared" si="0"/>
        <v>804</v>
      </c>
      <c r="M38" s="167" t="s">
        <v>740</v>
      </c>
      <c r="N38" s="221" t="s">
        <v>2119</v>
      </c>
      <c r="O38" s="221">
        <v>43</v>
      </c>
      <c r="P38" s="150" t="s">
        <v>1982</v>
      </c>
      <c r="Q38" s="150" t="s">
        <v>1244</v>
      </c>
      <c r="S38" s="150"/>
      <c r="T38" s="45" t="s">
        <v>1346</v>
      </c>
      <c r="U38" s="45" t="s">
        <v>1347</v>
      </c>
      <c r="V38" s="45" t="s">
        <v>1349</v>
      </c>
      <c r="W38" s="45" t="s">
        <v>1350</v>
      </c>
      <c r="X38" s="99">
        <v>44562</v>
      </c>
      <c r="Y38" s="99">
        <v>44815</v>
      </c>
      <c r="Z38" s="99">
        <v>45101</v>
      </c>
      <c r="AA38" s="99">
        <v>45169</v>
      </c>
      <c r="AB38" s="42" t="s">
        <v>1119</v>
      </c>
      <c r="AC38" s="42"/>
      <c r="AD38" s="42"/>
      <c r="AE38" s="42" t="s">
        <v>734</v>
      </c>
      <c r="AF38" s="42" t="s">
        <v>734</v>
      </c>
      <c r="AG38" s="42"/>
      <c r="AH38" s="42" t="s">
        <v>734</v>
      </c>
      <c r="AI38" s="42" t="s">
        <v>734</v>
      </c>
      <c r="AJ38" s="42" t="s">
        <v>734</v>
      </c>
      <c r="AK38" s="42" t="s">
        <v>734</v>
      </c>
      <c r="AL38" s="42" t="s">
        <v>734</v>
      </c>
      <c r="AM38" s="42" t="s">
        <v>734</v>
      </c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68">
        <v>36</v>
      </c>
      <c r="AY38" s="37"/>
      <c r="BA38" s="68"/>
      <c r="BB38" s="68"/>
      <c r="BD38" s="67">
        <f t="shared" si="1"/>
        <v>2412</v>
      </c>
      <c r="BE38" s="67"/>
      <c r="BF38" s="37"/>
      <c r="BG38" s="69">
        <v>2</v>
      </c>
      <c r="BH38" s="67">
        <f t="shared" si="12"/>
        <v>0</v>
      </c>
      <c r="BI38" s="67">
        <f t="shared" si="13"/>
        <v>0</v>
      </c>
      <c r="BJ38" s="70">
        <f t="shared" si="14"/>
        <v>0</v>
      </c>
      <c r="BN38" s="37"/>
      <c r="BO38" s="70">
        <f t="shared" si="2"/>
        <v>0</v>
      </c>
      <c r="BP38" s="37">
        <v>9</v>
      </c>
      <c r="BQ38" s="37">
        <v>0</v>
      </c>
      <c r="BR38" s="37">
        <v>0</v>
      </c>
      <c r="BS38" s="37">
        <v>0</v>
      </c>
      <c r="BT38" s="87">
        <f t="shared" si="3"/>
        <v>36</v>
      </c>
      <c r="BU38" s="87"/>
      <c r="BV38" s="87"/>
      <c r="BW38" s="87"/>
      <c r="BX38" s="87"/>
      <c r="BY38" s="87"/>
      <c r="BZ38" s="87"/>
      <c r="CA38" s="87"/>
      <c r="CB38" s="87"/>
      <c r="CC38" s="87"/>
      <c r="CD38" s="87"/>
      <c r="CF38" s="67">
        <f t="shared" si="4"/>
        <v>324</v>
      </c>
      <c r="CG38" s="67">
        <f t="shared" si="5"/>
        <v>0</v>
      </c>
      <c r="CH38" s="67">
        <f t="shared" si="15"/>
        <v>0</v>
      </c>
      <c r="CI38" s="67">
        <f t="shared" si="11"/>
        <v>0</v>
      </c>
      <c r="CJ38" s="37">
        <f t="shared" si="7"/>
        <v>108</v>
      </c>
      <c r="CK38" s="37">
        <f t="shared" si="8"/>
        <v>0</v>
      </c>
      <c r="CL38" s="37">
        <f t="shared" si="9"/>
        <v>0</v>
      </c>
      <c r="CM38" s="37">
        <f t="shared" si="10"/>
        <v>0</v>
      </c>
    </row>
    <row r="39" spans="1:91" ht="33.75">
      <c r="B39" s="156">
        <v>38</v>
      </c>
      <c r="C39" s="160">
        <v>123</v>
      </c>
      <c r="D39" s="160">
        <v>180</v>
      </c>
      <c r="E39" s="161">
        <v>0.65972222222222221</v>
      </c>
      <c r="F39" s="161">
        <v>0.67499999999999993</v>
      </c>
      <c r="G39" s="160" t="s">
        <v>503</v>
      </c>
      <c r="H39" s="160" t="s">
        <v>550</v>
      </c>
      <c r="I39" s="163">
        <v>12</v>
      </c>
      <c r="J39" s="164" t="s">
        <v>101</v>
      </c>
      <c r="K39" s="165">
        <v>13</v>
      </c>
      <c r="L39" s="166">
        <f t="shared" si="0"/>
        <v>156</v>
      </c>
      <c r="M39" s="167" t="s">
        <v>740</v>
      </c>
      <c r="N39" s="221" t="s">
        <v>2119</v>
      </c>
      <c r="O39" s="221">
        <v>43</v>
      </c>
      <c r="P39" s="150" t="s">
        <v>1982</v>
      </c>
      <c r="Q39" s="150" t="s">
        <v>1244</v>
      </c>
      <c r="S39" s="150"/>
      <c r="T39" s="45" t="s">
        <v>1346</v>
      </c>
      <c r="U39" s="45" t="s">
        <v>1347</v>
      </c>
      <c r="V39" s="45" t="s">
        <v>1349</v>
      </c>
      <c r="W39" s="45" t="s">
        <v>1350</v>
      </c>
      <c r="X39" s="99">
        <v>44562</v>
      </c>
      <c r="Y39" s="99">
        <v>44815</v>
      </c>
      <c r="Z39" s="99">
        <v>45101</v>
      </c>
      <c r="AA39" s="99">
        <v>45169</v>
      </c>
      <c r="AB39" s="36" t="s">
        <v>1116</v>
      </c>
      <c r="AC39" s="36"/>
      <c r="AD39" s="42"/>
      <c r="AE39" s="42" t="s">
        <v>734</v>
      </c>
      <c r="AF39" s="42"/>
      <c r="AG39" s="42"/>
      <c r="AH39" s="42"/>
      <c r="AI39" s="42"/>
      <c r="AJ39" s="42"/>
      <c r="AK39" s="42"/>
      <c r="AL39" s="42"/>
      <c r="AM39" s="42"/>
      <c r="AN39" s="42" t="s">
        <v>734</v>
      </c>
      <c r="AO39" s="42"/>
      <c r="AP39" s="42"/>
      <c r="AQ39" s="42"/>
      <c r="AR39" s="42"/>
      <c r="AS39" s="42"/>
      <c r="AT39" s="42"/>
      <c r="AU39" s="42"/>
      <c r="AV39" s="42"/>
      <c r="AW39" s="42"/>
      <c r="AX39" s="68">
        <v>36</v>
      </c>
      <c r="AY39" s="37"/>
      <c r="BA39" s="68"/>
      <c r="BB39" s="68"/>
      <c r="BD39" s="67">
        <f t="shared" si="1"/>
        <v>468</v>
      </c>
      <c r="BE39" s="67"/>
      <c r="BF39" s="37"/>
      <c r="BG39" s="69">
        <v>2</v>
      </c>
      <c r="BH39" s="67">
        <f t="shared" si="12"/>
        <v>0</v>
      </c>
      <c r="BI39" s="67">
        <f t="shared" si="13"/>
        <v>0</v>
      </c>
      <c r="BJ39" s="70">
        <f t="shared" si="14"/>
        <v>0</v>
      </c>
      <c r="BK39" s="74"/>
      <c r="BL39" s="74"/>
      <c r="BM39" s="74"/>
      <c r="BN39" s="74"/>
      <c r="BO39" s="70">
        <f t="shared" si="2"/>
        <v>0</v>
      </c>
      <c r="BP39" s="37">
        <v>2</v>
      </c>
      <c r="BQ39" s="37">
        <v>0</v>
      </c>
      <c r="BR39" s="37">
        <v>0</v>
      </c>
      <c r="BS39" s="74"/>
      <c r="BT39" s="87">
        <f t="shared" si="3"/>
        <v>36</v>
      </c>
      <c r="BU39" s="87"/>
      <c r="BV39" s="87"/>
      <c r="BW39" s="87"/>
      <c r="BX39" s="87"/>
      <c r="BY39" s="87"/>
      <c r="BZ39" s="87"/>
      <c r="CA39" s="87"/>
      <c r="CB39" s="87"/>
      <c r="CC39" s="87"/>
      <c r="CD39" s="87"/>
      <c r="CE39" s="74"/>
      <c r="CF39" s="67">
        <f t="shared" si="4"/>
        <v>72</v>
      </c>
      <c r="CG39" s="67">
        <f t="shared" si="5"/>
        <v>0</v>
      </c>
      <c r="CH39" s="67">
        <f t="shared" si="15"/>
        <v>0</v>
      </c>
      <c r="CI39" s="67">
        <f t="shared" si="11"/>
        <v>0</v>
      </c>
      <c r="CJ39" s="37">
        <f t="shared" si="7"/>
        <v>24</v>
      </c>
      <c r="CK39" s="37">
        <f t="shared" si="8"/>
        <v>0</v>
      </c>
      <c r="CL39" s="37">
        <f t="shared" si="9"/>
        <v>0</v>
      </c>
      <c r="CM39" s="37">
        <f t="shared" si="10"/>
        <v>0</v>
      </c>
    </row>
    <row r="40" spans="1:91" ht="33.75">
      <c r="B40" s="156">
        <v>39</v>
      </c>
      <c r="C40" s="160">
        <v>123</v>
      </c>
      <c r="D40" s="160">
        <v>181</v>
      </c>
      <c r="E40" s="161">
        <v>0.67847222222222225</v>
      </c>
      <c r="F40" s="161">
        <v>0.69374999999999998</v>
      </c>
      <c r="G40" s="160" t="s">
        <v>504</v>
      </c>
      <c r="H40" s="160" t="s">
        <v>501</v>
      </c>
      <c r="I40" s="163">
        <v>12</v>
      </c>
      <c r="J40" s="164" t="s">
        <v>101</v>
      </c>
      <c r="K40" s="165">
        <v>67</v>
      </c>
      <c r="L40" s="166">
        <f t="shared" si="0"/>
        <v>804</v>
      </c>
      <c r="M40" s="167" t="s">
        <v>740</v>
      </c>
      <c r="N40" s="221" t="s">
        <v>2119</v>
      </c>
      <c r="O40" s="221">
        <v>43</v>
      </c>
      <c r="P40" s="150" t="s">
        <v>1982</v>
      </c>
      <c r="Q40" s="150" t="s">
        <v>1244</v>
      </c>
      <c r="S40" s="150"/>
      <c r="T40" s="45" t="s">
        <v>1349</v>
      </c>
      <c r="U40" s="45" t="s">
        <v>1351</v>
      </c>
      <c r="V40" s="45" t="s">
        <v>1346</v>
      </c>
      <c r="W40" s="45" t="s">
        <v>1347</v>
      </c>
      <c r="X40" s="99">
        <v>44562</v>
      </c>
      <c r="Y40" s="99">
        <v>44815</v>
      </c>
      <c r="Z40" s="99">
        <v>45101</v>
      </c>
      <c r="AA40" s="99">
        <v>45169</v>
      </c>
      <c r="AB40" s="42" t="s">
        <v>1119</v>
      </c>
      <c r="AC40" s="42"/>
      <c r="AD40" s="42"/>
      <c r="AE40" s="42" t="s">
        <v>734</v>
      </c>
      <c r="AF40" s="42" t="s">
        <v>734</v>
      </c>
      <c r="AG40" s="42"/>
      <c r="AH40" s="42" t="s">
        <v>734</v>
      </c>
      <c r="AI40" s="42" t="s">
        <v>734</v>
      </c>
      <c r="AJ40" s="42" t="s">
        <v>734</v>
      </c>
      <c r="AK40" s="42" t="s">
        <v>734</v>
      </c>
      <c r="AL40" s="42" t="s">
        <v>734</v>
      </c>
      <c r="AM40" s="42" t="s">
        <v>734</v>
      </c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68">
        <v>36</v>
      </c>
      <c r="AY40" s="37"/>
      <c r="BA40" s="68"/>
      <c r="BB40" s="68"/>
      <c r="BD40" s="67">
        <f t="shared" si="1"/>
        <v>2412</v>
      </c>
      <c r="BE40" s="67"/>
      <c r="BF40" s="37"/>
      <c r="BG40" s="69">
        <v>2</v>
      </c>
      <c r="BH40" s="67">
        <f t="shared" si="12"/>
        <v>0</v>
      </c>
      <c r="BI40" s="67">
        <f t="shared" si="13"/>
        <v>0</v>
      </c>
      <c r="BJ40" s="70">
        <f t="shared" si="14"/>
        <v>0</v>
      </c>
      <c r="BN40" s="37"/>
      <c r="BO40" s="70">
        <f t="shared" si="2"/>
        <v>0</v>
      </c>
      <c r="BP40" s="37">
        <v>9</v>
      </c>
      <c r="BQ40" s="37">
        <v>0</v>
      </c>
      <c r="BR40" s="37">
        <v>0</v>
      </c>
      <c r="BS40" s="37">
        <v>0</v>
      </c>
      <c r="BT40" s="87">
        <f t="shared" si="3"/>
        <v>36</v>
      </c>
      <c r="BU40" s="87"/>
      <c r="BV40" s="87"/>
      <c r="BW40" s="87"/>
      <c r="BX40" s="87"/>
      <c r="BY40" s="87"/>
      <c r="BZ40" s="87"/>
      <c r="CA40" s="87"/>
      <c r="CB40" s="87"/>
      <c r="CC40" s="87"/>
      <c r="CD40" s="87"/>
      <c r="CF40" s="67">
        <f t="shared" si="4"/>
        <v>324</v>
      </c>
      <c r="CG40" s="67">
        <f t="shared" si="5"/>
        <v>0</v>
      </c>
      <c r="CH40" s="67">
        <f t="shared" si="15"/>
        <v>0</v>
      </c>
      <c r="CI40" s="67">
        <f t="shared" si="11"/>
        <v>0</v>
      </c>
      <c r="CJ40" s="37">
        <f t="shared" si="7"/>
        <v>108</v>
      </c>
      <c r="CK40" s="37">
        <f t="shared" si="8"/>
        <v>0</v>
      </c>
      <c r="CL40" s="37">
        <f t="shared" si="9"/>
        <v>0</v>
      </c>
      <c r="CM40" s="37">
        <f t="shared" si="10"/>
        <v>0</v>
      </c>
    </row>
    <row r="41" spans="1:91" ht="33.75">
      <c r="B41" s="156">
        <v>40</v>
      </c>
      <c r="C41" s="160">
        <v>123</v>
      </c>
      <c r="D41" s="160">
        <v>181</v>
      </c>
      <c r="E41" s="161">
        <v>0.67847222222222225</v>
      </c>
      <c r="F41" s="161">
        <v>0.69374999999999998</v>
      </c>
      <c r="G41" s="160" t="s">
        <v>504</v>
      </c>
      <c r="H41" s="160" t="s">
        <v>550</v>
      </c>
      <c r="I41" s="163">
        <v>12</v>
      </c>
      <c r="J41" s="164" t="s">
        <v>101</v>
      </c>
      <c r="K41" s="165">
        <v>13</v>
      </c>
      <c r="L41" s="166">
        <f t="shared" si="0"/>
        <v>156</v>
      </c>
      <c r="M41" s="167" t="s">
        <v>740</v>
      </c>
      <c r="N41" s="221" t="s">
        <v>2119</v>
      </c>
      <c r="O41" s="221">
        <v>43</v>
      </c>
      <c r="P41" s="150" t="s">
        <v>1982</v>
      </c>
      <c r="Q41" s="150" t="s">
        <v>1244</v>
      </c>
      <c r="S41" s="150"/>
      <c r="T41" s="45" t="s">
        <v>1349</v>
      </c>
      <c r="U41" s="45" t="s">
        <v>1351</v>
      </c>
      <c r="V41" s="45" t="s">
        <v>1346</v>
      </c>
      <c r="W41" s="45" t="s">
        <v>1347</v>
      </c>
      <c r="X41" s="99">
        <v>44562</v>
      </c>
      <c r="Y41" s="99">
        <v>44815</v>
      </c>
      <c r="Z41" s="99">
        <v>45101</v>
      </c>
      <c r="AA41" s="99">
        <v>45169</v>
      </c>
      <c r="AB41" s="36" t="s">
        <v>1116</v>
      </c>
      <c r="AC41" s="36"/>
      <c r="AD41" s="42"/>
      <c r="AE41" s="42" t="s">
        <v>734</v>
      </c>
      <c r="AF41" s="42"/>
      <c r="AG41" s="42"/>
      <c r="AH41" s="42"/>
      <c r="AI41" s="42"/>
      <c r="AJ41" s="42"/>
      <c r="AK41" s="42"/>
      <c r="AL41" s="42"/>
      <c r="AM41" s="42"/>
      <c r="AN41" s="42" t="s">
        <v>734</v>
      </c>
      <c r="AO41" s="42"/>
      <c r="AP41" s="42"/>
      <c r="AQ41" s="42"/>
      <c r="AR41" s="42"/>
      <c r="AS41" s="42"/>
      <c r="AT41" s="42"/>
      <c r="AU41" s="42"/>
      <c r="AV41" s="42"/>
      <c r="AW41" s="42"/>
      <c r="AX41" s="68">
        <v>36</v>
      </c>
      <c r="AY41" s="37"/>
      <c r="BA41" s="68"/>
      <c r="BB41" s="68"/>
      <c r="BD41" s="67">
        <f t="shared" si="1"/>
        <v>468</v>
      </c>
      <c r="BE41" s="67"/>
      <c r="BF41" s="37"/>
      <c r="BG41" s="69">
        <v>2</v>
      </c>
      <c r="BH41" s="67">
        <f t="shared" si="12"/>
        <v>0</v>
      </c>
      <c r="BI41" s="67">
        <f t="shared" si="13"/>
        <v>0</v>
      </c>
      <c r="BJ41" s="70">
        <f t="shared" si="14"/>
        <v>0</v>
      </c>
      <c r="BN41" s="37"/>
      <c r="BO41" s="70">
        <f t="shared" si="2"/>
        <v>0</v>
      </c>
      <c r="BP41" s="37">
        <v>2</v>
      </c>
      <c r="BQ41" s="37">
        <v>0</v>
      </c>
      <c r="BR41" s="37">
        <v>0</v>
      </c>
      <c r="BT41" s="87">
        <f t="shared" si="3"/>
        <v>36</v>
      </c>
      <c r="BU41" s="87"/>
      <c r="BV41" s="87"/>
      <c r="BW41" s="87"/>
      <c r="BX41" s="87"/>
      <c r="BY41" s="87"/>
      <c r="BZ41" s="87"/>
      <c r="CA41" s="87"/>
      <c r="CB41" s="87"/>
      <c r="CC41" s="87"/>
      <c r="CD41" s="87"/>
      <c r="CF41" s="67">
        <f t="shared" si="4"/>
        <v>72</v>
      </c>
      <c r="CG41" s="67">
        <f t="shared" si="5"/>
        <v>0</v>
      </c>
      <c r="CH41" s="67">
        <f t="shared" si="15"/>
        <v>0</v>
      </c>
      <c r="CI41" s="67">
        <f t="shared" si="11"/>
        <v>0</v>
      </c>
      <c r="CJ41" s="37">
        <f t="shared" si="7"/>
        <v>24</v>
      </c>
      <c r="CK41" s="37">
        <f t="shared" si="8"/>
        <v>0</v>
      </c>
      <c r="CL41" s="37">
        <f t="shared" si="9"/>
        <v>0</v>
      </c>
      <c r="CM41" s="37">
        <f t="shared" si="10"/>
        <v>0</v>
      </c>
    </row>
    <row r="42" spans="1:91" ht="33.75">
      <c r="B42" s="156">
        <v>41</v>
      </c>
      <c r="C42" s="160">
        <v>123</v>
      </c>
      <c r="D42" s="160">
        <v>182</v>
      </c>
      <c r="E42" s="161">
        <v>0.70138888888888884</v>
      </c>
      <c r="F42" s="161">
        <v>0.7270833333333333</v>
      </c>
      <c r="G42" s="160" t="s">
        <v>337</v>
      </c>
      <c r="H42" s="160" t="s">
        <v>1</v>
      </c>
      <c r="I42" s="163">
        <v>22</v>
      </c>
      <c r="J42" s="164" t="s">
        <v>101</v>
      </c>
      <c r="K42" s="165">
        <v>67</v>
      </c>
      <c r="L42" s="166">
        <f t="shared" si="0"/>
        <v>1474</v>
      </c>
      <c r="M42" s="167" t="s">
        <v>740</v>
      </c>
      <c r="N42" s="221" t="s">
        <v>2119</v>
      </c>
      <c r="O42" s="221">
        <v>43</v>
      </c>
      <c r="P42" s="150" t="s">
        <v>1982</v>
      </c>
      <c r="Q42" s="150" t="s">
        <v>1244</v>
      </c>
      <c r="S42" s="150"/>
      <c r="T42" s="45" t="s">
        <v>1346</v>
      </c>
      <c r="U42" s="45" t="s">
        <v>1347</v>
      </c>
      <c r="V42" s="45">
        <v>1255</v>
      </c>
      <c r="W42" s="45" t="s">
        <v>1348</v>
      </c>
      <c r="X42" s="99">
        <v>44562</v>
      </c>
      <c r="Y42" s="99">
        <v>44815</v>
      </c>
      <c r="Z42" s="99">
        <v>45101</v>
      </c>
      <c r="AA42" s="99">
        <v>45169</v>
      </c>
      <c r="AB42" s="42" t="s">
        <v>1119</v>
      </c>
      <c r="AC42" s="42"/>
      <c r="AD42" s="42"/>
      <c r="AE42" s="42" t="s">
        <v>734</v>
      </c>
      <c r="AF42" s="42" t="s">
        <v>734</v>
      </c>
      <c r="AG42" s="42"/>
      <c r="AH42" s="42" t="s">
        <v>734</v>
      </c>
      <c r="AI42" s="42" t="s">
        <v>734</v>
      </c>
      <c r="AJ42" s="42" t="s">
        <v>734</v>
      </c>
      <c r="AK42" s="42" t="s">
        <v>734</v>
      </c>
      <c r="AL42" s="42" t="s">
        <v>734</v>
      </c>
      <c r="AM42" s="42" t="s">
        <v>734</v>
      </c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68">
        <v>63.39</v>
      </c>
      <c r="AY42" s="37"/>
      <c r="BA42" s="68"/>
      <c r="BB42" s="68"/>
      <c r="BD42" s="67">
        <f t="shared" si="1"/>
        <v>4247.13</v>
      </c>
      <c r="BE42" s="67"/>
      <c r="BF42" s="37"/>
      <c r="BG42" s="69">
        <v>2</v>
      </c>
      <c r="BH42" s="67">
        <f t="shared" si="12"/>
        <v>0</v>
      </c>
      <c r="BI42" s="67">
        <f t="shared" si="13"/>
        <v>2.6099999999999994</v>
      </c>
      <c r="BJ42" s="70">
        <f t="shared" si="14"/>
        <v>174.86999999999995</v>
      </c>
      <c r="BN42" s="37"/>
      <c r="BO42" s="70">
        <f t="shared" si="2"/>
        <v>0</v>
      </c>
      <c r="BP42" s="37">
        <v>9</v>
      </c>
      <c r="BQ42" s="37">
        <v>0</v>
      </c>
      <c r="BR42" s="37">
        <v>0</v>
      </c>
      <c r="BS42" s="37">
        <v>0</v>
      </c>
      <c r="BT42" s="87">
        <f t="shared" si="3"/>
        <v>66</v>
      </c>
      <c r="BU42" s="87"/>
      <c r="BV42" s="87"/>
      <c r="BW42" s="87"/>
      <c r="BX42" s="87"/>
      <c r="BY42" s="87"/>
      <c r="BZ42" s="87"/>
      <c r="CA42" s="87"/>
      <c r="CB42" s="87"/>
      <c r="CC42" s="87"/>
      <c r="CD42" s="87"/>
      <c r="CF42" s="67">
        <f t="shared" si="4"/>
        <v>594</v>
      </c>
      <c r="CG42" s="67">
        <f t="shared" si="5"/>
        <v>0</v>
      </c>
      <c r="CH42" s="67">
        <f t="shared" si="15"/>
        <v>0</v>
      </c>
      <c r="CI42" s="67">
        <f t="shared" si="11"/>
        <v>0</v>
      </c>
      <c r="CJ42" s="37">
        <f t="shared" si="7"/>
        <v>198</v>
      </c>
      <c r="CK42" s="37">
        <f t="shared" si="8"/>
        <v>0</v>
      </c>
      <c r="CL42" s="37">
        <f t="shared" si="9"/>
        <v>0</v>
      </c>
      <c r="CM42" s="37">
        <f t="shared" si="10"/>
        <v>0</v>
      </c>
    </row>
    <row r="43" spans="1:91" ht="33.75">
      <c r="B43" s="156">
        <v>42</v>
      </c>
      <c r="C43" s="160">
        <v>123</v>
      </c>
      <c r="D43" s="160">
        <v>182</v>
      </c>
      <c r="E43" s="161">
        <v>0.70138888888888884</v>
      </c>
      <c r="F43" s="161">
        <v>0.7270833333333333</v>
      </c>
      <c r="G43" s="160" t="s">
        <v>505</v>
      </c>
      <c r="H43" s="160" t="s">
        <v>550</v>
      </c>
      <c r="I43" s="163">
        <v>22</v>
      </c>
      <c r="J43" s="164" t="s">
        <v>101</v>
      </c>
      <c r="K43" s="165">
        <v>13</v>
      </c>
      <c r="L43" s="166">
        <f t="shared" si="0"/>
        <v>286</v>
      </c>
      <c r="M43" s="167" t="s">
        <v>740</v>
      </c>
      <c r="N43" s="221" t="s">
        <v>2119</v>
      </c>
      <c r="O43" s="221">
        <v>43</v>
      </c>
      <c r="P43" s="150" t="s">
        <v>1982</v>
      </c>
      <c r="Q43" s="150" t="s">
        <v>1244</v>
      </c>
      <c r="S43" s="150"/>
      <c r="T43" s="45" t="s">
        <v>1346</v>
      </c>
      <c r="U43" s="45" t="s">
        <v>1347</v>
      </c>
      <c r="V43" s="45">
        <v>1255</v>
      </c>
      <c r="W43" s="45" t="s">
        <v>1348</v>
      </c>
      <c r="X43" s="99">
        <v>44562</v>
      </c>
      <c r="Y43" s="99">
        <v>44815</v>
      </c>
      <c r="Z43" s="99">
        <v>45101</v>
      </c>
      <c r="AA43" s="99">
        <v>45169</v>
      </c>
      <c r="AB43" s="36" t="s">
        <v>1116</v>
      </c>
      <c r="AC43" s="36"/>
      <c r="AD43" s="42"/>
      <c r="AE43" s="42" t="s">
        <v>734</v>
      </c>
      <c r="AF43" s="42"/>
      <c r="AG43" s="42"/>
      <c r="AH43" s="42"/>
      <c r="AI43" s="42"/>
      <c r="AJ43" s="42"/>
      <c r="AK43" s="42"/>
      <c r="AL43" s="42"/>
      <c r="AM43" s="42"/>
      <c r="AN43" s="42" t="s">
        <v>734</v>
      </c>
      <c r="AO43" s="42"/>
      <c r="AP43" s="42"/>
      <c r="AQ43" s="42"/>
      <c r="AR43" s="42"/>
      <c r="AS43" s="42"/>
      <c r="AT43" s="42"/>
      <c r="AU43" s="42"/>
      <c r="AV43" s="42"/>
      <c r="AW43" s="42"/>
      <c r="AX43" s="68">
        <v>66</v>
      </c>
      <c r="AY43" s="37"/>
      <c r="BA43" s="68"/>
      <c r="BB43" s="68"/>
      <c r="BD43" s="67">
        <f t="shared" si="1"/>
        <v>858</v>
      </c>
      <c r="BE43" s="67"/>
      <c r="BF43" s="37"/>
      <c r="BG43" s="69">
        <v>2</v>
      </c>
      <c r="BH43" s="67">
        <f t="shared" si="12"/>
        <v>0</v>
      </c>
      <c r="BI43" s="67">
        <f t="shared" si="13"/>
        <v>0</v>
      </c>
      <c r="BJ43" s="70">
        <f t="shared" si="14"/>
        <v>0</v>
      </c>
      <c r="BN43" s="37"/>
      <c r="BO43" s="70">
        <f t="shared" si="2"/>
        <v>0</v>
      </c>
      <c r="BP43" s="37">
        <v>2</v>
      </c>
      <c r="BQ43" s="37">
        <v>0</v>
      </c>
      <c r="BR43" s="37">
        <v>0</v>
      </c>
      <c r="BT43" s="87">
        <f t="shared" si="3"/>
        <v>66</v>
      </c>
      <c r="BU43" s="87"/>
      <c r="BV43" s="87"/>
      <c r="BW43" s="87"/>
      <c r="BX43" s="87"/>
      <c r="BY43" s="87"/>
      <c r="BZ43" s="87"/>
      <c r="CA43" s="87"/>
      <c r="CB43" s="87"/>
      <c r="CC43" s="87"/>
      <c r="CD43" s="87"/>
      <c r="CF43" s="67">
        <f t="shared" si="4"/>
        <v>132</v>
      </c>
      <c r="CG43" s="67">
        <f t="shared" si="5"/>
        <v>0</v>
      </c>
      <c r="CH43" s="67">
        <f t="shared" si="15"/>
        <v>0</v>
      </c>
      <c r="CI43" s="67">
        <f t="shared" si="11"/>
        <v>0</v>
      </c>
      <c r="CJ43" s="37">
        <f t="shared" si="7"/>
        <v>44</v>
      </c>
      <c r="CK43" s="37">
        <f t="shared" si="8"/>
        <v>0</v>
      </c>
      <c r="CL43" s="37">
        <f t="shared" si="9"/>
        <v>0</v>
      </c>
      <c r="CM43" s="37">
        <f t="shared" si="10"/>
        <v>0</v>
      </c>
    </row>
    <row r="44" spans="1:91" ht="33.75">
      <c r="B44" s="156">
        <v>43</v>
      </c>
      <c r="C44" s="160">
        <v>123</v>
      </c>
      <c r="D44" s="160">
        <v>183</v>
      </c>
      <c r="E44" s="161">
        <v>0.73402777777777783</v>
      </c>
      <c r="F44" s="161">
        <v>0.7597222222222223</v>
      </c>
      <c r="G44" s="160" t="s">
        <v>506</v>
      </c>
      <c r="H44" s="160" t="s">
        <v>1</v>
      </c>
      <c r="I44" s="163">
        <v>22</v>
      </c>
      <c r="J44" s="164" t="s">
        <v>101</v>
      </c>
      <c r="K44" s="165">
        <v>67</v>
      </c>
      <c r="L44" s="166">
        <f t="shared" si="0"/>
        <v>1474</v>
      </c>
      <c r="M44" s="167" t="s">
        <v>740</v>
      </c>
      <c r="N44" s="221" t="s">
        <v>2119</v>
      </c>
      <c r="O44" s="221">
        <v>43</v>
      </c>
      <c r="P44" s="150" t="s">
        <v>1982</v>
      </c>
      <c r="Q44" s="150" t="s">
        <v>1244</v>
      </c>
      <c r="S44" s="150"/>
      <c r="T44" s="45">
        <v>1255</v>
      </c>
      <c r="U44" s="45" t="s">
        <v>1348</v>
      </c>
      <c r="V44" s="45" t="s">
        <v>1346</v>
      </c>
      <c r="W44" s="45" t="s">
        <v>1347</v>
      </c>
      <c r="X44" s="99">
        <v>44562</v>
      </c>
      <c r="Y44" s="99">
        <v>44815</v>
      </c>
      <c r="Z44" s="99">
        <v>45101</v>
      </c>
      <c r="AA44" s="99">
        <v>45169</v>
      </c>
      <c r="AB44" s="42" t="s">
        <v>1119</v>
      </c>
      <c r="AC44" s="42"/>
      <c r="AD44" s="42"/>
      <c r="AE44" s="42" t="s">
        <v>734</v>
      </c>
      <c r="AF44" s="42" t="s">
        <v>734</v>
      </c>
      <c r="AG44" s="42"/>
      <c r="AH44" s="42" t="s">
        <v>734</v>
      </c>
      <c r="AI44" s="42" t="s">
        <v>734</v>
      </c>
      <c r="AJ44" s="42" t="s">
        <v>734</v>
      </c>
      <c r="AK44" s="42" t="s">
        <v>734</v>
      </c>
      <c r="AL44" s="42" t="s">
        <v>734</v>
      </c>
      <c r="AM44" s="42" t="s">
        <v>734</v>
      </c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68">
        <v>63.39</v>
      </c>
      <c r="AY44" s="37"/>
      <c r="BA44" s="68"/>
      <c r="BB44" s="68"/>
      <c r="BD44" s="67">
        <f t="shared" si="1"/>
        <v>4247.13</v>
      </c>
      <c r="BE44" s="67"/>
      <c r="BF44" s="37"/>
      <c r="BG44" s="69">
        <v>2</v>
      </c>
      <c r="BH44" s="67">
        <f t="shared" si="12"/>
        <v>0</v>
      </c>
      <c r="BI44" s="67">
        <f t="shared" si="13"/>
        <v>2.6099999999999994</v>
      </c>
      <c r="BJ44" s="70">
        <f t="shared" si="14"/>
        <v>174.86999999999995</v>
      </c>
      <c r="BN44" s="37"/>
      <c r="BO44" s="70">
        <f t="shared" si="2"/>
        <v>0</v>
      </c>
      <c r="BP44" s="37">
        <v>9</v>
      </c>
      <c r="BQ44" s="37">
        <v>0</v>
      </c>
      <c r="BR44" s="37">
        <v>0</v>
      </c>
      <c r="BS44" s="37">
        <v>0</v>
      </c>
      <c r="BT44" s="87">
        <f t="shared" si="3"/>
        <v>66</v>
      </c>
      <c r="BU44" s="87"/>
      <c r="BV44" s="87"/>
      <c r="BW44" s="87"/>
      <c r="BX44" s="87"/>
      <c r="BY44" s="87"/>
      <c r="BZ44" s="87"/>
      <c r="CA44" s="87"/>
      <c r="CB44" s="87"/>
      <c r="CC44" s="87"/>
      <c r="CD44" s="87"/>
      <c r="CF44" s="67">
        <f t="shared" si="4"/>
        <v>594</v>
      </c>
      <c r="CG44" s="67">
        <f t="shared" si="5"/>
        <v>0</v>
      </c>
      <c r="CH44" s="67">
        <f t="shared" si="15"/>
        <v>0</v>
      </c>
      <c r="CI44" s="67">
        <f t="shared" si="11"/>
        <v>0</v>
      </c>
      <c r="CJ44" s="37">
        <f t="shared" si="7"/>
        <v>198</v>
      </c>
      <c r="CK44" s="37">
        <f t="shared" si="8"/>
        <v>0</v>
      </c>
      <c r="CL44" s="37">
        <f t="shared" si="9"/>
        <v>0</v>
      </c>
      <c r="CM44" s="37">
        <f t="shared" si="10"/>
        <v>0</v>
      </c>
    </row>
    <row r="45" spans="1:91" ht="33.75">
      <c r="B45" s="156">
        <v>44</v>
      </c>
      <c r="C45" s="160">
        <v>123</v>
      </c>
      <c r="D45" s="160">
        <v>183</v>
      </c>
      <c r="E45" s="161">
        <v>0.73402777777777783</v>
      </c>
      <c r="F45" s="161">
        <v>0.7597222222222223</v>
      </c>
      <c r="G45" s="160" t="s">
        <v>506</v>
      </c>
      <c r="H45" s="160" t="s">
        <v>550</v>
      </c>
      <c r="I45" s="163">
        <v>22</v>
      </c>
      <c r="J45" s="164" t="s">
        <v>101</v>
      </c>
      <c r="K45" s="165">
        <v>13</v>
      </c>
      <c r="L45" s="166">
        <f t="shared" si="0"/>
        <v>286</v>
      </c>
      <c r="M45" s="167" t="s">
        <v>740</v>
      </c>
      <c r="N45" s="221" t="s">
        <v>2119</v>
      </c>
      <c r="O45" s="221">
        <v>43</v>
      </c>
      <c r="P45" s="150" t="s">
        <v>1982</v>
      </c>
      <c r="Q45" s="150" t="s">
        <v>1244</v>
      </c>
      <c r="S45" s="150"/>
      <c r="T45" s="45">
        <v>1255</v>
      </c>
      <c r="U45" s="45" t="s">
        <v>1348</v>
      </c>
      <c r="V45" s="45" t="s">
        <v>1346</v>
      </c>
      <c r="W45" s="45" t="s">
        <v>1347</v>
      </c>
      <c r="X45" s="99">
        <v>44562</v>
      </c>
      <c r="Y45" s="99">
        <v>44815</v>
      </c>
      <c r="Z45" s="99">
        <v>45101</v>
      </c>
      <c r="AA45" s="99">
        <v>45169</v>
      </c>
      <c r="AB45" s="36" t="s">
        <v>1116</v>
      </c>
      <c r="AC45" s="36"/>
      <c r="AD45" s="42"/>
      <c r="AE45" s="42" t="s">
        <v>734</v>
      </c>
      <c r="AF45" s="42"/>
      <c r="AG45" s="42"/>
      <c r="AH45" s="42"/>
      <c r="AI45" s="42"/>
      <c r="AJ45" s="42"/>
      <c r="AK45" s="42"/>
      <c r="AL45" s="42"/>
      <c r="AM45" s="42"/>
      <c r="AN45" s="42" t="s">
        <v>734</v>
      </c>
      <c r="AO45" s="42"/>
      <c r="AP45" s="42"/>
      <c r="AQ45" s="42"/>
      <c r="AR45" s="42"/>
      <c r="AS45" s="42"/>
      <c r="AT45" s="42"/>
      <c r="AU45" s="42"/>
      <c r="AV45" s="42"/>
      <c r="AW45" s="42"/>
      <c r="AX45" s="68">
        <v>66</v>
      </c>
      <c r="AY45" s="37"/>
      <c r="BA45" s="68"/>
      <c r="BB45" s="68"/>
      <c r="BD45" s="67">
        <f t="shared" si="1"/>
        <v>858</v>
      </c>
      <c r="BE45" s="67"/>
      <c r="BF45" s="37"/>
      <c r="BG45" s="69">
        <v>2</v>
      </c>
      <c r="BH45" s="67">
        <f t="shared" si="12"/>
        <v>0</v>
      </c>
      <c r="BI45" s="67">
        <f t="shared" si="13"/>
        <v>0</v>
      </c>
      <c r="BJ45" s="70">
        <f t="shared" si="14"/>
        <v>0</v>
      </c>
      <c r="BN45" s="37"/>
      <c r="BO45" s="70">
        <f t="shared" si="2"/>
        <v>0</v>
      </c>
      <c r="BP45" s="37">
        <v>2</v>
      </c>
      <c r="BQ45" s="37">
        <v>0</v>
      </c>
      <c r="BR45" s="37">
        <v>0</v>
      </c>
      <c r="BT45" s="87">
        <f t="shared" si="3"/>
        <v>66</v>
      </c>
      <c r="BU45" s="87"/>
      <c r="BV45" s="87"/>
      <c r="BW45" s="87"/>
      <c r="BX45" s="87"/>
      <c r="BY45" s="87"/>
      <c r="BZ45" s="87"/>
      <c r="CA45" s="87"/>
      <c r="CB45" s="87"/>
      <c r="CC45" s="87"/>
      <c r="CD45" s="87"/>
      <c r="CF45" s="67">
        <f t="shared" si="4"/>
        <v>132</v>
      </c>
      <c r="CG45" s="67">
        <f t="shared" si="5"/>
        <v>0</v>
      </c>
      <c r="CH45" s="67">
        <f t="shared" si="15"/>
        <v>0</v>
      </c>
      <c r="CI45" s="67">
        <f t="shared" si="11"/>
        <v>0</v>
      </c>
      <c r="CJ45" s="37">
        <f t="shared" si="7"/>
        <v>44</v>
      </c>
      <c r="CK45" s="37">
        <f t="shared" si="8"/>
        <v>0</v>
      </c>
      <c r="CL45" s="37">
        <f t="shared" si="9"/>
        <v>0</v>
      </c>
      <c r="CM45" s="37">
        <f t="shared" si="10"/>
        <v>0</v>
      </c>
    </row>
    <row r="46" spans="1:91" ht="33.75">
      <c r="B46" s="156">
        <v>45</v>
      </c>
      <c r="C46" s="160">
        <v>123</v>
      </c>
      <c r="D46" s="160">
        <v>184</v>
      </c>
      <c r="E46" s="161">
        <v>0.77083333333333337</v>
      </c>
      <c r="F46" s="161">
        <v>0.78611111111111109</v>
      </c>
      <c r="G46" s="160" t="s">
        <v>336</v>
      </c>
      <c r="H46" s="160" t="s">
        <v>1</v>
      </c>
      <c r="I46" s="163">
        <v>12</v>
      </c>
      <c r="J46" s="164" t="s">
        <v>101</v>
      </c>
      <c r="K46" s="165">
        <v>67</v>
      </c>
      <c r="L46" s="166">
        <f t="shared" si="0"/>
        <v>804</v>
      </c>
      <c r="M46" s="167" t="s">
        <v>740</v>
      </c>
      <c r="N46" s="221" t="s">
        <v>2119</v>
      </c>
      <c r="O46" s="221">
        <v>43</v>
      </c>
      <c r="P46" s="150" t="s">
        <v>1982</v>
      </c>
      <c r="Q46" s="150" t="s">
        <v>1244</v>
      </c>
      <c r="S46" s="150"/>
      <c r="T46" s="45" t="s">
        <v>1346</v>
      </c>
      <c r="U46" s="45" t="s">
        <v>1347</v>
      </c>
      <c r="V46" s="45" t="s">
        <v>1349</v>
      </c>
      <c r="W46" s="45" t="s">
        <v>1350</v>
      </c>
      <c r="X46" s="99">
        <v>44562</v>
      </c>
      <c r="Y46" s="99">
        <v>44815</v>
      </c>
      <c r="Z46" s="99">
        <v>45101</v>
      </c>
      <c r="AA46" s="99">
        <v>45169</v>
      </c>
      <c r="AB46" s="42" t="s">
        <v>1119</v>
      </c>
      <c r="AC46" s="42"/>
      <c r="AD46" s="42"/>
      <c r="AE46" s="42" t="s">
        <v>734</v>
      </c>
      <c r="AF46" s="42" t="s">
        <v>734</v>
      </c>
      <c r="AG46" s="42"/>
      <c r="AH46" s="42" t="s">
        <v>734</v>
      </c>
      <c r="AI46" s="42" t="s">
        <v>734</v>
      </c>
      <c r="AJ46" s="42" t="s">
        <v>734</v>
      </c>
      <c r="AK46" s="42" t="s">
        <v>734</v>
      </c>
      <c r="AL46" s="42" t="s">
        <v>734</v>
      </c>
      <c r="AM46" s="42" t="s">
        <v>734</v>
      </c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68">
        <v>34.58</v>
      </c>
      <c r="AY46" s="37"/>
      <c r="BA46" s="68"/>
      <c r="BB46" s="68"/>
      <c r="BD46" s="67">
        <f t="shared" si="1"/>
        <v>2316.8599999999997</v>
      </c>
      <c r="BE46" s="67"/>
      <c r="BF46" s="37"/>
      <c r="BG46" s="69">
        <v>2</v>
      </c>
      <c r="BH46" s="67">
        <f t="shared" si="12"/>
        <v>0</v>
      </c>
      <c r="BI46" s="67">
        <f t="shared" si="13"/>
        <v>1.4200000000000017</v>
      </c>
      <c r="BJ46" s="70">
        <f t="shared" si="14"/>
        <v>95.140000000000114</v>
      </c>
      <c r="BN46" s="37"/>
      <c r="BO46" s="70">
        <f t="shared" si="2"/>
        <v>0</v>
      </c>
      <c r="BP46" s="37">
        <v>9</v>
      </c>
      <c r="BQ46" s="37">
        <v>0</v>
      </c>
      <c r="BR46" s="37">
        <v>0</v>
      </c>
      <c r="BS46" s="37">
        <v>0</v>
      </c>
      <c r="BT46" s="87">
        <f t="shared" si="3"/>
        <v>36</v>
      </c>
      <c r="BU46" s="87"/>
      <c r="BV46" s="87"/>
      <c r="BW46" s="87"/>
      <c r="BX46" s="87"/>
      <c r="BY46" s="87"/>
      <c r="BZ46" s="87"/>
      <c r="CA46" s="87"/>
      <c r="CB46" s="87"/>
      <c r="CC46" s="87"/>
      <c r="CD46" s="87"/>
      <c r="CF46" s="67">
        <f t="shared" si="4"/>
        <v>324</v>
      </c>
      <c r="CG46" s="67">
        <f t="shared" si="5"/>
        <v>0</v>
      </c>
      <c r="CH46" s="67">
        <f t="shared" si="15"/>
        <v>0</v>
      </c>
      <c r="CI46" s="67">
        <f t="shared" si="11"/>
        <v>0</v>
      </c>
      <c r="CJ46" s="37">
        <f t="shared" si="7"/>
        <v>108</v>
      </c>
      <c r="CK46" s="37">
        <f t="shared" si="8"/>
        <v>0</v>
      </c>
      <c r="CL46" s="37">
        <f t="shared" si="9"/>
        <v>0</v>
      </c>
      <c r="CM46" s="37">
        <f t="shared" si="10"/>
        <v>0</v>
      </c>
    </row>
    <row r="47" spans="1:91" ht="33.75">
      <c r="B47" s="156">
        <v>46</v>
      </c>
      <c r="C47" s="160">
        <v>123</v>
      </c>
      <c r="D47" s="160">
        <v>184</v>
      </c>
      <c r="E47" s="161">
        <v>0.77083333333333337</v>
      </c>
      <c r="F47" s="161">
        <v>0.78611111111111109</v>
      </c>
      <c r="G47" s="160" t="s">
        <v>503</v>
      </c>
      <c r="H47" s="160" t="s">
        <v>550</v>
      </c>
      <c r="I47" s="163">
        <v>12</v>
      </c>
      <c r="J47" s="164" t="s">
        <v>101</v>
      </c>
      <c r="K47" s="165">
        <v>13</v>
      </c>
      <c r="L47" s="166">
        <f t="shared" si="0"/>
        <v>156</v>
      </c>
      <c r="M47" s="167" t="s">
        <v>740</v>
      </c>
      <c r="N47" s="221" t="s">
        <v>2119</v>
      </c>
      <c r="O47" s="221">
        <v>43</v>
      </c>
      <c r="P47" s="150" t="s">
        <v>1982</v>
      </c>
      <c r="Q47" s="150" t="s">
        <v>1244</v>
      </c>
      <c r="S47" s="150"/>
      <c r="T47" s="45" t="s">
        <v>1346</v>
      </c>
      <c r="U47" s="45" t="s">
        <v>1347</v>
      </c>
      <c r="V47" s="45" t="s">
        <v>1349</v>
      </c>
      <c r="W47" s="45" t="s">
        <v>1350</v>
      </c>
      <c r="X47" s="99">
        <v>44562</v>
      </c>
      <c r="Y47" s="99">
        <v>44815</v>
      </c>
      <c r="Z47" s="99">
        <v>45101</v>
      </c>
      <c r="AA47" s="99">
        <v>45169</v>
      </c>
      <c r="AB47" s="36" t="s">
        <v>1116</v>
      </c>
      <c r="AC47" s="36"/>
      <c r="AD47" s="42"/>
      <c r="AE47" s="42" t="s">
        <v>734</v>
      </c>
      <c r="AF47" s="42"/>
      <c r="AG47" s="42"/>
      <c r="AH47" s="42"/>
      <c r="AI47" s="42"/>
      <c r="AJ47" s="42"/>
      <c r="AK47" s="42"/>
      <c r="AL47" s="42"/>
      <c r="AM47" s="42"/>
      <c r="AN47" s="42" t="s">
        <v>734</v>
      </c>
      <c r="AO47" s="42"/>
      <c r="AP47" s="42"/>
      <c r="AQ47" s="42"/>
      <c r="AR47" s="42"/>
      <c r="AS47" s="42"/>
      <c r="AT47" s="42"/>
      <c r="AU47" s="42"/>
      <c r="AV47" s="42"/>
      <c r="AW47" s="42"/>
      <c r="AX47" s="68">
        <v>36</v>
      </c>
      <c r="AY47" s="37"/>
      <c r="BA47" s="68"/>
      <c r="BB47" s="68"/>
      <c r="BD47" s="67">
        <f t="shared" si="1"/>
        <v>468</v>
      </c>
      <c r="BE47" s="67"/>
      <c r="BF47" s="37"/>
      <c r="BG47" s="69">
        <v>2</v>
      </c>
      <c r="BH47" s="67">
        <f t="shared" si="12"/>
        <v>0</v>
      </c>
      <c r="BI47" s="67">
        <f t="shared" si="13"/>
        <v>0</v>
      </c>
      <c r="BJ47" s="70">
        <f t="shared" si="14"/>
        <v>0</v>
      </c>
      <c r="BN47" s="37"/>
      <c r="BO47" s="70">
        <f t="shared" si="2"/>
        <v>0</v>
      </c>
      <c r="BP47" s="37">
        <v>2</v>
      </c>
      <c r="BQ47" s="37">
        <v>0</v>
      </c>
      <c r="BR47" s="37">
        <v>0</v>
      </c>
      <c r="BT47" s="87">
        <f t="shared" si="3"/>
        <v>36</v>
      </c>
      <c r="BU47" s="87"/>
      <c r="BV47" s="87"/>
      <c r="BW47" s="87"/>
      <c r="BX47" s="87"/>
      <c r="BY47" s="87"/>
      <c r="BZ47" s="87"/>
      <c r="CA47" s="87"/>
      <c r="CB47" s="87"/>
      <c r="CC47" s="87"/>
      <c r="CD47" s="87"/>
      <c r="CF47" s="67">
        <f t="shared" si="4"/>
        <v>72</v>
      </c>
      <c r="CG47" s="67">
        <f t="shared" si="5"/>
        <v>0</v>
      </c>
      <c r="CH47" s="67">
        <f t="shared" si="15"/>
        <v>0</v>
      </c>
      <c r="CI47" s="67">
        <f t="shared" si="11"/>
        <v>0</v>
      </c>
      <c r="CJ47" s="37">
        <f t="shared" si="7"/>
        <v>24</v>
      </c>
      <c r="CK47" s="37">
        <f t="shared" si="8"/>
        <v>0</v>
      </c>
      <c r="CL47" s="37">
        <f t="shared" si="9"/>
        <v>0</v>
      </c>
      <c r="CM47" s="37">
        <f t="shared" si="10"/>
        <v>0</v>
      </c>
    </row>
    <row r="48" spans="1:91" ht="33.75">
      <c r="A48" s="178" t="s">
        <v>1179</v>
      </c>
      <c r="B48" s="156">
        <v>47</v>
      </c>
      <c r="C48" s="160">
        <v>123</v>
      </c>
      <c r="D48" s="160">
        <v>185</v>
      </c>
      <c r="E48" s="161">
        <v>0.78819444444444453</v>
      </c>
      <c r="F48" s="161">
        <v>0.80347222222222225</v>
      </c>
      <c r="G48" s="160" t="s">
        <v>504</v>
      </c>
      <c r="H48" s="174" t="s">
        <v>1044</v>
      </c>
      <c r="I48" s="163">
        <v>12</v>
      </c>
      <c r="J48" s="164" t="s">
        <v>101</v>
      </c>
      <c r="K48" s="179">
        <v>67</v>
      </c>
      <c r="L48" s="166">
        <f t="shared" si="0"/>
        <v>804</v>
      </c>
      <c r="M48" s="167" t="s">
        <v>740</v>
      </c>
      <c r="N48" s="221" t="s">
        <v>2119</v>
      </c>
      <c r="O48" s="221">
        <v>43</v>
      </c>
      <c r="P48" s="150" t="s">
        <v>1982</v>
      </c>
      <c r="Q48" s="150" t="s">
        <v>1244</v>
      </c>
      <c r="S48" s="150"/>
      <c r="T48" s="45" t="s">
        <v>1349</v>
      </c>
      <c r="U48" s="45" t="s">
        <v>1351</v>
      </c>
      <c r="V48" s="45" t="s">
        <v>1346</v>
      </c>
      <c r="W48" s="45" t="s">
        <v>1347</v>
      </c>
      <c r="X48" s="99">
        <v>44562</v>
      </c>
      <c r="Y48" s="99">
        <v>44815</v>
      </c>
      <c r="Z48" s="99">
        <v>45101</v>
      </c>
      <c r="AA48" s="99">
        <v>45169</v>
      </c>
      <c r="AB48" s="42" t="s">
        <v>1119</v>
      </c>
      <c r="AC48" s="42"/>
      <c r="AD48" s="42"/>
      <c r="AE48" s="42" t="s">
        <v>734</v>
      </c>
      <c r="AF48" s="42" t="s">
        <v>734</v>
      </c>
      <c r="AG48" s="42"/>
      <c r="AH48" s="42" t="s">
        <v>734</v>
      </c>
      <c r="AI48" s="42" t="s">
        <v>734</v>
      </c>
      <c r="AJ48" s="42" t="s">
        <v>734</v>
      </c>
      <c r="AK48" s="42" t="s">
        <v>734</v>
      </c>
      <c r="AL48" s="42" t="s">
        <v>734</v>
      </c>
      <c r="AM48" s="42" t="s">
        <v>734</v>
      </c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68">
        <v>34.58</v>
      </c>
      <c r="AY48" s="37"/>
      <c r="BA48" s="68"/>
      <c r="BB48" s="68"/>
      <c r="BD48" s="67">
        <f t="shared" si="1"/>
        <v>2316.8599999999997</v>
      </c>
      <c r="BE48" s="67"/>
      <c r="BF48" s="37"/>
      <c r="BG48" s="69">
        <v>2</v>
      </c>
      <c r="BH48" s="67">
        <f t="shared" si="12"/>
        <v>0</v>
      </c>
      <c r="BI48" s="67">
        <f t="shared" si="13"/>
        <v>1.4200000000000017</v>
      </c>
      <c r="BJ48" s="70">
        <f t="shared" si="14"/>
        <v>95.140000000000114</v>
      </c>
      <c r="BN48" s="37"/>
      <c r="BO48" s="70">
        <f t="shared" si="2"/>
        <v>0</v>
      </c>
      <c r="BP48" s="37">
        <v>9</v>
      </c>
      <c r="BQ48" s="37">
        <v>0</v>
      </c>
      <c r="BR48" s="37">
        <v>0</v>
      </c>
      <c r="BS48" s="37">
        <v>0</v>
      </c>
      <c r="BT48" s="87">
        <f t="shared" si="3"/>
        <v>36</v>
      </c>
      <c r="BU48" s="87"/>
      <c r="BV48" s="87"/>
      <c r="BW48" s="87"/>
      <c r="BX48" s="87"/>
      <c r="BY48" s="87"/>
      <c r="BZ48" s="87"/>
      <c r="CA48" s="87"/>
      <c r="CB48" s="87"/>
      <c r="CC48" s="87"/>
      <c r="CD48" s="87"/>
      <c r="CF48" s="67">
        <f t="shared" si="4"/>
        <v>324</v>
      </c>
      <c r="CG48" s="67">
        <f t="shared" si="5"/>
        <v>0</v>
      </c>
      <c r="CH48" s="67">
        <f t="shared" si="15"/>
        <v>0</v>
      </c>
      <c r="CI48" s="67">
        <f t="shared" si="11"/>
        <v>0</v>
      </c>
      <c r="CJ48" s="37">
        <f t="shared" si="7"/>
        <v>108</v>
      </c>
      <c r="CK48" s="37">
        <f t="shared" si="8"/>
        <v>0</v>
      </c>
      <c r="CL48" s="37">
        <f t="shared" si="9"/>
        <v>0</v>
      </c>
      <c r="CM48" s="37">
        <f t="shared" si="10"/>
        <v>0</v>
      </c>
    </row>
    <row r="49" spans="1:91" ht="33.75">
      <c r="B49" s="156">
        <v>48</v>
      </c>
      <c r="C49" s="160">
        <v>123</v>
      </c>
      <c r="D49" s="160">
        <v>185</v>
      </c>
      <c r="E49" s="161">
        <v>0.78819444444444453</v>
      </c>
      <c r="F49" s="161">
        <v>0.80347222222222225</v>
      </c>
      <c r="G49" s="160" t="s">
        <v>504</v>
      </c>
      <c r="H49" s="160" t="s">
        <v>550</v>
      </c>
      <c r="I49" s="163">
        <v>12</v>
      </c>
      <c r="J49" s="164" t="s">
        <v>101</v>
      </c>
      <c r="K49" s="165">
        <v>13</v>
      </c>
      <c r="L49" s="166">
        <f t="shared" si="0"/>
        <v>156</v>
      </c>
      <c r="M49" s="167" t="s">
        <v>740</v>
      </c>
      <c r="N49" s="221" t="s">
        <v>2119</v>
      </c>
      <c r="O49" s="221">
        <v>43</v>
      </c>
      <c r="P49" s="150" t="s">
        <v>1982</v>
      </c>
      <c r="Q49" s="150" t="s">
        <v>1244</v>
      </c>
      <c r="S49" s="150"/>
      <c r="T49" s="45" t="s">
        <v>1349</v>
      </c>
      <c r="U49" s="45" t="s">
        <v>1351</v>
      </c>
      <c r="V49" s="45" t="s">
        <v>1346</v>
      </c>
      <c r="W49" s="45" t="s">
        <v>1347</v>
      </c>
      <c r="X49" s="99">
        <v>44562</v>
      </c>
      <c r="Y49" s="99">
        <v>44815</v>
      </c>
      <c r="Z49" s="99">
        <v>45101</v>
      </c>
      <c r="AA49" s="99">
        <v>45169</v>
      </c>
      <c r="AB49" s="36" t="s">
        <v>1116</v>
      </c>
      <c r="AC49" s="36"/>
      <c r="AD49" s="42"/>
      <c r="AE49" s="42" t="s">
        <v>734</v>
      </c>
      <c r="AF49" s="42"/>
      <c r="AG49" s="42"/>
      <c r="AH49" s="42"/>
      <c r="AI49" s="42"/>
      <c r="AJ49" s="42"/>
      <c r="AK49" s="42"/>
      <c r="AL49" s="42"/>
      <c r="AM49" s="42"/>
      <c r="AN49" s="42" t="s">
        <v>734</v>
      </c>
      <c r="AO49" s="42"/>
      <c r="AP49" s="42"/>
      <c r="AQ49" s="42"/>
      <c r="AR49" s="42"/>
      <c r="AS49" s="42"/>
      <c r="AT49" s="42"/>
      <c r="AU49" s="42"/>
      <c r="AV49" s="42"/>
      <c r="AW49" s="42"/>
      <c r="AX49" s="68">
        <v>36</v>
      </c>
      <c r="AY49" s="37"/>
      <c r="BA49" s="68"/>
      <c r="BB49" s="68"/>
      <c r="BD49" s="67">
        <f t="shared" si="1"/>
        <v>468</v>
      </c>
      <c r="BE49" s="67"/>
      <c r="BF49" s="37"/>
      <c r="BG49" s="69">
        <v>2</v>
      </c>
      <c r="BH49" s="67">
        <f t="shared" si="12"/>
        <v>0</v>
      </c>
      <c r="BI49" s="67">
        <f t="shared" si="13"/>
        <v>0</v>
      </c>
      <c r="BJ49" s="70">
        <f t="shared" si="14"/>
        <v>0</v>
      </c>
      <c r="BN49" s="37"/>
      <c r="BO49" s="70">
        <f t="shared" si="2"/>
        <v>0</v>
      </c>
      <c r="BP49" s="37">
        <v>2</v>
      </c>
      <c r="BQ49" s="37">
        <v>0</v>
      </c>
      <c r="BR49" s="37">
        <v>0</v>
      </c>
      <c r="BT49" s="87">
        <f t="shared" si="3"/>
        <v>36</v>
      </c>
      <c r="BU49" s="87"/>
      <c r="BV49" s="87"/>
      <c r="BW49" s="87"/>
      <c r="BX49" s="87"/>
      <c r="BY49" s="87"/>
      <c r="BZ49" s="87"/>
      <c r="CA49" s="87"/>
      <c r="CB49" s="87"/>
      <c r="CC49" s="87"/>
      <c r="CD49" s="87"/>
      <c r="CF49" s="67">
        <f t="shared" si="4"/>
        <v>72</v>
      </c>
      <c r="CG49" s="67">
        <f t="shared" si="5"/>
        <v>0</v>
      </c>
      <c r="CH49" s="67">
        <f t="shared" si="15"/>
        <v>0</v>
      </c>
      <c r="CI49" s="67">
        <f t="shared" si="11"/>
        <v>0</v>
      </c>
      <c r="CJ49" s="37">
        <f t="shared" si="7"/>
        <v>24</v>
      </c>
      <c r="CK49" s="37">
        <f t="shared" si="8"/>
        <v>0</v>
      </c>
      <c r="CL49" s="37">
        <f t="shared" si="9"/>
        <v>0</v>
      </c>
      <c r="CM49" s="37">
        <f t="shared" si="10"/>
        <v>0</v>
      </c>
    </row>
    <row r="50" spans="1:91" ht="25.5">
      <c r="B50" s="156">
        <v>49</v>
      </c>
      <c r="C50" s="169">
        <v>202</v>
      </c>
      <c r="D50" s="169">
        <v>92</v>
      </c>
      <c r="E50" s="170">
        <v>0.32291666666666669</v>
      </c>
      <c r="F50" s="170">
        <v>0.3611111111111111</v>
      </c>
      <c r="G50" s="171" t="s">
        <v>7</v>
      </c>
      <c r="H50" s="160" t="s">
        <v>550</v>
      </c>
      <c r="I50" s="169">
        <v>24</v>
      </c>
      <c r="J50" s="172">
        <v>30</v>
      </c>
      <c r="K50" s="165">
        <v>13</v>
      </c>
      <c r="L50" s="166">
        <f t="shared" si="0"/>
        <v>312</v>
      </c>
      <c r="M50" s="167" t="s">
        <v>726</v>
      </c>
      <c r="N50" s="150" t="s">
        <v>1055</v>
      </c>
      <c r="O50" s="150">
        <v>45</v>
      </c>
      <c r="P50" s="150" t="s">
        <v>943</v>
      </c>
      <c r="Q50" s="150">
        <v>48</v>
      </c>
      <c r="R50" s="268" t="s">
        <v>2061</v>
      </c>
      <c r="S50" s="269">
        <v>45</v>
      </c>
      <c r="T50" s="45">
        <v>1</v>
      </c>
      <c r="U50" s="45" t="s">
        <v>1336</v>
      </c>
      <c r="V50" s="45">
        <v>2660</v>
      </c>
      <c r="W50" s="45" t="s">
        <v>1352</v>
      </c>
      <c r="X50" s="99">
        <v>44562</v>
      </c>
      <c r="Y50" s="99">
        <v>44815</v>
      </c>
      <c r="Z50" s="99">
        <v>45101</v>
      </c>
      <c r="AA50" s="99">
        <v>45169</v>
      </c>
      <c r="AB50" s="36" t="s">
        <v>1116</v>
      </c>
      <c r="AC50" s="36"/>
      <c r="AD50" s="42"/>
      <c r="AE50" s="42" t="s">
        <v>734</v>
      </c>
      <c r="AF50" s="42"/>
      <c r="AG50" s="42"/>
      <c r="AH50" s="42"/>
      <c r="AI50" s="42"/>
      <c r="AJ50" s="42"/>
      <c r="AK50" s="42"/>
      <c r="AL50" s="42"/>
      <c r="AM50" s="42"/>
      <c r="AN50" s="42" t="s">
        <v>734</v>
      </c>
      <c r="AO50" s="42"/>
      <c r="AP50" s="42"/>
      <c r="AQ50" s="42"/>
      <c r="AR50" s="42"/>
      <c r="AS50" s="42"/>
      <c r="AT50" s="42"/>
      <c r="AU50" s="42"/>
      <c r="AV50" s="42"/>
      <c r="AW50" s="42"/>
      <c r="AY50" s="37"/>
      <c r="BA50" s="38" t="s">
        <v>1016</v>
      </c>
      <c r="BB50" s="38"/>
      <c r="BD50" s="67">
        <f t="shared" si="1"/>
        <v>0</v>
      </c>
      <c r="BF50" s="37"/>
      <c r="BG50" s="73">
        <v>1</v>
      </c>
      <c r="BI50" s="67"/>
      <c r="BJ50" s="37"/>
      <c r="BN50" s="37"/>
      <c r="BO50" s="70">
        <f t="shared" si="2"/>
        <v>0</v>
      </c>
      <c r="BP50" s="37">
        <v>2</v>
      </c>
      <c r="BQ50" s="37">
        <v>0</v>
      </c>
      <c r="BR50" s="37">
        <v>0</v>
      </c>
      <c r="BT50" s="87">
        <f t="shared" si="3"/>
        <v>0</v>
      </c>
      <c r="BU50" s="87" t="s">
        <v>1116</v>
      </c>
      <c r="BV50" s="127">
        <v>2</v>
      </c>
      <c r="BW50" s="127"/>
      <c r="BX50" s="127">
        <v>0</v>
      </c>
      <c r="BY50" s="127"/>
      <c r="BZ50" s="127">
        <v>0</v>
      </c>
      <c r="CA50" s="127"/>
      <c r="CB50" s="127">
        <v>0</v>
      </c>
      <c r="CC50" s="127"/>
      <c r="CD50" s="87">
        <v>350</v>
      </c>
      <c r="CF50" s="67">
        <f t="shared" si="4"/>
        <v>700</v>
      </c>
      <c r="CG50" s="67">
        <f t="shared" si="5"/>
        <v>0</v>
      </c>
      <c r="CH50" s="67">
        <f t="shared" si="15"/>
        <v>0</v>
      </c>
      <c r="CI50" s="67">
        <f t="shared" si="11"/>
        <v>0</v>
      </c>
      <c r="CJ50" s="37">
        <f t="shared" si="7"/>
        <v>48</v>
      </c>
      <c r="CK50" s="37">
        <f t="shared" si="8"/>
        <v>0</v>
      </c>
      <c r="CL50" s="37">
        <f t="shared" si="9"/>
        <v>0</v>
      </c>
      <c r="CM50" s="37">
        <f t="shared" si="10"/>
        <v>0</v>
      </c>
    </row>
    <row r="51" spans="1:91" ht="25.5">
      <c r="B51" s="156">
        <v>50</v>
      </c>
      <c r="C51" s="169">
        <v>202</v>
      </c>
      <c r="D51" s="169">
        <v>85</v>
      </c>
      <c r="E51" s="170">
        <v>0.36458333333333331</v>
      </c>
      <c r="F51" s="170">
        <v>0.40277777777777773</v>
      </c>
      <c r="G51" s="171" t="s">
        <v>6</v>
      </c>
      <c r="H51" s="160" t="s">
        <v>550</v>
      </c>
      <c r="I51" s="169">
        <v>24</v>
      </c>
      <c r="J51" s="172">
        <v>30</v>
      </c>
      <c r="K51" s="165">
        <v>13</v>
      </c>
      <c r="L51" s="166">
        <f t="shared" si="0"/>
        <v>312</v>
      </c>
      <c r="M51" s="167" t="s">
        <v>726</v>
      </c>
      <c r="N51" s="150" t="s">
        <v>1055</v>
      </c>
      <c r="O51" s="150">
        <v>45</v>
      </c>
      <c r="P51" s="150" t="s">
        <v>943</v>
      </c>
      <c r="Q51" s="150">
        <v>48</v>
      </c>
      <c r="R51" s="268" t="s">
        <v>2061</v>
      </c>
      <c r="S51" s="269">
        <v>45</v>
      </c>
      <c r="T51" s="45">
        <v>2660</v>
      </c>
      <c r="U51" s="45" t="s">
        <v>1352</v>
      </c>
      <c r="V51" s="45">
        <v>1</v>
      </c>
      <c r="W51" s="45" t="s">
        <v>1339</v>
      </c>
      <c r="X51" s="99">
        <v>44562</v>
      </c>
      <c r="Y51" s="99">
        <v>44815</v>
      </c>
      <c r="Z51" s="99">
        <v>45101</v>
      </c>
      <c r="AA51" s="99">
        <v>45169</v>
      </c>
      <c r="AB51" s="36" t="s">
        <v>1116</v>
      </c>
      <c r="AC51" s="36"/>
      <c r="AD51" s="42"/>
      <c r="AE51" s="42" t="s">
        <v>734</v>
      </c>
      <c r="AF51" s="42"/>
      <c r="AG51" s="42"/>
      <c r="AH51" s="42"/>
      <c r="AI51" s="42"/>
      <c r="AJ51" s="42"/>
      <c r="AK51" s="42"/>
      <c r="AL51" s="42"/>
      <c r="AM51" s="42"/>
      <c r="AN51" s="42" t="s">
        <v>734</v>
      </c>
      <c r="AO51" s="42"/>
      <c r="AP51" s="42"/>
      <c r="AQ51" s="42"/>
      <c r="AR51" s="42"/>
      <c r="AS51" s="42"/>
      <c r="AT51" s="42"/>
      <c r="AU51" s="42"/>
      <c r="AV51" s="42"/>
      <c r="AW51" s="42"/>
      <c r="AY51" s="37"/>
      <c r="BA51" s="38" t="s">
        <v>1016</v>
      </c>
      <c r="BB51" s="38"/>
      <c r="BD51" s="67">
        <f t="shared" si="1"/>
        <v>0</v>
      </c>
      <c r="BF51" s="37"/>
      <c r="BG51" s="73">
        <v>1</v>
      </c>
      <c r="BI51" s="67"/>
      <c r="BJ51" s="37"/>
      <c r="BN51" s="37"/>
      <c r="BO51" s="70">
        <f t="shared" si="2"/>
        <v>0</v>
      </c>
      <c r="BP51" s="37">
        <v>2</v>
      </c>
      <c r="BQ51" s="37">
        <v>0</v>
      </c>
      <c r="BR51" s="37">
        <v>0</v>
      </c>
      <c r="BT51" s="87">
        <f t="shared" si="3"/>
        <v>0</v>
      </c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F51" s="67">
        <f t="shared" si="4"/>
        <v>0</v>
      </c>
      <c r="CG51" s="67">
        <f t="shared" si="5"/>
        <v>0</v>
      </c>
      <c r="CH51" s="67">
        <f t="shared" si="15"/>
        <v>0</v>
      </c>
      <c r="CI51" s="67">
        <f t="shared" si="11"/>
        <v>0</v>
      </c>
      <c r="CJ51" s="37">
        <f t="shared" si="7"/>
        <v>48</v>
      </c>
      <c r="CK51" s="37">
        <f t="shared" si="8"/>
        <v>0</v>
      </c>
      <c r="CL51" s="37">
        <f t="shared" si="9"/>
        <v>0</v>
      </c>
      <c r="CM51" s="37">
        <f t="shared" si="10"/>
        <v>0</v>
      </c>
    </row>
    <row r="52" spans="1:91" ht="90">
      <c r="B52" s="156">
        <v>51</v>
      </c>
      <c r="C52" s="160">
        <v>204</v>
      </c>
      <c r="D52" s="162">
        <v>148</v>
      </c>
      <c r="E52" s="161">
        <v>0.27777777777777779</v>
      </c>
      <c r="F52" s="161">
        <v>0.3263888888888889</v>
      </c>
      <c r="G52" s="160" t="s">
        <v>189</v>
      </c>
      <c r="H52" s="160" t="s">
        <v>97</v>
      </c>
      <c r="I52" s="163">
        <v>34</v>
      </c>
      <c r="J52" s="164" t="s">
        <v>101</v>
      </c>
      <c r="K52" s="165">
        <v>208</v>
      </c>
      <c r="L52" s="166">
        <f t="shared" si="0"/>
        <v>7072</v>
      </c>
      <c r="M52" s="167" t="s">
        <v>743</v>
      </c>
      <c r="N52" s="150" t="s">
        <v>951</v>
      </c>
      <c r="O52" s="150">
        <v>55</v>
      </c>
      <c r="P52" s="150" t="s">
        <v>1245</v>
      </c>
      <c r="Q52" s="150">
        <v>54</v>
      </c>
      <c r="R52" s="221" t="s">
        <v>2062</v>
      </c>
      <c r="S52" s="154">
        <v>57</v>
      </c>
      <c r="T52" s="45">
        <v>2048</v>
      </c>
      <c r="U52" s="45" t="s">
        <v>1353</v>
      </c>
      <c r="V52" s="45">
        <v>960</v>
      </c>
      <c r="W52" s="45" t="s">
        <v>1354</v>
      </c>
      <c r="X52" s="98">
        <v>44816</v>
      </c>
      <c r="Y52" s="98">
        <v>45086</v>
      </c>
      <c r="Z52" s="98"/>
      <c r="AA52" s="98"/>
      <c r="AB52" s="41" t="s">
        <v>1118</v>
      </c>
      <c r="AC52" s="41"/>
      <c r="AD52" s="42"/>
      <c r="AE52" s="42"/>
      <c r="AF52" s="42"/>
      <c r="AG52" s="42" t="s">
        <v>734</v>
      </c>
      <c r="AH52" s="42" t="s">
        <v>734</v>
      </c>
      <c r="AI52" s="42" t="s">
        <v>734</v>
      </c>
      <c r="AJ52" s="42" t="s">
        <v>734</v>
      </c>
      <c r="AK52" s="42" t="s">
        <v>734</v>
      </c>
      <c r="AL52" s="42" t="s">
        <v>734</v>
      </c>
      <c r="AM52" s="42" t="s">
        <v>734</v>
      </c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68">
        <v>102</v>
      </c>
      <c r="AY52" s="37"/>
      <c r="BA52" s="68"/>
      <c r="BB52" s="68"/>
      <c r="BD52" s="67">
        <f t="shared" si="1"/>
        <v>21216</v>
      </c>
      <c r="BE52" s="67"/>
      <c r="BF52" s="37"/>
      <c r="BG52" s="69">
        <v>2</v>
      </c>
      <c r="BH52" s="67">
        <f t="shared" ref="BH52:BH94" si="16">IF(AND((AX52/I52)&lt;2,BG52=1),(I52*2)-AX52,0)</f>
        <v>0</v>
      </c>
      <c r="BI52" s="67">
        <f t="shared" ref="BI52:BI94" si="17">IF(AND((AX52/I52)&lt;3,BG52=2),(I52*3)-AX52,0)</f>
        <v>0</v>
      </c>
      <c r="BJ52" s="70">
        <f t="shared" ref="BJ52:BJ94" si="18">(BH52+BI52)*K52</f>
        <v>0</v>
      </c>
      <c r="BN52" s="67">
        <f>IF((AX52+AY52+AZ52)&lt;20,(20-(AX52+AY52+AZ52)),0)</f>
        <v>0</v>
      </c>
      <c r="BO52" s="70">
        <f t="shared" si="2"/>
        <v>0</v>
      </c>
      <c r="BP52" s="37">
        <v>17</v>
      </c>
      <c r="BQ52" s="37">
        <v>25</v>
      </c>
      <c r="BR52" s="37">
        <v>25</v>
      </c>
      <c r="BS52" s="37">
        <v>18</v>
      </c>
      <c r="BT52" s="87">
        <f t="shared" si="3"/>
        <v>102</v>
      </c>
      <c r="BU52" s="87"/>
      <c r="BV52" s="87"/>
      <c r="BW52" s="87"/>
      <c r="BX52" s="87"/>
      <c r="BY52" s="87"/>
      <c r="BZ52" s="87"/>
      <c r="CA52" s="87"/>
      <c r="CB52" s="87"/>
      <c r="CC52" s="87"/>
      <c r="CD52" s="87"/>
      <c r="CF52" s="67">
        <f t="shared" si="4"/>
        <v>1734</v>
      </c>
      <c r="CG52" s="67">
        <f t="shared" si="5"/>
        <v>2550</v>
      </c>
      <c r="CH52" s="67">
        <f t="shared" si="15"/>
        <v>2550</v>
      </c>
      <c r="CI52" s="67">
        <f t="shared" si="11"/>
        <v>1836</v>
      </c>
      <c r="CJ52" s="37">
        <f t="shared" si="7"/>
        <v>578</v>
      </c>
      <c r="CK52" s="37">
        <f t="shared" si="8"/>
        <v>850</v>
      </c>
      <c r="CL52" s="37">
        <f t="shared" si="9"/>
        <v>850</v>
      </c>
      <c r="CM52" s="37">
        <f t="shared" si="10"/>
        <v>612</v>
      </c>
    </row>
    <row r="53" spans="1:91" ht="25.5">
      <c r="A53" s="180"/>
      <c r="B53" s="156">
        <v>52</v>
      </c>
      <c r="C53" s="160">
        <v>204</v>
      </c>
      <c r="D53" s="160">
        <v>281</v>
      </c>
      <c r="E53" s="161">
        <v>0.30416666666666664</v>
      </c>
      <c r="F53" s="173">
        <v>0.32500000000000001</v>
      </c>
      <c r="G53" s="160" t="s">
        <v>675</v>
      </c>
      <c r="H53" s="160" t="s">
        <v>155</v>
      </c>
      <c r="I53" s="163">
        <v>16.899999999999999</v>
      </c>
      <c r="J53" s="164" t="s">
        <v>101</v>
      </c>
      <c r="K53" s="165">
        <v>252</v>
      </c>
      <c r="L53" s="166">
        <f t="shared" si="0"/>
        <v>4258.7999999999993</v>
      </c>
      <c r="M53" s="167" t="s">
        <v>748</v>
      </c>
      <c r="N53" s="150" t="s">
        <v>908</v>
      </c>
      <c r="O53" s="150">
        <v>36</v>
      </c>
      <c r="P53" s="268" t="s">
        <v>1957</v>
      </c>
      <c r="Q53" s="271">
        <v>50</v>
      </c>
      <c r="R53" s="150" t="s">
        <v>1243</v>
      </c>
      <c r="S53" s="152">
        <v>45</v>
      </c>
      <c r="T53" s="45">
        <v>2057</v>
      </c>
      <c r="U53" s="45" t="s">
        <v>1355</v>
      </c>
      <c r="V53" s="45" t="s">
        <v>1356</v>
      </c>
      <c r="W53" s="45" t="s">
        <v>1357</v>
      </c>
      <c r="X53" s="98">
        <v>44805</v>
      </c>
      <c r="Y53" s="98">
        <v>45169</v>
      </c>
      <c r="Z53" s="98"/>
      <c r="AA53" s="98"/>
      <c r="AB53" s="41" t="s">
        <v>1113</v>
      </c>
      <c r="AC53" s="41"/>
      <c r="AD53" s="42" t="s">
        <v>734</v>
      </c>
      <c r="AE53" s="42" t="s">
        <v>734</v>
      </c>
      <c r="AF53" s="42" t="s">
        <v>734</v>
      </c>
      <c r="AG53" s="42"/>
      <c r="AH53" s="42" t="s">
        <v>734</v>
      </c>
      <c r="AI53" s="42" t="s">
        <v>734</v>
      </c>
      <c r="AJ53" s="42" t="s">
        <v>734</v>
      </c>
      <c r="AK53" s="42" t="s">
        <v>734</v>
      </c>
      <c r="AL53" s="42" t="s">
        <v>734</v>
      </c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68">
        <f>11.7+98.65</f>
        <v>110.35000000000001</v>
      </c>
      <c r="AY53" s="37"/>
      <c r="BA53" s="68"/>
      <c r="BB53" s="68"/>
      <c r="BD53" s="67">
        <f t="shared" si="1"/>
        <v>27808.2</v>
      </c>
      <c r="BE53" s="67"/>
      <c r="BF53" s="37"/>
      <c r="BG53" s="69">
        <v>2</v>
      </c>
      <c r="BH53" s="67">
        <f t="shared" si="16"/>
        <v>0</v>
      </c>
      <c r="BI53" s="67">
        <f t="shared" si="17"/>
        <v>0</v>
      </c>
      <c r="BJ53" s="70">
        <f t="shared" si="18"/>
        <v>0</v>
      </c>
      <c r="BN53" s="37"/>
      <c r="BO53" s="70">
        <f t="shared" si="2"/>
        <v>0</v>
      </c>
      <c r="BP53" s="37">
        <v>22</v>
      </c>
      <c r="BQ53" s="37">
        <v>21</v>
      </c>
      <c r="BR53" s="37">
        <v>21</v>
      </c>
      <c r="BS53" s="37">
        <v>20</v>
      </c>
      <c r="BT53" s="87">
        <f t="shared" si="3"/>
        <v>110.35000000000001</v>
      </c>
      <c r="BU53" s="87"/>
      <c r="BV53" s="87"/>
      <c r="BW53" s="87"/>
      <c r="BX53" s="87"/>
      <c r="BY53" s="87"/>
      <c r="BZ53" s="87"/>
      <c r="CA53" s="87"/>
      <c r="CB53" s="87"/>
      <c r="CC53" s="87"/>
      <c r="CD53" s="87"/>
      <c r="CF53" s="67">
        <f t="shared" si="4"/>
        <v>2427.7000000000003</v>
      </c>
      <c r="CG53" s="67">
        <f t="shared" si="5"/>
        <v>2317.3500000000004</v>
      </c>
      <c r="CH53" s="67">
        <f t="shared" si="15"/>
        <v>2317.3500000000004</v>
      </c>
      <c r="CI53" s="67">
        <f t="shared" si="11"/>
        <v>2207</v>
      </c>
      <c r="CJ53" s="37">
        <f t="shared" si="7"/>
        <v>371.79999999999995</v>
      </c>
      <c r="CK53" s="37">
        <f t="shared" si="8"/>
        <v>354.9</v>
      </c>
      <c r="CL53" s="37">
        <f t="shared" si="9"/>
        <v>354.9</v>
      </c>
      <c r="CM53" s="37">
        <f t="shared" si="10"/>
        <v>338</v>
      </c>
    </row>
    <row r="54" spans="1:91" ht="25.5">
      <c r="B54" s="156">
        <v>53</v>
      </c>
      <c r="C54" s="160">
        <v>204</v>
      </c>
      <c r="D54" s="162">
        <v>375</v>
      </c>
      <c r="E54" s="173">
        <v>0.59861111111111109</v>
      </c>
      <c r="F54" s="173">
        <v>0.60902777777777783</v>
      </c>
      <c r="G54" s="160" t="s">
        <v>186</v>
      </c>
      <c r="H54" s="160" t="s">
        <v>97</v>
      </c>
      <c r="I54" s="163">
        <v>10</v>
      </c>
      <c r="J54" s="164" t="s">
        <v>93</v>
      </c>
      <c r="K54" s="165">
        <v>208</v>
      </c>
      <c r="L54" s="166">
        <f t="shared" si="0"/>
        <v>2080</v>
      </c>
      <c r="M54" s="167" t="s">
        <v>1081</v>
      </c>
      <c r="R54" s="150" t="s">
        <v>1246</v>
      </c>
      <c r="S54" s="151">
        <v>17</v>
      </c>
      <c r="T54" s="45">
        <v>2127</v>
      </c>
      <c r="U54" s="45" t="s">
        <v>1358</v>
      </c>
      <c r="V54" s="45">
        <v>2054</v>
      </c>
      <c r="W54" s="45" t="s">
        <v>1359</v>
      </c>
      <c r="X54" s="98">
        <v>44816</v>
      </c>
      <c r="Y54" s="98">
        <v>45086</v>
      </c>
      <c r="Z54" s="98"/>
      <c r="AA54" s="98"/>
      <c r="AB54" s="41" t="s">
        <v>1118</v>
      </c>
      <c r="AC54" s="41"/>
      <c r="AD54" s="42"/>
      <c r="AE54" s="42"/>
      <c r="AF54" s="42"/>
      <c r="AG54" s="42" t="s">
        <v>734</v>
      </c>
      <c r="AH54" s="42" t="s">
        <v>734</v>
      </c>
      <c r="AI54" s="42" t="s">
        <v>734</v>
      </c>
      <c r="AJ54" s="42" t="s">
        <v>734</v>
      </c>
      <c r="AK54" s="42" t="s">
        <v>734</v>
      </c>
      <c r="AL54" s="42" t="s">
        <v>734</v>
      </c>
      <c r="AM54" s="42" t="s">
        <v>734</v>
      </c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68">
        <v>55.48</v>
      </c>
      <c r="AY54" s="37"/>
      <c r="BA54" s="68"/>
      <c r="BB54" s="68"/>
      <c r="BD54" s="67">
        <f t="shared" si="1"/>
        <v>11539.84</v>
      </c>
      <c r="BE54" s="67"/>
      <c r="BF54" s="37"/>
      <c r="BG54" s="73">
        <v>1</v>
      </c>
      <c r="BH54" s="67">
        <f t="shared" si="16"/>
        <v>0</v>
      </c>
      <c r="BI54" s="67">
        <f t="shared" si="17"/>
        <v>0</v>
      </c>
      <c r="BJ54" s="70">
        <f t="shared" si="18"/>
        <v>0</v>
      </c>
      <c r="BN54" s="37"/>
      <c r="BO54" s="70">
        <f t="shared" si="2"/>
        <v>0</v>
      </c>
      <c r="BP54" s="37">
        <v>17</v>
      </c>
      <c r="BQ54" s="37">
        <v>25</v>
      </c>
      <c r="BR54" s="37">
        <v>25</v>
      </c>
      <c r="BS54" s="37">
        <v>18</v>
      </c>
      <c r="BT54" s="87">
        <f t="shared" si="3"/>
        <v>55.48</v>
      </c>
      <c r="BU54" s="87"/>
      <c r="BV54" s="87"/>
      <c r="BW54" s="87"/>
      <c r="BX54" s="87"/>
      <c r="BY54" s="87"/>
      <c r="BZ54" s="87"/>
      <c r="CA54" s="87"/>
      <c r="CB54" s="87"/>
      <c r="CC54" s="87"/>
      <c r="CD54" s="87"/>
      <c r="CF54" s="67">
        <f t="shared" si="4"/>
        <v>943.16</v>
      </c>
      <c r="CG54" s="67">
        <f t="shared" si="5"/>
        <v>1387</v>
      </c>
      <c r="CH54" s="67">
        <f t="shared" si="15"/>
        <v>1387</v>
      </c>
      <c r="CI54" s="67">
        <f t="shared" si="11"/>
        <v>998.64</v>
      </c>
      <c r="CJ54" s="37">
        <f t="shared" si="7"/>
        <v>170</v>
      </c>
      <c r="CK54" s="37">
        <f t="shared" si="8"/>
        <v>250</v>
      </c>
      <c r="CL54" s="37">
        <f t="shared" si="9"/>
        <v>250</v>
      </c>
      <c r="CM54" s="37">
        <f t="shared" si="10"/>
        <v>180</v>
      </c>
    </row>
    <row r="55" spans="1:91" ht="25.5">
      <c r="B55" s="156">
        <v>54</v>
      </c>
      <c r="C55" s="160">
        <v>204</v>
      </c>
      <c r="D55" s="162">
        <v>414</v>
      </c>
      <c r="E55" s="173">
        <v>0.60416666666666663</v>
      </c>
      <c r="F55" s="173">
        <v>0.62638888888888888</v>
      </c>
      <c r="G55" s="160" t="s">
        <v>185</v>
      </c>
      <c r="H55" s="160" t="s">
        <v>103</v>
      </c>
      <c r="I55" s="163">
        <v>16</v>
      </c>
      <c r="J55" s="164" t="s">
        <v>93</v>
      </c>
      <c r="K55" s="165">
        <v>174</v>
      </c>
      <c r="L55" s="166">
        <f>+K55*I55</f>
        <v>2784</v>
      </c>
      <c r="M55" s="167" t="s">
        <v>1081</v>
      </c>
      <c r="P55" s="150" t="s">
        <v>1889</v>
      </c>
      <c r="Q55" s="150">
        <v>23</v>
      </c>
      <c r="R55" s="150" t="s">
        <v>1888</v>
      </c>
      <c r="S55" s="151">
        <v>23</v>
      </c>
      <c r="T55" s="45">
        <v>2048</v>
      </c>
      <c r="U55" s="45" t="s">
        <v>1353</v>
      </c>
      <c r="V55" s="45">
        <v>2127</v>
      </c>
      <c r="W55" s="45" t="s">
        <v>1358</v>
      </c>
      <c r="X55" s="98">
        <v>44816</v>
      </c>
      <c r="Y55" s="98">
        <v>45086</v>
      </c>
      <c r="Z55" s="98"/>
      <c r="AA55" s="98"/>
      <c r="AB55" s="41" t="s">
        <v>1114</v>
      </c>
      <c r="AC55" s="41"/>
      <c r="AD55" s="42"/>
      <c r="AE55" s="42"/>
      <c r="AF55" s="42"/>
      <c r="AG55" s="42" t="s">
        <v>734</v>
      </c>
      <c r="AH55" s="42" t="s">
        <v>734</v>
      </c>
      <c r="AI55" s="42" t="s">
        <v>734</v>
      </c>
      <c r="AJ55" s="42" t="s">
        <v>734</v>
      </c>
      <c r="AK55" s="42" t="s">
        <v>734</v>
      </c>
      <c r="AL55" s="42" t="s">
        <v>734</v>
      </c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68">
        <v>28.8</v>
      </c>
      <c r="AY55" s="37"/>
      <c r="BA55" s="68"/>
      <c r="BB55" s="68"/>
      <c r="BD55" s="67">
        <f>AX55*K55</f>
        <v>5011.2</v>
      </c>
      <c r="BE55" s="67"/>
      <c r="BF55" s="37"/>
      <c r="BG55" s="73">
        <v>1</v>
      </c>
      <c r="BH55" s="67">
        <f>IF(AND((AX55/I55)&lt;2,BG55=1),(I55*2)-AX55,0)</f>
        <v>3.1999999999999993</v>
      </c>
      <c r="BI55" s="67">
        <f>IF(AND((AX55/I55)&lt;3,BG55=2),(I55*3)-AX55,0)</f>
        <v>0</v>
      </c>
      <c r="BJ55" s="67">
        <f>(BH55+BI55)*K55</f>
        <v>556.79999999999984</v>
      </c>
      <c r="BN55" s="37"/>
      <c r="BO55" s="70">
        <f>BN55*K55</f>
        <v>0</v>
      </c>
      <c r="BP55" s="37">
        <v>15</v>
      </c>
      <c r="BQ55" s="37">
        <v>20</v>
      </c>
      <c r="BR55" s="37">
        <v>21</v>
      </c>
      <c r="BS55" s="37">
        <v>15</v>
      </c>
      <c r="BT55" s="87">
        <f>SUM(AX55:AZ55)+SUM(BH55:BI55)+SUM(BK55:BL55)+BN55</f>
        <v>32</v>
      </c>
      <c r="BU55" s="87"/>
      <c r="BV55" s="87"/>
      <c r="BW55" s="87"/>
      <c r="BX55" s="87"/>
      <c r="BY55" s="87"/>
      <c r="BZ55" s="87"/>
      <c r="CA55" s="87"/>
      <c r="CB55" s="87"/>
      <c r="CC55" s="87"/>
      <c r="CD55" s="87"/>
      <c r="CE55" s="67">
        <v>8</v>
      </c>
      <c r="CF55" s="130">
        <f>((BT55+CE55)*BP55)+(BV55*CD55)</f>
        <v>600</v>
      </c>
      <c r="CG55" s="130">
        <f>(BT55*BQ55)+(BQ55*(CD55+CE55))</f>
        <v>800</v>
      </c>
      <c r="CH55" s="130">
        <f>(BR55*BT55)+(3*CE55)</f>
        <v>696</v>
      </c>
      <c r="CI55" s="67">
        <f>(BS55*BT55)+(CB55*CD55)</f>
        <v>480</v>
      </c>
      <c r="CJ55" s="37">
        <f t="shared" si="7"/>
        <v>240</v>
      </c>
      <c r="CK55" s="37">
        <f t="shared" si="8"/>
        <v>320</v>
      </c>
      <c r="CL55" s="37">
        <f t="shared" si="9"/>
        <v>336</v>
      </c>
      <c r="CM55" s="37">
        <f t="shared" si="10"/>
        <v>240</v>
      </c>
    </row>
    <row r="56" spans="1:91" ht="25.5">
      <c r="B56" s="156">
        <v>55</v>
      </c>
      <c r="C56" s="160">
        <v>204</v>
      </c>
      <c r="D56" s="160">
        <v>200</v>
      </c>
      <c r="E56" s="161">
        <v>0.68888888888888899</v>
      </c>
      <c r="F56" s="173">
        <v>0.7104166666666667</v>
      </c>
      <c r="G56" s="160" t="s">
        <v>610</v>
      </c>
      <c r="H56" s="160" t="s">
        <v>203</v>
      </c>
      <c r="I56" s="163">
        <v>17.899999999999999</v>
      </c>
      <c r="J56" s="164" t="s">
        <v>165</v>
      </c>
      <c r="K56" s="165">
        <v>202</v>
      </c>
      <c r="L56" s="166">
        <f t="shared" si="0"/>
        <v>3615.7999999999997</v>
      </c>
      <c r="M56" s="167" t="s">
        <v>748</v>
      </c>
      <c r="N56" s="150" t="s">
        <v>908</v>
      </c>
      <c r="O56" s="150">
        <v>36</v>
      </c>
      <c r="P56" s="268" t="s">
        <v>1957</v>
      </c>
      <c r="Q56" s="271">
        <v>50</v>
      </c>
      <c r="R56" s="150" t="s">
        <v>1243</v>
      </c>
      <c r="S56" s="152">
        <v>45</v>
      </c>
      <c r="T56" s="45" t="s">
        <v>1356</v>
      </c>
      <c r="U56" s="45" t="s">
        <v>1360</v>
      </c>
      <c r="V56" s="45">
        <v>2057</v>
      </c>
      <c r="W56" s="45" t="s">
        <v>1355</v>
      </c>
      <c r="X56" s="99">
        <v>44816</v>
      </c>
      <c r="Y56" s="99">
        <v>45100</v>
      </c>
      <c r="Z56" s="99"/>
      <c r="AA56" s="99"/>
      <c r="AB56" s="41" t="s">
        <v>1120</v>
      </c>
      <c r="AC56" s="41"/>
      <c r="AD56" s="42" t="s">
        <v>734</v>
      </c>
      <c r="AE56" s="42"/>
      <c r="AF56" s="42" t="s">
        <v>734</v>
      </c>
      <c r="AG56" s="42"/>
      <c r="AH56" s="42" t="s">
        <v>734</v>
      </c>
      <c r="AI56" s="42" t="s">
        <v>734</v>
      </c>
      <c r="AJ56" s="42" t="s">
        <v>734</v>
      </c>
      <c r="AK56" s="42" t="s">
        <v>734</v>
      </c>
      <c r="AL56" s="42" t="s">
        <v>734</v>
      </c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68">
        <f>44.52+11.7</f>
        <v>56.22</v>
      </c>
      <c r="AY56" s="37"/>
      <c r="BA56" s="68"/>
      <c r="BB56" s="68"/>
      <c r="BD56" s="67">
        <f t="shared" si="1"/>
        <v>11356.44</v>
      </c>
      <c r="BE56" s="67"/>
      <c r="BF56" s="37"/>
      <c r="BG56" s="69">
        <v>2</v>
      </c>
      <c r="BH56" s="67">
        <f t="shared" si="16"/>
        <v>0</v>
      </c>
      <c r="BI56" s="67">
        <f t="shared" si="17"/>
        <v>0</v>
      </c>
      <c r="BJ56" s="70">
        <f t="shared" si="18"/>
        <v>0</v>
      </c>
      <c r="BN56" s="37"/>
      <c r="BO56" s="70">
        <f t="shared" si="2"/>
        <v>0</v>
      </c>
      <c r="BP56" s="37">
        <v>15</v>
      </c>
      <c r="BQ56" s="37">
        <v>21</v>
      </c>
      <c r="BR56" s="37">
        <v>21</v>
      </c>
      <c r="BS56" s="37">
        <v>20</v>
      </c>
      <c r="BT56" s="87">
        <f t="shared" si="3"/>
        <v>56.22</v>
      </c>
      <c r="BU56" s="87"/>
      <c r="BV56" s="87"/>
      <c r="BW56" s="87"/>
      <c r="BX56" s="87"/>
      <c r="BY56" s="87"/>
      <c r="BZ56" s="87"/>
      <c r="CA56" s="87"/>
      <c r="CB56" s="87"/>
      <c r="CC56" s="87"/>
      <c r="CD56" s="87"/>
      <c r="CF56" s="67">
        <f t="shared" si="4"/>
        <v>843.3</v>
      </c>
      <c r="CG56" s="67">
        <f t="shared" si="5"/>
        <v>1180.6199999999999</v>
      </c>
      <c r="CH56" s="67">
        <f t="shared" ref="CH56:CH66" si="19">(BR56*BT56)+(BZ56*CD56)</f>
        <v>1180.6199999999999</v>
      </c>
      <c r="CI56" s="67">
        <f t="shared" si="11"/>
        <v>1124.4000000000001</v>
      </c>
      <c r="CJ56" s="37">
        <f t="shared" si="7"/>
        <v>268.5</v>
      </c>
      <c r="CK56" s="37">
        <f t="shared" si="8"/>
        <v>375.9</v>
      </c>
      <c r="CL56" s="37">
        <f t="shared" si="9"/>
        <v>375.9</v>
      </c>
      <c r="CM56" s="37">
        <f t="shared" si="10"/>
        <v>358</v>
      </c>
    </row>
    <row r="57" spans="1:91" ht="25.5">
      <c r="B57" s="156">
        <v>56</v>
      </c>
      <c r="C57" s="160">
        <v>204</v>
      </c>
      <c r="D57" s="160">
        <v>282</v>
      </c>
      <c r="E57" s="161">
        <v>0.69374999999999998</v>
      </c>
      <c r="F57" s="173">
        <v>0.71458333333333324</v>
      </c>
      <c r="G57" s="160" t="s">
        <v>610</v>
      </c>
      <c r="H57" s="160" t="s">
        <v>425</v>
      </c>
      <c r="I57" s="163">
        <v>17.899999999999999</v>
      </c>
      <c r="J57" s="164" t="s">
        <v>165</v>
      </c>
      <c r="K57" s="165">
        <v>55</v>
      </c>
      <c r="L57" s="166">
        <f t="shared" si="0"/>
        <v>984.49999999999989</v>
      </c>
      <c r="M57" s="167" t="s">
        <v>748</v>
      </c>
      <c r="N57" s="150" t="s">
        <v>907</v>
      </c>
      <c r="O57" s="150">
        <v>57</v>
      </c>
      <c r="P57" s="268" t="s">
        <v>1957</v>
      </c>
      <c r="Q57" s="271">
        <v>50</v>
      </c>
      <c r="R57" s="150" t="s">
        <v>1243</v>
      </c>
      <c r="S57" s="152">
        <v>45</v>
      </c>
      <c r="T57" s="45" t="s">
        <v>1356</v>
      </c>
      <c r="U57" s="45" t="s">
        <v>1360</v>
      </c>
      <c r="V57" s="45">
        <v>2057</v>
      </c>
      <c r="W57" s="45" t="s">
        <v>1355</v>
      </c>
      <c r="X57" s="99">
        <v>44562</v>
      </c>
      <c r="Y57" s="99">
        <v>44815</v>
      </c>
      <c r="Z57" s="99">
        <v>45101</v>
      </c>
      <c r="AA57" s="99">
        <v>45169</v>
      </c>
      <c r="AB57" s="41" t="s">
        <v>1121</v>
      </c>
      <c r="AC57" s="41"/>
      <c r="AD57" s="42"/>
      <c r="AE57" s="42" t="s">
        <v>734</v>
      </c>
      <c r="AF57" s="42" t="s">
        <v>734</v>
      </c>
      <c r="AG57" s="42"/>
      <c r="AH57" s="42" t="s">
        <v>734</v>
      </c>
      <c r="AI57" s="42" t="s">
        <v>734</v>
      </c>
      <c r="AJ57" s="42" t="s">
        <v>734</v>
      </c>
      <c r="AK57" s="42" t="s">
        <v>734</v>
      </c>
      <c r="AL57" s="42" t="s">
        <v>734</v>
      </c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68">
        <f>44.52+11.7</f>
        <v>56.22</v>
      </c>
      <c r="AY57" s="37"/>
      <c r="BA57" s="68"/>
      <c r="BB57" s="68"/>
      <c r="BD57" s="67">
        <f t="shared" si="1"/>
        <v>3092.1</v>
      </c>
      <c r="BE57" s="67"/>
      <c r="BF57" s="37"/>
      <c r="BG57" s="69">
        <v>2</v>
      </c>
      <c r="BH57" s="67">
        <f t="shared" si="16"/>
        <v>0</v>
      </c>
      <c r="BI57" s="67">
        <f t="shared" si="17"/>
        <v>0</v>
      </c>
      <c r="BJ57" s="70">
        <f t="shared" si="18"/>
        <v>0</v>
      </c>
      <c r="BN57" s="37"/>
      <c r="BO57" s="70">
        <f t="shared" si="2"/>
        <v>0</v>
      </c>
      <c r="BP57" s="37">
        <v>7</v>
      </c>
      <c r="BQ57" s="37">
        <v>0</v>
      </c>
      <c r="BR57" s="37">
        <v>0</v>
      </c>
      <c r="BT57" s="87">
        <f t="shared" si="3"/>
        <v>56.22</v>
      </c>
      <c r="BU57" s="87"/>
      <c r="BV57" s="87"/>
      <c r="BW57" s="87"/>
      <c r="BX57" s="87"/>
      <c r="BY57" s="87"/>
      <c r="BZ57" s="87"/>
      <c r="CA57" s="87"/>
      <c r="CB57" s="87"/>
      <c r="CC57" s="87"/>
      <c r="CD57" s="87"/>
      <c r="CF57" s="67">
        <f t="shared" si="4"/>
        <v>393.53999999999996</v>
      </c>
      <c r="CG57" s="67">
        <f t="shared" si="5"/>
        <v>0</v>
      </c>
      <c r="CH57" s="67">
        <f t="shared" si="19"/>
        <v>0</v>
      </c>
      <c r="CI57" s="67">
        <f t="shared" si="11"/>
        <v>0</v>
      </c>
      <c r="CJ57" s="37">
        <f t="shared" si="7"/>
        <v>125.29999999999998</v>
      </c>
      <c r="CK57" s="37">
        <f t="shared" si="8"/>
        <v>0</v>
      </c>
      <c r="CL57" s="37">
        <f t="shared" si="9"/>
        <v>0</v>
      </c>
      <c r="CM57" s="37">
        <f t="shared" si="10"/>
        <v>0</v>
      </c>
    </row>
    <row r="58" spans="1:91" ht="25.5">
      <c r="B58" s="156">
        <v>57</v>
      </c>
      <c r="C58" s="160">
        <v>205</v>
      </c>
      <c r="D58" s="160">
        <v>59</v>
      </c>
      <c r="E58" s="161">
        <v>0.28611111111111115</v>
      </c>
      <c r="F58" s="161">
        <v>0.2902777777777778</v>
      </c>
      <c r="G58" s="160" t="s">
        <v>354</v>
      </c>
      <c r="H58" s="160" t="s">
        <v>267</v>
      </c>
      <c r="I58" s="163">
        <v>1</v>
      </c>
      <c r="J58" s="164" t="s">
        <v>93</v>
      </c>
      <c r="K58" s="165">
        <v>55</v>
      </c>
      <c r="L58" s="166">
        <f t="shared" si="0"/>
        <v>55</v>
      </c>
      <c r="M58" s="167" t="s">
        <v>748</v>
      </c>
      <c r="N58" s="150" t="s">
        <v>906</v>
      </c>
      <c r="O58" s="150">
        <v>20</v>
      </c>
      <c r="P58" s="150" t="s">
        <v>905</v>
      </c>
      <c r="Q58" s="150">
        <v>23</v>
      </c>
      <c r="R58" s="150" t="s">
        <v>909</v>
      </c>
      <c r="S58" s="152">
        <v>24</v>
      </c>
      <c r="T58" s="45">
        <v>2101</v>
      </c>
      <c r="U58" s="45" t="s">
        <v>1361</v>
      </c>
      <c r="V58" s="45">
        <v>2100</v>
      </c>
      <c r="W58" s="45" t="s">
        <v>1362</v>
      </c>
      <c r="X58" s="99">
        <v>44562</v>
      </c>
      <c r="Y58" s="99">
        <v>44815</v>
      </c>
      <c r="Z58" s="99">
        <v>45101</v>
      </c>
      <c r="AA58" s="99">
        <v>45169</v>
      </c>
      <c r="AB58" s="41" t="s">
        <v>1121</v>
      </c>
      <c r="AC58" s="41"/>
      <c r="AD58" s="42"/>
      <c r="AE58" s="42" t="s">
        <v>734</v>
      </c>
      <c r="AF58" s="42" t="s">
        <v>734</v>
      </c>
      <c r="AG58" s="42"/>
      <c r="AH58" s="42" t="s">
        <v>734</v>
      </c>
      <c r="AI58" s="42" t="s">
        <v>734</v>
      </c>
      <c r="AJ58" s="42" t="s">
        <v>734</v>
      </c>
      <c r="AK58" s="42" t="s">
        <v>734</v>
      </c>
      <c r="AL58" s="42" t="s">
        <v>734</v>
      </c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68">
        <v>11.87</v>
      </c>
      <c r="AY58" s="37"/>
      <c r="BA58" s="68"/>
      <c r="BB58" s="68"/>
      <c r="BD58" s="67">
        <f t="shared" si="1"/>
        <v>652.84999999999991</v>
      </c>
      <c r="BE58" s="67"/>
      <c r="BF58" s="37"/>
      <c r="BG58" s="73">
        <v>1</v>
      </c>
      <c r="BH58" s="67">
        <f t="shared" si="16"/>
        <v>0</v>
      </c>
      <c r="BI58" s="67">
        <f t="shared" si="17"/>
        <v>0</v>
      </c>
      <c r="BJ58" s="70">
        <f t="shared" si="18"/>
        <v>0</v>
      </c>
      <c r="BN58" s="67">
        <f>IF((AX58+AY58+AZ58)&lt;20,(20-(AX58+AY58+AZ58)),0)</f>
        <v>8.1300000000000008</v>
      </c>
      <c r="BO58" s="70">
        <f t="shared" si="2"/>
        <v>447.15000000000003</v>
      </c>
      <c r="BP58" s="37">
        <v>7</v>
      </c>
      <c r="BQ58" s="37">
        <v>0</v>
      </c>
      <c r="BR58" s="37">
        <v>0</v>
      </c>
      <c r="BT58" s="87">
        <f t="shared" si="3"/>
        <v>20</v>
      </c>
      <c r="BU58" s="87"/>
      <c r="BV58" s="87"/>
      <c r="BW58" s="87"/>
      <c r="BX58" s="87"/>
      <c r="BY58" s="87"/>
      <c r="BZ58" s="87"/>
      <c r="CA58" s="87"/>
      <c r="CB58" s="87"/>
      <c r="CC58" s="87"/>
      <c r="CD58" s="87"/>
      <c r="CF58" s="67">
        <f t="shared" si="4"/>
        <v>140</v>
      </c>
      <c r="CG58" s="67">
        <f t="shared" si="5"/>
        <v>0</v>
      </c>
      <c r="CH58" s="67">
        <f t="shared" si="19"/>
        <v>0</v>
      </c>
      <c r="CI58" s="67">
        <f t="shared" si="11"/>
        <v>0</v>
      </c>
      <c r="CJ58" s="37">
        <f t="shared" si="7"/>
        <v>7</v>
      </c>
      <c r="CK58" s="37">
        <f t="shared" si="8"/>
        <v>0</v>
      </c>
      <c r="CL58" s="37">
        <f t="shared" si="9"/>
        <v>0</v>
      </c>
      <c r="CM58" s="37">
        <f t="shared" si="10"/>
        <v>0</v>
      </c>
    </row>
    <row r="59" spans="1:91" ht="38.25">
      <c r="B59" s="156">
        <v>58</v>
      </c>
      <c r="C59" s="160">
        <v>205</v>
      </c>
      <c r="D59" s="160">
        <v>397</v>
      </c>
      <c r="E59" s="161">
        <v>0.28611111111111115</v>
      </c>
      <c r="F59" s="173">
        <v>0.28819444444444448</v>
      </c>
      <c r="G59" s="160" t="s">
        <v>354</v>
      </c>
      <c r="H59" s="162" t="s">
        <v>347</v>
      </c>
      <c r="I59" s="163">
        <v>1</v>
      </c>
      <c r="J59" s="164" t="s">
        <v>93</v>
      </c>
      <c r="K59" s="165">
        <v>29</v>
      </c>
      <c r="L59" s="166">
        <f t="shared" si="0"/>
        <v>29</v>
      </c>
      <c r="M59" s="167" t="s">
        <v>748</v>
      </c>
      <c r="N59" s="150" t="s">
        <v>906</v>
      </c>
      <c r="O59" s="150">
        <v>20</v>
      </c>
      <c r="P59" s="150" t="s">
        <v>905</v>
      </c>
      <c r="Q59" s="150">
        <v>23</v>
      </c>
      <c r="R59" s="150" t="s">
        <v>909</v>
      </c>
      <c r="S59" s="152">
        <v>24</v>
      </c>
      <c r="T59" s="45">
        <v>2101</v>
      </c>
      <c r="U59" s="45" t="s">
        <v>1361</v>
      </c>
      <c r="V59" s="45">
        <v>2100</v>
      </c>
      <c r="W59" s="45" t="s">
        <v>1362</v>
      </c>
      <c r="X59" s="99">
        <v>44816</v>
      </c>
      <c r="Y59" s="99">
        <v>45100</v>
      </c>
      <c r="Z59" s="99"/>
      <c r="AA59" s="99"/>
      <c r="AB59" s="41" t="s">
        <v>1122</v>
      </c>
      <c r="AC59" s="41"/>
      <c r="AD59" s="42" t="s">
        <v>734</v>
      </c>
      <c r="AE59" s="42"/>
      <c r="AF59" s="42" t="s">
        <v>734</v>
      </c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 t="s">
        <v>734</v>
      </c>
      <c r="AS59" s="42" t="s">
        <v>734</v>
      </c>
      <c r="AT59" s="42" t="s">
        <v>734</v>
      </c>
      <c r="AU59" s="42" t="s">
        <v>734</v>
      </c>
      <c r="AV59" s="42" t="s">
        <v>734</v>
      </c>
      <c r="AW59" s="42" t="s">
        <v>734</v>
      </c>
      <c r="AX59" s="68">
        <v>11.87</v>
      </c>
      <c r="AY59" s="37"/>
      <c r="BA59" s="68"/>
      <c r="BB59" s="68"/>
      <c r="BD59" s="67">
        <f t="shared" si="1"/>
        <v>344.22999999999996</v>
      </c>
      <c r="BE59" s="67"/>
      <c r="BF59" s="37"/>
      <c r="BG59" s="73">
        <v>1</v>
      </c>
      <c r="BH59" s="67">
        <f t="shared" si="16"/>
        <v>0</v>
      </c>
      <c r="BI59" s="67">
        <f t="shared" si="17"/>
        <v>0</v>
      </c>
      <c r="BJ59" s="70">
        <f t="shared" si="18"/>
        <v>0</v>
      </c>
      <c r="BN59" s="67">
        <f>IF((AX59+AY59+AZ59)&lt;20,(20-(AX59+AY59+AZ59)),0)</f>
        <v>8.1300000000000008</v>
      </c>
      <c r="BO59" s="70">
        <f t="shared" si="2"/>
        <v>235.77</v>
      </c>
      <c r="BP59" s="37">
        <v>0</v>
      </c>
      <c r="BQ59" s="37">
        <v>1</v>
      </c>
      <c r="BR59" s="37">
        <v>0</v>
      </c>
      <c r="BS59" s="37">
        <v>7</v>
      </c>
      <c r="BT59" s="87">
        <f t="shared" si="3"/>
        <v>20</v>
      </c>
      <c r="BU59" s="87"/>
      <c r="BV59" s="87"/>
      <c r="BW59" s="87"/>
      <c r="BX59" s="87"/>
      <c r="BY59" s="87"/>
      <c r="BZ59" s="87"/>
      <c r="CA59" s="87"/>
      <c r="CB59" s="87"/>
      <c r="CC59" s="87"/>
      <c r="CD59" s="87"/>
      <c r="CF59" s="67">
        <f t="shared" si="4"/>
        <v>0</v>
      </c>
      <c r="CG59" s="67">
        <f t="shared" si="5"/>
        <v>20</v>
      </c>
      <c r="CH59" s="67">
        <f t="shared" si="19"/>
        <v>0</v>
      </c>
      <c r="CI59" s="67">
        <f t="shared" si="11"/>
        <v>140</v>
      </c>
      <c r="CJ59" s="37">
        <f t="shared" si="7"/>
        <v>0</v>
      </c>
      <c r="CK59" s="37">
        <f t="shared" si="8"/>
        <v>1</v>
      </c>
      <c r="CL59" s="37">
        <f t="shared" si="9"/>
        <v>0</v>
      </c>
      <c r="CM59" s="37">
        <f t="shared" si="10"/>
        <v>7</v>
      </c>
    </row>
    <row r="60" spans="1:91" ht="25.5">
      <c r="B60" s="156">
        <v>59</v>
      </c>
      <c r="C60" s="160">
        <v>205</v>
      </c>
      <c r="D60" s="160">
        <v>400</v>
      </c>
      <c r="E60" s="161">
        <v>0.74305555555555547</v>
      </c>
      <c r="F60" s="161">
        <v>0.74444444444444446</v>
      </c>
      <c r="G60" s="160" t="s">
        <v>353</v>
      </c>
      <c r="H60" s="160" t="s">
        <v>103</v>
      </c>
      <c r="I60" s="163">
        <v>1.5</v>
      </c>
      <c r="J60" s="164" t="s">
        <v>93</v>
      </c>
      <c r="K60" s="165">
        <v>174</v>
      </c>
      <c r="L60" s="166">
        <f t="shared" si="0"/>
        <v>261</v>
      </c>
      <c r="M60" s="167" t="s">
        <v>748</v>
      </c>
      <c r="N60" s="150" t="s">
        <v>906</v>
      </c>
      <c r="O60" s="150">
        <v>20</v>
      </c>
      <c r="P60" s="150" t="s">
        <v>905</v>
      </c>
      <c r="Q60" s="150">
        <v>23</v>
      </c>
      <c r="R60" s="150" t="s">
        <v>909</v>
      </c>
      <c r="S60" s="152">
        <v>24</v>
      </c>
      <c r="T60" s="45">
        <v>2100</v>
      </c>
      <c r="U60" s="45" t="s">
        <v>1362</v>
      </c>
      <c r="V60" s="45">
        <v>2101</v>
      </c>
      <c r="W60" s="45" t="s">
        <v>1361</v>
      </c>
      <c r="X60" s="98">
        <v>44816</v>
      </c>
      <c r="Y60" s="98">
        <v>45086</v>
      </c>
      <c r="Z60" s="98"/>
      <c r="AA60" s="98"/>
      <c r="AB60" s="41" t="s">
        <v>1114</v>
      </c>
      <c r="AC60" s="41"/>
      <c r="AD60" s="42"/>
      <c r="AE60" s="42"/>
      <c r="AF60" s="42"/>
      <c r="AG60" s="42" t="s">
        <v>734</v>
      </c>
      <c r="AH60" s="42" t="s">
        <v>734</v>
      </c>
      <c r="AI60" s="42" t="s">
        <v>734</v>
      </c>
      <c r="AJ60" s="42" t="s">
        <v>734</v>
      </c>
      <c r="AK60" s="42" t="s">
        <v>734</v>
      </c>
      <c r="AL60" s="42" t="s">
        <v>734</v>
      </c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68">
        <v>11.87</v>
      </c>
      <c r="AY60" s="37"/>
      <c r="BA60" s="68"/>
      <c r="BB60" s="68"/>
      <c r="BD60" s="67">
        <f t="shared" si="1"/>
        <v>2065.3799999999997</v>
      </c>
      <c r="BE60" s="67"/>
      <c r="BF60" s="37"/>
      <c r="BG60" s="73">
        <v>1</v>
      </c>
      <c r="BH60" s="67">
        <f t="shared" si="16"/>
        <v>0</v>
      </c>
      <c r="BI60" s="67">
        <f t="shared" si="17"/>
        <v>0</v>
      </c>
      <c r="BJ60" s="70">
        <f t="shared" si="18"/>
        <v>0</v>
      </c>
      <c r="BN60" s="37"/>
      <c r="BO60" s="70">
        <f t="shared" si="2"/>
        <v>0</v>
      </c>
      <c r="BP60" s="37">
        <v>15</v>
      </c>
      <c r="BQ60" s="37">
        <v>20</v>
      </c>
      <c r="BR60" s="37">
        <v>21</v>
      </c>
      <c r="BS60" s="37">
        <v>15</v>
      </c>
      <c r="BT60" s="87">
        <f t="shared" si="3"/>
        <v>11.87</v>
      </c>
      <c r="BU60" s="87"/>
      <c r="BV60" s="87"/>
      <c r="BW60" s="87"/>
      <c r="BX60" s="87"/>
      <c r="BY60" s="87"/>
      <c r="BZ60" s="87"/>
      <c r="CA60" s="87"/>
      <c r="CB60" s="87"/>
      <c r="CC60" s="87"/>
      <c r="CD60" s="87"/>
      <c r="CF60" s="67">
        <f t="shared" si="4"/>
        <v>178.04999999999998</v>
      </c>
      <c r="CG60" s="67">
        <f t="shared" si="5"/>
        <v>237.39999999999998</v>
      </c>
      <c r="CH60" s="67">
        <f t="shared" si="19"/>
        <v>249.26999999999998</v>
      </c>
      <c r="CI60" s="67">
        <f t="shared" si="11"/>
        <v>178.04999999999998</v>
      </c>
      <c r="CJ60" s="37">
        <f t="shared" si="7"/>
        <v>22.5</v>
      </c>
      <c r="CK60" s="37">
        <f t="shared" si="8"/>
        <v>30</v>
      </c>
      <c r="CL60" s="37">
        <f t="shared" si="9"/>
        <v>31.5</v>
      </c>
      <c r="CM60" s="37">
        <f t="shared" si="10"/>
        <v>22.5</v>
      </c>
    </row>
    <row r="61" spans="1:91" ht="25.5">
      <c r="B61" s="156">
        <v>60</v>
      </c>
      <c r="C61" s="160">
        <v>206</v>
      </c>
      <c r="D61" s="160">
        <v>124</v>
      </c>
      <c r="E61" s="161">
        <v>0.67361111111111116</v>
      </c>
      <c r="F61" s="161">
        <v>0.70138888888888884</v>
      </c>
      <c r="G61" s="160" t="s">
        <v>163</v>
      </c>
      <c r="H61" s="160" t="s">
        <v>203</v>
      </c>
      <c r="I61" s="163">
        <v>18.3</v>
      </c>
      <c r="J61" s="164" t="s">
        <v>164</v>
      </c>
      <c r="K61" s="165">
        <v>202</v>
      </c>
      <c r="L61" s="166">
        <f t="shared" si="0"/>
        <v>3696.6000000000004</v>
      </c>
      <c r="M61" s="167" t="s">
        <v>748</v>
      </c>
      <c r="N61" s="150" t="s">
        <v>909</v>
      </c>
      <c r="O61" s="150">
        <v>23</v>
      </c>
      <c r="P61" s="150" t="s">
        <v>908</v>
      </c>
      <c r="Q61" s="150">
        <v>36</v>
      </c>
      <c r="S61" s="150"/>
      <c r="T61" s="45">
        <v>1</v>
      </c>
      <c r="U61" s="45" t="s">
        <v>1336</v>
      </c>
      <c r="V61" s="45" t="s">
        <v>1363</v>
      </c>
      <c r="W61" s="45" t="s">
        <v>1364</v>
      </c>
      <c r="X61" s="99">
        <v>44816</v>
      </c>
      <c r="Y61" s="99">
        <v>45100</v>
      </c>
      <c r="Z61" s="99"/>
      <c r="AA61" s="99"/>
      <c r="AB61" s="41" t="s">
        <v>1120</v>
      </c>
      <c r="AC61" s="41"/>
      <c r="AD61" s="42" t="s">
        <v>734</v>
      </c>
      <c r="AE61" s="42"/>
      <c r="AF61" s="42" t="s">
        <v>734</v>
      </c>
      <c r="AG61" s="42"/>
      <c r="AH61" s="42" t="s">
        <v>734</v>
      </c>
      <c r="AI61" s="42" t="s">
        <v>734</v>
      </c>
      <c r="AJ61" s="42" t="s">
        <v>734</v>
      </c>
      <c r="AK61" s="42" t="s">
        <v>734</v>
      </c>
      <c r="AL61" s="42" t="s">
        <v>734</v>
      </c>
      <c r="AM61" s="44"/>
      <c r="AN61" s="44"/>
      <c r="AO61" s="44"/>
      <c r="AP61" s="44"/>
      <c r="AQ61" s="42"/>
      <c r="AR61" s="42"/>
      <c r="AS61" s="42"/>
      <c r="AT61" s="42"/>
      <c r="AU61" s="42"/>
      <c r="AV61" s="42"/>
      <c r="AW61" s="42"/>
      <c r="AX61" s="68">
        <v>75.33</v>
      </c>
      <c r="AY61" s="75"/>
      <c r="AZ61" s="75"/>
      <c r="BA61" s="68"/>
      <c r="BB61" s="68"/>
      <c r="BC61" s="75"/>
      <c r="BD61" s="67">
        <f t="shared" si="1"/>
        <v>15216.66</v>
      </c>
      <c r="BE61" s="67"/>
      <c r="BF61" s="75"/>
      <c r="BG61" s="73">
        <v>1</v>
      </c>
      <c r="BH61" s="67">
        <f t="shared" si="16"/>
        <v>0</v>
      </c>
      <c r="BI61" s="67">
        <f t="shared" si="17"/>
        <v>0</v>
      </c>
      <c r="BJ61" s="70">
        <f t="shared" si="18"/>
        <v>0</v>
      </c>
      <c r="BN61" s="37"/>
      <c r="BO61" s="70">
        <f t="shared" si="2"/>
        <v>0</v>
      </c>
      <c r="BP61" s="37">
        <v>15</v>
      </c>
      <c r="BQ61" s="37">
        <v>21</v>
      </c>
      <c r="BR61" s="37">
        <v>21</v>
      </c>
      <c r="BS61" s="37">
        <v>20</v>
      </c>
      <c r="BT61" s="87">
        <f t="shared" si="3"/>
        <v>75.33</v>
      </c>
      <c r="BU61" s="87"/>
      <c r="BV61" s="87"/>
      <c r="BW61" s="87"/>
      <c r="BX61" s="87"/>
      <c r="BY61" s="87"/>
      <c r="BZ61" s="87"/>
      <c r="CA61" s="87"/>
      <c r="CB61" s="87"/>
      <c r="CC61" s="87"/>
      <c r="CD61" s="87"/>
      <c r="CF61" s="67">
        <f t="shared" si="4"/>
        <v>1129.95</v>
      </c>
      <c r="CG61" s="67">
        <f t="shared" si="5"/>
        <v>1581.93</v>
      </c>
      <c r="CH61" s="67">
        <f t="shared" si="19"/>
        <v>1581.93</v>
      </c>
      <c r="CI61" s="67">
        <f t="shared" si="11"/>
        <v>1506.6</v>
      </c>
      <c r="CJ61" s="37">
        <f t="shared" si="7"/>
        <v>274.5</v>
      </c>
      <c r="CK61" s="37">
        <f t="shared" si="8"/>
        <v>384.3</v>
      </c>
      <c r="CL61" s="37">
        <f t="shared" si="9"/>
        <v>384.3</v>
      </c>
      <c r="CM61" s="37">
        <f t="shared" si="10"/>
        <v>366</v>
      </c>
    </row>
    <row r="62" spans="1:91" ht="25.5">
      <c r="B62" s="156">
        <v>61</v>
      </c>
      <c r="C62" s="160">
        <v>213</v>
      </c>
      <c r="D62" s="160">
        <v>5</v>
      </c>
      <c r="E62" s="161">
        <v>0.28819444444444448</v>
      </c>
      <c r="F62" s="161">
        <v>0.2986111111111111</v>
      </c>
      <c r="G62" s="160" t="s">
        <v>287</v>
      </c>
      <c r="H62" s="160" t="s">
        <v>97</v>
      </c>
      <c r="I62" s="163">
        <v>3.7</v>
      </c>
      <c r="J62" s="164" t="s">
        <v>234</v>
      </c>
      <c r="K62" s="165">
        <v>208</v>
      </c>
      <c r="L62" s="166">
        <f t="shared" si="0"/>
        <v>769.6</v>
      </c>
      <c r="M62" s="177" t="s">
        <v>754</v>
      </c>
      <c r="N62" s="150" t="s">
        <v>895</v>
      </c>
      <c r="O62" s="150">
        <v>29</v>
      </c>
      <c r="P62" s="150" t="s">
        <v>892</v>
      </c>
      <c r="Q62" s="150">
        <v>21</v>
      </c>
      <c r="R62" s="150" t="s">
        <v>1247</v>
      </c>
      <c r="S62" s="151">
        <v>9</v>
      </c>
      <c r="T62" s="45">
        <v>2324</v>
      </c>
      <c r="U62" s="45" t="s">
        <v>1365</v>
      </c>
      <c r="V62" s="45">
        <v>2310</v>
      </c>
      <c r="W62" s="45" t="s">
        <v>1366</v>
      </c>
      <c r="X62" s="98">
        <v>44816</v>
      </c>
      <c r="Y62" s="98">
        <v>45086</v>
      </c>
      <c r="Z62" s="98"/>
      <c r="AA62" s="98"/>
      <c r="AB62" s="41" t="s">
        <v>1118</v>
      </c>
      <c r="AC62" s="41"/>
      <c r="AD62" s="42"/>
      <c r="AE62" s="42"/>
      <c r="AF62" s="42"/>
      <c r="AG62" s="42" t="s">
        <v>734</v>
      </c>
      <c r="AH62" s="42" t="s">
        <v>734</v>
      </c>
      <c r="AI62" s="42" t="s">
        <v>734</v>
      </c>
      <c r="AJ62" s="42" t="s">
        <v>734</v>
      </c>
      <c r="AK62" s="42" t="s">
        <v>734</v>
      </c>
      <c r="AL62" s="42" t="s">
        <v>734</v>
      </c>
      <c r="AM62" s="42" t="s">
        <v>734</v>
      </c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68">
        <v>25.6</v>
      </c>
      <c r="BA62" s="68"/>
      <c r="BB62" s="68"/>
      <c r="BD62" s="67">
        <f t="shared" si="1"/>
        <v>5324.8</v>
      </c>
      <c r="BE62" s="67"/>
      <c r="BF62" s="37"/>
      <c r="BG62" s="73">
        <v>1</v>
      </c>
      <c r="BH62" s="67">
        <f t="shared" si="16"/>
        <v>0</v>
      </c>
      <c r="BI62" s="67">
        <f t="shared" si="17"/>
        <v>0</v>
      </c>
      <c r="BJ62" s="70">
        <f t="shared" si="18"/>
        <v>0</v>
      </c>
      <c r="BN62" s="67">
        <f>IF((AX62+AY62+AZ62)&lt;20,(20-(AX62+AY62+AZ62)),0)</f>
        <v>0</v>
      </c>
      <c r="BO62" s="70">
        <f t="shared" si="2"/>
        <v>0</v>
      </c>
      <c r="BP62" s="37">
        <v>17</v>
      </c>
      <c r="BQ62" s="37">
        <v>25</v>
      </c>
      <c r="BR62" s="37">
        <v>25</v>
      </c>
      <c r="BS62" s="37">
        <v>18</v>
      </c>
      <c r="BT62" s="87">
        <f t="shared" si="3"/>
        <v>25.6</v>
      </c>
      <c r="BU62" s="87"/>
      <c r="BV62" s="87"/>
      <c r="BW62" s="87"/>
      <c r="BX62" s="87"/>
      <c r="BY62" s="87"/>
      <c r="BZ62" s="87"/>
      <c r="CA62" s="87"/>
      <c r="CB62" s="87"/>
      <c r="CC62" s="87"/>
      <c r="CD62" s="87"/>
      <c r="CF62" s="67">
        <f t="shared" si="4"/>
        <v>435.20000000000005</v>
      </c>
      <c r="CG62" s="67">
        <f t="shared" si="5"/>
        <v>640</v>
      </c>
      <c r="CH62" s="67">
        <f t="shared" si="19"/>
        <v>640</v>
      </c>
      <c r="CI62" s="67">
        <f t="shared" si="11"/>
        <v>460.8</v>
      </c>
      <c r="CJ62" s="37">
        <f t="shared" si="7"/>
        <v>62.900000000000006</v>
      </c>
      <c r="CK62" s="37">
        <f t="shared" si="8"/>
        <v>92.5</v>
      </c>
      <c r="CL62" s="37">
        <f t="shared" si="9"/>
        <v>92.5</v>
      </c>
      <c r="CM62" s="37">
        <f t="shared" si="10"/>
        <v>66.600000000000009</v>
      </c>
    </row>
    <row r="63" spans="1:91" ht="45">
      <c r="B63" s="156">
        <v>62</v>
      </c>
      <c r="C63" s="160">
        <v>214</v>
      </c>
      <c r="D63" s="160"/>
      <c r="E63" s="161">
        <v>0.30833333333333335</v>
      </c>
      <c r="F63" s="161">
        <v>0.32291666666666669</v>
      </c>
      <c r="G63" s="160" t="s">
        <v>327</v>
      </c>
      <c r="H63" s="160" t="s">
        <v>97</v>
      </c>
      <c r="I63" s="163">
        <v>10.5</v>
      </c>
      <c r="J63" s="164" t="s">
        <v>331</v>
      </c>
      <c r="K63" s="165">
        <v>208</v>
      </c>
      <c r="L63" s="166">
        <f t="shared" si="0"/>
        <v>2184</v>
      </c>
      <c r="M63" s="177" t="s">
        <v>755</v>
      </c>
      <c r="N63" s="150" t="s">
        <v>1037</v>
      </c>
      <c r="O63" s="150">
        <v>9</v>
      </c>
      <c r="P63" s="150" t="s">
        <v>1248</v>
      </c>
      <c r="Q63" s="150">
        <v>9</v>
      </c>
      <c r="S63" s="150"/>
      <c r="T63" s="45">
        <v>2160</v>
      </c>
      <c r="U63" s="45" t="s">
        <v>1367</v>
      </c>
      <c r="V63" s="45">
        <v>960</v>
      </c>
      <c r="W63" s="45" t="s">
        <v>1354</v>
      </c>
      <c r="X63" s="98">
        <v>44816</v>
      </c>
      <c r="Y63" s="98">
        <v>45086</v>
      </c>
      <c r="Z63" s="98"/>
      <c r="AA63" s="98"/>
      <c r="AB63" s="41" t="s">
        <v>1118</v>
      </c>
      <c r="AC63" s="41"/>
      <c r="AD63" s="42"/>
      <c r="AE63" s="42"/>
      <c r="AF63" s="42"/>
      <c r="AG63" s="42" t="s">
        <v>734</v>
      </c>
      <c r="AH63" s="42" t="s">
        <v>734</v>
      </c>
      <c r="AI63" s="42" t="s">
        <v>734</v>
      </c>
      <c r="AJ63" s="42" t="s">
        <v>734</v>
      </c>
      <c r="AK63" s="42" t="s">
        <v>734</v>
      </c>
      <c r="AL63" s="42" t="s">
        <v>734</v>
      </c>
      <c r="AM63" s="42" t="s">
        <v>734</v>
      </c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68">
        <v>31.5</v>
      </c>
      <c r="BA63" s="68"/>
      <c r="BB63" s="68"/>
      <c r="BD63" s="67">
        <f t="shared" si="1"/>
        <v>6552</v>
      </c>
      <c r="BE63" s="67"/>
      <c r="BF63" s="37"/>
      <c r="BG63" s="73">
        <v>1</v>
      </c>
      <c r="BH63" s="67">
        <f t="shared" si="16"/>
        <v>0</v>
      </c>
      <c r="BI63" s="67">
        <f t="shared" si="17"/>
        <v>0</v>
      </c>
      <c r="BJ63" s="70">
        <f t="shared" si="18"/>
        <v>0</v>
      </c>
      <c r="BN63" s="37"/>
      <c r="BO63" s="70">
        <f t="shared" si="2"/>
        <v>0</v>
      </c>
      <c r="BP63" s="37">
        <v>17</v>
      </c>
      <c r="BQ63" s="37">
        <v>25</v>
      </c>
      <c r="BR63" s="37">
        <v>25</v>
      </c>
      <c r="BS63" s="37">
        <v>18</v>
      </c>
      <c r="BT63" s="87">
        <f t="shared" si="3"/>
        <v>31.5</v>
      </c>
      <c r="BU63" s="87"/>
      <c r="BV63" s="87"/>
      <c r="BW63" s="87"/>
      <c r="BX63" s="87"/>
      <c r="BY63" s="87"/>
      <c r="BZ63" s="87"/>
      <c r="CA63" s="87"/>
      <c r="CB63" s="87"/>
      <c r="CC63" s="87"/>
      <c r="CD63" s="87"/>
      <c r="CF63" s="67">
        <f t="shared" si="4"/>
        <v>535.5</v>
      </c>
      <c r="CG63" s="67">
        <f t="shared" si="5"/>
        <v>787.5</v>
      </c>
      <c r="CH63" s="67">
        <f t="shared" si="19"/>
        <v>787.5</v>
      </c>
      <c r="CI63" s="67">
        <f t="shared" si="11"/>
        <v>567</v>
      </c>
      <c r="CJ63" s="37">
        <f t="shared" si="7"/>
        <v>178.5</v>
      </c>
      <c r="CK63" s="37">
        <f t="shared" si="8"/>
        <v>262.5</v>
      </c>
      <c r="CL63" s="37">
        <f t="shared" si="9"/>
        <v>262.5</v>
      </c>
      <c r="CM63" s="37">
        <f t="shared" si="10"/>
        <v>189</v>
      </c>
    </row>
    <row r="64" spans="1:91" ht="45">
      <c r="B64" s="156">
        <v>63</v>
      </c>
      <c r="C64" s="160">
        <v>214</v>
      </c>
      <c r="D64" s="160">
        <v>616</v>
      </c>
      <c r="E64" s="161">
        <v>0.54305555555555551</v>
      </c>
      <c r="F64" s="161">
        <v>0.54583333333333328</v>
      </c>
      <c r="G64" s="160" t="s">
        <v>434</v>
      </c>
      <c r="H64" s="160" t="s">
        <v>534</v>
      </c>
      <c r="I64" s="163">
        <v>3.1</v>
      </c>
      <c r="J64" s="164" t="s">
        <v>116</v>
      </c>
      <c r="K64" s="165">
        <v>34</v>
      </c>
      <c r="L64" s="166">
        <f t="shared" si="0"/>
        <v>105.4</v>
      </c>
      <c r="M64" s="177" t="s">
        <v>755</v>
      </c>
      <c r="N64" s="150" t="s">
        <v>1037</v>
      </c>
      <c r="O64" s="150">
        <v>9</v>
      </c>
      <c r="P64" s="150" t="s">
        <v>1248</v>
      </c>
      <c r="Q64" s="150">
        <v>9</v>
      </c>
      <c r="S64" s="150"/>
      <c r="T64" s="45">
        <v>2163</v>
      </c>
      <c r="U64" s="45" t="s">
        <v>1368</v>
      </c>
      <c r="V64" s="45">
        <v>2160</v>
      </c>
      <c r="W64" s="45" t="s">
        <v>1367</v>
      </c>
      <c r="X64" s="98">
        <v>44816</v>
      </c>
      <c r="Y64" s="98">
        <v>45086</v>
      </c>
      <c r="Z64" s="98"/>
      <c r="AA64" s="98"/>
      <c r="AB64" s="42" t="s">
        <v>1123</v>
      </c>
      <c r="AC64" s="42"/>
      <c r="AD64" s="42"/>
      <c r="AE64" s="42"/>
      <c r="AF64" s="42"/>
      <c r="AG64" s="42" t="s">
        <v>734</v>
      </c>
      <c r="AH64" s="42"/>
      <c r="AI64" s="42"/>
      <c r="AJ64" s="42"/>
      <c r="AK64" s="42"/>
      <c r="AL64" s="42"/>
      <c r="AM64" s="42" t="s">
        <v>734</v>
      </c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68">
        <v>18.899999999999999</v>
      </c>
      <c r="BA64" s="68"/>
      <c r="BB64" s="68"/>
      <c r="BD64" s="67">
        <f t="shared" si="1"/>
        <v>642.59999999999991</v>
      </c>
      <c r="BE64" s="67"/>
      <c r="BF64" s="37"/>
      <c r="BG64" s="73">
        <v>1</v>
      </c>
      <c r="BH64" s="67">
        <f t="shared" si="16"/>
        <v>0</v>
      </c>
      <c r="BI64" s="67">
        <f t="shared" si="17"/>
        <v>0</v>
      </c>
      <c r="BJ64" s="70">
        <f t="shared" si="18"/>
        <v>0</v>
      </c>
      <c r="BN64" s="37"/>
      <c r="BO64" s="70">
        <f t="shared" si="2"/>
        <v>0</v>
      </c>
      <c r="BP64" s="37">
        <v>2</v>
      </c>
      <c r="BQ64" s="37">
        <v>5</v>
      </c>
      <c r="BR64" s="37">
        <v>4</v>
      </c>
      <c r="BS64" s="37">
        <v>3</v>
      </c>
      <c r="BT64" s="87">
        <f t="shared" si="3"/>
        <v>18.899999999999999</v>
      </c>
      <c r="BU64" s="87"/>
      <c r="BV64" s="87"/>
      <c r="BW64" s="87"/>
      <c r="BX64" s="87"/>
      <c r="BY64" s="87"/>
      <c r="BZ64" s="87"/>
      <c r="CA64" s="87"/>
      <c r="CB64" s="87"/>
      <c r="CC64" s="87"/>
      <c r="CD64" s="87"/>
      <c r="CF64" s="67">
        <f t="shared" si="4"/>
        <v>37.799999999999997</v>
      </c>
      <c r="CG64" s="67">
        <f t="shared" si="5"/>
        <v>94.5</v>
      </c>
      <c r="CH64" s="67">
        <f t="shared" si="19"/>
        <v>75.599999999999994</v>
      </c>
      <c r="CI64" s="67">
        <f t="shared" si="11"/>
        <v>56.699999999999996</v>
      </c>
      <c r="CJ64" s="37">
        <f t="shared" si="7"/>
        <v>6.2</v>
      </c>
      <c r="CK64" s="37">
        <f t="shared" si="8"/>
        <v>15.5</v>
      </c>
      <c r="CL64" s="37">
        <f t="shared" si="9"/>
        <v>12.4</v>
      </c>
      <c r="CM64" s="37">
        <f t="shared" si="10"/>
        <v>9.3000000000000007</v>
      </c>
    </row>
    <row r="65" spans="2:91" ht="45">
      <c r="B65" s="156">
        <v>64</v>
      </c>
      <c r="C65" s="160">
        <v>214</v>
      </c>
      <c r="D65" s="160">
        <v>49</v>
      </c>
      <c r="E65" s="161">
        <v>0.54861111111111105</v>
      </c>
      <c r="F65" s="161">
        <v>0.58680555555555558</v>
      </c>
      <c r="G65" s="160" t="s">
        <v>327</v>
      </c>
      <c r="H65" s="160" t="s">
        <v>253</v>
      </c>
      <c r="I65" s="163">
        <v>10.5</v>
      </c>
      <c r="J65" s="164" t="s">
        <v>116</v>
      </c>
      <c r="K65" s="165">
        <v>34</v>
      </c>
      <c r="L65" s="166">
        <f t="shared" ref="L65:L128" si="20">+K65*I65</f>
        <v>357</v>
      </c>
      <c r="M65" s="177" t="s">
        <v>755</v>
      </c>
      <c r="N65" s="154" t="s">
        <v>1037</v>
      </c>
      <c r="O65" s="154">
        <v>9</v>
      </c>
      <c r="P65" s="154" t="s">
        <v>1248</v>
      </c>
      <c r="Q65" s="154">
        <v>9</v>
      </c>
      <c r="S65" s="154"/>
      <c r="T65" s="45">
        <v>2160</v>
      </c>
      <c r="U65" s="45" t="s">
        <v>1367</v>
      </c>
      <c r="V65" s="45">
        <v>960</v>
      </c>
      <c r="W65" s="45" t="s">
        <v>1354</v>
      </c>
      <c r="X65" s="98">
        <v>44816</v>
      </c>
      <c r="Y65" s="98">
        <v>45086</v>
      </c>
      <c r="Z65" s="98"/>
      <c r="AA65" s="98"/>
      <c r="AB65" s="42" t="s">
        <v>1123</v>
      </c>
      <c r="AC65" s="42"/>
      <c r="AD65" s="42"/>
      <c r="AE65" s="42"/>
      <c r="AF65" s="42"/>
      <c r="AG65" s="42" t="s">
        <v>734</v>
      </c>
      <c r="AH65" s="42"/>
      <c r="AI65" s="42"/>
      <c r="AJ65" s="42"/>
      <c r="AK65" s="42"/>
      <c r="AL65" s="42"/>
      <c r="AM65" s="42" t="s">
        <v>734</v>
      </c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68">
        <v>18.899999999999999</v>
      </c>
      <c r="BA65" s="68"/>
      <c r="BB65" s="68"/>
      <c r="BD65" s="67">
        <f t="shared" si="1"/>
        <v>642.59999999999991</v>
      </c>
      <c r="BE65" s="67"/>
      <c r="BF65" s="37"/>
      <c r="BG65" s="73">
        <v>1</v>
      </c>
      <c r="BH65" s="67">
        <f t="shared" si="16"/>
        <v>2.1000000000000014</v>
      </c>
      <c r="BI65" s="67">
        <f t="shared" si="17"/>
        <v>0</v>
      </c>
      <c r="BJ65" s="67">
        <f t="shared" si="18"/>
        <v>71.400000000000048</v>
      </c>
      <c r="BN65" s="37"/>
      <c r="BO65" s="70">
        <f t="shared" ref="BO65:BO128" si="21">BN65*K65</f>
        <v>0</v>
      </c>
      <c r="BP65" s="37">
        <v>2</v>
      </c>
      <c r="BQ65" s="37">
        <v>5</v>
      </c>
      <c r="BR65" s="37">
        <v>4</v>
      </c>
      <c r="BS65" s="37">
        <v>3</v>
      </c>
      <c r="BT65" s="87">
        <f t="shared" ref="BT65:BT128" si="22">SUM(AX65:AZ65)+SUM(BH65:BI65)+SUM(BK65:BL65)+BN65</f>
        <v>21</v>
      </c>
      <c r="BU65" s="87"/>
      <c r="BV65" s="87"/>
      <c r="BW65" s="87"/>
      <c r="BX65" s="87"/>
      <c r="BY65" s="87"/>
      <c r="BZ65" s="87"/>
      <c r="CA65" s="87"/>
      <c r="CB65" s="87"/>
      <c r="CC65" s="87"/>
      <c r="CD65" s="87"/>
      <c r="CF65" s="67">
        <f t="shared" si="4"/>
        <v>42</v>
      </c>
      <c r="CG65" s="67">
        <f t="shared" si="5"/>
        <v>105</v>
      </c>
      <c r="CH65" s="67">
        <f t="shared" si="19"/>
        <v>84</v>
      </c>
      <c r="CI65" s="67">
        <f t="shared" si="11"/>
        <v>63</v>
      </c>
      <c r="CJ65" s="37">
        <f t="shared" si="7"/>
        <v>21</v>
      </c>
      <c r="CK65" s="37">
        <f t="shared" si="8"/>
        <v>52.5</v>
      </c>
      <c r="CL65" s="37">
        <f t="shared" si="9"/>
        <v>42</v>
      </c>
      <c r="CM65" s="37">
        <f t="shared" si="10"/>
        <v>31.5</v>
      </c>
    </row>
    <row r="66" spans="2:91" ht="25.5">
      <c r="B66" s="156">
        <v>65</v>
      </c>
      <c r="C66" s="160">
        <v>214</v>
      </c>
      <c r="D66" s="160">
        <v>618</v>
      </c>
      <c r="E66" s="161">
        <v>0.5708333333333333</v>
      </c>
      <c r="F66" s="161">
        <v>0.57361111111111118</v>
      </c>
      <c r="G66" s="160" t="s">
        <v>434</v>
      </c>
      <c r="H66" s="174" t="s">
        <v>1201</v>
      </c>
      <c r="I66" s="163">
        <v>3.1</v>
      </c>
      <c r="J66" s="164" t="s">
        <v>116</v>
      </c>
      <c r="K66" s="179">
        <f>174-K67</f>
        <v>106</v>
      </c>
      <c r="L66" s="166">
        <f t="shared" si="20"/>
        <v>328.6</v>
      </c>
      <c r="M66" s="167" t="s">
        <v>1203</v>
      </c>
      <c r="N66" s="150" t="s">
        <v>842</v>
      </c>
      <c r="O66" s="150">
        <v>9</v>
      </c>
      <c r="P66" s="150" t="s">
        <v>843</v>
      </c>
      <c r="Q66" s="150">
        <v>23</v>
      </c>
      <c r="R66" s="150" t="s">
        <v>1249</v>
      </c>
      <c r="S66" s="154">
        <v>7</v>
      </c>
      <c r="T66" s="45">
        <v>2163</v>
      </c>
      <c r="U66" s="45" t="s">
        <v>1368</v>
      </c>
      <c r="V66" s="45">
        <v>2160</v>
      </c>
      <c r="W66" s="45" t="s">
        <v>1367</v>
      </c>
      <c r="X66" s="98">
        <v>44816</v>
      </c>
      <c r="Y66" s="98">
        <v>45086</v>
      </c>
      <c r="Z66" s="98"/>
      <c r="AA66" s="98"/>
      <c r="AB66" s="41" t="s">
        <v>1144</v>
      </c>
      <c r="AC66" s="41"/>
      <c r="AD66" s="42"/>
      <c r="AE66" s="42"/>
      <c r="AF66" s="42"/>
      <c r="AG66" s="42" t="s">
        <v>734</v>
      </c>
      <c r="AH66" s="42" t="s">
        <v>734</v>
      </c>
      <c r="AI66" s="42"/>
      <c r="AJ66" s="42" t="s">
        <v>734</v>
      </c>
      <c r="AK66" s="42"/>
      <c r="AL66" s="42" t="s">
        <v>734</v>
      </c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67">
        <v>18.899999999999999</v>
      </c>
      <c r="BA66" s="67"/>
      <c r="BB66" s="67"/>
      <c r="BD66" s="67">
        <f t="shared" si="1"/>
        <v>2003.3999999999999</v>
      </c>
      <c r="BE66" s="67"/>
      <c r="BF66" s="37"/>
      <c r="BG66" s="73">
        <v>1</v>
      </c>
      <c r="BH66" s="67">
        <f t="shared" si="16"/>
        <v>0</v>
      </c>
      <c r="BI66" s="67">
        <f t="shared" si="17"/>
        <v>0</v>
      </c>
      <c r="BJ66" s="70">
        <f t="shared" si="18"/>
        <v>0</v>
      </c>
      <c r="BN66" s="37"/>
      <c r="BO66" s="70">
        <f t="shared" si="21"/>
        <v>0</v>
      </c>
      <c r="BP66" s="37">
        <v>9</v>
      </c>
      <c r="BQ66" s="37">
        <v>12</v>
      </c>
      <c r="BR66" s="37">
        <v>13</v>
      </c>
      <c r="BS66" s="37">
        <v>9</v>
      </c>
      <c r="BT66" s="87">
        <f t="shared" si="22"/>
        <v>18.899999999999999</v>
      </c>
      <c r="BU66" s="87"/>
      <c r="BV66" s="87"/>
      <c r="BW66" s="87"/>
      <c r="BX66" s="87"/>
      <c r="BY66" s="87"/>
      <c r="BZ66" s="87"/>
      <c r="CA66" s="87"/>
      <c r="CB66" s="87"/>
      <c r="CC66" s="87"/>
      <c r="CD66" s="87"/>
      <c r="CF66" s="67">
        <f t="shared" si="4"/>
        <v>170.1</v>
      </c>
      <c r="CG66" s="67">
        <f t="shared" si="5"/>
        <v>226.79999999999998</v>
      </c>
      <c r="CH66" s="67">
        <f t="shared" si="19"/>
        <v>245.7</v>
      </c>
      <c r="CI66" s="67">
        <f t="shared" si="11"/>
        <v>170.1</v>
      </c>
      <c r="CJ66" s="37">
        <f t="shared" si="7"/>
        <v>27.900000000000002</v>
      </c>
      <c r="CK66" s="37">
        <f t="shared" si="8"/>
        <v>37.200000000000003</v>
      </c>
      <c r="CL66" s="37">
        <f t="shared" si="9"/>
        <v>40.300000000000004</v>
      </c>
      <c r="CM66" s="37">
        <f t="shared" si="10"/>
        <v>27.900000000000002</v>
      </c>
    </row>
    <row r="67" spans="2:91" ht="45">
      <c r="B67" s="181" t="s">
        <v>1197</v>
      </c>
      <c r="C67" s="160">
        <v>214</v>
      </c>
      <c r="D67" s="160">
        <v>618</v>
      </c>
      <c r="E67" s="161">
        <v>0.5708333333333333</v>
      </c>
      <c r="F67" s="161">
        <v>0.57361111111111118</v>
      </c>
      <c r="G67" s="160" t="s">
        <v>434</v>
      </c>
      <c r="H67" s="174" t="s">
        <v>1202</v>
      </c>
      <c r="I67" s="163">
        <v>3.1</v>
      </c>
      <c r="J67" s="164" t="s">
        <v>116</v>
      </c>
      <c r="K67" s="179">
        <v>68</v>
      </c>
      <c r="L67" s="166">
        <f t="shared" si="20"/>
        <v>210.8</v>
      </c>
      <c r="M67" s="177" t="s">
        <v>755</v>
      </c>
      <c r="N67" s="150" t="s">
        <v>1200</v>
      </c>
      <c r="O67" s="150">
        <v>9</v>
      </c>
      <c r="P67" s="150" t="s">
        <v>1250</v>
      </c>
      <c r="Q67" s="150">
        <v>9</v>
      </c>
      <c r="R67" s="150"/>
      <c r="S67" s="150"/>
      <c r="T67" s="45">
        <v>2163</v>
      </c>
      <c r="U67" s="45" t="s">
        <v>1368</v>
      </c>
      <c r="V67" s="45">
        <v>2160</v>
      </c>
      <c r="W67" s="45" t="s">
        <v>1367</v>
      </c>
      <c r="X67" s="98">
        <v>44816</v>
      </c>
      <c r="Y67" s="98">
        <v>45086</v>
      </c>
      <c r="Z67" s="98"/>
      <c r="AA67" s="98"/>
      <c r="AB67" s="41" t="s">
        <v>1134</v>
      </c>
      <c r="AC67" s="41"/>
      <c r="AD67" s="42"/>
      <c r="AE67" s="42"/>
      <c r="AF67" s="42"/>
      <c r="AG67" s="42" t="s">
        <v>734</v>
      </c>
      <c r="AH67" s="42"/>
      <c r="AI67" s="42" t="s">
        <v>734</v>
      </c>
      <c r="AJ67" s="42"/>
      <c r="AK67" s="42" t="s">
        <v>734</v>
      </c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67">
        <v>18.899999999999999</v>
      </c>
      <c r="BA67" s="67"/>
      <c r="BB67" s="67"/>
      <c r="BD67" s="67">
        <f t="shared" ref="BD67:BD130" si="23">AX67*K67</f>
        <v>1285.1999999999998</v>
      </c>
      <c r="BE67" s="67"/>
      <c r="BF67" s="37"/>
      <c r="BG67" s="73">
        <v>1</v>
      </c>
      <c r="BH67" s="67">
        <f t="shared" si="16"/>
        <v>0</v>
      </c>
      <c r="BI67" s="67">
        <f t="shared" si="17"/>
        <v>0</v>
      </c>
      <c r="BJ67" s="70">
        <f t="shared" si="18"/>
        <v>0</v>
      </c>
      <c r="BN67" s="37"/>
      <c r="BO67" s="70">
        <f t="shared" si="21"/>
        <v>0</v>
      </c>
      <c r="BP67" s="37">
        <v>6</v>
      </c>
      <c r="BQ67" s="37">
        <v>8</v>
      </c>
      <c r="BR67" s="37">
        <v>8</v>
      </c>
      <c r="BS67" s="37">
        <v>6</v>
      </c>
      <c r="BT67" s="87">
        <f t="shared" si="22"/>
        <v>18.899999999999999</v>
      </c>
      <c r="BU67" s="87"/>
      <c r="BV67" s="87"/>
      <c r="BW67" s="87"/>
      <c r="BX67" s="87"/>
      <c r="BY67" s="87"/>
      <c r="BZ67" s="87"/>
      <c r="CA67" s="87"/>
      <c r="CB67" s="87"/>
      <c r="CC67" s="87"/>
      <c r="CD67" s="87"/>
      <c r="CF67" s="67">
        <f t="shared" ref="CF67:CF130" si="24">(BT67*BP67)+(BV67*CD67)</f>
        <v>113.39999999999999</v>
      </c>
      <c r="CG67" s="67">
        <f t="shared" ref="CG67:CG130" si="25">(BT67*BQ67)+(BX67*CD67)</f>
        <v>151.19999999999999</v>
      </c>
      <c r="CH67" s="67">
        <f t="shared" ref="CH67:CH130" si="26">(BR67*BT67)+(BZ67*CD67)</f>
        <v>151.19999999999999</v>
      </c>
      <c r="CI67" s="67">
        <f t="shared" si="11"/>
        <v>113.39999999999999</v>
      </c>
      <c r="CJ67" s="37">
        <f t="shared" ref="CJ67:CJ130" si="27">BP67*I67</f>
        <v>18.600000000000001</v>
      </c>
      <c r="CK67" s="37">
        <f t="shared" ref="CK67:CK130" si="28">BQ67*I67</f>
        <v>24.8</v>
      </c>
      <c r="CL67" s="37">
        <f t="shared" ref="CL67:CL130" si="29">BR67*I67</f>
        <v>24.8</v>
      </c>
      <c r="CM67" s="37">
        <f t="shared" ref="CM67:CM130" si="30">BS67*I67</f>
        <v>18.600000000000001</v>
      </c>
    </row>
    <row r="68" spans="2:91" ht="25.5">
      <c r="B68" s="156">
        <v>66</v>
      </c>
      <c r="C68" s="160">
        <v>214</v>
      </c>
      <c r="D68" s="160">
        <v>49</v>
      </c>
      <c r="E68" s="173">
        <v>0.60902777777777783</v>
      </c>
      <c r="F68" s="173">
        <v>0.62361111111111112</v>
      </c>
      <c r="G68" s="160" t="s">
        <v>327</v>
      </c>
      <c r="H68" s="174" t="s">
        <v>1201</v>
      </c>
      <c r="I68" s="163">
        <v>10.5</v>
      </c>
      <c r="J68" s="164" t="s">
        <v>98</v>
      </c>
      <c r="K68" s="179">
        <f>174-K69</f>
        <v>106</v>
      </c>
      <c r="L68" s="166">
        <f t="shared" si="20"/>
        <v>1113</v>
      </c>
      <c r="M68" s="167" t="s">
        <v>1203</v>
      </c>
      <c r="N68" s="150" t="s">
        <v>842</v>
      </c>
      <c r="O68" s="150">
        <v>9</v>
      </c>
      <c r="P68" s="150" t="s">
        <v>843</v>
      </c>
      <c r="Q68" s="150">
        <v>23</v>
      </c>
      <c r="R68" s="150" t="s">
        <v>1249</v>
      </c>
      <c r="S68" s="154">
        <v>7</v>
      </c>
      <c r="T68" s="45">
        <v>2160</v>
      </c>
      <c r="U68" s="45" t="s">
        <v>1367</v>
      </c>
      <c r="V68" s="45">
        <v>960</v>
      </c>
      <c r="W68" s="45" t="s">
        <v>1354</v>
      </c>
      <c r="X68" s="98">
        <v>44816</v>
      </c>
      <c r="Y68" s="98">
        <v>45086</v>
      </c>
      <c r="Z68" s="98"/>
      <c r="AA68" s="98"/>
      <c r="AB68" s="41" t="s">
        <v>1144</v>
      </c>
      <c r="AC68" s="41"/>
      <c r="AD68" s="42"/>
      <c r="AE68" s="42"/>
      <c r="AF68" s="42"/>
      <c r="AG68" s="42" t="s">
        <v>734</v>
      </c>
      <c r="AH68" s="42" t="s">
        <v>734</v>
      </c>
      <c r="AI68" s="42"/>
      <c r="AJ68" s="42" t="s">
        <v>734</v>
      </c>
      <c r="AK68" s="42"/>
      <c r="AL68" s="42" t="s">
        <v>734</v>
      </c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68">
        <v>18.899999999999999</v>
      </c>
      <c r="BA68" s="68"/>
      <c r="BB68" s="68"/>
      <c r="BD68" s="67">
        <f t="shared" si="23"/>
        <v>2003.3999999999999</v>
      </c>
      <c r="BE68" s="67"/>
      <c r="BF68" s="37"/>
      <c r="BG68" s="73">
        <v>1</v>
      </c>
      <c r="BH68" s="67">
        <f t="shared" si="16"/>
        <v>2.1000000000000014</v>
      </c>
      <c r="BI68" s="67">
        <f t="shared" si="17"/>
        <v>0</v>
      </c>
      <c r="BJ68" s="67">
        <f t="shared" si="18"/>
        <v>222.60000000000014</v>
      </c>
      <c r="BN68" s="37"/>
      <c r="BO68" s="70">
        <f t="shared" si="21"/>
        <v>0</v>
      </c>
      <c r="BP68" s="37">
        <v>9</v>
      </c>
      <c r="BQ68" s="37">
        <v>12</v>
      </c>
      <c r="BR68" s="37">
        <v>13</v>
      </c>
      <c r="BS68" s="37">
        <v>9</v>
      </c>
      <c r="BT68" s="87">
        <f t="shared" si="22"/>
        <v>21</v>
      </c>
      <c r="BU68" s="87"/>
      <c r="BV68" s="87"/>
      <c r="BW68" s="87"/>
      <c r="BX68" s="87"/>
      <c r="BY68" s="87"/>
      <c r="BZ68" s="87"/>
      <c r="CA68" s="87"/>
      <c r="CB68" s="87"/>
      <c r="CC68" s="87"/>
      <c r="CD68" s="87"/>
      <c r="CF68" s="67">
        <f t="shared" si="24"/>
        <v>189</v>
      </c>
      <c r="CG68" s="67">
        <f t="shared" si="25"/>
        <v>252</v>
      </c>
      <c r="CH68" s="67">
        <f t="shared" si="26"/>
        <v>273</v>
      </c>
      <c r="CI68" s="67">
        <f t="shared" ref="CI68:CI131" si="31">(BS68*BT68)+(CB68*CD68)</f>
        <v>189</v>
      </c>
      <c r="CJ68" s="37">
        <f t="shared" si="27"/>
        <v>94.5</v>
      </c>
      <c r="CK68" s="37">
        <f t="shared" si="28"/>
        <v>126</v>
      </c>
      <c r="CL68" s="37">
        <f t="shared" si="29"/>
        <v>136.5</v>
      </c>
      <c r="CM68" s="37">
        <f t="shared" si="30"/>
        <v>94.5</v>
      </c>
    </row>
    <row r="69" spans="2:91" ht="45">
      <c r="B69" s="181" t="s">
        <v>1198</v>
      </c>
      <c r="C69" s="160">
        <v>214</v>
      </c>
      <c r="D69" s="160">
        <v>49</v>
      </c>
      <c r="E69" s="173">
        <v>0.60902777777777783</v>
      </c>
      <c r="F69" s="173">
        <v>0.62361111111111112</v>
      </c>
      <c r="G69" s="160" t="s">
        <v>327</v>
      </c>
      <c r="H69" s="174" t="s">
        <v>1202</v>
      </c>
      <c r="I69" s="163">
        <v>10.5</v>
      </c>
      <c r="J69" s="164" t="s">
        <v>98</v>
      </c>
      <c r="K69" s="179">
        <v>68</v>
      </c>
      <c r="L69" s="166">
        <f t="shared" si="20"/>
        <v>714</v>
      </c>
      <c r="M69" s="177" t="s">
        <v>755</v>
      </c>
      <c r="N69" s="150" t="s">
        <v>1200</v>
      </c>
      <c r="O69" s="150">
        <v>9</v>
      </c>
      <c r="P69" s="150" t="s">
        <v>1250</v>
      </c>
      <c r="Q69" s="150">
        <v>9</v>
      </c>
      <c r="R69" s="150"/>
      <c r="S69" s="150"/>
      <c r="T69" s="45">
        <v>2160</v>
      </c>
      <c r="U69" s="45" t="s">
        <v>1367</v>
      </c>
      <c r="V69" s="45">
        <v>960</v>
      </c>
      <c r="W69" s="45" t="s">
        <v>1354</v>
      </c>
      <c r="X69" s="98">
        <v>44816</v>
      </c>
      <c r="Y69" s="98">
        <v>45086</v>
      </c>
      <c r="Z69" s="98"/>
      <c r="AA69" s="98"/>
      <c r="AB69" s="41" t="s">
        <v>1134</v>
      </c>
      <c r="AC69" s="41"/>
      <c r="AD69" s="42"/>
      <c r="AE69" s="42"/>
      <c r="AF69" s="42"/>
      <c r="AG69" s="42" t="s">
        <v>734</v>
      </c>
      <c r="AH69" s="42"/>
      <c r="AI69" s="42" t="s">
        <v>734</v>
      </c>
      <c r="AJ69" s="42"/>
      <c r="AK69" s="42" t="s">
        <v>734</v>
      </c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68">
        <v>18.899999999999999</v>
      </c>
      <c r="BA69" s="68"/>
      <c r="BB69" s="68"/>
      <c r="BD69" s="67">
        <f t="shared" si="23"/>
        <v>1285.1999999999998</v>
      </c>
      <c r="BE69" s="67"/>
      <c r="BF69" s="37"/>
      <c r="BG69" s="73">
        <v>1</v>
      </c>
      <c r="BH69" s="67">
        <f t="shared" si="16"/>
        <v>2.1000000000000014</v>
      </c>
      <c r="BI69" s="67">
        <f t="shared" si="17"/>
        <v>0</v>
      </c>
      <c r="BJ69" s="67">
        <f t="shared" si="18"/>
        <v>142.8000000000001</v>
      </c>
      <c r="BN69" s="37"/>
      <c r="BO69" s="70">
        <f t="shared" si="21"/>
        <v>0</v>
      </c>
      <c r="BP69" s="37">
        <v>6</v>
      </c>
      <c r="BQ69" s="37">
        <v>8</v>
      </c>
      <c r="BR69" s="37">
        <v>8</v>
      </c>
      <c r="BS69" s="37">
        <v>6</v>
      </c>
      <c r="BT69" s="87">
        <f t="shared" si="22"/>
        <v>21</v>
      </c>
      <c r="BU69" s="87"/>
      <c r="BV69" s="87"/>
      <c r="BW69" s="87"/>
      <c r="BX69" s="87"/>
      <c r="BY69" s="87"/>
      <c r="BZ69" s="87"/>
      <c r="CA69" s="87"/>
      <c r="CB69" s="87"/>
      <c r="CC69" s="87"/>
      <c r="CD69" s="87"/>
      <c r="CF69" s="67">
        <f t="shared" si="24"/>
        <v>126</v>
      </c>
      <c r="CG69" s="67">
        <f t="shared" si="25"/>
        <v>168</v>
      </c>
      <c r="CH69" s="67">
        <f t="shared" si="26"/>
        <v>168</v>
      </c>
      <c r="CI69" s="67">
        <f t="shared" si="31"/>
        <v>126</v>
      </c>
      <c r="CJ69" s="37">
        <f t="shared" si="27"/>
        <v>63</v>
      </c>
      <c r="CK69" s="37">
        <f t="shared" si="28"/>
        <v>84</v>
      </c>
      <c r="CL69" s="37">
        <f t="shared" si="29"/>
        <v>84</v>
      </c>
      <c r="CM69" s="37">
        <f t="shared" si="30"/>
        <v>63</v>
      </c>
    </row>
    <row r="70" spans="2:91" ht="25.5">
      <c r="B70" s="156">
        <v>67</v>
      </c>
      <c r="C70" s="160">
        <v>214</v>
      </c>
      <c r="D70" s="160">
        <v>680</v>
      </c>
      <c r="E70" s="161">
        <v>0.60416666666666663</v>
      </c>
      <c r="F70" s="161">
        <v>0.6069444444444444</v>
      </c>
      <c r="G70" s="160" t="s">
        <v>485</v>
      </c>
      <c r="H70" s="174" t="s">
        <v>1201</v>
      </c>
      <c r="I70" s="163">
        <v>3.1</v>
      </c>
      <c r="J70" s="164" t="s">
        <v>98</v>
      </c>
      <c r="K70" s="179">
        <f>174-K71</f>
        <v>106</v>
      </c>
      <c r="L70" s="166">
        <f t="shared" si="20"/>
        <v>328.6</v>
      </c>
      <c r="M70" s="167" t="s">
        <v>1203</v>
      </c>
      <c r="N70" s="150" t="s">
        <v>842</v>
      </c>
      <c r="O70" s="150">
        <v>9</v>
      </c>
      <c r="P70" s="150" t="s">
        <v>843</v>
      </c>
      <c r="Q70" s="150">
        <v>23</v>
      </c>
      <c r="R70" s="150" t="s">
        <v>1249</v>
      </c>
      <c r="S70" s="154">
        <v>7</v>
      </c>
      <c r="T70" s="45">
        <v>2163</v>
      </c>
      <c r="U70" s="45" t="s">
        <v>1368</v>
      </c>
      <c r="V70" s="45">
        <v>2160</v>
      </c>
      <c r="W70" s="45" t="s">
        <v>1367</v>
      </c>
      <c r="X70" s="98">
        <v>44816</v>
      </c>
      <c r="Y70" s="98">
        <v>45086</v>
      </c>
      <c r="Z70" s="98"/>
      <c r="AA70" s="98"/>
      <c r="AB70" s="41" t="s">
        <v>1144</v>
      </c>
      <c r="AC70" s="41"/>
      <c r="AD70" s="42"/>
      <c r="AE70" s="42"/>
      <c r="AF70" s="42"/>
      <c r="AG70" s="42" t="s">
        <v>734</v>
      </c>
      <c r="AH70" s="42" t="s">
        <v>734</v>
      </c>
      <c r="AI70" s="42"/>
      <c r="AJ70" s="42" t="s">
        <v>734</v>
      </c>
      <c r="AK70" s="42"/>
      <c r="AL70" s="42" t="s">
        <v>734</v>
      </c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68">
        <v>18.899999999999999</v>
      </c>
      <c r="BA70" s="68"/>
      <c r="BB70" s="68"/>
      <c r="BD70" s="67">
        <f t="shared" si="23"/>
        <v>2003.3999999999999</v>
      </c>
      <c r="BE70" s="67"/>
      <c r="BF70" s="37"/>
      <c r="BG70" s="73">
        <v>1</v>
      </c>
      <c r="BH70" s="67">
        <f t="shared" si="16"/>
        <v>0</v>
      </c>
      <c r="BI70" s="67">
        <f t="shared" si="17"/>
        <v>0</v>
      </c>
      <c r="BJ70" s="70">
        <f t="shared" si="18"/>
        <v>0</v>
      </c>
      <c r="BN70" s="37"/>
      <c r="BO70" s="70">
        <f t="shared" si="21"/>
        <v>0</v>
      </c>
      <c r="BP70" s="37">
        <v>9</v>
      </c>
      <c r="BQ70" s="37">
        <v>12</v>
      </c>
      <c r="BR70" s="37">
        <v>13</v>
      </c>
      <c r="BS70" s="37">
        <v>9</v>
      </c>
      <c r="BT70" s="87">
        <f t="shared" si="22"/>
        <v>18.899999999999999</v>
      </c>
      <c r="BU70" s="87"/>
      <c r="BV70" s="87"/>
      <c r="BW70" s="87"/>
      <c r="BX70" s="87"/>
      <c r="BY70" s="87"/>
      <c r="BZ70" s="87"/>
      <c r="CA70" s="87"/>
      <c r="CB70" s="87"/>
      <c r="CC70" s="87"/>
      <c r="CD70" s="87"/>
      <c r="CF70" s="67">
        <f t="shared" si="24"/>
        <v>170.1</v>
      </c>
      <c r="CG70" s="67">
        <f t="shared" si="25"/>
        <v>226.79999999999998</v>
      </c>
      <c r="CH70" s="67">
        <f t="shared" si="26"/>
        <v>245.7</v>
      </c>
      <c r="CI70" s="67">
        <f t="shared" si="31"/>
        <v>170.1</v>
      </c>
      <c r="CJ70" s="37">
        <f t="shared" si="27"/>
        <v>27.900000000000002</v>
      </c>
      <c r="CK70" s="37">
        <f t="shared" si="28"/>
        <v>37.200000000000003</v>
      </c>
      <c r="CL70" s="37">
        <f t="shared" si="29"/>
        <v>40.300000000000004</v>
      </c>
      <c r="CM70" s="37">
        <f t="shared" si="30"/>
        <v>27.900000000000002</v>
      </c>
    </row>
    <row r="71" spans="2:91" ht="45">
      <c r="B71" s="181" t="s">
        <v>1199</v>
      </c>
      <c r="C71" s="160">
        <v>214</v>
      </c>
      <c r="D71" s="160">
        <v>680</v>
      </c>
      <c r="E71" s="161">
        <v>0.60416666666666663</v>
      </c>
      <c r="F71" s="161">
        <v>0.6069444444444444</v>
      </c>
      <c r="G71" s="160" t="s">
        <v>485</v>
      </c>
      <c r="H71" s="174" t="s">
        <v>1202</v>
      </c>
      <c r="I71" s="163">
        <v>3.1</v>
      </c>
      <c r="J71" s="164" t="s">
        <v>98</v>
      </c>
      <c r="K71" s="179">
        <v>68</v>
      </c>
      <c r="L71" s="166">
        <f t="shared" si="20"/>
        <v>210.8</v>
      </c>
      <c r="M71" s="177" t="s">
        <v>755</v>
      </c>
      <c r="N71" s="150" t="s">
        <v>1200</v>
      </c>
      <c r="O71" s="150">
        <v>9</v>
      </c>
      <c r="P71" s="150" t="s">
        <v>1250</v>
      </c>
      <c r="Q71" s="150">
        <v>9</v>
      </c>
      <c r="R71" s="150"/>
      <c r="S71" s="150"/>
      <c r="T71" s="45">
        <v>2163</v>
      </c>
      <c r="U71" s="45" t="s">
        <v>1368</v>
      </c>
      <c r="V71" s="45">
        <v>2160</v>
      </c>
      <c r="W71" s="45" t="s">
        <v>1367</v>
      </c>
      <c r="X71" s="98">
        <v>44816</v>
      </c>
      <c r="Y71" s="98">
        <v>45086</v>
      </c>
      <c r="Z71" s="98"/>
      <c r="AA71" s="98"/>
      <c r="AB71" s="41" t="s">
        <v>1134</v>
      </c>
      <c r="AC71" s="41"/>
      <c r="AD71" s="42"/>
      <c r="AE71" s="42"/>
      <c r="AF71" s="42"/>
      <c r="AG71" s="42" t="s">
        <v>734</v>
      </c>
      <c r="AH71" s="42"/>
      <c r="AI71" s="42" t="s">
        <v>734</v>
      </c>
      <c r="AJ71" s="42"/>
      <c r="AK71" s="42" t="s">
        <v>734</v>
      </c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68">
        <v>18.899999999999999</v>
      </c>
      <c r="BA71" s="68"/>
      <c r="BB71" s="68"/>
      <c r="BD71" s="67">
        <f t="shared" si="23"/>
        <v>1285.1999999999998</v>
      </c>
      <c r="BE71" s="67"/>
      <c r="BF71" s="37"/>
      <c r="BG71" s="73">
        <v>1</v>
      </c>
      <c r="BH71" s="67">
        <f t="shared" si="16"/>
        <v>0</v>
      </c>
      <c r="BI71" s="67">
        <f t="shared" si="17"/>
        <v>0</v>
      </c>
      <c r="BJ71" s="70">
        <f t="shared" si="18"/>
        <v>0</v>
      </c>
      <c r="BN71" s="37"/>
      <c r="BO71" s="70">
        <f t="shared" si="21"/>
        <v>0</v>
      </c>
      <c r="BP71" s="37">
        <v>6</v>
      </c>
      <c r="BQ71" s="37">
        <v>8</v>
      </c>
      <c r="BR71" s="37">
        <v>8</v>
      </c>
      <c r="BS71" s="37">
        <v>6</v>
      </c>
      <c r="BT71" s="87">
        <f t="shared" si="22"/>
        <v>18.899999999999999</v>
      </c>
      <c r="BU71" s="87"/>
      <c r="BV71" s="87"/>
      <c r="BW71" s="87"/>
      <c r="BX71" s="87"/>
      <c r="BY71" s="87"/>
      <c r="BZ71" s="87"/>
      <c r="CA71" s="87"/>
      <c r="CB71" s="87"/>
      <c r="CC71" s="87"/>
      <c r="CD71" s="87"/>
      <c r="CF71" s="67">
        <f t="shared" si="24"/>
        <v>113.39999999999999</v>
      </c>
      <c r="CG71" s="67">
        <f t="shared" si="25"/>
        <v>151.19999999999999</v>
      </c>
      <c r="CH71" s="67">
        <f t="shared" si="26"/>
        <v>151.19999999999999</v>
      </c>
      <c r="CI71" s="67">
        <f t="shared" si="31"/>
        <v>113.39999999999999</v>
      </c>
      <c r="CJ71" s="37">
        <f t="shared" si="27"/>
        <v>18.600000000000001</v>
      </c>
      <c r="CK71" s="37">
        <f t="shared" si="28"/>
        <v>24.8</v>
      </c>
      <c r="CL71" s="37">
        <f t="shared" si="29"/>
        <v>24.8</v>
      </c>
      <c r="CM71" s="37">
        <f t="shared" si="30"/>
        <v>18.600000000000001</v>
      </c>
    </row>
    <row r="72" spans="2:91" ht="25.5">
      <c r="B72" s="156">
        <v>68</v>
      </c>
      <c r="C72" s="160">
        <v>312</v>
      </c>
      <c r="D72" s="174">
        <v>730</v>
      </c>
      <c r="E72" s="161">
        <v>0.35416666666666669</v>
      </c>
      <c r="F72" s="161">
        <v>0.41250000000000003</v>
      </c>
      <c r="G72" s="171" t="s">
        <v>518</v>
      </c>
      <c r="H72" s="160" t="s">
        <v>521</v>
      </c>
      <c r="I72" s="163">
        <v>41</v>
      </c>
      <c r="J72" s="164" t="s">
        <v>188</v>
      </c>
      <c r="K72" s="165">
        <v>58</v>
      </c>
      <c r="L72" s="166">
        <f t="shared" si="20"/>
        <v>2378</v>
      </c>
      <c r="M72" s="177" t="s">
        <v>767</v>
      </c>
      <c r="N72" s="150" t="s">
        <v>971</v>
      </c>
      <c r="O72" s="150">
        <v>16</v>
      </c>
      <c r="P72" s="168" t="s">
        <v>1251</v>
      </c>
      <c r="Q72" s="168">
        <v>21</v>
      </c>
      <c r="R72" s="150" t="s">
        <v>1252</v>
      </c>
      <c r="S72" s="154">
        <v>15</v>
      </c>
      <c r="T72" s="45" t="s">
        <v>1369</v>
      </c>
      <c r="U72" s="45" t="s">
        <v>1370</v>
      </c>
      <c r="V72" s="45">
        <v>3169</v>
      </c>
      <c r="W72" s="45" t="s">
        <v>1371</v>
      </c>
      <c r="X72" s="98">
        <v>44805</v>
      </c>
      <c r="Y72" s="98">
        <v>45169</v>
      </c>
      <c r="Z72" s="98"/>
      <c r="AA72" s="98"/>
      <c r="AB72" s="41" t="s">
        <v>1127</v>
      </c>
      <c r="AC72" s="41"/>
      <c r="AD72" s="42" t="s">
        <v>734</v>
      </c>
      <c r="AE72" s="42" t="s">
        <v>734</v>
      </c>
      <c r="AF72" s="42"/>
      <c r="AG72" s="42"/>
      <c r="AH72" s="42"/>
      <c r="AI72" s="42"/>
      <c r="AJ72" s="42"/>
      <c r="AK72" s="42"/>
      <c r="AL72" s="42"/>
      <c r="AM72" s="42"/>
      <c r="AN72" s="42" t="s">
        <v>734</v>
      </c>
      <c r="AO72" s="42"/>
      <c r="AP72" s="42"/>
      <c r="AQ72" s="42"/>
      <c r="AR72" s="42"/>
      <c r="AS72" s="42"/>
      <c r="AT72" s="42"/>
      <c r="AU72" s="42"/>
      <c r="AV72" s="42"/>
      <c r="AW72" s="42"/>
      <c r="AX72" s="68">
        <v>123</v>
      </c>
      <c r="AY72" s="37"/>
      <c r="BA72" s="68"/>
      <c r="BB72" s="68"/>
      <c r="BD72" s="67">
        <f t="shared" si="23"/>
        <v>7134</v>
      </c>
      <c r="BE72" s="67"/>
      <c r="BF72" s="37"/>
      <c r="BG72" s="73">
        <v>1</v>
      </c>
      <c r="BH72" s="67">
        <f t="shared" si="16"/>
        <v>0</v>
      </c>
      <c r="BI72" s="67">
        <f t="shared" si="17"/>
        <v>0</v>
      </c>
      <c r="BJ72" s="70">
        <f t="shared" si="18"/>
        <v>0</v>
      </c>
      <c r="BN72" s="37"/>
      <c r="BO72" s="70">
        <f t="shared" si="21"/>
        <v>0</v>
      </c>
      <c r="BP72" s="37">
        <v>4</v>
      </c>
      <c r="BQ72" s="37">
        <v>5</v>
      </c>
      <c r="BR72" s="37">
        <v>5</v>
      </c>
      <c r="BS72" s="37">
        <v>6</v>
      </c>
      <c r="BT72" s="87">
        <f t="shared" si="22"/>
        <v>123</v>
      </c>
      <c r="BU72" s="87"/>
      <c r="BV72" s="87"/>
      <c r="BW72" s="87"/>
      <c r="BX72" s="87"/>
      <c r="BY72" s="87"/>
      <c r="BZ72" s="87"/>
      <c r="CA72" s="87"/>
      <c r="CB72" s="87"/>
      <c r="CC72" s="87"/>
      <c r="CD72" s="87"/>
      <c r="CF72" s="67">
        <f t="shared" si="24"/>
        <v>492</v>
      </c>
      <c r="CG72" s="67">
        <f t="shared" si="25"/>
        <v>615</v>
      </c>
      <c r="CH72" s="67">
        <f t="shared" si="26"/>
        <v>615</v>
      </c>
      <c r="CI72" s="67">
        <f t="shared" si="31"/>
        <v>738</v>
      </c>
      <c r="CJ72" s="37">
        <f t="shared" si="27"/>
        <v>164</v>
      </c>
      <c r="CK72" s="37">
        <f t="shared" si="28"/>
        <v>205</v>
      </c>
      <c r="CL72" s="37">
        <f t="shared" si="29"/>
        <v>205</v>
      </c>
      <c r="CM72" s="37">
        <f t="shared" si="30"/>
        <v>246</v>
      </c>
    </row>
    <row r="73" spans="2:91" ht="25.5">
      <c r="B73" s="156">
        <v>69</v>
      </c>
      <c r="C73" s="160">
        <v>312</v>
      </c>
      <c r="D73" s="174">
        <v>731</v>
      </c>
      <c r="E73" s="161">
        <v>0.41666666666666669</v>
      </c>
      <c r="F73" s="161">
        <v>0.46388888888888885</v>
      </c>
      <c r="G73" s="171" t="s">
        <v>519</v>
      </c>
      <c r="H73" s="160" t="s">
        <v>521</v>
      </c>
      <c r="I73" s="163">
        <v>32</v>
      </c>
      <c r="J73" s="164" t="s">
        <v>188</v>
      </c>
      <c r="K73" s="165">
        <v>58</v>
      </c>
      <c r="L73" s="166">
        <f t="shared" si="20"/>
        <v>1856</v>
      </c>
      <c r="M73" s="177" t="s">
        <v>767</v>
      </c>
      <c r="N73" s="150" t="s">
        <v>971</v>
      </c>
      <c r="O73" s="150">
        <v>16</v>
      </c>
      <c r="P73" s="168" t="s">
        <v>1251</v>
      </c>
      <c r="Q73" s="168">
        <v>21</v>
      </c>
      <c r="R73" s="150" t="s">
        <v>1252</v>
      </c>
      <c r="S73" s="154">
        <v>15</v>
      </c>
      <c r="T73" s="45">
        <v>3169</v>
      </c>
      <c r="U73" s="45" t="s">
        <v>1371</v>
      </c>
      <c r="V73" s="45">
        <v>3100</v>
      </c>
      <c r="W73" s="45" t="s">
        <v>1372</v>
      </c>
      <c r="X73" s="98">
        <v>44805</v>
      </c>
      <c r="Y73" s="98">
        <v>45169</v>
      </c>
      <c r="Z73" s="98"/>
      <c r="AA73" s="98"/>
      <c r="AB73" s="41" t="s">
        <v>1127</v>
      </c>
      <c r="AC73" s="41"/>
      <c r="AD73" s="42" t="s">
        <v>734</v>
      </c>
      <c r="AE73" s="42" t="s">
        <v>734</v>
      </c>
      <c r="AF73" s="42"/>
      <c r="AG73" s="42"/>
      <c r="AH73" s="42"/>
      <c r="AI73" s="42"/>
      <c r="AJ73" s="42"/>
      <c r="AK73" s="42"/>
      <c r="AL73" s="42"/>
      <c r="AM73" s="42"/>
      <c r="AN73" s="42" t="s">
        <v>734</v>
      </c>
      <c r="AO73" s="42"/>
      <c r="AP73" s="42"/>
      <c r="AQ73" s="42"/>
      <c r="AR73" s="42"/>
      <c r="AS73" s="42"/>
      <c r="AT73" s="42"/>
      <c r="AU73" s="42"/>
      <c r="AV73" s="42"/>
      <c r="AW73" s="42"/>
      <c r="AX73" s="68">
        <v>96</v>
      </c>
      <c r="AY73" s="37"/>
      <c r="BA73" s="68"/>
      <c r="BB73" s="68"/>
      <c r="BD73" s="67">
        <f t="shared" si="23"/>
        <v>5568</v>
      </c>
      <c r="BE73" s="67"/>
      <c r="BF73" s="37"/>
      <c r="BG73" s="73">
        <v>1</v>
      </c>
      <c r="BH73" s="67">
        <f t="shared" si="16"/>
        <v>0</v>
      </c>
      <c r="BI73" s="67">
        <f t="shared" si="17"/>
        <v>0</v>
      </c>
      <c r="BJ73" s="70">
        <f t="shared" si="18"/>
        <v>0</v>
      </c>
      <c r="BN73" s="37"/>
      <c r="BO73" s="70">
        <f t="shared" si="21"/>
        <v>0</v>
      </c>
      <c r="BP73" s="37">
        <v>4</v>
      </c>
      <c r="BQ73" s="37">
        <v>5</v>
      </c>
      <c r="BR73" s="37">
        <v>5</v>
      </c>
      <c r="BS73" s="37">
        <v>6</v>
      </c>
      <c r="BT73" s="87">
        <f t="shared" si="22"/>
        <v>96</v>
      </c>
      <c r="BU73" s="87"/>
      <c r="BV73" s="87"/>
      <c r="BW73" s="87"/>
      <c r="BX73" s="87"/>
      <c r="BY73" s="87"/>
      <c r="BZ73" s="87"/>
      <c r="CA73" s="87"/>
      <c r="CB73" s="87"/>
      <c r="CC73" s="87"/>
      <c r="CD73" s="87"/>
      <c r="CF73" s="67">
        <f t="shared" si="24"/>
        <v>384</v>
      </c>
      <c r="CG73" s="67">
        <f t="shared" si="25"/>
        <v>480</v>
      </c>
      <c r="CH73" s="67">
        <f t="shared" si="26"/>
        <v>480</v>
      </c>
      <c r="CI73" s="67">
        <f t="shared" si="31"/>
        <v>576</v>
      </c>
      <c r="CJ73" s="37">
        <f t="shared" si="27"/>
        <v>128</v>
      </c>
      <c r="CK73" s="37">
        <f t="shared" si="28"/>
        <v>160</v>
      </c>
      <c r="CL73" s="37">
        <f t="shared" si="29"/>
        <v>160</v>
      </c>
      <c r="CM73" s="37">
        <f t="shared" si="30"/>
        <v>192</v>
      </c>
    </row>
    <row r="74" spans="2:91" ht="25.5">
      <c r="B74" s="156">
        <v>70</v>
      </c>
      <c r="C74" s="160">
        <v>312</v>
      </c>
      <c r="D74" s="174">
        <v>732</v>
      </c>
      <c r="E74" s="161">
        <v>0.67361111111111116</v>
      </c>
      <c r="F74" s="161">
        <v>0.7319444444444444</v>
      </c>
      <c r="G74" s="171" t="s">
        <v>518</v>
      </c>
      <c r="H74" s="160" t="s">
        <v>521</v>
      </c>
      <c r="I74" s="163">
        <v>41</v>
      </c>
      <c r="J74" s="164" t="s">
        <v>188</v>
      </c>
      <c r="K74" s="165">
        <v>58</v>
      </c>
      <c r="L74" s="166">
        <f t="shared" si="20"/>
        <v>2378</v>
      </c>
      <c r="M74" s="177" t="s">
        <v>767</v>
      </c>
      <c r="N74" s="150" t="s">
        <v>971</v>
      </c>
      <c r="O74" s="150">
        <v>16</v>
      </c>
      <c r="P74" s="168" t="s">
        <v>1251</v>
      </c>
      <c r="Q74" s="168">
        <v>21</v>
      </c>
      <c r="R74" s="150" t="s">
        <v>1252</v>
      </c>
      <c r="S74" s="154">
        <v>15</v>
      </c>
      <c r="T74" s="45" t="s">
        <v>1369</v>
      </c>
      <c r="U74" s="45" t="s">
        <v>1370</v>
      </c>
      <c r="V74" s="45">
        <v>3169</v>
      </c>
      <c r="W74" s="45" t="s">
        <v>1371</v>
      </c>
      <c r="X74" s="98">
        <v>44805</v>
      </c>
      <c r="Y74" s="98">
        <v>45169</v>
      </c>
      <c r="Z74" s="98"/>
      <c r="AA74" s="98"/>
      <c r="AB74" s="41" t="s">
        <v>1127</v>
      </c>
      <c r="AC74" s="41"/>
      <c r="AD74" s="42" t="s">
        <v>734</v>
      </c>
      <c r="AE74" s="42" t="s">
        <v>734</v>
      </c>
      <c r="AF74" s="42"/>
      <c r="AG74" s="42"/>
      <c r="AH74" s="42"/>
      <c r="AI74" s="42"/>
      <c r="AJ74" s="42"/>
      <c r="AK74" s="42"/>
      <c r="AL74" s="42"/>
      <c r="AM74" s="42"/>
      <c r="AN74" s="42" t="s">
        <v>734</v>
      </c>
      <c r="AO74" s="42"/>
      <c r="AP74" s="42"/>
      <c r="AQ74" s="42"/>
      <c r="AR74" s="42"/>
      <c r="AS74" s="42"/>
      <c r="AT74" s="42"/>
      <c r="AU74" s="42"/>
      <c r="AV74" s="42"/>
      <c r="AW74" s="42"/>
      <c r="AX74" s="68">
        <v>123</v>
      </c>
      <c r="AY74" s="37"/>
      <c r="BA74" s="68"/>
      <c r="BB74" s="68"/>
      <c r="BD74" s="67">
        <f t="shared" si="23"/>
        <v>7134</v>
      </c>
      <c r="BE74" s="67"/>
      <c r="BF74" s="37"/>
      <c r="BG74" s="73">
        <v>1</v>
      </c>
      <c r="BH74" s="67">
        <f t="shared" si="16"/>
        <v>0</v>
      </c>
      <c r="BI74" s="67">
        <f t="shared" si="17"/>
        <v>0</v>
      </c>
      <c r="BJ74" s="70">
        <f t="shared" si="18"/>
        <v>0</v>
      </c>
      <c r="BN74" s="37"/>
      <c r="BO74" s="70">
        <f t="shared" si="21"/>
        <v>0</v>
      </c>
      <c r="BP74" s="37">
        <v>4</v>
      </c>
      <c r="BQ74" s="37">
        <v>5</v>
      </c>
      <c r="BR74" s="37">
        <v>5</v>
      </c>
      <c r="BS74" s="37">
        <v>6</v>
      </c>
      <c r="BT74" s="87">
        <f t="shared" si="22"/>
        <v>123</v>
      </c>
      <c r="BU74" s="87"/>
      <c r="BV74" s="87"/>
      <c r="BW74" s="87"/>
      <c r="BX74" s="87"/>
      <c r="BY74" s="87"/>
      <c r="BZ74" s="87"/>
      <c r="CA74" s="87"/>
      <c r="CB74" s="87"/>
      <c r="CC74" s="87"/>
      <c r="CD74" s="87"/>
      <c r="CF74" s="67">
        <f t="shared" si="24"/>
        <v>492</v>
      </c>
      <c r="CG74" s="67">
        <f t="shared" si="25"/>
        <v>615</v>
      </c>
      <c r="CH74" s="67">
        <f t="shared" si="26"/>
        <v>615</v>
      </c>
      <c r="CI74" s="67">
        <f t="shared" si="31"/>
        <v>738</v>
      </c>
      <c r="CJ74" s="37">
        <f t="shared" si="27"/>
        <v>164</v>
      </c>
      <c r="CK74" s="37">
        <f t="shared" si="28"/>
        <v>205</v>
      </c>
      <c r="CL74" s="37">
        <f t="shared" si="29"/>
        <v>205</v>
      </c>
      <c r="CM74" s="37">
        <f t="shared" si="30"/>
        <v>246</v>
      </c>
    </row>
    <row r="75" spans="2:91" ht="25.5">
      <c r="B75" s="156">
        <v>71</v>
      </c>
      <c r="C75" s="160">
        <v>312</v>
      </c>
      <c r="D75" s="174">
        <v>733</v>
      </c>
      <c r="E75" s="161">
        <v>0.73611111111111116</v>
      </c>
      <c r="F75" s="161">
        <v>0.78333333333333333</v>
      </c>
      <c r="G75" s="171" t="s">
        <v>519</v>
      </c>
      <c r="H75" s="160" t="s">
        <v>521</v>
      </c>
      <c r="I75" s="163">
        <v>32</v>
      </c>
      <c r="J75" s="164" t="s">
        <v>188</v>
      </c>
      <c r="K75" s="165">
        <v>58</v>
      </c>
      <c r="L75" s="166">
        <f t="shared" si="20"/>
        <v>1856</v>
      </c>
      <c r="M75" s="177" t="s">
        <v>767</v>
      </c>
      <c r="N75" s="150" t="s">
        <v>971</v>
      </c>
      <c r="O75" s="150">
        <v>16</v>
      </c>
      <c r="P75" s="168" t="s">
        <v>1251</v>
      </c>
      <c r="Q75" s="168">
        <v>21</v>
      </c>
      <c r="R75" s="150" t="s">
        <v>1252</v>
      </c>
      <c r="S75" s="154">
        <v>15</v>
      </c>
      <c r="T75" s="45">
        <v>3169</v>
      </c>
      <c r="U75" s="45" t="s">
        <v>1371</v>
      </c>
      <c r="V75" s="45">
        <v>3100</v>
      </c>
      <c r="W75" s="45" t="s">
        <v>1372</v>
      </c>
      <c r="X75" s="98">
        <v>44805</v>
      </c>
      <c r="Y75" s="98">
        <v>45169</v>
      </c>
      <c r="Z75" s="98"/>
      <c r="AA75" s="98"/>
      <c r="AB75" s="41" t="s">
        <v>1127</v>
      </c>
      <c r="AC75" s="41"/>
      <c r="AD75" s="42" t="s">
        <v>734</v>
      </c>
      <c r="AE75" s="42" t="s">
        <v>734</v>
      </c>
      <c r="AF75" s="42"/>
      <c r="AG75" s="42"/>
      <c r="AH75" s="42"/>
      <c r="AI75" s="42"/>
      <c r="AJ75" s="42"/>
      <c r="AK75" s="42"/>
      <c r="AL75" s="42"/>
      <c r="AM75" s="42"/>
      <c r="AN75" s="42" t="s">
        <v>734</v>
      </c>
      <c r="AO75" s="42"/>
      <c r="AP75" s="42"/>
      <c r="AQ75" s="42"/>
      <c r="AR75" s="42"/>
      <c r="AS75" s="42"/>
      <c r="AT75" s="42"/>
      <c r="AU75" s="42"/>
      <c r="AV75" s="42"/>
      <c r="AW75" s="42"/>
      <c r="AX75" s="68">
        <v>96</v>
      </c>
      <c r="AY75" s="37"/>
      <c r="BA75" s="68"/>
      <c r="BB75" s="68"/>
      <c r="BD75" s="67">
        <f t="shared" si="23"/>
        <v>5568</v>
      </c>
      <c r="BE75" s="67"/>
      <c r="BF75" s="37"/>
      <c r="BG75" s="73">
        <v>1</v>
      </c>
      <c r="BH75" s="67">
        <f t="shared" si="16"/>
        <v>0</v>
      </c>
      <c r="BI75" s="67">
        <f t="shared" si="17"/>
        <v>0</v>
      </c>
      <c r="BJ75" s="70">
        <f t="shared" si="18"/>
        <v>0</v>
      </c>
      <c r="BN75" s="37"/>
      <c r="BO75" s="70">
        <f t="shared" si="21"/>
        <v>0</v>
      </c>
      <c r="BP75" s="37">
        <v>4</v>
      </c>
      <c r="BQ75" s="37">
        <v>5</v>
      </c>
      <c r="BR75" s="37">
        <v>5</v>
      </c>
      <c r="BS75" s="37">
        <v>6</v>
      </c>
      <c r="BT75" s="87">
        <f t="shared" si="22"/>
        <v>96</v>
      </c>
      <c r="BU75" s="87"/>
      <c r="BV75" s="87"/>
      <c r="BW75" s="87"/>
      <c r="BX75" s="87"/>
      <c r="BY75" s="87"/>
      <c r="BZ75" s="87"/>
      <c r="CA75" s="87"/>
      <c r="CB75" s="87"/>
      <c r="CC75" s="87"/>
      <c r="CD75" s="87"/>
      <c r="CF75" s="67">
        <f t="shared" si="24"/>
        <v>384</v>
      </c>
      <c r="CG75" s="67">
        <f t="shared" si="25"/>
        <v>480</v>
      </c>
      <c r="CH75" s="67">
        <f t="shared" si="26"/>
        <v>480</v>
      </c>
      <c r="CI75" s="67">
        <f t="shared" si="31"/>
        <v>576</v>
      </c>
      <c r="CJ75" s="37">
        <f t="shared" si="27"/>
        <v>128</v>
      </c>
      <c r="CK75" s="37">
        <f t="shared" si="28"/>
        <v>160</v>
      </c>
      <c r="CL75" s="37">
        <f t="shared" si="29"/>
        <v>160</v>
      </c>
      <c r="CM75" s="37">
        <f t="shared" si="30"/>
        <v>192</v>
      </c>
    </row>
    <row r="76" spans="2:91" ht="25.5">
      <c r="B76" s="156">
        <v>72</v>
      </c>
      <c r="C76" s="160">
        <v>413</v>
      </c>
      <c r="D76" s="160">
        <v>11</v>
      </c>
      <c r="E76" s="161">
        <v>0.2673611111111111</v>
      </c>
      <c r="F76" s="161">
        <v>0.27291666666666664</v>
      </c>
      <c r="G76" s="160" t="s">
        <v>172</v>
      </c>
      <c r="H76" s="160" t="s">
        <v>97</v>
      </c>
      <c r="I76" s="163">
        <v>3</v>
      </c>
      <c r="J76" s="164" t="s">
        <v>93</v>
      </c>
      <c r="K76" s="165">
        <v>208</v>
      </c>
      <c r="L76" s="166">
        <f t="shared" si="20"/>
        <v>624</v>
      </c>
      <c r="M76" s="177" t="s">
        <v>774</v>
      </c>
      <c r="N76" s="221" t="s">
        <v>1907</v>
      </c>
      <c r="O76" s="221">
        <v>17</v>
      </c>
      <c r="P76" s="154" t="s">
        <v>937</v>
      </c>
      <c r="Q76" s="154">
        <v>9</v>
      </c>
      <c r="S76" s="150"/>
      <c r="T76" s="45">
        <v>1121</v>
      </c>
      <c r="U76" s="45" t="s">
        <v>1373</v>
      </c>
      <c r="V76" s="45">
        <v>4060</v>
      </c>
      <c r="W76" s="45" t="s">
        <v>1374</v>
      </c>
      <c r="X76" s="98">
        <v>44816</v>
      </c>
      <c r="Y76" s="98">
        <v>45086</v>
      </c>
      <c r="Z76" s="98"/>
      <c r="AA76" s="98"/>
      <c r="AB76" s="41" t="s">
        <v>1118</v>
      </c>
      <c r="AC76" s="41"/>
      <c r="AD76" s="42"/>
      <c r="AE76" s="42"/>
      <c r="AF76" s="42"/>
      <c r="AG76" s="42" t="s">
        <v>734</v>
      </c>
      <c r="AH76" s="42" t="s">
        <v>734</v>
      </c>
      <c r="AI76" s="42" t="s">
        <v>734</v>
      </c>
      <c r="AJ76" s="42" t="s">
        <v>734</v>
      </c>
      <c r="AK76" s="42" t="s">
        <v>734</v>
      </c>
      <c r="AL76" s="42" t="s">
        <v>734</v>
      </c>
      <c r="AM76" s="42" t="s">
        <v>734</v>
      </c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68">
        <v>18.46</v>
      </c>
      <c r="AY76" s="37"/>
      <c r="BA76" s="68"/>
      <c r="BB76" s="68"/>
      <c r="BD76" s="67">
        <f t="shared" si="23"/>
        <v>3839.6800000000003</v>
      </c>
      <c r="BE76" s="67"/>
      <c r="BF76" s="37"/>
      <c r="BG76" s="73">
        <v>1</v>
      </c>
      <c r="BH76" s="67">
        <f t="shared" si="16"/>
        <v>0</v>
      </c>
      <c r="BI76" s="67">
        <f t="shared" si="17"/>
        <v>0</v>
      </c>
      <c r="BJ76" s="70">
        <f t="shared" si="18"/>
        <v>0</v>
      </c>
      <c r="BN76" s="67">
        <f>IF((AX76+AY76+AZ76)&lt;20,(20-(AX76+AY76+AZ76)),0)</f>
        <v>1.5399999999999991</v>
      </c>
      <c r="BO76" s="70">
        <f t="shared" si="21"/>
        <v>320.31999999999982</v>
      </c>
      <c r="BP76" s="37">
        <v>17</v>
      </c>
      <c r="BQ76" s="37">
        <v>25</v>
      </c>
      <c r="BR76" s="37">
        <v>25</v>
      </c>
      <c r="BS76" s="37">
        <v>18</v>
      </c>
      <c r="BT76" s="87">
        <f t="shared" si="22"/>
        <v>20</v>
      </c>
      <c r="BU76" s="87"/>
      <c r="BV76" s="87"/>
      <c r="BW76" s="87"/>
      <c r="BX76" s="87"/>
      <c r="BY76" s="87"/>
      <c r="BZ76" s="87"/>
      <c r="CA76" s="87"/>
      <c r="CB76" s="87"/>
      <c r="CC76" s="87"/>
      <c r="CD76" s="87"/>
      <c r="CF76" s="67">
        <f t="shared" si="24"/>
        <v>340</v>
      </c>
      <c r="CG76" s="67">
        <f t="shared" si="25"/>
        <v>500</v>
      </c>
      <c r="CH76" s="67">
        <f t="shared" si="26"/>
        <v>500</v>
      </c>
      <c r="CI76" s="67">
        <f t="shared" si="31"/>
        <v>360</v>
      </c>
      <c r="CJ76" s="37">
        <f t="shared" si="27"/>
        <v>51</v>
      </c>
      <c r="CK76" s="37">
        <f t="shared" si="28"/>
        <v>75</v>
      </c>
      <c r="CL76" s="37">
        <f t="shared" si="29"/>
        <v>75</v>
      </c>
      <c r="CM76" s="37">
        <f t="shared" si="30"/>
        <v>54</v>
      </c>
    </row>
    <row r="77" spans="2:91" ht="25.5">
      <c r="B77" s="156">
        <v>73</v>
      </c>
      <c r="C77" s="160">
        <v>428</v>
      </c>
      <c r="D77" s="160">
        <v>5</v>
      </c>
      <c r="E77" s="161">
        <v>0.27777777777777779</v>
      </c>
      <c r="F77" s="161">
        <v>0.28125</v>
      </c>
      <c r="G77" s="160" t="s">
        <v>171</v>
      </c>
      <c r="H77" s="160" t="s">
        <v>97</v>
      </c>
      <c r="I77" s="163">
        <v>2</v>
      </c>
      <c r="J77" s="164" t="s">
        <v>93</v>
      </c>
      <c r="K77" s="165">
        <v>208</v>
      </c>
      <c r="L77" s="166">
        <f t="shared" si="20"/>
        <v>416</v>
      </c>
      <c r="M77" s="167" t="s">
        <v>774</v>
      </c>
      <c r="N77" s="221" t="s">
        <v>1907</v>
      </c>
      <c r="O77" s="221">
        <v>17</v>
      </c>
      <c r="P77" s="154" t="s">
        <v>937</v>
      </c>
      <c r="Q77" s="154">
        <v>9</v>
      </c>
      <c r="R77" s="182"/>
      <c r="S77" s="150"/>
      <c r="T77" s="45">
        <v>4061</v>
      </c>
      <c r="U77" s="45" t="s">
        <v>1375</v>
      </c>
      <c r="V77" s="45">
        <v>4050</v>
      </c>
      <c r="W77" s="45" t="s">
        <v>1376</v>
      </c>
      <c r="X77" s="98">
        <v>44816</v>
      </c>
      <c r="Y77" s="98">
        <v>45086</v>
      </c>
      <c r="Z77" s="98"/>
      <c r="AA77" s="98"/>
      <c r="AB77" s="41" t="s">
        <v>1118</v>
      </c>
      <c r="AC77" s="41"/>
      <c r="AD77" s="44"/>
      <c r="AE77" s="44"/>
      <c r="AF77" s="44"/>
      <c r="AG77" s="42" t="s">
        <v>734</v>
      </c>
      <c r="AH77" s="42" t="s">
        <v>734</v>
      </c>
      <c r="AI77" s="42" t="s">
        <v>734</v>
      </c>
      <c r="AJ77" s="42" t="s">
        <v>734</v>
      </c>
      <c r="AK77" s="42" t="s">
        <v>734</v>
      </c>
      <c r="AL77" s="42" t="s">
        <v>734</v>
      </c>
      <c r="AM77" s="42" t="s">
        <v>734</v>
      </c>
      <c r="AN77" s="44"/>
      <c r="AO77" s="44"/>
      <c r="AP77" s="44"/>
      <c r="AQ77" s="44"/>
      <c r="AR77" s="42"/>
      <c r="AS77" s="42"/>
      <c r="AT77" s="42"/>
      <c r="AU77" s="42"/>
      <c r="AV77" s="42"/>
      <c r="AW77" s="42"/>
      <c r="AX77" s="68">
        <v>11.41</v>
      </c>
      <c r="AY77" s="75"/>
      <c r="AZ77" s="75"/>
      <c r="BA77" s="68"/>
      <c r="BB77" s="68"/>
      <c r="BC77" s="75"/>
      <c r="BD77" s="67">
        <f t="shared" si="23"/>
        <v>2373.2800000000002</v>
      </c>
      <c r="BE77" s="67"/>
      <c r="BF77" s="75"/>
      <c r="BG77" s="73">
        <v>1</v>
      </c>
      <c r="BH77" s="67">
        <f t="shared" si="16"/>
        <v>0</v>
      </c>
      <c r="BI77" s="67">
        <f t="shared" si="17"/>
        <v>0</v>
      </c>
      <c r="BJ77" s="70">
        <f t="shared" si="18"/>
        <v>0</v>
      </c>
      <c r="BN77" s="67">
        <f>IF((AX77+AY77+AZ77)&lt;20,(20-(AX77+AY77+AZ77)),0)</f>
        <v>8.59</v>
      </c>
      <c r="BO77" s="70">
        <f t="shared" si="21"/>
        <v>1786.72</v>
      </c>
      <c r="BP77" s="37">
        <v>17</v>
      </c>
      <c r="BQ77" s="37">
        <v>25</v>
      </c>
      <c r="BR77" s="37">
        <v>25</v>
      </c>
      <c r="BS77" s="37">
        <v>18</v>
      </c>
      <c r="BT77" s="87">
        <f t="shared" si="22"/>
        <v>20</v>
      </c>
      <c r="BU77" s="87"/>
      <c r="BV77" s="87"/>
      <c r="BW77" s="87"/>
      <c r="BX77" s="87"/>
      <c r="BY77" s="87"/>
      <c r="BZ77" s="87"/>
      <c r="CA77" s="87"/>
      <c r="CB77" s="87"/>
      <c r="CC77" s="87"/>
      <c r="CD77" s="87"/>
      <c r="CF77" s="67">
        <f t="shared" si="24"/>
        <v>340</v>
      </c>
      <c r="CG77" s="67">
        <f t="shared" si="25"/>
        <v>500</v>
      </c>
      <c r="CH77" s="67">
        <f t="shared" si="26"/>
        <v>500</v>
      </c>
      <c r="CI77" s="67">
        <f t="shared" si="31"/>
        <v>360</v>
      </c>
      <c r="CJ77" s="37">
        <f t="shared" si="27"/>
        <v>34</v>
      </c>
      <c r="CK77" s="37">
        <f t="shared" si="28"/>
        <v>50</v>
      </c>
      <c r="CL77" s="37">
        <f t="shared" si="29"/>
        <v>50</v>
      </c>
      <c r="CM77" s="37">
        <f t="shared" si="30"/>
        <v>36</v>
      </c>
    </row>
    <row r="78" spans="2:91" ht="25.5">
      <c r="B78" s="156">
        <v>74</v>
      </c>
      <c r="C78" s="160">
        <v>428</v>
      </c>
      <c r="D78" s="160">
        <v>7</v>
      </c>
      <c r="E78" s="161">
        <v>0.30416666666666664</v>
      </c>
      <c r="F78" s="161">
        <v>0.30625000000000002</v>
      </c>
      <c r="G78" s="160" t="s">
        <v>171</v>
      </c>
      <c r="H78" s="160" t="s">
        <v>97</v>
      </c>
      <c r="I78" s="163">
        <v>2</v>
      </c>
      <c r="J78" s="164" t="s">
        <v>93</v>
      </c>
      <c r="K78" s="165">
        <v>208</v>
      </c>
      <c r="L78" s="166">
        <f t="shared" si="20"/>
        <v>416</v>
      </c>
      <c r="M78" s="167" t="s">
        <v>774</v>
      </c>
      <c r="N78" s="221" t="s">
        <v>1907</v>
      </c>
      <c r="O78" s="221">
        <v>17</v>
      </c>
      <c r="P78" s="154" t="s">
        <v>937</v>
      </c>
      <c r="Q78" s="154">
        <v>9</v>
      </c>
      <c r="R78" s="182"/>
      <c r="S78" s="150"/>
      <c r="T78" s="45">
        <v>4061</v>
      </c>
      <c r="U78" s="45" t="s">
        <v>1375</v>
      </c>
      <c r="V78" s="45">
        <v>4050</v>
      </c>
      <c r="W78" s="45" t="s">
        <v>1376</v>
      </c>
      <c r="X78" s="98">
        <v>44816</v>
      </c>
      <c r="Y78" s="98">
        <v>45086</v>
      </c>
      <c r="Z78" s="98"/>
      <c r="AA78" s="98"/>
      <c r="AB78" s="41" t="s">
        <v>1118</v>
      </c>
      <c r="AC78" s="41"/>
      <c r="AD78" s="44"/>
      <c r="AE78" s="44"/>
      <c r="AF78" s="44"/>
      <c r="AG78" s="42" t="s">
        <v>734</v>
      </c>
      <c r="AH78" s="42" t="s">
        <v>734</v>
      </c>
      <c r="AI78" s="42" t="s">
        <v>734</v>
      </c>
      <c r="AJ78" s="42" t="s">
        <v>734</v>
      </c>
      <c r="AK78" s="42" t="s">
        <v>734</v>
      </c>
      <c r="AL78" s="42" t="s">
        <v>734</v>
      </c>
      <c r="AM78" s="42" t="s">
        <v>734</v>
      </c>
      <c r="AN78" s="44"/>
      <c r="AO78" s="44"/>
      <c r="AP78" s="44"/>
      <c r="AQ78" s="44"/>
      <c r="AR78" s="42"/>
      <c r="AS78" s="42"/>
      <c r="AT78" s="42"/>
      <c r="AU78" s="42"/>
      <c r="AV78" s="42"/>
      <c r="AW78" s="42"/>
      <c r="AX78" s="68">
        <v>11.41</v>
      </c>
      <c r="AY78" s="75"/>
      <c r="AZ78" s="75"/>
      <c r="BA78" s="68"/>
      <c r="BB78" s="68"/>
      <c r="BC78" s="75"/>
      <c r="BD78" s="67">
        <f t="shared" si="23"/>
        <v>2373.2800000000002</v>
      </c>
      <c r="BE78" s="67"/>
      <c r="BF78" s="75"/>
      <c r="BG78" s="73">
        <v>1</v>
      </c>
      <c r="BH78" s="67">
        <f t="shared" si="16"/>
        <v>0</v>
      </c>
      <c r="BI78" s="67">
        <f t="shared" si="17"/>
        <v>0</v>
      </c>
      <c r="BJ78" s="70">
        <f t="shared" si="18"/>
        <v>0</v>
      </c>
      <c r="BN78" s="37"/>
      <c r="BO78" s="70">
        <f t="shared" si="21"/>
        <v>0</v>
      </c>
      <c r="BP78" s="37">
        <v>17</v>
      </c>
      <c r="BQ78" s="37">
        <v>25</v>
      </c>
      <c r="BR78" s="37">
        <v>25</v>
      </c>
      <c r="BS78" s="37">
        <v>18</v>
      </c>
      <c r="BT78" s="87">
        <f t="shared" si="22"/>
        <v>11.41</v>
      </c>
      <c r="BU78" s="87"/>
      <c r="BV78" s="87"/>
      <c r="BW78" s="87"/>
      <c r="BX78" s="87"/>
      <c r="BY78" s="87"/>
      <c r="BZ78" s="87"/>
      <c r="CA78" s="87"/>
      <c r="CB78" s="87"/>
      <c r="CC78" s="87"/>
      <c r="CD78" s="87"/>
      <c r="CF78" s="67">
        <f t="shared" si="24"/>
        <v>193.97</v>
      </c>
      <c r="CG78" s="67">
        <f t="shared" si="25"/>
        <v>285.25</v>
      </c>
      <c r="CH78" s="67">
        <f t="shared" si="26"/>
        <v>285.25</v>
      </c>
      <c r="CI78" s="67">
        <f t="shared" si="31"/>
        <v>205.38</v>
      </c>
      <c r="CJ78" s="37">
        <f t="shared" si="27"/>
        <v>34</v>
      </c>
      <c r="CK78" s="37">
        <f t="shared" si="28"/>
        <v>50</v>
      </c>
      <c r="CL78" s="37">
        <f t="shared" si="29"/>
        <v>50</v>
      </c>
      <c r="CM78" s="37">
        <f t="shared" si="30"/>
        <v>36</v>
      </c>
    </row>
    <row r="79" spans="2:91" ht="25.5">
      <c r="B79" s="156">
        <v>75</v>
      </c>
      <c r="C79" s="160">
        <v>428</v>
      </c>
      <c r="D79" s="160">
        <v>6</v>
      </c>
      <c r="E79" s="161">
        <v>0.55902777777777779</v>
      </c>
      <c r="F79" s="161">
        <v>0.56180555555555556</v>
      </c>
      <c r="G79" s="160" t="s">
        <v>170</v>
      </c>
      <c r="H79" s="160" t="s">
        <v>97</v>
      </c>
      <c r="I79" s="163">
        <v>2</v>
      </c>
      <c r="J79" s="164" t="s">
        <v>93</v>
      </c>
      <c r="K79" s="165">
        <v>208</v>
      </c>
      <c r="L79" s="166">
        <f t="shared" si="20"/>
        <v>416</v>
      </c>
      <c r="M79" s="167" t="s">
        <v>774</v>
      </c>
      <c r="N79" s="221" t="s">
        <v>1907</v>
      </c>
      <c r="O79" s="221">
        <v>17</v>
      </c>
      <c r="P79" s="154" t="s">
        <v>937</v>
      </c>
      <c r="Q79" s="154">
        <v>9</v>
      </c>
      <c r="R79" s="182"/>
      <c r="S79" s="150"/>
      <c r="T79" s="45">
        <v>4050</v>
      </c>
      <c r="U79" s="45" t="s">
        <v>1376</v>
      </c>
      <c r="V79" s="45">
        <v>4061</v>
      </c>
      <c r="W79" s="45" t="s">
        <v>1375</v>
      </c>
      <c r="X79" s="98">
        <v>44816</v>
      </c>
      <c r="Y79" s="98">
        <v>45086</v>
      </c>
      <c r="Z79" s="98"/>
      <c r="AA79" s="98"/>
      <c r="AB79" s="41" t="s">
        <v>1118</v>
      </c>
      <c r="AC79" s="41"/>
      <c r="AD79" s="44"/>
      <c r="AE79" s="44"/>
      <c r="AF79" s="44"/>
      <c r="AG79" s="42" t="s">
        <v>734</v>
      </c>
      <c r="AH79" s="42" t="s">
        <v>734</v>
      </c>
      <c r="AI79" s="42" t="s">
        <v>734</v>
      </c>
      <c r="AJ79" s="42" t="s">
        <v>734</v>
      </c>
      <c r="AK79" s="42" t="s">
        <v>734</v>
      </c>
      <c r="AL79" s="42" t="s">
        <v>734</v>
      </c>
      <c r="AM79" s="42" t="s">
        <v>734</v>
      </c>
      <c r="AN79" s="44"/>
      <c r="AO79" s="44"/>
      <c r="AP79" s="44"/>
      <c r="AQ79" s="44"/>
      <c r="AR79" s="42"/>
      <c r="AS79" s="42"/>
      <c r="AT79" s="42"/>
      <c r="AU79" s="42"/>
      <c r="AV79" s="42"/>
      <c r="AW79" s="42"/>
      <c r="AX79" s="68">
        <v>11.41</v>
      </c>
      <c r="AY79" s="75"/>
      <c r="AZ79" s="75"/>
      <c r="BA79" s="68"/>
      <c r="BB79" s="68"/>
      <c r="BC79" s="75"/>
      <c r="BD79" s="67">
        <f t="shared" si="23"/>
        <v>2373.2800000000002</v>
      </c>
      <c r="BE79" s="67"/>
      <c r="BF79" s="75"/>
      <c r="BG79" s="73">
        <v>1</v>
      </c>
      <c r="BH79" s="67">
        <f t="shared" si="16"/>
        <v>0</v>
      </c>
      <c r="BI79" s="67">
        <f t="shared" si="17"/>
        <v>0</v>
      </c>
      <c r="BJ79" s="70">
        <f t="shared" si="18"/>
        <v>0</v>
      </c>
      <c r="BN79" s="37"/>
      <c r="BO79" s="70">
        <f t="shared" si="21"/>
        <v>0</v>
      </c>
      <c r="BP79" s="37">
        <v>17</v>
      </c>
      <c r="BQ79" s="37">
        <v>25</v>
      </c>
      <c r="BR79" s="37">
        <v>25</v>
      </c>
      <c r="BS79" s="37">
        <v>18</v>
      </c>
      <c r="BT79" s="87">
        <f t="shared" si="22"/>
        <v>11.41</v>
      </c>
      <c r="BU79" s="87"/>
      <c r="BV79" s="87"/>
      <c r="BW79" s="87"/>
      <c r="BX79" s="87"/>
      <c r="BY79" s="87"/>
      <c r="BZ79" s="87"/>
      <c r="CA79" s="87"/>
      <c r="CB79" s="87"/>
      <c r="CC79" s="87"/>
      <c r="CD79" s="87"/>
      <c r="CF79" s="67">
        <f t="shared" si="24"/>
        <v>193.97</v>
      </c>
      <c r="CG79" s="67">
        <f t="shared" si="25"/>
        <v>285.25</v>
      </c>
      <c r="CH79" s="67">
        <f t="shared" si="26"/>
        <v>285.25</v>
      </c>
      <c r="CI79" s="67">
        <f t="shared" si="31"/>
        <v>205.38</v>
      </c>
      <c r="CJ79" s="37">
        <f t="shared" si="27"/>
        <v>34</v>
      </c>
      <c r="CK79" s="37">
        <f t="shared" si="28"/>
        <v>50</v>
      </c>
      <c r="CL79" s="37">
        <f t="shared" si="29"/>
        <v>50</v>
      </c>
      <c r="CM79" s="37">
        <f t="shared" si="30"/>
        <v>36</v>
      </c>
    </row>
    <row r="80" spans="2:91" ht="25.5">
      <c r="B80" s="156">
        <v>76</v>
      </c>
      <c r="C80" s="160">
        <v>428</v>
      </c>
      <c r="D80" s="160">
        <v>8</v>
      </c>
      <c r="E80" s="161">
        <v>0.59722222222222221</v>
      </c>
      <c r="F80" s="161">
        <v>0.6</v>
      </c>
      <c r="G80" s="160" t="s">
        <v>170</v>
      </c>
      <c r="H80" s="160" t="s">
        <v>97</v>
      </c>
      <c r="I80" s="163">
        <v>2</v>
      </c>
      <c r="J80" s="164" t="s">
        <v>93</v>
      </c>
      <c r="K80" s="165">
        <v>208</v>
      </c>
      <c r="L80" s="166">
        <f t="shared" si="20"/>
        <v>416</v>
      </c>
      <c r="M80" s="167" t="s">
        <v>774</v>
      </c>
      <c r="N80" s="221" t="s">
        <v>1907</v>
      </c>
      <c r="O80" s="221">
        <v>17</v>
      </c>
      <c r="P80" s="154" t="s">
        <v>937</v>
      </c>
      <c r="Q80" s="154">
        <v>9</v>
      </c>
      <c r="R80" s="182"/>
      <c r="S80" s="150"/>
      <c r="T80" s="45">
        <v>4050</v>
      </c>
      <c r="U80" s="45" t="s">
        <v>1376</v>
      </c>
      <c r="V80" s="45">
        <v>4061</v>
      </c>
      <c r="W80" s="45" t="s">
        <v>1375</v>
      </c>
      <c r="X80" s="98">
        <v>44816</v>
      </c>
      <c r="Y80" s="98">
        <v>45086</v>
      </c>
      <c r="Z80" s="98"/>
      <c r="AA80" s="98"/>
      <c r="AB80" s="41" t="s">
        <v>1118</v>
      </c>
      <c r="AC80" s="41"/>
      <c r="AD80" s="44"/>
      <c r="AE80" s="44"/>
      <c r="AF80" s="44"/>
      <c r="AG80" s="42" t="s">
        <v>734</v>
      </c>
      <c r="AH80" s="42" t="s">
        <v>734</v>
      </c>
      <c r="AI80" s="42" t="s">
        <v>734</v>
      </c>
      <c r="AJ80" s="42" t="s">
        <v>734</v>
      </c>
      <c r="AK80" s="42" t="s">
        <v>734</v>
      </c>
      <c r="AL80" s="42" t="s">
        <v>734</v>
      </c>
      <c r="AM80" s="42" t="s">
        <v>734</v>
      </c>
      <c r="AN80" s="44"/>
      <c r="AO80" s="44"/>
      <c r="AP80" s="44"/>
      <c r="AQ80" s="44"/>
      <c r="AR80" s="42"/>
      <c r="AS80" s="42"/>
      <c r="AT80" s="42"/>
      <c r="AU80" s="42"/>
      <c r="AV80" s="42"/>
      <c r="AW80" s="42"/>
      <c r="AX80" s="68">
        <v>11.41</v>
      </c>
      <c r="AY80" s="75"/>
      <c r="AZ80" s="75"/>
      <c r="BA80" s="68"/>
      <c r="BB80" s="68"/>
      <c r="BC80" s="75"/>
      <c r="BD80" s="67">
        <f t="shared" si="23"/>
        <v>2373.2800000000002</v>
      </c>
      <c r="BE80" s="67"/>
      <c r="BF80" s="75"/>
      <c r="BG80" s="73">
        <v>1</v>
      </c>
      <c r="BH80" s="67">
        <f t="shared" si="16"/>
        <v>0</v>
      </c>
      <c r="BI80" s="67">
        <f t="shared" si="17"/>
        <v>0</v>
      </c>
      <c r="BJ80" s="70">
        <f t="shared" si="18"/>
        <v>0</v>
      </c>
      <c r="BN80" s="37"/>
      <c r="BO80" s="70">
        <f t="shared" si="21"/>
        <v>0</v>
      </c>
      <c r="BP80" s="37">
        <v>17</v>
      </c>
      <c r="BQ80" s="37">
        <v>25</v>
      </c>
      <c r="BR80" s="37">
        <v>25</v>
      </c>
      <c r="BS80" s="37">
        <v>18</v>
      </c>
      <c r="BT80" s="87">
        <f t="shared" si="22"/>
        <v>11.41</v>
      </c>
      <c r="BU80" s="87"/>
      <c r="BV80" s="87"/>
      <c r="BW80" s="87"/>
      <c r="BX80" s="87"/>
      <c r="BY80" s="87"/>
      <c r="BZ80" s="87"/>
      <c r="CA80" s="87"/>
      <c r="CB80" s="87"/>
      <c r="CC80" s="87"/>
      <c r="CD80" s="87"/>
      <c r="CF80" s="67">
        <f t="shared" si="24"/>
        <v>193.97</v>
      </c>
      <c r="CG80" s="67">
        <f t="shared" si="25"/>
        <v>285.25</v>
      </c>
      <c r="CH80" s="67">
        <f t="shared" si="26"/>
        <v>285.25</v>
      </c>
      <c r="CI80" s="67">
        <f t="shared" si="31"/>
        <v>205.38</v>
      </c>
      <c r="CJ80" s="37">
        <f t="shared" si="27"/>
        <v>34</v>
      </c>
      <c r="CK80" s="37">
        <f t="shared" si="28"/>
        <v>50</v>
      </c>
      <c r="CL80" s="37">
        <f t="shared" si="29"/>
        <v>50</v>
      </c>
      <c r="CM80" s="37">
        <f t="shared" si="30"/>
        <v>36</v>
      </c>
    </row>
    <row r="81" spans="2:91" ht="25.5">
      <c r="B81" s="156">
        <v>77</v>
      </c>
      <c r="C81" s="160">
        <v>428</v>
      </c>
      <c r="D81" s="160">
        <v>10</v>
      </c>
      <c r="E81" s="161">
        <v>0.77430555555555547</v>
      </c>
      <c r="F81" s="161">
        <v>0.77708333333333324</v>
      </c>
      <c r="G81" s="160" t="s">
        <v>170</v>
      </c>
      <c r="H81" s="160" t="s">
        <v>103</v>
      </c>
      <c r="I81" s="163">
        <v>2</v>
      </c>
      <c r="J81" s="164" t="s">
        <v>93</v>
      </c>
      <c r="K81" s="165">
        <v>174</v>
      </c>
      <c r="L81" s="166">
        <f t="shared" si="20"/>
        <v>348</v>
      </c>
      <c r="M81" s="167" t="s">
        <v>774</v>
      </c>
      <c r="N81" s="221" t="s">
        <v>1907</v>
      </c>
      <c r="O81" s="221">
        <v>17</v>
      </c>
      <c r="P81" s="154" t="s">
        <v>937</v>
      </c>
      <c r="Q81" s="154">
        <v>9</v>
      </c>
      <c r="R81" s="182"/>
      <c r="S81" s="150"/>
      <c r="T81" s="45">
        <v>4050</v>
      </c>
      <c r="U81" s="45" t="s">
        <v>1376</v>
      </c>
      <c r="V81" s="45">
        <v>4061</v>
      </c>
      <c r="W81" s="45" t="s">
        <v>1375</v>
      </c>
      <c r="X81" s="98">
        <v>44816</v>
      </c>
      <c r="Y81" s="98">
        <v>45086</v>
      </c>
      <c r="Z81" s="98"/>
      <c r="AA81" s="98"/>
      <c r="AB81" s="41" t="s">
        <v>1114</v>
      </c>
      <c r="AC81" s="41"/>
      <c r="AD81" s="44"/>
      <c r="AE81" s="44"/>
      <c r="AF81" s="44"/>
      <c r="AG81" s="42" t="s">
        <v>734</v>
      </c>
      <c r="AH81" s="42" t="s">
        <v>734</v>
      </c>
      <c r="AI81" s="42" t="s">
        <v>734</v>
      </c>
      <c r="AJ81" s="42" t="s">
        <v>734</v>
      </c>
      <c r="AK81" s="42" t="s">
        <v>734</v>
      </c>
      <c r="AL81" s="42" t="s">
        <v>734</v>
      </c>
      <c r="AM81" s="44"/>
      <c r="AN81" s="44"/>
      <c r="AO81" s="44"/>
      <c r="AP81" s="44"/>
      <c r="AQ81" s="44"/>
      <c r="AR81" s="42"/>
      <c r="AS81" s="42"/>
      <c r="AT81" s="42"/>
      <c r="AU81" s="42"/>
      <c r="AV81" s="42"/>
      <c r="AW81" s="44"/>
      <c r="AX81" s="68">
        <v>10</v>
      </c>
      <c r="AY81" s="75"/>
      <c r="AZ81" s="75"/>
      <c r="BA81" s="68"/>
      <c r="BB81" s="68"/>
      <c r="BC81" s="75"/>
      <c r="BD81" s="67">
        <f t="shared" si="23"/>
        <v>1740</v>
      </c>
      <c r="BE81" s="67"/>
      <c r="BF81" s="75"/>
      <c r="BG81" s="73">
        <v>1</v>
      </c>
      <c r="BH81" s="67">
        <f t="shared" si="16"/>
        <v>0</v>
      </c>
      <c r="BI81" s="67">
        <f t="shared" si="17"/>
        <v>0</v>
      </c>
      <c r="BJ81" s="70">
        <f t="shared" si="18"/>
        <v>0</v>
      </c>
      <c r="BN81" s="37"/>
      <c r="BO81" s="70">
        <f t="shared" si="21"/>
        <v>0</v>
      </c>
      <c r="BP81" s="37">
        <v>15</v>
      </c>
      <c r="BQ81" s="37">
        <v>20</v>
      </c>
      <c r="BR81" s="37">
        <v>21</v>
      </c>
      <c r="BS81" s="37">
        <v>15</v>
      </c>
      <c r="BT81" s="87">
        <f t="shared" si="22"/>
        <v>10</v>
      </c>
      <c r="BU81" s="87"/>
      <c r="BV81" s="87"/>
      <c r="BW81" s="87"/>
      <c r="BX81" s="87"/>
      <c r="BY81" s="87"/>
      <c r="BZ81" s="87"/>
      <c r="CA81" s="87"/>
      <c r="CB81" s="87"/>
      <c r="CC81" s="87"/>
      <c r="CD81" s="87"/>
      <c r="CF81" s="67">
        <f t="shared" si="24"/>
        <v>150</v>
      </c>
      <c r="CG81" s="67">
        <f t="shared" si="25"/>
        <v>200</v>
      </c>
      <c r="CH81" s="67">
        <f t="shared" si="26"/>
        <v>210</v>
      </c>
      <c r="CI81" s="67">
        <f t="shared" si="31"/>
        <v>150</v>
      </c>
      <c r="CJ81" s="37">
        <f t="shared" si="27"/>
        <v>30</v>
      </c>
      <c r="CK81" s="37">
        <f t="shared" si="28"/>
        <v>40</v>
      </c>
      <c r="CL81" s="37">
        <f t="shared" si="29"/>
        <v>42</v>
      </c>
      <c r="CM81" s="37">
        <f t="shared" si="30"/>
        <v>30</v>
      </c>
    </row>
    <row r="82" spans="2:91" ht="45">
      <c r="B82" s="156">
        <v>78</v>
      </c>
      <c r="C82" s="160">
        <v>601</v>
      </c>
      <c r="D82" s="174">
        <v>696</v>
      </c>
      <c r="E82" s="161">
        <v>0.86458333333333337</v>
      </c>
      <c r="F82" s="161">
        <v>0.88680555555555562</v>
      </c>
      <c r="G82" s="160" t="s">
        <v>408</v>
      </c>
      <c r="H82" s="160" t="s">
        <v>479</v>
      </c>
      <c r="I82" s="163">
        <v>22</v>
      </c>
      <c r="J82" s="164" t="s">
        <v>93</v>
      </c>
      <c r="K82" s="165">
        <v>240</v>
      </c>
      <c r="L82" s="166">
        <f t="shared" si="20"/>
        <v>5280</v>
      </c>
      <c r="M82" s="308" t="s">
        <v>2088</v>
      </c>
      <c r="N82" s="271" t="s">
        <v>2087</v>
      </c>
      <c r="O82" s="271">
        <v>23</v>
      </c>
      <c r="P82" s="150" t="s">
        <v>2085</v>
      </c>
      <c r="Q82" s="150">
        <v>24</v>
      </c>
      <c r="R82" s="168" t="s">
        <v>2092</v>
      </c>
      <c r="S82" s="3" t="s">
        <v>2093</v>
      </c>
      <c r="T82" s="45" t="s">
        <v>1329</v>
      </c>
      <c r="U82" s="45" t="s">
        <v>1330</v>
      </c>
      <c r="V82" s="45">
        <v>6120</v>
      </c>
      <c r="W82" s="45" t="s">
        <v>1341</v>
      </c>
      <c r="X82" s="99">
        <v>44816</v>
      </c>
      <c r="Y82" s="99">
        <v>45100</v>
      </c>
      <c r="Z82" s="99"/>
      <c r="AA82" s="99"/>
      <c r="AB82" s="45" t="s">
        <v>1124</v>
      </c>
      <c r="AC82" s="45"/>
      <c r="AD82" s="42" t="s">
        <v>734</v>
      </c>
      <c r="AE82" s="42"/>
      <c r="AF82" s="42" t="s">
        <v>734</v>
      </c>
      <c r="AG82" s="42"/>
      <c r="AH82" s="42" t="s">
        <v>734</v>
      </c>
      <c r="AI82" s="42" t="s">
        <v>734</v>
      </c>
      <c r="AJ82" s="42" t="s">
        <v>734</v>
      </c>
      <c r="AK82" s="42" t="s">
        <v>734</v>
      </c>
      <c r="AL82" s="42" t="s">
        <v>734</v>
      </c>
      <c r="AM82" s="42" t="s">
        <v>734</v>
      </c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68">
        <v>55</v>
      </c>
      <c r="BA82" s="68"/>
      <c r="BB82" s="68"/>
      <c r="BD82" s="67">
        <f t="shared" si="23"/>
        <v>13200</v>
      </c>
      <c r="BE82" s="67"/>
      <c r="BF82" s="37"/>
      <c r="BG82" s="73">
        <v>1</v>
      </c>
      <c r="BH82" s="67">
        <f t="shared" si="16"/>
        <v>0</v>
      </c>
      <c r="BI82" s="67">
        <f t="shared" si="17"/>
        <v>0</v>
      </c>
      <c r="BJ82" s="70">
        <f t="shared" si="18"/>
        <v>0</v>
      </c>
      <c r="BN82" s="37"/>
      <c r="BO82" s="70">
        <f t="shared" si="21"/>
        <v>0</v>
      </c>
      <c r="BP82" s="37">
        <v>17</v>
      </c>
      <c r="BQ82" s="37">
        <v>26</v>
      </c>
      <c r="BR82" s="37">
        <v>25</v>
      </c>
      <c r="BS82" s="37">
        <v>25</v>
      </c>
      <c r="BT82" s="87">
        <f t="shared" si="22"/>
        <v>55</v>
      </c>
      <c r="BU82" s="87"/>
      <c r="BV82" s="87"/>
      <c r="BW82" s="87"/>
      <c r="BX82" s="87"/>
      <c r="BY82" s="87"/>
      <c r="BZ82" s="87"/>
      <c r="CA82" s="87"/>
      <c r="CB82" s="87"/>
      <c r="CC82" s="87"/>
      <c r="CD82" s="87"/>
      <c r="CF82" s="67">
        <f t="shared" si="24"/>
        <v>935</v>
      </c>
      <c r="CG82" s="67">
        <f t="shared" si="25"/>
        <v>1430</v>
      </c>
      <c r="CH82" s="67">
        <f t="shared" si="26"/>
        <v>1375</v>
      </c>
      <c r="CI82" s="67">
        <f t="shared" si="31"/>
        <v>1375</v>
      </c>
      <c r="CJ82" s="37">
        <f t="shared" si="27"/>
        <v>374</v>
      </c>
      <c r="CK82" s="37">
        <f t="shared" si="28"/>
        <v>572</v>
      </c>
      <c r="CL82" s="37">
        <f t="shared" si="29"/>
        <v>550</v>
      </c>
      <c r="CM82" s="37">
        <f t="shared" si="30"/>
        <v>550</v>
      </c>
    </row>
    <row r="83" spans="2:91" ht="33.75">
      <c r="B83" s="156">
        <v>79</v>
      </c>
      <c r="C83" s="160">
        <v>611</v>
      </c>
      <c r="D83" s="160">
        <v>67</v>
      </c>
      <c r="E83" s="173">
        <v>0.2722222222222222</v>
      </c>
      <c r="F83" s="161">
        <v>0.30208333333333331</v>
      </c>
      <c r="G83" s="223" t="s">
        <v>1961</v>
      </c>
      <c r="H83" s="160" t="s">
        <v>97</v>
      </c>
      <c r="I83" s="163">
        <v>33</v>
      </c>
      <c r="J83" s="164" t="s">
        <v>188</v>
      </c>
      <c r="K83" s="165">
        <v>208</v>
      </c>
      <c r="L83" s="166">
        <f t="shared" si="20"/>
        <v>6864</v>
      </c>
      <c r="M83" s="167" t="s">
        <v>738</v>
      </c>
      <c r="N83" s="221" t="s">
        <v>2077</v>
      </c>
      <c r="O83" s="221">
        <v>42</v>
      </c>
      <c r="P83" s="150" t="s">
        <v>1974</v>
      </c>
      <c r="Q83" s="150">
        <v>31</v>
      </c>
      <c r="S83" s="150"/>
      <c r="T83" s="97" t="s">
        <v>1962</v>
      </c>
      <c r="U83" s="97" t="s">
        <v>1963</v>
      </c>
      <c r="V83" s="45" t="s">
        <v>1329</v>
      </c>
      <c r="W83" s="45" t="s">
        <v>1330</v>
      </c>
      <c r="X83" s="98">
        <v>44816</v>
      </c>
      <c r="Y83" s="98">
        <v>45086</v>
      </c>
      <c r="Z83" s="98"/>
      <c r="AA83" s="98"/>
      <c r="AB83" s="41" t="s">
        <v>1118</v>
      </c>
      <c r="AC83" s="41"/>
      <c r="AD83" s="42"/>
      <c r="AE83" s="42"/>
      <c r="AF83" s="42"/>
      <c r="AG83" s="42" t="s">
        <v>734</v>
      </c>
      <c r="AH83" s="42" t="s">
        <v>734</v>
      </c>
      <c r="AI83" s="42" t="s">
        <v>734</v>
      </c>
      <c r="AJ83" s="42" t="s">
        <v>734</v>
      </c>
      <c r="AK83" s="42" t="s">
        <v>734</v>
      </c>
      <c r="AL83" s="42" t="s">
        <v>734</v>
      </c>
      <c r="AM83" s="42" t="s">
        <v>734</v>
      </c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68">
        <v>79.5</v>
      </c>
      <c r="BA83" s="68"/>
      <c r="BB83" s="68"/>
      <c r="BD83" s="67">
        <f t="shared" si="23"/>
        <v>16536</v>
      </c>
      <c r="BE83" s="67"/>
      <c r="BF83" s="37"/>
      <c r="BG83" s="73">
        <v>1</v>
      </c>
      <c r="BH83" s="67">
        <f t="shared" si="16"/>
        <v>0</v>
      </c>
      <c r="BI83" s="67">
        <f t="shared" si="17"/>
        <v>0</v>
      </c>
      <c r="BJ83" s="70">
        <f t="shared" si="18"/>
        <v>0</v>
      </c>
      <c r="BN83" s="67">
        <f>IF((AX83+AY83+AZ83)&lt;20,(20-(AX83+AY83+AZ83)),0)</f>
        <v>0</v>
      </c>
      <c r="BO83" s="70">
        <f t="shared" si="21"/>
        <v>0</v>
      </c>
      <c r="BP83" s="37">
        <v>17</v>
      </c>
      <c r="BQ83" s="37">
        <v>25</v>
      </c>
      <c r="BR83" s="37">
        <v>25</v>
      </c>
      <c r="BS83" s="37">
        <v>18</v>
      </c>
      <c r="BT83" s="87">
        <f t="shared" si="22"/>
        <v>79.5</v>
      </c>
      <c r="BU83" s="87"/>
      <c r="BV83" s="87"/>
      <c r="BW83" s="87"/>
      <c r="BX83" s="87"/>
      <c r="BY83" s="87"/>
      <c r="BZ83" s="87"/>
      <c r="CA83" s="87"/>
      <c r="CB83" s="87"/>
      <c r="CC83" s="87"/>
      <c r="CD83" s="87"/>
      <c r="CF83" s="67">
        <f t="shared" si="24"/>
        <v>1351.5</v>
      </c>
      <c r="CG83" s="67">
        <f t="shared" si="25"/>
        <v>1987.5</v>
      </c>
      <c r="CH83" s="67">
        <f t="shared" si="26"/>
        <v>1987.5</v>
      </c>
      <c r="CI83" s="67">
        <f t="shared" si="31"/>
        <v>1431</v>
      </c>
      <c r="CJ83" s="37">
        <f t="shared" si="27"/>
        <v>561</v>
      </c>
      <c r="CK83" s="37">
        <f t="shared" si="28"/>
        <v>825</v>
      </c>
      <c r="CL83" s="37">
        <f t="shared" si="29"/>
        <v>825</v>
      </c>
      <c r="CM83" s="37">
        <f t="shared" si="30"/>
        <v>594</v>
      </c>
    </row>
    <row r="84" spans="2:91" ht="25.5">
      <c r="B84" s="156">
        <v>80</v>
      </c>
      <c r="C84" s="160">
        <v>621</v>
      </c>
      <c r="D84" s="160">
        <v>239</v>
      </c>
      <c r="E84" s="173">
        <v>0.28680555555555554</v>
      </c>
      <c r="F84" s="161">
        <v>0.30972222222222223</v>
      </c>
      <c r="G84" s="160" t="s">
        <v>654</v>
      </c>
      <c r="H84" s="162" t="s">
        <v>123</v>
      </c>
      <c r="I84" s="163">
        <v>21</v>
      </c>
      <c r="J84" s="164" t="s">
        <v>165</v>
      </c>
      <c r="K84" s="165">
        <v>34</v>
      </c>
      <c r="L84" s="166">
        <f t="shared" si="20"/>
        <v>714</v>
      </c>
      <c r="M84" s="167" t="s">
        <v>1081</v>
      </c>
      <c r="N84" s="154"/>
      <c r="O84" s="154"/>
      <c r="P84" s="150" t="s">
        <v>1242</v>
      </c>
      <c r="Q84" s="150">
        <v>48</v>
      </c>
      <c r="R84" s="150" t="s">
        <v>1243</v>
      </c>
      <c r="S84" s="175">
        <v>45</v>
      </c>
      <c r="T84" s="45" t="s">
        <v>1377</v>
      </c>
      <c r="U84" s="45" t="s">
        <v>1378</v>
      </c>
      <c r="V84" s="45">
        <v>1</v>
      </c>
      <c r="W84" s="45" t="s">
        <v>1339</v>
      </c>
      <c r="X84" s="98">
        <v>44816</v>
      </c>
      <c r="Y84" s="98">
        <v>45086</v>
      </c>
      <c r="Z84" s="98"/>
      <c r="AA84" s="98"/>
      <c r="AB84" s="41" t="s">
        <v>1123</v>
      </c>
      <c r="AC84" s="41"/>
      <c r="AD84" s="42"/>
      <c r="AE84" s="42"/>
      <c r="AF84" s="42"/>
      <c r="AG84" s="42" t="s">
        <v>734</v>
      </c>
      <c r="AH84" s="42"/>
      <c r="AI84" s="42"/>
      <c r="AJ84" s="42"/>
      <c r="AK84" s="42"/>
      <c r="AL84" s="42"/>
      <c r="AM84" s="42" t="s">
        <v>734</v>
      </c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68">
        <v>63</v>
      </c>
      <c r="AY84" s="68"/>
      <c r="BA84" s="37"/>
      <c r="BB84" s="37"/>
      <c r="BD84" s="67">
        <f t="shared" si="23"/>
        <v>2142</v>
      </c>
      <c r="BE84" s="67"/>
      <c r="BF84" s="37"/>
      <c r="BG84" s="69">
        <v>2</v>
      </c>
      <c r="BH84" s="67">
        <f t="shared" si="16"/>
        <v>0</v>
      </c>
      <c r="BI84" s="67">
        <f t="shared" si="17"/>
        <v>0</v>
      </c>
      <c r="BJ84" s="70">
        <f t="shared" si="18"/>
        <v>0</v>
      </c>
      <c r="BN84" s="67">
        <f>IF((AX84+AY84+AZ84)&lt;20,(20-(AX84+AY84+AZ84)),0)</f>
        <v>0</v>
      </c>
      <c r="BO84" s="70">
        <f t="shared" si="21"/>
        <v>0</v>
      </c>
      <c r="BP84" s="37">
        <v>2</v>
      </c>
      <c r="BQ84" s="37">
        <v>5</v>
      </c>
      <c r="BR84" s="37">
        <v>4</v>
      </c>
      <c r="BS84" s="37">
        <v>3</v>
      </c>
      <c r="BT84" s="87">
        <f t="shared" si="22"/>
        <v>63</v>
      </c>
      <c r="BU84" s="87"/>
      <c r="BV84" s="87"/>
      <c r="BW84" s="87"/>
      <c r="BX84" s="87"/>
      <c r="BY84" s="87"/>
      <c r="BZ84" s="87"/>
      <c r="CA84" s="87"/>
      <c r="CB84" s="87"/>
      <c r="CC84" s="87"/>
      <c r="CD84" s="87"/>
      <c r="CF84" s="67">
        <f t="shared" si="24"/>
        <v>126</v>
      </c>
      <c r="CG84" s="67">
        <f t="shared" si="25"/>
        <v>315</v>
      </c>
      <c r="CH84" s="67">
        <f t="shared" si="26"/>
        <v>252</v>
      </c>
      <c r="CI84" s="67">
        <f t="shared" si="31"/>
        <v>189</v>
      </c>
      <c r="CJ84" s="37">
        <f t="shared" si="27"/>
        <v>42</v>
      </c>
      <c r="CK84" s="37">
        <f t="shared" si="28"/>
        <v>105</v>
      </c>
      <c r="CL84" s="37">
        <f t="shared" si="29"/>
        <v>84</v>
      </c>
      <c r="CM84" s="37">
        <f t="shared" si="30"/>
        <v>63</v>
      </c>
    </row>
    <row r="85" spans="2:91" ht="25.5">
      <c r="B85" s="156">
        <v>81</v>
      </c>
      <c r="C85" s="160">
        <v>621</v>
      </c>
      <c r="D85" s="160">
        <v>966</v>
      </c>
      <c r="E85" s="161">
        <v>0.35416666666666669</v>
      </c>
      <c r="F85" s="161">
        <v>0.37083333333333335</v>
      </c>
      <c r="G85" s="160" t="s">
        <v>477</v>
      </c>
      <c r="H85" s="160" t="s">
        <v>501</v>
      </c>
      <c r="I85" s="163">
        <v>13.2</v>
      </c>
      <c r="J85" s="164" t="s">
        <v>93</v>
      </c>
      <c r="K85" s="165">
        <v>67</v>
      </c>
      <c r="L85" s="166">
        <f t="shared" si="20"/>
        <v>884.4</v>
      </c>
      <c r="M85" s="167" t="s">
        <v>738</v>
      </c>
      <c r="N85" s="221" t="s">
        <v>2077</v>
      </c>
      <c r="O85" s="221">
        <v>42</v>
      </c>
      <c r="P85" s="3" t="s">
        <v>911</v>
      </c>
      <c r="Q85" s="3">
        <v>21</v>
      </c>
      <c r="R85" s="150" t="s">
        <v>910</v>
      </c>
      <c r="S85" s="151">
        <v>24</v>
      </c>
      <c r="T85" s="45" t="s">
        <v>1379</v>
      </c>
      <c r="U85" s="45" t="s">
        <v>1380</v>
      </c>
      <c r="V85" s="45">
        <v>6120</v>
      </c>
      <c r="W85" s="45" t="s">
        <v>1341</v>
      </c>
      <c r="X85" s="99">
        <v>44562</v>
      </c>
      <c r="Y85" s="99">
        <v>44815</v>
      </c>
      <c r="Z85" s="99">
        <v>45101</v>
      </c>
      <c r="AA85" s="99">
        <v>45169</v>
      </c>
      <c r="AB85" s="42" t="s">
        <v>1119</v>
      </c>
      <c r="AC85" s="42"/>
      <c r="AD85" s="42"/>
      <c r="AE85" s="42" t="s">
        <v>734</v>
      </c>
      <c r="AF85" s="42" t="s">
        <v>734</v>
      </c>
      <c r="AG85" s="42"/>
      <c r="AH85" s="42" t="s">
        <v>734</v>
      </c>
      <c r="AI85" s="42" t="s">
        <v>734</v>
      </c>
      <c r="AJ85" s="42" t="s">
        <v>734</v>
      </c>
      <c r="AK85" s="42" t="s">
        <v>734</v>
      </c>
      <c r="AL85" s="42" t="s">
        <v>734</v>
      </c>
      <c r="AM85" s="42" t="s">
        <v>734</v>
      </c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68">
        <v>39.6</v>
      </c>
      <c r="AY85" s="68"/>
      <c r="BA85" s="37"/>
      <c r="BB85" s="37"/>
      <c r="BD85" s="67">
        <f t="shared" si="23"/>
        <v>2653.2000000000003</v>
      </c>
      <c r="BE85" s="67"/>
      <c r="BF85" s="37"/>
      <c r="BG85" s="73">
        <v>1</v>
      </c>
      <c r="BH85" s="67">
        <f t="shared" si="16"/>
        <v>0</v>
      </c>
      <c r="BI85" s="67">
        <f t="shared" si="17"/>
        <v>0</v>
      </c>
      <c r="BJ85" s="70">
        <f t="shared" si="18"/>
        <v>0</v>
      </c>
      <c r="BN85" s="37"/>
      <c r="BO85" s="70">
        <f t="shared" si="21"/>
        <v>0</v>
      </c>
      <c r="BP85" s="37">
        <v>9</v>
      </c>
      <c r="BQ85" s="37">
        <v>0</v>
      </c>
      <c r="BR85" s="37">
        <v>0</v>
      </c>
      <c r="BS85" s="37">
        <v>0</v>
      </c>
      <c r="BT85" s="87">
        <f t="shared" si="22"/>
        <v>39.6</v>
      </c>
      <c r="BU85" s="87"/>
      <c r="BV85" s="87"/>
      <c r="BW85" s="87"/>
      <c r="BX85" s="87"/>
      <c r="BY85" s="87"/>
      <c r="BZ85" s="87"/>
      <c r="CA85" s="87"/>
      <c r="CB85" s="87"/>
      <c r="CC85" s="87"/>
      <c r="CD85" s="87"/>
      <c r="CF85" s="67">
        <f t="shared" si="24"/>
        <v>356.40000000000003</v>
      </c>
      <c r="CG85" s="67">
        <f t="shared" si="25"/>
        <v>0</v>
      </c>
      <c r="CH85" s="67">
        <f t="shared" si="26"/>
        <v>0</v>
      </c>
      <c r="CI85" s="67">
        <f t="shared" si="31"/>
        <v>0</v>
      </c>
      <c r="CJ85" s="37">
        <f t="shared" si="27"/>
        <v>118.8</v>
      </c>
      <c r="CK85" s="37">
        <f t="shared" si="28"/>
        <v>0</v>
      </c>
      <c r="CL85" s="37">
        <f t="shared" si="29"/>
        <v>0</v>
      </c>
      <c r="CM85" s="37">
        <f t="shared" si="30"/>
        <v>0</v>
      </c>
    </row>
    <row r="86" spans="2:91" ht="25.5">
      <c r="B86" s="156">
        <v>82</v>
      </c>
      <c r="C86" s="160">
        <v>621</v>
      </c>
      <c r="D86" s="160">
        <v>966</v>
      </c>
      <c r="E86" s="161">
        <v>0.35416666666666669</v>
      </c>
      <c r="F86" s="173">
        <v>0.37083333333333335</v>
      </c>
      <c r="G86" s="160" t="s">
        <v>477</v>
      </c>
      <c r="H86" s="160" t="s">
        <v>479</v>
      </c>
      <c r="I86" s="163">
        <v>13.2</v>
      </c>
      <c r="J86" s="164" t="s">
        <v>93</v>
      </c>
      <c r="K86" s="165">
        <v>240</v>
      </c>
      <c r="L86" s="166">
        <f t="shared" si="20"/>
        <v>3168</v>
      </c>
      <c r="M86" s="167" t="s">
        <v>738</v>
      </c>
      <c r="N86" s="221" t="s">
        <v>2077</v>
      </c>
      <c r="O86" s="221">
        <v>42</v>
      </c>
      <c r="P86" s="150" t="s">
        <v>911</v>
      </c>
      <c r="Q86" s="150">
        <v>21</v>
      </c>
      <c r="R86" s="150" t="s">
        <v>910</v>
      </c>
      <c r="S86" s="151">
        <v>24</v>
      </c>
      <c r="T86" s="45" t="s">
        <v>1379</v>
      </c>
      <c r="U86" s="45" t="s">
        <v>1380</v>
      </c>
      <c r="V86" s="45">
        <v>6120</v>
      </c>
      <c r="W86" s="45" t="s">
        <v>1341</v>
      </c>
      <c r="X86" s="99">
        <v>44816</v>
      </c>
      <c r="Y86" s="99">
        <v>45100</v>
      </c>
      <c r="Z86" s="99"/>
      <c r="AA86" s="99"/>
      <c r="AB86" s="45" t="s">
        <v>1124</v>
      </c>
      <c r="AC86" s="45"/>
      <c r="AD86" s="42" t="s">
        <v>734</v>
      </c>
      <c r="AE86" s="42"/>
      <c r="AF86" s="42" t="s">
        <v>734</v>
      </c>
      <c r="AG86" s="42"/>
      <c r="AH86" s="42" t="s">
        <v>734</v>
      </c>
      <c r="AI86" s="42" t="s">
        <v>734</v>
      </c>
      <c r="AJ86" s="42" t="s">
        <v>734</v>
      </c>
      <c r="AK86" s="42" t="s">
        <v>734</v>
      </c>
      <c r="AL86" s="42" t="s">
        <v>734</v>
      </c>
      <c r="AM86" s="42" t="s">
        <v>734</v>
      </c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68">
        <v>39.6</v>
      </c>
      <c r="AY86" s="68"/>
      <c r="BA86" s="37"/>
      <c r="BB86" s="37"/>
      <c r="BD86" s="67">
        <f t="shared" si="23"/>
        <v>9504</v>
      </c>
      <c r="BE86" s="67"/>
      <c r="BF86" s="37"/>
      <c r="BG86" s="73">
        <v>1</v>
      </c>
      <c r="BH86" s="67">
        <f t="shared" si="16"/>
        <v>0</v>
      </c>
      <c r="BI86" s="67">
        <f t="shared" si="17"/>
        <v>0</v>
      </c>
      <c r="BJ86" s="70">
        <f t="shared" si="18"/>
        <v>0</v>
      </c>
      <c r="BN86" s="37"/>
      <c r="BO86" s="70">
        <f t="shared" si="21"/>
        <v>0</v>
      </c>
      <c r="BP86" s="37">
        <v>17</v>
      </c>
      <c r="BQ86" s="37">
        <v>26</v>
      </c>
      <c r="BR86" s="37">
        <v>25</v>
      </c>
      <c r="BS86" s="37">
        <v>25</v>
      </c>
      <c r="BT86" s="87">
        <f t="shared" si="22"/>
        <v>39.6</v>
      </c>
      <c r="BU86" s="87"/>
      <c r="BV86" s="87"/>
      <c r="BW86" s="87"/>
      <c r="BX86" s="87"/>
      <c r="BY86" s="87"/>
      <c r="BZ86" s="87"/>
      <c r="CA86" s="87"/>
      <c r="CB86" s="87"/>
      <c r="CC86" s="87"/>
      <c r="CD86" s="87"/>
      <c r="CF86" s="67">
        <f t="shared" si="24"/>
        <v>673.2</v>
      </c>
      <c r="CG86" s="67">
        <f t="shared" si="25"/>
        <v>1029.6000000000001</v>
      </c>
      <c r="CH86" s="67">
        <f t="shared" si="26"/>
        <v>990</v>
      </c>
      <c r="CI86" s="67">
        <f t="shared" si="31"/>
        <v>990</v>
      </c>
      <c r="CJ86" s="37">
        <f t="shared" si="27"/>
        <v>224.39999999999998</v>
      </c>
      <c r="CK86" s="37">
        <f t="shared" si="28"/>
        <v>343.2</v>
      </c>
      <c r="CL86" s="37">
        <f t="shared" si="29"/>
        <v>330</v>
      </c>
      <c r="CM86" s="37">
        <f t="shared" si="30"/>
        <v>330</v>
      </c>
    </row>
    <row r="87" spans="2:91" ht="33.75">
      <c r="B87" s="156">
        <v>83</v>
      </c>
      <c r="C87" s="160">
        <v>621</v>
      </c>
      <c r="D87" s="162">
        <v>241</v>
      </c>
      <c r="E87" s="161">
        <v>0.36458333333333331</v>
      </c>
      <c r="F87" s="161">
        <v>0.38958333333333334</v>
      </c>
      <c r="G87" s="160" t="s">
        <v>549</v>
      </c>
      <c r="H87" s="160" t="s">
        <v>548</v>
      </c>
      <c r="I87" s="163">
        <v>22</v>
      </c>
      <c r="J87" s="164" t="s">
        <v>406</v>
      </c>
      <c r="K87" s="165">
        <v>45</v>
      </c>
      <c r="L87" s="166">
        <f t="shared" si="20"/>
        <v>990</v>
      </c>
      <c r="M87" s="177" t="s">
        <v>726</v>
      </c>
      <c r="N87" s="150" t="s">
        <v>1055</v>
      </c>
      <c r="O87" s="150">
        <v>45</v>
      </c>
      <c r="P87" s="150" t="s">
        <v>943</v>
      </c>
      <c r="Q87" s="150">
        <v>48</v>
      </c>
      <c r="R87" s="268" t="s">
        <v>2061</v>
      </c>
      <c r="S87" s="269">
        <v>45</v>
      </c>
      <c r="T87" s="45">
        <v>6120</v>
      </c>
      <c r="U87" s="45" t="s">
        <v>1341</v>
      </c>
      <c r="V87" s="45">
        <v>1</v>
      </c>
      <c r="W87" s="45" t="s">
        <v>1339</v>
      </c>
      <c r="X87" s="99">
        <v>44816</v>
      </c>
      <c r="Y87" s="99">
        <v>45100</v>
      </c>
      <c r="Z87" s="99"/>
      <c r="AA87" s="99"/>
      <c r="AB87" s="36" t="s">
        <v>1115</v>
      </c>
      <c r="AC87" s="36"/>
      <c r="AD87" s="42" t="s">
        <v>734</v>
      </c>
      <c r="AE87" s="42"/>
      <c r="AF87" s="42"/>
      <c r="AG87" s="42"/>
      <c r="AH87" s="42"/>
      <c r="AI87" s="42"/>
      <c r="AJ87" s="42"/>
      <c r="AK87" s="42"/>
      <c r="AL87" s="42"/>
      <c r="AM87" s="42"/>
      <c r="AN87" s="42" t="s">
        <v>734</v>
      </c>
      <c r="AO87" s="42"/>
      <c r="AP87" s="42"/>
      <c r="AQ87" s="42"/>
      <c r="AR87" s="42"/>
      <c r="AS87" s="42"/>
      <c r="AT87" s="42"/>
      <c r="AU87" s="42"/>
      <c r="AV87" s="42"/>
      <c r="AW87" s="42"/>
      <c r="AX87" s="68">
        <v>66</v>
      </c>
      <c r="AY87" s="68"/>
      <c r="BA87" s="37"/>
      <c r="BB87" s="37"/>
      <c r="BD87" s="67">
        <f t="shared" si="23"/>
        <v>2970</v>
      </c>
      <c r="BE87" s="67"/>
      <c r="BF87" s="37"/>
      <c r="BG87" s="69">
        <v>2</v>
      </c>
      <c r="BH87" s="67">
        <f t="shared" si="16"/>
        <v>0</v>
      </c>
      <c r="BI87" s="67">
        <f t="shared" si="17"/>
        <v>0</v>
      </c>
      <c r="BJ87" s="70">
        <f t="shared" si="18"/>
        <v>0</v>
      </c>
      <c r="BN87" s="37"/>
      <c r="BO87" s="70">
        <f t="shared" si="21"/>
        <v>0</v>
      </c>
      <c r="BP87" s="37">
        <v>2</v>
      </c>
      <c r="BQ87" s="37">
        <v>5</v>
      </c>
      <c r="BR87" s="37">
        <v>5</v>
      </c>
      <c r="BS87" s="37">
        <v>6</v>
      </c>
      <c r="BT87" s="87">
        <f t="shared" si="22"/>
        <v>66</v>
      </c>
      <c r="BU87" s="87"/>
      <c r="BV87" s="87"/>
      <c r="BW87" s="87"/>
      <c r="BX87" s="87"/>
      <c r="BY87" s="87"/>
      <c r="BZ87" s="87"/>
      <c r="CA87" s="87"/>
      <c r="CB87" s="87"/>
      <c r="CC87" s="87"/>
      <c r="CD87" s="87"/>
      <c r="CF87" s="67">
        <f t="shared" si="24"/>
        <v>132</v>
      </c>
      <c r="CG87" s="67">
        <f t="shared" si="25"/>
        <v>330</v>
      </c>
      <c r="CH87" s="67">
        <f t="shared" si="26"/>
        <v>330</v>
      </c>
      <c r="CI87" s="67">
        <f t="shared" si="31"/>
        <v>396</v>
      </c>
      <c r="CJ87" s="37">
        <f t="shared" si="27"/>
        <v>44</v>
      </c>
      <c r="CK87" s="37">
        <f t="shared" si="28"/>
        <v>110</v>
      </c>
      <c r="CL87" s="37">
        <f t="shared" si="29"/>
        <v>110</v>
      </c>
      <c r="CM87" s="37">
        <f t="shared" si="30"/>
        <v>132</v>
      </c>
    </row>
    <row r="88" spans="2:91" ht="33.75">
      <c r="B88" s="156">
        <v>84</v>
      </c>
      <c r="C88" s="160">
        <v>621</v>
      </c>
      <c r="D88" s="160">
        <v>987</v>
      </c>
      <c r="E88" s="161">
        <v>0.3743055555555555</v>
      </c>
      <c r="F88" s="173">
        <v>0.3888888888888889</v>
      </c>
      <c r="G88" s="160" t="s">
        <v>478</v>
      </c>
      <c r="H88" s="160" t="s">
        <v>479</v>
      </c>
      <c r="I88" s="163">
        <v>11.3</v>
      </c>
      <c r="J88" s="164" t="s">
        <v>93</v>
      </c>
      <c r="K88" s="165">
        <v>240</v>
      </c>
      <c r="L88" s="166">
        <f t="shared" si="20"/>
        <v>2712</v>
      </c>
      <c r="M88" s="167" t="s">
        <v>738</v>
      </c>
      <c r="N88" s="221" t="s">
        <v>2077</v>
      </c>
      <c r="O88" s="221">
        <v>42</v>
      </c>
      <c r="P88" s="150" t="s">
        <v>911</v>
      </c>
      <c r="Q88" s="150">
        <v>21</v>
      </c>
      <c r="R88" s="150" t="s">
        <v>910</v>
      </c>
      <c r="S88" s="151">
        <v>24</v>
      </c>
      <c r="T88" s="45">
        <v>6120</v>
      </c>
      <c r="U88" s="45" t="s">
        <v>1341</v>
      </c>
      <c r="V88" s="45" t="s">
        <v>1381</v>
      </c>
      <c r="W88" s="45" t="s">
        <v>1382</v>
      </c>
      <c r="X88" s="99">
        <v>44816</v>
      </c>
      <c r="Y88" s="99">
        <v>45100</v>
      </c>
      <c r="Z88" s="99"/>
      <c r="AA88" s="99"/>
      <c r="AB88" s="45" t="s">
        <v>1124</v>
      </c>
      <c r="AC88" s="45"/>
      <c r="AD88" s="42" t="s">
        <v>734</v>
      </c>
      <c r="AE88" s="42"/>
      <c r="AF88" s="42" t="s">
        <v>734</v>
      </c>
      <c r="AG88" s="42"/>
      <c r="AH88" s="42" t="s">
        <v>734</v>
      </c>
      <c r="AI88" s="42" t="s">
        <v>734</v>
      </c>
      <c r="AJ88" s="42" t="s">
        <v>734</v>
      </c>
      <c r="AK88" s="42" t="s">
        <v>734</v>
      </c>
      <c r="AL88" s="42" t="s">
        <v>734</v>
      </c>
      <c r="AM88" s="42" t="s">
        <v>734</v>
      </c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68">
        <v>33.9</v>
      </c>
      <c r="AY88" s="68"/>
      <c r="BA88" s="37"/>
      <c r="BB88" s="37"/>
      <c r="BD88" s="67">
        <f t="shared" si="23"/>
        <v>8136</v>
      </c>
      <c r="BE88" s="67"/>
      <c r="BF88" s="37"/>
      <c r="BG88" s="73">
        <v>1</v>
      </c>
      <c r="BH88" s="67">
        <f t="shared" si="16"/>
        <v>0</v>
      </c>
      <c r="BI88" s="67">
        <f t="shared" si="17"/>
        <v>0</v>
      </c>
      <c r="BJ88" s="70">
        <f t="shared" si="18"/>
        <v>0</v>
      </c>
      <c r="BN88" s="37"/>
      <c r="BO88" s="70">
        <f t="shared" si="21"/>
        <v>0</v>
      </c>
      <c r="BP88" s="37">
        <v>17</v>
      </c>
      <c r="BQ88" s="37">
        <v>26</v>
      </c>
      <c r="BR88" s="37">
        <v>25</v>
      </c>
      <c r="BS88" s="37">
        <v>25</v>
      </c>
      <c r="BT88" s="87">
        <f t="shared" si="22"/>
        <v>33.9</v>
      </c>
      <c r="BU88" s="87"/>
      <c r="BV88" s="87"/>
      <c r="BW88" s="87"/>
      <c r="BX88" s="87"/>
      <c r="BY88" s="87"/>
      <c r="BZ88" s="87"/>
      <c r="CA88" s="87"/>
      <c r="CB88" s="87"/>
      <c r="CC88" s="87"/>
      <c r="CD88" s="87"/>
      <c r="CF88" s="67">
        <f t="shared" si="24"/>
        <v>576.29999999999995</v>
      </c>
      <c r="CG88" s="67">
        <f t="shared" si="25"/>
        <v>881.4</v>
      </c>
      <c r="CH88" s="67">
        <f t="shared" si="26"/>
        <v>847.5</v>
      </c>
      <c r="CI88" s="67">
        <f t="shared" si="31"/>
        <v>847.5</v>
      </c>
      <c r="CJ88" s="37">
        <f t="shared" si="27"/>
        <v>192.10000000000002</v>
      </c>
      <c r="CK88" s="37">
        <f t="shared" si="28"/>
        <v>293.8</v>
      </c>
      <c r="CL88" s="37">
        <f t="shared" si="29"/>
        <v>282.5</v>
      </c>
      <c r="CM88" s="37">
        <f t="shared" si="30"/>
        <v>282.5</v>
      </c>
    </row>
    <row r="89" spans="2:91" ht="33.75">
      <c r="B89" s="156">
        <v>85</v>
      </c>
      <c r="C89" s="160">
        <v>621</v>
      </c>
      <c r="D89" s="160">
        <v>987</v>
      </c>
      <c r="E89" s="161">
        <v>0.3743055555555555</v>
      </c>
      <c r="F89" s="161">
        <v>0.3888888888888889</v>
      </c>
      <c r="G89" s="160" t="s">
        <v>478</v>
      </c>
      <c r="H89" s="160" t="s">
        <v>501</v>
      </c>
      <c r="I89" s="163">
        <v>11.3</v>
      </c>
      <c r="J89" s="164" t="s">
        <v>93</v>
      </c>
      <c r="K89" s="165">
        <v>67</v>
      </c>
      <c r="L89" s="166">
        <f t="shared" si="20"/>
        <v>757.1</v>
      </c>
      <c r="M89" s="167" t="s">
        <v>738</v>
      </c>
      <c r="N89" s="221" t="s">
        <v>2077</v>
      </c>
      <c r="O89" s="221">
        <v>42</v>
      </c>
      <c r="P89" s="150" t="s">
        <v>911</v>
      </c>
      <c r="Q89" s="150">
        <v>21</v>
      </c>
      <c r="R89" s="150" t="s">
        <v>910</v>
      </c>
      <c r="S89" s="151">
        <v>24</v>
      </c>
      <c r="T89" s="45">
        <v>6120</v>
      </c>
      <c r="U89" s="45" t="s">
        <v>1341</v>
      </c>
      <c r="V89" s="45" t="s">
        <v>1381</v>
      </c>
      <c r="W89" s="45" t="s">
        <v>1382</v>
      </c>
      <c r="X89" s="99">
        <v>44562</v>
      </c>
      <c r="Y89" s="99">
        <v>44815</v>
      </c>
      <c r="Z89" s="99">
        <v>45101</v>
      </c>
      <c r="AA89" s="99">
        <v>45169</v>
      </c>
      <c r="AB89" s="42" t="s">
        <v>1119</v>
      </c>
      <c r="AC89" s="42"/>
      <c r="AD89" s="42"/>
      <c r="AE89" s="42" t="s">
        <v>734</v>
      </c>
      <c r="AF89" s="42" t="s">
        <v>734</v>
      </c>
      <c r="AG89" s="42"/>
      <c r="AH89" s="42" t="s">
        <v>734</v>
      </c>
      <c r="AI89" s="42" t="s">
        <v>734</v>
      </c>
      <c r="AJ89" s="42" t="s">
        <v>734</v>
      </c>
      <c r="AK89" s="42" t="s">
        <v>734</v>
      </c>
      <c r="AL89" s="42" t="s">
        <v>734</v>
      </c>
      <c r="AM89" s="42" t="s">
        <v>734</v>
      </c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68">
        <v>33.9</v>
      </c>
      <c r="AY89" s="68"/>
      <c r="BA89" s="37"/>
      <c r="BB89" s="37"/>
      <c r="BD89" s="67">
        <f t="shared" si="23"/>
        <v>2271.2999999999997</v>
      </c>
      <c r="BE89" s="67"/>
      <c r="BF89" s="37"/>
      <c r="BG89" s="73">
        <v>1</v>
      </c>
      <c r="BH89" s="67">
        <f t="shared" si="16"/>
        <v>0</v>
      </c>
      <c r="BI89" s="67">
        <f t="shared" si="17"/>
        <v>0</v>
      </c>
      <c r="BJ89" s="70">
        <f t="shared" si="18"/>
        <v>0</v>
      </c>
      <c r="BN89" s="37"/>
      <c r="BO89" s="70">
        <f t="shared" si="21"/>
        <v>0</v>
      </c>
      <c r="BP89" s="37">
        <v>9</v>
      </c>
      <c r="BQ89" s="37">
        <v>0</v>
      </c>
      <c r="BR89" s="37">
        <v>0</v>
      </c>
      <c r="BS89" s="37">
        <v>0</v>
      </c>
      <c r="BT89" s="87">
        <f t="shared" si="22"/>
        <v>33.9</v>
      </c>
      <c r="BU89" s="87"/>
      <c r="BV89" s="87"/>
      <c r="BW89" s="87"/>
      <c r="BX89" s="87"/>
      <c r="BY89" s="87"/>
      <c r="BZ89" s="87"/>
      <c r="CA89" s="87"/>
      <c r="CB89" s="87"/>
      <c r="CC89" s="87"/>
      <c r="CD89" s="87"/>
      <c r="CF89" s="67">
        <f t="shared" si="24"/>
        <v>305.09999999999997</v>
      </c>
      <c r="CG89" s="67">
        <f t="shared" si="25"/>
        <v>0</v>
      </c>
      <c r="CH89" s="67">
        <f t="shared" si="26"/>
        <v>0</v>
      </c>
      <c r="CI89" s="67">
        <f t="shared" si="31"/>
        <v>0</v>
      </c>
      <c r="CJ89" s="37">
        <f t="shared" si="27"/>
        <v>101.7</v>
      </c>
      <c r="CK89" s="37">
        <f t="shared" si="28"/>
        <v>0</v>
      </c>
      <c r="CL89" s="37">
        <f t="shared" si="29"/>
        <v>0</v>
      </c>
      <c r="CM89" s="37">
        <f t="shared" si="30"/>
        <v>0</v>
      </c>
    </row>
    <row r="90" spans="2:91" ht="25.5">
      <c r="B90" s="156">
        <v>86</v>
      </c>
      <c r="C90" s="160">
        <v>621</v>
      </c>
      <c r="D90" s="160">
        <v>968</v>
      </c>
      <c r="E90" s="161">
        <v>0.39305555555555555</v>
      </c>
      <c r="F90" s="161">
        <v>0.40972222222222227</v>
      </c>
      <c r="G90" s="160" t="s">
        <v>477</v>
      </c>
      <c r="H90" s="160" t="s">
        <v>501</v>
      </c>
      <c r="I90" s="163">
        <v>13.2</v>
      </c>
      <c r="J90" s="164" t="s">
        <v>93</v>
      </c>
      <c r="K90" s="165">
        <v>67</v>
      </c>
      <c r="L90" s="166">
        <f t="shared" si="20"/>
        <v>884.4</v>
      </c>
      <c r="M90" s="167" t="s">
        <v>738</v>
      </c>
      <c r="N90" s="221" t="s">
        <v>2077</v>
      </c>
      <c r="O90" s="221">
        <v>42</v>
      </c>
      <c r="P90" s="150" t="s">
        <v>911</v>
      </c>
      <c r="Q90" s="150">
        <v>21</v>
      </c>
      <c r="R90" s="150" t="s">
        <v>910</v>
      </c>
      <c r="S90" s="151">
        <v>24</v>
      </c>
      <c r="T90" s="45" t="s">
        <v>1379</v>
      </c>
      <c r="U90" s="45" t="s">
        <v>1380</v>
      </c>
      <c r="V90" s="45">
        <v>6120</v>
      </c>
      <c r="W90" s="45" t="s">
        <v>1341</v>
      </c>
      <c r="X90" s="99">
        <v>44562</v>
      </c>
      <c r="Y90" s="99">
        <v>44815</v>
      </c>
      <c r="Z90" s="99">
        <v>45101</v>
      </c>
      <c r="AA90" s="99">
        <v>45169</v>
      </c>
      <c r="AB90" s="42" t="s">
        <v>1119</v>
      </c>
      <c r="AC90" s="42"/>
      <c r="AD90" s="42"/>
      <c r="AE90" s="42" t="s">
        <v>734</v>
      </c>
      <c r="AF90" s="42" t="s">
        <v>734</v>
      </c>
      <c r="AG90" s="42"/>
      <c r="AH90" s="42" t="s">
        <v>734</v>
      </c>
      <c r="AI90" s="42" t="s">
        <v>734</v>
      </c>
      <c r="AJ90" s="42" t="s">
        <v>734</v>
      </c>
      <c r="AK90" s="42" t="s">
        <v>734</v>
      </c>
      <c r="AL90" s="42" t="s">
        <v>734</v>
      </c>
      <c r="AM90" s="42" t="s">
        <v>734</v>
      </c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68">
        <v>39.6</v>
      </c>
      <c r="AY90" s="68"/>
      <c r="BA90" s="37"/>
      <c r="BB90" s="37"/>
      <c r="BD90" s="67">
        <f t="shared" si="23"/>
        <v>2653.2000000000003</v>
      </c>
      <c r="BE90" s="67"/>
      <c r="BF90" s="37"/>
      <c r="BG90" s="73">
        <v>1</v>
      </c>
      <c r="BH90" s="67">
        <f t="shared" si="16"/>
        <v>0</v>
      </c>
      <c r="BI90" s="67">
        <f t="shared" si="17"/>
        <v>0</v>
      </c>
      <c r="BJ90" s="70">
        <f t="shared" si="18"/>
        <v>0</v>
      </c>
      <c r="BN90" s="37"/>
      <c r="BO90" s="70">
        <f t="shared" si="21"/>
        <v>0</v>
      </c>
      <c r="BP90" s="37">
        <v>9</v>
      </c>
      <c r="BQ90" s="37">
        <v>0</v>
      </c>
      <c r="BR90" s="37">
        <v>0</v>
      </c>
      <c r="BS90" s="37">
        <v>0</v>
      </c>
      <c r="BT90" s="87">
        <f t="shared" si="22"/>
        <v>39.6</v>
      </c>
      <c r="BU90" s="87"/>
      <c r="BV90" s="87"/>
      <c r="BW90" s="87"/>
      <c r="BX90" s="87"/>
      <c r="BY90" s="87"/>
      <c r="BZ90" s="87"/>
      <c r="CA90" s="87"/>
      <c r="CB90" s="87"/>
      <c r="CC90" s="87"/>
      <c r="CD90" s="87"/>
      <c r="CF90" s="67">
        <f t="shared" si="24"/>
        <v>356.40000000000003</v>
      </c>
      <c r="CG90" s="67">
        <f t="shared" si="25"/>
        <v>0</v>
      </c>
      <c r="CH90" s="67">
        <f t="shared" si="26"/>
        <v>0</v>
      </c>
      <c r="CI90" s="67">
        <f t="shared" si="31"/>
        <v>0</v>
      </c>
      <c r="CJ90" s="37">
        <f t="shared" si="27"/>
        <v>118.8</v>
      </c>
      <c r="CK90" s="37">
        <f t="shared" si="28"/>
        <v>0</v>
      </c>
      <c r="CL90" s="37">
        <f t="shared" si="29"/>
        <v>0</v>
      </c>
      <c r="CM90" s="37">
        <f t="shared" si="30"/>
        <v>0</v>
      </c>
    </row>
    <row r="91" spans="2:91" ht="33.75">
      <c r="B91" s="156">
        <v>87</v>
      </c>
      <c r="C91" s="160">
        <v>621</v>
      </c>
      <c r="D91" s="160">
        <v>989</v>
      </c>
      <c r="E91" s="161">
        <v>0.49305555555555558</v>
      </c>
      <c r="F91" s="161">
        <v>0.50624999999999998</v>
      </c>
      <c r="G91" s="160" t="s">
        <v>478</v>
      </c>
      <c r="H91" s="160" t="s">
        <v>501</v>
      </c>
      <c r="I91" s="163">
        <v>11.3</v>
      </c>
      <c r="J91" s="164" t="s">
        <v>93</v>
      </c>
      <c r="K91" s="165">
        <v>67</v>
      </c>
      <c r="L91" s="166">
        <f t="shared" si="20"/>
        <v>757.1</v>
      </c>
      <c r="M91" s="167" t="s">
        <v>738</v>
      </c>
      <c r="N91" s="221" t="s">
        <v>2077</v>
      </c>
      <c r="O91" s="221">
        <v>42</v>
      </c>
      <c r="P91" s="150" t="s">
        <v>911</v>
      </c>
      <c r="Q91" s="150">
        <v>21</v>
      </c>
      <c r="R91" s="150" t="s">
        <v>910</v>
      </c>
      <c r="S91" s="151">
        <v>24</v>
      </c>
      <c r="T91" s="45">
        <v>6120</v>
      </c>
      <c r="U91" s="45" t="s">
        <v>1341</v>
      </c>
      <c r="V91" s="45" t="s">
        <v>1379</v>
      </c>
      <c r="W91" s="45" t="s">
        <v>1380</v>
      </c>
      <c r="X91" s="99">
        <v>44562</v>
      </c>
      <c r="Y91" s="99">
        <v>44815</v>
      </c>
      <c r="Z91" s="99">
        <v>45101</v>
      </c>
      <c r="AA91" s="99">
        <v>45169</v>
      </c>
      <c r="AB91" s="42" t="s">
        <v>1119</v>
      </c>
      <c r="AC91" s="42"/>
      <c r="AD91" s="42"/>
      <c r="AE91" s="42" t="s">
        <v>734</v>
      </c>
      <c r="AF91" s="42" t="s">
        <v>734</v>
      </c>
      <c r="AG91" s="42"/>
      <c r="AH91" s="42" t="s">
        <v>734</v>
      </c>
      <c r="AI91" s="42" t="s">
        <v>734</v>
      </c>
      <c r="AJ91" s="42" t="s">
        <v>734</v>
      </c>
      <c r="AK91" s="42" t="s">
        <v>734</v>
      </c>
      <c r="AL91" s="42" t="s">
        <v>734</v>
      </c>
      <c r="AM91" s="42" t="s">
        <v>734</v>
      </c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68">
        <v>33.9</v>
      </c>
      <c r="AY91" s="68"/>
      <c r="BA91" s="37"/>
      <c r="BB91" s="37"/>
      <c r="BD91" s="67">
        <f t="shared" si="23"/>
        <v>2271.2999999999997</v>
      </c>
      <c r="BE91" s="67"/>
      <c r="BF91" s="37"/>
      <c r="BG91" s="73">
        <v>1</v>
      </c>
      <c r="BH91" s="67">
        <f t="shared" si="16"/>
        <v>0</v>
      </c>
      <c r="BI91" s="67">
        <f t="shared" si="17"/>
        <v>0</v>
      </c>
      <c r="BJ91" s="70">
        <f t="shared" si="18"/>
        <v>0</v>
      </c>
      <c r="BN91" s="37"/>
      <c r="BO91" s="70">
        <f t="shared" si="21"/>
        <v>0</v>
      </c>
      <c r="BP91" s="37">
        <v>9</v>
      </c>
      <c r="BQ91" s="37">
        <v>0</v>
      </c>
      <c r="BR91" s="37">
        <v>0</v>
      </c>
      <c r="BS91" s="37">
        <v>0</v>
      </c>
      <c r="BT91" s="87">
        <f t="shared" si="22"/>
        <v>33.9</v>
      </c>
      <c r="BU91" s="87"/>
      <c r="BV91" s="87"/>
      <c r="BW91" s="87"/>
      <c r="BX91" s="87"/>
      <c r="BY91" s="87"/>
      <c r="BZ91" s="87"/>
      <c r="CA91" s="87"/>
      <c r="CB91" s="87"/>
      <c r="CC91" s="87"/>
      <c r="CD91" s="87"/>
      <c r="CF91" s="67">
        <f t="shared" si="24"/>
        <v>305.09999999999997</v>
      </c>
      <c r="CG91" s="67">
        <f t="shared" si="25"/>
        <v>0</v>
      </c>
      <c r="CH91" s="67">
        <f t="shared" si="26"/>
        <v>0</v>
      </c>
      <c r="CI91" s="67">
        <f t="shared" si="31"/>
        <v>0</v>
      </c>
      <c r="CJ91" s="37">
        <f t="shared" si="27"/>
        <v>101.7</v>
      </c>
      <c r="CK91" s="37">
        <f t="shared" si="28"/>
        <v>0</v>
      </c>
      <c r="CL91" s="37">
        <f t="shared" si="29"/>
        <v>0</v>
      </c>
      <c r="CM91" s="37">
        <f t="shared" si="30"/>
        <v>0</v>
      </c>
    </row>
    <row r="92" spans="2:91" ht="25.5">
      <c r="B92" s="156">
        <v>88</v>
      </c>
      <c r="C92" s="160">
        <v>621</v>
      </c>
      <c r="D92" s="160">
        <v>970</v>
      </c>
      <c r="E92" s="161">
        <v>0.70138888888888884</v>
      </c>
      <c r="F92" s="173">
        <v>0.71805555555555556</v>
      </c>
      <c r="G92" s="160" t="s">
        <v>477</v>
      </c>
      <c r="H92" s="160" t="s">
        <v>479</v>
      </c>
      <c r="I92" s="163">
        <v>13.2</v>
      </c>
      <c r="J92" s="164" t="s">
        <v>93</v>
      </c>
      <c r="K92" s="165">
        <v>240</v>
      </c>
      <c r="L92" s="166">
        <f t="shared" si="20"/>
        <v>3168</v>
      </c>
      <c r="M92" s="167" t="s">
        <v>738</v>
      </c>
      <c r="N92" s="221" t="s">
        <v>2077</v>
      </c>
      <c r="O92" s="221">
        <v>42</v>
      </c>
      <c r="P92" s="150" t="s">
        <v>1980</v>
      </c>
      <c r="Q92" s="150">
        <v>24</v>
      </c>
      <c r="S92" s="150"/>
      <c r="T92" s="45" t="s">
        <v>1379</v>
      </c>
      <c r="U92" s="45" t="s">
        <v>1380</v>
      </c>
      <c r="V92" s="45">
        <v>6120</v>
      </c>
      <c r="W92" s="45" t="s">
        <v>1341</v>
      </c>
      <c r="X92" s="99">
        <v>44816</v>
      </c>
      <c r="Y92" s="99">
        <v>45100</v>
      </c>
      <c r="Z92" s="99"/>
      <c r="AA92" s="99"/>
      <c r="AB92" s="45" t="s">
        <v>1124</v>
      </c>
      <c r="AC92" s="45"/>
      <c r="AD92" s="42" t="s">
        <v>734</v>
      </c>
      <c r="AE92" s="42"/>
      <c r="AF92" s="42" t="s">
        <v>734</v>
      </c>
      <c r="AG92" s="42"/>
      <c r="AH92" s="42" t="s">
        <v>734</v>
      </c>
      <c r="AI92" s="42" t="s">
        <v>734</v>
      </c>
      <c r="AJ92" s="42" t="s">
        <v>734</v>
      </c>
      <c r="AK92" s="42" t="s">
        <v>734</v>
      </c>
      <c r="AL92" s="42" t="s">
        <v>734</v>
      </c>
      <c r="AM92" s="42" t="s">
        <v>734</v>
      </c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68">
        <v>39.6</v>
      </c>
      <c r="AY92" s="68"/>
      <c r="BA92" s="37"/>
      <c r="BB92" s="37"/>
      <c r="BD92" s="67">
        <f t="shared" si="23"/>
        <v>9504</v>
      </c>
      <c r="BE92" s="67"/>
      <c r="BF92" s="37"/>
      <c r="BG92" s="73">
        <v>1</v>
      </c>
      <c r="BH92" s="67">
        <f t="shared" si="16"/>
        <v>0</v>
      </c>
      <c r="BI92" s="67">
        <f t="shared" si="17"/>
        <v>0</v>
      </c>
      <c r="BJ92" s="70">
        <f t="shared" si="18"/>
        <v>0</v>
      </c>
      <c r="BN92" s="37"/>
      <c r="BO92" s="70">
        <f t="shared" si="21"/>
        <v>0</v>
      </c>
      <c r="BP92" s="37">
        <v>17</v>
      </c>
      <c r="BQ92" s="37">
        <v>26</v>
      </c>
      <c r="BR92" s="37">
        <v>25</v>
      </c>
      <c r="BS92" s="37">
        <v>25</v>
      </c>
      <c r="BT92" s="87">
        <f t="shared" si="22"/>
        <v>39.6</v>
      </c>
      <c r="BU92" s="87"/>
      <c r="BV92" s="87"/>
      <c r="BW92" s="87"/>
      <c r="BX92" s="87"/>
      <c r="BY92" s="87"/>
      <c r="BZ92" s="87"/>
      <c r="CA92" s="87"/>
      <c r="CB92" s="87"/>
      <c r="CC92" s="87"/>
      <c r="CD92" s="87"/>
      <c r="CF92" s="67">
        <f t="shared" si="24"/>
        <v>673.2</v>
      </c>
      <c r="CG92" s="67">
        <f t="shared" si="25"/>
        <v>1029.6000000000001</v>
      </c>
      <c r="CH92" s="67">
        <f t="shared" si="26"/>
        <v>990</v>
      </c>
      <c r="CI92" s="67">
        <f t="shared" si="31"/>
        <v>990</v>
      </c>
      <c r="CJ92" s="37">
        <f t="shared" si="27"/>
        <v>224.39999999999998</v>
      </c>
      <c r="CK92" s="37">
        <f t="shared" si="28"/>
        <v>343.2</v>
      </c>
      <c r="CL92" s="37">
        <f t="shared" si="29"/>
        <v>330</v>
      </c>
      <c r="CM92" s="37">
        <f t="shared" si="30"/>
        <v>330</v>
      </c>
    </row>
    <row r="93" spans="2:91" ht="25.5">
      <c r="B93" s="156">
        <v>89</v>
      </c>
      <c r="C93" s="160">
        <v>621</v>
      </c>
      <c r="D93" s="160">
        <v>970</v>
      </c>
      <c r="E93" s="161">
        <v>0.7055555555555556</v>
      </c>
      <c r="F93" s="161">
        <v>0.72222222222222221</v>
      </c>
      <c r="G93" s="160" t="s">
        <v>477</v>
      </c>
      <c r="H93" s="160" t="s">
        <v>501</v>
      </c>
      <c r="I93" s="163">
        <v>13.2</v>
      </c>
      <c r="J93" s="164" t="s">
        <v>93</v>
      </c>
      <c r="K93" s="165">
        <v>67</v>
      </c>
      <c r="L93" s="166">
        <f t="shared" si="20"/>
        <v>884.4</v>
      </c>
      <c r="M93" s="167" t="s">
        <v>738</v>
      </c>
      <c r="N93" s="221" t="s">
        <v>2077</v>
      </c>
      <c r="O93" s="221">
        <v>42</v>
      </c>
      <c r="P93" s="150" t="s">
        <v>911</v>
      </c>
      <c r="Q93" s="150">
        <v>21</v>
      </c>
      <c r="R93" s="150" t="s">
        <v>910</v>
      </c>
      <c r="S93" s="151">
        <v>24</v>
      </c>
      <c r="T93" s="45" t="s">
        <v>1379</v>
      </c>
      <c r="U93" s="45" t="s">
        <v>1380</v>
      </c>
      <c r="V93" s="45">
        <v>6120</v>
      </c>
      <c r="W93" s="45" t="s">
        <v>1341</v>
      </c>
      <c r="X93" s="99">
        <v>44562</v>
      </c>
      <c r="Y93" s="99">
        <v>44815</v>
      </c>
      <c r="Z93" s="99">
        <v>45101</v>
      </c>
      <c r="AA93" s="99">
        <v>45169</v>
      </c>
      <c r="AB93" s="42" t="s">
        <v>1119</v>
      </c>
      <c r="AC93" s="42"/>
      <c r="AD93" s="42"/>
      <c r="AE93" s="42" t="s">
        <v>734</v>
      </c>
      <c r="AF93" s="42" t="s">
        <v>734</v>
      </c>
      <c r="AG93" s="42"/>
      <c r="AH93" s="42" t="s">
        <v>734</v>
      </c>
      <c r="AI93" s="42" t="s">
        <v>734</v>
      </c>
      <c r="AJ93" s="42" t="s">
        <v>734</v>
      </c>
      <c r="AK93" s="42" t="s">
        <v>734</v>
      </c>
      <c r="AL93" s="42" t="s">
        <v>734</v>
      </c>
      <c r="AM93" s="42" t="s">
        <v>734</v>
      </c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68">
        <v>39.6</v>
      </c>
      <c r="AY93" s="68"/>
      <c r="BA93" s="37"/>
      <c r="BB93" s="37"/>
      <c r="BD93" s="67">
        <f t="shared" si="23"/>
        <v>2653.2000000000003</v>
      </c>
      <c r="BE93" s="67"/>
      <c r="BF93" s="37"/>
      <c r="BG93" s="73">
        <v>1</v>
      </c>
      <c r="BH93" s="67">
        <f t="shared" si="16"/>
        <v>0</v>
      </c>
      <c r="BI93" s="67">
        <f t="shared" si="17"/>
        <v>0</v>
      </c>
      <c r="BJ93" s="70">
        <f t="shared" si="18"/>
        <v>0</v>
      </c>
      <c r="BN93" s="37"/>
      <c r="BO93" s="70">
        <f t="shared" si="21"/>
        <v>0</v>
      </c>
      <c r="BP93" s="37">
        <v>9</v>
      </c>
      <c r="BQ93" s="37">
        <v>0</v>
      </c>
      <c r="BR93" s="37">
        <v>0</v>
      </c>
      <c r="BS93" s="37">
        <v>0</v>
      </c>
      <c r="BT93" s="87">
        <f t="shared" si="22"/>
        <v>39.6</v>
      </c>
      <c r="BU93" s="87"/>
      <c r="BV93" s="87"/>
      <c r="BW93" s="87"/>
      <c r="BX93" s="87"/>
      <c r="BY93" s="87"/>
      <c r="BZ93" s="87"/>
      <c r="CA93" s="87"/>
      <c r="CB93" s="87"/>
      <c r="CC93" s="87"/>
      <c r="CD93" s="87"/>
      <c r="CF93" s="67">
        <f t="shared" si="24"/>
        <v>356.40000000000003</v>
      </c>
      <c r="CG93" s="67">
        <f t="shared" si="25"/>
        <v>0</v>
      </c>
      <c r="CH93" s="67">
        <f t="shared" si="26"/>
        <v>0</v>
      </c>
      <c r="CI93" s="67">
        <f t="shared" si="31"/>
        <v>0</v>
      </c>
      <c r="CJ93" s="37">
        <f t="shared" si="27"/>
        <v>118.8</v>
      </c>
      <c r="CK93" s="37">
        <f t="shared" si="28"/>
        <v>0</v>
      </c>
      <c r="CL93" s="37">
        <f t="shared" si="29"/>
        <v>0</v>
      </c>
      <c r="CM93" s="37">
        <f t="shared" si="30"/>
        <v>0</v>
      </c>
    </row>
    <row r="94" spans="2:91" ht="33.75">
      <c r="B94" s="156">
        <v>90</v>
      </c>
      <c r="C94" s="160">
        <v>621</v>
      </c>
      <c r="D94" s="160">
        <v>991</v>
      </c>
      <c r="E94" s="161">
        <v>0.72916666666666663</v>
      </c>
      <c r="F94" s="173">
        <v>0.74236111111111114</v>
      </c>
      <c r="G94" s="160" t="s">
        <v>478</v>
      </c>
      <c r="H94" s="160" t="s">
        <v>479</v>
      </c>
      <c r="I94" s="163">
        <v>11.3</v>
      </c>
      <c r="J94" s="164" t="s">
        <v>93</v>
      </c>
      <c r="K94" s="165">
        <v>240</v>
      </c>
      <c r="L94" s="166">
        <f t="shared" si="20"/>
        <v>2712</v>
      </c>
      <c r="M94" s="167" t="s">
        <v>738</v>
      </c>
      <c r="N94" s="221" t="s">
        <v>2077</v>
      </c>
      <c r="O94" s="221">
        <v>42</v>
      </c>
      <c r="P94" s="150" t="s">
        <v>911</v>
      </c>
      <c r="Q94" s="150">
        <v>21</v>
      </c>
      <c r="S94" s="150"/>
      <c r="T94" s="45">
        <v>6120</v>
      </c>
      <c r="U94" s="45" t="s">
        <v>1341</v>
      </c>
      <c r="V94" s="45" t="s">
        <v>1379</v>
      </c>
      <c r="W94" s="45" t="s">
        <v>1380</v>
      </c>
      <c r="X94" s="99">
        <v>44816</v>
      </c>
      <c r="Y94" s="99">
        <v>45100</v>
      </c>
      <c r="Z94" s="99"/>
      <c r="AA94" s="99"/>
      <c r="AB94" s="45" t="s">
        <v>1124</v>
      </c>
      <c r="AC94" s="45"/>
      <c r="AD94" s="42" t="s">
        <v>734</v>
      </c>
      <c r="AE94" s="42"/>
      <c r="AF94" s="42" t="s">
        <v>734</v>
      </c>
      <c r="AG94" s="42"/>
      <c r="AH94" s="42" t="s">
        <v>734</v>
      </c>
      <c r="AI94" s="42" t="s">
        <v>734</v>
      </c>
      <c r="AJ94" s="42" t="s">
        <v>734</v>
      </c>
      <c r="AK94" s="42" t="s">
        <v>734</v>
      </c>
      <c r="AL94" s="42" t="s">
        <v>734</v>
      </c>
      <c r="AM94" s="42" t="s">
        <v>734</v>
      </c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68">
        <v>33.9</v>
      </c>
      <c r="AY94" s="68"/>
      <c r="BA94" s="37"/>
      <c r="BB94" s="37"/>
      <c r="BD94" s="67">
        <f t="shared" si="23"/>
        <v>8136</v>
      </c>
      <c r="BE94" s="67"/>
      <c r="BF94" s="37"/>
      <c r="BG94" s="73">
        <v>1</v>
      </c>
      <c r="BH94" s="67">
        <f t="shared" si="16"/>
        <v>0</v>
      </c>
      <c r="BI94" s="67">
        <f t="shared" si="17"/>
        <v>0</v>
      </c>
      <c r="BJ94" s="70">
        <f t="shared" si="18"/>
        <v>0</v>
      </c>
      <c r="BN94" s="37"/>
      <c r="BO94" s="70">
        <f t="shared" si="21"/>
        <v>0</v>
      </c>
      <c r="BP94" s="37">
        <v>17</v>
      </c>
      <c r="BQ94" s="37">
        <v>26</v>
      </c>
      <c r="BR94" s="37">
        <v>25</v>
      </c>
      <c r="BS94" s="37">
        <v>25</v>
      </c>
      <c r="BT94" s="87">
        <f t="shared" si="22"/>
        <v>33.9</v>
      </c>
      <c r="BU94" s="87"/>
      <c r="BV94" s="87"/>
      <c r="BW94" s="87"/>
      <c r="BX94" s="87"/>
      <c r="BY94" s="87"/>
      <c r="BZ94" s="87"/>
      <c r="CA94" s="87"/>
      <c r="CB94" s="87"/>
      <c r="CC94" s="87"/>
      <c r="CD94" s="87"/>
      <c r="CF94" s="67">
        <f t="shared" si="24"/>
        <v>576.29999999999995</v>
      </c>
      <c r="CG94" s="67">
        <f t="shared" si="25"/>
        <v>881.4</v>
      </c>
      <c r="CH94" s="67">
        <f t="shared" si="26"/>
        <v>847.5</v>
      </c>
      <c r="CI94" s="67">
        <f t="shared" si="31"/>
        <v>847.5</v>
      </c>
      <c r="CJ94" s="37">
        <f t="shared" si="27"/>
        <v>192.10000000000002</v>
      </c>
      <c r="CK94" s="37">
        <f t="shared" si="28"/>
        <v>293.8</v>
      </c>
      <c r="CL94" s="37">
        <f t="shared" si="29"/>
        <v>282.5</v>
      </c>
      <c r="CM94" s="37">
        <f t="shared" si="30"/>
        <v>282.5</v>
      </c>
    </row>
    <row r="95" spans="2:91" ht="33.75">
      <c r="B95" s="156">
        <v>91</v>
      </c>
      <c r="C95" s="169">
        <v>634</v>
      </c>
      <c r="D95" s="169">
        <v>537</v>
      </c>
      <c r="E95" s="170">
        <v>0.3611111111111111</v>
      </c>
      <c r="F95" s="170">
        <v>0.38472222222222219</v>
      </c>
      <c r="G95" s="171" t="s">
        <v>65</v>
      </c>
      <c r="H95" s="160" t="s">
        <v>444</v>
      </c>
      <c r="I95" s="169">
        <v>20</v>
      </c>
      <c r="J95" s="172">
        <v>19</v>
      </c>
      <c r="K95" s="165">
        <v>47</v>
      </c>
      <c r="L95" s="166">
        <f t="shared" si="20"/>
        <v>940</v>
      </c>
      <c r="M95" s="177" t="s">
        <v>787</v>
      </c>
      <c r="N95" s="150" t="s">
        <v>932</v>
      </c>
      <c r="O95" s="150">
        <v>21</v>
      </c>
      <c r="P95" s="150" t="s">
        <v>1908</v>
      </c>
      <c r="Q95" s="150">
        <v>31</v>
      </c>
      <c r="R95" s="150"/>
      <c r="S95" s="150"/>
      <c r="T95" s="45">
        <v>6755</v>
      </c>
      <c r="U95" s="45" t="s">
        <v>1383</v>
      </c>
      <c r="V95" s="45">
        <v>6220</v>
      </c>
      <c r="W95" s="45" t="s">
        <v>1384</v>
      </c>
      <c r="X95" s="99">
        <v>44816</v>
      </c>
      <c r="Y95" s="99">
        <v>45100</v>
      </c>
      <c r="Z95" s="99"/>
      <c r="AA95" s="99"/>
      <c r="AB95" s="46" t="s">
        <v>1115</v>
      </c>
      <c r="AC95" s="46"/>
      <c r="AD95" s="42" t="s">
        <v>734</v>
      </c>
      <c r="AE95" s="42"/>
      <c r="AF95" s="42"/>
      <c r="AG95" s="42"/>
      <c r="AH95" s="42"/>
      <c r="AI95" s="42"/>
      <c r="AJ95" s="42"/>
      <c r="AK95" s="42"/>
      <c r="AL95" s="42"/>
      <c r="AM95" s="42"/>
      <c r="AN95" s="42" t="s">
        <v>734</v>
      </c>
      <c r="AO95" s="36"/>
      <c r="AP95" s="36"/>
      <c r="AQ95" s="36"/>
      <c r="AR95" s="42"/>
      <c r="AS95" s="42"/>
      <c r="AT95" s="42"/>
      <c r="AU95" s="42"/>
      <c r="AV95" s="42"/>
      <c r="AW95" s="42"/>
      <c r="AZ95" s="66"/>
      <c r="BA95" s="39" t="s">
        <v>783</v>
      </c>
      <c r="BB95" s="39"/>
      <c r="BC95" s="66"/>
      <c r="BD95" s="67">
        <f t="shared" si="23"/>
        <v>0</v>
      </c>
      <c r="BE95" s="66"/>
      <c r="BF95" s="66"/>
      <c r="BG95" s="73">
        <v>1</v>
      </c>
      <c r="BI95" s="67"/>
      <c r="BJ95" s="37"/>
      <c r="BN95" s="37"/>
      <c r="BO95" s="70">
        <f t="shared" si="21"/>
        <v>0</v>
      </c>
      <c r="BP95" s="37">
        <v>2</v>
      </c>
      <c r="BQ95" s="37">
        <v>5</v>
      </c>
      <c r="BR95" s="37">
        <v>5</v>
      </c>
      <c r="BS95" s="37">
        <v>6</v>
      </c>
      <c r="BT95" s="87">
        <f t="shared" si="22"/>
        <v>0</v>
      </c>
      <c r="BU95" s="87" t="s">
        <v>1871</v>
      </c>
      <c r="BV95" s="127">
        <v>1</v>
      </c>
      <c r="BW95" s="127"/>
      <c r="BX95" s="127">
        <v>1</v>
      </c>
      <c r="BY95" s="127"/>
      <c r="BZ95" s="127">
        <v>1</v>
      </c>
      <c r="CA95" s="127"/>
      <c r="CB95" s="127">
        <v>1</v>
      </c>
      <c r="CC95" s="127"/>
      <c r="CD95" s="87">
        <v>1666.6666666666667</v>
      </c>
      <c r="CF95" s="67">
        <f t="shared" si="24"/>
        <v>1666.6666666666667</v>
      </c>
      <c r="CG95" s="67">
        <f t="shared" si="25"/>
        <v>1666.6666666666667</v>
      </c>
      <c r="CH95" s="67">
        <f t="shared" si="26"/>
        <v>1666.6666666666667</v>
      </c>
      <c r="CI95" s="67">
        <f t="shared" si="31"/>
        <v>1666.6666666666667</v>
      </c>
      <c r="CJ95" s="37">
        <f t="shared" si="27"/>
        <v>40</v>
      </c>
      <c r="CK95" s="37">
        <f t="shared" si="28"/>
        <v>100</v>
      </c>
      <c r="CL95" s="37">
        <f t="shared" si="29"/>
        <v>100</v>
      </c>
      <c r="CM95" s="37">
        <f t="shared" si="30"/>
        <v>120</v>
      </c>
    </row>
    <row r="96" spans="2:91" ht="33.75">
      <c r="B96" s="156">
        <v>92</v>
      </c>
      <c r="C96" s="169">
        <v>634</v>
      </c>
      <c r="D96" s="169">
        <v>535</v>
      </c>
      <c r="E96" s="170">
        <v>0.3611111111111111</v>
      </c>
      <c r="F96" s="170">
        <v>0.38472222222222219</v>
      </c>
      <c r="G96" s="171" t="s">
        <v>65</v>
      </c>
      <c r="H96" s="160" t="s">
        <v>550</v>
      </c>
      <c r="I96" s="169">
        <v>20</v>
      </c>
      <c r="J96" s="172">
        <v>19</v>
      </c>
      <c r="K96" s="165">
        <v>13</v>
      </c>
      <c r="L96" s="166">
        <f t="shared" si="20"/>
        <v>260</v>
      </c>
      <c r="M96" s="177" t="s">
        <v>787</v>
      </c>
      <c r="N96" s="150" t="s">
        <v>932</v>
      </c>
      <c r="O96" s="150">
        <v>21</v>
      </c>
      <c r="P96" s="150" t="s">
        <v>1908</v>
      </c>
      <c r="Q96" s="150">
        <v>31</v>
      </c>
      <c r="R96" s="150"/>
      <c r="S96" s="150"/>
      <c r="T96" s="45">
        <v>6755</v>
      </c>
      <c r="U96" s="45" t="s">
        <v>1383</v>
      </c>
      <c r="V96" s="45">
        <v>6220</v>
      </c>
      <c r="W96" s="45" t="s">
        <v>1384</v>
      </c>
      <c r="X96" s="99">
        <v>44562</v>
      </c>
      <c r="Y96" s="99">
        <v>44815</v>
      </c>
      <c r="Z96" s="99">
        <v>45101</v>
      </c>
      <c r="AA96" s="99">
        <v>45169</v>
      </c>
      <c r="AB96" s="36" t="s">
        <v>1116</v>
      </c>
      <c r="AC96" s="36"/>
      <c r="AD96" s="36"/>
      <c r="AE96" s="42" t="s">
        <v>734</v>
      </c>
      <c r="AF96" s="42"/>
      <c r="AG96" s="42"/>
      <c r="AH96" s="42"/>
      <c r="AI96" s="42"/>
      <c r="AJ96" s="42"/>
      <c r="AK96" s="42"/>
      <c r="AL96" s="42"/>
      <c r="AM96" s="42"/>
      <c r="AN96" s="42" t="s">
        <v>734</v>
      </c>
      <c r="AO96" s="36"/>
      <c r="AP96" s="36"/>
      <c r="AQ96" s="36"/>
      <c r="AR96" s="42"/>
      <c r="AS96" s="42"/>
      <c r="AT96" s="42"/>
      <c r="AU96" s="42"/>
      <c r="AV96" s="42"/>
      <c r="AW96" s="42"/>
      <c r="AZ96" s="66"/>
      <c r="BA96" s="39" t="s">
        <v>783</v>
      </c>
      <c r="BB96" s="39"/>
      <c r="BC96" s="66"/>
      <c r="BD96" s="67">
        <f t="shared" si="23"/>
        <v>0</v>
      </c>
      <c r="BE96" s="66"/>
      <c r="BF96" s="66"/>
      <c r="BG96" s="73">
        <v>1</v>
      </c>
      <c r="BI96" s="67"/>
      <c r="BJ96" s="37"/>
      <c r="BN96" s="37"/>
      <c r="BO96" s="70">
        <f t="shared" si="21"/>
        <v>0</v>
      </c>
      <c r="BP96" s="37">
        <v>2</v>
      </c>
      <c r="BQ96" s="37">
        <v>0</v>
      </c>
      <c r="BR96" s="37">
        <v>0</v>
      </c>
      <c r="BT96" s="87">
        <f t="shared" si="22"/>
        <v>0</v>
      </c>
      <c r="BU96" s="87"/>
      <c r="BV96" s="87"/>
      <c r="BW96" s="87"/>
      <c r="BX96" s="87"/>
      <c r="BY96" s="87"/>
      <c r="BZ96" s="87"/>
      <c r="CA96" s="87"/>
      <c r="CB96" s="87"/>
      <c r="CC96" s="87"/>
      <c r="CD96" s="87"/>
      <c r="CF96" s="67">
        <f t="shared" si="24"/>
        <v>0</v>
      </c>
      <c r="CG96" s="67">
        <f t="shared" si="25"/>
        <v>0</v>
      </c>
      <c r="CH96" s="67">
        <f t="shared" si="26"/>
        <v>0</v>
      </c>
      <c r="CI96" s="67">
        <f t="shared" si="31"/>
        <v>0</v>
      </c>
      <c r="CJ96" s="37">
        <f t="shared" si="27"/>
        <v>40</v>
      </c>
      <c r="CK96" s="37">
        <f t="shared" si="28"/>
        <v>0</v>
      </c>
      <c r="CL96" s="37">
        <f t="shared" si="29"/>
        <v>0</v>
      </c>
      <c r="CM96" s="37">
        <f t="shared" si="30"/>
        <v>0</v>
      </c>
    </row>
    <row r="97" spans="1:91" ht="33.75">
      <c r="B97" s="156">
        <v>93</v>
      </c>
      <c r="C97" s="169">
        <v>634</v>
      </c>
      <c r="D97" s="169">
        <v>532</v>
      </c>
      <c r="E97" s="170">
        <v>0.40277777777777773</v>
      </c>
      <c r="F97" s="170">
        <v>0.44444444444444442</v>
      </c>
      <c r="G97" s="171" t="s">
        <v>67</v>
      </c>
      <c r="H97" s="160" t="s">
        <v>550</v>
      </c>
      <c r="I97" s="169">
        <v>28</v>
      </c>
      <c r="J97" s="172">
        <v>19</v>
      </c>
      <c r="K97" s="165">
        <v>13</v>
      </c>
      <c r="L97" s="166">
        <f t="shared" si="20"/>
        <v>364</v>
      </c>
      <c r="M97" s="177" t="s">
        <v>787</v>
      </c>
      <c r="N97" s="150" t="s">
        <v>932</v>
      </c>
      <c r="O97" s="150">
        <v>21</v>
      </c>
      <c r="P97" s="150" t="s">
        <v>1908</v>
      </c>
      <c r="Q97" s="150">
        <v>31</v>
      </c>
      <c r="R97" s="150"/>
      <c r="S97" s="150"/>
      <c r="T97" s="45">
        <v>6220</v>
      </c>
      <c r="U97" s="45" t="s">
        <v>1384</v>
      </c>
      <c r="V97" s="45">
        <v>6755</v>
      </c>
      <c r="W97" s="45" t="s">
        <v>1383</v>
      </c>
      <c r="X97" s="99">
        <v>44562</v>
      </c>
      <c r="Y97" s="99">
        <v>44815</v>
      </c>
      <c r="Z97" s="99">
        <v>45101</v>
      </c>
      <c r="AA97" s="99">
        <v>45169</v>
      </c>
      <c r="AB97" s="36" t="s">
        <v>1116</v>
      </c>
      <c r="AC97" s="36"/>
      <c r="AD97" s="36"/>
      <c r="AE97" s="42" t="s">
        <v>734</v>
      </c>
      <c r="AF97" s="42"/>
      <c r="AG97" s="42"/>
      <c r="AH97" s="42"/>
      <c r="AI97" s="42"/>
      <c r="AJ97" s="42"/>
      <c r="AK97" s="42"/>
      <c r="AL97" s="42"/>
      <c r="AM97" s="42"/>
      <c r="AN97" s="42" t="s">
        <v>734</v>
      </c>
      <c r="AO97" s="36"/>
      <c r="AP97" s="36"/>
      <c r="AQ97" s="36"/>
      <c r="AR97" s="42"/>
      <c r="AS97" s="42"/>
      <c r="AT97" s="42"/>
      <c r="AU97" s="42"/>
      <c r="AV97" s="42"/>
      <c r="AW97" s="42"/>
      <c r="AZ97" s="66"/>
      <c r="BA97" s="39" t="s">
        <v>783</v>
      </c>
      <c r="BB97" s="39"/>
      <c r="BC97" s="66"/>
      <c r="BD97" s="67">
        <f t="shared" si="23"/>
        <v>0</v>
      </c>
      <c r="BE97" s="66"/>
      <c r="BF97" s="66"/>
      <c r="BG97" s="73">
        <v>1</v>
      </c>
      <c r="BI97" s="67"/>
      <c r="BJ97" s="37"/>
      <c r="BN97" s="37"/>
      <c r="BO97" s="70">
        <f t="shared" si="21"/>
        <v>0</v>
      </c>
      <c r="BP97" s="37">
        <v>2</v>
      </c>
      <c r="BQ97" s="37">
        <v>0</v>
      </c>
      <c r="BR97" s="37">
        <v>0</v>
      </c>
      <c r="BT97" s="87">
        <f t="shared" si="22"/>
        <v>0</v>
      </c>
      <c r="BU97" s="87"/>
      <c r="BV97" s="87"/>
      <c r="BW97" s="87"/>
      <c r="BX97" s="87"/>
      <c r="BY97" s="87"/>
      <c r="BZ97" s="87"/>
      <c r="CA97" s="87"/>
      <c r="CB97" s="87"/>
      <c r="CC97" s="87"/>
      <c r="CD97" s="87"/>
      <c r="CF97" s="67">
        <f t="shared" si="24"/>
        <v>0</v>
      </c>
      <c r="CG97" s="67">
        <f t="shared" si="25"/>
        <v>0</v>
      </c>
      <c r="CH97" s="67">
        <f t="shared" si="26"/>
        <v>0</v>
      </c>
      <c r="CI97" s="67">
        <f t="shared" si="31"/>
        <v>0</v>
      </c>
      <c r="CJ97" s="37">
        <f t="shared" si="27"/>
        <v>56</v>
      </c>
      <c r="CK97" s="37">
        <f t="shared" si="28"/>
        <v>0</v>
      </c>
      <c r="CL97" s="37">
        <f t="shared" si="29"/>
        <v>0</v>
      </c>
      <c r="CM97" s="37">
        <f t="shared" si="30"/>
        <v>0</v>
      </c>
    </row>
    <row r="98" spans="1:91" ht="33.75">
      <c r="B98" s="156">
        <v>94</v>
      </c>
      <c r="C98" s="169">
        <v>634</v>
      </c>
      <c r="D98" s="169">
        <v>530</v>
      </c>
      <c r="E98" s="170">
        <v>0.40277777777777773</v>
      </c>
      <c r="F98" s="170">
        <v>0.44444444444444442</v>
      </c>
      <c r="G98" s="171" t="s">
        <v>67</v>
      </c>
      <c r="H98" s="160" t="s">
        <v>444</v>
      </c>
      <c r="I98" s="169">
        <v>28</v>
      </c>
      <c r="J98" s="172">
        <v>19</v>
      </c>
      <c r="K98" s="165">
        <v>47</v>
      </c>
      <c r="L98" s="166">
        <f t="shared" si="20"/>
        <v>1316</v>
      </c>
      <c r="M98" s="177" t="s">
        <v>787</v>
      </c>
      <c r="N98" s="150" t="s">
        <v>932</v>
      </c>
      <c r="O98" s="150">
        <v>21</v>
      </c>
      <c r="P98" s="150" t="s">
        <v>1908</v>
      </c>
      <c r="Q98" s="150">
        <v>31</v>
      </c>
      <c r="R98" s="150"/>
      <c r="S98" s="150"/>
      <c r="T98" s="45">
        <v>6220</v>
      </c>
      <c r="U98" s="45" t="s">
        <v>1384</v>
      </c>
      <c r="V98" s="45">
        <v>6755</v>
      </c>
      <c r="W98" s="45" t="s">
        <v>1383</v>
      </c>
      <c r="X98" s="99">
        <v>44816</v>
      </c>
      <c r="Y98" s="99">
        <v>45100</v>
      </c>
      <c r="Z98" s="99"/>
      <c r="AA98" s="99"/>
      <c r="AB98" s="46" t="s">
        <v>1115</v>
      </c>
      <c r="AC98" s="46"/>
      <c r="AD98" s="42" t="s">
        <v>734</v>
      </c>
      <c r="AE98" s="42"/>
      <c r="AF98" s="42"/>
      <c r="AG98" s="42"/>
      <c r="AH98" s="42"/>
      <c r="AI98" s="42"/>
      <c r="AJ98" s="42"/>
      <c r="AK98" s="42"/>
      <c r="AL98" s="42"/>
      <c r="AM98" s="42"/>
      <c r="AN98" s="42" t="s">
        <v>734</v>
      </c>
      <c r="AO98" s="36"/>
      <c r="AP98" s="36"/>
      <c r="AQ98" s="36"/>
      <c r="AR98" s="42"/>
      <c r="AS98" s="42"/>
      <c r="AT98" s="42"/>
      <c r="AU98" s="42"/>
      <c r="AV98" s="42"/>
      <c r="AW98" s="42"/>
      <c r="AZ98" s="66"/>
      <c r="BA98" s="39" t="s">
        <v>783</v>
      </c>
      <c r="BB98" s="39"/>
      <c r="BC98" s="66"/>
      <c r="BD98" s="67">
        <f t="shared" si="23"/>
        <v>0</v>
      </c>
      <c r="BE98" s="66"/>
      <c r="BF98" s="66"/>
      <c r="BG98" s="73">
        <v>1</v>
      </c>
      <c r="BI98" s="67"/>
      <c r="BJ98" s="37"/>
      <c r="BN98" s="37"/>
      <c r="BO98" s="70">
        <f t="shared" si="21"/>
        <v>0</v>
      </c>
      <c r="BP98" s="37">
        <v>2</v>
      </c>
      <c r="BQ98" s="37">
        <v>5</v>
      </c>
      <c r="BR98" s="37">
        <v>5</v>
      </c>
      <c r="BS98" s="37">
        <v>6</v>
      </c>
      <c r="BT98" s="87">
        <f t="shared" si="22"/>
        <v>0</v>
      </c>
      <c r="BU98" s="87"/>
      <c r="BV98" s="87"/>
      <c r="BW98" s="87"/>
      <c r="BX98" s="87"/>
      <c r="BY98" s="87"/>
      <c r="BZ98" s="87"/>
      <c r="CA98" s="87"/>
      <c r="CB98" s="87"/>
      <c r="CC98" s="87"/>
      <c r="CD98" s="87"/>
      <c r="CF98" s="67">
        <f t="shared" si="24"/>
        <v>0</v>
      </c>
      <c r="CG98" s="67">
        <f t="shared" si="25"/>
        <v>0</v>
      </c>
      <c r="CH98" s="67">
        <f t="shared" si="26"/>
        <v>0</v>
      </c>
      <c r="CI98" s="67">
        <f t="shared" si="31"/>
        <v>0</v>
      </c>
      <c r="CJ98" s="37">
        <f t="shared" si="27"/>
        <v>56</v>
      </c>
      <c r="CK98" s="37">
        <f t="shared" si="28"/>
        <v>140</v>
      </c>
      <c r="CL98" s="37">
        <f t="shared" si="29"/>
        <v>140</v>
      </c>
      <c r="CM98" s="37">
        <f t="shared" si="30"/>
        <v>168</v>
      </c>
    </row>
    <row r="99" spans="1:91" ht="33.75">
      <c r="B99" s="156">
        <v>95</v>
      </c>
      <c r="C99" s="169">
        <v>634</v>
      </c>
      <c r="D99" s="169">
        <v>539</v>
      </c>
      <c r="E99" s="170">
        <v>0.51388888888888895</v>
      </c>
      <c r="F99" s="170">
        <v>0.55138888888888882</v>
      </c>
      <c r="G99" s="171" t="s">
        <v>69</v>
      </c>
      <c r="H99" s="160" t="s">
        <v>444</v>
      </c>
      <c r="I99" s="169">
        <v>28</v>
      </c>
      <c r="J99" s="172">
        <v>19</v>
      </c>
      <c r="K99" s="165">
        <v>47</v>
      </c>
      <c r="L99" s="166">
        <f t="shared" si="20"/>
        <v>1316</v>
      </c>
      <c r="M99" s="177" t="s">
        <v>787</v>
      </c>
      <c r="N99" s="150" t="s">
        <v>932</v>
      </c>
      <c r="O99" s="150">
        <v>21</v>
      </c>
      <c r="P99" s="150" t="s">
        <v>1908</v>
      </c>
      <c r="Q99" s="150">
        <v>31</v>
      </c>
      <c r="R99" s="150"/>
      <c r="S99" s="150"/>
      <c r="T99" s="45">
        <v>6755</v>
      </c>
      <c r="U99" s="45" t="s">
        <v>1383</v>
      </c>
      <c r="V99" s="45">
        <v>6220</v>
      </c>
      <c r="W99" s="45" t="s">
        <v>1384</v>
      </c>
      <c r="X99" s="99">
        <v>44816</v>
      </c>
      <c r="Y99" s="99">
        <v>45100</v>
      </c>
      <c r="Z99" s="99"/>
      <c r="AA99" s="99"/>
      <c r="AB99" s="46" t="s">
        <v>1115</v>
      </c>
      <c r="AC99" s="46"/>
      <c r="AD99" s="42" t="s">
        <v>734</v>
      </c>
      <c r="AE99" s="42"/>
      <c r="AF99" s="42"/>
      <c r="AG99" s="42"/>
      <c r="AH99" s="42"/>
      <c r="AI99" s="42"/>
      <c r="AJ99" s="42"/>
      <c r="AK99" s="42"/>
      <c r="AL99" s="42"/>
      <c r="AM99" s="42"/>
      <c r="AN99" s="42" t="s">
        <v>734</v>
      </c>
      <c r="AO99" s="36"/>
      <c r="AP99" s="36"/>
      <c r="AQ99" s="36"/>
      <c r="AR99" s="42"/>
      <c r="AS99" s="42"/>
      <c r="AT99" s="42"/>
      <c r="AU99" s="42"/>
      <c r="AV99" s="42"/>
      <c r="AW99" s="42"/>
      <c r="AZ99" s="66"/>
      <c r="BA99" s="39" t="s">
        <v>783</v>
      </c>
      <c r="BB99" s="39"/>
      <c r="BC99" s="66"/>
      <c r="BD99" s="67">
        <f t="shared" si="23"/>
        <v>0</v>
      </c>
      <c r="BE99" s="66"/>
      <c r="BF99" s="66"/>
      <c r="BG99" s="73">
        <v>1</v>
      </c>
      <c r="BI99" s="67"/>
      <c r="BJ99" s="37"/>
      <c r="BN99" s="37"/>
      <c r="BO99" s="70">
        <f t="shared" si="21"/>
        <v>0</v>
      </c>
      <c r="BP99" s="37">
        <v>2</v>
      </c>
      <c r="BQ99" s="37">
        <v>5</v>
      </c>
      <c r="BR99" s="37">
        <v>5</v>
      </c>
      <c r="BS99" s="37">
        <v>6</v>
      </c>
      <c r="BT99" s="87">
        <f t="shared" si="22"/>
        <v>0</v>
      </c>
      <c r="BU99" s="87"/>
      <c r="BV99" s="87"/>
      <c r="BW99" s="87"/>
      <c r="BX99" s="87"/>
      <c r="BY99" s="87"/>
      <c r="BZ99" s="87"/>
      <c r="CA99" s="87"/>
      <c r="CB99" s="87"/>
      <c r="CC99" s="87"/>
      <c r="CD99" s="87"/>
      <c r="CF99" s="67">
        <f t="shared" si="24"/>
        <v>0</v>
      </c>
      <c r="CG99" s="67">
        <f t="shared" si="25"/>
        <v>0</v>
      </c>
      <c r="CH99" s="67">
        <f t="shared" si="26"/>
        <v>0</v>
      </c>
      <c r="CI99" s="67">
        <f t="shared" si="31"/>
        <v>0</v>
      </c>
      <c r="CJ99" s="37">
        <f t="shared" si="27"/>
        <v>56</v>
      </c>
      <c r="CK99" s="37">
        <f t="shared" si="28"/>
        <v>140</v>
      </c>
      <c r="CL99" s="37">
        <f t="shared" si="29"/>
        <v>140</v>
      </c>
      <c r="CM99" s="37">
        <f t="shared" si="30"/>
        <v>168</v>
      </c>
    </row>
    <row r="100" spans="1:91" ht="33.75">
      <c r="B100" s="156">
        <v>96</v>
      </c>
      <c r="C100" s="169">
        <v>634</v>
      </c>
      <c r="D100" s="169">
        <v>539</v>
      </c>
      <c r="E100" s="170">
        <v>0.51736111111111105</v>
      </c>
      <c r="F100" s="170">
        <v>0.55486111111111114</v>
      </c>
      <c r="G100" s="171" t="s">
        <v>69</v>
      </c>
      <c r="H100" s="160" t="s">
        <v>550</v>
      </c>
      <c r="I100" s="169">
        <v>28</v>
      </c>
      <c r="J100" s="172">
        <v>19</v>
      </c>
      <c r="K100" s="165">
        <v>13</v>
      </c>
      <c r="L100" s="166">
        <f t="shared" si="20"/>
        <v>364</v>
      </c>
      <c r="M100" s="177" t="s">
        <v>787</v>
      </c>
      <c r="N100" s="150" t="s">
        <v>932</v>
      </c>
      <c r="O100" s="150">
        <v>21</v>
      </c>
      <c r="P100" s="150" t="s">
        <v>1908</v>
      </c>
      <c r="Q100" s="150">
        <v>31</v>
      </c>
      <c r="R100" s="150"/>
      <c r="S100" s="150"/>
      <c r="T100" s="45">
        <v>6755</v>
      </c>
      <c r="U100" s="45" t="s">
        <v>1383</v>
      </c>
      <c r="V100" s="45">
        <v>6220</v>
      </c>
      <c r="W100" s="45" t="s">
        <v>1384</v>
      </c>
      <c r="X100" s="99">
        <v>44562</v>
      </c>
      <c r="Y100" s="99">
        <v>44815</v>
      </c>
      <c r="Z100" s="99">
        <v>45101</v>
      </c>
      <c r="AA100" s="99">
        <v>45169</v>
      </c>
      <c r="AB100" s="36" t="s">
        <v>1116</v>
      </c>
      <c r="AC100" s="36"/>
      <c r="AD100" s="36"/>
      <c r="AE100" s="42" t="s">
        <v>734</v>
      </c>
      <c r="AF100" s="42"/>
      <c r="AG100" s="42"/>
      <c r="AH100" s="42"/>
      <c r="AI100" s="42"/>
      <c r="AJ100" s="42"/>
      <c r="AK100" s="42"/>
      <c r="AL100" s="42"/>
      <c r="AM100" s="42"/>
      <c r="AN100" s="42" t="s">
        <v>734</v>
      </c>
      <c r="AO100" s="36"/>
      <c r="AP100" s="36"/>
      <c r="AQ100" s="36"/>
      <c r="AR100" s="42"/>
      <c r="AS100" s="42"/>
      <c r="AT100" s="42"/>
      <c r="AU100" s="42"/>
      <c r="AV100" s="42"/>
      <c r="AW100" s="42"/>
      <c r="AZ100" s="66"/>
      <c r="BA100" s="39" t="s">
        <v>783</v>
      </c>
      <c r="BB100" s="39"/>
      <c r="BC100" s="66"/>
      <c r="BD100" s="67">
        <f t="shared" si="23"/>
        <v>0</v>
      </c>
      <c r="BE100" s="66"/>
      <c r="BF100" s="66"/>
      <c r="BG100" s="73">
        <v>1</v>
      </c>
      <c r="BI100" s="67"/>
      <c r="BJ100" s="37"/>
      <c r="BN100" s="37"/>
      <c r="BO100" s="70">
        <f t="shared" si="21"/>
        <v>0</v>
      </c>
      <c r="BP100" s="37">
        <v>2</v>
      </c>
      <c r="BQ100" s="37">
        <v>0</v>
      </c>
      <c r="BR100" s="37">
        <v>0</v>
      </c>
      <c r="BT100" s="87">
        <f t="shared" si="22"/>
        <v>0</v>
      </c>
      <c r="BU100" s="87"/>
      <c r="BV100" s="87"/>
      <c r="BW100" s="87"/>
      <c r="BX100" s="87"/>
      <c r="BY100" s="87"/>
      <c r="BZ100" s="87"/>
      <c r="CA100" s="87"/>
      <c r="CB100" s="87"/>
      <c r="CC100" s="87"/>
      <c r="CD100" s="87"/>
      <c r="CF100" s="67">
        <f t="shared" si="24"/>
        <v>0</v>
      </c>
      <c r="CG100" s="67">
        <f t="shared" si="25"/>
        <v>0</v>
      </c>
      <c r="CH100" s="67">
        <f t="shared" si="26"/>
        <v>0</v>
      </c>
      <c r="CI100" s="67">
        <f t="shared" si="31"/>
        <v>0</v>
      </c>
      <c r="CJ100" s="37">
        <f t="shared" si="27"/>
        <v>56</v>
      </c>
      <c r="CK100" s="37">
        <f t="shared" si="28"/>
        <v>0</v>
      </c>
      <c r="CL100" s="37">
        <f t="shared" si="29"/>
        <v>0</v>
      </c>
      <c r="CM100" s="37">
        <f t="shared" si="30"/>
        <v>0</v>
      </c>
    </row>
    <row r="101" spans="1:91" ht="33.75">
      <c r="B101" s="156">
        <v>97</v>
      </c>
      <c r="C101" s="169">
        <v>634</v>
      </c>
      <c r="D101" s="169">
        <v>538</v>
      </c>
      <c r="E101" s="170">
        <v>0.65277777777777779</v>
      </c>
      <c r="F101" s="170">
        <v>0.69097222222222221</v>
      </c>
      <c r="G101" s="171" t="s">
        <v>67</v>
      </c>
      <c r="H101" s="160" t="s">
        <v>444</v>
      </c>
      <c r="I101" s="169">
        <v>28</v>
      </c>
      <c r="J101" s="172">
        <v>19</v>
      </c>
      <c r="K101" s="165">
        <v>47</v>
      </c>
      <c r="L101" s="166">
        <f t="shared" si="20"/>
        <v>1316</v>
      </c>
      <c r="M101" s="177" t="s">
        <v>787</v>
      </c>
      <c r="N101" s="150" t="s">
        <v>932</v>
      </c>
      <c r="O101" s="150">
        <v>21</v>
      </c>
      <c r="P101" s="150" t="s">
        <v>1908</v>
      </c>
      <c r="Q101" s="150">
        <v>31</v>
      </c>
      <c r="R101" s="150"/>
      <c r="S101" s="150"/>
      <c r="T101" s="45">
        <v>6220</v>
      </c>
      <c r="U101" s="45" t="s">
        <v>1384</v>
      </c>
      <c r="V101" s="45">
        <v>6755</v>
      </c>
      <c r="W101" s="45" t="s">
        <v>1383</v>
      </c>
      <c r="X101" s="99">
        <v>44816</v>
      </c>
      <c r="Y101" s="99">
        <v>45100</v>
      </c>
      <c r="Z101" s="99"/>
      <c r="AA101" s="99"/>
      <c r="AB101" s="46" t="s">
        <v>1115</v>
      </c>
      <c r="AC101" s="46"/>
      <c r="AD101" s="42" t="s">
        <v>734</v>
      </c>
      <c r="AE101" s="42"/>
      <c r="AF101" s="42"/>
      <c r="AG101" s="42"/>
      <c r="AH101" s="42"/>
      <c r="AI101" s="42"/>
      <c r="AJ101" s="42"/>
      <c r="AK101" s="42"/>
      <c r="AL101" s="42"/>
      <c r="AM101" s="42"/>
      <c r="AN101" s="42" t="s">
        <v>734</v>
      </c>
      <c r="AO101" s="36"/>
      <c r="AP101" s="36"/>
      <c r="AQ101" s="36"/>
      <c r="AR101" s="42"/>
      <c r="AS101" s="42"/>
      <c r="AT101" s="42"/>
      <c r="AU101" s="42"/>
      <c r="AV101" s="42"/>
      <c r="AW101" s="42"/>
      <c r="AZ101" s="66"/>
      <c r="BA101" s="39" t="s">
        <v>783</v>
      </c>
      <c r="BB101" s="39"/>
      <c r="BC101" s="66"/>
      <c r="BD101" s="67">
        <f t="shared" si="23"/>
        <v>0</v>
      </c>
      <c r="BE101" s="66"/>
      <c r="BF101" s="66"/>
      <c r="BG101" s="73">
        <v>1</v>
      </c>
      <c r="BI101" s="67"/>
      <c r="BJ101" s="37"/>
      <c r="BN101" s="37"/>
      <c r="BO101" s="70">
        <f t="shared" si="21"/>
        <v>0</v>
      </c>
      <c r="BP101" s="37">
        <v>2</v>
      </c>
      <c r="BQ101" s="37">
        <v>5</v>
      </c>
      <c r="BR101" s="37">
        <v>5</v>
      </c>
      <c r="BS101" s="37">
        <v>6</v>
      </c>
      <c r="BT101" s="87">
        <f t="shared" si="22"/>
        <v>0</v>
      </c>
      <c r="BU101" s="87"/>
      <c r="BV101" s="87"/>
      <c r="BW101" s="87"/>
      <c r="BX101" s="87"/>
      <c r="BY101" s="87"/>
      <c r="BZ101" s="87"/>
      <c r="CA101" s="87"/>
      <c r="CB101" s="87"/>
      <c r="CC101" s="87"/>
      <c r="CD101" s="87"/>
      <c r="CF101" s="67">
        <f t="shared" si="24"/>
        <v>0</v>
      </c>
      <c r="CG101" s="67">
        <f t="shared" si="25"/>
        <v>0</v>
      </c>
      <c r="CH101" s="67">
        <f t="shared" si="26"/>
        <v>0</v>
      </c>
      <c r="CI101" s="67">
        <f t="shared" si="31"/>
        <v>0</v>
      </c>
      <c r="CJ101" s="37">
        <f t="shared" si="27"/>
        <v>56</v>
      </c>
      <c r="CK101" s="37">
        <f t="shared" si="28"/>
        <v>140</v>
      </c>
      <c r="CL101" s="37">
        <f t="shared" si="29"/>
        <v>140</v>
      </c>
      <c r="CM101" s="37">
        <f t="shared" si="30"/>
        <v>168</v>
      </c>
    </row>
    <row r="102" spans="1:91" ht="33.75">
      <c r="B102" s="156">
        <v>98</v>
      </c>
      <c r="C102" s="169">
        <v>634</v>
      </c>
      <c r="D102" s="169">
        <v>543</v>
      </c>
      <c r="E102" s="170">
        <v>0.69444444444444453</v>
      </c>
      <c r="F102" s="170">
        <v>0.71805555555555556</v>
      </c>
      <c r="G102" s="171" t="s">
        <v>65</v>
      </c>
      <c r="H102" s="160" t="s">
        <v>444</v>
      </c>
      <c r="I102" s="169">
        <v>20</v>
      </c>
      <c r="J102" s="172">
        <v>19</v>
      </c>
      <c r="K102" s="165">
        <v>47</v>
      </c>
      <c r="L102" s="166">
        <f t="shared" si="20"/>
        <v>940</v>
      </c>
      <c r="M102" s="177" t="s">
        <v>787</v>
      </c>
      <c r="N102" s="150" t="s">
        <v>932</v>
      </c>
      <c r="O102" s="150">
        <v>21</v>
      </c>
      <c r="P102" s="150" t="s">
        <v>1908</v>
      </c>
      <c r="Q102" s="150">
        <v>31</v>
      </c>
      <c r="R102" s="150"/>
      <c r="S102" s="150"/>
      <c r="T102" s="45">
        <v>6755</v>
      </c>
      <c r="U102" s="45" t="s">
        <v>1383</v>
      </c>
      <c r="V102" s="45">
        <v>6220</v>
      </c>
      <c r="W102" s="45" t="s">
        <v>1384</v>
      </c>
      <c r="X102" s="99">
        <v>44816</v>
      </c>
      <c r="Y102" s="99">
        <v>45100</v>
      </c>
      <c r="Z102" s="99"/>
      <c r="AA102" s="99"/>
      <c r="AB102" s="46" t="s">
        <v>1115</v>
      </c>
      <c r="AC102" s="46"/>
      <c r="AD102" s="42" t="s">
        <v>734</v>
      </c>
      <c r="AE102" s="42"/>
      <c r="AF102" s="42"/>
      <c r="AG102" s="42"/>
      <c r="AH102" s="42"/>
      <c r="AI102" s="42"/>
      <c r="AJ102" s="42"/>
      <c r="AK102" s="42"/>
      <c r="AL102" s="42"/>
      <c r="AM102" s="42"/>
      <c r="AN102" s="42" t="s">
        <v>734</v>
      </c>
      <c r="AO102" s="36"/>
      <c r="AP102" s="36"/>
      <c r="AQ102" s="36"/>
      <c r="AR102" s="42"/>
      <c r="AS102" s="42"/>
      <c r="AT102" s="42"/>
      <c r="AU102" s="42"/>
      <c r="AV102" s="42"/>
      <c r="AW102" s="42"/>
      <c r="AZ102" s="66"/>
      <c r="BA102" s="39" t="s">
        <v>783</v>
      </c>
      <c r="BB102" s="39"/>
      <c r="BC102" s="66"/>
      <c r="BD102" s="67">
        <f t="shared" si="23"/>
        <v>0</v>
      </c>
      <c r="BE102" s="66"/>
      <c r="BF102" s="66"/>
      <c r="BG102" s="73">
        <v>1</v>
      </c>
      <c r="BI102" s="67"/>
      <c r="BJ102" s="37"/>
      <c r="BN102" s="37"/>
      <c r="BO102" s="70">
        <f t="shared" si="21"/>
        <v>0</v>
      </c>
      <c r="BP102" s="37">
        <v>2</v>
      </c>
      <c r="BQ102" s="37">
        <v>5</v>
      </c>
      <c r="BR102" s="37">
        <v>5</v>
      </c>
      <c r="BS102" s="37">
        <v>6</v>
      </c>
      <c r="BT102" s="87">
        <f t="shared" si="22"/>
        <v>0</v>
      </c>
      <c r="BU102" s="87"/>
      <c r="BV102" s="87"/>
      <c r="BW102" s="87"/>
      <c r="BX102" s="87"/>
      <c r="BY102" s="87"/>
      <c r="BZ102" s="87"/>
      <c r="CA102" s="87"/>
      <c r="CB102" s="87"/>
      <c r="CC102" s="87"/>
      <c r="CD102" s="87"/>
      <c r="CF102" s="67">
        <f t="shared" si="24"/>
        <v>0</v>
      </c>
      <c r="CG102" s="67">
        <f t="shared" si="25"/>
        <v>0</v>
      </c>
      <c r="CH102" s="67">
        <f t="shared" si="26"/>
        <v>0</v>
      </c>
      <c r="CI102" s="67">
        <f t="shared" si="31"/>
        <v>0</v>
      </c>
      <c r="CJ102" s="37">
        <f t="shared" si="27"/>
        <v>40</v>
      </c>
      <c r="CK102" s="37">
        <f t="shared" si="28"/>
        <v>100</v>
      </c>
      <c r="CL102" s="37">
        <f t="shared" si="29"/>
        <v>100</v>
      </c>
      <c r="CM102" s="37">
        <f t="shared" si="30"/>
        <v>120</v>
      </c>
    </row>
    <row r="103" spans="1:91" ht="33.75">
      <c r="B103" s="156">
        <v>99</v>
      </c>
      <c r="C103" s="169">
        <v>634</v>
      </c>
      <c r="D103" s="169">
        <v>536</v>
      </c>
      <c r="E103" s="170">
        <v>0.72569444444444453</v>
      </c>
      <c r="F103" s="170">
        <v>0.76388888888888884</v>
      </c>
      <c r="G103" s="171" t="s">
        <v>67</v>
      </c>
      <c r="H103" s="160" t="s">
        <v>550</v>
      </c>
      <c r="I103" s="169">
        <v>28</v>
      </c>
      <c r="J103" s="172">
        <v>19</v>
      </c>
      <c r="K103" s="165">
        <v>13</v>
      </c>
      <c r="L103" s="166">
        <f t="shared" si="20"/>
        <v>364</v>
      </c>
      <c r="M103" s="177" t="s">
        <v>787</v>
      </c>
      <c r="N103" s="150" t="s">
        <v>932</v>
      </c>
      <c r="O103" s="150">
        <v>21</v>
      </c>
      <c r="P103" s="150" t="s">
        <v>1908</v>
      </c>
      <c r="Q103" s="150">
        <v>31</v>
      </c>
      <c r="R103" s="150"/>
      <c r="S103" s="150"/>
      <c r="T103" s="45">
        <v>6220</v>
      </c>
      <c r="U103" s="45" t="s">
        <v>1384</v>
      </c>
      <c r="V103" s="45">
        <v>6755</v>
      </c>
      <c r="W103" s="45" t="s">
        <v>1383</v>
      </c>
      <c r="X103" s="99">
        <v>44562</v>
      </c>
      <c r="Y103" s="99">
        <v>44815</v>
      </c>
      <c r="Z103" s="99">
        <v>45101</v>
      </c>
      <c r="AA103" s="99">
        <v>45169</v>
      </c>
      <c r="AB103" s="36" t="s">
        <v>1116</v>
      </c>
      <c r="AC103" s="36"/>
      <c r="AD103" s="36"/>
      <c r="AE103" s="42" t="s">
        <v>734</v>
      </c>
      <c r="AF103" s="42"/>
      <c r="AG103" s="42"/>
      <c r="AH103" s="42"/>
      <c r="AI103" s="42"/>
      <c r="AJ103" s="42"/>
      <c r="AK103" s="42"/>
      <c r="AL103" s="42"/>
      <c r="AM103" s="42"/>
      <c r="AN103" s="42" t="s">
        <v>734</v>
      </c>
      <c r="AO103" s="36"/>
      <c r="AP103" s="36"/>
      <c r="AQ103" s="36"/>
      <c r="AR103" s="42"/>
      <c r="AS103" s="42"/>
      <c r="AT103" s="42"/>
      <c r="AU103" s="42"/>
      <c r="AV103" s="42"/>
      <c r="AW103" s="42"/>
      <c r="AZ103" s="66"/>
      <c r="BA103" s="39" t="s">
        <v>783</v>
      </c>
      <c r="BB103" s="39"/>
      <c r="BC103" s="66"/>
      <c r="BD103" s="67">
        <f t="shared" si="23"/>
        <v>0</v>
      </c>
      <c r="BE103" s="66"/>
      <c r="BF103" s="66"/>
      <c r="BG103" s="73">
        <v>1</v>
      </c>
      <c r="BI103" s="67"/>
      <c r="BJ103" s="37"/>
      <c r="BN103" s="37"/>
      <c r="BO103" s="70">
        <f t="shared" si="21"/>
        <v>0</v>
      </c>
      <c r="BP103" s="37">
        <v>2</v>
      </c>
      <c r="BQ103" s="37">
        <v>0</v>
      </c>
      <c r="BR103" s="37">
        <v>0</v>
      </c>
      <c r="BT103" s="87">
        <f t="shared" si="22"/>
        <v>0</v>
      </c>
      <c r="BU103" s="87"/>
      <c r="BV103" s="87"/>
      <c r="BW103" s="87"/>
      <c r="BX103" s="87"/>
      <c r="BY103" s="87"/>
      <c r="BZ103" s="87"/>
      <c r="CA103" s="87"/>
      <c r="CB103" s="87"/>
      <c r="CC103" s="87"/>
      <c r="CD103" s="87"/>
      <c r="CF103" s="67">
        <f t="shared" si="24"/>
        <v>0</v>
      </c>
      <c r="CG103" s="67">
        <f t="shared" si="25"/>
        <v>0</v>
      </c>
      <c r="CH103" s="67">
        <f t="shared" si="26"/>
        <v>0</v>
      </c>
      <c r="CI103" s="67">
        <f t="shared" si="31"/>
        <v>0</v>
      </c>
      <c r="CJ103" s="37">
        <f t="shared" si="27"/>
        <v>56</v>
      </c>
      <c r="CK103" s="37">
        <f t="shared" si="28"/>
        <v>0</v>
      </c>
      <c r="CL103" s="37">
        <f t="shared" si="29"/>
        <v>0</v>
      </c>
      <c r="CM103" s="37">
        <f t="shared" si="30"/>
        <v>0</v>
      </c>
    </row>
    <row r="104" spans="1:91" ht="33.75">
      <c r="B104" s="156">
        <v>100</v>
      </c>
      <c r="C104" s="169">
        <v>634</v>
      </c>
      <c r="D104" s="169">
        <v>544</v>
      </c>
      <c r="E104" s="170">
        <v>0.74305555555555547</v>
      </c>
      <c r="F104" s="176">
        <v>0.76666666666666661</v>
      </c>
      <c r="G104" s="171" t="s">
        <v>64</v>
      </c>
      <c r="H104" s="160" t="s">
        <v>444</v>
      </c>
      <c r="I104" s="169">
        <v>20</v>
      </c>
      <c r="J104" s="172">
        <v>19</v>
      </c>
      <c r="K104" s="165">
        <v>47</v>
      </c>
      <c r="L104" s="166">
        <f t="shared" si="20"/>
        <v>940</v>
      </c>
      <c r="M104" s="177" t="s">
        <v>787</v>
      </c>
      <c r="N104" s="150" t="s">
        <v>932</v>
      </c>
      <c r="O104" s="150">
        <v>21</v>
      </c>
      <c r="P104" s="150" t="s">
        <v>1908</v>
      </c>
      <c r="Q104" s="150">
        <v>31</v>
      </c>
      <c r="R104" s="150"/>
      <c r="S104" s="150"/>
      <c r="T104" s="45">
        <v>6220</v>
      </c>
      <c r="U104" s="45" t="s">
        <v>1384</v>
      </c>
      <c r="V104" s="45">
        <v>6755</v>
      </c>
      <c r="W104" s="45" t="s">
        <v>1383</v>
      </c>
      <c r="X104" s="99">
        <v>44816</v>
      </c>
      <c r="Y104" s="99">
        <v>45100</v>
      </c>
      <c r="Z104" s="99"/>
      <c r="AA104" s="99"/>
      <c r="AB104" s="46" t="s">
        <v>1115</v>
      </c>
      <c r="AC104" s="46"/>
      <c r="AD104" s="42" t="s">
        <v>734</v>
      </c>
      <c r="AE104" s="42"/>
      <c r="AF104" s="42"/>
      <c r="AG104" s="42"/>
      <c r="AH104" s="42"/>
      <c r="AI104" s="42"/>
      <c r="AJ104" s="42"/>
      <c r="AK104" s="42"/>
      <c r="AL104" s="42"/>
      <c r="AM104" s="42"/>
      <c r="AN104" s="42" t="s">
        <v>734</v>
      </c>
      <c r="AO104" s="36"/>
      <c r="AP104" s="36"/>
      <c r="AQ104" s="36"/>
      <c r="AR104" s="42"/>
      <c r="AS104" s="42"/>
      <c r="AT104" s="42"/>
      <c r="AU104" s="42"/>
      <c r="AV104" s="42"/>
      <c r="AW104" s="42"/>
      <c r="AZ104" s="66"/>
      <c r="BA104" s="39" t="s">
        <v>783</v>
      </c>
      <c r="BB104" s="39"/>
      <c r="BC104" s="66"/>
      <c r="BD104" s="67">
        <f t="shared" si="23"/>
        <v>0</v>
      </c>
      <c r="BE104" s="66"/>
      <c r="BF104" s="66"/>
      <c r="BG104" s="73">
        <v>1</v>
      </c>
      <c r="BI104" s="67"/>
      <c r="BJ104" s="37"/>
      <c r="BN104" s="37"/>
      <c r="BO104" s="70">
        <f t="shared" si="21"/>
        <v>0</v>
      </c>
      <c r="BP104" s="37">
        <v>2</v>
      </c>
      <c r="BQ104" s="37">
        <v>5</v>
      </c>
      <c r="BR104" s="37">
        <v>5</v>
      </c>
      <c r="BS104" s="37">
        <v>6</v>
      </c>
      <c r="BT104" s="87">
        <f t="shared" si="22"/>
        <v>0</v>
      </c>
      <c r="BU104" s="87"/>
      <c r="BV104" s="87"/>
      <c r="BW104" s="87"/>
      <c r="BX104" s="87"/>
      <c r="BY104" s="87"/>
      <c r="BZ104" s="87"/>
      <c r="CA104" s="87"/>
      <c r="CB104" s="87"/>
      <c r="CC104" s="87"/>
      <c r="CD104" s="87"/>
      <c r="CF104" s="67">
        <f t="shared" si="24"/>
        <v>0</v>
      </c>
      <c r="CG104" s="67">
        <f t="shared" si="25"/>
        <v>0</v>
      </c>
      <c r="CH104" s="67">
        <f t="shared" si="26"/>
        <v>0</v>
      </c>
      <c r="CI104" s="67">
        <f t="shared" si="31"/>
        <v>0</v>
      </c>
      <c r="CJ104" s="37">
        <f t="shared" si="27"/>
        <v>40</v>
      </c>
      <c r="CK104" s="37">
        <f t="shared" si="28"/>
        <v>100</v>
      </c>
      <c r="CL104" s="37">
        <f t="shared" si="29"/>
        <v>100</v>
      </c>
      <c r="CM104" s="37">
        <f t="shared" si="30"/>
        <v>120</v>
      </c>
    </row>
    <row r="105" spans="1:91" ht="25.5">
      <c r="B105" s="156">
        <v>101</v>
      </c>
      <c r="C105" s="160">
        <v>640</v>
      </c>
      <c r="D105" s="160">
        <v>659</v>
      </c>
      <c r="E105" s="161">
        <v>0.76041666666666663</v>
      </c>
      <c r="F105" s="161">
        <v>0.77986111111111101</v>
      </c>
      <c r="G105" s="160" t="s">
        <v>120</v>
      </c>
      <c r="H105" s="160" t="s">
        <v>103</v>
      </c>
      <c r="I105" s="163">
        <v>16</v>
      </c>
      <c r="J105" s="164" t="s">
        <v>188</v>
      </c>
      <c r="K105" s="165">
        <v>174</v>
      </c>
      <c r="L105" s="166">
        <f t="shared" si="20"/>
        <v>2784</v>
      </c>
      <c r="M105" s="177" t="s">
        <v>783</v>
      </c>
      <c r="N105" s="150" t="s">
        <v>982</v>
      </c>
      <c r="O105" s="150">
        <v>45</v>
      </c>
      <c r="P105" s="3" t="s">
        <v>1968</v>
      </c>
      <c r="Q105" s="3">
        <v>21</v>
      </c>
      <c r="R105" s="3" t="s">
        <v>1253</v>
      </c>
      <c r="S105" s="152">
        <v>9</v>
      </c>
      <c r="T105" s="45">
        <v>6300</v>
      </c>
      <c r="U105" s="45" t="s">
        <v>1385</v>
      </c>
      <c r="V105" s="45">
        <v>6328</v>
      </c>
      <c r="W105" s="45" t="s">
        <v>1386</v>
      </c>
      <c r="X105" s="98">
        <v>44816</v>
      </c>
      <c r="Y105" s="98">
        <v>45086</v>
      </c>
      <c r="Z105" s="98"/>
      <c r="AA105" s="98"/>
      <c r="AB105" s="41" t="s">
        <v>1114</v>
      </c>
      <c r="AC105" s="41"/>
      <c r="AD105" s="36"/>
      <c r="AE105" s="36"/>
      <c r="AF105" s="36"/>
      <c r="AG105" s="42" t="s">
        <v>734</v>
      </c>
      <c r="AH105" s="42" t="s">
        <v>734</v>
      </c>
      <c r="AI105" s="42" t="s">
        <v>734</v>
      </c>
      <c r="AJ105" s="42" t="s">
        <v>734</v>
      </c>
      <c r="AK105" s="42" t="s">
        <v>734</v>
      </c>
      <c r="AL105" s="42" t="s">
        <v>734</v>
      </c>
      <c r="AM105" s="36"/>
      <c r="AN105" s="36"/>
      <c r="AO105" s="36"/>
      <c r="AP105" s="36"/>
      <c r="AQ105" s="36"/>
      <c r="AR105" s="42"/>
      <c r="AS105" s="42"/>
      <c r="AT105" s="42"/>
      <c r="AU105" s="42"/>
      <c r="AV105" s="42"/>
      <c r="AW105" s="36"/>
      <c r="AX105" s="68">
        <v>48</v>
      </c>
      <c r="AY105" s="68"/>
      <c r="AZ105" s="66"/>
      <c r="BA105" s="66"/>
      <c r="BB105" s="66"/>
      <c r="BC105" s="66"/>
      <c r="BD105" s="67">
        <f t="shared" si="23"/>
        <v>8352</v>
      </c>
      <c r="BE105" s="67"/>
      <c r="BF105" s="66"/>
      <c r="BG105" s="73">
        <v>1</v>
      </c>
      <c r="BH105" s="67">
        <f>IF(AND((AX105/I105)&lt;2,BG105=1),(I105*2)-AX105,0)</f>
        <v>0</v>
      </c>
      <c r="BI105" s="67">
        <f>IF(AND((AX105/I105)&lt;3,BG105=2),(I105*3)-AX105,0)</f>
        <v>0</v>
      </c>
      <c r="BJ105" s="70">
        <f>(BH105+BI105)*K105</f>
        <v>0</v>
      </c>
      <c r="BN105" s="37"/>
      <c r="BO105" s="70">
        <f t="shared" si="21"/>
        <v>0</v>
      </c>
      <c r="BP105" s="37">
        <v>15</v>
      </c>
      <c r="BQ105" s="37">
        <v>20</v>
      </c>
      <c r="BR105" s="37">
        <v>21</v>
      </c>
      <c r="BS105" s="37">
        <v>15</v>
      </c>
      <c r="BT105" s="87">
        <f t="shared" si="22"/>
        <v>48</v>
      </c>
      <c r="BU105" s="87"/>
      <c r="BV105" s="87"/>
      <c r="BW105" s="87"/>
      <c r="BX105" s="87"/>
      <c r="BY105" s="87"/>
      <c r="BZ105" s="87"/>
      <c r="CA105" s="87"/>
      <c r="CB105" s="87"/>
      <c r="CC105" s="87"/>
      <c r="CD105" s="87"/>
      <c r="CF105" s="67">
        <f t="shared" si="24"/>
        <v>720</v>
      </c>
      <c r="CG105" s="67">
        <f t="shared" si="25"/>
        <v>960</v>
      </c>
      <c r="CH105" s="67">
        <f t="shared" si="26"/>
        <v>1008</v>
      </c>
      <c r="CI105" s="67">
        <f t="shared" si="31"/>
        <v>720</v>
      </c>
      <c r="CJ105" s="37">
        <f t="shared" si="27"/>
        <v>240</v>
      </c>
      <c r="CK105" s="37">
        <f t="shared" si="28"/>
        <v>320</v>
      </c>
      <c r="CL105" s="37">
        <f t="shared" si="29"/>
        <v>336</v>
      </c>
      <c r="CM105" s="37">
        <f t="shared" si="30"/>
        <v>240</v>
      </c>
    </row>
    <row r="106" spans="1:91" ht="22.5">
      <c r="B106" s="156">
        <v>102</v>
      </c>
      <c r="C106" s="159">
        <v>91</v>
      </c>
      <c r="D106" s="189">
        <v>490</v>
      </c>
      <c r="E106" s="170">
        <v>0.19791666666666666</v>
      </c>
      <c r="F106" s="170">
        <v>0.23958333333333334</v>
      </c>
      <c r="G106" s="171" t="s">
        <v>45</v>
      </c>
      <c r="H106" s="171" t="s">
        <v>18</v>
      </c>
      <c r="I106" s="169">
        <v>50</v>
      </c>
      <c r="J106" s="172">
        <v>50</v>
      </c>
      <c r="K106" s="165">
        <v>296</v>
      </c>
      <c r="L106" s="166">
        <f t="shared" si="20"/>
        <v>14800</v>
      </c>
      <c r="M106" s="177" t="s">
        <v>719</v>
      </c>
      <c r="N106" s="150" t="s">
        <v>899</v>
      </c>
      <c r="O106" s="150">
        <v>53</v>
      </c>
      <c r="P106" s="168" t="s">
        <v>1254</v>
      </c>
      <c r="Q106" s="168">
        <v>54</v>
      </c>
      <c r="R106" s="3" t="s">
        <v>1255</v>
      </c>
      <c r="S106" s="153">
        <v>53</v>
      </c>
      <c r="T106" s="45" t="s">
        <v>1329</v>
      </c>
      <c r="U106" s="45" t="s">
        <v>1330</v>
      </c>
      <c r="V106" s="45" t="s">
        <v>1331</v>
      </c>
      <c r="W106" s="45" t="s">
        <v>1332</v>
      </c>
      <c r="X106" s="98">
        <v>44805</v>
      </c>
      <c r="Y106" s="98">
        <v>45169</v>
      </c>
      <c r="Z106" s="98"/>
      <c r="AA106" s="98"/>
      <c r="AB106" s="42" t="s">
        <v>1125</v>
      </c>
      <c r="AC106" s="42"/>
      <c r="AD106" s="42" t="s">
        <v>734</v>
      </c>
      <c r="AE106" s="42" t="s">
        <v>734</v>
      </c>
      <c r="AF106" s="42" t="s">
        <v>734</v>
      </c>
      <c r="AG106" s="42"/>
      <c r="AH106" s="42" t="s">
        <v>734</v>
      </c>
      <c r="AI106" s="42" t="s">
        <v>734</v>
      </c>
      <c r="AJ106" s="42" t="s">
        <v>734</v>
      </c>
      <c r="AK106" s="42" t="s">
        <v>734</v>
      </c>
      <c r="AL106" s="42" t="s">
        <v>734</v>
      </c>
      <c r="AM106" s="42" t="s">
        <v>734</v>
      </c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BA106" s="39" t="s">
        <v>719</v>
      </c>
      <c r="BB106" s="39"/>
      <c r="BD106" s="67">
        <f t="shared" si="23"/>
        <v>0</v>
      </c>
      <c r="BF106" s="37"/>
      <c r="BG106" s="69">
        <v>2</v>
      </c>
      <c r="BI106" s="67"/>
      <c r="BJ106" s="37"/>
      <c r="BO106" s="70">
        <f t="shared" si="21"/>
        <v>0</v>
      </c>
      <c r="BP106" s="37">
        <v>26</v>
      </c>
      <c r="BQ106" s="73">
        <v>25</v>
      </c>
      <c r="BR106" s="37">
        <v>25</v>
      </c>
      <c r="BS106" s="37">
        <v>25</v>
      </c>
      <c r="BT106" s="87">
        <f t="shared" si="22"/>
        <v>0</v>
      </c>
      <c r="BU106" s="87" t="s">
        <v>1125</v>
      </c>
      <c r="BV106" s="127">
        <v>26</v>
      </c>
      <c r="BW106" s="127"/>
      <c r="BX106" s="127">
        <v>25</v>
      </c>
      <c r="BY106" s="127"/>
      <c r="BZ106" s="127">
        <v>25</v>
      </c>
      <c r="CA106" s="127"/>
      <c r="CB106" s="127">
        <v>25</v>
      </c>
      <c r="CC106" s="127"/>
      <c r="CD106" s="87">
        <v>220</v>
      </c>
      <c r="CF106" s="67">
        <f t="shared" si="24"/>
        <v>5720</v>
      </c>
      <c r="CG106" s="67">
        <f t="shared" si="25"/>
        <v>5500</v>
      </c>
      <c r="CH106" s="67">
        <f t="shared" si="26"/>
        <v>5500</v>
      </c>
      <c r="CI106" s="67">
        <f t="shared" si="31"/>
        <v>5500</v>
      </c>
      <c r="CJ106" s="37">
        <f t="shared" si="27"/>
        <v>1300</v>
      </c>
      <c r="CK106" s="37">
        <f t="shared" si="28"/>
        <v>1250</v>
      </c>
      <c r="CL106" s="37">
        <f t="shared" si="29"/>
        <v>1250</v>
      </c>
      <c r="CM106" s="37">
        <f t="shared" si="30"/>
        <v>1250</v>
      </c>
    </row>
    <row r="107" spans="1:91" ht="54.75" customHeight="1">
      <c r="B107" s="156">
        <v>103</v>
      </c>
      <c r="C107" s="159">
        <v>91</v>
      </c>
      <c r="D107" s="189">
        <v>491</v>
      </c>
      <c r="E107" s="170">
        <v>0.25694444444444448</v>
      </c>
      <c r="F107" s="170">
        <v>0.2986111111111111</v>
      </c>
      <c r="G107" s="171" t="s">
        <v>44</v>
      </c>
      <c r="H107" s="171" t="s">
        <v>714</v>
      </c>
      <c r="I107" s="169">
        <v>50</v>
      </c>
      <c r="J107" s="172">
        <v>50</v>
      </c>
      <c r="K107" s="165">
        <v>255</v>
      </c>
      <c r="L107" s="166">
        <f t="shared" si="20"/>
        <v>12750</v>
      </c>
      <c r="M107" s="167" t="s">
        <v>719</v>
      </c>
      <c r="N107" s="150" t="s">
        <v>899</v>
      </c>
      <c r="O107" s="150">
        <v>53</v>
      </c>
      <c r="P107" s="168" t="s">
        <v>1254</v>
      </c>
      <c r="Q107" s="168">
        <v>54</v>
      </c>
      <c r="R107" s="3" t="s">
        <v>1255</v>
      </c>
      <c r="S107" s="153">
        <v>53</v>
      </c>
      <c r="T107" s="45" t="s">
        <v>1331</v>
      </c>
      <c r="U107" s="45" t="s">
        <v>1332</v>
      </c>
      <c r="V107" s="45" t="s">
        <v>1329</v>
      </c>
      <c r="W107" s="45" t="s">
        <v>1330</v>
      </c>
      <c r="X107" s="98">
        <v>44805</v>
      </c>
      <c r="Y107" s="98">
        <v>45169</v>
      </c>
      <c r="Z107" s="98"/>
      <c r="AA107" s="98"/>
      <c r="AB107" s="42" t="s">
        <v>1126</v>
      </c>
      <c r="AC107" s="42"/>
      <c r="AD107" s="42" t="s">
        <v>734</v>
      </c>
      <c r="AE107" s="42" t="s">
        <v>734</v>
      </c>
      <c r="AF107" s="42" t="s">
        <v>734</v>
      </c>
      <c r="AG107" s="42"/>
      <c r="AH107" s="42"/>
      <c r="AI107" s="42" t="s">
        <v>734</v>
      </c>
      <c r="AJ107" s="42" t="s">
        <v>734</v>
      </c>
      <c r="AK107" s="42" t="s">
        <v>734</v>
      </c>
      <c r="AL107" s="42" t="s">
        <v>734</v>
      </c>
      <c r="AM107" s="42" t="s">
        <v>734</v>
      </c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BA107" s="39" t="s">
        <v>719</v>
      </c>
      <c r="BB107" s="39"/>
      <c r="BD107" s="67">
        <f t="shared" si="23"/>
        <v>0</v>
      </c>
      <c r="BF107" s="37"/>
      <c r="BG107" s="69">
        <v>2</v>
      </c>
      <c r="BI107" s="67"/>
      <c r="BJ107" s="37"/>
      <c r="BO107" s="70">
        <f t="shared" si="21"/>
        <v>0</v>
      </c>
      <c r="BP107" s="37">
        <v>22</v>
      </c>
      <c r="BQ107" s="37">
        <v>21</v>
      </c>
      <c r="BR107" s="37">
        <v>21</v>
      </c>
      <c r="BS107" s="37">
        <v>22</v>
      </c>
      <c r="BT107" s="87">
        <f t="shared" si="22"/>
        <v>0</v>
      </c>
      <c r="BU107" s="87"/>
      <c r="BV107" s="87"/>
      <c r="BW107" s="87"/>
      <c r="BX107" s="87"/>
      <c r="BY107" s="87"/>
      <c r="BZ107" s="87"/>
      <c r="CA107" s="87"/>
      <c r="CB107" s="87"/>
      <c r="CC107" s="87"/>
      <c r="CD107" s="87"/>
      <c r="CF107" s="67">
        <f t="shared" si="24"/>
        <v>0</v>
      </c>
      <c r="CG107" s="67">
        <f t="shared" si="25"/>
        <v>0</v>
      </c>
      <c r="CH107" s="67">
        <f t="shared" si="26"/>
        <v>0</v>
      </c>
      <c r="CI107" s="67">
        <f t="shared" si="31"/>
        <v>0</v>
      </c>
      <c r="CJ107" s="37">
        <f t="shared" si="27"/>
        <v>1100</v>
      </c>
      <c r="CK107" s="37">
        <f t="shared" si="28"/>
        <v>1050</v>
      </c>
      <c r="CL107" s="37">
        <f t="shared" si="29"/>
        <v>1050</v>
      </c>
      <c r="CM107" s="37">
        <f t="shared" si="30"/>
        <v>1100</v>
      </c>
    </row>
    <row r="108" spans="1:91" ht="45">
      <c r="B108" s="156">
        <v>104</v>
      </c>
      <c r="C108" s="160">
        <v>101</v>
      </c>
      <c r="D108" s="160">
        <v>656</v>
      </c>
      <c r="E108" s="224">
        <v>0.29375000000000001</v>
      </c>
      <c r="F108" s="222">
        <v>0.30902777777777779</v>
      </c>
      <c r="G108" s="223" t="s">
        <v>1964</v>
      </c>
      <c r="H108" s="160" t="s">
        <v>97</v>
      </c>
      <c r="I108" s="163">
        <v>15</v>
      </c>
      <c r="J108" s="164" t="s">
        <v>125</v>
      </c>
      <c r="K108" s="165">
        <v>208</v>
      </c>
      <c r="L108" s="166">
        <f t="shared" si="20"/>
        <v>3120</v>
      </c>
      <c r="M108" s="177" t="s">
        <v>721</v>
      </c>
      <c r="N108" s="154" t="s">
        <v>1082</v>
      </c>
      <c r="O108" s="154">
        <v>17</v>
      </c>
      <c r="P108" s="154" t="s">
        <v>1973</v>
      </c>
      <c r="Q108" s="154">
        <v>24</v>
      </c>
      <c r="R108" s="150" t="s">
        <v>1996</v>
      </c>
      <c r="S108" s="151">
        <v>9</v>
      </c>
      <c r="T108" s="64" t="s">
        <v>1965</v>
      </c>
      <c r="U108" s="97" t="s">
        <v>1906</v>
      </c>
      <c r="V108" s="45">
        <v>1070</v>
      </c>
      <c r="W108" s="45" t="s">
        <v>1337</v>
      </c>
      <c r="X108" s="98">
        <v>44816</v>
      </c>
      <c r="Y108" s="98">
        <v>45086</v>
      </c>
      <c r="Z108" s="98"/>
      <c r="AA108" s="98"/>
      <c r="AB108" s="41" t="s">
        <v>1118</v>
      </c>
      <c r="AC108" s="41"/>
      <c r="AD108" s="42"/>
      <c r="AE108" s="42"/>
      <c r="AF108" s="42"/>
      <c r="AG108" s="42" t="s">
        <v>734</v>
      </c>
      <c r="AH108" s="42" t="s">
        <v>734</v>
      </c>
      <c r="AI108" s="42" t="s">
        <v>734</v>
      </c>
      <c r="AJ108" s="42" t="s">
        <v>734</v>
      </c>
      <c r="AK108" s="42" t="s">
        <v>734</v>
      </c>
      <c r="AL108" s="42" t="s">
        <v>734</v>
      </c>
      <c r="AM108" s="42" t="s">
        <v>734</v>
      </c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68">
        <v>38.54</v>
      </c>
      <c r="BA108" s="68"/>
      <c r="BB108" s="68"/>
      <c r="BD108" s="67">
        <f t="shared" si="23"/>
        <v>8016.32</v>
      </c>
      <c r="BE108" s="67"/>
      <c r="BF108" s="37"/>
      <c r="BG108" s="73">
        <v>1</v>
      </c>
      <c r="BH108" s="67">
        <f>IF(AND((AX108/I108)&lt;2,BG108=1),(I108*2)-AX108,0)</f>
        <v>0</v>
      </c>
      <c r="BI108" s="67">
        <f>IF(AND((AX108/I108)&lt;3,BG108=2),(I108*3)-AX108,0)</f>
        <v>0</v>
      </c>
      <c r="BJ108" s="70">
        <f>(BH108+BI108)*K108</f>
        <v>0</v>
      </c>
      <c r="BN108" s="37"/>
      <c r="BO108" s="70">
        <f t="shared" si="21"/>
        <v>0</v>
      </c>
      <c r="BP108" s="37">
        <v>17</v>
      </c>
      <c r="BQ108" s="37">
        <v>25</v>
      </c>
      <c r="BR108" s="37">
        <v>25</v>
      </c>
      <c r="BS108" s="37">
        <v>18</v>
      </c>
      <c r="BT108" s="87">
        <f t="shared" si="22"/>
        <v>38.54</v>
      </c>
      <c r="BU108" s="87"/>
      <c r="BV108" s="87"/>
      <c r="BW108" s="87"/>
      <c r="BX108" s="87"/>
      <c r="BY108" s="87"/>
      <c r="BZ108" s="87"/>
      <c r="CA108" s="87"/>
      <c r="CB108" s="87"/>
      <c r="CC108" s="87"/>
      <c r="CD108" s="87"/>
      <c r="CF108" s="67">
        <f t="shared" si="24"/>
        <v>655.17999999999995</v>
      </c>
      <c r="CG108" s="67">
        <f t="shared" si="25"/>
        <v>963.5</v>
      </c>
      <c r="CH108" s="67">
        <f t="shared" si="26"/>
        <v>963.5</v>
      </c>
      <c r="CI108" s="67">
        <f t="shared" si="31"/>
        <v>693.72</v>
      </c>
      <c r="CJ108" s="37">
        <f t="shared" si="27"/>
        <v>255</v>
      </c>
      <c r="CK108" s="37">
        <f t="shared" si="28"/>
        <v>375</v>
      </c>
      <c r="CL108" s="37">
        <f t="shared" si="29"/>
        <v>375</v>
      </c>
      <c r="CM108" s="37">
        <f t="shared" si="30"/>
        <v>270</v>
      </c>
    </row>
    <row r="109" spans="1:91" ht="38.25">
      <c r="B109" s="156">
        <v>105</v>
      </c>
      <c r="C109" s="160">
        <v>101</v>
      </c>
      <c r="D109" s="160">
        <v>661</v>
      </c>
      <c r="E109" s="161">
        <v>0.57638888888888895</v>
      </c>
      <c r="F109" s="161">
        <v>0.58680555555555558</v>
      </c>
      <c r="G109" s="160" t="s">
        <v>292</v>
      </c>
      <c r="H109" s="160" t="s">
        <v>97</v>
      </c>
      <c r="I109" s="163">
        <v>15</v>
      </c>
      <c r="J109" s="164" t="s">
        <v>116</v>
      </c>
      <c r="K109" s="165">
        <v>208</v>
      </c>
      <c r="L109" s="166">
        <f t="shared" si="20"/>
        <v>3120</v>
      </c>
      <c r="M109" s="177" t="s">
        <v>722</v>
      </c>
      <c r="N109" s="154" t="s">
        <v>890</v>
      </c>
      <c r="O109" s="154">
        <v>9</v>
      </c>
      <c r="P109" s="154" t="s">
        <v>1972</v>
      </c>
      <c r="Q109" s="154">
        <v>17</v>
      </c>
      <c r="S109" s="154"/>
      <c r="T109" s="45">
        <v>1070</v>
      </c>
      <c r="U109" s="45" t="s">
        <v>1337</v>
      </c>
      <c r="V109" s="45" t="s">
        <v>1387</v>
      </c>
      <c r="W109" s="45" t="s">
        <v>1388</v>
      </c>
      <c r="X109" s="98">
        <v>44816</v>
      </c>
      <c r="Y109" s="98">
        <v>45086</v>
      </c>
      <c r="Z109" s="98"/>
      <c r="AA109" s="98"/>
      <c r="AB109" s="41" t="s">
        <v>1118</v>
      </c>
      <c r="AC109" s="41"/>
      <c r="AD109" s="42"/>
      <c r="AE109" s="42"/>
      <c r="AF109" s="42"/>
      <c r="AG109" s="42" t="s">
        <v>734</v>
      </c>
      <c r="AH109" s="42" t="s">
        <v>734</v>
      </c>
      <c r="AI109" s="42" t="s">
        <v>734</v>
      </c>
      <c r="AJ109" s="42" t="s">
        <v>734</v>
      </c>
      <c r="AK109" s="42" t="s">
        <v>734</v>
      </c>
      <c r="AL109" s="42" t="s">
        <v>734</v>
      </c>
      <c r="AM109" s="42" t="s">
        <v>734</v>
      </c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68">
        <v>27</v>
      </c>
      <c r="BA109" s="68"/>
      <c r="BB109" s="68"/>
      <c r="BD109" s="67">
        <f t="shared" si="23"/>
        <v>5616</v>
      </c>
      <c r="BE109" s="67"/>
      <c r="BF109" s="37"/>
      <c r="BG109" s="73">
        <v>1</v>
      </c>
      <c r="BH109" s="67">
        <f>IF(AND((AX109/I109)&lt;2,BG109=1),(I109*2)-AX109,0)</f>
        <v>3</v>
      </c>
      <c r="BI109" s="67">
        <f>IF(AND((AX109/I109)&lt;3,BG109=2),(I109*3)-AX109,0)</f>
        <v>0</v>
      </c>
      <c r="BJ109" s="67">
        <f>(BH109+BI109)*K109</f>
        <v>624</v>
      </c>
      <c r="BN109" s="37"/>
      <c r="BO109" s="70">
        <f t="shared" si="21"/>
        <v>0</v>
      </c>
      <c r="BP109" s="37">
        <v>17</v>
      </c>
      <c r="BQ109" s="37">
        <v>25</v>
      </c>
      <c r="BR109" s="37">
        <v>25</v>
      </c>
      <c r="BS109" s="37">
        <v>18</v>
      </c>
      <c r="BT109" s="87">
        <f t="shared" si="22"/>
        <v>30</v>
      </c>
      <c r="BU109" s="87"/>
      <c r="BV109" s="87"/>
      <c r="BW109" s="87"/>
      <c r="BX109" s="87"/>
      <c r="BY109" s="87"/>
      <c r="BZ109" s="87"/>
      <c r="CA109" s="87"/>
      <c r="CB109" s="87"/>
      <c r="CC109" s="87"/>
      <c r="CD109" s="87"/>
      <c r="CF109" s="67">
        <f t="shared" si="24"/>
        <v>510</v>
      </c>
      <c r="CG109" s="67">
        <f t="shared" si="25"/>
        <v>750</v>
      </c>
      <c r="CH109" s="67">
        <f t="shared" si="26"/>
        <v>750</v>
      </c>
      <c r="CI109" s="67">
        <f t="shared" si="31"/>
        <v>540</v>
      </c>
      <c r="CJ109" s="37">
        <f t="shared" si="27"/>
        <v>255</v>
      </c>
      <c r="CK109" s="37">
        <f t="shared" si="28"/>
        <v>375</v>
      </c>
      <c r="CL109" s="37">
        <f t="shared" si="29"/>
        <v>375</v>
      </c>
      <c r="CM109" s="37">
        <f t="shared" si="30"/>
        <v>270</v>
      </c>
    </row>
    <row r="110" spans="1:91" ht="38.25">
      <c r="B110" s="156">
        <v>106</v>
      </c>
      <c r="C110" s="160">
        <v>101</v>
      </c>
      <c r="D110" s="160">
        <v>662</v>
      </c>
      <c r="E110" s="161">
        <v>0.59027777777777779</v>
      </c>
      <c r="F110" s="161">
        <v>0.60069444444444442</v>
      </c>
      <c r="G110" s="160" t="s">
        <v>291</v>
      </c>
      <c r="H110" s="160" t="s">
        <v>97</v>
      </c>
      <c r="I110" s="163">
        <v>15</v>
      </c>
      <c r="J110" s="164" t="s">
        <v>116</v>
      </c>
      <c r="K110" s="165">
        <v>208</v>
      </c>
      <c r="L110" s="166">
        <f t="shared" si="20"/>
        <v>3120</v>
      </c>
      <c r="M110" s="177" t="s">
        <v>722</v>
      </c>
      <c r="N110" s="154" t="s">
        <v>890</v>
      </c>
      <c r="O110" s="154">
        <v>9</v>
      </c>
      <c r="P110" s="154" t="s">
        <v>1972</v>
      </c>
      <c r="Q110" s="154">
        <v>17</v>
      </c>
      <c r="S110" s="154"/>
      <c r="T110" s="45" t="s">
        <v>1387</v>
      </c>
      <c r="U110" s="45" t="s">
        <v>1388</v>
      </c>
      <c r="V110" s="45">
        <v>1070</v>
      </c>
      <c r="W110" s="45" t="s">
        <v>1337</v>
      </c>
      <c r="X110" s="98">
        <v>44816</v>
      </c>
      <c r="Y110" s="98">
        <v>45086</v>
      </c>
      <c r="Z110" s="98"/>
      <c r="AA110" s="98"/>
      <c r="AB110" s="41" t="s">
        <v>1118</v>
      </c>
      <c r="AC110" s="41"/>
      <c r="AD110" s="42"/>
      <c r="AE110" s="42"/>
      <c r="AF110" s="42"/>
      <c r="AG110" s="42" t="s">
        <v>734</v>
      </c>
      <c r="AH110" s="42" t="s">
        <v>734</v>
      </c>
      <c r="AI110" s="42" t="s">
        <v>734</v>
      </c>
      <c r="AJ110" s="42" t="s">
        <v>734</v>
      </c>
      <c r="AK110" s="42" t="s">
        <v>734</v>
      </c>
      <c r="AL110" s="42" t="s">
        <v>734</v>
      </c>
      <c r="AM110" s="42" t="s">
        <v>734</v>
      </c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68">
        <v>27</v>
      </c>
      <c r="BA110" s="68"/>
      <c r="BB110" s="68"/>
      <c r="BD110" s="67">
        <f t="shared" si="23"/>
        <v>5616</v>
      </c>
      <c r="BE110" s="67"/>
      <c r="BF110" s="37"/>
      <c r="BG110" s="73">
        <v>1</v>
      </c>
      <c r="BH110" s="67">
        <f>IF(AND((AX110/I110)&lt;2,BG110=1),(I110*2)-AX110,0)</f>
        <v>3</v>
      </c>
      <c r="BI110" s="67">
        <f>IF(AND((AX110/I110)&lt;3,BG110=2),(I110*3)-AX110,0)</f>
        <v>0</v>
      </c>
      <c r="BJ110" s="67">
        <f>(BH110+BI110)*K110</f>
        <v>624</v>
      </c>
      <c r="BN110" s="37"/>
      <c r="BO110" s="70">
        <f t="shared" si="21"/>
        <v>0</v>
      </c>
      <c r="BP110" s="37">
        <v>17</v>
      </c>
      <c r="BQ110" s="37">
        <v>25</v>
      </c>
      <c r="BR110" s="37">
        <v>25</v>
      </c>
      <c r="BS110" s="37">
        <v>18</v>
      </c>
      <c r="BT110" s="87">
        <f t="shared" si="22"/>
        <v>30</v>
      </c>
      <c r="BU110" s="87"/>
      <c r="BV110" s="87"/>
      <c r="BW110" s="87"/>
      <c r="BX110" s="87"/>
      <c r="BY110" s="87"/>
      <c r="BZ110" s="87"/>
      <c r="CA110" s="87"/>
      <c r="CB110" s="87"/>
      <c r="CC110" s="87"/>
      <c r="CD110" s="87"/>
      <c r="CF110" s="67">
        <f t="shared" si="24"/>
        <v>510</v>
      </c>
      <c r="CG110" s="67">
        <f t="shared" si="25"/>
        <v>750</v>
      </c>
      <c r="CH110" s="67">
        <f t="shared" si="26"/>
        <v>750</v>
      </c>
      <c r="CI110" s="67">
        <f t="shared" si="31"/>
        <v>540</v>
      </c>
      <c r="CJ110" s="37">
        <f t="shared" si="27"/>
        <v>255</v>
      </c>
      <c r="CK110" s="37">
        <f t="shared" si="28"/>
        <v>375</v>
      </c>
      <c r="CL110" s="37">
        <f t="shared" si="29"/>
        <v>375</v>
      </c>
      <c r="CM110" s="37">
        <f t="shared" si="30"/>
        <v>270</v>
      </c>
    </row>
    <row r="111" spans="1:91" ht="25.5">
      <c r="B111" s="156">
        <v>107</v>
      </c>
      <c r="C111" s="160">
        <v>102</v>
      </c>
      <c r="D111" s="162">
        <v>664</v>
      </c>
      <c r="E111" s="161">
        <v>0.25694444444444448</v>
      </c>
      <c r="F111" s="161">
        <v>0.2638888888888889</v>
      </c>
      <c r="G111" s="160" t="s">
        <v>326</v>
      </c>
      <c r="H111" s="160" t="s">
        <v>97</v>
      </c>
      <c r="I111" s="163">
        <v>5.3</v>
      </c>
      <c r="J111" s="164" t="s">
        <v>116</v>
      </c>
      <c r="K111" s="165">
        <v>208</v>
      </c>
      <c r="L111" s="166">
        <f t="shared" si="20"/>
        <v>1102.3999999999999</v>
      </c>
      <c r="M111" s="177" t="s">
        <v>723</v>
      </c>
      <c r="N111" s="154" t="s">
        <v>867</v>
      </c>
      <c r="O111" s="154">
        <v>17</v>
      </c>
      <c r="P111" s="154" t="s">
        <v>1909</v>
      </c>
      <c r="Q111" s="154">
        <v>9</v>
      </c>
      <c r="S111" s="154"/>
      <c r="T111" s="45" t="s">
        <v>1389</v>
      </c>
      <c r="U111" s="45" t="s">
        <v>1390</v>
      </c>
      <c r="V111" s="45" t="s">
        <v>1391</v>
      </c>
      <c r="W111" s="45" t="s">
        <v>1392</v>
      </c>
      <c r="X111" s="98">
        <v>44816</v>
      </c>
      <c r="Y111" s="98">
        <v>45086</v>
      </c>
      <c r="Z111" s="98"/>
      <c r="AA111" s="98"/>
      <c r="AB111" s="41" t="s">
        <v>1118</v>
      </c>
      <c r="AC111" s="41"/>
      <c r="AD111" s="42"/>
      <c r="AE111" s="42"/>
      <c r="AF111" s="42"/>
      <c r="AG111" s="42" t="s">
        <v>734</v>
      </c>
      <c r="AH111" s="42" t="s">
        <v>734</v>
      </c>
      <c r="AI111" s="42" t="s">
        <v>734</v>
      </c>
      <c r="AJ111" s="42" t="s">
        <v>734</v>
      </c>
      <c r="AK111" s="42" t="s">
        <v>734</v>
      </c>
      <c r="AL111" s="42" t="s">
        <v>734</v>
      </c>
      <c r="AM111" s="42" t="s">
        <v>734</v>
      </c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68">
        <v>20.27</v>
      </c>
      <c r="BA111" s="68"/>
      <c r="BB111" s="68"/>
      <c r="BD111" s="67">
        <f t="shared" si="23"/>
        <v>4216.16</v>
      </c>
      <c r="BE111" s="67"/>
      <c r="BF111" s="37"/>
      <c r="BG111" s="73">
        <v>1</v>
      </c>
      <c r="BH111" s="67">
        <f>IF(AND((AX111/I111)&lt;2,BG111=1),(I111*2)-AX111,0)</f>
        <v>0</v>
      </c>
      <c r="BI111" s="67">
        <f>IF(AND((AX111/I111)&lt;3,BG111=2),(I111*3)-AX111,0)</f>
        <v>0</v>
      </c>
      <c r="BJ111" s="70">
        <f>(BH111+BI111)*K111</f>
        <v>0</v>
      </c>
      <c r="BN111" s="67">
        <f>IF((AX111+AY111+AZ111)&lt;20,(20-(AX111+AY111+AZ111)),0)</f>
        <v>0</v>
      </c>
      <c r="BO111" s="70">
        <f t="shared" si="21"/>
        <v>0</v>
      </c>
      <c r="BP111" s="37">
        <v>17</v>
      </c>
      <c r="BQ111" s="37">
        <v>25</v>
      </c>
      <c r="BR111" s="37">
        <v>25</v>
      </c>
      <c r="BS111" s="37">
        <v>18</v>
      </c>
      <c r="BT111" s="87">
        <f t="shared" si="22"/>
        <v>20.27</v>
      </c>
      <c r="BU111" s="87"/>
      <c r="BV111" s="87"/>
      <c r="BW111" s="87"/>
      <c r="BX111" s="87"/>
      <c r="BY111" s="87"/>
      <c r="BZ111" s="87"/>
      <c r="CA111" s="87"/>
      <c r="CB111" s="87"/>
      <c r="CC111" s="87"/>
      <c r="CD111" s="87"/>
      <c r="CF111" s="67">
        <f t="shared" si="24"/>
        <v>344.59</v>
      </c>
      <c r="CG111" s="67">
        <f t="shared" si="25"/>
        <v>506.75</v>
      </c>
      <c r="CH111" s="67">
        <f t="shared" si="26"/>
        <v>506.75</v>
      </c>
      <c r="CI111" s="67">
        <f t="shared" si="31"/>
        <v>364.86</v>
      </c>
      <c r="CJ111" s="37">
        <f t="shared" si="27"/>
        <v>90.1</v>
      </c>
      <c r="CK111" s="37">
        <f t="shared" si="28"/>
        <v>132.5</v>
      </c>
      <c r="CL111" s="37">
        <f t="shared" si="29"/>
        <v>132.5</v>
      </c>
      <c r="CM111" s="37">
        <f t="shared" si="30"/>
        <v>95.399999999999991</v>
      </c>
    </row>
    <row r="112" spans="1:91" ht="33.75">
      <c r="A112" s="183"/>
      <c r="B112" s="156">
        <v>108</v>
      </c>
      <c r="C112" s="160">
        <v>102</v>
      </c>
      <c r="D112" s="190">
        <v>131</v>
      </c>
      <c r="E112" s="173">
        <v>0.2638888888888889</v>
      </c>
      <c r="F112" s="173">
        <v>0.27083333333333331</v>
      </c>
      <c r="G112" s="160" t="s">
        <v>435</v>
      </c>
      <c r="H112" s="160" t="s">
        <v>97</v>
      </c>
      <c r="I112" s="163">
        <v>5</v>
      </c>
      <c r="J112" s="164" t="s">
        <v>116</v>
      </c>
      <c r="K112" s="165">
        <v>208</v>
      </c>
      <c r="L112" s="166">
        <f t="shared" si="20"/>
        <v>1040</v>
      </c>
      <c r="M112" s="177" t="s">
        <v>724</v>
      </c>
      <c r="N112" s="150" t="s">
        <v>901</v>
      </c>
      <c r="O112" s="150">
        <v>9</v>
      </c>
      <c r="P112" s="150" t="s">
        <v>904</v>
      </c>
      <c r="Q112" s="150">
        <v>9</v>
      </c>
      <c r="S112" s="150"/>
      <c r="T112" s="45" t="s">
        <v>1393</v>
      </c>
      <c r="U112" s="45" t="s">
        <v>1394</v>
      </c>
      <c r="V112" s="45" t="s">
        <v>1395</v>
      </c>
      <c r="W112" s="45" t="s">
        <v>1396</v>
      </c>
      <c r="X112" s="98">
        <v>44816</v>
      </c>
      <c r="Y112" s="98">
        <v>45086</v>
      </c>
      <c r="Z112" s="98"/>
      <c r="AA112" s="98"/>
      <c r="AB112" s="41" t="s">
        <v>1118</v>
      </c>
      <c r="AC112" s="41"/>
      <c r="AD112" s="42"/>
      <c r="AE112" s="42"/>
      <c r="AF112" s="42"/>
      <c r="AG112" s="42" t="s">
        <v>734</v>
      </c>
      <c r="AH112" s="42" t="s">
        <v>734</v>
      </c>
      <c r="AI112" s="42" t="s">
        <v>734</v>
      </c>
      <c r="AJ112" s="42" t="s">
        <v>734</v>
      </c>
      <c r="AK112" s="42" t="s">
        <v>734</v>
      </c>
      <c r="AL112" s="42" t="s">
        <v>734</v>
      </c>
      <c r="AM112" s="42" t="s">
        <v>734</v>
      </c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68">
        <v>12</v>
      </c>
      <c r="AY112" s="37"/>
      <c r="BA112" s="68"/>
      <c r="BB112" s="68"/>
      <c r="BD112" s="67">
        <f t="shared" si="23"/>
        <v>2496</v>
      </c>
      <c r="BE112" s="67"/>
      <c r="BF112" s="37"/>
      <c r="BG112" s="73">
        <v>1</v>
      </c>
      <c r="BH112" s="67">
        <f>IF(AND((AX112/I112)&lt;2,BG112=1),(I112*2)-AX112,0)</f>
        <v>0</v>
      </c>
      <c r="BI112" s="67">
        <f>IF(AND((AX112/I112)&lt;3,BG112=2),(I112*3)-AX112,0)</f>
        <v>0</v>
      </c>
      <c r="BJ112" s="70">
        <f>(BH112+BI112)*K112</f>
        <v>0</v>
      </c>
      <c r="BN112" s="67">
        <f>IF((AX112+AY112+AZ112)&lt;20,(20-(AX112+AY112+AZ112)),0)</f>
        <v>8</v>
      </c>
      <c r="BO112" s="70">
        <f t="shared" si="21"/>
        <v>1664</v>
      </c>
      <c r="BP112" s="37">
        <v>17</v>
      </c>
      <c r="BQ112" s="37">
        <v>25</v>
      </c>
      <c r="BR112" s="37">
        <v>25</v>
      </c>
      <c r="BS112" s="37">
        <v>18</v>
      </c>
      <c r="BT112" s="87">
        <f t="shared" si="22"/>
        <v>20</v>
      </c>
      <c r="BU112" s="87"/>
      <c r="BV112" s="87"/>
      <c r="BW112" s="87"/>
      <c r="BX112" s="87"/>
      <c r="BY112" s="87"/>
      <c r="BZ112" s="87"/>
      <c r="CA112" s="87"/>
      <c r="CB112" s="87"/>
      <c r="CC112" s="87"/>
      <c r="CD112" s="87"/>
      <c r="CF112" s="67">
        <f t="shared" si="24"/>
        <v>340</v>
      </c>
      <c r="CG112" s="67">
        <f t="shared" si="25"/>
        <v>500</v>
      </c>
      <c r="CH112" s="67">
        <f t="shared" si="26"/>
        <v>500</v>
      </c>
      <c r="CI112" s="67">
        <f t="shared" si="31"/>
        <v>360</v>
      </c>
      <c r="CJ112" s="37">
        <f t="shared" si="27"/>
        <v>85</v>
      </c>
      <c r="CK112" s="37">
        <f t="shared" si="28"/>
        <v>125</v>
      </c>
      <c r="CL112" s="37">
        <f t="shared" si="29"/>
        <v>125</v>
      </c>
      <c r="CM112" s="37">
        <f t="shared" si="30"/>
        <v>90</v>
      </c>
    </row>
    <row r="113" spans="1:91" ht="33.75">
      <c r="B113" s="156">
        <v>109</v>
      </c>
      <c r="C113" s="174">
        <v>102</v>
      </c>
      <c r="D113" s="164">
        <v>639</v>
      </c>
      <c r="E113" s="173">
        <v>0.27083333333333331</v>
      </c>
      <c r="F113" s="173">
        <v>0.29375000000000001</v>
      </c>
      <c r="G113" s="160" t="s">
        <v>266</v>
      </c>
      <c r="H113" s="160" t="s">
        <v>103</v>
      </c>
      <c r="I113" s="163">
        <v>22</v>
      </c>
      <c r="J113" s="164" t="s">
        <v>254</v>
      </c>
      <c r="K113" s="165">
        <v>174</v>
      </c>
      <c r="L113" s="166">
        <f t="shared" si="20"/>
        <v>3828</v>
      </c>
      <c r="M113" s="177" t="s">
        <v>724</v>
      </c>
      <c r="N113" s="150" t="s">
        <v>985</v>
      </c>
      <c r="O113" s="184">
        <v>46</v>
      </c>
      <c r="P113" s="150" t="s">
        <v>1970</v>
      </c>
      <c r="Q113" s="184">
        <v>45</v>
      </c>
      <c r="S113" s="184"/>
      <c r="T113" s="45" t="s">
        <v>1395</v>
      </c>
      <c r="U113" s="45" t="s">
        <v>1397</v>
      </c>
      <c r="V113" s="45">
        <v>1084</v>
      </c>
      <c r="W113" s="45" t="s">
        <v>1398</v>
      </c>
      <c r="X113" s="98">
        <v>44816</v>
      </c>
      <c r="Y113" s="98">
        <v>45086</v>
      </c>
      <c r="Z113" s="98"/>
      <c r="AA113" s="98"/>
      <c r="AB113" s="41" t="s">
        <v>1114</v>
      </c>
      <c r="AC113" s="41"/>
      <c r="AD113" s="42"/>
      <c r="AE113" s="42"/>
      <c r="AF113" s="42"/>
      <c r="AG113" s="42" t="s">
        <v>734</v>
      </c>
      <c r="AH113" s="42" t="s">
        <v>734</v>
      </c>
      <c r="AI113" s="42" t="s">
        <v>734</v>
      </c>
      <c r="AJ113" s="42" t="s">
        <v>734</v>
      </c>
      <c r="AK113" s="42" t="s">
        <v>734</v>
      </c>
      <c r="AL113" s="42" t="s">
        <v>734</v>
      </c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71">
        <v>40.21</v>
      </c>
      <c r="AY113" s="37"/>
      <c r="BA113" s="68"/>
      <c r="BB113" s="68"/>
      <c r="BD113" s="67">
        <f t="shared" si="23"/>
        <v>6996.54</v>
      </c>
      <c r="BE113" s="67"/>
      <c r="BF113" s="37"/>
      <c r="BG113" s="69">
        <v>2</v>
      </c>
      <c r="BH113" s="71"/>
      <c r="BI113" s="71"/>
      <c r="BJ113" s="72"/>
      <c r="BN113" s="67">
        <f>IF((AX113+AY113+AZ113)&lt;20,(20-(AX113+AY113+AZ113)),0)</f>
        <v>0</v>
      </c>
      <c r="BO113" s="70">
        <f t="shared" si="21"/>
        <v>0</v>
      </c>
      <c r="BP113" s="37">
        <v>15</v>
      </c>
      <c r="BQ113" s="37">
        <v>20</v>
      </c>
      <c r="BR113" s="37">
        <v>21</v>
      </c>
      <c r="BS113" s="37">
        <v>15</v>
      </c>
      <c r="BT113" s="87">
        <f t="shared" si="22"/>
        <v>40.21</v>
      </c>
      <c r="BU113" s="87"/>
      <c r="BV113" s="87"/>
      <c r="BW113" s="87"/>
      <c r="BX113" s="87"/>
      <c r="BY113" s="87"/>
      <c r="BZ113" s="87"/>
      <c r="CA113" s="87"/>
      <c r="CB113" s="87"/>
      <c r="CC113" s="87"/>
      <c r="CD113" s="87"/>
      <c r="CF113" s="67">
        <f t="shared" si="24"/>
        <v>603.15</v>
      </c>
      <c r="CG113" s="67">
        <f t="shared" si="25"/>
        <v>804.2</v>
      </c>
      <c r="CH113" s="67">
        <f t="shared" si="26"/>
        <v>844.41</v>
      </c>
      <c r="CI113" s="67">
        <f t="shared" si="31"/>
        <v>603.15</v>
      </c>
      <c r="CJ113" s="37">
        <f t="shared" si="27"/>
        <v>330</v>
      </c>
      <c r="CK113" s="37">
        <f t="shared" si="28"/>
        <v>440</v>
      </c>
      <c r="CL113" s="37">
        <f t="shared" si="29"/>
        <v>462</v>
      </c>
      <c r="CM113" s="37">
        <f t="shared" si="30"/>
        <v>330</v>
      </c>
    </row>
    <row r="114" spans="1:91" ht="33.75">
      <c r="B114" s="156">
        <v>110</v>
      </c>
      <c r="C114" s="160">
        <v>102</v>
      </c>
      <c r="D114" s="164">
        <v>131</v>
      </c>
      <c r="E114" s="161">
        <v>0.27986111111111112</v>
      </c>
      <c r="F114" s="161">
        <v>0.30624999999999997</v>
      </c>
      <c r="G114" s="160" t="s">
        <v>265</v>
      </c>
      <c r="H114" s="160" t="s">
        <v>103</v>
      </c>
      <c r="I114" s="163">
        <v>24</v>
      </c>
      <c r="J114" s="164" t="s">
        <v>264</v>
      </c>
      <c r="K114" s="165">
        <v>174</v>
      </c>
      <c r="L114" s="166">
        <f t="shared" si="20"/>
        <v>4176</v>
      </c>
      <c r="M114" s="177" t="s">
        <v>724</v>
      </c>
      <c r="N114" s="150" t="s">
        <v>902</v>
      </c>
      <c r="O114" s="150">
        <v>47</v>
      </c>
      <c r="P114" s="150" t="s">
        <v>1243</v>
      </c>
      <c r="Q114" s="150">
        <v>45</v>
      </c>
      <c r="S114" s="150"/>
      <c r="T114" s="45" t="s">
        <v>1395</v>
      </c>
      <c r="U114" s="45" t="s">
        <v>1397</v>
      </c>
      <c r="V114" s="45">
        <v>1</v>
      </c>
      <c r="W114" s="45" t="s">
        <v>1339</v>
      </c>
      <c r="X114" s="98">
        <v>44816</v>
      </c>
      <c r="Y114" s="98">
        <v>45086</v>
      </c>
      <c r="Z114" s="98"/>
      <c r="AA114" s="98"/>
      <c r="AB114" s="41" t="s">
        <v>1114</v>
      </c>
      <c r="AC114" s="41"/>
      <c r="AD114" s="42"/>
      <c r="AE114" s="42"/>
      <c r="AF114" s="42"/>
      <c r="AG114" s="42" t="s">
        <v>734</v>
      </c>
      <c r="AH114" s="42" t="s">
        <v>734</v>
      </c>
      <c r="AI114" s="42" t="s">
        <v>734</v>
      </c>
      <c r="AJ114" s="42" t="s">
        <v>734</v>
      </c>
      <c r="AK114" s="42" t="s">
        <v>734</v>
      </c>
      <c r="AL114" s="42" t="s">
        <v>734</v>
      </c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68">
        <v>161.41999999999999</v>
      </c>
      <c r="AY114" s="37"/>
      <c r="BA114" s="68"/>
      <c r="BB114" s="68"/>
      <c r="BD114" s="67">
        <f t="shared" si="23"/>
        <v>28087.079999999998</v>
      </c>
      <c r="BE114" s="67"/>
      <c r="BF114" s="37"/>
      <c r="BG114" s="69">
        <v>2</v>
      </c>
      <c r="BH114" s="67">
        <f>IF(AND((AX114/I114)&lt;2,BG114=1),(I114*2)-AX114,0)</f>
        <v>0</v>
      </c>
      <c r="BI114" s="67">
        <f>IF(AND((AX114/I114)&lt;3,BG114=2),(I114*3)-AX114,0)</f>
        <v>0</v>
      </c>
      <c r="BJ114" s="70">
        <f>(BH114+BI114)*K114</f>
        <v>0</v>
      </c>
      <c r="BN114" s="67">
        <f>IF((AX114+AY114+AZ114)&lt;20,(20-(AX114+AY114+AZ114)),0)</f>
        <v>0</v>
      </c>
      <c r="BO114" s="70">
        <f t="shared" si="21"/>
        <v>0</v>
      </c>
      <c r="BP114" s="37">
        <v>15</v>
      </c>
      <c r="BQ114" s="37">
        <v>20</v>
      </c>
      <c r="BR114" s="37">
        <v>21</v>
      </c>
      <c r="BS114" s="37">
        <v>15</v>
      </c>
      <c r="BT114" s="87">
        <f t="shared" si="22"/>
        <v>161.41999999999999</v>
      </c>
      <c r="BU114" s="87"/>
      <c r="BV114" s="87"/>
      <c r="BW114" s="87"/>
      <c r="BX114" s="87"/>
      <c r="BY114" s="87"/>
      <c r="BZ114" s="87"/>
      <c r="CA114" s="87"/>
      <c r="CB114" s="87"/>
      <c r="CC114" s="87"/>
      <c r="CD114" s="87"/>
      <c r="CF114" s="67">
        <f t="shared" si="24"/>
        <v>2421.2999999999997</v>
      </c>
      <c r="CG114" s="67">
        <f t="shared" si="25"/>
        <v>3228.3999999999996</v>
      </c>
      <c r="CH114" s="67">
        <f t="shared" si="26"/>
        <v>3389.8199999999997</v>
      </c>
      <c r="CI114" s="67">
        <f t="shared" si="31"/>
        <v>2421.2999999999997</v>
      </c>
      <c r="CJ114" s="37">
        <f t="shared" si="27"/>
        <v>360</v>
      </c>
      <c r="CK114" s="37">
        <f t="shared" si="28"/>
        <v>480</v>
      </c>
      <c r="CL114" s="37">
        <f t="shared" si="29"/>
        <v>504</v>
      </c>
      <c r="CM114" s="37">
        <f t="shared" si="30"/>
        <v>360</v>
      </c>
    </row>
    <row r="115" spans="1:91" s="298" customFormat="1" ht="25.5">
      <c r="A115" s="282" t="s">
        <v>2097</v>
      </c>
      <c r="B115" s="283">
        <v>111</v>
      </c>
      <c r="C115" s="284">
        <v>102</v>
      </c>
      <c r="D115" s="284">
        <v>131</v>
      </c>
      <c r="E115" s="286">
        <v>0.28541666666666665</v>
      </c>
      <c r="F115" s="286">
        <v>0.3125</v>
      </c>
      <c r="G115" s="284" t="s">
        <v>2030</v>
      </c>
      <c r="H115" s="284" t="s">
        <v>103</v>
      </c>
      <c r="I115" s="287">
        <v>21</v>
      </c>
      <c r="J115" s="288">
        <v>55</v>
      </c>
      <c r="K115" s="289">
        <v>174</v>
      </c>
      <c r="L115" s="290">
        <f t="shared" si="20"/>
        <v>3654</v>
      </c>
      <c r="M115" s="291" t="s">
        <v>2043</v>
      </c>
      <c r="N115" s="312" t="s">
        <v>907</v>
      </c>
      <c r="O115" s="313">
        <v>57</v>
      </c>
      <c r="P115" s="312" t="s">
        <v>2028</v>
      </c>
      <c r="Q115" s="312">
        <v>57</v>
      </c>
      <c r="R115" s="282"/>
      <c r="S115" s="292"/>
      <c r="T115" s="294">
        <v>6136</v>
      </c>
      <c r="U115" s="294" t="s">
        <v>2032</v>
      </c>
      <c r="V115" s="294">
        <v>6120</v>
      </c>
      <c r="W115" s="294" t="s">
        <v>1341</v>
      </c>
      <c r="X115" s="295">
        <v>44816</v>
      </c>
      <c r="Y115" s="295">
        <v>44865</v>
      </c>
      <c r="Z115" s="295"/>
      <c r="AA115" s="295"/>
      <c r="AB115" s="294" t="s">
        <v>1114</v>
      </c>
      <c r="AC115" s="294"/>
      <c r="AD115" s="296"/>
      <c r="AE115" s="296"/>
      <c r="AF115" s="296"/>
      <c r="AG115" s="296" t="s">
        <v>734</v>
      </c>
      <c r="AH115" s="296" t="s">
        <v>734</v>
      </c>
      <c r="AI115" s="296" t="s">
        <v>734</v>
      </c>
      <c r="AJ115" s="296" t="s">
        <v>734</v>
      </c>
      <c r="AK115" s="296" t="s">
        <v>734</v>
      </c>
      <c r="AL115" s="296" t="s">
        <v>734</v>
      </c>
      <c r="AM115" s="296"/>
      <c r="AN115" s="296"/>
      <c r="AO115" s="296"/>
      <c r="AP115" s="296"/>
      <c r="AQ115" s="296"/>
      <c r="AR115" s="296"/>
      <c r="AS115" s="296"/>
      <c r="AT115" s="296"/>
      <c r="AU115" s="296"/>
      <c r="AV115" s="296"/>
      <c r="AW115" s="296"/>
      <c r="AX115" s="297">
        <v>153.79</v>
      </c>
      <c r="BA115" s="297"/>
      <c r="BB115" s="297"/>
      <c r="BD115" s="297">
        <f t="shared" si="23"/>
        <v>26759.46</v>
      </c>
      <c r="BE115" s="297"/>
      <c r="BG115" s="298">
        <v>2</v>
      </c>
      <c r="BH115" s="297">
        <f>IF(AND((AX115/I115)&lt;2,BG115=1),(I115*2)-AX115,0)</f>
        <v>0</v>
      </c>
      <c r="BI115" s="297">
        <f>IF(AND((AX115/I115)&lt;3,BG115=2),(I115*3)-AX115,0)</f>
        <v>0</v>
      </c>
      <c r="BJ115" s="299">
        <f>(BH115+BI115)*K115</f>
        <v>0</v>
      </c>
      <c r="BN115" s="297">
        <f>IF((AX115+AY115+AZ115)&lt;20,(20-(AX115+AY115+AZ115)),0)</f>
        <v>0</v>
      </c>
      <c r="BO115" s="299">
        <f t="shared" si="21"/>
        <v>0</v>
      </c>
      <c r="BP115" s="298">
        <v>15</v>
      </c>
      <c r="BQ115" s="298">
        <v>20</v>
      </c>
      <c r="BT115" s="300">
        <f t="shared" si="22"/>
        <v>153.79</v>
      </c>
      <c r="BU115" s="300"/>
      <c r="BV115" s="300"/>
      <c r="BW115" s="300"/>
      <c r="BX115" s="300"/>
      <c r="BY115" s="300"/>
      <c r="BZ115" s="300"/>
      <c r="CA115" s="300"/>
      <c r="CB115" s="300"/>
      <c r="CC115" s="300"/>
      <c r="CD115" s="300"/>
      <c r="CF115" s="297">
        <f t="shared" si="24"/>
        <v>2306.85</v>
      </c>
      <c r="CG115" s="297">
        <f t="shared" si="25"/>
        <v>3075.7999999999997</v>
      </c>
      <c r="CH115" s="297">
        <f t="shared" si="26"/>
        <v>0</v>
      </c>
      <c r="CI115" s="297">
        <f t="shared" si="31"/>
        <v>0</v>
      </c>
      <c r="CJ115" s="298">
        <f t="shared" si="27"/>
        <v>315</v>
      </c>
      <c r="CK115" s="298">
        <f t="shared" si="28"/>
        <v>420</v>
      </c>
      <c r="CL115" s="298">
        <f t="shared" si="29"/>
        <v>0</v>
      </c>
      <c r="CM115" s="298">
        <f t="shared" si="30"/>
        <v>0</v>
      </c>
    </row>
    <row r="116" spans="1:91" ht="33.75">
      <c r="B116" s="156">
        <v>112</v>
      </c>
      <c r="C116" s="174">
        <v>102</v>
      </c>
      <c r="D116" s="164">
        <v>640</v>
      </c>
      <c r="E116" s="161">
        <v>0.3125</v>
      </c>
      <c r="F116" s="161">
        <v>0.34375</v>
      </c>
      <c r="G116" s="160" t="s">
        <v>258</v>
      </c>
      <c r="H116" s="160" t="s">
        <v>97</v>
      </c>
      <c r="I116" s="163">
        <v>26</v>
      </c>
      <c r="J116" s="164" t="s">
        <v>254</v>
      </c>
      <c r="K116" s="165">
        <v>208</v>
      </c>
      <c r="L116" s="166">
        <f t="shared" si="20"/>
        <v>5408</v>
      </c>
      <c r="M116" s="177" t="s">
        <v>724</v>
      </c>
      <c r="N116" s="150" t="s">
        <v>985</v>
      </c>
      <c r="O116" s="184">
        <v>46</v>
      </c>
      <c r="P116" s="150" t="s">
        <v>1970</v>
      </c>
      <c r="Q116" s="184">
        <v>45</v>
      </c>
      <c r="S116" s="184"/>
      <c r="T116" s="45">
        <v>1080</v>
      </c>
      <c r="U116" s="45" t="s">
        <v>1399</v>
      </c>
      <c r="V116" s="45">
        <v>954</v>
      </c>
      <c r="W116" s="45" t="s">
        <v>1400</v>
      </c>
      <c r="X116" s="98">
        <v>44816</v>
      </c>
      <c r="Y116" s="98">
        <v>45086</v>
      </c>
      <c r="Z116" s="98"/>
      <c r="AA116" s="98"/>
      <c r="AB116" s="41" t="s">
        <v>1118</v>
      </c>
      <c r="AC116" s="41"/>
      <c r="AD116" s="42"/>
      <c r="AE116" s="42"/>
      <c r="AF116" s="42"/>
      <c r="AG116" s="42" t="s">
        <v>734</v>
      </c>
      <c r="AH116" s="42" t="s">
        <v>734</v>
      </c>
      <c r="AI116" s="42" t="s">
        <v>734</v>
      </c>
      <c r="AJ116" s="42" t="s">
        <v>734</v>
      </c>
      <c r="AK116" s="42" t="s">
        <v>734</v>
      </c>
      <c r="AL116" s="42" t="s">
        <v>734</v>
      </c>
      <c r="AM116" s="42" t="s">
        <v>734</v>
      </c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71">
        <v>173.7</v>
      </c>
      <c r="AY116" s="37"/>
      <c r="BA116" s="68"/>
      <c r="BB116" s="68"/>
      <c r="BD116" s="67">
        <f t="shared" si="23"/>
        <v>36129.599999999999</v>
      </c>
      <c r="BE116" s="67"/>
      <c r="BF116" s="37"/>
      <c r="BG116" s="69">
        <v>2</v>
      </c>
      <c r="BH116" s="71"/>
      <c r="BI116" s="71"/>
      <c r="BJ116" s="72"/>
      <c r="BN116" s="37"/>
      <c r="BO116" s="70">
        <f t="shared" si="21"/>
        <v>0</v>
      </c>
      <c r="BP116" s="37">
        <v>17</v>
      </c>
      <c r="BQ116" s="37">
        <v>25</v>
      </c>
      <c r="BR116" s="37">
        <v>25</v>
      </c>
      <c r="BS116" s="37">
        <v>18</v>
      </c>
      <c r="BT116" s="87">
        <f t="shared" si="22"/>
        <v>173.7</v>
      </c>
      <c r="BU116" s="87"/>
      <c r="BV116" s="87"/>
      <c r="BW116" s="87"/>
      <c r="BX116" s="87"/>
      <c r="BY116" s="87"/>
      <c r="BZ116" s="87"/>
      <c r="CA116" s="87"/>
      <c r="CB116" s="87"/>
      <c r="CC116" s="87"/>
      <c r="CD116" s="87"/>
      <c r="CF116" s="67">
        <f t="shared" si="24"/>
        <v>2952.8999999999996</v>
      </c>
      <c r="CG116" s="67">
        <f t="shared" si="25"/>
        <v>4342.5</v>
      </c>
      <c r="CH116" s="67">
        <f t="shared" si="26"/>
        <v>4342.5</v>
      </c>
      <c r="CI116" s="67">
        <f t="shared" si="31"/>
        <v>3126.6</v>
      </c>
      <c r="CJ116" s="37">
        <f t="shared" si="27"/>
        <v>442</v>
      </c>
      <c r="CK116" s="37">
        <f t="shared" si="28"/>
        <v>650</v>
      </c>
      <c r="CL116" s="37">
        <f t="shared" si="29"/>
        <v>650</v>
      </c>
      <c r="CM116" s="37">
        <f t="shared" si="30"/>
        <v>468</v>
      </c>
    </row>
    <row r="117" spans="1:91" ht="33.75">
      <c r="B117" s="156">
        <v>113</v>
      </c>
      <c r="C117" s="160">
        <v>102</v>
      </c>
      <c r="D117" s="164">
        <v>137</v>
      </c>
      <c r="E117" s="161">
        <v>0.35833333333333334</v>
      </c>
      <c r="F117" s="161">
        <v>0.40763888888888888</v>
      </c>
      <c r="G117" s="160" t="s">
        <v>263</v>
      </c>
      <c r="H117" s="160" t="s">
        <v>157</v>
      </c>
      <c r="I117" s="163">
        <v>37</v>
      </c>
      <c r="J117" s="164" t="s">
        <v>99</v>
      </c>
      <c r="K117" s="165">
        <v>58</v>
      </c>
      <c r="L117" s="166">
        <f t="shared" si="20"/>
        <v>2146</v>
      </c>
      <c r="M117" s="177" t="s">
        <v>724</v>
      </c>
      <c r="N117" s="150" t="s">
        <v>902</v>
      </c>
      <c r="O117" s="150">
        <v>47</v>
      </c>
      <c r="P117" s="150" t="s">
        <v>903</v>
      </c>
      <c r="Q117" s="150">
        <v>24</v>
      </c>
      <c r="S117" s="150"/>
      <c r="T117" s="45">
        <v>1082</v>
      </c>
      <c r="U117" s="45" t="s">
        <v>1401</v>
      </c>
      <c r="V117" s="45">
        <v>1</v>
      </c>
      <c r="W117" s="45" t="s">
        <v>1339</v>
      </c>
      <c r="X117" s="98">
        <v>44805</v>
      </c>
      <c r="Y117" s="98">
        <v>45169</v>
      </c>
      <c r="Z117" s="98"/>
      <c r="AA117" s="98"/>
      <c r="AB117" s="42" t="s">
        <v>1127</v>
      </c>
      <c r="AC117" s="42"/>
      <c r="AD117" s="42" t="s">
        <v>734</v>
      </c>
      <c r="AE117" s="42" t="s">
        <v>734</v>
      </c>
      <c r="AF117" s="42"/>
      <c r="AG117" s="42"/>
      <c r="AH117" s="42"/>
      <c r="AI117" s="42"/>
      <c r="AJ117" s="42"/>
      <c r="AK117" s="42"/>
      <c r="AL117" s="42"/>
      <c r="AM117" s="42"/>
      <c r="AN117" s="42" t="s">
        <v>734</v>
      </c>
      <c r="AO117" s="42"/>
      <c r="AP117" s="42"/>
      <c r="AQ117" s="42"/>
      <c r="AR117" s="42"/>
      <c r="AS117" s="42"/>
      <c r="AT117" s="42"/>
      <c r="AU117" s="42"/>
      <c r="AV117" s="42"/>
      <c r="AW117" s="42"/>
      <c r="AX117" s="68">
        <f>((132.76*45)+(92.76*13))/58</f>
        <v>123.79448275862069</v>
      </c>
      <c r="AY117" s="37"/>
      <c r="BA117" s="68"/>
      <c r="BB117" s="68"/>
      <c r="BD117" s="67">
        <f t="shared" si="23"/>
        <v>7180.08</v>
      </c>
      <c r="BE117" s="67"/>
      <c r="BF117" s="37"/>
      <c r="BG117" s="73">
        <v>1</v>
      </c>
      <c r="BH117" s="67">
        <f>IF(AND((AX117/I117)&lt;2,BG117=1),(I117*2)-AX117,0)</f>
        <v>0</v>
      </c>
      <c r="BI117" s="67">
        <f>IF(AND((AX117/I117)&lt;3,BG117=2),(I117*3)-AX117,0)</f>
        <v>0</v>
      </c>
      <c r="BJ117" s="70">
        <f>(BH117+BI117)*K117</f>
        <v>0</v>
      </c>
      <c r="BN117" s="37"/>
      <c r="BO117" s="70">
        <f t="shared" si="21"/>
        <v>0</v>
      </c>
      <c r="BP117" s="37">
        <v>4</v>
      </c>
      <c r="BQ117" s="37">
        <v>5</v>
      </c>
      <c r="BR117" s="37">
        <v>5</v>
      </c>
      <c r="BS117" s="37">
        <v>6</v>
      </c>
      <c r="BT117" s="87">
        <f t="shared" si="22"/>
        <v>123.79448275862069</v>
      </c>
      <c r="BU117" s="87"/>
      <c r="BV117" s="87"/>
      <c r="BW117" s="87"/>
      <c r="BX117" s="87"/>
      <c r="BY117" s="87"/>
      <c r="BZ117" s="87"/>
      <c r="CA117" s="87"/>
      <c r="CB117" s="87"/>
      <c r="CC117" s="87"/>
      <c r="CD117" s="87"/>
      <c r="CF117" s="67">
        <f t="shared" si="24"/>
        <v>495.17793103448275</v>
      </c>
      <c r="CG117" s="67">
        <f t="shared" si="25"/>
        <v>618.97241379310344</v>
      </c>
      <c r="CH117" s="67">
        <f t="shared" si="26"/>
        <v>618.97241379310344</v>
      </c>
      <c r="CI117" s="67">
        <f t="shared" si="31"/>
        <v>742.76689655172413</v>
      </c>
      <c r="CJ117" s="37">
        <f t="shared" si="27"/>
        <v>148</v>
      </c>
      <c r="CK117" s="37">
        <f t="shared" si="28"/>
        <v>185</v>
      </c>
      <c r="CL117" s="37">
        <f t="shared" si="29"/>
        <v>185</v>
      </c>
      <c r="CM117" s="37">
        <f t="shared" si="30"/>
        <v>222</v>
      </c>
    </row>
    <row r="118" spans="1:91" ht="25.5">
      <c r="B118" s="156">
        <v>114</v>
      </c>
      <c r="C118" s="169">
        <v>102</v>
      </c>
      <c r="D118" s="169">
        <v>142</v>
      </c>
      <c r="E118" s="170">
        <v>0.51388888888888895</v>
      </c>
      <c r="F118" s="170">
        <v>0.59722222222222221</v>
      </c>
      <c r="G118" s="185" t="s">
        <v>946</v>
      </c>
      <c r="H118" s="160" t="s">
        <v>550</v>
      </c>
      <c r="I118" s="169">
        <v>62</v>
      </c>
      <c r="J118" s="172">
        <v>30</v>
      </c>
      <c r="K118" s="165">
        <v>13</v>
      </c>
      <c r="L118" s="166">
        <f t="shared" si="20"/>
        <v>806</v>
      </c>
      <c r="M118" s="177" t="s">
        <v>726</v>
      </c>
      <c r="N118" s="150" t="s">
        <v>1055</v>
      </c>
      <c r="O118" s="150">
        <v>45</v>
      </c>
      <c r="P118" s="150" t="s">
        <v>943</v>
      </c>
      <c r="Q118" s="150">
        <v>48</v>
      </c>
      <c r="R118" s="268" t="s">
        <v>2061</v>
      </c>
      <c r="S118" s="269">
        <v>45</v>
      </c>
      <c r="T118" s="45">
        <v>1</v>
      </c>
      <c r="U118" s="45" t="s">
        <v>1336</v>
      </c>
      <c r="V118" s="45">
        <v>1070</v>
      </c>
      <c r="W118" s="45" t="s">
        <v>1337</v>
      </c>
      <c r="X118" s="99">
        <v>44562</v>
      </c>
      <c r="Y118" s="99">
        <v>44815</v>
      </c>
      <c r="Z118" s="99">
        <v>45101</v>
      </c>
      <c r="AA118" s="99">
        <v>45169</v>
      </c>
      <c r="AB118" s="36" t="s">
        <v>1116</v>
      </c>
      <c r="AC118" s="36"/>
      <c r="AD118" s="42"/>
      <c r="AE118" s="42" t="s">
        <v>734</v>
      </c>
      <c r="AF118" s="42"/>
      <c r="AG118" s="42"/>
      <c r="AH118" s="42"/>
      <c r="AI118" s="42"/>
      <c r="AJ118" s="42"/>
      <c r="AK118" s="42"/>
      <c r="AL118" s="42"/>
      <c r="AM118" s="42"/>
      <c r="AN118" s="42" t="s">
        <v>734</v>
      </c>
      <c r="AO118" s="42"/>
      <c r="AP118" s="42"/>
      <c r="AQ118" s="42"/>
      <c r="AR118" s="42"/>
      <c r="AS118" s="42"/>
      <c r="AT118" s="42"/>
      <c r="AU118" s="42"/>
      <c r="AV118" s="42"/>
      <c r="AW118" s="42"/>
      <c r="AY118" s="37"/>
      <c r="BA118" s="38" t="s">
        <v>1014</v>
      </c>
      <c r="BB118" s="38"/>
      <c r="BD118" s="67">
        <f t="shared" si="23"/>
        <v>0</v>
      </c>
      <c r="BF118" s="37"/>
      <c r="BG118" s="73">
        <v>1</v>
      </c>
      <c r="BI118" s="67"/>
      <c r="BJ118" s="37"/>
      <c r="BN118" s="37"/>
      <c r="BO118" s="70">
        <f t="shared" si="21"/>
        <v>0</v>
      </c>
      <c r="BP118" s="37">
        <v>2</v>
      </c>
      <c r="BQ118" s="37">
        <v>0</v>
      </c>
      <c r="BR118" s="37">
        <v>0</v>
      </c>
      <c r="BT118" s="87">
        <f t="shared" si="22"/>
        <v>0</v>
      </c>
      <c r="BU118" s="87"/>
      <c r="BV118" s="87"/>
      <c r="BW118" s="87"/>
      <c r="BX118" s="87"/>
      <c r="BY118" s="87"/>
      <c r="BZ118" s="87"/>
      <c r="CA118" s="87"/>
      <c r="CB118" s="87"/>
      <c r="CC118" s="87"/>
      <c r="CD118" s="87"/>
      <c r="CF118" s="67">
        <f t="shared" si="24"/>
        <v>0</v>
      </c>
      <c r="CG118" s="67">
        <f t="shared" si="25"/>
        <v>0</v>
      </c>
      <c r="CH118" s="67">
        <f t="shared" si="26"/>
        <v>0</v>
      </c>
      <c r="CI118" s="67">
        <f t="shared" si="31"/>
        <v>0</v>
      </c>
      <c r="CJ118" s="37">
        <f t="shared" si="27"/>
        <v>124</v>
      </c>
      <c r="CK118" s="37">
        <f t="shared" si="28"/>
        <v>0</v>
      </c>
      <c r="CL118" s="37">
        <f t="shared" si="29"/>
        <v>0</v>
      </c>
      <c r="CM118" s="37">
        <f t="shared" si="30"/>
        <v>0</v>
      </c>
    </row>
    <row r="119" spans="1:91" ht="45">
      <c r="B119" s="156">
        <v>115</v>
      </c>
      <c r="C119" s="160">
        <v>102</v>
      </c>
      <c r="D119" s="160">
        <v>145</v>
      </c>
      <c r="E119" s="161">
        <v>0.59097222222222223</v>
      </c>
      <c r="F119" s="161">
        <v>0.60277777777777775</v>
      </c>
      <c r="G119" s="160" t="s">
        <v>667</v>
      </c>
      <c r="H119" s="160" t="s">
        <v>668</v>
      </c>
      <c r="I119" s="163">
        <v>8</v>
      </c>
      <c r="J119" s="164" t="s">
        <v>167</v>
      </c>
      <c r="K119" s="165">
        <v>70</v>
      </c>
      <c r="L119" s="166">
        <f t="shared" si="20"/>
        <v>560</v>
      </c>
      <c r="M119" s="177" t="s">
        <v>727</v>
      </c>
      <c r="N119" s="154" t="s">
        <v>840</v>
      </c>
      <c r="O119" s="154">
        <v>9</v>
      </c>
      <c r="P119" s="154" t="s">
        <v>1256</v>
      </c>
      <c r="Q119" s="154">
        <v>9</v>
      </c>
      <c r="R119" s="154"/>
      <c r="S119" s="154"/>
      <c r="T119" s="45">
        <v>1084</v>
      </c>
      <c r="U119" s="45" t="s">
        <v>1398</v>
      </c>
      <c r="V119" s="45">
        <v>1082</v>
      </c>
      <c r="W119" s="45" t="s">
        <v>1401</v>
      </c>
      <c r="X119" s="98">
        <v>44816</v>
      </c>
      <c r="Y119" s="98">
        <v>45086</v>
      </c>
      <c r="Z119" s="98"/>
      <c r="AA119" s="98"/>
      <c r="AB119" s="45" t="s">
        <v>1128</v>
      </c>
      <c r="AC119" s="45"/>
      <c r="AD119" s="42"/>
      <c r="AE119" s="42"/>
      <c r="AF119" s="42"/>
      <c r="AG119" s="42" t="s">
        <v>734</v>
      </c>
      <c r="AH119" s="42"/>
      <c r="AI119" s="42" t="s">
        <v>734</v>
      </c>
      <c r="AJ119" s="42" t="s">
        <v>734</v>
      </c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68">
        <v>24</v>
      </c>
      <c r="AY119" s="37"/>
      <c r="BA119" s="68"/>
      <c r="BB119" s="68"/>
      <c r="BC119" s="37">
        <v>57</v>
      </c>
      <c r="BD119" s="67">
        <f t="shared" si="23"/>
        <v>1680</v>
      </c>
      <c r="BE119" s="67"/>
      <c r="BF119" s="37"/>
      <c r="BG119" s="73">
        <v>1</v>
      </c>
      <c r="BH119" s="67">
        <f>IF(AND((AX119/I119)&lt;2,BG119=1),(I119*2)-AX119,0)</f>
        <v>0</v>
      </c>
      <c r="BI119" s="67">
        <f>IF(AND((AX119/I119)&lt;3,BG119=2),(I119*3)-AX119,0)</f>
        <v>0</v>
      </c>
      <c r="BJ119" s="70">
        <f>(BH119+BI119)*K119</f>
        <v>0</v>
      </c>
      <c r="BN119" s="37"/>
      <c r="BO119" s="70">
        <f t="shared" si="21"/>
        <v>0</v>
      </c>
      <c r="BP119" s="37">
        <v>6</v>
      </c>
      <c r="BQ119" s="37">
        <v>8</v>
      </c>
      <c r="BR119" s="37">
        <v>9</v>
      </c>
      <c r="BS119" s="37">
        <v>6</v>
      </c>
      <c r="BT119" s="87">
        <f>SUM(AX119:AZ119)+SUM(BH119:BI119)+SUM(BK119:BL119)+BN119</f>
        <v>24</v>
      </c>
      <c r="BU119" s="118" t="s">
        <v>1128</v>
      </c>
      <c r="BV119" s="127">
        <v>6</v>
      </c>
      <c r="BW119" s="127"/>
      <c r="BX119" s="127">
        <v>8</v>
      </c>
      <c r="BY119" s="127"/>
      <c r="BZ119" s="127">
        <v>9</v>
      </c>
      <c r="CA119" s="127"/>
      <c r="CB119" s="127">
        <v>6</v>
      </c>
      <c r="CC119" s="127"/>
      <c r="CD119" s="87">
        <v>21</v>
      </c>
      <c r="CF119" s="67">
        <f t="shared" si="24"/>
        <v>270</v>
      </c>
      <c r="CG119" s="67">
        <f t="shared" si="25"/>
        <v>360</v>
      </c>
      <c r="CH119" s="67">
        <f t="shared" si="26"/>
        <v>405</v>
      </c>
      <c r="CI119" s="67">
        <f t="shared" si="31"/>
        <v>270</v>
      </c>
      <c r="CJ119" s="37">
        <f t="shared" si="27"/>
        <v>48</v>
      </c>
      <c r="CK119" s="37">
        <f t="shared" si="28"/>
        <v>64</v>
      </c>
      <c r="CL119" s="37">
        <f t="shared" si="29"/>
        <v>72</v>
      </c>
      <c r="CM119" s="37">
        <f t="shared" si="30"/>
        <v>48</v>
      </c>
    </row>
    <row r="120" spans="1:91" ht="25.5">
      <c r="B120" s="156">
        <v>116</v>
      </c>
      <c r="C120" s="160">
        <v>102</v>
      </c>
      <c r="D120" s="162">
        <v>665</v>
      </c>
      <c r="E120" s="161">
        <v>0.60555555555555551</v>
      </c>
      <c r="F120" s="173">
        <v>0.61875000000000002</v>
      </c>
      <c r="G120" s="160" t="s">
        <v>326</v>
      </c>
      <c r="H120" s="160" t="s">
        <v>103</v>
      </c>
      <c r="I120" s="163">
        <v>7.3</v>
      </c>
      <c r="J120" s="164" t="s">
        <v>116</v>
      </c>
      <c r="K120" s="165">
        <v>174</v>
      </c>
      <c r="L120" s="166">
        <f t="shared" si="20"/>
        <v>1270.2</v>
      </c>
      <c r="M120" s="177" t="s">
        <v>723</v>
      </c>
      <c r="N120" s="154" t="s">
        <v>867</v>
      </c>
      <c r="O120" s="154">
        <v>17</v>
      </c>
      <c r="P120" s="154" t="s">
        <v>1909</v>
      </c>
      <c r="Q120" s="154">
        <v>9</v>
      </c>
      <c r="S120" s="154"/>
      <c r="T120" s="45">
        <v>1081</v>
      </c>
      <c r="U120" s="45" t="s">
        <v>1392</v>
      </c>
      <c r="V120" s="45" t="s">
        <v>1402</v>
      </c>
      <c r="W120" s="45" t="s">
        <v>1403</v>
      </c>
      <c r="X120" s="98">
        <v>44816</v>
      </c>
      <c r="Y120" s="98">
        <v>45086</v>
      </c>
      <c r="Z120" s="98"/>
      <c r="AA120" s="98"/>
      <c r="AB120" s="41" t="s">
        <v>1114</v>
      </c>
      <c r="AC120" s="41"/>
      <c r="AD120" s="42"/>
      <c r="AE120" s="42"/>
      <c r="AF120" s="42"/>
      <c r="AG120" s="42" t="s">
        <v>734</v>
      </c>
      <c r="AH120" s="42" t="s">
        <v>734</v>
      </c>
      <c r="AI120" s="42" t="s">
        <v>734</v>
      </c>
      <c r="AJ120" s="42" t="s">
        <v>734</v>
      </c>
      <c r="AK120" s="42" t="s">
        <v>734</v>
      </c>
      <c r="AL120" s="42" t="s">
        <v>734</v>
      </c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68">
        <v>13.14</v>
      </c>
      <c r="AY120" s="37"/>
      <c r="BA120" s="68"/>
      <c r="BB120" s="68"/>
      <c r="BD120" s="67">
        <f t="shared" si="23"/>
        <v>2286.36</v>
      </c>
      <c r="BE120" s="67"/>
      <c r="BF120" s="37"/>
      <c r="BG120" s="73">
        <v>1</v>
      </c>
      <c r="BH120" s="67">
        <f>IF(AND((AX120/I120)&lt;2,BG120=1),(I120*2)-AX120,0)</f>
        <v>1.4599999999999991</v>
      </c>
      <c r="BI120" s="67">
        <f>IF(AND((AX120/I120)&lt;3,BG120=2),(I120*3)-AX120,0)</f>
        <v>0</v>
      </c>
      <c r="BJ120" s="67">
        <f>(BH120+BI120)*K120</f>
        <v>254.03999999999985</v>
      </c>
      <c r="BN120" s="37"/>
      <c r="BO120" s="70">
        <f t="shared" si="21"/>
        <v>0</v>
      </c>
      <c r="BP120" s="37">
        <v>15</v>
      </c>
      <c r="BQ120" s="37">
        <v>20</v>
      </c>
      <c r="BR120" s="37">
        <v>21</v>
      </c>
      <c r="BS120" s="37">
        <v>15</v>
      </c>
      <c r="BT120" s="87">
        <f t="shared" si="22"/>
        <v>14.6</v>
      </c>
      <c r="BU120" s="87"/>
      <c r="BV120" s="87"/>
      <c r="BW120" s="87"/>
      <c r="BX120" s="87"/>
      <c r="BY120" s="87"/>
      <c r="BZ120" s="87"/>
      <c r="CA120" s="87"/>
      <c r="CB120" s="87"/>
      <c r="CC120" s="87"/>
      <c r="CD120" s="87"/>
      <c r="CF120" s="67">
        <f t="shared" si="24"/>
        <v>219</v>
      </c>
      <c r="CG120" s="67">
        <f t="shared" si="25"/>
        <v>292</v>
      </c>
      <c r="CH120" s="67">
        <f t="shared" si="26"/>
        <v>306.59999999999997</v>
      </c>
      <c r="CI120" s="67">
        <f t="shared" si="31"/>
        <v>219</v>
      </c>
      <c r="CJ120" s="37">
        <f t="shared" si="27"/>
        <v>109.5</v>
      </c>
      <c r="CK120" s="37">
        <f t="shared" si="28"/>
        <v>146</v>
      </c>
      <c r="CL120" s="37">
        <f t="shared" si="29"/>
        <v>153.29999999999998</v>
      </c>
      <c r="CM120" s="37">
        <f t="shared" si="30"/>
        <v>109.5</v>
      </c>
    </row>
    <row r="121" spans="1:91" ht="33.75">
      <c r="B121" s="156">
        <v>117</v>
      </c>
      <c r="C121" s="160">
        <v>102</v>
      </c>
      <c r="D121" s="164">
        <v>176</v>
      </c>
      <c r="E121" s="161">
        <v>0.60555555555555551</v>
      </c>
      <c r="F121" s="161">
        <v>0.61805555555555558</v>
      </c>
      <c r="G121" s="160" t="s">
        <v>421</v>
      </c>
      <c r="H121" s="160" t="s">
        <v>103</v>
      </c>
      <c r="I121" s="163">
        <v>10</v>
      </c>
      <c r="J121" s="164" t="s">
        <v>167</v>
      </c>
      <c r="K121" s="165">
        <v>174</v>
      </c>
      <c r="L121" s="166">
        <f t="shared" si="20"/>
        <v>1740</v>
      </c>
      <c r="M121" s="177" t="s">
        <v>724</v>
      </c>
      <c r="N121" s="150" t="s">
        <v>985</v>
      </c>
      <c r="O121" s="184">
        <v>46</v>
      </c>
      <c r="P121" s="150" t="s">
        <v>902</v>
      </c>
      <c r="Q121" s="184">
        <v>47</v>
      </c>
      <c r="R121" s="154" t="s">
        <v>903</v>
      </c>
      <c r="S121" s="151">
        <v>24</v>
      </c>
      <c r="T121" s="45">
        <v>1081</v>
      </c>
      <c r="U121" s="45" t="s">
        <v>1392</v>
      </c>
      <c r="V121" s="45">
        <v>1084</v>
      </c>
      <c r="W121" s="45" t="s">
        <v>1398</v>
      </c>
      <c r="X121" s="98">
        <v>44816</v>
      </c>
      <c r="Y121" s="98">
        <v>45086</v>
      </c>
      <c r="Z121" s="98"/>
      <c r="AA121" s="98"/>
      <c r="AB121" s="41" t="s">
        <v>1114</v>
      </c>
      <c r="AC121" s="41"/>
      <c r="AD121" s="42"/>
      <c r="AE121" s="42"/>
      <c r="AF121" s="42"/>
      <c r="AG121" s="42" t="s">
        <v>734</v>
      </c>
      <c r="AH121" s="42" t="s">
        <v>734</v>
      </c>
      <c r="AI121" s="42" t="s">
        <v>734</v>
      </c>
      <c r="AJ121" s="42" t="s">
        <v>734</v>
      </c>
      <c r="AK121" s="42" t="s">
        <v>734</v>
      </c>
      <c r="AL121" s="42" t="s">
        <v>734</v>
      </c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68">
        <v>18</v>
      </c>
      <c r="AY121" s="37"/>
      <c r="BA121" s="68"/>
      <c r="BB121" s="68"/>
      <c r="BD121" s="67">
        <f t="shared" si="23"/>
        <v>3132</v>
      </c>
      <c r="BE121" s="67"/>
      <c r="BF121" s="37"/>
      <c r="BG121" s="73">
        <v>1</v>
      </c>
      <c r="BH121" s="67">
        <f>IF(AND((AX121/I121)&lt;2,BG121=1),(I121*2)-AX121,0)</f>
        <v>2</v>
      </c>
      <c r="BI121" s="67">
        <f>IF(AND((AX121/I121)&lt;3,BG121=2),(I121*3)-AX121,0)</f>
        <v>0</v>
      </c>
      <c r="BJ121" s="67">
        <f>(BH121+BI121)*K121</f>
        <v>348</v>
      </c>
      <c r="BN121" s="37"/>
      <c r="BO121" s="70">
        <f t="shared" si="21"/>
        <v>0</v>
      </c>
      <c r="BP121" s="37">
        <v>15</v>
      </c>
      <c r="BQ121" s="37">
        <v>20</v>
      </c>
      <c r="BR121" s="37">
        <v>21</v>
      </c>
      <c r="BS121" s="37">
        <v>15</v>
      </c>
      <c r="BT121" s="87">
        <f t="shared" si="22"/>
        <v>20</v>
      </c>
      <c r="BU121" s="87"/>
      <c r="BV121" s="87"/>
      <c r="BW121" s="87"/>
      <c r="BX121" s="87"/>
      <c r="BY121" s="87"/>
      <c r="BZ121" s="87"/>
      <c r="CA121" s="87"/>
      <c r="CB121" s="87"/>
      <c r="CC121" s="87"/>
      <c r="CD121" s="87"/>
      <c r="CF121" s="67">
        <f t="shared" si="24"/>
        <v>300</v>
      </c>
      <c r="CG121" s="67">
        <f t="shared" si="25"/>
        <v>400</v>
      </c>
      <c r="CH121" s="67">
        <f t="shared" si="26"/>
        <v>420</v>
      </c>
      <c r="CI121" s="67">
        <f t="shared" si="31"/>
        <v>300</v>
      </c>
      <c r="CJ121" s="37">
        <f t="shared" si="27"/>
        <v>150</v>
      </c>
      <c r="CK121" s="37">
        <f t="shared" si="28"/>
        <v>200</v>
      </c>
      <c r="CL121" s="37">
        <f t="shared" si="29"/>
        <v>210</v>
      </c>
      <c r="CM121" s="37">
        <f t="shared" si="30"/>
        <v>150</v>
      </c>
    </row>
    <row r="122" spans="1:91" ht="33.75">
      <c r="B122" s="156">
        <v>118</v>
      </c>
      <c r="C122" s="169">
        <v>102</v>
      </c>
      <c r="D122" s="169">
        <v>538</v>
      </c>
      <c r="E122" s="170">
        <v>0.64374999999999993</v>
      </c>
      <c r="F122" s="170">
        <v>0.69236111111111109</v>
      </c>
      <c r="G122" s="171" t="s">
        <v>22</v>
      </c>
      <c r="H122" s="171" t="s">
        <v>267</v>
      </c>
      <c r="I122" s="169">
        <v>35</v>
      </c>
      <c r="J122" s="172">
        <v>19</v>
      </c>
      <c r="K122" s="165">
        <v>55</v>
      </c>
      <c r="L122" s="166">
        <f t="shared" si="20"/>
        <v>1925</v>
      </c>
      <c r="M122" s="177" t="s">
        <v>724</v>
      </c>
      <c r="N122" s="150" t="s">
        <v>903</v>
      </c>
      <c r="O122" s="150">
        <v>24</v>
      </c>
      <c r="P122" s="150" t="s">
        <v>1910</v>
      </c>
      <c r="Q122" s="150">
        <v>21</v>
      </c>
      <c r="R122" s="154" t="s">
        <v>902</v>
      </c>
      <c r="S122" s="151">
        <v>47</v>
      </c>
      <c r="T122" s="45">
        <v>1</v>
      </c>
      <c r="U122" s="45" t="s">
        <v>1336</v>
      </c>
      <c r="V122" s="45">
        <v>1082</v>
      </c>
      <c r="W122" s="45" t="s">
        <v>1401</v>
      </c>
      <c r="X122" s="99">
        <v>44562</v>
      </c>
      <c r="Y122" s="99">
        <v>44815</v>
      </c>
      <c r="Z122" s="99">
        <v>45101</v>
      </c>
      <c r="AA122" s="99">
        <v>45169</v>
      </c>
      <c r="AB122" s="41" t="s">
        <v>1121</v>
      </c>
      <c r="AC122" s="41"/>
      <c r="AD122" s="42"/>
      <c r="AE122" s="42" t="s">
        <v>734</v>
      </c>
      <c r="AF122" s="42" t="s">
        <v>734</v>
      </c>
      <c r="AG122" s="42"/>
      <c r="AH122" s="42" t="s">
        <v>734</v>
      </c>
      <c r="AI122" s="42" t="s">
        <v>734</v>
      </c>
      <c r="AJ122" s="42" t="s">
        <v>734</v>
      </c>
      <c r="AK122" s="42" t="s">
        <v>734</v>
      </c>
      <c r="AL122" s="42" t="s">
        <v>734</v>
      </c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Y122" s="67">
        <f>1.9*35</f>
        <v>66.5</v>
      </c>
      <c r="BA122" s="67"/>
      <c r="BB122" s="67"/>
      <c r="BD122" s="67">
        <f t="shared" si="23"/>
        <v>0</v>
      </c>
      <c r="BE122" s="67">
        <f>AY122*K122</f>
        <v>3657.5</v>
      </c>
      <c r="BF122" s="37"/>
      <c r="BG122" s="73">
        <v>1</v>
      </c>
      <c r="BI122" s="67"/>
      <c r="BJ122" s="37"/>
      <c r="BK122" s="67">
        <f>IF(AND((AY122/I122)&lt;2,BG122=1),(I122*2)-AY122,0)</f>
        <v>3.5</v>
      </c>
      <c r="BL122" s="67">
        <f>IF(AND((AY122/I122)&lt;3,BG122=2),(I122*3)-AY122,0)</f>
        <v>0</v>
      </c>
      <c r="BM122" s="70">
        <f>(BK122+BL122)*K122</f>
        <v>192.5</v>
      </c>
      <c r="BN122" s="37"/>
      <c r="BO122" s="70">
        <f t="shared" si="21"/>
        <v>0</v>
      </c>
      <c r="BP122" s="37">
        <v>7</v>
      </c>
      <c r="BQ122" s="37">
        <v>0</v>
      </c>
      <c r="BR122" s="37">
        <v>0</v>
      </c>
      <c r="BT122" s="87">
        <f t="shared" si="22"/>
        <v>70</v>
      </c>
      <c r="BU122" s="87"/>
      <c r="BV122" s="87"/>
      <c r="BW122" s="87"/>
      <c r="BX122" s="87"/>
      <c r="BY122" s="87"/>
      <c r="BZ122" s="87"/>
      <c r="CA122" s="87"/>
      <c r="CB122" s="87"/>
      <c r="CC122" s="87"/>
      <c r="CD122" s="87"/>
      <c r="CF122" s="67">
        <f t="shared" si="24"/>
        <v>490</v>
      </c>
      <c r="CG122" s="67">
        <f t="shared" si="25"/>
        <v>0</v>
      </c>
      <c r="CH122" s="67">
        <f t="shared" si="26"/>
        <v>0</v>
      </c>
      <c r="CI122" s="67">
        <f t="shared" si="31"/>
        <v>0</v>
      </c>
      <c r="CJ122" s="37">
        <f t="shared" si="27"/>
        <v>245</v>
      </c>
      <c r="CK122" s="37">
        <f t="shared" si="28"/>
        <v>0</v>
      </c>
      <c r="CL122" s="37">
        <f t="shared" si="29"/>
        <v>0</v>
      </c>
      <c r="CM122" s="37">
        <f t="shared" si="30"/>
        <v>0</v>
      </c>
    </row>
    <row r="123" spans="1:91" ht="33.75">
      <c r="B123" s="156">
        <v>119</v>
      </c>
      <c r="C123" s="160">
        <v>102</v>
      </c>
      <c r="D123" s="164">
        <v>185</v>
      </c>
      <c r="E123" s="161">
        <v>0.65972222222222221</v>
      </c>
      <c r="F123" s="161">
        <v>0.72291666666666676</v>
      </c>
      <c r="G123" s="160" t="s">
        <v>255</v>
      </c>
      <c r="H123" s="160" t="s">
        <v>194</v>
      </c>
      <c r="I123" s="163">
        <v>51</v>
      </c>
      <c r="J123" s="164" t="s">
        <v>254</v>
      </c>
      <c r="K123" s="165">
        <f>34+34+36+33</f>
        <v>137</v>
      </c>
      <c r="L123" s="166">
        <f t="shared" si="20"/>
        <v>6987</v>
      </c>
      <c r="M123" s="177" t="s">
        <v>724</v>
      </c>
      <c r="N123" s="150" t="s">
        <v>985</v>
      </c>
      <c r="O123" s="184">
        <v>46</v>
      </c>
      <c r="P123" s="150" t="s">
        <v>902</v>
      </c>
      <c r="Q123" s="184">
        <v>47</v>
      </c>
      <c r="S123" s="184"/>
      <c r="T123" s="45">
        <v>1190</v>
      </c>
      <c r="U123" s="45" t="s">
        <v>1404</v>
      </c>
      <c r="V123" s="45" t="s">
        <v>1405</v>
      </c>
      <c r="W123" s="45" t="s">
        <v>1406</v>
      </c>
      <c r="X123" s="98">
        <v>44816</v>
      </c>
      <c r="Y123" s="98">
        <v>45086</v>
      </c>
      <c r="Z123" s="98"/>
      <c r="AA123" s="98"/>
      <c r="AB123" s="43" t="s">
        <v>1117</v>
      </c>
      <c r="AC123" s="43"/>
      <c r="AD123" s="42"/>
      <c r="AE123" s="42"/>
      <c r="AF123" s="42"/>
      <c r="AG123" s="42" t="s">
        <v>734</v>
      </c>
      <c r="AH123" s="42" t="s">
        <v>734</v>
      </c>
      <c r="AI123" s="42" t="s">
        <v>734</v>
      </c>
      <c r="AJ123" s="42" t="s">
        <v>734</v>
      </c>
      <c r="AK123" s="42" t="s">
        <v>734</v>
      </c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68">
        <v>91.8</v>
      </c>
      <c r="AY123" s="37"/>
      <c r="BA123" s="68"/>
      <c r="BB123" s="68"/>
      <c r="BD123" s="67">
        <f t="shared" si="23"/>
        <v>12576.6</v>
      </c>
      <c r="BE123" s="67"/>
      <c r="BF123" s="37"/>
      <c r="BG123" s="69">
        <v>2</v>
      </c>
      <c r="BH123" s="67">
        <f>IF(AND((AX123/I123)&lt;2,BG123=1),(I123*2)-AX123,0)</f>
        <v>0</v>
      </c>
      <c r="BI123" s="67">
        <f>IF(AND((AX123/I123)&lt;3,BG123=2),(I123*3)-AX123,0)</f>
        <v>61.2</v>
      </c>
      <c r="BJ123" s="70">
        <f>(BH123+BI123)*K123</f>
        <v>8384.4</v>
      </c>
      <c r="BN123" s="37"/>
      <c r="BO123" s="70">
        <f t="shared" si="21"/>
        <v>0</v>
      </c>
      <c r="BP123" s="37">
        <v>12</v>
      </c>
      <c r="BQ123" s="37">
        <v>16</v>
      </c>
      <c r="BR123" s="37">
        <v>17</v>
      </c>
      <c r="BS123" s="37">
        <v>12</v>
      </c>
      <c r="BT123" s="87">
        <f t="shared" si="22"/>
        <v>153</v>
      </c>
      <c r="BU123" s="87"/>
      <c r="BV123" s="87"/>
      <c r="BW123" s="87"/>
      <c r="BX123" s="87"/>
      <c r="BY123" s="87"/>
      <c r="BZ123" s="87"/>
      <c r="CA123" s="87"/>
      <c r="CB123" s="87"/>
      <c r="CC123" s="87"/>
      <c r="CD123" s="87"/>
      <c r="CF123" s="67">
        <f t="shared" si="24"/>
        <v>1836</v>
      </c>
      <c r="CG123" s="67">
        <f t="shared" si="25"/>
        <v>2448</v>
      </c>
      <c r="CH123" s="67">
        <f t="shared" si="26"/>
        <v>2601</v>
      </c>
      <c r="CI123" s="67">
        <f t="shared" si="31"/>
        <v>1836</v>
      </c>
      <c r="CJ123" s="37">
        <f t="shared" si="27"/>
        <v>612</v>
      </c>
      <c r="CK123" s="37">
        <f t="shared" si="28"/>
        <v>816</v>
      </c>
      <c r="CL123" s="37">
        <f t="shared" si="29"/>
        <v>867</v>
      </c>
      <c r="CM123" s="37">
        <f t="shared" si="30"/>
        <v>612</v>
      </c>
    </row>
    <row r="124" spans="1:91" ht="25.5">
      <c r="B124" s="156">
        <v>120</v>
      </c>
      <c r="C124" s="169">
        <v>102</v>
      </c>
      <c r="D124" s="169">
        <v>147</v>
      </c>
      <c r="E124" s="170">
        <v>0.70833333333333337</v>
      </c>
      <c r="F124" s="170">
        <v>0.79861111111111116</v>
      </c>
      <c r="G124" s="171" t="s">
        <v>23</v>
      </c>
      <c r="H124" s="160" t="s">
        <v>550</v>
      </c>
      <c r="I124" s="169">
        <v>62</v>
      </c>
      <c r="J124" s="172">
        <v>30</v>
      </c>
      <c r="K124" s="165">
        <v>13</v>
      </c>
      <c r="L124" s="166">
        <f t="shared" si="20"/>
        <v>806</v>
      </c>
      <c r="M124" s="177" t="s">
        <v>726</v>
      </c>
      <c r="N124" s="150" t="s">
        <v>1055</v>
      </c>
      <c r="O124" s="150">
        <v>45</v>
      </c>
      <c r="P124" s="150" t="s">
        <v>943</v>
      </c>
      <c r="Q124" s="150">
        <v>48</v>
      </c>
      <c r="R124" s="268" t="s">
        <v>2061</v>
      </c>
      <c r="S124" s="269">
        <v>45</v>
      </c>
      <c r="T124" s="45">
        <v>1070</v>
      </c>
      <c r="U124" s="45" t="s">
        <v>1337</v>
      </c>
      <c r="V124" s="45">
        <v>1</v>
      </c>
      <c r="W124" s="45" t="s">
        <v>1339</v>
      </c>
      <c r="X124" s="99">
        <v>44562</v>
      </c>
      <c r="Y124" s="99">
        <v>44815</v>
      </c>
      <c r="Z124" s="99">
        <v>45101</v>
      </c>
      <c r="AA124" s="99">
        <v>45169</v>
      </c>
      <c r="AB124" s="36" t="s">
        <v>1116</v>
      </c>
      <c r="AC124" s="36"/>
      <c r="AD124" s="42"/>
      <c r="AE124" s="42" t="s">
        <v>734</v>
      </c>
      <c r="AF124" s="42"/>
      <c r="AG124" s="42"/>
      <c r="AH124" s="42"/>
      <c r="AI124" s="42"/>
      <c r="AJ124" s="42"/>
      <c r="AK124" s="42"/>
      <c r="AL124" s="42"/>
      <c r="AM124" s="42"/>
      <c r="AN124" s="42" t="s">
        <v>734</v>
      </c>
      <c r="AO124" s="42"/>
      <c r="AP124" s="42"/>
      <c r="AQ124" s="42"/>
      <c r="AR124" s="42"/>
      <c r="AS124" s="42"/>
      <c r="AT124" s="42"/>
      <c r="AU124" s="42"/>
      <c r="AV124" s="42"/>
      <c r="AW124" s="42"/>
      <c r="AY124" s="37"/>
      <c r="BA124" s="38" t="s">
        <v>1015</v>
      </c>
      <c r="BB124" s="38"/>
      <c r="BD124" s="67">
        <f t="shared" si="23"/>
        <v>0</v>
      </c>
      <c r="BF124" s="37"/>
      <c r="BG124" s="73">
        <v>1</v>
      </c>
      <c r="BI124" s="67"/>
      <c r="BJ124" s="37"/>
      <c r="BN124" s="37"/>
      <c r="BO124" s="70">
        <f t="shared" si="21"/>
        <v>0</v>
      </c>
      <c r="BP124" s="37">
        <v>2</v>
      </c>
      <c r="BQ124" s="37">
        <v>0</v>
      </c>
      <c r="BR124" s="37">
        <v>0</v>
      </c>
      <c r="BT124" s="87">
        <f t="shared" si="22"/>
        <v>0</v>
      </c>
      <c r="BU124" s="87"/>
      <c r="BV124" s="87"/>
      <c r="BW124" s="87"/>
      <c r="BX124" s="87"/>
      <c r="BY124" s="87"/>
      <c r="BZ124" s="87"/>
      <c r="CA124" s="87"/>
      <c r="CB124" s="87"/>
      <c r="CC124" s="87"/>
      <c r="CD124" s="87"/>
      <c r="CF124" s="67">
        <f t="shared" si="24"/>
        <v>0</v>
      </c>
      <c r="CG124" s="67">
        <f t="shared" si="25"/>
        <v>0</v>
      </c>
      <c r="CH124" s="67">
        <f t="shared" si="26"/>
        <v>0</v>
      </c>
      <c r="CI124" s="67">
        <f t="shared" si="31"/>
        <v>0</v>
      </c>
      <c r="CJ124" s="37">
        <f t="shared" si="27"/>
        <v>124</v>
      </c>
      <c r="CK124" s="37">
        <f t="shared" si="28"/>
        <v>0</v>
      </c>
      <c r="CL124" s="37">
        <f t="shared" si="29"/>
        <v>0</v>
      </c>
      <c r="CM124" s="37">
        <f t="shared" si="30"/>
        <v>0</v>
      </c>
    </row>
    <row r="125" spans="1:91" ht="25.5">
      <c r="B125" s="156">
        <v>121</v>
      </c>
      <c r="C125" s="160">
        <v>103</v>
      </c>
      <c r="D125" s="162">
        <v>928</v>
      </c>
      <c r="E125" s="161">
        <v>0.2590277777777778</v>
      </c>
      <c r="F125" s="161">
        <v>0.27083333333333331</v>
      </c>
      <c r="G125" s="160" t="s">
        <v>636</v>
      </c>
      <c r="H125" s="160" t="s">
        <v>103</v>
      </c>
      <c r="I125" s="163">
        <v>13.3</v>
      </c>
      <c r="J125" s="164" t="s">
        <v>183</v>
      </c>
      <c r="K125" s="165">
        <v>174</v>
      </c>
      <c r="L125" s="166">
        <f t="shared" si="20"/>
        <v>2314.2000000000003</v>
      </c>
      <c r="M125" s="186" t="s">
        <v>728</v>
      </c>
      <c r="N125" s="154" t="s">
        <v>936</v>
      </c>
      <c r="O125" s="187">
        <v>57</v>
      </c>
      <c r="P125" s="187" t="s">
        <v>1911</v>
      </c>
      <c r="Q125" s="187">
        <v>54</v>
      </c>
      <c r="R125" s="154" t="s">
        <v>1998</v>
      </c>
      <c r="S125" s="151">
        <v>55</v>
      </c>
      <c r="T125" s="45" t="s">
        <v>1407</v>
      </c>
      <c r="U125" s="45" t="s">
        <v>1408</v>
      </c>
      <c r="V125" s="45" t="s">
        <v>1409</v>
      </c>
      <c r="W125" s="45" t="s">
        <v>1410</v>
      </c>
      <c r="X125" s="98">
        <v>44816</v>
      </c>
      <c r="Y125" s="98">
        <v>45086</v>
      </c>
      <c r="Z125" s="98"/>
      <c r="AA125" s="98"/>
      <c r="AB125" s="41" t="s">
        <v>1114</v>
      </c>
      <c r="AC125" s="41"/>
      <c r="AD125" s="42"/>
      <c r="AE125" s="42"/>
      <c r="AF125" s="42"/>
      <c r="AG125" s="42" t="s">
        <v>734</v>
      </c>
      <c r="AH125" s="42" t="s">
        <v>734</v>
      </c>
      <c r="AI125" s="42" t="s">
        <v>734</v>
      </c>
      <c r="AJ125" s="42" t="s">
        <v>734</v>
      </c>
      <c r="AK125" s="42" t="s">
        <v>734</v>
      </c>
      <c r="AL125" s="42" t="s">
        <v>734</v>
      </c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68">
        <f>15.9+24</f>
        <v>39.9</v>
      </c>
      <c r="AY125" s="37"/>
      <c r="BA125" s="68"/>
      <c r="BB125" s="68"/>
      <c r="BD125" s="67">
        <f t="shared" si="23"/>
        <v>6942.5999999999995</v>
      </c>
      <c r="BE125" s="67"/>
      <c r="BF125" s="37"/>
      <c r="BG125" s="69">
        <v>2</v>
      </c>
      <c r="BH125" s="67">
        <f>IF(AND((AX125/I125)&lt;2,BG125=1),(I125*2)-AX125,0)</f>
        <v>0</v>
      </c>
      <c r="BI125" s="67">
        <f>IF(AND((AX125/I125)&lt;3,BG125=2),(I125*3)-AX125,0)</f>
        <v>0</v>
      </c>
      <c r="BJ125" s="70">
        <f>(BH125+BI125)*K125</f>
        <v>0</v>
      </c>
      <c r="BN125" s="67">
        <f>IF((AX125+AY125+AZ125)&lt;20,(20-(AX125+AY125+AZ125)),0)</f>
        <v>0</v>
      </c>
      <c r="BO125" s="70">
        <f t="shared" si="21"/>
        <v>0</v>
      </c>
      <c r="BP125" s="37">
        <v>15</v>
      </c>
      <c r="BQ125" s="37">
        <v>20</v>
      </c>
      <c r="BR125" s="37">
        <v>21</v>
      </c>
      <c r="BS125" s="37">
        <v>15</v>
      </c>
      <c r="BT125" s="87">
        <f t="shared" si="22"/>
        <v>39.9</v>
      </c>
      <c r="BU125" s="87"/>
      <c r="BV125" s="87"/>
      <c r="BW125" s="87"/>
      <c r="BX125" s="87"/>
      <c r="BY125" s="87"/>
      <c r="BZ125" s="87"/>
      <c r="CA125" s="87"/>
      <c r="CB125" s="87"/>
      <c r="CC125" s="87"/>
      <c r="CD125" s="87"/>
      <c r="CF125" s="67">
        <f t="shared" si="24"/>
        <v>598.5</v>
      </c>
      <c r="CG125" s="67">
        <f t="shared" si="25"/>
        <v>798</v>
      </c>
      <c r="CH125" s="67">
        <f t="shared" si="26"/>
        <v>837.9</v>
      </c>
      <c r="CI125" s="67">
        <f t="shared" si="31"/>
        <v>598.5</v>
      </c>
      <c r="CJ125" s="37">
        <f t="shared" si="27"/>
        <v>199.5</v>
      </c>
      <c r="CK125" s="37">
        <f t="shared" si="28"/>
        <v>266</v>
      </c>
      <c r="CL125" s="37">
        <f t="shared" si="29"/>
        <v>279.3</v>
      </c>
      <c r="CM125" s="37">
        <f t="shared" si="30"/>
        <v>199.5</v>
      </c>
    </row>
    <row r="126" spans="1:91" ht="25.5">
      <c r="B126" s="156">
        <v>122</v>
      </c>
      <c r="C126" s="160">
        <v>103</v>
      </c>
      <c r="D126" s="160">
        <v>101</v>
      </c>
      <c r="E126" s="161">
        <v>0.2638888888888889</v>
      </c>
      <c r="F126" s="161">
        <v>0.2673611111111111</v>
      </c>
      <c r="G126" s="160" t="s">
        <v>303</v>
      </c>
      <c r="H126" s="160" t="s">
        <v>479</v>
      </c>
      <c r="I126" s="163">
        <v>2.5</v>
      </c>
      <c r="J126" s="164" t="s">
        <v>269</v>
      </c>
      <c r="K126" s="165">
        <v>240</v>
      </c>
      <c r="L126" s="166">
        <f t="shared" si="20"/>
        <v>600</v>
      </c>
      <c r="M126" s="177" t="s">
        <v>729</v>
      </c>
      <c r="N126" s="150" t="s">
        <v>886</v>
      </c>
      <c r="O126" s="150">
        <v>9</v>
      </c>
      <c r="P126" s="150" t="s">
        <v>984</v>
      </c>
      <c r="Q126" s="150">
        <v>18</v>
      </c>
      <c r="S126" s="150"/>
      <c r="T126" s="45">
        <v>1126</v>
      </c>
      <c r="U126" s="45" t="s">
        <v>1411</v>
      </c>
      <c r="V126" s="45">
        <v>1122</v>
      </c>
      <c r="W126" s="45" t="s">
        <v>1340</v>
      </c>
      <c r="X126" s="99">
        <v>44816</v>
      </c>
      <c r="Y126" s="99">
        <v>45100</v>
      </c>
      <c r="Z126" s="99"/>
      <c r="AA126" s="99"/>
      <c r="AB126" s="45" t="s">
        <v>1124</v>
      </c>
      <c r="AC126" s="45"/>
      <c r="AD126" s="42" t="s">
        <v>734</v>
      </c>
      <c r="AE126" s="42"/>
      <c r="AF126" s="42" t="s">
        <v>734</v>
      </c>
      <c r="AG126" s="42"/>
      <c r="AH126" s="42" t="s">
        <v>734</v>
      </c>
      <c r="AI126" s="42" t="s">
        <v>734</v>
      </c>
      <c r="AJ126" s="42" t="s">
        <v>734</v>
      </c>
      <c r="AK126" s="42" t="s">
        <v>734</v>
      </c>
      <c r="AL126" s="42" t="s">
        <v>734</v>
      </c>
      <c r="AM126" s="42" t="s">
        <v>734</v>
      </c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68">
        <v>20.68</v>
      </c>
      <c r="AY126" s="37"/>
      <c r="BA126" s="68"/>
      <c r="BB126" s="68"/>
      <c r="BD126" s="67">
        <f t="shared" si="23"/>
        <v>4963.2</v>
      </c>
      <c r="BE126" s="67"/>
      <c r="BF126" s="37"/>
      <c r="BG126" s="73">
        <v>1</v>
      </c>
      <c r="BH126" s="67">
        <f>IF(AND((AX126/I126)&lt;2,BG126=1),(I126*2)-AX126,0)</f>
        <v>0</v>
      </c>
      <c r="BI126" s="67">
        <f>IF(AND((AX126/I126)&lt;3,BG126=2),(I126*3)-AX126,0)</f>
        <v>0</v>
      </c>
      <c r="BJ126" s="70">
        <f>(BH126+BI126)*K126</f>
        <v>0</v>
      </c>
      <c r="BN126" s="67">
        <f>IF((AX126+AY126+AZ126)&lt;20,(20-(AX126+AY126+AZ126)),0)</f>
        <v>0</v>
      </c>
      <c r="BO126" s="70">
        <f t="shared" si="21"/>
        <v>0</v>
      </c>
      <c r="BP126" s="37">
        <v>17</v>
      </c>
      <c r="BQ126" s="37">
        <v>26</v>
      </c>
      <c r="BR126" s="37">
        <v>25</v>
      </c>
      <c r="BS126" s="37">
        <v>25</v>
      </c>
      <c r="BT126" s="87">
        <f t="shared" si="22"/>
        <v>20.68</v>
      </c>
      <c r="BU126" s="87"/>
      <c r="BV126" s="87"/>
      <c r="BW126" s="87"/>
      <c r="BX126" s="87"/>
      <c r="BY126" s="87"/>
      <c r="BZ126" s="87"/>
      <c r="CA126" s="87"/>
      <c r="CB126" s="87"/>
      <c r="CC126" s="87"/>
      <c r="CD126" s="87"/>
      <c r="CF126" s="67">
        <f t="shared" si="24"/>
        <v>351.56</v>
      </c>
      <c r="CG126" s="67">
        <f t="shared" si="25"/>
        <v>537.67999999999995</v>
      </c>
      <c r="CH126" s="67">
        <f t="shared" si="26"/>
        <v>517</v>
      </c>
      <c r="CI126" s="67">
        <f t="shared" si="31"/>
        <v>517</v>
      </c>
      <c r="CJ126" s="37">
        <f t="shared" si="27"/>
        <v>42.5</v>
      </c>
      <c r="CK126" s="37">
        <f t="shared" si="28"/>
        <v>65</v>
      </c>
      <c r="CL126" s="37">
        <f t="shared" si="29"/>
        <v>62.5</v>
      </c>
      <c r="CM126" s="37">
        <f t="shared" si="30"/>
        <v>62.5</v>
      </c>
    </row>
    <row r="127" spans="1:91" ht="25.5">
      <c r="B127" s="156">
        <v>123</v>
      </c>
      <c r="C127" s="160">
        <v>103</v>
      </c>
      <c r="D127" s="162">
        <v>101</v>
      </c>
      <c r="E127" s="173">
        <v>0.27916666666666667</v>
      </c>
      <c r="F127" s="161">
        <v>0.32083333333333336</v>
      </c>
      <c r="G127" s="160" t="s">
        <v>184</v>
      </c>
      <c r="H127" s="160" t="s">
        <v>103</v>
      </c>
      <c r="I127" s="163">
        <v>31</v>
      </c>
      <c r="J127" s="164" t="s">
        <v>183</v>
      </c>
      <c r="K127" s="165">
        <v>174</v>
      </c>
      <c r="L127" s="166">
        <f t="shared" si="20"/>
        <v>5394</v>
      </c>
      <c r="M127" s="167" t="s">
        <v>728</v>
      </c>
      <c r="N127" s="154" t="s">
        <v>936</v>
      </c>
      <c r="O127" s="187">
        <v>57</v>
      </c>
      <c r="P127" s="187" t="s">
        <v>1911</v>
      </c>
      <c r="Q127" s="187">
        <v>54</v>
      </c>
      <c r="R127" s="154" t="s">
        <v>1998</v>
      </c>
      <c r="S127" s="151">
        <v>55</v>
      </c>
      <c r="T127" s="45" t="s">
        <v>1412</v>
      </c>
      <c r="U127" s="45" t="s">
        <v>1413</v>
      </c>
      <c r="V127" s="45">
        <v>1</v>
      </c>
      <c r="W127" s="45" t="s">
        <v>1339</v>
      </c>
      <c r="X127" s="98">
        <v>44816</v>
      </c>
      <c r="Y127" s="98">
        <v>45086</v>
      </c>
      <c r="Z127" s="98"/>
      <c r="AA127" s="98"/>
      <c r="AB127" s="41" t="s">
        <v>1114</v>
      </c>
      <c r="AC127" s="41"/>
      <c r="AD127" s="42"/>
      <c r="AE127" s="42"/>
      <c r="AF127" s="42"/>
      <c r="AG127" s="42" t="s">
        <v>734</v>
      </c>
      <c r="AH127" s="42" t="s">
        <v>734</v>
      </c>
      <c r="AI127" s="42" t="s">
        <v>734</v>
      </c>
      <c r="AJ127" s="42" t="s">
        <v>734</v>
      </c>
      <c r="AK127" s="42" t="s">
        <v>734</v>
      </c>
      <c r="AL127" s="42" t="s">
        <v>734</v>
      </c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68">
        <v>161.41999999999999</v>
      </c>
      <c r="BA127" s="68"/>
      <c r="BB127" s="68"/>
      <c r="BD127" s="67">
        <f t="shared" si="23"/>
        <v>28087.079999999998</v>
      </c>
      <c r="BE127" s="67"/>
      <c r="BF127" s="37"/>
      <c r="BG127" s="69">
        <v>2</v>
      </c>
      <c r="BH127" s="67">
        <f>IF(AND((AX127/I127)&lt;2,BG127=1),(I127*2)-AX127,0)</f>
        <v>0</v>
      </c>
      <c r="BI127" s="67">
        <f>IF(AND((AX127/I127)&lt;3,BG127=2),(I127*3)-AX127,0)</f>
        <v>0</v>
      </c>
      <c r="BJ127" s="70">
        <f>(BH127+BI127)*K127</f>
        <v>0</v>
      </c>
      <c r="BN127" s="67">
        <f>IF((AX127+AY127+AZ127)&lt;20,(20-(AX127+AY127+AZ127)),0)</f>
        <v>0</v>
      </c>
      <c r="BO127" s="70">
        <f t="shared" si="21"/>
        <v>0</v>
      </c>
      <c r="BP127" s="37">
        <v>15</v>
      </c>
      <c r="BQ127" s="37">
        <v>20</v>
      </c>
      <c r="BR127" s="37">
        <v>21</v>
      </c>
      <c r="BS127" s="37">
        <v>15</v>
      </c>
      <c r="BT127" s="87">
        <f t="shared" si="22"/>
        <v>161.41999999999999</v>
      </c>
      <c r="BU127" s="87"/>
      <c r="BV127" s="87"/>
      <c r="BW127" s="87"/>
      <c r="BX127" s="87"/>
      <c r="BY127" s="87"/>
      <c r="BZ127" s="87"/>
      <c r="CA127" s="87"/>
      <c r="CB127" s="87"/>
      <c r="CC127" s="87"/>
      <c r="CD127" s="87"/>
      <c r="CF127" s="67">
        <f t="shared" si="24"/>
        <v>2421.2999999999997</v>
      </c>
      <c r="CG127" s="67">
        <f t="shared" si="25"/>
        <v>3228.3999999999996</v>
      </c>
      <c r="CH127" s="67">
        <f t="shared" si="26"/>
        <v>3389.8199999999997</v>
      </c>
      <c r="CI127" s="67">
        <f t="shared" si="31"/>
        <v>2421.2999999999997</v>
      </c>
      <c r="CJ127" s="37">
        <f t="shared" si="27"/>
        <v>465</v>
      </c>
      <c r="CK127" s="37">
        <f t="shared" si="28"/>
        <v>620</v>
      </c>
      <c r="CL127" s="37">
        <f t="shared" si="29"/>
        <v>651</v>
      </c>
      <c r="CM127" s="37">
        <f t="shared" si="30"/>
        <v>465</v>
      </c>
    </row>
    <row r="128" spans="1:91" ht="25.5">
      <c r="B128" s="156">
        <v>124</v>
      </c>
      <c r="C128" s="160">
        <v>103</v>
      </c>
      <c r="D128" s="164">
        <v>99</v>
      </c>
      <c r="E128" s="161">
        <v>0.28819444444444448</v>
      </c>
      <c r="F128" s="161">
        <v>0.30833333333333335</v>
      </c>
      <c r="G128" s="160" t="s">
        <v>305</v>
      </c>
      <c r="H128" s="160" t="s">
        <v>103</v>
      </c>
      <c r="I128" s="163">
        <v>18</v>
      </c>
      <c r="J128" s="164" t="s">
        <v>99</v>
      </c>
      <c r="K128" s="165">
        <v>174</v>
      </c>
      <c r="L128" s="166">
        <f t="shared" si="20"/>
        <v>3132</v>
      </c>
      <c r="M128" s="167" t="s">
        <v>730</v>
      </c>
      <c r="N128" s="150" t="s">
        <v>885</v>
      </c>
      <c r="O128" s="150">
        <v>21</v>
      </c>
      <c r="P128" s="150" t="s">
        <v>1257</v>
      </c>
      <c r="Q128" s="150">
        <v>21</v>
      </c>
      <c r="S128" s="150"/>
      <c r="T128" s="45" t="s">
        <v>1414</v>
      </c>
      <c r="U128" s="45" t="s">
        <v>1415</v>
      </c>
      <c r="V128" s="45" t="s">
        <v>1416</v>
      </c>
      <c r="W128" s="45" t="s">
        <v>1417</v>
      </c>
      <c r="X128" s="98">
        <v>44816</v>
      </c>
      <c r="Y128" s="98">
        <v>45086</v>
      </c>
      <c r="Z128" s="98"/>
      <c r="AA128" s="98"/>
      <c r="AB128" s="41" t="s">
        <v>1114</v>
      </c>
      <c r="AC128" s="41"/>
      <c r="AD128" s="42"/>
      <c r="AE128" s="42"/>
      <c r="AF128" s="42"/>
      <c r="AG128" s="42" t="s">
        <v>734</v>
      </c>
      <c r="AH128" s="42" t="s">
        <v>734</v>
      </c>
      <c r="AI128" s="42" t="s">
        <v>734</v>
      </c>
      <c r="AJ128" s="42" t="s">
        <v>734</v>
      </c>
      <c r="AK128" s="42" t="s">
        <v>734</v>
      </c>
      <c r="AL128" s="42" t="s">
        <v>734</v>
      </c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68">
        <v>172.02</v>
      </c>
      <c r="BA128" s="68"/>
      <c r="BB128" s="68"/>
      <c r="BD128" s="67">
        <f t="shared" si="23"/>
        <v>29931.480000000003</v>
      </c>
      <c r="BE128" s="67"/>
      <c r="BF128" s="37"/>
      <c r="BG128" s="73">
        <v>1</v>
      </c>
      <c r="BH128" s="67">
        <f>IF(AND((AX128/I128)&lt;2,BG128=1),(I128*2)-AX128,0)</f>
        <v>0</v>
      </c>
      <c r="BI128" s="67">
        <f>IF(AND((AX128/I128)&lt;3,BG128=2),(I128*3)-AX128,0)</f>
        <v>0</v>
      </c>
      <c r="BJ128" s="70">
        <f>(BH128+BI128)*K128</f>
        <v>0</v>
      </c>
      <c r="BN128" s="67">
        <f>IF((AX128+AY128+AZ128)&lt;20,(20-(AX128+AY128+AZ128)),0)</f>
        <v>0</v>
      </c>
      <c r="BO128" s="70">
        <f t="shared" si="21"/>
        <v>0</v>
      </c>
      <c r="BP128" s="37">
        <v>15</v>
      </c>
      <c r="BQ128" s="37">
        <v>20</v>
      </c>
      <c r="BR128" s="37">
        <v>21</v>
      </c>
      <c r="BS128" s="37">
        <v>15</v>
      </c>
      <c r="BT128" s="87">
        <f t="shared" si="22"/>
        <v>172.02</v>
      </c>
      <c r="BU128" s="87"/>
      <c r="BV128" s="87"/>
      <c r="BW128" s="87"/>
      <c r="BX128" s="87"/>
      <c r="BY128" s="87"/>
      <c r="BZ128" s="87"/>
      <c r="CA128" s="87"/>
      <c r="CB128" s="87"/>
      <c r="CC128" s="87"/>
      <c r="CD128" s="87"/>
      <c r="CF128" s="67">
        <f t="shared" si="24"/>
        <v>2580.3000000000002</v>
      </c>
      <c r="CG128" s="67">
        <f t="shared" si="25"/>
        <v>3440.4</v>
      </c>
      <c r="CH128" s="67">
        <f t="shared" si="26"/>
        <v>3612.42</v>
      </c>
      <c r="CI128" s="67">
        <f t="shared" si="31"/>
        <v>2580.3000000000002</v>
      </c>
      <c r="CJ128" s="37">
        <f t="shared" si="27"/>
        <v>270</v>
      </c>
      <c r="CK128" s="37">
        <f t="shared" si="28"/>
        <v>360</v>
      </c>
      <c r="CL128" s="37">
        <f t="shared" si="29"/>
        <v>378</v>
      </c>
      <c r="CM128" s="37">
        <f t="shared" si="30"/>
        <v>270</v>
      </c>
    </row>
    <row r="129" spans="1:91" ht="25.5">
      <c r="B129" s="156">
        <v>125</v>
      </c>
      <c r="C129" s="174">
        <v>103</v>
      </c>
      <c r="D129" s="164">
        <v>183</v>
      </c>
      <c r="E129" s="161">
        <v>0.2951388888888889</v>
      </c>
      <c r="F129" s="161">
        <v>0.31666666666666665</v>
      </c>
      <c r="G129" s="160" t="s">
        <v>100</v>
      </c>
      <c r="H129" s="160" t="s">
        <v>97</v>
      </c>
      <c r="I129" s="163">
        <v>16</v>
      </c>
      <c r="J129" s="164" t="s">
        <v>99</v>
      </c>
      <c r="K129" s="165">
        <v>208</v>
      </c>
      <c r="L129" s="166">
        <f t="shared" ref="L129:L192" si="32">+K129*I129</f>
        <v>3328</v>
      </c>
      <c r="M129" s="167" t="s">
        <v>733</v>
      </c>
      <c r="N129" s="154" t="s">
        <v>880</v>
      </c>
      <c r="O129" s="154">
        <v>17</v>
      </c>
      <c r="P129" s="150" t="s">
        <v>1912</v>
      </c>
      <c r="Q129" s="150">
        <v>18</v>
      </c>
      <c r="R129" s="154" t="s">
        <v>882</v>
      </c>
      <c r="S129" s="151">
        <v>23</v>
      </c>
      <c r="T129" s="45">
        <v>1122</v>
      </c>
      <c r="U129" s="45" t="s">
        <v>1340</v>
      </c>
      <c r="V129" s="45" t="s">
        <v>1418</v>
      </c>
      <c r="W129" s="45" t="s">
        <v>1419</v>
      </c>
      <c r="X129" s="98">
        <v>44816</v>
      </c>
      <c r="Y129" s="98">
        <v>45086</v>
      </c>
      <c r="Z129" s="98"/>
      <c r="AA129" s="98"/>
      <c r="AB129" s="41" t="s">
        <v>1118</v>
      </c>
      <c r="AC129" s="41"/>
      <c r="AD129" s="42"/>
      <c r="AE129" s="42"/>
      <c r="AF129" s="42"/>
      <c r="AG129" s="42" t="s">
        <v>734</v>
      </c>
      <c r="AH129" s="42" t="s">
        <v>734</v>
      </c>
      <c r="AI129" s="42" t="s">
        <v>734</v>
      </c>
      <c r="AJ129" s="42" t="s">
        <v>734</v>
      </c>
      <c r="AK129" s="42" t="s">
        <v>734</v>
      </c>
      <c r="AL129" s="42" t="s">
        <v>734</v>
      </c>
      <c r="AM129" s="42" t="s">
        <v>734</v>
      </c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68">
        <v>88.88</v>
      </c>
      <c r="BA129" s="68"/>
      <c r="BB129" s="68"/>
      <c r="BC129" s="39">
        <v>3</v>
      </c>
      <c r="BD129" s="67">
        <f t="shared" si="23"/>
        <v>18487.04</v>
      </c>
      <c r="BE129" s="67"/>
      <c r="BF129" s="37"/>
      <c r="BG129" s="73">
        <v>1</v>
      </c>
      <c r="BH129" s="67">
        <f>IF(AND((AX129/I129)&lt;2,BG129=1),(I129*2)-AX129,0)</f>
        <v>0</v>
      </c>
      <c r="BI129" s="67">
        <f>IF(AND((AX129/I129)&lt;3,BG129=2),(I129*3)-AX129,0)</f>
        <v>0</v>
      </c>
      <c r="BJ129" s="70">
        <f>(BH129+BI129)*K129</f>
        <v>0</v>
      </c>
      <c r="BN129" s="37"/>
      <c r="BO129" s="70">
        <f t="shared" ref="BO129:BO192" si="33">BN129*K129</f>
        <v>0</v>
      </c>
      <c r="BP129" s="37">
        <v>17</v>
      </c>
      <c r="BQ129" s="37">
        <v>25</v>
      </c>
      <c r="BR129" s="37">
        <v>25</v>
      </c>
      <c r="BS129" s="37">
        <v>18</v>
      </c>
      <c r="BT129" s="87">
        <f t="shared" ref="BT129:BT192" si="34">SUM(AX129:AZ129)+SUM(BH129:BI129)+SUM(BK129:BL129)+BN129</f>
        <v>88.88</v>
      </c>
      <c r="BU129" s="87" t="s">
        <v>1871</v>
      </c>
      <c r="BV129" s="127">
        <v>1</v>
      </c>
      <c r="BW129" s="127"/>
      <c r="BX129" s="127">
        <v>1</v>
      </c>
      <c r="BY129" s="127"/>
      <c r="BZ129" s="127">
        <v>1</v>
      </c>
      <c r="CA129" s="127"/>
      <c r="CB129" s="127">
        <v>1</v>
      </c>
      <c r="CC129" s="127"/>
      <c r="CD129" s="87">
        <v>1191.3</v>
      </c>
      <c r="CF129" s="67">
        <f t="shared" si="24"/>
        <v>2702.26</v>
      </c>
      <c r="CG129" s="67">
        <f t="shared" si="25"/>
        <v>3413.3</v>
      </c>
      <c r="CH129" s="67">
        <f t="shared" si="26"/>
        <v>3413.3</v>
      </c>
      <c r="CI129" s="67">
        <f t="shared" si="31"/>
        <v>2791.14</v>
      </c>
      <c r="CJ129" s="37">
        <f t="shared" si="27"/>
        <v>272</v>
      </c>
      <c r="CK129" s="37">
        <f t="shared" si="28"/>
        <v>400</v>
      </c>
      <c r="CL129" s="37">
        <f t="shared" si="29"/>
        <v>400</v>
      </c>
      <c r="CM129" s="37">
        <f t="shared" si="30"/>
        <v>288</v>
      </c>
    </row>
    <row r="130" spans="1:91" ht="45">
      <c r="B130" s="156">
        <v>126</v>
      </c>
      <c r="C130" s="169">
        <v>103</v>
      </c>
      <c r="D130" s="169">
        <v>224</v>
      </c>
      <c r="E130" s="170">
        <v>0.43055555555555558</v>
      </c>
      <c r="F130" s="170">
        <v>0.44444444444444442</v>
      </c>
      <c r="G130" s="171" t="s">
        <v>19</v>
      </c>
      <c r="H130" s="171" t="s">
        <v>1</v>
      </c>
      <c r="I130" s="169">
        <v>11</v>
      </c>
      <c r="J130" s="172">
        <v>30</v>
      </c>
      <c r="K130" s="165">
        <v>67</v>
      </c>
      <c r="L130" s="166">
        <f t="shared" si="32"/>
        <v>737</v>
      </c>
      <c r="M130" s="167" t="s">
        <v>731</v>
      </c>
      <c r="N130" s="150" t="s">
        <v>795</v>
      </c>
      <c r="O130" s="150">
        <v>35</v>
      </c>
      <c r="P130" s="154" t="s">
        <v>1258</v>
      </c>
      <c r="Q130" s="154">
        <v>23</v>
      </c>
      <c r="R130" s="150" t="s">
        <v>1259</v>
      </c>
      <c r="S130" s="151">
        <v>21</v>
      </c>
      <c r="T130" s="45">
        <v>1</v>
      </c>
      <c r="U130" s="45" t="s">
        <v>1336</v>
      </c>
      <c r="V130" s="45">
        <v>1100</v>
      </c>
      <c r="W130" s="45" t="s">
        <v>1420</v>
      </c>
      <c r="X130" s="99">
        <v>44562</v>
      </c>
      <c r="Y130" s="99">
        <v>44815</v>
      </c>
      <c r="Z130" s="99">
        <v>45101</v>
      </c>
      <c r="AA130" s="99">
        <v>45169</v>
      </c>
      <c r="AB130" s="42" t="s">
        <v>1119</v>
      </c>
      <c r="AC130" s="42"/>
      <c r="AD130" s="42"/>
      <c r="AE130" s="42" t="s">
        <v>734</v>
      </c>
      <c r="AF130" s="42" t="s">
        <v>734</v>
      </c>
      <c r="AG130" s="42"/>
      <c r="AH130" s="42" t="s">
        <v>734</v>
      </c>
      <c r="AI130" s="42" t="s">
        <v>734</v>
      </c>
      <c r="AJ130" s="42" t="s">
        <v>734</v>
      </c>
      <c r="AK130" s="42" t="s">
        <v>734</v>
      </c>
      <c r="AL130" s="42" t="s">
        <v>734</v>
      </c>
      <c r="AM130" s="42" t="s">
        <v>734</v>
      </c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37"/>
      <c r="AY130" s="67">
        <f>2.2*11</f>
        <v>24.200000000000003</v>
      </c>
      <c r="BD130" s="67">
        <f t="shared" si="23"/>
        <v>0</v>
      </c>
      <c r="BE130" s="67">
        <f>AY130*K130</f>
        <v>1621.4</v>
      </c>
      <c r="BF130" s="37"/>
      <c r="BG130" s="73">
        <v>1</v>
      </c>
      <c r="BI130" s="67"/>
      <c r="BJ130" s="37"/>
      <c r="BK130" s="67">
        <f>IF(AND((AY130/I130)&lt;2,BG130=1),(I130*2)-AY130,0)</f>
        <v>0</v>
      </c>
      <c r="BL130" s="67">
        <f>IF(AND((AY130/I130)&lt;3,BG130=2),(I130*3)-AY130,0)</f>
        <v>0</v>
      </c>
      <c r="BM130" s="70">
        <f>(BK130+BL130)*K130</f>
        <v>0</v>
      </c>
      <c r="BN130" s="37"/>
      <c r="BO130" s="70">
        <f t="shared" si="33"/>
        <v>0</v>
      </c>
      <c r="BP130" s="37">
        <v>9</v>
      </c>
      <c r="BQ130" s="37">
        <v>0</v>
      </c>
      <c r="BR130" s="37">
        <v>0</v>
      </c>
      <c r="BS130" s="37">
        <v>0</v>
      </c>
      <c r="BT130" s="87">
        <f t="shared" si="34"/>
        <v>24.200000000000003</v>
      </c>
      <c r="BU130" s="87"/>
      <c r="BV130" s="87"/>
      <c r="BW130" s="87"/>
      <c r="BX130" s="87"/>
      <c r="BY130" s="87"/>
      <c r="BZ130" s="87"/>
      <c r="CA130" s="87"/>
      <c r="CB130" s="87"/>
      <c r="CC130" s="87"/>
      <c r="CD130" s="87"/>
      <c r="CF130" s="67">
        <f t="shared" si="24"/>
        <v>217.8</v>
      </c>
      <c r="CG130" s="67">
        <f t="shared" si="25"/>
        <v>0</v>
      </c>
      <c r="CH130" s="67">
        <f t="shared" si="26"/>
        <v>0</v>
      </c>
      <c r="CI130" s="67">
        <f t="shared" si="31"/>
        <v>0</v>
      </c>
      <c r="CJ130" s="37">
        <f t="shared" si="27"/>
        <v>99</v>
      </c>
      <c r="CK130" s="37">
        <f t="shared" si="28"/>
        <v>0</v>
      </c>
      <c r="CL130" s="37">
        <f t="shared" si="29"/>
        <v>0</v>
      </c>
      <c r="CM130" s="37">
        <f t="shared" si="30"/>
        <v>0</v>
      </c>
    </row>
    <row r="131" spans="1:91" ht="45">
      <c r="B131" s="156">
        <v>127</v>
      </c>
      <c r="C131" s="160">
        <v>103</v>
      </c>
      <c r="D131" s="160">
        <v>442</v>
      </c>
      <c r="E131" s="173">
        <v>0.58124999999999993</v>
      </c>
      <c r="F131" s="173">
        <v>0.58958333333333335</v>
      </c>
      <c r="G131" s="160" t="s">
        <v>1062</v>
      </c>
      <c r="H131" s="160" t="s">
        <v>97</v>
      </c>
      <c r="I131" s="163">
        <v>2</v>
      </c>
      <c r="J131" s="164">
        <v>19</v>
      </c>
      <c r="K131" s="165">
        <v>208</v>
      </c>
      <c r="L131" s="166">
        <f t="shared" si="32"/>
        <v>416</v>
      </c>
      <c r="M131" s="167" t="s">
        <v>731</v>
      </c>
      <c r="N131" s="150" t="s">
        <v>839</v>
      </c>
      <c r="O131" s="150">
        <v>30</v>
      </c>
      <c r="P131" s="154" t="s">
        <v>1913</v>
      </c>
      <c r="Q131" s="154">
        <v>20</v>
      </c>
      <c r="S131" s="150"/>
      <c r="T131" s="45">
        <v>1111</v>
      </c>
      <c r="U131" s="45" t="s">
        <v>1421</v>
      </c>
      <c r="V131" s="45" t="s">
        <v>1422</v>
      </c>
      <c r="W131" s="45" t="s">
        <v>1423</v>
      </c>
      <c r="X131" s="98">
        <v>44816</v>
      </c>
      <c r="Y131" s="98">
        <v>45086</v>
      </c>
      <c r="Z131" s="98"/>
      <c r="AA131" s="98"/>
      <c r="AB131" s="41" t="s">
        <v>1118</v>
      </c>
      <c r="AC131" s="41"/>
      <c r="AD131" s="42"/>
      <c r="AE131" s="42"/>
      <c r="AF131" s="42"/>
      <c r="AG131" s="42" t="s">
        <v>734</v>
      </c>
      <c r="AH131" s="42" t="s">
        <v>734</v>
      </c>
      <c r="AI131" s="42" t="s">
        <v>734</v>
      </c>
      <c r="AJ131" s="42" t="s">
        <v>734</v>
      </c>
      <c r="AK131" s="42" t="s">
        <v>734</v>
      </c>
      <c r="AL131" s="42" t="s">
        <v>734</v>
      </c>
      <c r="AM131" s="42" t="s">
        <v>734</v>
      </c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68">
        <v>31.98</v>
      </c>
      <c r="BA131" s="68"/>
      <c r="BB131" s="68"/>
      <c r="BD131" s="67">
        <f t="shared" ref="BD131:BD194" si="35">AX131*K131</f>
        <v>6651.84</v>
      </c>
      <c r="BE131" s="67"/>
      <c r="BF131" s="37"/>
      <c r="BG131" s="73">
        <v>1</v>
      </c>
      <c r="BH131" s="67">
        <f t="shared" ref="BH131:BH136" si="36">IF(AND((AX131/I131)&lt;2,BG131=1),(I131*2)-AX131,0)</f>
        <v>0</v>
      </c>
      <c r="BI131" s="67">
        <f t="shared" ref="BI131:BI136" si="37">IF(AND((AX131/I131)&lt;3,BG131=2),(I131*3)-AX131,0)</f>
        <v>0</v>
      </c>
      <c r="BJ131" s="70">
        <f t="shared" ref="BJ131:BJ136" si="38">(BH131+BI131)*K131</f>
        <v>0</v>
      </c>
      <c r="BN131" s="37"/>
      <c r="BO131" s="70">
        <f t="shared" si="33"/>
        <v>0</v>
      </c>
      <c r="BP131" s="37">
        <v>17</v>
      </c>
      <c r="BQ131" s="37">
        <v>25</v>
      </c>
      <c r="BR131" s="37">
        <v>25</v>
      </c>
      <c r="BS131" s="37">
        <v>18</v>
      </c>
      <c r="BT131" s="87">
        <f t="shared" si="34"/>
        <v>31.98</v>
      </c>
      <c r="BU131" s="87"/>
      <c r="BV131" s="87"/>
      <c r="BW131" s="87"/>
      <c r="BX131" s="87"/>
      <c r="BY131" s="87"/>
      <c r="BZ131" s="87"/>
      <c r="CA131" s="87"/>
      <c r="CB131" s="87"/>
      <c r="CC131" s="87"/>
      <c r="CD131" s="87"/>
      <c r="CF131" s="67">
        <f t="shared" ref="CF131:CF194" si="39">(BT131*BP131)+(BV131*CD131)</f>
        <v>543.66</v>
      </c>
      <c r="CG131" s="67">
        <f t="shared" ref="CG131:CG194" si="40">(BT131*BQ131)+(BX131*CD131)</f>
        <v>799.5</v>
      </c>
      <c r="CH131" s="67">
        <f t="shared" ref="CH131:CH194" si="41">(BR131*BT131)+(BZ131*CD131)</f>
        <v>799.5</v>
      </c>
      <c r="CI131" s="67">
        <f t="shared" si="31"/>
        <v>575.64</v>
      </c>
      <c r="CJ131" s="37">
        <f t="shared" ref="CJ131:CJ194" si="42">BP131*I131</f>
        <v>34</v>
      </c>
      <c r="CK131" s="37">
        <f t="shared" ref="CK131:CK194" si="43">BQ131*I131</f>
        <v>50</v>
      </c>
      <c r="CL131" s="37">
        <f t="shared" ref="CL131:CL194" si="44">BR131*I131</f>
        <v>50</v>
      </c>
      <c r="CM131" s="37">
        <f t="shared" ref="CM131:CM194" si="45">BS131*I131</f>
        <v>36</v>
      </c>
    </row>
    <row r="132" spans="1:91" ht="25.5">
      <c r="B132" s="156">
        <v>128</v>
      </c>
      <c r="C132" s="160">
        <v>103</v>
      </c>
      <c r="D132" s="162">
        <v>203</v>
      </c>
      <c r="E132" s="161">
        <v>0.58333333333333337</v>
      </c>
      <c r="F132" s="161">
        <v>0.58888888888888891</v>
      </c>
      <c r="G132" s="160" t="s">
        <v>520</v>
      </c>
      <c r="H132" s="160" t="s">
        <v>97</v>
      </c>
      <c r="I132" s="163">
        <v>6.5</v>
      </c>
      <c r="J132" s="164" t="s">
        <v>146</v>
      </c>
      <c r="K132" s="165">
        <v>208</v>
      </c>
      <c r="L132" s="166">
        <f t="shared" si="32"/>
        <v>1352</v>
      </c>
      <c r="M132" s="167" t="s">
        <v>723</v>
      </c>
      <c r="N132" s="150" t="s">
        <v>868</v>
      </c>
      <c r="O132" s="150">
        <v>21</v>
      </c>
      <c r="P132" s="154" t="s">
        <v>1914</v>
      </c>
      <c r="Q132" s="154">
        <v>21</v>
      </c>
      <c r="S132" s="150"/>
      <c r="T132" s="45" t="s">
        <v>1424</v>
      </c>
      <c r="U132" s="45" t="s">
        <v>1425</v>
      </c>
      <c r="V132" s="45">
        <v>1127</v>
      </c>
      <c r="W132" s="45" t="s">
        <v>1426</v>
      </c>
      <c r="X132" s="98">
        <v>44816</v>
      </c>
      <c r="Y132" s="98">
        <v>45086</v>
      </c>
      <c r="Z132" s="98"/>
      <c r="AA132" s="98"/>
      <c r="AB132" s="41" t="s">
        <v>1118</v>
      </c>
      <c r="AC132" s="41"/>
      <c r="AD132" s="42"/>
      <c r="AE132" s="42"/>
      <c r="AF132" s="42"/>
      <c r="AG132" s="42" t="s">
        <v>734</v>
      </c>
      <c r="AH132" s="42" t="s">
        <v>734</v>
      </c>
      <c r="AI132" s="42" t="s">
        <v>734</v>
      </c>
      <c r="AJ132" s="42" t="s">
        <v>734</v>
      </c>
      <c r="AK132" s="42" t="s">
        <v>734</v>
      </c>
      <c r="AL132" s="42" t="s">
        <v>734</v>
      </c>
      <c r="AM132" s="42" t="s">
        <v>734</v>
      </c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68">
        <v>49.38</v>
      </c>
      <c r="BA132" s="68"/>
      <c r="BB132" s="68"/>
      <c r="BD132" s="67">
        <f t="shared" si="35"/>
        <v>10271.040000000001</v>
      </c>
      <c r="BE132" s="67"/>
      <c r="BF132" s="37"/>
      <c r="BG132" s="73">
        <v>1</v>
      </c>
      <c r="BH132" s="67">
        <f t="shared" si="36"/>
        <v>0</v>
      </c>
      <c r="BI132" s="67">
        <f t="shared" si="37"/>
        <v>0</v>
      </c>
      <c r="BJ132" s="70">
        <f t="shared" si="38"/>
        <v>0</v>
      </c>
      <c r="BN132" s="37"/>
      <c r="BO132" s="70">
        <f t="shared" si="33"/>
        <v>0</v>
      </c>
      <c r="BP132" s="37">
        <v>17</v>
      </c>
      <c r="BQ132" s="37">
        <v>25</v>
      </c>
      <c r="BR132" s="37">
        <v>25</v>
      </c>
      <c r="BS132" s="37">
        <v>18</v>
      </c>
      <c r="BT132" s="87">
        <f t="shared" si="34"/>
        <v>49.38</v>
      </c>
      <c r="BU132" s="87"/>
      <c r="BV132" s="87"/>
      <c r="BW132" s="87"/>
      <c r="BX132" s="87"/>
      <c r="BY132" s="87"/>
      <c r="BZ132" s="87"/>
      <c r="CA132" s="87"/>
      <c r="CB132" s="87"/>
      <c r="CC132" s="87"/>
      <c r="CD132" s="87"/>
      <c r="CF132" s="67">
        <f t="shared" si="39"/>
        <v>839.46</v>
      </c>
      <c r="CG132" s="67">
        <f t="shared" si="40"/>
        <v>1234.5</v>
      </c>
      <c r="CH132" s="67">
        <f t="shared" si="41"/>
        <v>1234.5</v>
      </c>
      <c r="CI132" s="67">
        <f t="shared" ref="CI132:CI195" si="46">(BS132*BT132)+(CB132*CD132)</f>
        <v>888.84</v>
      </c>
      <c r="CJ132" s="37">
        <f t="shared" si="42"/>
        <v>110.5</v>
      </c>
      <c r="CK132" s="37">
        <f t="shared" si="43"/>
        <v>162.5</v>
      </c>
      <c r="CL132" s="37">
        <f t="shared" si="44"/>
        <v>162.5</v>
      </c>
      <c r="CM132" s="37">
        <f t="shared" si="45"/>
        <v>117</v>
      </c>
    </row>
    <row r="133" spans="1:91" ht="25.5">
      <c r="B133" s="156">
        <v>129</v>
      </c>
      <c r="C133" s="160">
        <v>103</v>
      </c>
      <c r="D133" s="160">
        <v>203</v>
      </c>
      <c r="E133" s="161">
        <v>0.58888888888888891</v>
      </c>
      <c r="F133" s="161">
        <v>0.59583333333333333</v>
      </c>
      <c r="G133" s="160" t="s">
        <v>302</v>
      </c>
      <c r="H133" s="160" t="s">
        <v>97</v>
      </c>
      <c r="I133" s="163">
        <v>6</v>
      </c>
      <c r="J133" s="164" t="s">
        <v>269</v>
      </c>
      <c r="K133" s="165">
        <v>208</v>
      </c>
      <c r="L133" s="166">
        <f t="shared" si="32"/>
        <v>1248</v>
      </c>
      <c r="M133" s="167" t="s">
        <v>729</v>
      </c>
      <c r="N133" s="154" t="s">
        <v>984</v>
      </c>
      <c r="O133" s="154">
        <v>18</v>
      </c>
      <c r="P133" s="154" t="s">
        <v>886</v>
      </c>
      <c r="Q133" s="154">
        <v>9</v>
      </c>
      <c r="S133" s="154"/>
      <c r="T133" s="45">
        <v>1127</v>
      </c>
      <c r="U133" s="45" t="s">
        <v>1426</v>
      </c>
      <c r="V133" s="45">
        <v>1122</v>
      </c>
      <c r="W133" s="45" t="s">
        <v>1340</v>
      </c>
      <c r="X133" s="98">
        <v>44816</v>
      </c>
      <c r="Y133" s="98">
        <v>45086</v>
      </c>
      <c r="Z133" s="98"/>
      <c r="AA133" s="98"/>
      <c r="AB133" s="41" t="s">
        <v>1118</v>
      </c>
      <c r="AC133" s="41"/>
      <c r="AD133" s="47"/>
      <c r="AE133" s="47"/>
      <c r="AF133" s="47"/>
      <c r="AG133" s="42" t="s">
        <v>734</v>
      </c>
      <c r="AH133" s="42" t="s">
        <v>734</v>
      </c>
      <c r="AI133" s="42" t="s">
        <v>734</v>
      </c>
      <c r="AJ133" s="42" t="s">
        <v>734</v>
      </c>
      <c r="AK133" s="42" t="s">
        <v>734</v>
      </c>
      <c r="AL133" s="42" t="s">
        <v>734</v>
      </c>
      <c r="AM133" s="42" t="s">
        <v>734</v>
      </c>
      <c r="AN133" s="47"/>
      <c r="AO133" s="47"/>
      <c r="AP133" s="47"/>
      <c r="AQ133" s="47"/>
      <c r="AR133" s="42"/>
      <c r="AS133" s="42"/>
      <c r="AT133" s="42"/>
      <c r="AU133" s="42"/>
      <c r="AV133" s="42"/>
      <c r="AW133" s="42"/>
      <c r="AX133" s="68">
        <v>40.119999999999997</v>
      </c>
      <c r="AY133" s="74"/>
      <c r="AZ133" s="74"/>
      <c r="BA133" s="68"/>
      <c r="BB133" s="68"/>
      <c r="BC133" s="74"/>
      <c r="BD133" s="67">
        <f t="shared" si="35"/>
        <v>8344.9599999999991</v>
      </c>
      <c r="BE133" s="67"/>
      <c r="BF133" s="74"/>
      <c r="BG133" s="73">
        <v>1</v>
      </c>
      <c r="BH133" s="67">
        <f t="shared" si="36"/>
        <v>0</v>
      </c>
      <c r="BI133" s="67">
        <f t="shared" si="37"/>
        <v>0</v>
      </c>
      <c r="BJ133" s="70">
        <f t="shared" si="38"/>
        <v>0</v>
      </c>
      <c r="BN133" s="37"/>
      <c r="BO133" s="70">
        <f t="shared" si="33"/>
        <v>0</v>
      </c>
      <c r="BP133" s="37">
        <v>17</v>
      </c>
      <c r="BQ133" s="37">
        <v>25</v>
      </c>
      <c r="BR133" s="37">
        <v>25</v>
      </c>
      <c r="BS133" s="37">
        <v>18</v>
      </c>
      <c r="BT133" s="87">
        <f t="shared" si="34"/>
        <v>40.119999999999997</v>
      </c>
      <c r="BU133" s="87"/>
      <c r="BV133" s="87"/>
      <c r="BW133" s="87"/>
      <c r="BX133" s="87"/>
      <c r="BY133" s="87"/>
      <c r="BZ133" s="87"/>
      <c r="CA133" s="87"/>
      <c r="CB133" s="87"/>
      <c r="CC133" s="87"/>
      <c r="CD133" s="87"/>
      <c r="CF133" s="67">
        <f t="shared" si="39"/>
        <v>682.04</v>
      </c>
      <c r="CG133" s="67">
        <f t="shared" si="40"/>
        <v>1002.9999999999999</v>
      </c>
      <c r="CH133" s="67">
        <f t="shared" si="41"/>
        <v>1002.9999999999999</v>
      </c>
      <c r="CI133" s="67">
        <f t="shared" si="46"/>
        <v>722.16</v>
      </c>
      <c r="CJ133" s="37">
        <f t="shared" si="42"/>
        <v>102</v>
      </c>
      <c r="CK133" s="37">
        <f t="shared" si="43"/>
        <v>150</v>
      </c>
      <c r="CL133" s="37">
        <f t="shared" si="44"/>
        <v>150</v>
      </c>
      <c r="CM133" s="37">
        <f t="shared" si="45"/>
        <v>108</v>
      </c>
    </row>
    <row r="134" spans="1:91" ht="45">
      <c r="B134" s="156">
        <v>130</v>
      </c>
      <c r="C134" s="160">
        <v>103</v>
      </c>
      <c r="D134" s="160">
        <v>232</v>
      </c>
      <c r="E134" s="161">
        <v>0.60763888888888895</v>
      </c>
      <c r="F134" s="161">
        <v>0.61805555555555558</v>
      </c>
      <c r="G134" s="160" t="s">
        <v>387</v>
      </c>
      <c r="H134" s="160" t="s">
        <v>103</v>
      </c>
      <c r="I134" s="163">
        <v>8</v>
      </c>
      <c r="J134" s="164" t="s">
        <v>99</v>
      </c>
      <c r="K134" s="165">
        <v>174</v>
      </c>
      <c r="L134" s="166">
        <f t="shared" si="32"/>
        <v>1392</v>
      </c>
      <c r="M134" s="167" t="s">
        <v>731</v>
      </c>
      <c r="N134" s="150" t="s">
        <v>839</v>
      </c>
      <c r="O134" s="150">
        <v>30</v>
      </c>
      <c r="P134" s="154" t="s">
        <v>1913</v>
      </c>
      <c r="Q134" s="154">
        <v>20</v>
      </c>
      <c r="R134" s="154" t="s">
        <v>795</v>
      </c>
      <c r="S134" s="151">
        <v>35</v>
      </c>
      <c r="T134" s="45">
        <v>1100</v>
      </c>
      <c r="U134" s="45" t="s">
        <v>1420</v>
      </c>
      <c r="V134" s="45">
        <v>1111</v>
      </c>
      <c r="W134" s="45" t="s">
        <v>1421</v>
      </c>
      <c r="X134" s="98">
        <v>44816</v>
      </c>
      <c r="Y134" s="98">
        <v>45086</v>
      </c>
      <c r="Z134" s="98"/>
      <c r="AA134" s="98"/>
      <c r="AB134" s="41" t="s">
        <v>1114</v>
      </c>
      <c r="AC134" s="41"/>
      <c r="AD134" s="42"/>
      <c r="AE134" s="42"/>
      <c r="AF134" s="42"/>
      <c r="AG134" s="42" t="s">
        <v>734</v>
      </c>
      <c r="AH134" s="42" t="s">
        <v>734</v>
      </c>
      <c r="AI134" s="42" t="s">
        <v>734</v>
      </c>
      <c r="AJ134" s="42" t="s">
        <v>734</v>
      </c>
      <c r="AK134" s="42" t="s">
        <v>734</v>
      </c>
      <c r="AL134" s="42" t="s">
        <v>734</v>
      </c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67">
        <f>((24*33)+(16*141))/174</f>
        <v>17.517241379310345</v>
      </c>
      <c r="BA134" s="67"/>
      <c r="BB134" s="67"/>
      <c r="BD134" s="67">
        <f t="shared" si="35"/>
        <v>3048</v>
      </c>
      <c r="BE134" s="67"/>
      <c r="BF134" s="37"/>
      <c r="BG134" s="73">
        <v>1</v>
      </c>
      <c r="BH134" s="67">
        <f t="shared" si="36"/>
        <v>0</v>
      </c>
      <c r="BI134" s="67">
        <f t="shared" si="37"/>
        <v>0</v>
      </c>
      <c r="BJ134" s="70">
        <f t="shared" si="38"/>
        <v>0</v>
      </c>
      <c r="BN134" s="37"/>
      <c r="BO134" s="70">
        <f t="shared" si="33"/>
        <v>0</v>
      </c>
      <c r="BP134" s="37">
        <v>15</v>
      </c>
      <c r="BQ134" s="37">
        <v>20</v>
      </c>
      <c r="BR134" s="37">
        <v>21</v>
      </c>
      <c r="BS134" s="37">
        <v>15</v>
      </c>
      <c r="BT134" s="87">
        <f t="shared" si="34"/>
        <v>17.517241379310345</v>
      </c>
      <c r="BU134" s="87"/>
      <c r="BV134" s="87"/>
      <c r="BW134" s="87"/>
      <c r="BX134" s="87"/>
      <c r="BY134" s="87"/>
      <c r="BZ134" s="87"/>
      <c r="CA134" s="87"/>
      <c r="CB134" s="87"/>
      <c r="CC134" s="87"/>
      <c r="CD134" s="87"/>
      <c r="CF134" s="67">
        <f t="shared" si="39"/>
        <v>262.75862068965517</v>
      </c>
      <c r="CG134" s="67">
        <f t="shared" si="40"/>
        <v>350.34482758620692</v>
      </c>
      <c r="CH134" s="67">
        <f t="shared" si="41"/>
        <v>367.86206896551727</v>
      </c>
      <c r="CI134" s="67">
        <f t="shared" si="46"/>
        <v>262.75862068965517</v>
      </c>
      <c r="CJ134" s="37">
        <f t="shared" si="42"/>
        <v>120</v>
      </c>
      <c r="CK134" s="37">
        <f t="shared" si="43"/>
        <v>160</v>
      </c>
      <c r="CL134" s="37">
        <f t="shared" si="44"/>
        <v>168</v>
      </c>
      <c r="CM134" s="37">
        <f t="shared" si="45"/>
        <v>120</v>
      </c>
    </row>
    <row r="135" spans="1:91" ht="25.5">
      <c r="B135" s="156">
        <v>131</v>
      </c>
      <c r="C135" s="160">
        <v>103</v>
      </c>
      <c r="D135" s="160">
        <v>185</v>
      </c>
      <c r="E135" s="161">
        <v>0.67986111111111114</v>
      </c>
      <c r="F135" s="161">
        <v>0.68819444444444444</v>
      </c>
      <c r="G135" s="160" t="s">
        <v>417</v>
      </c>
      <c r="H135" s="160" t="s">
        <v>194</v>
      </c>
      <c r="I135" s="163">
        <v>8.8000000000000007</v>
      </c>
      <c r="J135" s="164" t="s">
        <v>254</v>
      </c>
      <c r="K135" s="165">
        <f>34+34+36+33</f>
        <v>137</v>
      </c>
      <c r="L135" s="166">
        <f t="shared" si="32"/>
        <v>1205.6000000000001</v>
      </c>
      <c r="M135" s="167" t="s">
        <v>723</v>
      </c>
      <c r="N135" s="150" t="s">
        <v>868</v>
      </c>
      <c r="O135" s="150">
        <v>21</v>
      </c>
      <c r="P135" s="154" t="s">
        <v>1914</v>
      </c>
      <c r="Q135" s="154">
        <v>21</v>
      </c>
      <c r="S135" s="150"/>
      <c r="T135" s="45">
        <v>1122</v>
      </c>
      <c r="U135" s="45" t="s">
        <v>1340</v>
      </c>
      <c r="V135" s="45">
        <v>1118</v>
      </c>
      <c r="W135" s="45" t="s">
        <v>1427</v>
      </c>
      <c r="X135" s="98">
        <v>44816</v>
      </c>
      <c r="Y135" s="98">
        <v>45086</v>
      </c>
      <c r="Z135" s="98"/>
      <c r="AA135" s="98"/>
      <c r="AB135" s="43" t="s">
        <v>1117</v>
      </c>
      <c r="AC135" s="43"/>
      <c r="AD135" s="42"/>
      <c r="AE135" s="42"/>
      <c r="AF135" s="42"/>
      <c r="AG135" s="42" t="s">
        <v>734</v>
      </c>
      <c r="AH135" s="42" t="s">
        <v>734</v>
      </c>
      <c r="AI135" s="42" t="s">
        <v>734</v>
      </c>
      <c r="AJ135" s="42" t="s">
        <v>734</v>
      </c>
      <c r="AK135" s="42" t="s">
        <v>734</v>
      </c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68">
        <v>55.8</v>
      </c>
      <c r="BA135" s="68"/>
      <c r="BB135" s="68"/>
      <c r="BD135" s="67">
        <f t="shared" si="35"/>
        <v>7644.5999999999995</v>
      </c>
      <c r="BE135" s="67"/>
      <c r="BF135" s="37"/>
      <c r="BG135" s="69">
        <v>2</v>
      </c>
      <c r="BH135" s="67">
        <f t="shared" si="36"/>
        <v>0</v>
      </c>
      <c r="BI135" s="67">
        <f t="shared" si="37"/>
        <v>0</v>
      </c>
      <c r="BJ135" s="70">
        <f t="shared" si="38"/>
        <v>0</v>
      </c>
      <c r="BN135" s="37"/>
      <c r="BO135" s="70">
        <f t="shared" si="33"/>
        <v>0</v>
      </c>
      <c r="BP135" s="37">
        <v>12</v>
      </c>
      <c r="BQ135" s="37">
        <v>16</v>
      </c>
      <c r="BR135" s="37">
        <v>17</v>
      </c>
      <c r="BS135" s="37">
        <v>12</v>
      </c>
      <c r="BT135" s="87">
        <f t="shared" si="34"/>
        <v>55.8</v>
      </c>
      <c r="BU135" s="87"/>
      <c r="BV135" s="87"/>
      <c r="BW135" s="87"/>
      <c r="BX135" s="87"/>
      <c r="BY135" s="87"/>
      <c r="BZ135" s="87"/>
      <c r="CA135" s="87"/>
      <c r="CB135" s="87"/>
      <c r="CC135" s="87"/>
      <c r="CD135" s="87"/>
      <c r="CF135" s="67">
        <f t="shared" si="39"/>
        <v>669.59999999999991</v>
      </c>
      <c r="CG135" s="67">
        <f t="shared" si="40"/>
        <v>892.8</v>
      </c>
      <c r="CH135" s="67">
        <f t="shared" si="41"/>
        <v>948.59999999999991</v>
      </c>
      <c r="CI135" s="67">
        <f t="shared" si="46"/>
        <v>669.59999999999991</v>
      </c>
      <c r="CJ135" s="37">
        <f t="shared" si="42"/>
        <v>105.60000000000001</v>
      </c>
      <c r="CK135" s="37">
        <f t="shared" si="43"/>
        <v>140.80000000000001</v>
      </c>
      <c r="CL135" s="37">
        <f t="shared" si="44"/>
        <v>149.60000000000002</v>
      </c>
      <c r="CM135" s="37">
        <f t="shared" si="45"/>
        <v>105.60000000000001</v>
      </c>
    </row>
    <row r="136" spans="1:91" ht="45">
      <c r="A136" s="3" t="s">
        <v>1180</v>
      </c>
      <c r="B136" s="156">
        <v>132</v>
      </c>
      <c r="C136" s="160">
        <v>103</v>
      </c>
      <c r="D136" s="160">
        <v>191</v>
      </c>
      <c r="E136" s="161">
        <v>0.68958333333333333</v>
      </c>
      <c r="F136" s="161">
        <v>0.6972222222222223</v>
      </c>
      <c r="G136" s="160" t="s">
        <v>415</v>
      </c>
      <c r="H136" s="160" t="s">
        <v>416</v>
      </c>
      <c r="I136" s="188">
        <v>7.5</v>
      </c>
      <c r="J136" s="164" t="s">
        <v>188</v>
      </c>
      <c r="K136" s="165">
        <v>34</v>
      </c>
      <c r="L136" s="166">
        <f t="shared" si="32"/>
        <v>255</v>
      </c>
      <c r="M136" s="167" t="s">
        <v>731</v>
      </c>
      <c r="N136" s="150" t="s">
        <v>839</v>
      </c>
      <c r="O136" s="150">
        <v>30</v>
      </c>
      <c r="P136" s="154" t="s">
        <v>1913</v>
      </c>
      <c r="Q136" s="154">
        <v>20</v>
      </c>
      <c r="R136" s="154" t="s">
        <v>1259</v>
      </c>
      <c r="S136" s="151">
        <v>21</v>
      </c>
      <c r="T136" s="45">
        <v>1118</v>
      </c>
      <c r="U136" s="45" t="s">
        <v>1427</v>
      </c>
      <c r="V136" s="45" t="s">
        <v>1414</v>
      </c>
      <c r="W136" s="45" t="s">
        <v>1428</v>
      </c>
      <c r="X136" s="98">
        <v>44816</v>
      </c>
      <c r="Y136" s="98">
        <v>45086</v>
      </c>
      <c r="Z136" s="98"/>
      <c r="AA136" s="98"/>
      <c r="AB136" s="43" t="s">
        <v>1129</v>
      </c>
      <c r="AC136" s="43"/>
      <c r="AD136" s="42"/>
      <c r="AE136" s="42"/>
      <c r="AF136" s="42"/>
      <c r="AG136" s="42" t="s">
        <v>734</v>
      </c>
      <c r="AH136" s="42"/>
      <c r="AI136" s="42" t="s">
        <v>734</v>
      </c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68">
        <v>9.9</v>
      </c>
      <c r="BA136" s="68"/>
      <c r="BB136" s="68"/>
      <c r="BD136" s="67">
        <f t="shared" si="35"/>
        <v>336.6</v>
      </c>
      <c r="BE136" s="67"/>
      <c r="BF136" s="37"/>
      <c r="BG136" s="73">
        <v>1</v>
      </c>
      <c r="BH136" s="67">
        <f t="shared" si="36"/>
        <v>5.0999999999999996</v>
      </c>
      <c r="BI136" s="67">
        <f t="shared" si="37"/>
        <v>0</v>
      </c>
      <c r="BJ136" s="67">
        <f t="shared" si="38"/>
        <v>173.39999999999998</v>
      </c>
      <c r="BN136" s="37"/>
      <c r="BO136" s="70">
        <f t="shared" si="33"/>
        <v>0</v>
      </c>
      <c r="BP136" s="37">
        <v>3</v>
      </c>
      <c r="BQ136" s="37">
        <v>4</v>
      </c>
      <c r="BR136" s="37">
        <v>4</v>
      </c>
      <c r="BS136" s="37">
        <v>3</v>
      </c>
      <c r="BT136" s="87">
        <f t="shared" si="34"/>
        <v>15</v>
      </c>
      <c r="BU136" s="87"/>
      <c r="BV136" s="87"/>
      <c r="BW136" s="87"/>
      <c r="BX136" s="87"/>
      <c r="BY136" s="87"/>
      <c r="BZ136" s="87"/>
      <c r="CA136" s="87"/>
      <c r="CB136" s="87"/>
      <c r="CC136" s="87"/>
      <c r="CD136" s="87"/>
      <c r="CF136" s="67">
        <f t="shared" si="39"/>
        <v>45</v>
      </c>
      <c r="CG136" s="67">
        <f t="shared" si="40"/>
        <v>60</v>
      </c>
      <c r="CH136" s="67">
        <f t="shared" si="41"/>
        <v>60</v>
      </c>
      <c r="CI136" s="67">
        <f t="shared" si="46"/>
        <v>45</v>
      </c>
      <c r="CJ136" s="37">
        <f t="shared" si="42"/>
        <v>22.5</v>
      </c>
      <c r="CK136" s="37">
        <f t="shared" si="43"/>
        <v>30</v>
      </c>
      <c r="CL136" s="37">
        <f t="shared" si="44"/>
        <v>30</v>
      </c>
      <c r="CM136" s="37">
        <f t="shared" si="45"/>
        <v>22.5</v>
      </c>
    </row>
    <row r="137" spans="1:91" ht="45">
      <c r="B137" s="156">
        <v>133</v>
      </c>
      <c r="C137" s="169">
        <v>103</v>
      </c>
      <c r="D137" s="189">
        <v>123</v>
      </c>
      <c r="E137" s="170">
        <v>0.78819444444444453</v>
      </c>
      <c r="F137" s="170">
        <v>0.80208333333333337</v>
      </c>
      <c r="G137" s="171" t="s">
        <v>21</v>
      </c>
      <c r="H137" s="160" t="s">
        <v>203</v>
      </c>
      <c r="I137" s="169">
        <v>11</v>
      </c>
      <c r="J137" s="172">
        <v>30</v>
      </c>
      <c r="K137" s="165">
        <v>202</v>
      </c>
      <c r="L137" s="166">
        <f t="shared" si="32"/>
        <v>2222</v>
      </c>
      <c r="M137" s="167" t="s">
        <v>731</v>
      </c>
      <c r="N137" s="150" t="s">
        <v>839</v>
      </c>
      <c r="O137" s="150">
        <v>30</v>
      </c>
      <c r="P137" s="150" t="s">
        <v>1259</v>
      </c>
      <c r="Q137" s="150">
        <v>21</v>
      </c>
      <c r="R137" s="150" t="s">
        <v>795</v>
      </c>
      <c r="S137" s="151">
        <v>35</v>
      </c>
      <c r="T137" s="45">
        <v>1100</v>
      </c>
      <c r="U137" s="45" t="s">
        <v>1429</v>
      </c>
      <c r="V137" s="45">
        <v>1</v>
      </c>
      <c r="W137" s="45" t="s">
        <v>1430</v>
      </c>
      <c r="X137" s="99">
        <v>44816</v>
      </c>
      <c r="Y137" s="99">
        <v>45100</v>
      </c>
      <c r="Z137" s="99"/>
      <c r="AA137" s="99"/>
      <c r="AB137" s="41" t="s">
        <v>1120</v>
      </c>
      <c r="AC137" s="41"/>
      <c r="AD137" s="41" t="s">
        <v>734</v>
      </c>
      <c r="AE137" s="41"/>
      <c r="AF137" s="41" t="s">
        <v>734</v>
      </c>
      <c r="AG137" s="41"/>
      <c r="AH137" s="41" t="s">
        <v>734</v>
      </c>
      <c r="AI137" s="41" t="s">
        <v>734</v>
      </c>
      <c r="AJ137" s="41" t="s">
        <v>734</v>
      </c>
      <c r="AK137" s="41" t="s">
        <v>734</v>
      </c>
      <c r="AL137" s="41" t="s">
        <v>734</v>
      </c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37"/>
      <c r="AY137" s="67">
        <f>2.2*11</f>
        <v>24.200000000000003</v>
      </c>
      <c r="BD137" s="67">
        <f t="shared" si="35"/>
        <v>0</v>
      </c>
      <c r="BE137" s="67">
        <f>AY137*K137</f>
        <v>4888.4000000000005</v>
      </c>
      <c r="BF137" s="37"/>
      <c r="BG137" s="73">
        <v>1</v>
      </c>
      <c r="BI137" s="67"/>
      <c r="BJ137" s="37"/>
      <c r="BK137" s="67">
        <f>IF(AND((AY137/I137)&lt;2,BG137=1),(I137*2)-AY137,0)</f>
        <v>0</v>
      </c>
      <c r="BL137" s="67">
        <f>IF(AND((AY137/I137)&lt;3,BG137=2),(I137*3)-AY137,0)</f>
        <v>0</v>
      </c>
      <c r="BM137" s="70">
        <f>(BK137+BL137)*K137</f>
        <v>0</v>
      </c>
      <c r="BN137" s="37"/>
      <c r="BO137" s="70">
        <f t="shared" si="33"/>
        <v>0</v>
      </c>
      <c r="BP137" s="37">
        <v>15</v>
      </c>
      <c r="BQ137" s="37">
        <v>21</v>
      </c>
      <c r="BR137" s="37">
        <v>21</v>
      </c>
      <c r="BS137" s="37">
        <v>20</v>
      </c>
      <c r="BT137" s="87">
        <f t="shared" si="34"/>
        <v>24.200000000000003</v>
      </c>
      <c r="BU137" s="87"/>
      <c r="BV137" s="87"/>
      <c r="BW137" s="87"/>
      <c r="BX137" s="87"/>
      <c r="BY137" s="87"/>
      <c r="BZ137" s="87"/>
      <c r="CA137" s="87"/>
      <c r="CB137" s="87"/>
      <c r="CC137" s="87"/>
      <c r="CD137" s="87"/>
      <c r="CF137" s="67">
        <f t="shared" si="39"/>
        <v>363.00000000000006</v>
      </c>
      <c r="CG137" s="67">
        <f t="shared" si="40"/>
        <v>508.20000000000005</v>
      </c>
      <c r="CH137" s="67">
        <f t="shared" si="41"/>
        <v>508.20000000000005</v>
      </c>
      <c r="CI137" s="67">
        <f t="shared" si="46"/>
        <v>484.00000000000006</v>
      </c>
      <c r="CJ137" s="37">
        <f t="shared" si="42"/>
        <v>165</v>
      </c>
      <c r="CK137" s="37">
        <f t="shared" si="43"/>
        <v>231</v>
      </c>
      <c r="CL137" s="37">
        <f t="shared" si="44"/>
        <v>231</v>
      </c>
      <c r="CM137" s="37">
        <f t="shared" si="45"/>
        <v>220</v>
      </c>
    </row>
    <row r="138" spans="1:91" ht="45">
      <c r="B138" s="156">
        <v>134</v>
      </c>
      <c r="C138" s="169">
        <v>103</v>
      </c>
      <c r="D138" s="169">
        <v>325</v>
      </c>
      <c r="E138" s="170">
        <v>0.78819444444444453</v>
      </c>
      <c r="F138" s="170">
        <v>0.80208333333333337</v>
      </c>
      <c r="G138" s="171" t="s">
        <v>21</v>
      </c>
      <c r="H138" s="171" t="s">
        <v>616</v>
      </c>
      <c r="I138" s="169">
        <v>11</v>
      </c>
      <c r="J138" s="172">
        <v>19</v>
      </c>
      <c r="K138" s="165">
        <v>55</v>
      </c>
      <c r="L138" s="166">
        <f t="shared" si="32"/>
        <v>605</v>
      </c>
      <c r="M138" s="167" t="s">
        <v>732</v>
      </c>
      <c r="N138" s="154" t="s">
        <v>797</v>
      </c>
      <c r="O138" s="154">
        <v>21</v>
      </c>
      <c r="P138" s="154" t="s">
        <v>1915</v>
      </c>
      <c r="Q138" s="154">
        <v>23</v>
      </c>
      <c r="S138" s="154"/>
      <c r="T138" s="45">
        <v>1100</v>
      </c>
      <c r="U138" s="45" t="s">
        <v>1420</v>
      </c>
      <c r="V138" s="45">
        <v>1</v>
      </c>
      <c r="W138" s="45" t="s">
        <v>1339</v>
      </c>
      <c r="X138" s="99">
        <v>44562</v>
      </c>
      <c r="Y138" s="99">
        <v>44815</v>
      </c>
      <c r="Z138" s="99">
        <v>45101</v>
      </c>
      <c r="AA138" s="99">
        <v>45169</v>
      </c>
      <c r="AB138" s="42" t="s">
        <v>1121</v>
      </c>
      <c r="AC138" s="42"/>
      <c r="AD138" s="42"/>
      <c r="AE138" s="42" t="s">
        <v>734</v>
      </c>
      <c r="AF138" s="42" t="s">
        <v>734</v>
      </c>
      <c r="AG138" s="42"/>
      <c r="AH138" s="42" t="s">
        <v>734</v>
      </c>
      <c r="AI138" s="42" t="s">
        <v>734</v>
      </c>
      <c r="AJ138" s="42" t="s">
        <v>734</v>
      </c>
      <c r="AK138" s="42" t="s">
        <v>734</v>
      </c>
      <c r="AL138" s="42" t="s">
        <v>734</v>
      </c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BA138" s="38" t="s">
        <v>732</v>
      </c>
      <c r="BB138" s="38"/>
      <c r="BD138" s="67">
        <f t="shared" si="35"/>
        <v>0</v>
      </c>
      <c r="BF138" s="37"/>
      <c r="BG138" s="73">
        <v>1</v>
      </c>
      <c r="BI138" s="67"/>
      <c r="BJ138" s="37"/>
      <c r="BN138" s="37"/>
      <c r="BO138" s="70">
        <f t="shared" si="33"/>
        <v>0</v>
      </c>
      <c r="BP138" s="37">
        <v>7</v>
      </c>
      <c r="BQ138" s="37">
        <v>0</v>
      </c>
      <c r="BR138" s="37">
        <v>0</v>
      </c>
      <c r="BT138" s="87">
        <f t="shared" si="34"/>
        <v>0</v>
      </c>
      <c r="BU138" s="87" t="s">
        <v>1871</v>
      </c>
      <c r="BV138" s="127">
        <v>1</v>
      </c>
      <c r="BW138" s="127"/>
      <c r="BX138" s="127">
        <v>1</v>
      </c>
      <c r="BY138" s="127"/>
      <c r="BZ138" s="127">
        <v>1</v>
      </c>
      <c r="CA138" s="127"/>
      <c r="CB138" s="127">
        <v>1</v>
      </c>
      <c r="CC138" s="127"/>
      <c r="CD138" s="87">
        <v>3250</v>
      </c>
      <c r="CF138" s="67">
        <f t="shared" si="39"/>
        <v>3250</v>
      </c>
      <c r="CG138" s="67">
        <f t="shared" si="40"/>
        <v>3250</v>
      </c>
      <c r="CH138" s="67">
        <f t="shared" si="41"/>
        <v>3250</v>
      </c>
      <c r="CI138" s="67">
        <f t="shared" si="46"/>
        <v>3250</v>
      </c>
      <c r="CJ138" s="37">
        <f t="shared" si="42"/>
        <v>77</v>
      </c>
      <c r="CK138" s="37">
        <f t="shared" si="43"/>
        <v>0</v>
      </c>
      <c r="CL138" s="37">
        <f t="shared" si="44"/>
        <v>0</v>
      </c>
      <c r="CM138" s="37">
        <f t="shared" si="45"/>
        <v>0</v>
      </c>
    </row>
    <row r="139" spans="1:91" ht="45">
      <c r="B139" s="156">
        <v>135</v>
      </c>
      <c r="C139" s="169">
        <v>103</v>
      </c>
      <c r="D139" s="189">
        <v>248</v>
      </c>
      <c r="E139" s="170">
        <v>0.8125</v>
      </c>
      <c r="F139" s="170">
        <v>0.82638888888888884</v>
      </c>
      <c r="G139" s="171" t="s">
        <v>19</v>
      </c>
      <c r="H139" s="171" t="s">
        <v>18</v>
      </c>
      <c r="I139" s="169">
        <v>11</v>
      </c>
      <c r="J139" s="172">
        <v>30</v>
      </c>
      <c r="K139" s="165">
        <v>304</v>
      </c>
      <c r="L139" s="166">
        <f t="shared" si="32"/>
        <v>3344</v>
      </c>
      <c r="M139" s="167" t="s">
        <v>731</v>
      </c>
      <c r="N139" s="150" t="s">
        <v>839</v>
      </c>
      <c r="O139" s="150">
        <v>30</v>
      </c>
      <c r="P139" s="150" t="s">
        <v>1259</v>
      </c>
      <c r="Q139" s="150">
        <v>21</v>
      </c>
      <c r="R139" s="154" t="s">
        <v>1258</v>
      </c>
      <c r="S139" s="154">
        <v>23</v>
      </c>
      <c r="T139" s="45">
        <v>1</v>
      </c>
      <c r="U139" s="45" t="s">
        <v>1336</v>
      </c>
      <c r="V139" s="45">
        <v>1100</v>
      </c>
      <c r="W139" s="45" t="s">
        <v>1420</v>
      </c>
      <c r="X139" s="98">
        <v>44805</v>
      </c>
      <c r="Y139" s="98">
        <v>45169</v>
      </c>
      <c r="Z139" s="98"/>
      <c r="AA139" s="98"/>
      <c r="AB139" s="42" t="s">
        <v>1125</v>
      </c>
      <c r="AC139" s="42"/>
      <c r="AD139" s="42" t="s">
        <v>734</v>
      </c>
      <c r="AE139" s="42" t="s">
        <v>734</v>
      </c>
      <c r="AF139" s="42" t="s">
        <v>734</v>
      </c>
      <c r="AG139" s="42"/>
      <c r="AH139" s="42" t="s">
        <v>734</v>
      </c>
      <c r="AI139" s="42" t="s">
        <v>734</v>
      </c>
      <c r="AJ139" s="42" t="s">
        <v>734</v>
      </c>
      <c r="AK139" s="42" t="s">
        <v>734</v>
      </c>
      <c r="AL139" s="42" t="s">
        <v>734</v>
      </c>
      <c r="AM139" s="42" t="s">
        <v>734</v>
      </c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Y139" s="67">
        <f>2.2*11</f>
        <v>24.200000000000003</v>
      </c>
      <c r="BD139" s="67">
        <f t="shared" si="35"/>
        <v>0</v>
      </c>
      <c r="BE139" s="67">
        <f>AY139*K139</f>
        <v>7356.8000000000011</v>
      </c>
      <c r="BF139" s="37"/>
      <c r="BG139" s="73">
        <v>1</v>
      </c>
      <c r="BI139" s="67"/>
      <c r="BJ139" s="37"/>
      <c r="BK139" s="67">
        <f>IF(AND((AY139/I139)&lt;2,BG139=1),(I139*2)-AY139,0)</f>
        <v>0</v>
      </c>
      <c r="BL139" s="67">
        <f>IF(AND((AY139/I139)&lt;3,BG139=2),(I139*3)-AY139,0)</f>
        <v>0</v>
      </c>
      <c r="BM139" s="70">
        <f>(BK139+BL139)*K139</f>
        <v>0</v>
      </c>
      <c r="BN139" s="37"/>
      <c r="BO139" s="70">
        <f t="shared" si="33"/>
        <v>0</v>
      </c>
      <c r="BP139" s="37">
        <v>26</v>
      </c>
      <c r="BQ139" s="37">
        <v>26</v>
      </c>
      <c r="BR139" s="37">
        <v>25</v>
      </c>
      <c r="BS139" s="37">
        <v>25</v>
      </c>
      <c r="BT139" s="87">
        <f t="shared" si="34"/>
        <v>24.200000000000003</v>
      </c>
      <c r="BU139" s="87"/>
      <c r="BV139" s="87"/>
      <c r="BW139" s="87"/>
      <c r="BX139" s="87"/>
      <c r="BY139" s="87"/>
      <c r="BZ139" s="87"/>
      <c r="CA139" s="87"/>
      <c r="CB139" s="87"/>
      <c r="CC139" s="87"/>
      <c r="CD139" s="87"/>
      <c r="CF139" s="67">
        <f t="shared" si="39"/>
        <v>629.20000000000005</v>
      </c>
      <c r="CG139" s="67">
        <f t="shared" si="40"/>
        <v>629.20000000000005</v>
      </c>
      <c r="CH139" s="67">
        <f t="shared" si="41"/>
        <v>605.00000000000011</v>
      </c>
      <c r="CI139" s="67">
        <f t="shared" si="46"/>
        <v>605.00000000000011</v>
      </c>
      <c r="CJ139" s="37">
        <f t="shared" si="42"/>
        <v>286</v>
      </c>
      <c r="CK139" s="37">
        <f t="shared" si="43"/>
        <v>286</v>
      </c>
      <c r="CL139" s="37">
        <f t="shared" si="44"/>
        <v>275</v>
      </c>
      <c r="CM139" s="37">
        <f t="shared" si="45"/>
        <v>275</v>
      </c>
    </row>
    <row r="140" spans="1:91" ht="33.75">
      <c r="B140" s="156">
        <v>136</v>
      </c>
      <c r="C140" s="160">
        <v>105</v>
      </c>
      <c r="D140" s="164">
        <v>639</v>
      </c>
      <c r="E140" s="161">
        <v>0.25138888888888888</v>
      </c>
      <c r="F140" s="161">
        <v>0.27083333333333331</v>
      </c>
      <c r="G140" s="160" t="s">
        <v>915</v>
      </c>
      <c r="H140" s="160" t="s">
        <v>103</v>
      </c>
      <c r="I140" s="163">
        <v>13.5</v>
      </c>
      <c r="J140" s="164" t="s">
        <v>254</v>
      </c>
      <c r="K140" s="165">
        <v>174</v>
      </c>
      <c r="L140" s="166">
        <f t="shared" si="32"/>
        <v>2349</v>
      </c>
      <c r="M140" s="177" t="s">
        <v>724</v>
      </c>
      <c r="N140" s="150" t="s">
        <v>985</v>
      </c>
      <c r="O140" s="184">
        <v>46</v>
      </c>
      <c r="P140" s="150" t="s">
        <v>1970</v>
      </c>
      <c r="Q140" s="184">
        <v>45</v>
      </c>
      <c r="S140" s="184"/>
      <c r="T140" s="45">
        <v>1074</v>
      </c>
      <c r="U140" s="45" t="s">
        <v>1431</v>
      </c>
      <c r="V140" s="45" t="s">
        <v>1395</v>
      </c>
      <c r="W140" s="45" t="s">
        <v>1396</v>
      </c>
      <c r="X140" s="98">
        <v>44816</v>
      </c>
      <c r="Y140" s="98">
        <v>45086</v>
      </c>
      <c r="Z140" s="98"/>
      <c r="AA140" s="98"/>
      <c r="AB140" s="41" t="s">
        <v>1114</v>
      </c>
      <c r="AC140" s="41"/>
      <c r="AD140" s="42"/>
      <c r="AE140" s="42"/>
      <c r="AF140" s="42"/>
      <c r="AG140" s="42" t="s">
        <v>734</v>
      </c>
      <c r="AH140" s="42" t="s">
        <v>734</v>
      </c>
      <c r="AI140" s="42" t="s">
        <v>734</v>
      </c>
      <c r="AJ140" s="42" t="s">
        <v>734</v>
      </c>
      <c r="AK140" s="42" t="s">
        <v>734</v>
      </c>
      <c r="AL140" s="42" t="s">
        <v>734</v>
      </c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67">
        <f>25+3*3.5</f>
        <v>35.5</v>
      </c>
      <c r="BA140" s="68"/>
      <c r="BB140" s="68"/>
      <c r="BD140" s="67">
        <f t="shared" si="35"/>
        <v>6177</v>
      </c>
      <c r="BE140" s="67"/>
      <c r="BF140" s="37"/>
      <c r="BG140" s="69">
        <v>2</v>
      </c>
      <c r="BH140" s="71"/>
      <c r="BI140" s="71"/>
      <c r="BJ140" s="72"/>
      <c r="BN140" s="67">
        <f>IF((AX140+AY140+AZ140)&lt;20,(20-(AX140+AY140+AZ140)),0)</f>
        <v>0</v>
      </c>
      <c r="BO140" s="70">
        <f t="shared" si="33"/>
        <v>0</v>
      </c>
      <c r="BP140" s="37">
        <v>15</v>
      </c>
      <c r="BQ140" s="37">
        <v>20</v>
      </c>
      <c r="BR140" s="37">
        <v>21</v>
      </c>
      <c r="BS140" s="37">
        <v>15</v>
      </c>
      <c r="BT140" s="87">
        <f t="shared" si="34"/>
        <v>35.5</v>
      </c>
      <c r="BU140" s="87"/>
      <c r="BV140" s="87"/>
      <c r="BW140" s="87"/>
      <c r="BX140" s="87"/>
      <c r="BY140" s="87"/>
      <c r="BZ140" s="87"/>
      <c r="CA140" s="87"/>
      <c r="CB140" s="87"/>
      <c r="CC140" s="87"/>
      <c r="CD140" s="87"/>
      <c r="CF140" s="67">
        <f t="shared" si="39"/>
        <v>532.5</v>
      </c>
      <c r="CG140" s="67">
        <f t="shared" si="40"/>
        <v>710</v>
      </c>
      <c r="CH140" s="67">
        <f t="shared" si="41"/>
        <v>745.5</v>
      </c>
      <c r="CI140" s="67">
        <f t="shared" si="46"/>
        <v>532.5</v>
      </c>
      <c r="CJ140" s="37">
        <f t="shared" si="42"/>
        <v>202.5</v>
      </c>
      <c r="CK140" s="37">
        <f t="shared" si="43"/>
        <v>270</v>
      </c>
      <c r="CL140" s="37">
        <f t="shared" si="44"/>
        <v>283.5</v>
      </c>
      <c r="CM140" s="37">
        <f t="shared" si="45"/>
        <v>202.5</v>
      </c>
    </row>
    <row r="141" spans="1:91" ht="33.75">
      <c r="B141" s="156">
        <v>137</v>
      </c>
      <c r="C141" s="160">
        <v>105</v>
      </c>
      <c r="D141" s="164">
        <v>233</v>
      </c>
      <c r="E141" s="161">
        <v>0.29583333333333334</v>
      </c>
      <c r="F141" s="161">
        <v>0.30486111111111108</v>
      </c>
      <c r="G141" s="160" t="s">
        <v>262</v>
      </c>
      <c r="H141" s="160" t="s">
        <v>103</v>
      </c>
      <c r="I141" s="163">
        <v>6</v>
      </c>
      <c r="J141" s="164" t="s">
        <v>99</v>
      </c>
      <c r="K141" s="165">
        <v>174</v>
      </c>
      <c r="L141" s="166">
        <f t="shared" si="32"/>
        <v>1044</v>
      </c>
      <c r="M141" s="177" t="s">
        <v>724</v>
      </c>
      <c r="N141" s="150" t="s">
        <v>903</v>
      </c>
      <c r="O141" s="150">
        <v>24</v>
      </c>
      <c r="P141" s="150" t="s">
        <v>1910</v>
      </c>
      <c r="Q141" s="150">
        <v>21</v>
      </c>
      <c r="S141" s="150"/>
      <c r="T141" s="45">
        <v>1075</v>
      </c>
      <c r="U141" s="45" t="s">
        <v>1432</v>
      </c>
      <c r="V141" s="45">
        <v>1072</v>
      </c>
      <c r="W141" s="45" t="s">
        <v>1335</v>
      </c>
      <c r="X141" s="98">
        <v>44816</v>
      </c>
      <c r="Y141" s="98">
        <v>45086</v>
      </c>
      <c r="Z141" s="98"/>
      <c r="AA141" s="98"/>
      <c r="AB141" s="41" t="s">
        <v>1114</v>
      </c>
      <c r="AC141" s="41"/>
      <c r="AD141" s="42"/>
      <c r="AE141" s="42"/>
      <c r="AF141" s="42"/>
      <c r="AG141" s="42" t="s">
        <v>734</v>
      </c>
      <c r="AH141" s="42" t="s">
        <v>734</v>
      </c>
      <c r="AI141" s="42" t="s">
        <v>734</v>
      </c>
      <c r="AJ141" s="42" t="s">
        <v>734</v>
      </c>
      <c r="AK141" s="42" t="s">
        <v>734</v>
      </c>
      <c r="AL141" s="42" t="s">
        <v>734</v>
      </c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68">
        <v>18.87</v>
      </c>
      <c r="BA141" s="68"/>
      <c r="BB141" s="68"/>
      <c r="BD141" s="67">
        <f t="shared" si="35"/>
        <v>3283.38</v>
      </c>
      <c r="BE141" s="67"/>
      <c r="BF141" s="37"/>
      <c r="BG141" s="73">
        <v>1</v>
      </c>
      <c r="BH141" s="67">
        <f t="shared" ref="BH141:BH146" si="47">IF(AND((AX141/I141)&lt;2,BG141=1),(I141*2)-AX141,0)</f>
        <v>0</v>
      </c>
      <c r="BI141" s="67">
        <f t="shared" ref="BI141:BI146" si="48">IF(AND((AX141/I141)&lt;3,BG141=2),(I141*3)-AX141,0)</f>
        <v>0</v>
      </c>
      <c r="BJ141" s="70">
        <f t="shared" ref="BJ141:BJ146" si="49">(BH141+BI141)*K141</f>
        <v>0</v>
      </c>
      <c r="BN141" s="37"/>
      <c r="BO141" s="70">
        <f t="shared" si="33"/>
        <v>0</v>
      </c>
      <c r="BP141" s="37">
        <v>15</v>
      </c>
      <c r="BQ141" s="37">
        <v>20</v>
      </c>
      <c r="BR141" s="37">
        <v>21</v>
      </c>
      <c r="BS141" s="37">
        <v>15</v>
      </c>
      <c r="BT141" s="87">
        <f t="shared" si="34"/>
        <v>18.87</v>
      </c>
      <c r="BU141" s="87"/>
      <c r="BV141" s="87"/>
      <c r="BW141" s="87"/>
      <c r="BX141" s="87"/>
      <c r="BY141" s="87"/>
      <c r="BZ141" s="87"/>
      <c r="CA141" s="87"/>
      <c r="CB141" s="87"/>
      <c r="CC141" s="87"/>
      <c r="CD141" s="87"/>
      <c r="CF141" s="67">
        <f t="shared" si="39"/>
        <v>283.05</v>
      </c>
      <c r="CG141" s="67">
        <f t="shared" si="40"/>
        <v>377.40000000000003</v>
      </c>
      <c r="CH141" s="67">
        <f t="shared" si="41"/>
        <v>396.27000000000004</v>
      </c>
      <c r="CI141" s="67">
        <f t="shared" si="46"/>
        <v>283.05</v>
      </c>
      <c r="CJ141" s="37">
        <f t="shared" si="42"/>
        <v>90</v>
      </c>
      <c r="CK141" s="37">
        <f t="shared" si="43"/>
        <v>120</v>
      </c>
      <c r="CL141" s="37">
        <f t="shared" si="44"/>
        <v>126</v>
      </c>
      <c r="CM141" s="37">
        <f t="shared" si="45"/>
        <v>90</v>
      </c>
    </row>
    <row r="142" spans="1:91" ht="33.75">
      <c r="B142" s="156">
        <v>138</v>
      </c>
      <c r="C142" s="160">
        <v>105</v>
      </c>
      <c r="D142" s="164">
        <v>234</v>
      </c>
      <c r="E142" s="161">
        <v>0.32013888888888892</v>
      </c>
      <c r="F142" s="161">
        <v>0.33055555555555555</v>
      </c>
      <c r="G142" s="160" t="s">
        <v>261</v>
      </c>
      <c r="H142" s="160" t="s">
        <v>97</v>
      </c>
      <c r="I142" s="163">
        <v>5.5</v>
      </c>
      <c r="J142" s="164" t="s">
        <v>99</v>
      </c>
      <c r="K142" s="165">
        <v>208</v>
      </c>
      <c r="L142" s="166">
        <f t="shared" si="32"/>
        <v>1144</v>
      </c>
      <c r="M142" s="177" t="s">
        <v>724</v>
      </c>
      <c r="N142" s="154" t="s">
        <v>903</v>
      </c>
      <c r="O142" s="154">
        <v>24</v>
      </c>
      <c r="P142" s="154" t="s">
        <v>1910</v>
      </c>
      <c r="Q142" s="154">
        <v>21</v>
      </c>
      <c r="S142" s="154"/>
      <c r="T142" s="45">
        <v>1072</v>
      </c>
      <c r="U142" s="45" t="s">
        <v>1335</v>
      </c>
      <c r="V142" s="45">
        <v>1075</v>
      </c>
      <c r="W142" s="45" t="s">
        <v>1432</v>
      </c>
      <c r="X142" s="98">
        <v>44816</v>
      </c>
      <c r="Y142" s="98">
        <v>45086</v>
      </c>
      <c r="Z142" s="98"/>
      <c r="AA142" s="98"/>
      <c r="AB142" s="41" t="s">
        <v>1118</v>
      </c>
      <c r="AC142" s="41"/>
      <c r="AD142" s="42"/>
      <c r="AE142" s="42"/>
      <c r="AF142" s="42"/>
      <c r="AG142" s="42" t="s">
        <v>734</v>
      </c>
      <c r="AH142" s="42" t="s">
        <v>734</v>
      </c>
      <c r="AI142" s="42" t="s">
        <v>734</v>
      </c>
      <c r="AJ142" s="42" t="s">
        <v>734</v>
      </c>
      <c r="AK142" s="42" t="s">
        <v>734</v>
      </c>
      <c r="AL142" s="42" t="s">
        <v>734</v>
      </c>
      <c r="AM142" s="42" t="s">
        <v>734</v>
      </c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68">
        <v>11.3</v>
      </c>
      <c r="BA142" s="68"/>
      <c r="BB142" s="68"/>
      <c r="BD142" s="67">
        <f t="shared" si="35"/>
        <v>2350.4</v>
      </c>
      <c r="BE142" s="67"/>
      <c r="BF142" s="37"/>
      <c r="BG142" s="73">
        <v>1</v>
      </c>
      <c r="BH142" s="67">
        <f t="shared" si="47"/>
        <v>0</v>
      </c>
      <c r="BI142" s="67">
        <f t="shared" si="48"/>
        <v>0</v>
      </c>
      <c r="BJ142" s="70">
        <f t="shared" si="49"/>
        <v>0</v>
      </c>
      <c r="BN142" s="37"/>
      <c r="BO142" s="70">
        <f t="shared" si="33"/>
        <v>0</v>
      </c>
      <c r="BP142" s="37">
        <v>17</v>
      </c>
      <c r="BQ142" s="37">
        <v>25</v>
      </c>
      <c r="BR142" s="37">
        <v>25</v>
      </c>
      <c r="BS142" s="37">
        <v>18</v>
      </c>
      <c r="BT142" s="87">
        <f t="shared" si="34"/>
        <v>11.3</v>
      </c>
      <c r="BU142" s="87"/>
      <c r="BV142" s="87"/>
      <c r="BW142" s="87"/>
      <c r="BX142" s="87"/>
      <c r="BY142" s="87"/>
      <c r="BZ142" s="87"/>
      <c r="CA142" s="87"/>
      <c r="CB142" s="87"/>
      <c r="CC142" s="87"/>
      <c r="CD142" s="87"/>
      <c r="CF142" s="67">
        <f t="shared" si="39"/>
        <v>192.10000000000002</v>
      </c>
      <c r="CG142" s="67">
        <f t="shared" si="40"/>
        <v>282.5</v>
      </c>
      <c r="CH142" s="67">
        <f t="shared" si="41"/>
        <v>282.5</v>
      </c>
      <c r="CI142" s="67">
        <f t="shared" si="46"/>
        <v>203.4</v>
      </c>
      <c r="CJ142" s="37">
        <f t="shared" si="42"/>
        <v>93.5</v>
      </c>
      <c r="CK142" s="37">
        <f t="shared" si="43"/>
        <v>137.5</v>
      </c>
      <c r="CL142" s="37">
        <f t="shared" si="44"/>
        <v>137.5</v>
      </c>
      <c r="CM142" s="37">
        <f t="shared" si="45"/>
        <v>99</v>
      </c>
    </row>
    <row r="143" spans="1:91" ht="33.75">
      <c r="B143" s="156">
        <v>139</v>
      </c>
      <c r="C143" s="160">
        <v>105</v>
      </c>
      <c r="D143" s="164">
        <v>151</v>
      </c>
      <c r="E143" s="161">
        <v>0.33055555555555555</v>
      </c>
      <c r="F143" s="161">
        <v>0.33958333333333335</v>
      </c>
      <c r="G143" s="160" t="s">
        <v>262</v>
      </c>
      <c r="H143" s="160" t="s">
        <v>97</v>
      </c>
      <c r="I143" s="163">
        <v>5.5</v>
      </c>
      <c r="J143" s="164" t="s">
        <v>99</v>
      </c>
      <c r="K143" s="165">
        <v>208</v>
      </c>
      <c r="L143" s="166">
        <f t="shared" si="32"/>
        <v>1144</v>
      </c>
      <c r="M143" s="167" t="s">
        <v>724</v>
      </c>
      <c r="N143" s="154" t="s">
        <v>903</v>
      </c>
      <c r="O143" s="154">
        <v>24</v>
      </c>
      <c r="P143" s="154" t="s">
        <v>1910</v>
      </c>
      <c r="Q143" s="154">
        <v>21</v>
      </c>
      <c r="S143" s="154"/>
      <c r="T143" s="45">
        <v>1075</v>
      </c>
      <c r="U143" s="45" t="s">
        <v>1432</v>
      </c>
      <c r="V143" s="45">
        <v>1072</v>
      </c>
      <c r="W143" s="45" t="s">
        <v>1335</v>
      </c>
      <c r="X143" s="98">
        <v>44816</v>
      </c>
      <c r="Y143" s="98">
        <v>45086</v>
      </c>
      <c r="Z143" s="98"/>
      <c r="AA143" s="98"/>
      <c r="AB143" s="41" t="s">
        <v>1118</v>
      </c>
      <c r="AC143" s="41"/>
      <c r="AD143" s="42"/>
      <c r="AE143" s="42"/>
      <c r="AF143" s="42"/>
      <c r="AG143" s="42" t="s">
        <v>734</v>
      </c>
      <c r="AH143" s="42" t="s">
        <v>734</v>
      </c>
      <c r="AI143" s="42" t="s">
        <v>734</v>
      </c>
      <c r="AJ143" s="42" t="s">
        <v>734</v>
      </c>
      <c r="AK143" s="42" t="s">
        <v>734</v>
      </c>
      <c r="AL143" s="42" t="s">
        <v>734</v>
      </c>
      <c r="AM143" s="42" t="s">
        <v>734</v>
      </c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68">
        <v>33.94</v>
      </c>
      <c r="BA143" s="68"/>
      <c r="BB143" s="68"/>
      <c r="BD143" s="67">
        <f t="shared" si="35"/>
        <v>7059.5199999999995</v>
      </c>
      <c r="BE143" s="67"/>
      <c r="BF143" s="37"/>
      <c r="BG143" s="73">
        <v>1</v>
      </c>
      <c r="BH143" s="67">
        <f t="shared" si="47"/>
        <v>0</v>
      </c>
      <c r="BI143" s="67">
        <f t="shared" si="48"/>
        <v>0</v>
      </c>
      <c r="BJ143" s="70">
        <f t="shared" si="49"/>
        <v>0</v>
      </c>
      <c r="BN143" s="37"/>
      <c r="BO143" s="70">
        <f t="shared" si="33"/>
        <v>0</v>
      </c>
      <c r="BP143" s="37">
        <v>17</v>
      </c>
      <c r="BQ143" s="37">
        <v>25</v>
      </c>
      <c r="BR143" s="37">
        <v>25</v>
      </c>
      <c r="BS143" s="37">
        <v>18</v>
      </c>
      <c r="BT143" s="87">
        <f t="shared" si="34"/>
        <v>33.94</v>
      </c>
      <c r="BU143" s="87"/>
      <c r="BV143" s="87"/>
      <c r="BW143" s="87"/>
      <c r="BX143" s="87"/>
      <c r="BY143" s="87"/>
      <c r="BZ143" s="87"/>
      <c r="CA143" s="87"/>
      <c r="CB143" s="87"/>
      <c r="CC143" s="87"/>
      <c r="CD143" s="87"/>
      <c r="CF143" s="67">
        <f t="shared" si="39"/>
        <v>576.98</v>
      </c>
      <c r="CG143" s="67">
        <f t="shared" si="40"/>
        <v>848.5</v>
      </c>
      <c r="CH143" s="67">
        <f t="shared" si="41"/>
        <v>848.5</v>
      </c>
      <c r="CI143" s="67">
        <f t="shared" si="46"/>
        <v>610.91999999999996</v>
      </c>
      <c r="CJ143" s="37">
        <f t="shared" si="42"/>
        <v>93.5</v>
      </c>
      <c r="CK143" s="37">
        <f t="shared" si="43"/>
        <v>137.5</v>
      </c>
      <c r="CL143" s="37">
        <f t="shared" si="44"/>
        <v>137.5</v>
      </c>
      <c r="CM143" s="37">
        <f t="shared" si="45"/>
        <v>99</v>
      </c>
    </row>
    <row r="144" spans="1:91" ht="33.75">
      <c r="B144" s="156">
        <v>140</v>
      </c>
      <c r="C144" s="160">
        <v>105</v>
      </c>
      <c r="D144" s="164">
        <v>216</v>
      </c>
      <c r="E144" s="161">
        <v>0.49375000000000002</v>
      </c>
      <c r="F144" s="161">
        <v>0.50416666666666665</v>
      </c>
      <c r="G144" s="160" t="s">
        <v>261</v>
      </c>
      <c r="H144" s="160" t="s">
        <v>103</v>
      </c>
      <c r="I144" s="163">
        <v>5.5</v>
      </c>
      <c r="J144" s="164" t="s">
        <v>99</v>
      </c>
      <c r="K144" s="165">
        <v>174</v>
      </c>
      <c r="L144" s="166">
        <f t="shared" si="32"/>
        <v>957</v>
      </c>
      <c r="M144" s="167" t="s">
        <v>724</v>
      </c>
      <c r="N144" s="154" t="s">
        <v>903</v>
      </c>
      <c r="O144" s="154">
        <v>24</v>
      </c>
      <c r="P144" s="154" t="s">
        <v>1910</v>
      </c>
      <c r="Q144" s="154">
        <v>21</v>
      </c>
      <c r="S144" s="154"/>
      <c r="T144" s="45">
        <v>1072</v>
      </c>
      <c r="U144" s="45" t="s">
        <v>1335</v>
      </c>
      <c r="V144" s="45">
        <v>1075</v>
      </c>
      <c r="W144" s="45" t="s">
        <v>1432</v>
      </c>
      <c r="X144" s="98">
        <v>44816</v>
      </c>
      <c r="Y144" s="98">
        <v>45086</v>
      </c>
      <c r="Z144" s="98"/>
      <c r="AA144" s="98"/>
      <c r="AB144" s="41" t="s">
        <v>1114</v>
      </c>
      <c r="AC144" s="41"/>
      <c r="AD144" s="42"/>
      <c r="AE144" s="42"/>
      <c r="AF144" s="42"/>
      <c r="AG144" s="42" t="s">
        <v>734</v>
      </c>
      <c r="AH144" s="42" t="s">
        <v>734</v>
      </c>
      <c r="AI144" s="42" t="s">
        <v>734</v>
      </c>
      <c r="AJ144" s="42" t="s">
        <v>734</v>
      </c>
      <c r="AK144" s="42" t="s">
        <v>734</v>
      </c>
      <c r="AL144" s="42" t="s">
        <v>734</v>
      </c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68">
        <v>33.94</v>
      </c>
      <c r="BA144" s="68"/>
      <c r="BB144" s="68"/>
      <c r="BD144" s="67">
        <f t="shared" si="35"/>
        <v>5905.5599999999995</v>
      </c>
      <c r="BE144" s="67"/>
      <c r="BF144" s="37"/>
      <c r="BG144" s="73">
        <v>1</v>
      </c>
      <c r="BH144" s="67">
        <f t="shared" si="47"/>
        <v>0</v>
      </c>
      <c r="BI144" s="67">
        <f t="shared" si="48"/>
        <v>0</v>
      </c>
      <c r="BJ144" s="70">
        <f t="shared" si="49"/>
        <v>0</v>
      </c>
      <c r="BN144" s="37"/>
      <c r="BO144" s="70">
        <f t="shared" si="33"/>
        <v>0</v>
      </c>
      <c r="BP144" s="37">
        <v>15</v>
      </c>
      <c r="BQ144" s="37">
        <v>20</v>
      </c>
      <c r="BR144" s="37">
        <v>21</v>
      </c>
      <c r="BS144" s="37">
        <v>15</v>
      </c>
      <c r="BT144" s="87">
        <f t="shared" si="34"/>
        <v>33.94</v>
      </c>
      <c r="BU144" s="87"/>
      <c r="BV144" s="87"/>
      <c r="BW144" s="87"/>
      <c r="BX144" s="87"/>
      <c r="BY144" s="87"/>
      <c r="BZ144" s="87"/>
      <c r="CA144" s="87"/>
      <c r="CB144" s="87"/>
      <c r="CC144" s="87"/>
      <c r="CD144" s="87"/>
      <c r="CF144" s="67">
        <f t="shared" si="39"/>
        <v>509.09999999999997</v>
      </c>
      <c r="CG144" s="67">
        <f t="shared" si="40"/>
        <v>678.8</v>
      </c>
      <c r="CH144" s="67">
        <f t="shared" si="41"/>
        <v>712.74</v>
      </c>
      <c r="CI144" s="67">
        <f t="shared" si="46"/>
        <v>509.09999999999997</v>
      </c>
      <c r="CJ144" s="37">
        <f t="shared" si="42"/>
        <v>82.5</v>
      </c>
      <c r="CK144" s="37">
        <f t="shared" si="43"/>
        <v>110</v>
      </c>
      <c r="CL144" s="37">
        <f t="shared" si="44"/>
        <v>115.5</v>
      </c>
      <c r="CM144" s="37">
        <f t="shared" si="45"/>
        <v>82.5</v>
      </c>
    </row>
    <row r="145" spans="2:91" ht="38.25">
      <c r="B145" s="156">
        <v>141</v>
      </c>
      <c r="C145" s="174">
        <v>105</v>
      </c>
      <c r="D145" s="164">
        <v>500</v>
      </c>
      <c r="E145" s="161">
        <v>0.66388888888888886</v>
      </c>
      <c r="F145" s="161">
        <v>0.67013888888888884</v>
      </c>
      <c r="G145" s="160" t="s">
        <v>260</v>
      </c>
      <c r="H145" s="160" t="s">
        <v>441</v>
      </c>
      <c r="I145" s="163">
        <v>5.5</v>
      </c>
      <c r="J145" s="164" t="s">
        <v>116</v>
      </c>
      <c r="K145" s="165">
        <f>55+26</f>
        <v>81</v>
      </c>
      <c r="L145" s="166">
        <f t="shared" si="32"/>
        <v>445.5</v>
      </c>
      <c r="M145" s="167" t="s">
        <v>724</v>
      </c>
      <c r="N145" s="154" t="s">
        <v>904</v>
      </c>
      <c r="O145" s="154">
        <v>9</v>
      </c>
      <c r="P145" s="154" t="s">
        <v>901</v>
      </c>
      <c r="Q145" s="154">
        <v>9</v>
      </c>
      <c r="S145" s="154"/>
      <c r="T145" s="45">
        <v>1072</v>
      </c>
      <c r="U145" s="45" t="s">
        <v>1335</v>
      </c>
      <c r="V145" s="45">
        <v>1075</v>
      </c>
      <c r="W145" s="45" t="s">
        <v>1432</v>
      </c>
      <c r="X145" s="99">
        <v>44562</v>
      </c>
      <c r="Y145" s="99">
        <v>44815</v>
      </c>
      <c r="Z145" s="99">
        <v>45101</v>
      </c>
      <c r="AA145" s="99">
        <v>45169</v>
      </c>
      <c r="AB145" s="42" t="s">
        <v>1130</v>
      </c>
      <c r="AC145" s="42"/>
      <c r="AD145" s="42"/>
      <c r="AE145" s="42" t="s">
        <v>734</v>
      </c>
      <c r="AF145" s="42" t="s">
        <v>734</v>
      </c>
      <c r="AG145" s="42"/>
      <c r="AH145" s="42" t="s">
        <v>734</v>
      </c>
      <c r="AI145" s="42" t="s">
        <v>734</v>
      </c>
      <c r="AJ145" s="42" t="s">
        <v>734</v>
      </c>
      <c r="AK145" s="42" t="s">
        <v>734</v>
      </c>
      <c r="AL145" s="42" t="s">
        <v>734</v>
      </c>
      <c r="AM145" s="42"/>
      <c r="AN145" s="42"/>
      <c r="AO145" s="42"/>
      <c r="AP145" s="42"/>
      <c r="AQ145" s="42"/>
      <c r="AR145" s="42" t="s">
        <v>734</v>
      </c>
      <c r="AS145" s="42" t="s">
        <v>734</v>
      </c>
      <c r="AT145" s="42" t="s">
        <v>734</v>
      </c>
      <c r="AU145" s="42" t="s">
        <v>734</v>
      </c>
      <c r="AV145" s="42" t="s">
        <v>734</v>
      </c>
      <c r="AW145" s="42"/>
      <c r="AX145" s="68">
        <v>44.62</v>
      </c>
      <c r="BA145" s="68"/>
      <c r="BB145" s="68"/>
      <c r="BD145" s="67">
        <f t="shared" si="35"/>
        <v>3614.22</v>
      </c>
      <c r="BE145" s="67"/>
      <c r="BF145" s="37"/>
      <c r="BG145" s="73">
        <v>1</v>
      </c>
      <c r="BH145" s="67">
        <f t="shared" si="47"/>
        <v>0</v>
      </c>
      <c r="BI145" s="67">
        <f t="shared" si="48"/>
        <v>0</v>
      </c>
      <c r="BJ145" s="70">
        <f t="shared" si="49"/>
        <v>0</v>
      </c>
      <c r="BN145" s="37"/>
      <c r="BO145" s="70">
        <f t="shared" si="33"/>
        <v>0</v>
      </c>
      <c r="BP145" s="37">
        <v>9</v>
      </c>
      <c r="BQ145" s="37">
        <v>1</v>
      </c>
      <c r="BR145" s="37">
        <v>0</v>
      </c>
      <c r="BS145" s="37">
        <v>5</v>
      </c>
      <c r="BT145" s="87">
        <f t="shared" si="34"/>
        <v>44.62</v>
      </c>
      <c r="BU145" s="87"/>
      <c r="BV145" s="87"/>
      <c r="BW145" s="87"/>
      <c r="BX145" s="87"/>
      <c r="BY145" s="87"/>
      <c r="BZ145" s="87"/>
      <c r="CA145" s="87"/>
      <c r="CB145" s="87"/>
      <c r="CC145" s="87"/>
      <c r="CD145" s="87"/>
      <c r="CF145" s="67">
        <f t="shared" si="39"/>
        <v>401.58</v>
      </c>
      <c r="CG145" s="67">
        <f t="shared" si="40"/>
        <v>44.62</v>
      </c>
      <c r="CH145" s="67">
        <f t="shared" si="41"/>
        <v>0</v>
      </c>
      <c r="CI145" s="67">
        <f t="shared" si="46"/>
        <v>223.1</v>
      </c>
      <c r="CJ145" s="37">
        <f t="shared" si="42"/>
        <v>49.5</v>
      </c>
      <c r="CK145" s="37">
        <f t="shared" si="43"/>
        <v>5.5</v>
      </c>
      <c r="CL145" s="37">
        <f t="shared" si="44"/>
        <v>0</v>
      </c>
      <c r="CM145" s="37">
        <f t="shared" si="45"/>
        <v>27.5</v>
      </c>
    </row>
    <row r="146" spans="2:91" ht="33.75">
      <c r="B146" s="156">
        <v>142</v>
      </c>
      <c r="C146" s="160">
        <v>105</v>
      </c>
      <c r="D146" s="164">
        <v>628</v>
      </c>
      <c r="E146" s="161">
        <v>0.66597222222222219</v>
      </c>
      <c r="F146" s="173">
        <v>0.66736111111111107</v>
      </c>
      <c r="G146" s="160" t="s">
        <v>537</v>
      </c>
      <c r="H146" s="160" t="s">
        <v>103</v>
      </c>
      <c r="I146" s="163">
        <v>2</v>
      </c>
      <c r="J146" s="164" t="s">
        <v>116</v>
      </c>
      <c r="K146" s="165">
        <v>174</v>
      </c>
      <c r="L146" s="166">
        <f t="shared" si="32"/>
        <v>348</v>
      </c>
      <c r="M146" s="167" t="s">
        <v>724</v>
      </c>
      <c r="N146" s="154" t="s">
        <v>903</v>
      </c>
      <c r="O146" s="154">
        <v>24</v>
      </c>
      <c r="P146" s="154" t="s">
        <v>904</v>
      </c>
      <c r="Q146" s="154">
        <v>9</v>
      </c>
      <c r="R146" s="154" t="s">
        <v>901</v>
      </c>
      <c r="S146" s="151">
        <v>9</v>
      </c>
      <c r="T146" s="45">
        <v>1072</v>
      </c>
      <c r="U146" s="45" t="s">
        <v>1335</v>
      </c>
      <c r="V146" s="45">
        <v>1075</v>
      </c>
      <c r="W146" s="45" t="s">
        <v>1432</v>
      </c>
      <c r="X146" s="98">
        <v>44816</v>
      </c>
      <c r="Y146" s="98">
        <v>45086</v>
      </c>
      <c r="Z146" s="98"/>
      <c r="AA146" s="98"/>
      <c r="AB146" s="41" t="s">
        <v>1114</v>
      </c>
      <c r="AC146" s="41"/>
      <c r="AD146" s="42"/>
      <c r="AE146" s="42"/>
      <c r="AF146" s="42"/>
      <c r="AG146" s="42" t="s">
        <v>734</v>
      </c>
      <c r="AH146" s="42" t="s">
        <v>734</v>
      </c>
      <c r="AI146" s="42" t="s">
        <v>734</v>
      </c>
      <c r="AJ146" s="42" t="s">
        <v>734</v>
      </c>
      <c r="AK146" s="42" t="s">
        <v>734</v>
      </c>
      <c r="AL146" s="42" t="s">
        <v>734</v>
      </c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77">
        <v>44.62</v>
      </c>
      <c r="BA146" s="68"/>
      <c r="BB146" s="68"/>
      <c r="BD146" s="67">
        <f t="shared" si="35"/>
        <v>7763.8799999999992</v>
      </c>
      <c r="BE146" s="67"/>
      <c r="BF146" s="37"/>
      <c r="BG146" s="73">
        <v>1</v>
      </c>
      <c r="BH146" s="67">
        <f t="shared" si="47"/>
        <v>0</v>
      </c>
      <c r="BI146" s="77">
        <f t="shared" si="48"/>
        <v>0</v>
      </c>
      <c r="BJ146" s="78">
        <f t="shared" si="49"/>
        <v>0</v>
      </c>
      <c r="BN146" s="37"/>
      <c r="BO146" s="70">
        <f t="shared" si="33"/>
        <v>0</v>
      </c>
      <c r="BP146" s="37">
        <v>15</v>
      </c>
      <c r="BQ146" s="37">
        <v>20</v>
      </c>
      <c r="BR146" s="37">
        <v>21</v>
      </c>
      <c r="BS146" s="37">
        <v>15</v>
      </c>
      <c r="BT146" s="87">
        <f t="shared" si="34"/>
        <v>44.62</v>
      </c>
      <c r="BU146" s="87"/>
      <c r="BV146" s="87"/>
      <c r="BW146" s="87"/>
      <c r="BX146" s="87"/>
      <c r="BY146" s="87"/>
      <c r="BZ146" s="87"/>
      <c r="CA146" s="87"/>
      <c r="CB146" s="87"/>
      <c r="CC146" s="87"/>
      <c r="CD146" s="87"/>
      <c r="CF146" s="67">
        <f t="shared" si="39"/>
        <v>669.3</v>
      </c>
      <c r="CG146" s="67">
        <f t="shared" si="40"/>
        <v>892.4</v>
      </c>
      <c r="CH146" s="67">
        <f t="shared" si="41"/>
        <v>937.02</v>
      </c>
      <c r="CI146" s="67">
        <f t="shared" si="46"/>
        <v>669.3</v>
      </c>
      <c r="CJ146" s="37">
        <f t="shared" si="42"/>
        <v>30</v>
      </c>
      <c r="CK146" s="37">
        <f t="shared" si="43"/>
        <v>40</v>
      </c>
      <c r="CL146" s="37">
        <f t="shared" si="44"/>
        <v>42</v>
      </c>
      <c r="CM146" s="37">
        <f t="shared" si="45"/>
        <v>30</v>
      </c>
    </row>
    <row r="147" spans="2:91" ht="33.75">
      <c r="B147" s="156">
        <v>143</v>
      </c>
      <c r="C147" s="160">
        <v>105</v>
      </c>
      <c r="D147" s="164">
        <v>181</v>
      </c>
      <c r="E147" s="161">
        <v>0.66736111111111107</v>
      </c>
      <c r="F147" s="161">
        <v>0.67638888888888893</v>
      </c>
      <c r="G147" s="160" t="s">
        <v>259</v>
      </c>
      <c r="H147" s="160" t="s">
        <v>103</v>
      </c>
      <c r="I147" s="163">
        <v>5.5</v>
      </c>
      <c r="J147" s="164" t="s">
        <v>116</v>
      </c>
      <c r="K147" s="165">
        <v>174</v>
      </c>
      <c r="L147" s="166">
        <f t="shared" si="32"/>
        <v>957</v>
      </c>
      <c r="M147" s="177" t="s">
        <v>724</v>
      </c>
      <c r="N147" s="154" t="s">
        <v>903</v>
      </c>
      <c r="O147" s="154">
        <v>24</v>
      </c>
      <c r="P147" s="154" t="s">
        <v>904</v>
      </c>
      <c r="Q147" s="154">
        <v>9</v>
      </c>
      <c r="R147" s="154" t="s">
        <v>901</v>
      </c>
      <c r="S147" s="151">
        <v>9</v>
      </c>
      <c r="T147" s="45">
        <v>1075</v>
      </c>
      <c r="U147" s="45" t="s">
        <v>1432</v>
      </c>
      <c r="V147" s="45">
        <v>1072</v>
      </c>
      <c r="W147" s="45" t="s">
        <v>1335</v>
      </c>
      <c r="X147" s="98">
        <v>44816</v>
      </c>
      <c r="Y147" s="98">
        <v>45086</v>
      </c>
      <c r="Z147" s="98"/>
      <c r="AA147" s="98"/>
      <c r="AB147" s="41" t="s">
        <v>1114</v>
      </c>
      <c r="AC147" s="41"/>
      <c r="AD147" s="42"/>
      <c r="AE147" s="42"/>
      <c r="AF147" s="42"/>
      <c r="AG147" s="42" t="s">
        <v>734</v>
      </c>
      <c r="AH147" s="42" t="s">
        <v>734</v>
      </c>
      <c r="AI147" s="42" t="s">
        <v>734</v>
      </c>
      <c r="AJ147" s="42" t="s">
        <v>734</v>
      </c>
      <c r="AK147" s="42" t="s">
        <v>734</v>
      </c>
      <c r="AL147" s="42" t="s">
        <v>734</v>
      </c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77">
        <v>9.9</v>
      </c>
      <c r="BA147" s="68"/>
      <c r="BB147" s="68"/>
      <c r="BD147" s="67">
        <f t="shared" si="35"/>
        <v>1722.6000000000001</v>
      </c>
      <c r="BE147" s="67"/>
      <c r="BF147" s="37"/>
      <c r="BG147" s="73">
        <v>1</v>
      </c>
      <c r="BH147" s="67"/>
      <c r="BI147" s="77"/>
      <c r="BJ147" s="77"/>
      <c r="BN147" s="37"/>
      <c r="BO147" s="70">
        <f t="shared" si="33"/>
        <v>0</v>
      </c>
      <c r="BP147" s="37">
        <v>15</v>
      </c>
      <c r="BQ147" s="37">
        <v>20</v>
      </c>
      <c r="BR147" s="37">
        <v>21</v>
      </c>
      <c r="BS147" s="37">
        <v>15</v>
      </c>
      <c r="BT147" s="87">
        <f t="shared" si="34"/>
        <v>9.9</v>
      </c>
      <c r="BU147" s="87"/>
      <c r="BV147" s="87"/>
      <c r="BW147" s="87"/>
      <c r="BX147" s="87"/>
      <c r="BY147" s="87"/>
      <c r="BZ147" s="87"/>
      <c r="CA147" s="87"/>
      <c r="CB147" s="87"/>
      <c r="CC147" s="87"/>
      <c r="CD147" s="87"/>
      <c r="CF147" s="67">
        <f t="shared" si="39"/>
        <v>148.5</v>
      </c>
      <c r="CG147" s="67">
        <f t="shared" si="40"/>
        <v>198</v>
      </c>
      <c r="CH147" s="67">
        <f t="shared" si="41"/>
        <v>207.9</v>
      </c>
      <c r="CI147" s="67">
        <f t="shared" si="46"/>
        <v>148.5</v>
      </c>
      <c r="CJ147" s="37">
        <f t="shared" si="42"/>
        <v>82.5</v>
      </c>
      <c r="CK147" s="37">
        <f t="shared" si="43"/>
        <v>110</v>
      </c>
      <c r="CL147" s="37">
        <f t="shared" si="44"/>
        <v>115.5</v>
      </c>
      <c r="CM147" s="37">
        <f t="shared" si="45"/>
        <v>82.5</v>
      </c>
    </row>
    <row r="148" spans="2:91" ht="33.75">
      <c r="B148" s="156">
        <v>144</v>
      </c>
      <c r="C148" s="160">
        <v>105</v>
      </c>
      <c r="D148" s="190">
        <v>150</v>
      </c>
      <c r="E148" s="161">
        <v>0.74375000000000002</v>
      </c>
      <c r="F148" s="161">
        <v>0.75416666666666676</v>
      </c>
      <c r="G148" s="160" t="s">
        <v>261</v>
      </c>
      <c r="H148" s="160" t="s">
        <v>203</v>
      </c>
      <c r="I148" s="163">
        <v>5.5</v>
      </c>
      <c r="J148" s="164" t="s">
        <v>116</v>
      </c>
      <c r="K148" s="165">
        <v>202</v>
      </c>
      <c r="L148" s="166">
        <f t="shared" si="32"/>
        <v>1111</v>
      </c>
      <c r="M148" s="177" t="s">
        <v>724</v>
      </c>
      <c r="N148" s="154" t="s">
        <v>903</v>
      </c>
      <c r="O148" s="154">
        <v>24</v>
      </c>
      <c r="P148" s="154" t="s">
        <v>904</v>
      </c>
      <c r="Q148" s="154">
        <v>9</v>
      </c>
      <c r="R148" s="154" t="s">
        <v>901</v>
      </c>
      <c r="S148" s="151">
        <v>9</v>
      </c>
      <c r="T148" s="45">
        <v>1072</v>
      </c>
      <c r="U148" s="45" t="s">
        <v>1335</v>
      </c>
      <c r="V148" s="45">
        <v>1075</v>
      </c>
      <c r="W148" s="45" t="s">
        <v>1432</v>
      </c>
      <c r="X148" s="99">
        <v>44816</v>
      </c>
      <c r="Y148" s="99">
        <v>45100</v>
      </c>
      <c r="Z148" s="99"/>
      <c r="AA148" s="99"/>
      <c r="AB148" s="41" t="s">
        <v>1120</v>
      </c>
      <c r="AC148" s="41"/>
      <c r="AD148" s="42" t="s">
        <v>734</v>
      </c>
      <c r="AE148" s="42"/>
      <c r="AF148" s="42" t="s">
        <v>734</v>
      </c>
      <c r="AG148" s="42"/>
      <c r="AH148" s="42" t="s">
        <v>734</v>
      </c>
      <c r="AI148" s="42" t="s">
        <v>734</v>
      </c>
      <c r="AJ148" s="42" t="s">
        <v>734</v>
      </c>
      <c r="AK148" s="42" t="s">
        <v>734</v>
      </c>
      <c r="AL148" s="42" t="s">
        <v>734</v>
      </c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68">
        <v>9.9</v>
      </c>
      <c r="BA148" s="68"/>
      <c r="BB148" s="68"/>
      <c r="BD148" s="67">
        <f t="shared" si="35"/>
        <v>1999.8000000000002</v>
      </c>
      <c r="BE148" s="67"/>
      <c r="BF148" s="37"/>
      <c r="BG148" s="73">
        <v>1</v>
      </c>
      <c r="BH148" s="67">
        <f t="shared" ref="BH148:BH153" si="50">IF(AND((AX148/I148)&lt;2,BG148=1),(I148*2)-AX148,0)</f>
        <v>1.0999999999999996</v>
      </c>
      <c r="BI148" s="67">
        <f t="shared" ref="BI148:BI153" si="51">IF(AND((AX148/I148)&lt;3,BG148=2),(I148*3)-AX148,0)</f>
        <v>0</v>
      </c>
      <c r="BJ148" s="67">
        <f t="shared" ref="BJ148:BJ153" si="52">(BH148+BI148)*K148</f>
        <v>222.19999999999993</v>
      </c>
      <c r="BN148" s="37"/>
      <c r="BO148" s="70">
        <f t="shared" si="33"/>
        <v>0</v>
      </c>
      <c r="BP148" s="37">
        <v>15</v>
      </c>
      <c r="BQ148" s="37">
        <v>21</v>
      </c>
      <c r="BR148" s="37">
        <v>21</v>
      </c>
      <c r="BS148" s="37">
        <v>20</v>
      </c>
      <c r="BT148" s="87">
        <f t="shared" si="34"/>
        <v>11</v>
      </c>
      <c r="BU148" s="87"/>
      <c r="BV148" s="87"/>
      <c r="BW148" s="87"/>
      <c r="BX148" s="87"/>
      <c r="BY148" s="87"/>
      <c r="BZ148" s="87"/>
      <c r="CA148" s="87"/>
      <c r="CB148" s="87"/>
      <c r="CC148" s="87"/>
      <c r="CD148" s="87"/>
      <c r="CF148" s="67">
        <f t="shared" si="39"/>
        <v>165</v>
      </c>
      <c r="CG148" s="67">
        <f t="shared" si="40"/>
        <v>231</v>
      </c>
      <c r="CH148" s="67">
        <f t="shared" si="41"/>
        <v>231</v>
      </c>
      <c r="CI148" s="67">
        <f t="shared" si="46"/>
        <v>220</v>
      </c>
      <c r="CJ148" s="37">
        <f t="shared" si="42"/>
        <v>82.5</v>
      </c>
      <c r="CK148" s="37">
        <f t="shared" si="43"/>
        <v>115.5</v>
      </c>
      <c r="CL148" s="37">
        <f t="shared" si="44"/>
        <v>115.5</v>
      </c>
      <c r="CM148" s="37">
        <f t="shared" si="45"/>
        <v>110</v>
      </c>
    </row>
    <row r="149" spans="2:91" ht="33.75">
      <c r="B149" s="156">
        <v>145</v>
      </c>
      <c r="C149" s="160">
        <v>105</v>
      </c>
      <c r="D149" s="164">
        <v>150</v>
      </c>
      <c r="E149" s="161">
        <v>0.74652777777777779</v>
      </c>
      <c r="F149" s="161">
        <v>0.75416666666666676</v>
      </c>
      <c r="G149" s="160" t="s">
        <v>261</v>
      </c>
      <c r="H149" s="160" t="s">
        <v>425</v>
      </c>
      <c r="I149" s="163">
        <v>5.5</v>
      </c>
      <c r="J149" s="164" t="s">
        <v>116</v>
      </c>
      <c r="K149" s="165">
        <v>55</v>
      </c>
      <c r="L149" s="166">
        <f t="shared" si="32"/>
        <v>302.5</v>
      </c>
      <c r="M149" s="177" t="s">
        <v>724</v>
      </c>
      <c r="N149" s="154" t="s">
        <v>903</v>
      </c>
      <c r="O149" s="154">
        <v>24</v>
      </c>
      <c r="P149" s="154" t="s">
        <v>1910</v>
      </c>
      <c r="Q149" s="154">
        <v>21</v>
      </c>
      <c r="S149" s="154"/>
      <c r="T149" s="45">
        <v>1072</v>
      </c>
      <c r="U149" s="45" t="s">
        <v>1335</v>
      </c>
      <c r="V149" s="45">
        <v>1075</v>
      </c>
      <c r="W149" s="45" t="s">
        <v>1432</v>
      </c>
      <c r="X149" s="99">
        <v>44562</v>
      </c>
      <c r="Y149" s="99">
        <v>44815</v>
      </c>
      <c r="Z149" s="99">
        <v>45101</v>
      </c>
      <c r="AA149" s="99">
        <v>45169</v>
      </c>
      <c r="AB149" s="41" t="s">
        <v>1121</v>
      </c>
      <c r="AC149" s="41"/>
      <c r="AD149" s="42"/>
      <c r="AE149" s="42" t="s">
        <v>734</v>
      </c>
      <c r="AF149" s="42" t="s">
        <v>734</v>
      </c>
      <c r="AG149" s="42"/>
      <c r="AH149" s="42" t="s">
        <v>734</v>
      </c>
      <c r="AI149" s="42" t="s">
        <v>734</v>
      </c>
      <c r="AJ149" s="42" t="s">
        <v>734</v>
      </c>
      <c r="AK149" s="42" t="s">
        <v>734</v>
      </c>
      <c r="AL149" s="42" t="s">
        <v>734</v>
      </c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68">
        <v>13.75</v>
      </c>
      <c r="BA149" s="68"/>
      <c r="BB149" s="68"/>
      <c r="BD149" s="67">
        <f t="shared" si="35"/>
        <v>756.25</v>
      </c>
      <c r="BE149" s="67"/>
      <c r="BF149" s="37"/>
      <c r="BG149" s="73">
        <v>1</v>
      </c>
      <c r="BH149" s="67">
        <f t="shared" si="50"/>
        <v>0</v>
      </c>
      <c r="BI149" s="67">
        <f t="shared" si="51"/>
        <v>0</v>
      </c>
      <c r="BJ149" s="70">
        <f t="shared" si="52"/>
        <v>0</v>
      </c>
      <c r="BN149" s="37"/>
      <c r="BO149" s="70">
        <f t="shared" si="33"/>
        <v>0</v>
      </c>
      <c r="BP149" s="37">
        <v>7</v>
      </c>
      <c r="BQ149" s="37">
        <v>0</v>
      </c>
      <c r="BR149" s="37">
        <v>0</v>
      </c>
      <c r="BT149" s="87">
        <f t="shared" si="34"/>
        <v>13.75</v>
      </c>
      <c r="BU149" s="87"/>
      <c r="BV149" s="87"/>
      <c r="BW149" s="87"/>
      <c r="BX149" s="87"/>
      <c r="BY149" s="87"/>
      <c r="BZ149" s="87"/>
      <c r="CA149" s="87"/>
      <c r="CB149" s="87"/>
      <c r="CC149" s="87"/>
      <c r="CD149" s="87"/>
      <c r="CF149" s="67">
        <f t="shared" si="39"/>
        <v>96.25</v>
      </c>
      <c r="CG149" s="67">
        <f t="shared" si="40"/>
        <v>0</v>
      </c>
      <c r="CH149" s="67">
        <f t="shared" si="41"/>
        <v>0</v>
      </c>
      <c r="CI149" s="67">
        <f t="shared" si="46"/>
        <v>0</v>
      </c>
      <c r="CJ149" s="37">
        <f t="shared" si="42"/>
        <v>38.5</v>
      </c>
      <c r="CK149" s="37">
        <f t="shared" si="43"/>
        <v>0</v>
      </c>
      <c r="CL149" s="37">
        <f t="shared" si="44"/>
        <v>0</v>
      </c>
      <c r="CM149" s="37">
        <f t="shared" si="45"/>
        <v>0</v>
      </c>
    </row>
    <row r="150" spans="2:91" ht="33.75">
      <c r="B150" s="156">
        <v>146</v>
      </c>
      <c r="C150" s="160">
        <v>105</v>
      </c>
      <c r="D150" s="164">
        <v>218</v>
      </c>
      <c r="E150" s="161">
        <v>0.76111111111111107</v>
      </c>
      <c r="F150" s="161">
        <v>0.7715277777777777</v>
      </c>
      <c r="G150" s="160" t="s">
        <v>261</v>
      </c>
      <c r="H150" s="160" t="s">
        <v>203</v>
      </c>
      <c r="I150" s="163">
        <v>5.5</v>
      </c>
      <c r="J150" s="164" t="s">
        <v>93</v>
      </c>
      <c r="K150" s="165">
        <v>202</v>
      </c>
      <c r="L150" s="166">
        <f t="shared" si="32"/>
        <v>1111</v>
      </c>
      <c r="M150" s="177" t="s">
        <v>724</v>
      </c>
      <c r="N150" s="154" t="s">
        <v>903</v>
      </c>
      <c r="O150" s="154">
        <v>24</v>
      </c>
      <c r="P150" s="154" t="s">
        <v>1910</v>
      </c>
      <c r="Q150" s="154">
        <v>21</v>
      </c>
      <c r="S150" s="154"/>
      <c r="T150" s="45">
        <v>1072</v>
      </c>
      <c r="U150" s="45" t="s">
        <v>1335</v>
      </c>
      <c r="V150" s="45">
        <v>1075</v>
      </c>
      <c r="W150" s="45" t="s">
        <v>1432</v>
      </c>
      <c r="X150" s="99">
        <v>44816</v>
      </c>
      <c r="Y150" s="99">
        <v>45100</v>
      </c>
      <c r="Z150" s="99"/>
      <c r="AA150" s="99"/>
      <c r="AB150" s="41" t="s">
        <v>1120</v>
      </c>
      <c r="AC150" s="41"/>
      <c r="AD150" s="42" t="s">
        <v>734</v>
      </c>
      <c r="AE150" s="42"/>
      <c r="AF150" s="42" t="s">
        <v>734</v>
      </c>
      <c r="AG150" s="42"/>
      <c r="AH150" s="42" t="s">
        <v>734</v>
      </c>
      <c r="AI150" s="42" t="s">
        <v>734</v>
      </c>
      <c r="AJ150" s="42" t="s">
        <v>734</v>
      </c>
      <c r="AK150" s="42" t="s">
        <v>734</v>
      </c>
      <c r="AL150" s="42" t="s">
        <v>734</v>
      </c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68">
        <v>12.5</v>
      </c>
      <c r="BA150" s="68"/>
      <c r="BB150" s="68"/>
      <c r="BD150" s="67">
        <f t="shared" si="35"/>
        <v>2525</v>
      </c>
      <c r="BE150" s="67"/>
      <c r="BF150" s="37"/>
      <c r="BG150" s="73">
        <v>1</v>
      </c>
      <c r="BH150" s="67">
        <f t="shared" si="50"/>
        <v>0</v>
      </c>
      <c r="BI150" s="67">
        <f t="shared" si="51"/>
        <v>0</v>
      </c>
      <c r="BJ150" s="70">
        <f t="shared" si="52"/>
        <v>0</v>
      </c>
      <c r="BN150" s="37"/>
      <c r="BO150" s="70">
        <f t="shared" si="33"/>
        <v>0</v>
      </c>
      <c r="BP150" s="37">
        <v>15</v>
      </c>
      <c r="BQ150" s="37">
        <v>21</v>
      </c>
      <c r="BR150" s="37">
        <v>21</v>
      </c>
      <c r="BS150" s="37">
        <v>20</v>
      </c>
      <c r="BT150" s="87">
        <f t="shared" si="34"/>
        <v>12.5</v>
      </c>
      <c r="BU150" s="87"/>
      <c r="BV150" s="87"/>
      <c r="BW150" s="87"/>
      <c r="BX150" s="87"/>
      <c r="BY150" s="87"/>
      <c r="BZ150" s="87"/>
      <c r="CA150" s="87"/>
      <c r="CB150" s="87"/>
      <c r="CC150" s="87"/>
      <c r="CD150" s="87"/>
      <c r="CF150" s="67">
        <f t="shared" si="39"/>
        <v>187.5</v>
      </c>
      <c r="CG150" s="67">
        <f t="shared" si="40"/>
        <v>262.5</v>
      </c>
      <c r="CH150" s="67">
        <f t="shared" si="41"/>
        <v>262.5</v>
      </c>
      <c r="CI150" s="67">
        <f t="shared" si="46"/>
        <v>250</v>
      </c>
      <c r="CJ150" s="37">
        <f t="shared" si="42"/>
        <v>82.5</v>
      </c>
      <c r="CK150" s="37">
        <f t="shared" si="43"/>
        <v>115.5</v>
      </c>
      <c r="CL150" s="37">
        <f t="shared" si="44"/>
        <v>115.5</v>
      </c>
      <c r="CM150" s="37">
        <f t="shared" si="45"/>
        <v>110</v>
      </c>
    </row>
    <row r="151" spans="2:91" ht="33.75">
      <c r="B151" s="156">
        <v>147</v>
      </c>
      <c r="C151" s="160">
        <v>105</v>
      </c>
      <c r="D151" s="164">
        <v>218</v>
      </c>
      <c r="E151" s="161">
        <v>0.76111111111111107</v>
      </c>
      <c r="F151" s="161">
        <v>0.7715277777777777</v>
      </c>
      <c r="G151" s="160" t="s">
        <v>261</v>
      </c>
      <c r="H151" s="160" t="s">
        <v>425</v>
      </c>
      <c r="I151" s="163">
        <v>5.5</v>
      </c>
      <c r="J151" s="164" t="s">
        <v>93</v>
      </c>
      <c r="K151" s="165">
        <v>55</v>
      </c>
      <c r="L151" s="166">
        <f t="shared" si="32"/>
        <v>302.5</v>
      </c>
      <c r="M151" s="177" t="s">
        <v>724</v>
      </c>
      <c r="N151" s="154" t="s">
        <v>903</v>
      </c>
      <c r="O151" s="154">
        <v>24</v>
      </c>
      <c r="P151" s="154" t="s">
        <v>1910</v>
      </c>
      <c r="Q151" s="154">
        <v>21</v>
      </c>
      <c r="S151" s="154"/>
      <c r="T151" s="45">
        <v>1072</v>
      </c>
      <c r="U151" s="45" t="s">
        <v>1335</v>
      </c>
      <c r="V151" s="45">
        <v>1075</v>
      </c>
      <c r="W151" s="45" t="s">
        <v>1432</v>
      </c>
      <c r="X151" s="99">
        <v>44562</v>
      </c>
      <c r="Y151" s="99">
        <v>44815</v>
      </c>
      <c r="Z151" s="99">
        <v>45101</v>
      </c>
      <c r="AA151" s="99">
        <v>45169</v>
      </c>
      <c r="AB151" s="41" t="s">
        <v>1121</v>
      </c>
      <c r="AC151" s="41"/>
      <c r="AD151" s="42"/>
      <c r="AE151" s="42" t="s">
        <v>734</v>
      </c>
      <c r="AF151" s="42" t="s">
        <v>734</v>
      </c>
      <c r="AG151" s="42"/>
      <c r="AH151" s="42" t="s">
        <v>734</v>
      </c>
      <c r="AI151" s="42" t="s">
        <v>734</v>
      </c>
      <c r="AJ151" s="42" t="s">
        <v>734</v>
      </c>
      <c r="AK151" s="42" t="s">
        <v>734</v>
      </c>
      <c r="AL151" s="42" t="s">
        <v>734</v>
      </c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68">
        <v>13.75</v>
      </c>
      <c r="BA151" s="68"/>
      <c r="BB151" s="68"/>
      <c r="BD151" s="67">
        <f t="shared" si="35"/>
        <v>756.25</v>
      </c>
      <c r="BE151" s="67"/>
      <c r="BF151" s="37"/>
      <c r="BG151" s="73">
        <v>1</v>
      </c>
      <c r="BH151" s="67">
        <f t="shared" si="50"/>
        <v>0</v>
      </c>
      <c r="BI151" s="67">
        <f t="shared" si="51"/>
        <v>0</v>
      </c>
      <c r="BJ151" s="70">
        <f t="shared" si="52"/>
        <v>0</v>
      </c>
      <c r="BN151" s="37"/>
      <c r="BO151" s="70">
        <f t="shared" si="33"/>
        <v>0</v>
      </c>
      <c r="BP151" s="37">
        <v>7</v>
      </c>
      <c r="BQ151" s="37">
        <v>0</v>
      </c>
      <c r="BR151" s="37">
        <v>0</v>
      </c>
      <c r="BT151" s="87">
        <f t="shared" si="34"/>
        <v>13.75</v>
      </c>
      <c r="BU151" s="87"/>
      <c r="BV151" s="87"/>
      <c r="BW151" s="87"/>
      <c r="BX151" s="87"/>
      <c r="BY151" s="87"/>
      <c r="BZ151" s="87"/>
      <c r="CA151" s="87"/>
      <c r="CB151" s="87"/>
      <c r="CC151" s="87"/>
      <c r="CD151" s="87"/>
      <c r="CF151" s="67">
        <f t="shared" si="39"/>
        <v>96.25</v>
      </c>
      <c r="CG151" s="67">
        <f t="shared" si="40"/>
        <v>0</v>
      </c>
      <c r="CH151" s="67">
        <f t="shared" si="41"/>
        <v>0</v>
      </c>
      <c r="CI151" s="67">
        <f t="shared" si="46"/>
        <v>0</v>
      </c>
      <c r="CJ151" s="37">
        <f t="shared" si="42"/>
        <v>38.5</v>
      </c>
      <c r="CK151" s="37">
        <f t="shared" si="43"/>
        <v>0</v>
      </c>
      <c r="CL151" s="37">
        <f t="shared" si="44"/>
        <v>0</v>
      </c>
      <c r="CM151" s="37">
        <f t="shared" si="45"/>
        <v>0</v>
      </c>
    </row>
    <row r="152" spans="2:91" ht="33.75">
      <c r="B152" s="156">
        <v>148</v>
      </c>
      <c r="C152" s="160">
        <v>105</v>
      </c>
      <c r="D152" s="164">
        <v>158</v>
      </c>
      <c r="E152" s="161">
        <v>0.8027777777777777</v>
      </c>
      <c r="F152" s="161">
        <v>0.81319444444444444</v>
      </c>
      <c r="G152" s="160" t="s">
        <v>261</v>
      </c>
      <c r="H152" s="160" t="s">
        <v>203</v>
      </c>
      <c r="I152" s="163">
        <v>5.5</v>
      </c>
      <c r="J152" s="164" t="s">
        <v>93</v>
      </c>
      <c r="K152" s="165">
        <v>202</v>
      </c>
      <c r="L152" s="166">
        <f t="shared" si="32"/>
        <v>1111</v>
      </c>
      <c r="M152" s="177" t="s">
        <v>724</v>
      </c>
      <c r="N152" s="154" t="s">
        <v>903</v>
      </c>
      <c r="O152" s="154">
        <v>24</v>
      </c>
      <c r="P152" s="154" t="s">
        <v>1910</v>
      </c>
      <c r="Q152" s="154">
        <v>21</v>
      </c>
      <c r="S152" s="154"/>
      <c r="T152" s="45">
        <v>1072</v>
      </c>
      <c r="U152" s="45" t="s">
        <v>1335</v>
      </c>
      <c r="V152" s="45">
        <v>1075</v>
      </c>
      <c r="W152" s="45" t="s">
        <v>1432</v>
      </c>
      <c r="X152" s="99">
        <v>44816</v>
      </c>
      <c r="Y152" s="99">
        <v>45100</v>
      </c>
      <c r="Z152" s="99"/>
      <c r="AA152" s="99"/>
      <c r="AB152" s="41" t="s">
        <v>1120</v>
      </c>
      <c r="AC152" s="41"/>
      <c r="AD152" s="42" t="s">
        <v>734</v>
      </c>
      <c r="AE152" s="42"/>
      <c r="AF152" s="42" t="s">
        <v>734</v>
      </c>
      <c r="AG152" s="42"/>
      <c r="AH152" s="42" t="s">
        <v>734</v>
      </c>
      <c r="AI152" s="42" t="s">
        <v>734</v>
      </c>
      <c r="AJ152" s="42" t="s">
        <v>734</v>
      </c>
      <c r="AK152" s="42" t="s">
        <v>734</v>
      </c>
      <c r="AL152" s="42" t="s">
        <v>734</v>
      </c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68">
        <v>12.5</v>
      </c>
      <c r="AY152" s="37"/>
      <c r="BA152" s="68"/>
      <c r="BB152" s="68"/>
      <c r="BD152" s="67">
        <f t="shared" si="35"/>
        <v>2525</v>
      </c>
      <c r="BE152" s="67"/>
      <c r="BF152" s="37"/>
      <c r="BG152" s="73">
        <v>1</v>
      </c>
      <c r="BH152" s="67">
        <f t="shared" si="50"/>
        <v>0</v>
      </c>
      <c r="BI152" s="67">
        <f t="shared" si="51"/>
        <v>0</v>
      </c>
      <c r="BJ152" s="70">
        <f t="shared" si="52"/>
        <v>0</v>
      </c>
      <c r="BN152" s="37"/>
      <c r="BO152" s="70">
        <f t="shared" si="33"/>
        <v>0</v>
      </c>
      <c r="BP152" s="37">
        <v>15</v>
      </c>
      <c r="BQ152" s="37">
        <v>21</v>
      </c>
      <c r="BR152" s="37">
        <v>21</v>
      </c>
      <c r="BS152" s="37">
        <v>20</v>
      </c>
      <c r="BT152" s="87">
        <f t="shared" si="34"/>
        <v>12.5</v>
      </c>
      <c r="BU152" s="87"/>
      <c r="BV152" s="87"/>
      <c r="BW152" s="87"/>
      <c r="BX152" s="87"/>
      <c r="BY152" s="87"/>
      <c r="BZ152" s="87"/>
      <c r="CA152" s="87"/>
      <c r="CB152" s="87"/>
      <c r="CC152" s="87"/>
      <c r="CD152" s="87"/>
      <c r="CF152" s="67">
        <f t="shared" si="39"/>
        <v>187.5</v>
      </c>
      <c r="CG152" s="67">
        <f t="shared" si="40"/>
        <v>262.5</v>
      </c>
      <c r="CH152" s="67">
        <f t="shared" si="41"/>
        <v>262.5</v>
      </c>
      <c r="CI152" s="67">
        <f t="shared" si="46"/>
        <v>250</v>
      </c>
      <c r="CJ152" s="37">
        <f t="shared" si="42"/>
        <v>82.5</v>
      </c>
      <c r="CK152" s="37">
        <f t="shared" si="43"/>
        <v>115.5</v>
      </c>
      <c r="CL152" s="37">
        <f t="shared" si="44"/>
        <v>115.5</v>
      </c>
      <c r="CM152" s="37">
        <f t="shared" si="45"/>
        <v>110</v>
      </c>
    </row>
    <row r="153" spans="2:91" ht="33.75">
      <c r="B153" s="156">
        <v>149</v>
      </c>
      <c r="C153" s="160">
        <v>105</v>
      </c>
      <c r="D153" s="164">
        <v>158</v>
      </c>
      <c r="E153" s="161">
        <v>0.8027777777777777</v>
      </c>
      <c r="F153" s="161">
        <v>0.81319444444444444</v>
      </c>
      <c r="G153" s="160" t="s">
        <v>261</v>
      </c>
      <c r="H153" s="160" t="s">
        <v>425</v>
      </c>
      <c r="I153" s="163">
        <v>5.5</v>
      </c>
      <c r="J153" s="164" t="s">
        <v>93</v>
      </c>
      <c r="K153" s="165">
        <v>55</v>
      </c>
      <c r="L153" s="166">
        <f t="shared" si="32"/>
        <v>302.5</v>
      </c>
      <c r="M153" s="177" t="s">
        <v>724</v>
      </c>
      <c r="N153" s="154" t="s">
        <v>903</v>
      </c>
      <c r="O153" s="154">
        <v>24</v>
      </c>
      <c r="P153" s="154" t="s">
        <v>1910</v>
      </c>
      <c r="Q153" s="154">
        <v>21</v>
      </c>
      <c r="S153" s="154"/>
      <c r="T153" s="45">
        <v>1072</v>
      </c>
      <c r="U153" s="45" t="s">
        <v>1335</v>
      </c>
      <c r="V153" s="45">
        <v>1075</v>
      </c>
      <c r="W153" s="45" t="s">
        <v>1432</v>
      </c>
      <c r="X153" s="99">
        <v>44562</v>
      </c>
      <c r="Y153" s="99">
        <v>44815</v>
      </c>
      <c r="Z153" s="99">
        <v>45101</v>
      </c>
      <c r="AA153" s="99">
        <v>45169</v>
      </c>
      <c r="AB153" s="41" t="s">
        <v>1121</v>
      </c>
      <c r="AC153" s="41"/>
      <c r="AD153" s="42"/>
      <c r="AE153" s="42" t="s">
        <v>734</v>
      </c>
      <c r="AF153" s="42" t="s">
        <v>734</v>
      </c>
      <c r="AG153" s="42"/>
      <c r="AH153" s="42" t="s">
        <v>734</v>
      </c>
      <c r="AI153" s="42" t="s">
        <v>734</v>
      </c>
      <c r="AJ153" s="42" t="s">
        <v>734</v>
      </c>
      <c r="AK153" s="42" t="s">
        <v>734</v>
      </c>
      <c r="AL153" s="42" t="s">
        <v>734</v>
      </c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68">
        <v>13.75</v>
      </c>
      <c r="AY153" s="37"/>
      <c r="BA153" s="68"/>
      <c r="BB153" s="68"/>
      <c r="BD153" s="67">
        <f t="shared" si="35"/>
        <v>756.25</v>
      </c>
      <c r="BE153" s="67"/>
      <c r="BF153" s="37"/>
      <c r="BG153" s="73">
        <v>1</v>
      </c>
      <c r="BH153" s="67">
        <f t="shared" si="50"/>
        <v>0</v>
      </c>
      <c r="BI153" s="67">
        <f t="shared" si="51"/>
        <v>0</v>
      </c>
      <c r="BJ153" s="70">
        <f t="shared" si="52"/>
        <v>0</v>
      </c>
      <c r="BN153" s="37"/>
      <c r="BO153" s="70">
        <f t="shared" si="33"/>
        <v>0</v>
      </c>
      <c r="BP153" s="37">
        <v>7</v>
      </c>
      <c r="BQ153" s="37">
        <v>0</v>
      </c>
      <c r="BR153" s="37">
        <v>0</v>
      </c>
      <c r="BT153" s="87">
        <f t="shared" si="34"/>
        <v>13.75</v>
      </c>
      <c r="BU153" s="87"/>
      <c r="BV153" s="87"/>
      <c r="BW153" s="87"/>
      <c r="BX153" s="87"/>
      <c r="BY153" s="87"/>
      <c r="BZ153" s="87"/>
      <c r="CA153" s="87"/>
      <c r="CB153" s="87"/>
      <c r="CC153" s="87"/>
      <c r="CD153" s="87"/>
      <c r="CF153" s="67">
        <f t="shared" si="39"/>
        <v>96.25</v>
      </c>
      <c r="CG153" s="67">
        <f t="shared" si="40"/>
        <v>0</v>
      </c>
      <c r="CH153" s="67">
        <f t="shared" si="41"/>
        <v>0</v>
      </c>
      <c r="CI153" s="67">
        <f t="shared" si="46"/>
        <v>0</v>
      </c>
      <c r="CJ153" s="37">
        <f t="shared" si="42"/>
        <v>38.5</v>
      </c>
      <c r="CK153" s="37">
        <f t="shared" si="43"/>
        <v>0</v>
      </c>
      <c r="CL153" s="37">
        <f t="shared" si="44"/>
        <v>0</v>
      </c>
      <c r="CM153" s="37">
        <f t="shared" si="45"/>
        <v>0</v>
      </c>
    </row>
    <row r="154" spans="2:91" ht="22.5">
      <c r="B154" s="156">
        <v>150</v>
      </c>
      <c r="C154" s="169">
        <v>106</v>
      </c>
      <c r="D154" s="169">
        <v>295</v>
      </c>
      <c r="E154" s="170">
        <v>0.25416666666666665</v>
      </c>
      <c r="F154" s="170">
        <v>0.2673611111111111</v>
      </c>
      <c r="G154" s="171" t="s">
        <v>52</v>
      </c>
      <c r="H154" s="171" t="s">
        <v>1</v>
      </c>
      <c r="I154" s="169">
        <v>8</v>
      </c>
      <c r="J154" s="172">
        <v>19</v>
      </c>
      <c r="K154" s="165">
        <v>67</v>
      </c>
      <c r="L154" s="166">
        <f t="shared" si="32"/>
        <v>536</v>
      </c>
      <c r="M154" s="167" t="s">
        <v>738</v>
      </c>
      <c r="N154" s="150" t="s">
        <v>1083</v>
      </c>
      <c r="O154" s="150">
        <v>25</v>
      </c>
      <c r="P154" s="150" t="s">
        <v>1916</v>
      </c>
      <c r="Q154" s="150">
        <v>23</v>
      </c>
      <c r="R154" s="3" t="s">
        <v>1988</v>
      </c>
      <c r="S154" s="152">
        <v>23</v>
      </c>
      <c r="T154" s="45">
        <v>6096</v>
      </c>
      <c r="U154" s="45" t="s">
        <v>1433</v>
      </c>
      <c r="V154" s="45">
        <v>6100</v>
      </c>
      <c r="W154" s="45" t="s">
        <v>1434</v>
      </c>
      <c r="X154" s="99">
        <v>44562</v>
      </c>
      <c r="Y154" s="99">
        <v>44815</v>
      </c>
      <c r="Z154" s="99">
        <v>45101</v>
      </c>
      <c r="AA154" s="99">
        <v>45169</v>
      </c>
      <c r="AB154" s="42" t="s">
        <v>1119</v>
      </c>
      <c r="AC154" s="42"/>
      <c r="AD154" s="42"/>
      <c r="AE154" s="42" t="s">
        <v>734</v>
      </c>
      <c r="AF154" s="42" t="s">
        <v>734</v>
      </c>
      <c r="AG154" s="42"/>
      <c r="AH154" s="42" t="s">
        <v>734</v>
      </c>
      <c r="AI154" s="42" t="s">
        <v>734</v>
      </c>
      <c r="AJ154" s="42" t="s">
        <v>734</v>
      </c>
      <c r="AK154" s="42" t="s">
        <v>734</v>
      </c>
      <c r="AL154" s="42" t="s">
        <v>734</v>
      </c>
      <c r="AM154" s="42" t="s">
        <v>734</v>
      </c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Y154" s="67">
        <f>1.9*8</f>
        <v>15.2</v>
      </c>
      <c r="BA154" s="67"/>
      <c r="BB154" s="67"/>
      <c r="BC154" s="37">
        <v>24</v>
      </c>
      <c r="BD154" s="67">
        <f t="shared" si="35"/>
        <v>0</v>
      </c>
      <c r="BE154" s="67">
        <f>AY154*K154</f>
        <v>1018.4</v>
      </c>
      <c r="BF154" s="37"/>
      <c r="BG154" s="73">
        <v>1</v>
      </c>
      <c r="BI154" s="67"/>
      <c r="BJ154" s="37"/>
      <c r="BK154" s="71"/>
      <c r="BL154" s="71"/>
      <c r="BM154" s="72"/>
      <c r="BN154" s="67">
        <f>IF((AX154+AY154+AZ154)&lt;20,(20-(AX154+AY154+AZ154)),0)</f>
        <v>4.8000000000000007</v>
      </c>
      <c r="BO154" s="70">
        <f t="shared" si="33"/>
        <v>321.60000000000002</v>
      </c>
      <c r="BP154" s="37">
        <v>9</v>
      </c>
      <c r="BQ154" s="37">
        <v>0</v>
      </c>
      <c r="BR154" s="37">
        <v>0</v>
      </c>
      <c r="BS154" s="37">
        <v>0</v>
      </c>
      <c r="BT154" s="87">
        <f t="shared" si="34"/>
        <v>20</v>
      </c>
      <c r="BU154" s="87"/>
      <c r="BV154" s="87"/>
      <c r="BW154" s="87"/>
      <c r="BX154" s="87"/>
      <c r="BY154" s="87"/>
      <c r="BZ154" s="87"/>
      <c r="CA154" s="87"/>
      <c r="CB154" s="87"/>
      <c r="CC154" s="87"/>
      <c r="CD154" s="87"/>
      <c r="CF154" s="67">
        <f t="shared" si="39"/>
        <v>180</v>
      </c>
      <c r="CG154" s="67">
        <f t="shared" si="40"/>
        <v>0</v>
      </c>
      <c r="CH154" s="67">
        <f t="shared" si="41"/>
        <v>0</v>
      </c>
      <c r="CI154" s="67">
        <f t="shared" si="46"/>
        <v>0</v>
      </c>
      <c r="CJ154" s="37">
        <f t="shared" si="42"/>
        <v>72</v>
      </c>
      <c r="CK154" s="37">
        <f t="shared" si="43"/>
        <v>0</v>
      </c>
      <c r="CL154" s="37">
        <f t="shared" si="44"/>
        <v>0</v>
      </c>
      <c r="CM154" s="37">
        <f t="shared" si="45"/>
        <v>0</v>
      </c>
    </row>
    <row r="155" spans="2:91" ht="25.5">
      <c r="B155" s="156">
        <v>151</v>
      </c>
      <c r="C155" s="160">
        <v>106</v>
      </c>
      <c r="D155" s="164">
        <v>281</v>
      </c>
      <c r="E155" s="161">
        <v>0.27083333333333331</v>
      </c>
      <c r="F155" s="161">
        <v>0.28402777777777777</v>
      </c>
      <c r="G155" s="160" t="s">
        <v>735</v>
      </c>
      <c r="H155" s="160" t="s">
        <v>97</v>
      </c>
      <c r="I155" s="163">
        <v>8</v>
      </c>
      <c r="J155" s="164" t="s">
        <v>93</v>
      </c>
      <c r="K155" s="165">
        <v>208</v>
      </c>
      <c r="L155" s="166">
        <f t="shared" si="32"/>
        <v>1664</v>
      </c>
      <c r="M155" s="167" t="s">
        <v>738</v>
      </c>
      <c r="N155" s="150" t="s">
        <v>1083</v>
      </c>
      <c r="O155" s="150">
        <v>25</v>
      </c>
      <c r="P155" s="150" t="s">
        <v>1916</v>
      </c>
      <c r="Q155" s="150">
        <v>23</v>
      </c>
      <c r="R155" s="3" t="s">
        <v>1988</v>
      </c>
      <c r="S155" s="152">
        <v>23</v>
      </c>
      <c r="T155" s="45">
        <v>6096</v>
      </c>
      <c r="U155" s="45" t="s">
        <v>1433</v>
      </c>
      <c r="V155" s="45">
        <v>6100</v>
      </c>
      <c r="W155" s="45" t="s">
        <v>1434</v>
      </c>
      <c r="X155" s="98">
        <v>44816</v>
      </c>
      <c r="Y155" s="98">
        <v>45086</v>
      </c>
      <c r="Z155" s="98"/>
      <c r="AA155" s="98"/>
      <c r="AB155" s="41" t="s">
        <v>1118</v>
      </c>
      <c r="AC155" s="41"/>
      <c r="AD155" s="42"/>
      <c r="AE155" s="42"/>
      <c r="AF155" s="42"/>
      <c r="AG155" s="42" t="s">
        <v>734</v>
      </c>
      <c r="AH155" s="42" t="s">
        <v>734</v>
      </c>
      <c r="AI155" s="42" t="s">
        <v>734</v>
      </c>
      <c r="AJ155" s="42" t="s">
        <v>734</v>
      </c>
      <c r="AK155" s="42" t="s">
        <v>734</v>
      </c>
      <c r="AL155" s="42" t="s">
        <v>734</v>
      </c>
      <c r="AM155" s="42" t="s">
        <v>734</v>
      </c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67">
        <v>24</v>
      </c>
      <c r="BA155" s="67"/>
      <c r="BB155" s="67"/>
      <c r="BD155" s="67">
        <f t="shared" si="35"/>
        <v>4992</v>
      </c>
      <c r="BE155" s="67"/>
      <c r="BF155" s="37"/>
      <c r="BG155" s="73">
        <v>1</v>
      </c>
      <c r="BH155" s="67">
        <f>IF(AND((AX155/I155)&lt;2,BG155=1),(I155*2)-AX155,0)</f>
        <v>0</v>
      </c>
      <c r="BI155" s="67">
        <f>IF(AND((AX155/I155)&lt;3,BG155=2),(I155*3)-AX155,0)</f>
        <v>0</v>
      </c>
      <c r="BJ155" s="70">
        <f>(BH155+BI155)*K155</f>
        <v>0</v>
      </c>
      <c r="BK155" s="71"/>
      <c r="BL155" s="71"/>
      <c r="BM155" s="72"/>
      <c r="BN155" s="67">
        <f>IF((AX155+AY155+AZ155)&lt;20,(20-(AX155+AY155+AZ155)),0)</f>
        <v>0</v>
      </c>
      <c r="BO155" s="70">
        <f t="shared" si="33"/>
        <v>0</v>
      </c>
      <c r="BP155" s="37">
        <v>17</v>
      </c>
      <c r="BQ155" s="37">
        <v>25</v>
      </c>
      <c r="BR155" s="37">
        <v>25</v>
      </c>
      <c r="BS155" s="37">
        <v>18</v>
      </c>
      <c r="BT155" s="87">
        <f t="shared" si="34"/>
        <v>24</v>
      </c>
      <c r="BU155" s="87"/>
      <c r="BV155" s="87"/>
      <c r="BW155" s="87"/>
      <c r="BX155" s="87"/>
      <c r="BY155" s="87"/>
      <c r="BZ155" s="87"/>
      <c r="CA155" s="87"/>
      <c r="CB155" s="87"/>
      <c r="CC155" s="87"/>
      <c r="CD155" s="87"/>
      <c r="CF155" s="67">
        <f t="shared" si="39"/>
        <v>408</v>
      </c>
      <c r="CG155" s="67">
        <f t="shared" si="40"/>
        <v>600</v>
      </c>
      <c r="CH155" s="67">
        <f t="shared" si="41"/>
        <v>600</v>
      </c>
      <c r="CI155" s="67">
        <f t="shared" si="46"/>
        <v>432</v>
      </c>
      <c r="CJ155" s="37">
        <f t="shared" si="42"/>
        <v>136</v>
      </c>
      <c r="CK155" s="37">
        <f t="shared" si="43"/>
        <v>200</v>
      </c>
      <c r="CL155" s="37">
        <f t="shared" si="44"/>
        <v>200</v>
      </c>
      <c r="CM155" s="37">
        <f t="shared" si="45"/>
        <v>144</v>
      </c>
    </row>
    <row r="156" spans="2:91" ht="33.75">
      <c r="B156" s="156">
        <v>152</v>
      </c>
      <c r="C156" s="169">
        <v>106</v>
      </c>
      <c r="D156" s="169">
        <v>290</v>
      </c>
      <c r="E156" s="170">
        <v>0.27986111111111112</v>
      </c>
      <c r="F156" s="170">
        <v>0.29444444444444445</v>
      </c>
      <c r="G156" s="171" t="s">
        <v>51</v>
      </c>
      <c r="H156" s="171" t="s">
        <v>267</v>
      </c>
      <c r="I156" s="169">
        <v>9</v>
      </c>
      <c r="J156" s="172">
        <v>19</v>
      </c>
      <c r="K156" s="165">
        <v>55</v>
      </c>
      <c r="L156" s="166">
        <f t="shared" si="32"/>
        <v>495</v>
      </c>
      <c r="M156" s="167" t="s">
        <v>738</v>
      </c>
      <c r="N156" s="150" t="s">
        <v>1083</v>
      </c>
      <c r="O156" s="150">
        <v>25</v>
      </c>
      <c r="P156" s="150" t="s">
        <v>1916</v>
      </c>
      <c r="Q156" s="150">
        <v>23</v>
      </c>
      <c r="R156" s="3" t="s">
        <v>1988</v>
      </c>
      <c r="S156" s="152">
        <v>23</v>
      </c>
      <c r="T156" s="45" t="s">
        <v>1435</v>
      </c>
      <c r="U156" s="45" t="s">
        <v>1436</v>
      </c>
      <c r="V156" s="45">
        <v>6096</v>
      </c>
      <c r="W156" s="45" t="s">
        <v>1433</v>
      </c>
      <c r="X156" s="99">
        <v>44562</v>
      </c>
      <c r="Y156" s="99">
        <v>44815</v>
      </c>
      <c r="Z156" s="99">
        <v>45101</v>
      </c>
      <c r="AA156" s="99">
        <v>45169</v>
      </c>
      <c r="AB156" s="41" t="s">
        <v>1121</v>
      </c>
      <c r="AC156" s="41"/>
      <c r="AD156" s="42"/>
      <c r="AE156" s="42" t="s">
        <v>734</v>
      </c>
      <c r="AF156" s="42" t="s">
        <v>734</v>
      </c>
      <c r="AG156" s="42"/>
      <c r="AH156" s="42" t="s">
        <v>734</v>
      </c>
      <c r="AI156" s="42" t="s">
        <v>734</v>
      </c>
      <c r="AJ156" s="42" t="s">
        <v>734</v>
      </c>
      <c r="AK156" s="42" t="s">
        <v>734</v>
      </c>
      <c r="AL156" s="42" t="s">
        <v>734</v>
      </c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Y156" s="67">
        <f>1.9*9</f>
        <v>17.099999999999998</v>
      </c>
      <c r="BA156" s="67"/>
      <c r="BB156" s="67"/>
      <c r="BC156" s="37">
        <v>25</v>
      </c>
      <c r="BD156" s="67">
        <f t="shared" si="35"/>
        <v>0</v>
      </c>
      <c r="BE156" s="67">
        <f t="shared" ref="BE156:BE161" si="53">AY156*K156</f>
        <v>940.49999999999989</v>
      </c>
      <c r="BF156" s="37"/>
      <c r="BG156" s="73">
        <v>1</v>
      </c>
      <c r="BI156" s="67"/>
      <c r="BJ156" s="37"/>
      <c r="BK156" s="71"/>
      <c r="BL156" s="71"/>
      <c r="BM156" s="72"/>
      <c r="BN156" s="67">
        <f>IF((AX156+AY156+AZ156)&lt;20,(20-(AX156+AY156+AZ156)),0)</f>
        <v>2.9000000000000021</v>
      </c>
      <c r="BO156" s="70">
        <f t="shared" si="33"/>
        <v>159.50000000000011</v>
      </c>
      <c r="BP156" s="37">
        <v>7</v>
      </c>
      <c r="BQ156" s="37">
        <v>0</v>
      </c>
      <c r="BR156" s="37">
        <v>0</v>
      </c>
      <c r="BT156" s="87">
        <f t="shared" si="34"/>
        <v>20</v>
      </c>
      <c r="BU156" s="87"/>
      <c r="BV156" s="87"/>
      <c r="BW156" s="87"/>
      <c r="BX156" s="87"/>
      <c r="BY156" s="87"/>
      <c r="BZ156" s="87"/>
      <c r="CA156" s="87"/>
      <c r="CB156" s="87"/>
      <c r="CC156" s="87"/>
      <c r="CD156" s="87"/>
      <c r="CF156" s="67">
        <f t="shared" si="39"/>
        <v>140</v>
      </c>
      <c r="CG156" s="67">
        <f t="shared" si="40"/>
        <v>0</v>
      </c>
      <c r="CH156" s="67">
        <f t="shared" si="41"/>
        <v>0</v>
      </c>
      <c r="CI156" s="67">
        <f t="shared" si="46"/>
        <v>0</v>
      </c>
      <c r="CJ156" s="37">
        <f t="shared" si="42"/>
        <v>63</v>
      </c>
      <c r="CK156" s="37">
        <f t="shared" si="43"/>
        <v>0</v>
      </c>
      <c r="CL156" s="37">
        <f t="shared" si="44"/>
        <v>0</v>
      </c>
      <c r="CM156" s="37">
        <f t="shared" si="45"/>
        <v>0</v>
      </c>
    </row>
    <row r="157" spans="2:91" ht="25.5">
      <c r="B157" s="156">
        <v>153</v>
      </c>
      <c r="C157" s="169">
        <v>106</v>
      </c>
      <c r="D157" s="169">
        <v>285</v>
      </c>
      <c r="E157" s="170">
        <v>0.29375000000000001</v>
      </c>
      <c r="F157" s="170">
        <v>0.30694444444444441</v>
      </c>
      <c r="G157" s="171" t="s">
        <v>52</v>
      </c>
      <c r="H157" s="171" t="s">
        <v>267</v>
      </c>
      <c r="I157" s="169">
        <v>8</v>
      </c>
      <c r="J157" s="172">
        <v>19</v>
      </c>
      <c r="K157" s="165">
        <v>55</v>
      </c>
      <c r="L157" s="166">
        <f t="shared" si="32"/>
        <v>440</v>
      </c>
      <c r="M157" s="167" t="s">
        <v>738</v>
      </c>
      <c r="N157" s="150" t="s">
        <v>1083</v>
      </c>
      <c r="O157" s="150">
        <v>25</v>
      </c>
      <c r="P157" s="150" t="s">
        <v>1916</v>
      </c>
      <c r="Q157" s="150">
        <v>23</v>
      </c>
      <c r="R157" s="3" t="s">
        <v>1988</v>
      </c>
      <c r="S157" s="152">
        <v>23</v>
      </c>
      <c r="T157" s="45">
        <v>6096</v>
      </c>
      <c r="U157" s="45" t="s">
        <v>1433</v>
      </c>
      <c r="V157" s="45">
        <v>6100</v>
      </c>
      <c r="W157" s="45" t="s">
        <v>1434</v>
      </c>
      <c r="X157" s="99">
        <v>44562</v>
      </c>
      <c r="Y157" s="99">
        <v>44815</v>
      </c>
      <c r="Z157" s="99">
        <v>45101</v>
      </c>
      <c r="AA157" s="99">
        <v>45169</v>
      </c>
      <c r="AB157" s="41" t="s">
        <v>1121</v>
      </c>
      <c r="AC157" s="41"/>
      <c r="AD157" s="42"/>
      <c r="AE157" s="42" t="s">
        <v>734</v>
      </c>
      <c r="AF157" s="42" t="s">
        <v>734</v>
      </c>
      <c r="AG157" s="42"/>
      <c r="AH157" s="42" t="s">
        <v>734</v>
      </c>
      <c r="AI157" s="42" t="s">
        <v>734</v>
      </c>
      <c r="AJ157" s="42" t="s">
        <v>734</v>
      </c>
      <c r="AK157" s="42" t="s">
        <v>734</v>
      </c>
      <c r="AL157" s="42" t="s">
        <v>734</v>
      </c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Y157" s="67">
        <f>1.9*8</f>
        <v>15.2</v>
      </c>
      <c r="BA157" s="67"/>
      <c r="BB157" s="67"/>
      <c r="BC157" s="37">
        <v>26</v>
      </c>
      <c r="BD157" s="67">
        <f t="shared" si="35"/>
        <v>0</v>
      </c>
      <c r="BE157" s="67">
        <f t="shared" si="53"/>
        <v>836</v>
      </c>
      <c r="BF157" s="37"/>
      <c r="BG157" s="73">
        <v>1</v>
      </c>
      <c r="BI157" s="67"/>
      <c r="BJ157" s="37"/>
      <c r="BK157" s="71"/>
      <c r="BL157" s="71"/>
      <c r="BM157" s="72"/>
      <c r="BN157" s="37"/>
      <c r="BO157" s="70">
        <f t="shared" si="33"/>
        <v>0</v>
      </c>
      <c r="BP157" s="37">
        <v>7</v>
      </c>
      <c r="BQ157" s="37">
        <v>0</v>
      </c>
      <c r="BR157" s="37">
        <v>0</v>
      </c>
      <c r="BT157" s="87">
        <f t="shared" si="34"/>
        <v>15.2</v>
      </c>
      <c r="BU157" s="87"/>
      <c r="BV157" s="87"/>
      <c r="BW157" s="87"/>
      <c r="BX157" s="87"/>
      <c r="BY157" s="87"/>
      <c r="BZ157" s="87"/>
      <c r="CA157" s="87"/>
      <c r="CB157" s="87"/>
      <c r="CC157" s="87"/>
      <c r="CD157" s="87"/>
      <c r="CF157" s="67">
        <f t="shared" si="39"/>
        <v>106.39999999999999</v>
      </c>
      <c r="CG157" s="67">
        <f t="shared" si="40"/>
        <v>0</v>
      </c>
      <c r="CH157" s="67">
        <f t="shared" si="41"/>
        <v>0</v>
      </c>
      <c r="CI157" s="67">
        <f t="shared" si="46"/>
        <v>0</v>
      </c>
      <c r="CJ157" s="37">
        <f t="shared" si="42"/>
        <v>56</v>
      </c>
      <c r="CK157" s="37">
        <f t="shared" si="43"/>
        <v>0</v>
      </c>
      <c r="CL157" s="37">
        <f t="shared" si="44"/>
        <v>0</v>
      </c>
      <c r="CM157" s="37">
        <f t="shared" si="45"/>
        <v>0</v>
      </c>
    </row>
    <row r="158" spans="2:91" ht="33.75">
      <c r="B158" s="156">
        <v>154</v>
      </c>
      <c r="C158" s="169">
        <v>106</v>
      </c>
      <c r="D158" s="169">
        <v>302</v>
      </c>
      <c r="E158" s="170">
        <v>0.34027777777777773</v>
      </c>
      <c r="F158" s="170">
        <v>0.35347222222222219</v>
      </c>
      <c r="G158" s="171" t="s">
        <v>51</v>
      </c>
      <c r="H158" s="171" t="s">
        <v>267</v>
      </c>
      <c r="I158" s="169">
        <v>9</v>
      </c>
      <c r="J158" s="172">
        <v>19</v>
      </c>
      <c r="K158" s="165">
        <v>55</v>
      </c>
      <c r="L158" s="166">
        <f t="shared" si="32"/>
        <v>495</v>
      </c>
      <c r="M158" s="167" t="s">
        <v>738</v>
      </c>
      <c r="N158" s="150" t="s">
        <v>1083</v>
      </c>
      <c r="O158" s="150">
        <v>25</v>
      </c>
      <c r="P158" s="150" t="s">
        <v>1916</v>
      </c>
      <c r="Q158" s="150">
        <v>23</v>
      </c>
      <c r="R158" s="3" t="s">
        <v>1988</v>
      </c>
      <c r="S158" s="152">
        <v>23</v>
      </c>
      <c r="T158" s="45" t="s">
        <v>1435</v>
      </c>
      <c r="U158" s="45" t="s">
        <v>1436</v>
      </c>
      <c r="V158" s="45">
        <v>6096</v>
      </c>
      <c r="W158" s="45" t="s">
        <v>1433</v>
      </c>
      <c r="X158" s="99">
        <v>44562</v>
      </c>
      <c r="Y158" s="99">
        <v>44815</v>
      </c>
      <c r="Z158" s="99">
        <v>45101</v>
      </c>
      <c r="AA158" s="99">
        <v>45169</v>
      </c>
      <c r="AB158" s="41" t="s">
        <v>1121</v>
      </c>
      <c r="AC158" s="41"/>
      <c r="AD158" s="42"/>
      <c r="AE158" s="42" t="s">
        <v>734</v>
      </c>
      <c r="AF158" s="42" t="s">
        <v>734</v>
      </c>
      <c r="AG158" s="42"/>
      <c r="AH158" s="42" t="s">
        <v>734</v>
      </c>
      <c r="AI158" s="42" t="s">
        <v>734</v>
      </c>
      <c r="AJ158" s="42" t="s">
        <v>734</v>
      </c>
      <c r="AK158" s="42" t="s">
        <v>734</v>
      </c>
      <c r="AL158" s="42" t="s">
        <v>734</v>
      </c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Y158" s="67">
        <f>1.9*9</f>
        <v>17.099999999999998</v>
      </c>
      <c r="BA158" s="67"/>
      <c r="BB158" s="67"/>
      <c r="BC158" s="37">
        <v>27</v>
      </c>
      <c r="BD158" s="67">
        <f t="shared" si="35"/>
        <v>0</v>
      </c>
      <c r="BE158" s="67">
        <f t="shared" si="53"/>
        <v>940.49999999999989</v>
      </c>
      <c r="BF158" s="37"/>
      <c r="BG158" s="73">
        <v>1</v>
      </c>
      <c r="BI158" s="67"/>
      <c r="BJ158" s="37"/>
      <c r="BK158" s="71"/>
      <c r="BL158" s="71"/>
      <c r="BM158" s="72"/>
      <c r="BN158" s="37"/>
      <c r="BO158" s="70">
        <f t="shared" si="33"/>
        <v>0</v>
      </c>
      <c r="BP158" s="37">
        <v>7</v>
      </c>
      <c r="BQ158" s="37">
        <v>0</v>
      </c>
      <c r="BR158" s="37">
        <v>0</v>
      </c>
      <c r="BT158" s="87">
        <f t="shared" si="34"/>
        <v>17.099999999999998</v>
      </c>
      <c r="BU158" s="87"/>
      <c r="BV158" s="87"/>
      <c r="BW158" s="87"/>
      <c r="BX158" s="87"/>
      <c r="BY158" s="87"/>
      <c r="BZ158" s="87"/>
      <c r="CA158" s="87"/>
      <c r="CB158" s="87"/>
      <c r="CC158" s="87"/>
      <c r="CD158" s="87"/>
      <c r="CF158" s="67">
        <f t="shared" si="39"/>
        <v>119.69999999999999</v>
      </c>
      <c r="CG158" s="67">
        <f t="shared" si="40"/>
        <v>0</v>
      </c>
      <c r="CH158" s="67">
        <f t="shared" si="41"/>
        <v>0</v>
      </c>
      <c r="CI158" s="67">
        <f t="shared" si="46"/>
        <v>0</v>
      </c>
      <c r="CJ158" s="37">
        <f t="shared" si="42"/>
        <v>63</v>
      </c>
      <c r="CK158" s="37">
        <f t="shared" si="43"/>
        <v>0</v>
      </c>
      <c r="CL158" s="37">
        <f t="shared" si="44"/>
        <v>0</v>
      </c>
      <c r="CM158" s="37">
        <f t="shared" si="45"/>
        <v>0</v>
      </c>
    </row>
    <row r="159" spans="2:91" ht="25.5">
      <c r="B159" s="156">
        <v>155</v>
      </c>
      <c r="C159" s="169">
        <v>106</v>
      </c>
      <c r="D159" s="169">
        <v>303</v>
      </c>
      <c r="E159" s="170">
        <v>0.37847222222222227</v>
      </c>
      <c r="F159" s="170">
        <v>0.39166666666666666</v>
      </c>
      <c r="G159" s="171" t="s">
        <v>52</v>
      </c>
      <c r="H159" s="171" t="s">
        <v>267</v>
      </c>
      <c r="I159" s="169">
        <v>8</v>
      </c>
      <c r="J159" s="172">
        <v>19</v>
      </c>
      <c r="K159" s="165">
        <v>55</v>
      </c>
      <c r="L159" s="166">
        <f t="shared" si="32"/>
        <v>440</v>
      </c>
      <c r="M159" s="167" t="s">
        <v>738</v>
      </c>
      <c r="N159" s="150" t="s">
        <v>1083</v>
      </c>
      <c r="O159" s="150">
        <v>25</v>
      </c>
      <c r="P159" s="150" t="s">
        <v>1916</v>
      </c>
      <c r="Q159" s="150">
        <v>23</v>
      </c>
      <c r="R159" s="3" t="s">
        <v>1988</v>
      </c>
      <c r="S159" s="152">
        <v>23</v>
      </c>
      <c r="T159" s="45">
        <v>6096</v>
      </c>
      <c r="U159" s="45" t="s">
        <v>1433</v>
      </c>
      <c r="V159" s="45">
        <v>6100</v>
      </c>
      <c r="W159" s="45" t="s">
        <v>1434</v>
      </c>
      <c r="X159" s="99">
        <v>44562</v>
      </c>
      <c r="Y159" s="99">
        <v>44815</v>
      </c>
      <c r="Z159" s="99">
        <v>45101</v>
      </c>
      <c r="AA159" s="99">
        <v>45169</v>
      </c>
      <c r="AB159" s="41" t="s">
        <v>1121</v>
      </c>
      <c r="AC159" s="41"/>
      <c r="AD159" s="42"/>
      <c r="AE159" s="42" t="s">
        <v>734</v>
      </c>
      <c r="AF159" s="42" t="s">
        <v>734</v>
      </c>
      <c r="AG159" s="42"/>
      <c r="AH159" s="42" t="s">
        <v>734</v>
      </c>
      <c r="AI159" s="42" t="s">
        <v>734</v>
      </c>
      <c r="AJ159" s="42" t="s">
        <v>734</v>
      </c>
      <c r="AK159" s="42" t="s">
        <v>734</v>
      </c>
      <c r="AL159" s="42" t="s">
        <v>734</v>
      </c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Y159" s="67">
        <f>1.9*8</f>
        <v>15.2</v>
      </c>
      <c r="BA159" s="67"/>
      <c r="BB159" s="67"/>
      <c r="BC159" s="37">
        <v>28</v>
      </c>
      <c r="BD159" s="67">
        <f t="shared" si="35"/>
        <v>0</v>
      </c>
      <c r="BE159" s="67">
        <f t="shared" si="53"/>
        <v>836</v>
      </c>
      <c r="BF159" s="37"/>
      <c r="BG159" s="73">
        <v>1</v>
      </c>
      <c r="BI159" s="67"/>
      <c r="BJ159" s="37"/>
      <c r="BK159" s="71"/>
      <c r="BL159" s="71"/>
      <c r="BM159" s="72"/>
      <c r="BN159" s="37"/>
      <c r="BO159" s="70">
        <f t="shared" si="33"/>
        <v>0</v>
      </c>
      <c r="BP159" s="37">
        <v>7</v>
      </c>
      <c r="BQ159" s="37">
        <v>0</v>
      </c>
      <c r="BR159" s="37">
        <v>0</v>
      </c>
      <c r="BT159" s="87">
        <f t="shared" si="34"/>
        <v>15.2</v>
      </c>
      <c r="BU159" s="87" t="s">
        <v>1121</v>
      </c>
      <c r="BV159" s="127">
        <v>7</v>
      </c>
      <c r="BW159" s="127"/>
      <c r="BX159" s="127">
        <v>0</v>
      </c>
      <c r="BY159" s="127"/>
      <c r="BZ159" s="127">
        <v>0</v>
      </c>
      <c r="CA159" s="127"/>
      <c r="CB159" s="127">
        <v>0</v>
      </c>
      <c r="CC159" s="127"/>
      <c r="CD159" s="87">
        <v>20.8</v>
      </c>
      <c r="CF159" s="67">
        <f t="shared" si="39"/>
        <v>252</v>
      </c>
      <c r="CG159" s="67">
        <f t="shared" si="40"/>
        <v>0</v>
      </c>
      <c r="CH159" s="67">
        <f t="shared" si="41"/>
        <v>0</v>
      </c>
      <c r="CI159" s="67">
        <f t="shared" si="46"/>
        <v>0</v>
      </c>
      <c r="CJ159" s="37">
        <f t="shared" si="42"/>
        <v>56</v>
      </c>
      <c r="CK159" s="37">
        <f t="shared" si="43"/>
        <v>0</v>
      </c>
      <c r="CL159" s="37">
        <f t="shared" si="44"/>
        <v>0</v>
      </c>
      <c r="CM159" s="37">
        <f t="shared" si="45"/>
        <v>0</v>
      </c>
    </row>
    <row r="160" spans="2:91" ht="33.75">
      <c r="B160" s="156">
        <v>156</v>
      </c>
      <c r="C160" s="169">
        <v>106</v>
      </c>
      <c r="D160" s="169">
        <v>286</v>
      </c>
      <c r="E160" s="170">
        <v>0.56944444444444442</v>
      </c>
      <c r="F160" s="170">
        <v>0.58263888888888882</v>
      </c>
      <c r="G160" s="171" t="s">
        <v>51</v>
      </c>
      <c r="H160" s="171" t="s">
        <v>1</v>
      </c>
      <c r="I160" s="169">
        <v>9</v>
      </c>
      <c r="J160" s="172">
        <v>19</v>
      </c>
      <c r="K160" s="165">
        <v>67</v>
      </c>
      <c r="L160" s="166">
        <f t="shared" si="32"/>
        <v>603</v>
      </c>
      <c r="M160" s="167" t="s">
        <v>738</v>
      </c>
      <c r="N160" s="150" t="s">
        <v>1083</v>
      </c>
      <c r="O160" s="150">
        <v>25</v>
      </c>
      <c r="P160" s="150" t="s">
        <v>1916</v>
      </c>
      <c r="Q160" s="150">
        <v>23</v>
      </c>
      <c r="R160" s="3" t="s">
        <v>1988</v>
      </c>
      <c r="S160" s="152">
        <v>23</v>
      </c>
      <c r="T160" s="45" t="s">
        <v>1435</v>
      </c>
      <c r="U160" s="45" t="s">
        <v>1436</v>
      </c>
      <c r="V160" s="45">
        <v>6096</v>
      </c>
      <c r="W160" s="45" t="s">
        <v>1433</v>
      </c>
      <c r="X160" s="99">
        <v>44562</v>
      </c>
      <c r="Y160" s="99">
        <v>44815</v>
      </c>
      <c r="Z160" s="99">
        <v>45101</v>
      </c>
      <c r="AA160" s="99">
        <v>45169</v>
      </c>
      <c r="AB160" s="42" t="s">
        <v>1119</v>
      </c>
      <c r="AC160" s="42"/>
      <c r="AD160" s="42"/>
      <c r="AE160" s="42" t="s">
        <v>734</v>
      </c>
      <c r="AF160" s="42" t="s">
        <v>734</v>
      </c>
      <c r="AG160" s="42"/>
      <c r="AH160" s="42" t="s">
        <v>734</v>
      </c>
      <c r="AI160" s="42" t="s">
        <v>734</v>
      </c>
      <c r="AJ160" s="42" t="s">
        <v>734</v>
      </c>
      <c r="AK160" s="42" t="s">
        <v>734</v>
      </c>
      <c r="AL160" s="42" t="s">
        <v>734</v>
      </c>
      <c r="AM160" s="42" t="s">
        <v>734</v>
      </c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Y160" s="67">
        <f>1.9*9</f>
        <v>17.099999999999998</v>
      </c>
      <c r="BA160" s="67"/>
      <c r="BB160" s="67"/>
      <c r="BC160" s="37">
        <v>29</v>
      </c>
      <c r="BD160" s="67">
        <f t="shared" si="35"/>
        <v>0</v>
      </c>
      <c r="BE160" s="67">
        <f t="shared" si="53"/>
        <v>1145.6999999999998</v>
      </c>
      <c r="BF160" s="37"/>
      <c r="BG160" s="73">
        <v>1</v>
      </c>
      <c r="BI160" s="67"/>
      <c r="BJ160" s="37"/>
      <c r="BK160" s="71"/>
      <c r="BL160" s="71"/>
      <c r="BM160" s="72"/>
      <c r="BN160" s="37"/>
      <c r="BO160" s="70">
        <f t="shared" si="33"/>
        <v>0</v>
      </c>
      <c r="BP160" s="37">
        <v>9</v>
      </c>
      <c r="BQ160" s="37">
        <v>0</v>
      </c>
      <c r="BR160" s="37">
        <v>0</v>
      </c>
      <c r="BS160" s="37">
        <v>0</v>
      </c>
      <c r="BT160" s="87">
        <f t="shared" si="34"/>
        <v>17.099999999999998</v>
      </c>
      <c r="BU160" s="87" t="s">
        <v>1131</v>
      </c>
      <c r="BV160" s="127">
        <v>2</v>
      </c>
      <c r="BW160" s="127"/>
      <c r="BX160" s="127">
        <v>0</v>
      </c>
      <c r="BY160" s="127"/>
      <c r="BZ160" s="127">
        <v>0</v>
      </c>
      <c r="CA160" s="127"/>
      <c r="CB160" s="127">
        <v>0</v>
      </c>
      <c r="CC160" s="127"/>
      <c r="CD160" s="87">
        <v>102.5</v>
      </c>
      <c r="CF160" s="67">
        <f t="shared" si="39"/>
        <v>358.9</v>
      </c>
      <c r="CG160" s="67">
        <f t="shared" si="40"/>
        <v>0</v>
      </c>
      <c r="CH160" s="67">
        <f t="shared" si="41"/>
        <v>0</v>
      </c>
      <c r="CI160" s="67">
        <f t="shared" si="46"/>
        <v>0</v>
      </c>
      <c r="CJ160" s="37">
        <f t="shared" si="42"/>
        <v>81</v>
      </c>
      <c r="CK160" s="37">
        <f t="shared" si="43"/>
        <v>0</v>
      </c>
      <c r="CL160" s="37">
        <f t="shared" si="44"/>
        <v>0</v>
      </c>
      <c r="CM160" s="37">
        <f t="shared" si="45"/>
        <v>0</v>
      </c>
    </row>
    <row r="161" spans="2:91" ht="22.5">
      <c r="B161" s="156">
        <v>157</v>
      </c>
      <c r="C161" s="169">
        <v>106</v>
      </c>
      <c r="D161" s="169">
        <v>287</v>
      </c>
      <c r="E161" s="170">
        <v>0.64236111111111105</v>
      </c>
      <c r="F161" s="170">
        <v>0.65555555555555556</v>
      </c>
      <c r="G161" s="171" t="s">
        <v>52</v>
      </c>
      <c r="H161" s="171" t="s">
        <v>1</v>
      </c>
      <c r="I161" s="169">
        <v>8</v>
      </c>
      <c r="J161" s="172">
        <v>19</v>
      </c>
      <c r="K161" s="165">
        <v>67</v>
      </c>
      <c r="L161" s="166">
        <f t="shared" si="32"/>
        <v>536</v>
      </c>
      <c r="M161" s="167" t="s">
        <v>738</v>
      </c>
      <c r="N161" s="150" t="s">
        <v>1083</v>
      </c>
      <c r="O161" s="150">
        <v>25</v>
      </c>
      <c r="P161" s="150" t="s">
        <v>1916</v>
      </c>
      <c r="Q161" s="150">
        <v>23</v>
      </c>
      <c r="R161" s="3" t="s">
        <v>1988</v>
      </c>
      <c r="S161" s="152">
        <v>23</v>
      </c>
      <c r="T161" s="45">
        <v>6096</v>
      </c>
      <c r="U161" s="45" t="s">
        <v>1433</v>
      </c>
      <c r="V161" s="45">
        <v>6100</v>
      </c>
      <c r="W161" s="45" t="s">
        <v>1434</v>
      </c>
      <c r="X161" s="99">
        <v>44562</v>
      </c>
      <c r="Y161" s="99">
        <v>44815</v>
      </c>
      <c r="Z161" s="99">
        <v>45101</v>
      </c>
      <c r="AA161" s="99">
        <v>45169</v>
      </c>
      <c r="AB161" s="42" t="s">
        <v>1119</v>
      </c>
      <c r="AC161" s="42"/>
      <c r="AD161" s="42"/>
      <c r="AE161" s="42" t="s">
        <v>734</v>
      </c>
      <c r="AF161" s="42" t="s">
        <v>734</v>
      </c>
      <c r="AG161" s="42"/>
      <c r="AH161" s="42" t="s">
        <v>734</v>
      </c>
      <c r="AI161" s="42" t="s">
        <v>734</v>
      </c>
      <c r="AJ161" s="42" t="s">
        <v>734</v>
      </c>
      <c r="AK161" s="42" t="s">
        <v>734</v>
      </c>
      <c r="AL161" s="42" t="s">
        <v>734</v>
      </c>
      <c r="AM161" s="42" t="s">
        <v>734</v>
      </c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Y161" s="67">
        <f>1.9*8</f>
        <v>15.2</v>
      </c>
      <c r="BA161" s="67"/>
      <c r="BB161" s="67"/>
      <c r="BC161" s="37">
        <v>30</v>
      </c>
      <c r="BD161" s="67">
        <f t="shared" si="35"/>
        <v>0</v>
      </c>
      <c r="BE161" s="67">
        <f t="shared" si="53"/>
        <v>1018.4</v>
      </c>
      <c r="BF161" s="37"/>
      <c r="BG161" s="73">
        <v>1</v>
      </c>
      <c r="BI161" s="67"/>
      <c r="BJ161" s="37"/>
      <c r="BK161" s="71"/>
      <c r="BL161" s="71"/>
      <c r="BM161" s="72"/>
      <c r="BN161" s="37"/>
      <c r="BO161" s="70">
        <f t="shared" si="33"/>
        <v>0</v>
      </c>
      <c r="BP161" s="37">
        <v>9</v>
      </c>
      <c r="BQ161" s="37">
        <v>0</v>
      </c>
      <c r="BR161" s="37">
        <v>0</v>
      </c>
      <c r="BS161" s="37">
        <v>0</v>
      </c>
      <c r="BT161" s="87">
        <f t="shared" si="34"/>
        <v>15.2</v>
      </c>
      <c r="BU161" s="87"/>
      <c r="BV161" s="87"/>
      <c r="BW161" s="87"/>
      <c r="BX161" s="87"/>
      <c r="BY161" s="87"/>
      <c r="BZ161" s="87"/>
      <c r="CA161" s="87"/>
      <c r="CB161" s="87"/>
      <c r="CC161" s="87"/>
      <c r="CD161" s="87"/>
      <c r="CF161" s="67">
        <f t="shared" si="39"/>
        <v>136.79999999999998</v>
      </c>
      <c r="CG161" s="67">
        <f t="shared" si="40"/>
        <v>0</v>
      </c>
      <c r="CH161" s="67">
        <f t="shared" si="41"/>
        <v>0</v>
      </c>
      <c r="CI161" s="67">
        <f t="shared" si="46"/>
        <v>0</v>
      </c>
      <c r="CJ161" s="37">
        <f t="shared" si="42"/>
        <v>72</v>
      </c>
      <c r="CK161" s="37">
        <f t="shared" si="43"/>
        <v>0</v>
      </c>
      <c r="CL161" s="37">
        <f t="shared" si="44"/>
        <v>0</v>
      </c>
      <c r="CM161" s="37">
        <f t="shared" si="45"/>
        <v>0</v>
      </c>
    </row>
    <row r="162" spans="2:91" ht="33.75">
      <c r="B162" s="156">
        <v>158</v>
      </c>
      <c r="C162" s="160">
        <v>106</v>
      </c>
      <c r="D162" s="160">
        <v>288</v>
      </c>
      <c r="E162" s="161">
        <v>0.74722222222222223</v>
      </c>
      <c r="F162" s="161">
        <v>0.76041666666666663</v>
      </c>
      <c r="G162" s="160" t="s">
        <v>413</v>
      </c>
      <c r="H162" s="160" t="s">
        <v>479</v>
      </c>
      <c r="I162" s="163">
        <v>9</v>
      </c>
      <c r="J162" s="164" t="s">
        <v>146</v>
      </c>
      <c r="K162" s="165">
        <v>240</v>
      </c>
      <c r="L162" s="166">
        <f t="shared" si="32"/>
        <v>2160</v>
      </c>
      <c r="M162" s="177" t="s">
        <v>737</v>
      </c>
      <c r="N162" s="150" t="s">
        <v>913</v>
      </c>
      <c r="O162" s="150">
        <v>24</v>
      </c>
      <c r="P162" s="150" t="s">
        <v>914</v>
      </c>
      <c r="Q162" s="150">
        <v>21</v>
      </c>
      <c r="S162" s="154"/>
      <c r="T162" s="45" t="s">
        <v>1435</v>
      </c>
      <c r="U162" s="45" t="s">
        <v>1436</v>
      </c>
      <c r="V162" s="45">
        <v>6096</v>
      </c>
      <c r="W162" s="45" t="s">
        <v>1433</v>
      </c>
      <c r="X162" s="99">
        <v>44816</v>
      </c>
      <c r="Y162" s="99">
        <v>45100</v>
      </c>
      <c r="Z162" s="99"/>
      <c r="AA162" s="99"/>
      <c r="AB162" s="45" t="s">
        <v>1124</v>
      </c>
      <c r="AC162" s="45"/>
      <c r="AD162" s="42" t="s">
        <v>734</v>
      </c>
      <c r="AE162" s="42"/>
      <c r="AF162" s="42" t="s">
        <v>734</v>
      </c>
      <c r="AG162" s="42"/>
      <c r="AH162" s="42" t="s">
        <v>734</v>
      </c>
      <c r="AI162" s="42" t="s">
        <v>734</v>
      </c>
      <c r="AJ162" s="42" t="s">
        <v>734</v>
      </c>
      <c r="AK162" s="42" t="s">
        <v>734</v>
      </c>
      <c r="AL162" s="42" t="s">
        <v>734</v>
      </c>
      <c r="AM162" s="42" t="s">
        <v>734</v>
      </c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68">
        <v>22.5</v>
      </c>
      <c r="AY162" s="37"/>
      <c r="BA162" s="68"/>
      <c r="BB162" s="68"/>
      <c r="BD162" s="67">
        <f t="shared" si="35"/>
        <v>5400</v>
      </c>
      <c r="BE162" s="67"/>
      <c r="BF162" s="37"/>
      <c r="BG162" s="73">
        <v>1</v>
      </c>
      <c r="BH162" s="67">
        <f>IF(AND((AX162/I162)&lt;2,BG162=1),(I162*2)-AX162,0)</f>
        <v>0</v>
      </c>
      <c r="BI162" s="67">
        <f>IF(AND((AX162/I162)&lt;3,BG162=2),(I162*3)-AX162,0)</f>
        <v>0</v>
      </c>
      <c r="BJ162" s="70">
        <f>(BH162+BI162)*K162</f>
        <v>0</v>
      </c>
      <c r="BN162" s="37"/>
      <c r="BO162" s="70">
        <f t="shared" si="33"/>
        <v>0</v>
      </c>
      <c r="BP162" s="37">
        <v>17</v>
      </c>
      <c r="BQ162" s="37">
        <v>26</v>
      </c>
      <c r="BR162" s="37">
        <v>25</v>
      </c>
      <c r="BS162" s="37">
        <v>25</v>
      </c>
      <c r="BT162" s="87">
        <f t="shared" si="34"/>
        <v>22.5</v>
      </c>
      <c r="BU162" s="87"/>
      <c r="BV162" s="87"/>
      <c r="BW162" s="87"/>
      <c r="BX162" s="87"/>
      <c r="BY162" s="87"/>
      <c r="BZ162" s="87"/>
      <c r="CA162" s="87"/>
      <c r="CB162" s="87"/>
      <c r="CC162" s="87"/>
      <c r="CD162" s="87"/>
      <c r="CF162" s="67">
        <f t="shared" si="39"/>
        <v>382.5</v>
      </c>
      <c r="CG162" s="67">
        <f t="shared" si="40"/>
        <v>585</v>
      </c>
      <c r="CH162" s="67">
        <f t="shared" si="41"/>
        <v>562.5</v>
      </c>
      <c r="CI162" s="67">
        <f t="shared" si="46"/>
        <v>562.5</v>
      </c>
      <c r="CJ162" s="37">
        <f t="shared" si="42"/>
        <v>153</v>
      </c>
      <c r="CK162" s="37">
        <f t="shared" si="43"/>
        <v>234</v>
      </c>
      <c r="CL162" s="37">
        <f t="shared" si="44"/>
        <v>225</v>
      </c>
      <c r="CM162" s="37">
        <f t="shared" si="45"/>
        <v>225</v>
      </c>
    </row>
    <row r="163" spans="2:91" ht="25.5">
      <c r="B163" s="156">
        <v>159</v>
      </c>
      <c r="C163" s="160">
        <v>106</v>
      </c>
      <c r="D163" s="160">
        <v>289</v>
      </c>
      <c r="E163" s="161">
        <v>0.76111111111111107</v>
      </c>
      <c r="F163" s="161">
        <v>0.77430555555555547</v>
      </c>
      <c r="G163" s="160" t="s">
        <v>414</v>
      </c>
      <c r="H163" s="160" t="s">
        <v>479</v>
      </c>
      <c r="I163" s="163">
        <v>8</v>
      </c>
      <c r="J163" s="164" t="s">
        <v>146</v>
      </c>
      <c r="K163" s="165">
        <v>240</v>
      </c>
      <c r="L163" s="166">
        <f t="shared" si="32"/>
        <v>1920</v>
      </c>
      <c r="M163" s="177" t="s">
        <v>737</v>
      </c>
      <c r="N163" s="150" t="s">
        <v>913</v>
      </c>
      <c r="O163" s="150">
        <v>24</v>
      </c>
      <c r="P163" s="150" t="s">
        <v>914</v>
      </c>
      <c r="Q163" s="150">
        <v>21</v>
      </c>
      <c r="S163" s="154"/>
      <c r="T163" s="45">
        <v>6096</v>
      </c>
      <c r="U163" s="45" t="s">
        <v>1433</v>
      </c>
      <c r="V163" s="45">
        <v>6100</v>
      </c>
      <c r="W163" s="45" t="s">
        <v>1434</v>
      </c>
      <c r="X163" s="99">
        <v>44816</v>
      </c>
      <c r="Y163" s="99">
        <v>45100</v>
      </c>
      <c r="Z163" s="99"/>
      <c r="AA163" s="99"/>
      <c r="AB163" s="45" t="s">
        <v>1124</v>
      </c>
      <c r="AC163" s="45"/>
      <c r="AD163" s="42" t="s">
        <v>734</v>
      </c>
      <c r="AE163" s="42"/>
      <c r="AF163" s="42" t="s">
        <v>734</v>
      </c>
      <c r="AG163" s="42"/>
      <c r="AH163" s="42" t="s">
        <v>734</v>
      </c>
      <c r="AI163" s="42" t="s">
        <v>734</v>
      </c>
      <c r="AJ163" s="42" t="s">
        <v>734</v>
      </c>
      <c r="AK163" s="42" t="s">
        <v>734</v>
      </c>
      <c r="AL163" s="42" t="s">
        <v>734</v>
      </c>
      <c r="AM163" s="42" t="s">
        <v>734</v>
      </c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68">
        <v>20</v>
      </c>
      <c r="AY163" s="37"/>
      <c r="BA163" s="68"/>
      <c r="BB163" s="68"/>
      <c r="BD163" s="67">
        <f t="shared" si="35"/>
        <v>4800</v>
      </c>
      <c r="BE163" s="67"/>
      <c r="BF163" s="37"/>
      <c r="BG163" s="73">
        <v>1</v>
      </c>
      <c r="BH163" s="67">
        <f>IF(AND((AX163/I163)&lt;2,BG163=1),(I163*2)-AX163,0)</f>
        <v>0</v>
      </c>
      <c r="BI163" s="67">
        <f>IF(AND((AX163/I163)&lt;3,BG163=2),(I163*3)-AX163,0)</f>
        <v>0</v>
      </c>
      <c r="BJ163" s="70">
        <f>(BH163+BI163)*K163</f>
        <v>0</v>
      </c>
      <c r="BN163" s="37"/>
      <c r="BO163" s="70">
        <f t="shared" si="33"/>
        <v>0</v>
      </c>
      <c r="BP163" s="37">
        <v>17</v>
      </c>
      <c r="BQ163" s="37">
        <v>26</v>
      </c>
      <c r="BR163" s="37">
        <v>25</v>
      </c>
      <c r="BS163" s="37">
        <v>25</v>
      </c>
      <c r="BT163" s="87">
        <f t="shared" si="34"/>
        <v>20</v>
      </c>
      <c r="BU163" s="87"/>
      <c r="BV163" s="87"/>
      <c r="BW163" s="87"/>
      <c r="BX163" s="87"/>
      <c r="BY163" s="87"/>
      <c r="BZ163" s="87"/>
      <c r="CA163" s="87"/>
      <c r="CB163" s="87"/>
      <c r="CC163" s="87"/>
      <c r="CD163" s="87"/>
      <c r="CF163" s="67">
        <f t="shared" si="39"/>
        <v>340</v>
      </c>
      <c r="CG163" s="67">
        <f t="shared" si="40"/>
        <v>520</v>
      </c>
      <c r="CH163" s="67">
        <f t="shared" si="41"/>
        <v>500</v>
      </c>
      <c r="CI163" s="67">
        <f t="shared" si="46"/>
        <v>500</v>
      </c>
      <c r="CJ163" s="37">
        <f t="shared" si="42"/>
        <v>136</v>
      </c>
      <c r="CK163" s="37">
        <f t="shared" si="43"/>
        <v>208</v>
      </c>
      <c r="CL163" s="37">
        <f t="shared" si="44"/>
        <v>200</v>
      </c>
      <c r="CM163" s="37">
        <f t="shared" si="45"/>
        <v>200</v>
      </c>
    </row>
    <row r="164" spans="2:91" ht="33.75">
      <c r="B164" s="156">
        <v>160</v>
      </c>
      <c r="C164" s="160">
        <v>106</v>
      </c>
      <c r="D164" s="160">
        <v>304</v>
      </c>
      <c r="E164" s="161">
        <v>0.78472222222222221</v>
      </c>
      <c r="F164" s="161">
        <v>0.79791666666666661</v>
      </c>
      <c r="G164" s="160" t="s">
        <v>413</v>
      </c>
      <c r="H164" s="160" t="s">
        <v>203</v>
      </c>
      <c r="I164" s="163">
        <v>9</v>
      </c>
      <c r="J164" s="164" t="s">
        <v>146</v>
      </c>
      <c r="K164" s="165">
        <v>202</v>
      </c>
      <c r="L164" s="166">
        <f t="shared" si="32"/>
        <v>1818</v>
      </c>
      <c r="M164" s="177" t="s">
        <v>737</v>
      </c>
      <c r="N164" s="150" t="s">
        <v>913</v>
      </c>
      <c r="O164" s="150">
        <v>24</v>
      </c>
      <c r="P164" s="150" t="s">
        <v>914</v>
      </c>
      <c r="Q164" s="150">
        <v>21</v>
      </c>
      <c r="S164" s="154"/>
      <c r="T164" s="45" t="s">
        <v>1435</v>
      </c>
      <c r="U164" s="45" t="s">
        <v>1436</v>
      </c>
      <c r="V164" s="45">
        <v>6096</v>
      </c>
      <c r="W164" s="45" t="s">
        <v>1433</v>
      </c>
      <c r="X164" s="99">
        <v>44816</v>
      </c>
      <c r="Y164" s="99">
        <v>45100</v>
      </c>
      <c r="Z164" s="99"/>
      <c r="AA164" s="99"/>
      <c r="AB164" s="41" t="s">
        <v>1120</v>
      </c>
      <c r="AC164" s="41"/>
      <c r="AD164" s="42" t="s">
        <v>734</v>
      </c>
      <c r="AE164" s="42"/>
      <c r="AF164" s="42" t="s">
        <v>734</v>
      </c>
      <c r="AG164" s="42"/>
      <c r="AH164" s="42" t="s">
        <v>734</v>
      </c>
      <c r="AI164" s="42" t="s">
        <v>734</v>
      </c>
      <c r="AJ164" s="42" t="s">
        <v>734</v>
      </c>
      <c r="AK164" s="42" t="s">
        <v>734</v>
      </c>
      <c r="AL164" s="42" t="s">
        <v>734</v>
      </c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68">
        <v>22.5</v>
      </c>
      <c r="AY164" s="37"/>
      <c r="BA164" s="68"/>
      <c r="BB164" s="68"/>
      <c r="BD164" s="67">
        <f t="shared" si="35"/>
        <v>4545</v>
      </c>
      <c r="BE164" s="67"/>
      <c r="BF164" s="37"/>
      <c r="BG164" s="73">
        <v>1</v>
      </c>
      <c r="BH164" s="67">
        <f>IF(AND((AX164/I164)&lt;2,BG164=1),(I164*2)-AX164,0)</f>
        <v>0</v>
      </c>
      <c r="BI164" s="67">
        <f>IF(AND((AX164/I164)&lt;3,BG164=2),(I164*3)-AX164,0)</f>
        <v>0</v>
      </c>
      <c r="BJ164" s="70">
        <f>(BH164+BI164)*K164</f>
        <v>0</v>
      </c>
      <c r="BN164" s="37"/>
      <c r="BO164" s="70">
        <f t="shared" si="33"/>
        <v>0</v>
      </c>
      <c r="BP164" s="37">
        <v>15</v>
      </c>
      <c r="BQ164" s="37">
        <v>21</v>
      </c>
      <c r="BR164" s="37">
        <v>21</v>
      </c>
      <c r="BS164" s="37">
        <v>20</v>
      </c>
      <c r="BT164" s="87">
        <f t="shared" si="34"/>
        <v>22.5</v>
      </c>
      <c r="BU164" s="87"/>
      <c r="BV164" s="87"/>
      <c r="BW164" s="87"/>
      <c r="BX164" s="87"/>
      <c r="BY164" s="87"/>
      <c r="BZ164" s="87"/>
      <c r="CA164" s="87"/>
      <c r="CB164" s="87"/>
      <c r="CC164" s="87"/>
      <c r="CD164" s="87"/>
      <c r="CF164" s="67">
        <f t="shared" si="39"/>
        <v>337.5</v>
      </c>
      <c r="CG164" s="67">
        <f t="shared" si="40"/>
        <v>472.5</v>
      </c>
      <c r="CH164" s="67">
        <f t="shared" si="41"/>
        <v>472.5</v>
      </c>
      <c r="CI164" s="67">
        <f t="shared" si="46"/>
        <v>450</v>
      </c>
      <c r="CJ164" s="37">
        <f t="shared" si="42"/>
        <v>135</v>
      </c>
      <c r="CK164" s="37">
        <f t="shared" si="43"/>
        <v>189</v>
      </c>
      <c r="CL164" s="37">
        <f t="shared" si="44"/>
        <v>189</v>
      </c>
      <c r="CM164" s="37">
        <f t="shared" si="45"/>
        <v>180</v>
      </c>
    </row>
    <row r="165" spans="2:91" ht="33.75">
      <c r="B165" s="156">
        <v>161</v>
      </c>
      <c r="C165" s="169">
        <v>106</v>
      </c>
      <c r="D165" s="169">
        <v>288</v>
      </c>
      <c r="E165" s="170">
        <v>0.79861111111111116</v>
      </c>
      <c r="F165" s="170">
        <v>0.81180555555555556</v>
      </c>
      <c r="G165" s="171" t="s">
        <v>51</v>
      </c>
      <c r="H165" s="171" t="s">
        <v>267</v>
      </c>
      <c r="I165" s="169">
        <v>9</v>
      </c>
      <c r="J165" s="172">
        <v>19</v>
      </c>
      <c r="K165" s="165">
        <v>55</v>
      </c>
      <c r="L165" s="166">
        <f t="shared" si="32"/>
        <v>495</v>
      </c>
      <c r="M165" s="167" t="s">
        <v>738</v>
      </c>
      <c r="N165" s="150" t="s">
        <v>1083</v>
      </c>
      <c r="O165" s="150">
        <v>25</v>
      </c>
      <c r="P165" s="150" t="s">
        <v>1916</v>
      </c>
      <c r="Q165" s="150">
        <v>23</v>
      </c>
      <c r="R165" s="3" t="s">
        <v>1988</v>
      </c>
      <c r="S165" s="152">
        <v>23</v>
      </c>
      <c r="T165" s="45" t="s">
        <v>1435</v>
      </c>
      <c r="U165" s="45" t="s">
        <v>1436</v>
      </c>
      <c r="V165" s="45">
        <v>6096</v>
      </c>
      <c r="W165" s="45" t="s">
        <v>1433</v>
      </c>
      <c r="X165" s="99">
        <v>44562</v>
      </c>
      <c r="Y165" s="99">
        <v>44815</v>
      </c>
      <c r="Z165" s="99">
        <v>45101</v>
      </c>
      <c r="AA165" s="99">
        <v>45169</v>
      </c>
      <c r="AB165" s="41" t="s">
        <v>1121</v>
      </c>
      <c r="AC165" s="41"/>
      <c r="AD165" s="42"/>
      <c r="AE165" s="42" t="s">
        <v>734</v>
      </c>
      <c r="AF165" s="42" t="s">
        <v>734</v>
      </c>
      <c r="AG165" s="42"/>
      <c r="AH165" s="42" t="s">
        <v>734</v>
      </c>
      <c r="AI165" s="42" t="s">
        <v>734</v>
      </c>
      <c r="AJ165" s="42" t="s">
        <v>734</v>
      </c>
      <c r="AK165" s="42" t="s">
        <v>734</v>
      </c>
      <c r="AL165" s="42" t="s">
        <v>734</v>
      </c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Y165" s="67">
        <f>1.9*9</f>
        <v>17.099999999999998</v>
      </c>
      <c r="BA165" s="67"/>
      <c r="BB165" s="67"/>
      <c r="BC165" s="37">
        <v>31</v>
      </c>
      <c r="BD165" s="67">
        <f t="shared" si="35"/>
        <v>0</v>
      </c>
      <c r="BE165" s="67">
        <f>AY165*K165</f>
        <v>940.49999999999989</v>
      </c>
      <c r="BF165" s="37"/>
      <c r="BG165" s="73">
        <v>1</v>
      </c>
      <c r="BI165" s="67"/>
      <c r="BJ165" s="37"/>
      <c r="BK165" s="71"/>
      <c r="BL165" s="71"/>
      <c r="BM165" s="72"/>
      <c r="BN165" s="37"/>
      <c r="BO165" s="70">
        <f t="shared" si="33"/>
        <v>0</v>
      </c>
      <c r="BP165" s="37">
        <v>7</v>
      </c>
      <c r="BQ165" s="37">
        <v>0</v>
      </c>
      <c r="BR165" s="37">
        <v>0</v>
      </c>
      <c r="BT165" s="87">
        <f t="shared" si="34"/>
        <v>17.099999999999998</v>
      </c>
      <c r="BU165" s="87"/>
      <c r="BV165" s="87"/>
      <c r="BW165" s="87"/>
      <c r="BX165" s="87"/>
      <c r="BY165" s="87"/>
      <c r="BZ165" s="87"/>
      <c r="CA165" s="87"/>
      <c r="CB165" s="87"/>
      <c r="CC165" s="87"/>
      <c r="CD165" s="87"/>
      <c r="CF165" s="67">
        <f t="shared" si="39"/>
        <v>119.69999999999999</v>
      </c>
      <c r="CG165" s="67">
        <f t="shared" si="40"/>
        <v>0</v>
      </c>
      <c r="CH165" s="67">
        <f t="shared" si="41"/>
        <v>0</v>
      </c>
      <c r="CI165" s="67">
        <f t="shared" si="46"/>
        <v>0</v>
      </c>
      <c r="CJ165" s="37">
        <f t="shared" si="42"/>
        <v>63</v>
      </c>
      <c r="CK165" s="37">
        <f t="shared" si="43"/>
        <v>0</v>
      </c>
      <c r="CL165" s="37">
        <f t="shared" si="44"/>
        <v>0</v>
      </c>
      <c r="CM165" s="37">
        <f t="shared" si="45"/>
        <v>0</v>
      </c>
    </row>
    <row r="166" spans="2:91" ht="33.75">
      <c r="B166" s="156">
        <v>162</v>
      </c>
      <c r="C166" s="160">
        <v>107</v>
      </c>
      <c r="D166" s="160">
        <v>566</v>
      </c>
      <c r="E166" s="161">
        <v>0.54999999999999993</v>
      </c>
      <c r="F166" s="161">
        <v>0.55833333333333335</v>
      </c>
      <c r="G166" s="160" t="s">
        <v>554</v>
      </c>
      <c r="H166" s="160" t="s">
        <v>103</v>
      </c>
      <c r="I166" s="163">
        <v>3</v>
      </c>
      <c r="J166" s="164" t="s">
        <v>264</v>
      </c>
      <c r="K166" s="165">
        <v>174</v>
      </c>
      <c r="L166" s="166">
        <f t="shared" si="32"/>
        <v>522</v>
      </c>
      <c r="M166" s="177" t="s">
        <v>724</v>
      </c>
      <c r="N166" s="150" t="s">
        <v>985</v>
      </c>
      <c r="O166" s="184">
        <v>46</v>
      </c>
      <c r="P166" s="150" t="s">
        <v>902</v>
      </c>
      <c r="Q166" s="184">
        <v>47</v>
      </c>
      <c r="S166" s="184"/>
      <c r="T166" s="45" t="s">
        <v>1437</v>
      </c>
      <c r="U166" s="45" t="s">
        <v>1438</v>
      </c>
      <c r="V166" s="45" t="s">
        <v>1435</v>
      </c>
      <c r="W166" s="45" t="s">
        <v>1436</v>
      </c>
      <c r="X166" s="98">
        <v>44816</v>
      </c>
      <c r="Y166" s="98">
        <v>45086</v>
      </c>
      <c r="Z166" s="98"/>
      <c r="AA166" s="98"/>
      <c r="AB166" s="41" t="s">
        <v>1114</v>
      </c>
      <c r="AC166" s="41"/>
      <c r="AD166" s="42"/>
      <c r="AE166" s="42"/>
      <c r="AF166" s="42"/>
      <c r="AG166" s="42" t="s">
        <v>734</v>
      </c>
      <c r="AH166" s="42" t="s">
        <v>734</v>
      </c>
      <c r="AI166" s="42" t="s">
        <v>734</v>
      </c>
      <c r="AJ166" s="42" t="s">
        <v>734</v>
      </c>
      <c r="AK166" s="42" t="s">
        <v>734</v>
      </c>
      <c r="AL166" s="42" t="s">
        <v>734</v>
      </c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77">
        <v>9</v>
      </c>
      <c r="AY166" s="37"/>
      <c r="BA166" s="68"/>
      <c r="BB166" s="68"/>
      <c r="BD166" s="67">
        <f t="shared" si="35"/>
        <v>1566</v>
      </c>
      <c r="BE166" s="67"/>
      <c r="BF166" s="37"/>
      <c r="BG166" s="69">
        <v>2</v>
      </c>
      <c r="BH166" s="67">
        <f>IF(AND((AX166/I166)&lt;2,BG166=1),(I166*2)-AX166,0)</f>
        <v>0</v>
      </c>
      <c r="BI166" s="77">
        <f>IF(AND((AX166/I166)&lt;3,BG166=2),(I166*3)-AX166,0)</f>
        <v>0</v>
      </c>
      <c r="BJ166" s="78">
        <f>(BH166+BI166)*K166</f>
        <v>0</v>
      </c>
      <c r="BN166" s="37"/>
      <c r="BO166" s="70">
        <f t="shared" si="33"/>
        <v>0</v>
      </c>
      <c r="BP166" s="37">
        <v>15</v>
      </c>
      <c r="BQ166" s="37">
        <v>20</v>
      </c>
      <c r="BR166" s="37">
        <v>21</v>
      </c>
      <c r="BS166" s="37">
        <v>15</v>
      </c>
      <c r="BT166" s="87">
        <f t="shared" si="34"/>
        <v>9</v>
      </c>
      <c r="BU166" s="87"/>
      <c r="BV166" s="87"/>
      <c r="BW166" s="87"/>
      <c r="BX166" s="87"/>
      <c r="BY166" s="87"/>
      <c r="BZ166" s="87"/>
      <c r="CA166" s="87"/>
      <c r="CB166" s="87"/>
      <c r="CC166" s="87"/>
      <c r="CD166" s="87"/>
      <c r="CF166" s="67">
        <f t="shared" si="39"/>
        <v>135</v>
      </c>
      <c r="CG166" s="67">
        <f t="shared" si="40"/>
        <v>180</v>
      </c>
      <c r="CH166" s="67">
        <f t="shared" si="41"/>
        <v>189</v>
      </c>
      <c r="CI166" s="67">
        <f t="shared" si="46"/>
        <v>135</v>
      </c>
      <c r="CJ166" s="37">
        <f t="shared" si="42"/>
        <v>45</v>
      </c>
      <c r="CK166" s="37">
        <f t="shared" si="43"/>
        <v>60</v>
      </c>
      <c r="CL166" s="37">
        <f t="shared" si="44"/>
        <v>63</v>
      </c>
      <c r="CM166" s="37">
        <f t="shared" si="45"/>
        <v>45</v>
      </c>
    </row>
    <row r="167" spans="2:91" ht="33.75">
      <c r="B167" s="156">
        <v>163</v>
      </c>
      <c r="C167" s="160">
        <v>107</v>
      </c>
      <c r="D167" s="160">
        <v>570</v>
      </c>
      <c r="E167" s="161">
        <v>0.61111111111111105</v>
      </c>
      <c r="F167" s="161">
        <v>0.62430555555555556</v>
      </c>
      <c r="G167" s="160" t="s">
        <v>50</v>
      </c>
      <c r="H167" s="160" t="s">
        <v>509</v>
      </c>
      <c r="I167" s="163">
        <v>15</v>
      </c>
      <c r="J167" s="164" t="s">
        <v>93</v>
      </c>
      <c r="K167" s="165">
        <v>12</v>
      </c>
      <c r="L167" s="166">
        <f t="shared" si="32"/>
        <v>180</v>
      </c>
      <c r="M167" s="177" t="s">
        <v>738</v>
      </c>
      <c r="N167" s="150" t="s">
        <v>910</v>
      </c>
      <c r="O167" s="150">
        <v>24</v>
      </c>
      <c r="P167" s="221" t="s">
        <v>2077</v>
      </c>
      <c r="Q167" s="221">
        <v>42</v>
      </c>
      <c r="R167" s="150" t="s">
        <v>911</v>
      </c>
      <c r="S167" s="151">
        <v>21</v>
      </c>
      <c r="T167" s="45">
        <v>6120</v>
      </c>
      <c r="U167" s="45" t="s">
        <v>1341</v>
      </c>
      <c r="V167" s="45" t="s">
        <v>1342</v>
      </c>
      <c r="W167" s="45" t="s">
        <v>1343</v>
      </c>
      <c r="X167" s="99">
        <v>44562</v>
      </c>
      <c r="Y167" s="99">
        <v>44815</v>
      </c>
      <c r="Z167" s="99">
        <v>45101</v>
      </c>
      <c r="AA167" s="99">
        <v>45169</v>
      </c>
      <c r="AB167" s="41" t="s">
        <v>1131</v>
      </c>
      <c r="AC167" s="41"/>
      <c r="AD167" s="42"/>
      <c r="AE167" s="42" t="s">
        <v>734</v>
      </c>
      <c r="AF167" s="42" t="s">
        <v>734</v>
      </c>
      <c r="AG167" s="42"/>
      <c r="AH167" s="42"/>
      <c r="AI167" s="42"/>
      <c r="AJ167" s="42"/>
      <c r="AK167" s="42"/>
      <c r="AL167" s="42"/>
      <c r="AM167" s="42" t="s">
        <v>734</v>
      </c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68">
        <v>45</v>
      </c>
      <c r="AY167" s="37"/>
      <c r="BA167" s="68"/>
      <c r="BB167" s="68"/>
      <c r="BD167" s="67">
        <f t="shared" si="35"/>
        <v>540</v>
      </c>
      <c r="BE167" s="67"/>
      <c r="BF167" s="37"/>
      <c r="BG167" s="73">
        <v>1</v>
      </c>
      <c r="BH167" s="67">
        <f>IF(AND((AX167/I167)&lt;2,BG167=1),(I167*2)-AX167,0)</f>
        <v>0</v>
      </c>
      <c r="BI167" s="67">
        <f>IF(AND((AX167/I167)&lt;3,BG167=2),(I167*3)-AX167,0)</f>
        <v>0</v>
      </c>
      <c r="BJ167" s="70">
        <f>(BH167+BI167)*K167</f>
        <v>0</v>
      </c>
      <c r="BN167" s="37"/>
      <c r="BO167" s="70">
        <f t="shared" si="33"/>
        <v>0</v>
      </c>
      <c r="BP167" s="37">
        <v>2</v>
      </c>
      <c r="BQ167" s="37">
        <v>0</v>
      </c>
      <c r="BR167" s="37">
        <v>0</v>
      </c>
      <c r="BT167" s="87">
        <f t="shared" si="34"/>
        <v>45</v>
      </c>
      <c r="BU167" s="87"/>
      <c r="BV167" s="87"/>
      <c r="BW167" s="87"/>
      <c r="BX167" s="87"/>
      <c r="BY167" s="87"/>
      <c r="BZ167" s="87"/>
      <c r="CA167" s="87"/>
      <c r="CB167" s="87"/>
      <c r="CC167" s="87"/>
      <c r="CD167" s="87"/>
      <c r="CF167" s="67">
        <f t="shared" si="39"/>
        <v>90</v>
      </c>
      <c r="CG167" s="67">
        <f t="shared" si="40"/>
        <v>0</v>
      </c>
      <c r="CH167" s="67">
        <f t="shared" si="41"/>
        <v>0</v>
      </c>
      <c r="CI167" s="67">
        <f t="shared" si="46"/>
        <v>0</v>
      </c>
      <c r="CJ167" s="37">
        <f t="shared" si="42"/>
        <v>30</v>
      </c>
      <c r="CK167" s="37">
        <f t="shared" si="43"/>
        <v>0</v>
      </c>
      <c r="CL167" s="37">
        <f t="shared" si="44"/>
        <v>0</v>
      </c>
      <c r="CM167" s="37">
        <f t="shared" si="45"/>
        <v>0</v>
      </c>
    </row>
    <row r="168" spans="2:91" ht="25.5">
      <c r="B168" s="156">
        <v>164</v>
      </c>
      <c r="C168" s="160">
        <v>107</v>
      </c>
      <c r="D168" s="160">
        <v>571</v>
      </c>
      <c r="E168" s="161">
        <v>0.62916666666666665</v>
      </c>
      <c r="F168" s="161">
        <v>0.64374999999999993</v>
      </c>
      <c r="G168" s="160" t="s">
        <v>49</v>
      </c>
      <c r="H168" s="160" t="s">
        <v>509</v>
      </c>
      <c r="I168" s="163">
        <v>15</v>
      </c>
      <c r="J168" s="164" t="s">
        <v>93</v>
      </c>
      <c r="K168" s="165">
        <v>12</v>
      </c>
      <c r="L168" s="166">
        <f t="shared" si="32"/>
        <v>180</v>
      </c>
      <c r="M168" s="177" t="s">
        <v>738</v>
      </c>
      <c r="N168" s="150" t="s">
        <v>910</v>
      </c>
      <c r="O168" s="150">
        <v>24</v>
      </c>
      <c r="P168" s="221" t="s">
        <v>2077</v>
      </c>
      <c r="Q168" s="221">
        <v>42</v>
      </c>
      <c r="R168" s="150" t="s">
        <v>911</v>
      </c>
      <c r="S168" s="151">
        <v>21</v>
      </c>
      <c r="T168" s="45" t="s">
        <v>1342</v>
      </c>
      <c r="U168" s="45" t="s">
        <v>1343</v>
      </c>
      <c r="V168" s="45">
        <v>6120</v>
      </c>
      <c r="W168" s="45" t="s">
        <v>1341</v>
      </c>
      <c r="X168" s="99">
        <v>44562</v>
      </c>
      <c r="Y168" s="99">
        <v>44815</v>
      </c>
      <c r="Z168" s="99">
        <v>45101</v>
      </c>
      <c r="AA168" s="99">
        <v>45169</v>
      </c>
      <c r="AB168" s="41" t="s">
        <v>1131</v>
      </c>
      <c r="AC168" s="41"/>
      <c r="AD168" s="42"/>
      <c r="AE168" s="42" t="s">
        <v>734</v>
      </c>
      <c r="AF168" s="42" t="s">
        <v>734</v>
      </c>
      <c r="AG168" s="42"/>
      <c r="AH168" s="42"/>
      <c r="AI168" s="42"/>
      <c r="AJ168" s="42"/>
      <c r="AK168" s="42"/>
      <c r="AL168" s="42"/>
      <c r="AM168" s="42" t="s">
        <v>734</v>
      </c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68">
        <v>45</v>
      </c>
      <c r="AY168" s="37"/>
      <c r="BA168" s="68"/>
      <c r="BB168" s="68"/>
      <c r="BD168" s="67">
        <f t="shared" si="35"/>
        <v>540</v>
      </c>
      <c r="BE168" s="67"/>
      <c r="BF168" s="37"/>
      <c r="BG168" s="73">
        <v>1</v>
      </c>
      <c r="BH168" s="67">
        <f>IF(AND((AX168/I168)&lt;2,BG168=1),(I168*2)-AX168,0)</f>
        <v>0</v>
      </c>
      <c r="BI168" s="67">
        <f>IF(AND((AX168/I168)&lt;3,BG168=2),(I168*3)-AX168,0)</f>
        <v>0</v>
      </c>
      <c r="BJ168" s="70">
        <f>(BH168+BI168)*K168</f>
        <v>0</v>
      </c>
      <c r="BN168" s="37"/>
      <c r="BO168" s="70">
        <f t="shared" si="33"/>
        <v>0</v>
      </c>
      <c r="BP168" s="37">
        <v>2</v>
      </c>
      <c r="BQ168" s="37">
        <v>0</v>
      </c>
      <c r="BR168" s="37">
        <v>0</v>
      </c>
      <c r="BT168" s="87">
        <f t="shared" si="34"/>
        <v>45</v>
      </c>
      <c r="BU168" s="87"/>
      <c r="BV168" s="87"/>
      <c r="BW168" s="87"/>
      <c r="BX168" s="87"/>
      <c r="BY168" s="87"/>
      <c r="BZ168" s="87"/>
      <c r="CA168" s="87"/>
      <c r="CB168" s="87"/>
      <c r="CC168" s="87"/>
      <c r="CD168" s="87"/>
      <c r="CF168" s="67">
        <f t="shared" si="39"/>
        <v>90</v>
      </c>
      <c r="CG168" s="67">
        <f t="shared" si="40"/>
        <v>0</v>
      </c>
      <c r="CH168" s="67">
        <f t="shared" si="41"/>
        <v>0</v>
      </c>
      <c r="CI168" s="67">
        <f t="shared" si="46"/>
        <v>0</v>
      </c>
      <c r="CJ168" s="37">
        <f t="shared" si="42"/>
        <v>30</v>
      </c>
      <c r="CK168" s="37">
        <f t="shared" si="43"/>
        <v>0</v>
      </c>
      <c r="CL168" s="37">
        <f t="shared" si="44"/>
        <v>0</v>
      </c>
      <c r="CM168" s="37">
        <f t="shared" si="45"/>
        <v>0</v>
      </c>
    </row>
    <row r="169" spans="2:91" ht="33.75">
      <c r="B169" s="156">
        <v>165</v>
      </c>
      <c r="C169" s="169">
        <v>107</v>
      </c>
      <c r="D169" s="169">
        <v>570</v>
      </c>
      <c r="E169" s="170">
        <v>0.71180555555555547</v>
      </c>
      <c r="F169" s="170">
        <v>0.72638888888888886</v>
      </c>
      <c r="G169" s="171" t="s">
        <v>50</v>
      </c>
      <c r="H169" s="171" t="s">
        <v>39</v>
      </c>
      <c r="I169" s="169">
        <v>15</v>
      </c>
      <c r="J169" s="172">
        <v>19</v>
      </c>
      <c r="K169" s="165">
        <v>29</v>
      </c>
      <c r="L169" s="166">
        <f t="shared" si="32"/>
        <v>435</v>
      </c>
      <c r="M169" s="177" t="s">
        <v>738</v>
      </c>
      <c r="N169" s="150" t="s">
        <v>910</v>
      </c>
      <c r="O169" s="150">
        <v>24</v>
      </c>
      <c r="P169" s="221" t="s">
        <v>2077</v>
      </c>
      <c r="Q169" s="221">
        <v>42</v>
      </c>
      <c r="S169" s="150"/>
      <c r="T169" s="45">
        <v>6120</v>
      </c>
      <c r="U169" s="45" t="s">
        <v>1341</v>
      </c>
      <c r="V169" s="45" t="s">
        <v>1342</v>
      </c>
      <c r="W169" s="45" t="s">
        <v>1343</v>
      </c>
      <c r="X169" s="99">
        <v>44816</v>
      </c>
      <c r="Y169" s="99">
        <v>45100</v>
      </c>
      <c r="Z169" s="99"/>
      <c r="AA169" s="99"/>
      <c r="AB169" s="41" t="s">
        <v>1122</v>
      </c>
      <c r="AC169" s="41"/>
      <c r="AD169" s="42" t="s">
        <v>734</v>
      </c>
      <c r="AE169" s="42"/>
      <c r="AF169" s="42" t="s">
        <v>734</v>
      </c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 t="s">
        <v>734</v>
      </c>
      <c r="AS169" s="42" t="s">
        <v>734</v>
      </c>
      <c r="AT169" s="42" t="s">
        <v>734</v>
      </c>
      <c r="AU169" s="42" t="s">
        <v>734</v>
      </c>
      <c r="AV169" s="42" t="s">
        <v>734</v>
      </c>
      <c r="AW169" s="42" t="s">
        <v>734</v>
      </c>
      <c r="AY169" s="37"/>
      <c r="BA169" s="39" t="s">
        <v>738</v>
      </c>
      <c r="BB169" s="39"/>
      <c r="BD169" s="67">
        <f t="shared" si="35"/>
        <v>0</v>
      </c>
      <c r="BF169" s="37"/>
      <c r="BG169" s="73">
        <v>1</v>
      </c>
      <c r="BI169" s="67"/>
      <c r="BJ169" s="37"/>
      <c r="BN169" s="37"/>
      <c r="BO169" s="70">
        <f t="shared" si="33"/>
        <v>0</v>
      </c>
      <c r="BP169" s="37">
        <v>0</v>
      </c>
      <c r="BQ169" s="37">
        <v>1</v>
      </c>
      <c r="BR169" s="37">
        <v>0</v>
      </c>
      <c r="BS169" s="37">
        <v>7</v>
      </c>
      <c r="BT169" s="87">
        <f t="shared" si="34"/>
        <v>0</v>
      </c>
      <c r="BU169" s="87" t="s">
        <v>1871</v>
      </c>
      <c r="BV169" s="127">
        <v>1</v>
      </c>
      <c r="BW169" s="127"/>
      <c r="BX169" s="127">
        <v>1</v>
      </c>
      <c r="BY169" s="127"/>
      <c r="BZ169" s="127">
        <v>1</v>
      </c>
      <c r="CA169" s="127"/>
      <c r="CB169" s="127">
        <v>1</v>
      </c>
      <c r="CC169" s="127"/>
      <c r="CD169" s="87">
        <v>2500</v>
      </c>
      <c r="CF169" s="67">
        <f t="shared" si="39"/>
        <v>2500</v>
      </c>
      <c r="CG169" s="67">
        <f t="shared" si="40"/>
        <v>2500</v>
      </c>
      <c r="CH169" s="67">
        <f t="shared" si="41"/>
        <v>2500</v>
      </c>
      <c r="CI169" s="67">
        <f t="shared" si="46"/>
        <v>2500</v>
      </c>
      <c r="CJ169" s="37">
        <f t="shared" si="42"/>
        <v>0</v>
      </c>
      <c r="CK169" s="37">
        <f t="shared" si="43"/>
        <v>15</v>
      </c>
      <c r="CL169" s="37">
        <f t="shared" si="44"/>
        <v>0</v>
      </c>
      <c r="CM169" s="37">
        <f t="shared" si="45"/>
        <v>105</v>
      </c>
    </row>
    <row r="170" spans="2:91" ht="38.25">
      <c r="B170" s="156">
        <v>166</v>
      </c>
      <c r="C170" s="169">
        <v>107</v>
      </c>
      <c r="D170" s="169">
        <v>571</v>
      </c>
      <c r="E170" s="170">
        <v>0.72638888888888886</v>
      </c>
      <c r="F170" s="170">
        <v>0.7402777777777777</v>
      </c>
      <c r="G170" s="171" t="s">
        <v>49</v>
      </c>
      <c r="H170" s="171" t="s">
        <v>617</v>
      </c>
      <c r="I170" s="169">
        <v>15</v>
      </c>
      <c r="J170" s="172">
        <v>19</v>
      </c>
      <c r="K170" s="165">
        <v>29</v>
      </c>
      <c r="L170" s="166">
        <f t="shared" si="32"/>
        <v>435</v>
      </c>
      <c r="M170" s="177" t="s">
        <v>738</v>
      </c>
      <c r="N170" s="150" t="s">
        <v>910</v>
      </c>
      <c r="O170" s="150">
        <v>24</v>
      </c>
      <c r="P170" s="221" t="s">
        <v>2077</v>
      </c>
      <c r="Q170" s="221">
        <v>42</v>
      </c>
      <c r="S170" s="150"/>
      <c r="T170" s="45" t="s">
        <v>1342</v>
      </c>
      <c r="U170" s="45" t="s">
        <v>1343</v>
      </c>
      <c r="V170" s="45">
        <v>6120</v>
      </c>
      <c r="W170" s="45" t="s">
        <v>1341</v>
      </c>
      <c r="X170" s="99">
        <v>44816</v>
      </c>
      <c r="Y170" s="99">
        <v>45100</v>
      </c>
      <c r="Z170" s="99"/>
      <c r="AA170" s="99"/>
      <c r="AB170" s="41" t="s">
        <v>1122</v>
      </c>
      <c r="AC170" s="41"/>
      <c r="AD170" s="42" t="s">
        <v>734</v>
      </c>
      <c r="AE170" s="42"/>
      <c r="AF170" s="42" t="s">
        <v>734</v>
      </c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 t="s">
        <v>734</v>
      </c>
      <c r="AS170" s="42" t="s">
        <v>734</v>
      </c>
      <c r="AT170" s="42" t="s">
        <v>734</v>
      </c>
      <c r="AU170" s="42" t="s">
        <v>734</v>
      </c>
      <c r="AV170" s="42" t="s">
        <v>734</v>
      </c>
      <c r="AW170" s="42" t="s">
        <v>734</v>
      </c>
      <c r="AY170" s="37"/>
      <c r="BA170" s="39" t="s">
        <v>738</v>
      </c>
      <c r="BB170" s="39"/>
      <c r="BD170" s="67">
        <f t="shared" si="35"/>
        <v>0</v>
      </c>
      <c r="BF170" s="37"/>
      <c r="BG170" s="73">
        <v>1</v>
      </c>
      <c r="BI170" s="67"/>
      <c r="BJ170" s="37"/>
      <c r="BN170" s="37"/>
      <c r="BO170" s="70">
        <f t="shared" si="33"/>
        <v>0</v>
      </c>
      <c r="BP170" s="37">
        <v>0</v>
      </c>
      <c r="BQ170" s="37">
        <v>1</v>
      </c>
      <c r="BR170" s="37">
        <v>0</v>
      </c>
      <c r="BS170" s="37">
        <v>7</v>
      </c>
      <c r="BT170" s="87">
        <f t="shared" si="34"/>
        <v>0</v>
      </c>
      <c r="BU170" s="87"/>
      <c r="BV170" s="87"/>
      <c r="BW170" s="87"/>
      <c r="BX170" s="87"/>
      <c r="BY170" s="87"/>
      <c r="BZ170" s="87"/>
      <c r="CA170" s="87"/>
      <c r="CB170" s="87"/>
      <c r="CC170" s="87"/>
      <c r="CD170" s="87"/>
      <c r="CF170" s="67">
        <f t="shared" si="39"/>
        <v>0</v>
      </c>
      <c r="CG170" s="67">
        <f t="shared" si="40"/>
        <v>0</v>
      </c>
      <c r="CH170" s="67">
        <f t="shared" si="41"/>
        <v>0</v>
      </c>
      <c r="CI170" s="67">
        <f t="shared" si="46"/>
        <v>0</v>
      </c>
      <c r="CJ170" s="37">
        <f t="shared" si="42"/>
        <v>0</v>
      </c>
      <c r="CK170" s="37">
        <f t="shared" si="43"/>
        <v>15</v>
      </c>
      <c r="CL170" s="37">
        <f t="shared" si="44"/>
        <v>0</v>
      </c>
      <c r="CM170" s="37">
        <f t="shared" si="45"/>
        <v>105</v>
      </c>
    </row>
    <row r="171" spans="2:91" ht="25.5">
      <c r="B171" s="156">
        <v>167</v>
      </c>
      <c r="C171" s="160">
        <v>109</v>
      </c>
      <c r="D171" s="160">
        <v>60</v>
      </c>
      <c r="E171" s="161">
        <v>0.79166666666666663</v>
      </c>
      <c r="F171" s="161">
        <v>0.79791666666666661</v>
      </c>
      <c r="G171" s="160" t="s">
        <v>148</v>
      </c>
      <c r="H171" s="160" t="s">
        <v>479</v>
      </c>
      <c r="I171" s="163">
        <v>4</v>
      </c>
      <c r="J171" s="164" t="s">
        <v>146</v>
      </c>
      <c r="K171" s="165">
        <v>240</v>
      </c>
      <c r="L171" s="166">
        <f t="shared" si="32"/>
        <v>960</v>
      </c>
      <c r="M171" s="177" t="s">
        <v>739</v>
      </c>
      <c r="N171" s="154" t="s">
        <v>1084</v>
      </c>
      <c r="O171" s="154">
        <v>17</v>
      </c>
      <c r="P171" s="154" t="s">
        <v>1971</v>
      </c>
      <c r="Q171" s="154">
        <v>17</v>
      </c>
      <c r="S171" s="154"/>
      <c r="T171" s="45">
        <v>1070</v>
      </c>
      <c r="U171" s="45" t="s">
        <v>1337</v>
      </c>
      <c r="V171" s="45">
        <v>1151</v>
      </c>
      <c r="W171" s="45" t="s">
        <v>1439</v>
      </c>
      <c r="X171" s="99">
        <v>44816</v>
      </c>
      <c r="Y171" s="99">
        <v>45100</v>
      </c>
      <c r="Z171" s="99"/>
      <c r="AA171" s="99"/>
      <c r="AB171" s="45" t="s">
        <v>1124</v>
      </c>
      <c r="AC171" s="45"/>
      <c r="AD171" s="42" t="s">
        <v>734</v>
      </c>
      <c r="AE171" s="42"/>
      <c r="AF171" s="42" t="s">
        <v>734</v>
      </c>
      <c r="AG171" s="42"/>
      <c r="AH171" s="42" t="s">
        <v>734</v>
      </c>
      <c r="AI171" s="42" t="s">
        <v>734</v>
      </c>
      <c r="AJ171" s="42" t="s">
        <v>734</v>
      </c>
      <c r="AK171" s="42" t="s">
        <v>734</v>
      </c>
      <c r="AL171" s="42" t="s">
        <v>734</v>
      </c>
      <c r="AM171" s="42" t="s">
        <v>734</v>
      </c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68">
        <v>9.5299999999999994</v>
      </c>
      <c r="AY171" s="37"/>
      <c r="BA171" s="68"/>
      <c r="BB171" s="68"/>
      <c r="BD171" s="67">
        <f t="shared" si="35"/>
        <v>2287.1999999999998</v>
      </c>
      <c r="BE171" s="67"/>
      <c r="BF171" s="37"/>
      <c r="BG171" s="73">
        <v>1</v>
      </c>
      <c r="BH171" s="67">
        <f t="shared" ref="BH171:BH206" si="54">IF(AND((AX171/I171)&lt;2,BG171=1),(I171*2)-AX171,0)</f>
        <v>0</v>
      </c>
      <c r="BI171" s="67">
        <f t="shared" ref="BI171:BI206" si="55">IF(AND((AX171/I171)&lt;3,BG171=2),(I171*3)-AX171,0)</f>
        <v>0</v>
      </c>
      <c r="BJ171" s="70">
        <f t="shared" ref="BJ171:BJ206" si="56">(BH171+BI171)*K171</f>
        <v>0</v>
      </c>
      <c r="BN171" s="37"/>
      <c r="BO171" s="70">
        <f t="shared" si="33"/>
        <v>0</v>
      </c>
      <c r="BP171" s="37">
        <v>17</v>
      </c>
      <c r="BQ171" s="37">
        <v>26</v>
      </c>
      <c r="BR171" s="37">
        <v>25</v>
      </c>
      <c r="BS171" s="37">
        <v>25</v>
      </c>
      <c r="BT171" s="87">
        <f t="shared" si="34"/>
        <v>9.5299999999999994</v>
      </c>
      <c r="BU171" s="87"/>
      <c r="BV171" s="87"/>
      <c r="BW171" s="87"/>
      <c r="BX171" s="87"/>
      <c r="BY171" s="87"/>
      <c r="BZ171" s="87"/>
      <c r="CA171" s="87"/>
      <c r="CB171" s="87"/>
      <c r="CC171" s="87"/>
      <c r="CD171" s="87"/>
      <c r="CF171" s="67">
        <f t="shared" si="39"/>
        <v>162.01</v>
      </c>
      <c r="CG171" s="67">
        <f t="shared" si="40"/>
        <v>247.77999999999997</v>
      </c>
      <c r="CH171" s="67">
        <f t="shared" si="41"/>
        <v>238.24999999999997</v>
      </c>
      <c r="CI171" s="67">
        <f t="shared" si="46"/>
        <v>238.24999999999997</v>
      </c>
      <c r="CJ171" s="37">
        <f t="shared" si="42"/>
        <v>68</v>
      </c>
      <c r="CK171" s="37">
        <f t="shared" si="43"/>
        <v>104</v>
      </c>
      <c r="CL171" s="37">
        <f t="shared" si="44"/>
        <v>100</v>
      </c>
      <c r="CM171" s="37">
        <f t="shared" si="45"/>
        <v>100</v>
      </c>
    </row>
    <row r="172" spans="2:91" ht="25.5">
      <c r="B172" s="156">
        <v>168</v>
      </c>
      <c r="C172" s="160">
        <v>109</v>
      </c>
      <c r="D172" s="160">
        <v>63</v>
      </c>
      <c r="E172" s="161">
        <v>0.8</v>
      </c>
      <c r="F172" s="161">
        <v>0.80486111111111114</v>
      </c>
      <c r="G172" s="160" t="s">
        <v>147</v>
      </c>
      <c r="H172" s="160" t="s">
        <v>479</v>
      </c>
      <c r="I172" s="163">
        <v>4</v>
      </c>
      <c r="J172" s="164" t="s">
        <v>146</v>
      </c>
      <c r="K172" s="165">
        <v>240</v>
      </c>
      <c r="L172" s="166">
        <f t="shared" si="32"/>
        <v>960</v>
      </c>
      <c r="M172" s="177" t="s">
        <v>739</v>
      </c>
      <c r="N172" s="154" t="s">
        <v>1084</v>
      </c>
      <c r="O172" s="154">
        <v>17</v>
      </c>
      <c r="P172" s="154" t="s">
        <v>1971</v>
      </c>
      <c r="Q172" s="154">
        <v>17</v>
      </c>
      <c r="S172" s="154"/>
      <c r="T172" s="45">
        <v>1151</v>
      </c>
      <c r="U172" s="45" t="s">
        <v>1439</v>
      </c>
      <c r="V172" s="45">
        <v>1070</v>
      </c>
      <c r="W172" s="45" t="s">
        <v>1337</v>
      </c>
      <c r="X172" s="99">
        <v>44816</v>
      </c>
      <c r="Y172" s="99">
        <v>45100</v>
      </c>
      <c r="Z172" s="99"/>
      <c r="AA172" s="99"/>
      <c r="AB172" s="45" t="s">
        <v>1124</v>
      </c>
      <c r="AC172" s="45"/>
      <c r="AD172" s="42" t="s">
        <v>734</v>
      </c>
      <c r="AE172" s="42"/>
      <c r="AF172" s="42" t="s">
        <v>734</v>
      </c>
      <c r="AG172" s="42"/>
      <c r="AH172" s="42" t="s">
        <v>734</v>
      </c>
      <c r="AI172" s="42" t="s">
        <v>734</v>
      </c>
      <c r="AJ172" s="42" t="s">
        <v>734</v>
      </c>
      <c r="AK172" s="42" t="s">
        <v>734</v>
      </c>
      <c r="AL172" s="42" t="s">
        <v>734</v>
      </c>
      <c r="AM172" s="42" t="s">
        <v>734</v>
      </c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68">
        <v>9.5299999999999994</v>
      </c>
      <c r="AY172" s="37"/>
      <c r="BA172" s="68"/>
      <c r="BB172" s="68"/>
      <c r="BD172" s="67">
        <f t="shared" si="35"/>
        <v>2287.1999999999998</v>
      </c>
      <c r="BE172" s="67"/>
      <c r="BF172" s="37"/>
      <c r="BG172" s="73">
        <v>1</v>
      </c>
      <c r="BH172" s="67">
        <f t="shared" si="54"/>
        <v>0</v>
      </c>
      <c r="BI172" s="67">
        <f t="shared" si="55"/>
        <v>0</v>
      </c>
      <c r="BJ172" s="70">
        <f t="shared" si="56"/>
        <v>0</v>
      </c>
      <c r="BN172" s="37"/>
      <c r="BO172" s="70">
        <f t="shared" si="33"/>
        <v>0</v>
      </c>
      <c r="BP172" s="37">
        <v>17</v>
      </c>
      <c r="BQ172" s="37">
        <v>26</v>
      </c>
      <c r="BR172" s="37">
        <v>25</v>
      </c>
      <c r="BS172" s="37">
        <v>25</v>
      </c>
      <c r="BT172" s="87">
        <f t="shared" si="34"/>
        <v>9.5299999999999994</v>
      </c>
      <c r="BU172" s="87"/>
      <c r="BV172" s="87"/>
      <c r="BW172" s="87"/>
      <c r="BX172" s="87"/>
      <c r="BY172" s="87"/>
      <c r="BZ172" s="87"/>
      <c r="CA172" s="87"/>
      <c r="CB172" s="87"/>
      <c r="CC172" s="87"/>
      <c r="CD172" s="87"/>
      <c r="CF172" s="67">
        <f t="shared" si="39"/>
        <v>162.01</v>
      </c>
      <c r="CG172" s="67">
        <f t="shared" si="40"/>
        <v>247.77999999999997</v>
      </c>
      <c r="CH172" s="67">
        <f t="shared" si="41"/>
        <v>238.24999999999997</v>
      </c>
      <c r="CI172" s="67">
        <f t="shared" si="46"/>
        <v>238.24999999999997</v>
      </c>
      <c r="CJ172" s="37">
        <f t="shared" si="42"/>
        <v>68</v>
      </c>
      <c r="CK172" s="37">
        <f t="shared" si="43"/>
        <v>104</v>
      </c>
      <c r="CL172" s="37">
        <f t="shared" si="44"/>
        <v>100</v>
      </c>
      <c r="CM172" s="37">
        <f t="shared" si="45"/>
        <v>100</v>
      </c>
    </row>
    <row r="173" spans="2:91" ht="25.5">
      <c r="B173" s="156">
        <v>169</v>
      </c>
      <c r="C173" s="160">
        <v>111</v>
      </c>
      <c r="D173" s="164">
        <v>20</v>
      </c>
      <c r="E173" s="161">
        <v>0.34027777777777773</v>
      </c>
      <c r="F173" s="173">
        <v>0.35833333333333334</v>
      </c>
      <c r="G173" s="160" t="s">
        <v>423</v>
      </c>
      <c r="H173" s="174" t="s">
        <v>1848</v>
      </c>
      <c r="I173" s="163">
        <v>5.3</v>
      </c>
      <c r="J173" s="164" t="s">
        <v>93</v>
      </c>
      <c r="K173" s="179">
        <v>34</v>
      </c>
      <c r="L173" s="166">
        <f t="shared" si="32"/>
        <v>180.2</v>
      </c>
      <c r="M173" s="177" t="s">
        <v>739</v>
      </c>
      <c r="N173" s="154" t="s">
        <v>1084</v>
      </c>
      <c r="O173" s="154">
        <v>17</v>
      </c>
      <c r="P173" s="154" t="s">
        <v>1971</v>
      </c>
      <c r="Q173" s="154">
        <v>17</v>
      </c>
      <c r="R173" s="154"/>
      <c r="S173" s="154"/>
      <c r="T173" s="45">
        <v>1070</v>
      </c>
      <c r="U173" s="45" t="s">
        <v>1337</v>
      </c>
      <c r="V173" s="45" t="s">
        <v>1440</v>
      </c>
      <c r="W173" s="45" t="s">
        <v>1441</v>
      </c>
      <c r="X173" s="99">
        <v>44562</v>
      </c>
      <c r="Y173" s="99">
        <v>44815</v>
      </c>
      <c r="Z173" s="99">
        <v>45139</v>
      </c>
      <c r="AA173" s="99">
        <v>45169</v>
      </c>
      <c r="AB173" s="42" t="s">
        <v>1850</v>
      </c>
      <c r="AC173" s="42" t="s">
        <v>1135</v>
      </c>
      <c r="AD173" s="42"/>
      <c r="AE173" s="42" t="s">
        <v>734</v>
      </c>
      <c r="AF173" s="42" t="s">
        <v>734</v>
      </c>
      <c r="AG173" s="42"/>
      <c r="AH173" s="42" t="s">
        <v>734</v>
      </c>
      <c r="AI173" s="42" t="s">
        <v>734</v>
      </c>
      <c r="AJ173" s="42" t="s">
        <v>734</v>
      </c>
      <c r="AK173" s="42" t="s">
        <v>734</v>
      </c>
      <c r="AL173" s="42" t="s">
        <v>734</v>
      </c>
      <c r="AM173" s="42" t="s">
        <v>734</v>
      </c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68">
        <v>15.9</v>
      </c>
      <c r="AY173" s="37"/>
      <c r="BA173" s="68"/>
      <c r="BB173" s="68"/>
      <c r="BD173" s="67">
        <f t="shared" si="35"/>
        <v>540.6</v>
      </c>
      <c r="BE173" s="67"/>
      <c r="BF173" s="37"/>
      <c r="BG173" s="73">
        <v>1</v>
      </c>
      <c r="BH173" s="67">
        <f t="shared" si="54"/>
        <v>0</v>
      </c>
      <c r="BI173" s="67">
        <f t="shared" si="55"/>
        <v>0</v>
      </c>
      <c r="BJ173" s="70">
        <f t="shared" si="56"/>
        <v>0</v>
      </c>
      <c r="BN173" s="37"/>
      <c r="BO173" s="70">
        <f t="shared" si="33"/>
        <v>0</v>
      </c>
      <c r="BP173" s="37">
        <v>9</v>
      </c>
      <c r="BQ173" s="37">
        <v>0</v>
      </c>
      <c r="BR173" s="37">
        <v>0</v>
      </c>
      <c r="BS173" s="37">
        <v>0</v>
      </c>
      <c r="BT173" s="87">
        <f t="shared" si="34"/>
        <v>15.9</v>
      </c>
      <c r="BU173" s="87"/>
      <c r="BV173" s="87"/>
      <c r="BW173" s="87"/>
      <c r="BX173" s="87"/>
      <c r="BY173" s="87"/>
      <c r="BZ173" s="87"/>
      <c r="CA173" s="87"/>
      <c r="CB173" s="87"/>
      <c r="CC173" s="87"/>
      <c r="CD173" s="87"/>
      <c r="CF173" s="67">
        <f t="shared" si="39"/>
        <v>143.1</v>
      </c>
      <c r="CG173" s="67">
        <f t="shared" si="40"/>
        <v>0</v>
      </c>
      <c r="CH173" s="67">
        <f t="shared" si="41"/>
        <v>0</v>
      </c>
      <c r="CI173" s="67">
        <f t="shared" si="46"/>
        <v>0</v>
      </c>
      <c r="CJ173" s="37">
        <f t="shared" si="42"/>
        <v>47.699999999999996</v>
      </c>
      <c r="CK173" s="37">
        <f t="shared" si="43"/>
        <v>0</v>
      </c>
      <c r="CL173" s="37">
        <f t="shared" si="44"/>
        <v>0</v>
      </c>
      <c r="CM173" s="37">
        <f t="shared" si="45"/>
        <v>0</v>
      </c>
    </row>
    <row r="174" spans="2:91" ht="25.5">
      <c r="B174" s="181" t="s">
        <v>1204</v>
      </c>
      <c r="C174" s="160">
        <v>111</v>
      </c>
      <c r="D174" s="164">
        <v>20</v>
      </c>
      <c r="E174" s="161">
        <v>0.34027777777777773</v>
      </c>
      <c r="F174" s="173">
        <v>0.35833333333333334</v>
      </c>
      <c r="G174" s="160" t="s">
        <v>423</v>
      </c>
      <c r="H174" s="174" t="s">
        <v>1849</v>
      </c>
      <c r="I174" s="163">
        <v>5.3</v>
      </c>
      <c r="J174" s="164" t="s">
        <v>93</v>
      </c>
      <c r="K174" s="179">
        <v>33</v>
      </c>
      <c r="L174" s="166">
        <f t="shared" si="32"/>
        <v>174.9</v>
      </c>
      <c r="M174" s="177" t="s">
        <v>740</v>
      </c>
      <c r="N174" s="154" t="s">
        <v>858</v>
      </c>
      <c r="O174" s="154">
        <v>20</v>
      </c>
      <c r="P174" s="154" t="s">
        <v>1971</v>
      </c>
      <c r="Q174" s="154">
        <v>17</v>
      </c>
      <c r="R174" s="154"/>
      <c r="S174" s="154"/>
      <c r="T174" s="45">
        <v>1070</v>
      </c>
      <c r="U174" s="45" t="s">
        <v>1337</v>
      </c>
      <c r="V174" s="45" t="s">
        <v>1440</v>
      </c>
      <c r="W174" s="45" t="s">
        <v>1441</v>
      </c>
      <c r="X174" s="99">
        <v>45101</v>
      </c>
      <c r="Y174" s="99">
        <v>45138</v>
      </c>
      <c r="Z174" s="99"/>
      <c r="AA174" s="99"/>
      <c r="AB174" s="42" t="s">
        <v>1851</v>
      </c>
      <c r="AC174" s="42" t="s">
        <v>1135</v>
      </c>
      <c r="AD174" s="42"/>
      <c r="AE174" s="42" t="s">
        <v>734</v>
      </c>
      <c r="AF174" s="42" t="s">
        <v>734</v>
      </c>
      <c r="AG174" s="42"/>
      <c r="AH174" s="42" t="s">
        <v>734</v>
      </c>
      <c r="AI174" s="42" t="s">
        <v>734</v>
      </c>
      <c r="AJ174" s="42" t="s">
        <v>734</v>
      </c>
      <c r="AK174" s="42" t="s">
        <v>734</v>
      </c>
      <c r="AL174" s="42" t="s">
        <v>734</v>
      </c>
      <c r="AM174" s="42" t="s">
        <v>734</v>
      </c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68">
        <v>42.75</v>
      </c>
      <c r="AY174" s="37"/>
      <c r="BA174" s="68"/>
      <c r="BB174" s="68"/>
      <c r="BD174" s="67">
        <f t="shared" si="35"/>
        <v>1410.75</v>
      </c>
      <c r="BE174" s="67"/>
      <c r="BF174" s="37"/>
      <c r="BG174" s="73">
        <v>1</v>
      </c>
      <c r="BH174" s="67">
        <f t="shared" si="54"/>
        <v>0</v>
      </c>
      <c r="BI174" s="67">
        <f t="shared" si="55"/>
        <v>0</v>
      </c>
      <c r="BJ174" s="70">
        <f t="shared" si="56"/>
        <v>0</v>
      </c>
      <c r="BN174" s="37"/>
      <c r="BO174" s="70">
        <f t="shared" si="33"/>
        <v>0</v>
      </c>
      <c r="BP174" s="37">
        <v>0</v>
      </c>
      <c r="BQ174" s="37">
        <v>0</v>
      </c>
      <c r="BR174" s="37">
        <v>0</v>
      </c>
      <c r="BS174" s="37">
        <v>0</v>
      </c>
      <c r="BT174" s="87">
        <f t="shared" si="34"/>
        <v>42.75</v>
      </c>
      <c r="BU174" s="87"/>
      <c r="BV174" s="87"/>
      <c r="BW174" s="87"/>
      <c r="BX174" s="87"/>
      <c r="BY174" s="87"/>
      <c r="BZ174" s="87"/>
      <c r="CA174" s="87"/>
      <c r="CB174" s="87"/>
      <c r="CC174" s="87"/>
      <c r="CD174" s="87"/>
      <c r="CF174" s="67">
        <f t="shared" si="39"/>
        <v>0</v>
      </c>
      <c r="CG174" s="67">
        <f t="shared" si="40"/>
        <v>0</v>
      </c>
      <c r="CH174" s="67">
        <f t="shared" si="41"/>
        <v>0</v>
      </c>
      <c r="CI174" s="67">
        <f t="shared" si="46"/>
        <v>0</v>
      </c>
      <c r="CJ174" s="37">
        <f t="shared" si="42"/>
        <v>0</v>
      </c>
      <c r="CK174" s="37">
        <f t="shared" si="43"/>
        <v>0</v>
      </c>
      <c r="CL174" s="37">
        <f t="shared" si="44"/>
        <v>0</v>
      </c>
      <c r="CM174" s="37">
        <f t="shared" si="45"/>
        <v>0</v>
      </c>
    </row>
    <row r="175" spans="2:91" ht="25.5">
      <c r="B175" s="156">
        <v>170</v>
      </c>
      <c r="C175" s="160">
        <v>111</v>
      </c>
      <c r="D175" s="164">
        <v>21</v>
      </c>
      <c r="E175" s="161">
        <v>0.35138888888888892</v>
      </c>
      <c r="F175" s="161">
        <v>0.36805555555555558</v>
      </c>
      <c r="G175" s="174" t="s">
        <v>1041</v>
      </c>
      <c r="H175" s="174" t="s">
        <v>1848</v>
      </c>
      <c r="I175" s="163">
        <v>10.199999999999999</v>
      </c>
      <c r="J175" s="164" t="s">
        <v>93</v>
      </c>
      <c r="K175" s="179">
        <v>34</v>
      </c>
      <c r="L175" s="166">
        <f t="shared" si="32"/>
        <v>346.79999999999995</v>
      </c>
      <c r="M175" s="177" t="s">
        <v>739</v>
      </c>
      <c r="N175" s="154" t="s">
        <v>1084</v>
      </c>
      <c r="O175" s="154">
        <v>17</v>
      </c>
      <c r="P175" s="154" t="s">
        <v>1971</v>
      </c>
      <c r="Q175" s="154">
        <v>17</v>
      </c>
      <c r="R175" s="154"/>
      <c r="S175" s="154"/>
      <c r="T175" s="45" t="s">
        <v>1440</v>
      </c>
      <c r="U175" s="45" t="s">
        <v>1441</v>
      </c>
      <c r="V175" s="45">
        <v>1070</v>
      </c>
      <c r="W175" s="45" t="s">
        <v>1337</v>
      </c>
      <c r="X175" s="99">
        <v>44562</v>
      </c>
      <c r="Y175" s="99">
        <v>44815</v>
      </c>
      <c r="Z175" s="99">
        <v>45139</v>
      </c>
      <c r="AA175" s="99">
        <v>45169</v>
      </c>
      <c r="AB175" s="42" t="s">
        <v>1850</v>
      </c>
      <c r="AC175" s="42" t="s">
        <v>1135</v>
      </c>
      <c r="AD175" s="42"/>
      <c r="AE175" s="42" t="s">
        <v>734</v>
      </c>
      <c r="AF175" s="42" t="s">
        <v>734</v>
      </c>
      <c r="AG175" s="42"/>
      <c r="AH175" s="42" t="s">
        <v>734</v>
      </c>
      <c r="AI175" s="42" t="s">
        <v>734</v>
      </c>
      <c r="AJ175" s="42" t="s">
        <v>734</v>
      </c>
      <c r="AK175" s="42" t="s">
        <v>734</v>
      </c>
      <c r="AL175" s="42" t="s">
        <v>734</v>
      </c>
      <c r="AM175" s="42" t="s">
        <v>734</v>
      </c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68">
        <v>30.6</v>
      </c>
      <c r="AY175" s="37"/>
      <c r="BA175" s="68"/>
      <c r="BB175" s="68"/>
      <c r="BD175" s="67">
        <f t="shared" si="35"/>
        <v>1040.4000000000001</v>
      </c>
      <c r="BE175" s="67"/>
      <c r="BF175" s="37"/>
      <c r="BG175" s="73">
        <v>1</v>
      </c>
      <c r="BH175" s="67">
        <f t="shared" si="54"/>
        <v>0</v>
      </c>
      <c r="BI175" s="67">
        <f t="shared" si="55"/>
        <v>0</v>
      </c>
      <c r="BJ175" s="70">
        <f t="shared" si="56"/>
        <v>0</v>
      </c>
      <c r="BN175" s="37"/>
      <c r="BO175" s="70">
        <f t="shared" si="33"/>
        <v>0</v>
      </c>
      <c r="BP175" s="37">
        <v>9</v>
      </c>
      <c r="BQ175" s="37">
        <v>0</v>
      </c>
      <c r="BR175" s="37">
        <v>0</v>
      </c>
      <c r="BS175" s="37">
        <v>0</v>
      </c>
      <c r="BT175" s="87">
        <f t="shared" si="34"/>
        <v>30.6</v>
      </c>
      <c r="BU175" s="87"/>
      <c r="BV175" s="87"/>
      <c r="BW175" s="87"/>
      <c r="BX175" s="87"/>
      <c r="BY175" s="87"/>
      <c r="BZ175" s="87"/>
      <c r="CA175" s="87"/>
      <c r="CB175" s="87"/>
      <c r="CC175" s="87"/>
      <c r="CD175" s="87"/>
      <c r="CF175" s="67">
        <f t="shared" si="39"/>
        <v>275.40000000000003</v>
      </c>
      <c r="CG175" s="67">
        <f t="shared" si="40"/>
        <v>0</v>
      </c>
      <c r="CH175" s="67">
        <f t="shared" si="41"/>
        <v>0</v>
      </c>
      <c r="CI175" s="67">
        <f t="shared" si="46"/>
        <v>0</v>
      </c>
      <c r="CJ175" s="37">
        <f t="shared" si="42"/>
        <v>91.8</v>
      </c>
      <c r="CK175" s="37">
        <f t="shared" si="43"/>
        <v>0</v>
      </c>
      <c r="CL175" s="37">
        <f t="shared" si="44"/>
        <v>0</v>
      </c>
      <c r="CM175" s="37">
        <f t="shared" si="45"/>
        <v>0</v>
      </c>
    </row>
    <row r="176" spans="2:91" ht="25.5">
      <c r="B176" s="181" t="s">
        <v>1205</v>
      </c>
      <c r="C176" s="160">
        <v>111</v>
      </c>
      <c r="D176" s="164">
        <v>21</v>
      </c>
      <c r="E176" s="161">
        <v>0.35138888888888892</v>
      </c>
      <c r="F176" s="161">
        <v>0.36805555555555558</v>
      </c>
      <c r="G176" s="174" t="s">
        <v>1041</v>
      </c>
      <c r="H176" s="174" t="s">
        <v>1849</v>
      </c>
      <c r="I176" s="163">
        <v>10.199999999999999</v>
      </c>
      <c r="J176" s="164" t="s">
        <v>93</v>
      </c>
      <c r="K176" s="179">
        <v>33</v>
      </c>
      <c r="L176" s="166">
        <f t="shared" si="32"/>
        <v>336.59999999999997</v>
      </c>
      <c r="M176" s="177" t="s">
        <v>740</v>
      </c>
      <c r="N176" s="154" t="s">
        <v>858</v>
      </c>
      <c r="O176" s="154">
        <v>20</v>
      </c>
      <c r="P176" s="154" t="s">
        <v>1971</v>
      </c>
      <c r="Q176" s="154">
        <v>17</v>
      </c>
      <c r="R176" s="154"/>
      <c r="S176" s="154"/>
      <c r="T176" s="45" t="s">
        <v>1440</v>
      </c>
      <c r="U176" s="45" t="s">
        <v>1441</v>
      </c>
      <c r="V176" s="45">
        <v>1070</v>
      </c>
      <c r="W176" s="45" t="s">
        <v>1337</v>
      </c>
      <c r="X176" s="99">
        <v>45101</v>
      </c>
      <c r="Y176" s="99">
        <v>45138</v>
      </c>
      <c r="Z176" s="99"/>
      <c r="AA176" s="99"/>
      <c r="AB176" s="42" t="s">
        <v>1851</v>
      </c>
      <c r="AC176" s="42" t="s">
        <v>1135</v>
      </c>
      <c r="AD176" s="42"/>
      <c r="AE176" s="42" t="s">
        <v>734</v>
      </c>
      <c r="AF176" s="42" t="s">
        <v>734</v>
      </c>
      <c r="AG176" s="42"/>
      <c r="AH176" s="42" t="s">
        <v>734</v>
      </c>
      <c r="AI176" s="42" t="s">
        <v>734</v>
      </c>
      <c r="AJ176" s="42" t="s">
        <v>734</v>
      </c>
      <c r="AK176" s="42" t="s">
        <v>734</v>
      </c>
      <c r="AL176" s="42" t="s">
        <v>734</v>
      </c>
      <c r="AM176" s="42" t="s">
        <v>734</v>
      </c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68">
        <v>42.75</v>
      </c>
      <c r="AY176" s="37"/>
      <c r="BA176" s="68"/>
      <c r="BB176" s="68"/>
      <c r="BD176" s="67">
        <f t="shared" si="35"/>
        <v>1410.75</v>
      </c>
      <c r="BE176" s="67"/>
      <c r="BF176" s="37"/>
      <c r="BG176" s="73">
        <v>1</v>
      </c>
      <c r="BH176" s="67">
        <f t="shared" si="54"/>
        <v>0</v>
      </c>
      <c r="BI176" s="67">
        <f t="shared" si="55"/>
        <v>0</v>
      </c>
      <c r="BJ176" s="70">
        <f t="shared" si="56"/>
        <v>0</v>
      </c>
      <c r="BN176" s="37"/>
      <c r="BO176" s="70">
        <f t="shared" si="33"/>
        <v>0</v>
      </c>
      <c r="BP176" s="37">
        <v>0</v>
      </c>
      <c r="BQ176" s="37">
        <v>0</v>
      </c>
      <c r="BR176" s="37">
        <v>0</v>
      </c>
      <c r="BS176" s="37">
        <v>0</v>
      </c>
      <c r="BT176" s="87">
        <f t="shared" si="34"/>
        <v>42.75</v>
      </c>
      <c r="BU176" s="87"/>
      <c r="BV176" s="87"/>
      <c r="BW176" s="87"/>
      <c r="BX176" s="87"/>
      <c r="BY176" s="87"/>
      <c r="BZ176" s="87"/>
      <c r="CA176" s="87"/>
      <c r="CB176" s="87"/>
      <c r="CC176" s="87"/>
      <c r="CD176" s="87"/>
      <c r="CF176" s="67">
        <f t="shared" si="39"/>
        <v>0</v>
      </c>
      <c r="CG176" s="67">
        <f t="shared" si="40"/>
        <v>0</v>
      </c>
      <c r="CH176" s="67">
        <f t="shared" si="41"/>
        <v>0</v>
      </c>
      <c r="CI176" s="67">
        <f t="shared" si="46"/>
        <v>0</v>
      </c>
      <c r="CJ176" s="37">
        <f t="shared" si="42"/>
        <v>0</v>
      </c>
      <c r="CK176" s="37">
        <f t="shared" si="43"/>
        <v>0</v>
      </c>
      <c r="CL176" s="37">
        <f t="shared" si="44"/>
        <v>0</v>
      </c>
      <c r="CM176" s="37">
        <f t="shared" si="45"/>
        <v>0</v>
      </c>
    </row>
    <row r="177" spans="2:91" ht="25.5">
      <c r="B177" s="156">
        <v>171</v>
      </c>
      <c r="C177" s="174">
        <v>112</v>
      </c>
      <c r="D177" s="160">
        <v>64</v>
      </c>
      <c r="E177" s="173">
        <v>0.72569444444444453</v>
      </c>
      <c r="F177" s="173">
        <v>0.74652777777777779</v>
      </c>
      <c r="G177" s="160" t="s">
        <v>149</v>
      </c>
      <c r="H177" s="160" t="s">
        <v>479</v>
      </c>
      <c r="I177" s="163">
        <v>13</v>
      </c>
      <c r="J177" s="164" t="s">
        <v>146</v>
      </c>
      <c r="K177" s="165">
        <v>240</v>
      </c>
      <c r="L177" s="166">
        <f t="shared" si="32"/>
        <v>3120</v>
      </c>
      <c r="M177" s="177" t="s">
        <v>739</v>
      </c>
      <c r="N177" s="154" t="s">
        <v>1084</v>
      </c>
      <c r="O177" s="154">
        <v>17</v>
      </c>
      <c r="P177" s="154" t="s">
        <v>1971</v>
      </c>
      <c r="Q177" s="154">
        <v>17</v>
      </c>
      <c r="S177" s="154"/>
      <c r="T177" s="45">
        <v>1070</v>
      </c>
      <c r="U177" s="45" t="s">
        <v>1337</v>
      </c>
      <c r="V177" s="45">
        <v>1070</v>
      </c>
      <c r="W177" s="45" t="s">
        <v>1337</v>
      </c>
      <c r="X177" s="99">
        <v>44816</v>
      </c>
      <c r="Y177" s="99">
        <v>45100</v>
      </c>
      <c r="Z177" s="99"/>
      <c r="AA177" s="99"/>
      <c r="AB177" s="45" t="s">
        <v>1124</v>
      </c>
      <c r="AC177" s="45"/>
      <c r="AD177" s="42" t="s">
        <v>734</v>
      </c>
      <c r="AE177" s="42"/>
      <c r="AF177" s="42" t="s">
        <v>734</v>
      </c>
      <c r="AG177" s="42"/>
      <c r="AH177" s="42" t="s">
        <v>734</v>
      </c>
      <c r="AI177" s="42" t="s">
        <v>734</v>
      </c>
      <c r="AJ177" s="42" t="s">
        <v>734</v>
      </c>
      <c r="AK177" s="42" t="s">
        <v>734</v>
      </c>
      <c r="AL177" s="42" t="s">
        <v>734</v>
      </c>
      <c r="AM177" s="42" t="s">
        <v>734</v>
      </c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68">
        <v>30.97</v>
      </c>
      <c r="AY177" s="37"/>
      <c r="BA177" s="68"/>
      <c r="BB177" s="68"/>
      <c r="BD177" s="67">
        <f t="shared" si="35"/>
        <v>7432.7999999999993</v>
      </c>
      <c r="BE177" s="67"/>
      <c r="BF177" s="37"/>
      <c r="BG177" s="73">
        <v>1</v>
      </c>
      <c r="BH177" s="67">
        <f t="shared" si="54"/>
        <v>0</v>
      </c>
      <c r="BI177" s="67">
        <f t="shared" si="55"/>
        <v>0</v>
      </c>
      <c r="BJ177" s="70">
        <f t="shared" si="56"/>
        <v>0</v>
      </c>
      <c r="BN177" s="37"/>
      <c r="BO177" s="70">
        <f t="shared" si="33"/>
        <v>0</v>
      </c>
      <c r="BP177" s="37">
        <v>17</v>
      </c>
      <c r="BQ177" s="37">
        <v>26</v>
      </c>
      <c r="BR177" s="37">
        <v>25</v>
      </c>
      <c r="BS177" s="37">
        <v>25</v>
      </c>
      <c r="BT177" s="87">
        <f t="shared" si="34"/>
        <v>30.97</v>
      </c>
      <c r="BU177" s="87"/>
      <c r="BV177" s="87"/>
      <c r="BW177" s="87"/>
      <c r="BX177" s="87"/>
      <c r="BY177" s="87"/>
      <c r="BZ177" s="87"/>
      <c r="CA177" s="87"/>
      <c r="CB177" s="87"/>
      <c r="CC177" s="87"/>
      <c r="CD177" s="87"/>
      <c r="CF177" s="67">
        <f t="shared" si="39"/>
        <v>526.49</v>
      </c>
      <c r="CG177" s="67">
        <f t="shared" si="40"/>
        <v>805.22</v>
      </c>
      <c r="CH177" s="67">
        <f t="shared" si="41"/>
        <v>774.25</v>
      </c>
      <c r="CI177" s="67">
        <f t="shared" si="46"/>
        <v>774.25</v>
      </c>
      <c r="CJ177" s="37">
        <f t="shared" si="42"/>
        <v>221</v>
      </c>
      <c r="CK177" s="37">
        <f t="shared" si="43"/>
        <v>338</v>
      </c>
      <c r="CL177" s="37">
        <f t="shared" si="44"/>
        <v>325</v>
      </c>
      <c r="CM177" s="37">
        <f t="shared" si="45"/>
        <v>325</v>
      </c>
    </row>
    <row r="178" spans="2:91" ht="45">
      <c r="B178" s="156">
        <v>172</v>
      </c>
      <c r="C178" s="174">
        <v>110</v>
      </c>
      <c r="D178" s="164">
        <v>440</v>
      </c>
      <c r="E178" s="161">
        <v>0.27361111111111108</v>
      </c>
      <c r="F178" s="161">
        <v>0.27847222222222223</v>
      </c>
      <c r="G178" s="160" t="s">
        <v>489</v>
      </c>
      <c r="H178" s="160" t="s">
        <v>97</v>
      </c>
      <c r="I178" s="163">
        <v>4</v>
      </c>
      <c r="J178" s="164" t="s">
        <v>167</v>
      </c>
      <c r="K178" s="165">
        <v>208</v>
      </c>
      <c r="L178" s="166">
        <f t="shared" si="32"/>
        <v>832</v>
      </c>
      <c r="M178" s="177" t="s">
        <v>727</v>
      </c>
      <c r="N178" s="154" t="s">
        <v>1085</v>
      </c>
      <c r="O178" s="154">
        <v>9</v>
      </c>
      <c r="P178" s="154" t="s">
        <v>840</v>
      </c>
      <c r="Q178" s="154">
        <v>9</v>
      </c>
      <c r="R178" s="154" t="s">
        <v>1256</v>
      </c>
      <c r="S178" s="151">
        <v>9</v>
      </c>
      <c r="T178" s="45">
        <v>1190</v>
      </c>
      <c r="U178" s="45" t="s">
        <v>1404</v>
      </c>
      <c r="V178" s="45">
        <v>1182</v>
      </c>
      <c r="W178" s="45" t="s">
        <v>1442</v>
      </c>
      <c r="X178" s="98">
        <v>44816</v>
      </c>
      <c r="Y178" s="98">
        <v>45086</v>
      </c>
      <c r="Z178" s="98"/>
      <c r="AA178" s="98"/>
      <c r="AB178" s="41" t="s">
        <v>1118</v>
      </c>
      <c r="AC178" s="41"/>
      <c r="AD178" s="42"/>
      <c r="AE178" s="42"/>
      <c r="AF178" s="42"/>
      <c r="AG178" s="42" t="s">
        <v>734</v>
      </c>
      <c r="AH178" s="42" t="s">
        <v>734</v>
      </c>
      <c r="AI178" s="42" t="s">
        <v>734</v>
      </c>
      <c r="AJ178" s="42" t="s">
        <v>734</v>
      </c>
      <c r="AK178" s="42" t="s">
        <v>734</v>
      </c>
      <c r="AL178" s="42" t="s">
        <v>734</v>
      </c>
      <c r="AM178" s="42" t="s">
        <v>734</v>
      </c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68">
        <v>12</v>
      </c>
      <c r="AY178" s="37"/>
      <c r="BA178" s="68"/>
      <c r="BB178" s="68"/>
      <c r="BD178" s="67">
        <f t="shared" si="35"/>
        <v>2496</v>
      </c>
      <c r="BE178" s="67"/>
      <c r="BF178" s="37"/>
      <c r="BG178" s="73">
        <v>1</v>
      </c>
      <c r="BH178" s="67">
        <f t="shared" si="54"/>
        <v>0</v>
      </c>
      <c r="BI178" s="67">
        <f t="shared" si="55"/>
        <v>0</v>
      </c>
      <c r="BJ178" s="70">
        <f t="shared" si="56"/>
        <v>0</v>
      </c>
      <c r="BN178" s="67">
        <f>IF((AX178+AY178+AZ178)&lt;20,(20-(AX178+AY178+AZ178)),0)</f>
        <v>8</v>
      </c>
      <c r="BO178" s="70">
        <f t="shared" si="33"/>
        <v>1664</v>
      </c>
      <c r="BP178" s="37">
        <v>17</v>
      </c>
      <c r="BQ178" s="37">
        <v>25</v>
      </c>
      <c r="BR178" s="37">
        <v>25</v>
      </c>
      <c r="BS178" s="37">
        <v>18</v>
      </c>
      <c r="BT178" s="87">
        <f t="shared" si="34"/>
        <v>20</v>
      </c>
      <c r="BU178" s="87"/>
      <c r="BV178" s="87"/>
      <c r="BW178" s="87"/>
      <c r="BX178" s="87"/>
      <c r="BY178" s="87"/>
      <c r="BZ178" s="87"/>
      <c r="CA178" s="87"/>
      <c r="CB178" s="87"/>
      <c r="CC178" s="87"/>
      <c r="CD178" s="87"/>
      <c r="CF178" s="67">
        <f t="shared" si="39"/>
        <v>340</v>
      </c>
      <c r="CG178" s="67">
        <f t="shared" si="40"/>
        <v>500</v>
      </c>
      <c r="CH178" s="67">
        <f t="shared" si="41"/>
        <v>500</v>
      </c>
      <c r="CI178" s="67">
        <f t="shared" si="46"/>
        <v>360</v>
      </c>
      <c r="CJ178" s="37">
        <f t="shared" si="42"/>
        <v>68</v>
      </c>
      <c r="CK178" s="37">
        <f t="shared" si="43"/>
        <v>100</v>
      </c>
      <c r="CL178" s="37">
        <f t="shared" si="44"/>
        <v>100</v>
      </c>
      <c r="CM178" s="37">
        <f t="shared" si="45"/>
        <v>72</v>
      </c>
    </row>
    <row r="179" spans="2:91" ht="45">
      <c r="B179" s="156">
        <v>173</v>
      </c>
      <c r="C179" s="174">
        <v>110</v>
      </c>
      <c r="D179" s="190">
        <v>449</v>
      </c>
      <c r="E179" s="161">
        <v>0.27916666666666667</v>
      </c>
      <c r="F179" s="161">
        <v>0.2902777777777778</v>
      </c>
      <c r="G179" s="160" t="s">
        <v>490</v>
      </c>
      <c r="H179" s="160" t="s">
        <v>97</v>
      </c>
      <c r="I179" s="163">
        <v>9</v>
      </c>
      <c r="J179" s="164" t="s">
        <v>167</v>
      </c>
      <c r="K179" s="165">
        <v>208</v>
      </c>
      <c r="L179" s="166">
        <f t="shared" si="32"/>
        <v>1872</v>
      </c>
      <c r="M179" s="177" t="s">
        <v>727</v>
      </c>
      <c r="N179" s="154" t="s">
        <v>1085</v>
      </c>
      <c r="O179" s="154">
        <v>9</v>
      </c>
      <c r="P179" s="154" t="s">
        <v>840</v>
      </c>
      <c r="Q179" s="154">
        <v>9</v>
      </c>
      <c r="R179" s="154" t="s">
        <v>1256</v>
      </c>
      <c r="S179" s="151">
        <v>9</v>
      </c>
      <c r="T179" s="45">
        <v>1182</v>
      </c>
      <c r="U179" s="45" t="s">
        <v>1442</v>
      </c>
      <c r="V179" s="45" t="s">
        <v>1443</v>
      </c>
      <c r="W179" s="45" t="s">
        <v>1337</v>
      </c>
      <c r="X179" s="98">
        <v>44816</v>
      </c>
      <c r="Y179" s="98">
        <v>45086</v>
      </c>
      <c r="Z179" s="98"/>
      <c r="AA179" s="98"/>
      <c r="AB179" s="41" t="s">
        <v>1118</v>
      </c>
      <c r="AC179" s="41"/>
      <c r="AD179" s="42"/>
      <c r="AE179" s="42"/>
      <c r="AF179" s="42"/>
      <c r="AG179" s="42" t="s">
        <v>734</v>
      </c>
      <c r="AH179" s="42" t="s">
        <v>734</v>
      </c>
      <c r="AI179" s="42" t="s">
        <v>734</v>
      </c>
      <c r="AJ179" s="42" t="s">
        <v>734</v>
      </c>
      <c r="AK179" s="42" t="s">
        <v>734</v>
      </c>
      <c r="AL179" s="42" t="s">
        <v>734</v>
      </c>
      <c r="AM179" s="42" t="s">
        <v>734</v>
      </c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68">
        <v>27</v>
      </c>
      <c r="AY179" s="37"/>
      <c r="BA179" s="68"/>
      <c r="BB179" s="68"/>
      <c r="BD179" s="67">
        <f t="shared" si="35"/>
        <v>5616</v>
      </c>
      <c r="BE179" s="67"/>
      <c r="BF179" s="37"/>
      <c r="BG179" s="73">
        <v>1</v>
      </c>
      <c r="BH179" s="67">
        <f t="shared" si="54"/>
        <v>0</v>
      </c>
      <c r="BI179" s="67">
        <f t="shared" si="55"/>
        <v>0</v>
      </c>
      <c r="BJ179" s="70">
        <f t="shared" si="56"/>
        <v>0</v>
      </c>
      <c r="BN179" s="67">
        <f>IF((AX179+AY179+AZ179)&lt;20,(20-(AX179+AY179+AZ179)),0)</f>
        <v>0</v>
      </c>
      <c r="BO179" s="70">
        <f t="shared" si="33"/>
        <v>0</v>
      </c>
      <c r="BP179" s="37">
        <v>17</v>
      </c>
      <c r="BQ179" s="37">
        <v>25</v>
      </c>
      <c r="BR179" s="37">
        <v>25</v>
      </c>
      <c r="BS179" s="37">
        <v>18</v>
      </c>
      <c r="BT179" s="87">
        <f t="shared" si="34"/>
        <v>27</v>
      </c>
      <c r="BU179" s="87"/>
      <c r="BV179" s="87"/>
      <c r="BW179" s="87"/>
      <c r="BX179" s="87"/>
      <c r="BY179" s="87"/>
      <c r="BZ179" s="87"/>
      <c r="CA179" s="87"/>
      <c r="CB179" s="87"/>
      <c r="CC179" s="87"/>
      <c r="CD179" s="87"/>
      <c r="CF179" s="67">
        <f t="shared" si="39"/>
        <v>459</v>
      </c>
      <c r="CG179" s="67">
        <f t="shared" si="40"/>
        <v>675</v>
      </c>
      <c r="CH179" s="67">
        <f t="shared" si="41"/>
        <v>675</v>
      </c>
      <c r="CI179" s="67">
        <f t="shared" si="46"/>
        <v>486</v>
      </c>
      <c r="CJ179" s="37">
        <f t="shared" si="42"/>
        <v>153</v>
      </c>
      <c r="CK179" s="37">
        <f t="shared" si="43"/>
        <v>225</v>
      </c>
      <c r="CL179" s="37">
        <f t="shared" si="44"/>
        <v>225</v>
      </c>
      <c r="CM179" s="37">
        <f t="shared" si="45"/>
        <v>162</v>
      </c>
    </row>
    <row r="180" spans="2:91" ht="25.5">
      <c r="B180" s="156">
        <v>174</v>
      </c>
      <c r="C180" s="174">
        <v>110</v>
      </c>
      <c r="D180" s="160">
        <v>445</v>
      </c>
      <c r="E180" s="161">
        <v>0.30555555555555552</v>
      </c>
      <c r="F180" s="173">
        <v>0.31041666666666667</v>
      </c>
      <c r="G180" s="160" t="s">
        <v>151</v>
      </c>
      <c r="H180" s="160" t="s">
        <v>97</v>
      </c>
      <c r="I180" s="163">
        <v>4</v>
      </c>
      <c r="J180" s="164" t="s">
        <v>146</v>
      </c>
      <c r="K180" s="165">
        <v>208</v>
      </c>
      <c r="L180" s="166">
        <f t="shared" si="32"/>
        <v>832</v>
      </c>
      <c r="M180" s="177" t="s">
        <v>739</v>
      </c>
      <c r="N180" s="154" t="s">
        <v>1084</v>
      </c>
      <c r="O180" s="154">
        <v>17</v>
      </c>
      <c r="P180" s="154" t="s">
        <v>1971</v>
      </c>
      <c r="Q180" s="154">
        <v>17</v>
      </c>
      <c r="S180" s="154"/>
      <c r="T180" s="45">
        <v>1182</v>
      </c>
      <c r="U180" s="45" t="s">
        <v>1442</v>
      </c>
      <c r="V180" s="45">
        <v>1190</v>
      </c>
      <c r="W180" s="45" t="s">
        <v>1404</v>
      </c>
      <c r="X180" s="98">
        <v>44816</v>
      </c>
      <c r="Y180" s="98">
        <v>45086</v>
      </c>
      <c r="Z180" s="98"/>
      <c r="AA180" s="98"/>
      <c r="AB180" s="41" t="s">
        <v>1118</v>
      </c>
      <c r="AC180" s="41"/>
      <c r="AD180" s="42"/>
      <c r="AE180" s="42"/>
      <c r="AF180" s="42"/>
      <c r="AG180" s="42" t="s">
        <v>734</v>
      </c>
      <c r="AH180" s="42" t="s">
        <v>734</v>
      </c>
      <c r="AI180" s="42" t="s">
        <v>734</v>
      </c>
      <c r="AJ180" s="42" t="s">
        <v>734</v>
      </c>
      <c r="AK180" s="42" t="s">
        <v>734</v>
      </c>
      <c r="AL180" s="42" t="s">
        <v>734</v>
      </c>
      <c r="AM180" s="42" t="s">
        <v>734</v>
      </c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68">
        <v>24.02</v>
      </c>
      <c r="AY180" s="37"/>
      <c r="BA180" s="68"/>
      <c r="BB180" s="68"/>
      <c r="BD180" s="67">
        <f t="shared" si="35"/>
        <v>4996.16</v>
      </c>
      <c r="BE180" s="67"/>
      <c r="BF180" s="37"/>
      <c r="BG180" s="73">
        <v>1</v>
      </c>
      <c r="BH180" s="67">
        <f t="shared" si="54"/>
        <v>0</v>
      </c>
      <c r="BI180" s="67">
        <f t="shared" si="55"/>
        <v>0</v>
      </c>
      <c r="BJ180" s="70">
        <f t="shared" si="56"/>
        <v>0</v>
      </c>
      <c r="BN180" s="37"/>
      <c r="BO180" s="70">
        <f t="shared" si="33"/>
        <v>0</v>
      </c>
      <c r="BP180" s="37">
        <v>17</v>
      </c>
      <c r="BQ180" s="37">
        <v>25</v>
      </c>
      <c r="BR180" s="37">
        <v>25</v>
      </c>
      <c r="BS180" s="37">
        <v>18</v>
      </c>
      <c r="BT180" s="87">
        <f t="shared" si="34"/>
        <v>24.02</v>
      </c>
      <c r="BU180" s="87"/>
      <c r="BV180" s="87"/>
      <c r="BW180" s="87"/>
      <c r="BX180" s="87"/>
      <c r="BY180" s="87"/>
      <c r="BZ180" s="87"/>
      <c r="CA180" s="87"/>
      <c r="CB180" s="87"/>
      <c r="CC180" s="87"/>
      <c r="CD180" s="87"/>
      <c r="CF180" s="67">
        <f t="shared" si="39"/>
        <v>408.34</v>
      </c>
      <c r="CG180" s="67">
        <f t="shared" si="40"/>
        <v>600.5</v>
      </c>
      <c r="CH180" s="67">
        <f t="shared" si="41"/>
        <v>600.5</v>
      </c>
      <c r="CI180" s="67">
        <f t="shared" si="46"/>
        <v>432.36</v>
      </c>
      <c r="CJ180" s="37">
        <f t="shared" si="42"/>
        <v>68</v>
      </c>
      <c r="CK180" s="37">
        <f t="shared" si="43"/>
        <v>100</v>
      </c>
      <c r="CL180" s="37">
        <f t="shared" si="44"/>
        <v>100</v>
      </c>
      <c r="CM180" s="37">
        <f t="shared" si="45"/>
        <v>72</v>
      </c>
    </row>
    <row r="181" spans="2:91" ht="25.5">
      <c r="B181" s="156">
        <v>175</v>
      </c>
      <c r="C181" s="174">
        <v>110</v>
      </c>
      <c r="D181" s="160">
        <v>448</v>
      </c>
      <c r="E181" s="161">
        <v>0.58680555555555558</v>
      </c>
      <c r="F181" s="161">
        <v>0.59166666666666667</v>
      </c>
      <c r="G181" s="160" t="s">
        <v>150</v>
      </c>
      <c r="H181" s="160" t="s">
        <v>103</v>
      </c>
      <c r="I181" s="163">
        <v>4</v>
      </c>
      <c r="J181" s="164" t="s">
        <v>146</v>
      </c>
      <c r="K181" s="165">
        <v>174</v>
      </c>
      <c r="L181" s="166">
        <f t="shared" si="32"/>
        <v>696</v>
      </c>
      <c r="M181" s="177" t="s">
        <v>739</v>
      </c>
      <c r="N181" s="154" t="s">
        <v>1084</v>
      </c>
      <c r="O181" s="154">
        <v>17</v>
      </c>
      <c r="P181" s="154" t="s">
        <v>1971</v>
      </c>
      <c r="Q181" s="154">
        <v>17</v>
      </c>
      <c r="R181" s="154" t="s">
        <v>1260</v>
      </c>
      <c r="S181" s="154"/>
      <c r="T181" s="45">
        <v>1190</v>
      </c>
      <c r="U181" s="45" t="s">
        <v>1404</v>
      </c>
      <c r="V181" s="45">
        <v>1182</v>
      </c>
      <c r="W181" s="45" t="s">
        <v>1442</v>
      </c>
      <c r="X181" s="98">
        <v>44816</v>
      </c>
      <c r="Y181" s="98">
        <v>45086</v>
      </c>
      <c r="Z181" s="98"/>
      <c r="AA181" s="98"/>
      <c r="AB181" s="41" t="s">
        <v>1114</v>
      </c>
      <c r="AC181" s="41"/>
      <c r="AD181" s="42"/>
      <c r="AE181" s="42"/>
      <c r="AF181" s="42"/>
      <c r="AG181" s="42" t="s">
        <v>734</v>
      </c>
      <c r="AH181" s="42" t="s">
        <v>734</v>
      </c>
      <c r="AI181" s="42" t="s">
        <v>734</v>
      </c>
      <c r="AJ181" s="42" t="s">
        <v>734</v>
      </c>
      <c r="AK181" s="42" t="s">
        <v>734</v>
      </c>
      <c r="AL181" s="42" t="s">
        <v>734</v>
      </c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68">
        <v>24.02</v>
      </c>
      <c r="AY181" s="37"/>
      <c r="BA181" s="68"/>
      <c r="BB181" s="68"/>
      <c r="BD181" s="67">
        <f t="shared" si="35"/>
        <v>4179.4799999999996</v>
      </c>
      <c r="BE181" s="67"/>
      <c r="BF181" s="37"/>
      <c r="BG181" s="73">
        <v>1</v>
      </c>
      <c r="BH181" s="67">
        <f t="shared" si="54"/>
        <v>0</v>
      </c>
      <c r="BI181" s="67">
        <f t="shared" si="55"/>
        <v>0</v>
      </c>
      <c r="BJ181" s="70">
        <f t="shared" si="56"/>
        <v>0</v>
      </c>
      <c r="BN181" s="37"/>
      <c r="BO181" s="70">
        <f t="shared" si="33"/>
        <v>0</v>
      </c>
      <c r="BP181" s="37">
        <v>15</v>
      </c>
      <c r="BQ181" s="37">
        <v>20</v>
      </c>
      <c r="BR181" s="37">
        <v>21</v>
      </c>
      <c r="BS181" s="37">
        <v>15</v>
      </c>
      <c r="BT181" s="87">
        <f t="shared" si="34"/>
        <v>24.02</v>
      </c>
      <c r="BU181" s="87"/>
      <c r="BV181" s="87"/>
      <c r="BW181" s="87"/>
      <c r="BX181" s="87"/>
      <c r="BY181" s="87"/>
      <c r="BZ181" s="87"/>
      <c r="CA181" s="87"/>
      <c r="CB181" s="87"/>
      <c r="CC181" s="87"/>
      <c r="CD181" s="87"/>
      <c r="CF181" s="67">
        <f t="shared" si="39"/>
        <v>360.3</v>
      </c>
      <c r="CG181" s="67">
        <f t="shared" si="40"/>
        <v>480.4</v>
      </c>
      <c r="CH181" s="67">
        <f t="shared" si="41"/>
        <v>504.42</v>
      </c>
      <c r="CI181" s="67">
        <f t="shared" si="46"/>
        <v>360.3</v>
      </c>
      <c r="CJ181" s="37">
        <f t="shared" si="42"/>
        <v>60</v>
      </c>
      <c r="CK181" s="37">
        <f t="shared" si="43"/>
        <v>80</v>
      </c>
      <c r="CL181" s="37">
        <f t="shared" si="44"/>
        <v>84</v>
      </c>
      <c r="CM181" s="37">
        <f t="shared" si="45"/>
        <v>60</v>
      </c>
    </row>
    <row r="182" spans="2:91" ht="25.5">
      <c r="B182" s="156">
        <v>176</v>
      </c>
      <c r="C182" s="174">
        <v>110</v>
      </c>
      <c r="D182" s="160">
        <v>448</v>
      </c>
      <c r="E182" s="161">
        <v>0.71527777777777779</v>
      </c>
      <c r="F182" s="161">
        <v>0.72013888888888899</v>
      </c>
      <c r="G182" s="160" t="s">
        <v>150</v>
      </c>
      <c r="H182" s="160" t="s">
        <v>669</v>
      </c>
      <c r="I182" s="163">
        <v>4</v>
      </c>
      <c r="J182" s="164" t="s">
        <v>146</v>
      </c>
      <c r="K182" s="165">
        <v>33</v>
      </c>
      <c r="L182" s="166">
        <f t="shared" si="32"/>
        <v>132</v>
      </c>
      <c r="M182" s="177" t="s">
        <v>739</v>
      </c>
      <c r="N182" s="154" t="s">
        <v>1084</v>
      </c>
      <c r="O182" s="154">
        <v>17</v>
      </c>
      <c r="P182" s="154" t="s">
        <v>1971</v>
      </c>
      <c r="Q182" s="154">
        <v>17</v>
      </c>
      <c r="R182" s="154" t="s">
        <v>92</v>
      </c>
      <c r="S182" s="154"/>
      <c r="T182" s="45">
        <v>1190</v>
      </c>
      <c r="U182" s="45" t="s">
        <v>1404</v>
      </c>
      <c r="V182" s="45">
        <v>1182</v>
      </c>
      <c r="W182" s="45" t="s">
        <v>1442</v>
      </c>
      <c r="X182" s="98">
        <v>44816</v>
      </c>
      <c r="Y182" s="98">
        <v>45086</v>
      </c>
      <c r="Z182" s="98"/>
      <c r="AA182" s="98"/>
      <c r="AB182" s="43" t="s">
        <v>1132</v>
      </c>
      <c r="AC182" s="43"/>
      <c r="AD182" s="42"/>
      <c r="AE182" s="42"/>
      <c r="AF182" s="42"/>
      <c r="AG182" s="42" t="s">
        <v>734</v>
      </c>
      <c r="AH182" s="42" t="s">
        <v>734</v>
      </c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68">
        <v>24.02</v>
      </c>
      <c r="AY182" s="37"/>
      <c r="BA182" s="68"/>
      <c r="BB182" s="68"/>
      <c r="BD182" s="67">
        <f t="shared" si="35"/>
        <v>792.66</v>
      </c>
      <c r="BE182" s="67"/>
      <c r="BF182" s="37"/>
      <c r="BG182" s="73">
        <v>1</v>
      </c>
      <c r="BH182" s="67">
        <f t="shared" si="54"/>
        <v>0</v>
      </c>
      <c r="BI182" s="67">
        <f t="shared" si="55"/>
        <v>0</v>
      </c>
      <c r="BJ182" s="70">
        <f t="shared" si="56"/>
        <v>0</v>
      </c>
      <c r="BN182" s="37"/>
      <c r="BO182" s="70">
        <f t="shared" si="33"/>
        <v>0</v>
      </c>
      <c r="BP182" s="37">
        <v>3</v>
      </c>
      <c r="BQ182" s="37">
        <v>4</v>
      </c>
      <c r="BR182" s="37">
        <v>4</v>
      </c>
      <c r="BS182" s="37">
        <v>3</v>
      </c>
      <c r="BT182" s="87">
        <f t="shared" si="34"/>
        <v>24.02</v>
      </c>
      <c r="BU182" s="87"/>
      <c r="BV182" s="87"/>
      <c r="BW182" s="87"/>
      <c r="BX182" s="87"/>
      <c r="BY182" s="87"/>
      <c r="BZ182" s="87"/>
      <c r="CA182" s="87"/>
      <c r="CB182" s="87"/>
      <c r="CC182" s="87"/>
      <c r="CD182" s="87"/>
      <c r="CF182" s="67">
        <f t="shared" si="39"/>
        <v>72.06</v>
      </c>
      <c r="CG182" s="67">
        <f t="shared" si="40"/>
        <v>96.08</v>
      </c>
      <c r="CH182" s="67">
        <f t="shared" si="41"/>
        <v>96.08</v>
      </c>
      <c r="CI182" s="67">
        <f t="shared" si="46"/>
        <v>72.06</v>
      </c>
      <c r="CJ182" s="37">
        <f t="shared" si="42"/>
        <v>12</v>
      </c>
      <c r="CK182" s="37">
        <f t="shared" si="43"/>
        <v>16</v>
      </c>
      <c r="CL182" s="37">
        <f t="shared" si="44"/>
        <v>16</v>
      </c>
      <c r="CM182" s="37">
        <f t="shared" si="45"/>
        <v>12</v>
      </c>
    </row>
    <row r="183" spans="2:91" ht="38.25">
      <c r="B183" s="156">
        <v>177</v>
      </c>
      <c r="C183" s="160">
        <v>113</v>
      </c>
      <c r="D183" s="160">
        <v>64</v>
      </c>
      <c r="E183" s="173">
        <v>0.74652777777777779</v>
      </c>
      <c r="F183" s="173">
        <v>0.77361111111111114</v>
      </c>
      <c r="G183" s="160" t="s">
        <v>637</v>
      </c>
      <c r="H183" s="160" t="s">
        <v>479</v>
      </c>
      <c r="I183" s="163">
        <v>16</v>
      </c>
      <c r="J183" s="164" t="s">
        <v>146</v>
      </c>
      <c r="K183" s="165">
        <v>240</v>
      </c>
      <c r="L183" s="166">
        <f t="shared" si="32"/>
        <v>3840</v>
      </c>
      <c r="M183" s="177" t="s">
        <v>739</v>
      </c>
      <c r="N183" s="154" t="s">
        <v>1084</v>
      </c>
      <c r="O183" s="154">
        <v>17</v>
      </c>
      <c r="P183" s="154" t="s">
        <v>1971</v>
      </c>
      <c r="Q183" s="154">
        <v>17</v>
      </c>
      <c r="S183" s="154"/>
      <c r="T183" s="45">
        <v>1070</v>
      </c>
      <c r="U183" s="45" t="s">
        <v>1337</v>
      </c>
      <c r="V183" s="45">
        <v>1070</v>
      </c>
      <c r="W183" s="45" t="s">
        <v>1337</v>
      </c>
      <c r="X183" s="99">
        <v>44816</v>
      </c>
      <c r="Y183" s="99">
        <v>45100</v>
      </c>
      <c r="Z183" s="99"/>
      <c r="AA183" s="99"/>
      <c r="AB183" s="45" t="s">
        <v>1124</v>
      </c>
      <c r="AC183" s="45"/>
      <c r="AD183" s="42" t="s">
        <v>734</v>
      </c>
      <c r="AE183" s="42"/>
      <c r="AF183" s="42" t="s">
        <v>734</v>
      </c>
      <c r="AG183" s="42"/>
      <c r="AH183" s="42" t="s">
        <v>734</v>
      </c>
      <c r="AI183" s="42" t="s">
        <v>734</v>
      </c>
      <c r="AJ183" s="42" t="s">
        <v>734</v>
      </c>
      <c r="AK183" s="42" t="s">
        <v>734</v>
      </c>
      <c r="AL183" s="42" t="s">
        <v>734</v>
      </c>
      <c r="AM183" s="42" t="s">
        <v>734</v>
      </c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68">
        <f>30.97+9+30.97</f>
        <v>70.94</v>
      </c>
      <c r="AY183" s="37"/>
      <c r="BA183" s="68"/>
      <c r="BB183" s="68"/>
      <c r="BD183" s="67">
        <f t="shared" si="35"/>
        <v>17025.599999999999</v>
      </c>
      <c r="BE183" s="67"/>
      <c r="BF183" s="37"/>
      <c r="BG183" s="73">
        <v>1</v>
      </c>
      <c r="BH183" s="67">
        <f t="shared" si="54"/>
        <v>0</v>
      </c>
      <c r="BI183" s="67">
        <f t="shared" si="55"/>
        <v>0</v>
      </c>
      <c r="BJ183" s="70">
        <f t="shared" si="56"/>
        <v>0</v>
      </c>
      <c r="BN183" s="37"/>
      <c r="BO183" s="70">
        <f t="shared" si="33"/>
        <v>0</v>
      </c>
      <c r="BP183" s="37">
        <v>17</v>
      </c>
      <c r="BQ183" s="37">
        <v>26</v>
      </c>
      <c r="BR183" s="37">
        <v>25</v>
      </c>
      <c r="BS183" s="37">
        <v>25</v>
      </c>
      <c r="BT183" s="87">
        <f t="shared" si="34"/>
        <v>70.94</v>
      </c>
      <c r="BU183" s="87"/>
      <c r="BV183" s="87"/>
      <c r="BW183" s="87"/>
      <c r="BX183" s="87"/>
      <c r="BY183" s="87"/>
      <c r="BZ183" s="87"/>
      <c r="CA183" s="87"/>
      <c r="CB183" s="87"/>
      <c r="CC183" s="87"/>
      <c r="CD183" s="87"/>
      <c r="CF183" s="67">
        <f t="shared" si="39"/>
        <v>1205.98</v>
      </c>
      <c r="CG183" s="67">
        <f t="shared" si="40"/>
        <v>1844.44</v>
      </c>
      <c r="CH183" s="67">
        <f t="shared" si="41"/>
        <v>1773.5</v>
      </c>
      <c r="CI183" s="67">
        <f t="shared" si="46"/>
        <v>1773.5</v>
      </c>
      <c r="CJ183" s="37">
        <f t="shared" si="42"/>
        <v>272</v>
      </c>
      <c r="CK183" s="37">
        <f t="shared" si="43"/>
        <v>416</v>
      </c>
      <c r="CL183" s="37">
        <f t="shared" si="44"/>
        <v>400</v>
      </c>
      <c r="CM183" s="37">
        <f t="shared" si="45"/>
        <v>400</v>
      </c>
    </row>
    <row r="184" spans="2:91" ht="25.5">
      <c r="B184" s="156">
        <v>178</v>
      </c>
      <c r="C184" s="160">
        <v>114</v>
      </c>
      <c r="D184" s="162">
        <v>8</v>
      </c>
      <c r="E184" s="161">
        <v>0.25694444444444448</v>
      </c>
      <c r="F184" s="161">
        <v>0.27777777777777779</v>
      </c>
      <c r="G184" s="160" t="s">
        <v>323</v>
      </c>
      <c r="H184" s="160" t="s">
        <v>479</v>
      </c>
      <c r="I184" s="163">
        <v>8</v>
      </c>
      <c r="J184" s="164" t="s">
        <v>146</v>
      </c>
      <c r="K184" s="165">
        <v>240</v>
      </c>
      <c r="L184" s="166">
        <f t="shared" si="32"/>
        <v>1920</v>
      </c>
      <c r="M184" s="177" t="s">
        <v>723</v>
      </c>
      <c r="N184" s="150" t="s">
        <v>868</v>
      </c>
      <c r="O184" s="150">
        <v>21</v>
      </c>
      <c r="P184" s="154" t="s">
        <v>867</v>
      </c>
      <c r="Q184" s="154">
        <v>17</v>
      </c>
      <c r="S184" s="150"/>
      <c r="T184" s="45">
        <v>1127</v>
      </c>
      <c r="U184" s="45" t="s">
        <v>1426</v>
      </c>
      <c r="V184" s="45">
        <v>1135</v>
      </c>
      <c r="W184" s="45" t="s">
        <v>1444</v>
      </c>
      <c r="X184" s="99">
        <v>44816</v>
      </c>
      <c r="Y184" s="99">
        <v>45100</v>
      </c>
      <c r="Z184" s="99"/>
      <c r="AA184" s="99"/>
      <c r="AB184" s="45" t="s">
        <v>1124</v>
      </c>
      <c r="AC184" s="45"/>
      <c r="AD184" s="42" t="s">
        <v>734</v>
      </c>
      <c r="AE184" s="42"/>
      <c r="AF184" s="42" t="s">
        <v>734</v>
      </c>
      <c r="AG184" s="42"/>
      <c r="AH184" s="42" t="s">
        <v>734</v>
      </c>
      <c r="AI184" s="42" t="s">
        <v>734</v>
      </c>
      <c r="AJ184" s="42" t="s">
        <v>734</v>
      </c>
      <c r="AK184" s="42" t="s">
        <v>734</v>
      </c>
      <c r="AL184" s="42" t="s">
        <v>734</v>
      </c>
      <c r="AM184" s="42" t="s">
        <v>734</v>
      </c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68">
        <v>15.2</v>
      </c>
      <c r="AY184" s="37"/>
      <c r="BA184" s="68"/>
      <c r="BB184" s="68"/>
      <c r="BD184" s="67">
        <f t="shared" si="35"/>
        <v>3648</v>
      </c>
      <c r="BE184" s="67"/>
      <c r="BF184" s="37"/>
      <c r="BG184" s="73">
        <v>1</v>
      </c>
      <c r="BH184" s="67">
        <f t="shared" si="54"/>
        <v>0.80000000000000071</v>
      </c>
      <c r="BI184" s="67">
        <f t="shared" si="55"/>
        <v>0</v>
      </c>
      <c r="BJ184" s="67">
        <f t="shared" si="56"/>
        <v>192.00000000000017</v>
      </c>
      <c r="BN184" s="67">
        <f>IF((AX184+AY184+AZ184+BH184)&lt;20,(20-(AX184+AY184+AZ184)),0)</f>
        <v>4.8000000000000007</v>
      </c>
      <c r="BO184" s="70">
        <f t="shared" si="33"/>
        <v>1152.0000000000002</v>
      </c>
      <c r="BP184" s="37">
        <v>17</v>
      </c>
      <c r="BQ184" s="37">
        <v>26</v>
      </c>
      <c r="BR184" s="37">
        <v>25</v>
      </c>
      <c r="BS184" s="37">
        <v>25</v>
      </c>
      <c r="BT184" s="87">
        <f t="shared" si="34"/>
        <v>20.8</v>
      </c>
      <c r="BU184" s="87"/>
      <c r="BV184" s="87"/>
      <c r="BW184" s="87"/>
      <c r="BX184" s="87"/>
      <c r="BY184" s="87"/>
      <c r="BZ184" s="87"/>
      <c r="CA184" s="87"/>
      <c r="CB184" s="87"/>
      <c r="CC184" s="87"/>
      <c r="CD184" s="87"/>
      <c r="CF184" s="67">
        <f t="shared" si="39"/>
        <v>353.6</v>
      </c>
      <c r="CG184" s="67">
        <f t="shared" si="40"/>
        <v>540.80000000000007</v>
      </c>
      <c r="CH184" s="67">
        <f t="shared" si="41"/>
        <v>520</v>
      </c>
      <c r="CI184" s="67">
        <f t="shared" si="46"/>
        <v>520</v>
      </c>
      <c r="CJ184" s="37">
        <f t="shared" si="42"/>
        <v>136</v>
      </c>
      <c r="CK184" s="37">
        <f t="shared" si="43"/>
        <v>208</v>
      </c>
      <c r="CL184" s="37">
        <f t="shared" si="44"/>
        <v>200</v>
      </c>
      <c r="CM184" s="37">
        <f t="shared" si="45"/>
        <v>200</v>
      </c>
    </row>
    <row r="185" spans="2:91" ht="22.5">
      <c r="B185" s="156">
        <v>179</v>
      </c>
      <c r="C185" s="160">
        <v>114</v>
      </c>
      <c r="D185" s="162">
        <v>8</v>
      </c>
      <c r="E185" s="161">
        <v>0.26041666666666669</v>
      </c>
      <c r="F185" s="161">
        <v>0.28125</v>
      </c>
      <c r="G185" s="160" t="s">
        <v>323</v>
      </c>
      <c r="H185" s="160" t="s">
        <v>1</v>
      </c>
      <c r="I185" s="163">
        <v>8</v>
      </c>
      <c r="J185" s="164" t="s">
        <v>146</v>
      </c>
      <c r="K185" s="165">
        <v>67</v>
      </c>
      <c r="L185" s="166">
        <f t="shared" si="32"/>
        <v>536</v>
      </c>
      <c r="M185" s="177" t="s">
        <v>723</v>
      </c>
      <c r="N185" s="150" t="s">
        <v>868</v>
      </c>
      <c r="O185" s="150">
        <v>21</v>
      </c>
      <c r="P185" s="154" t="s">
        <v>1914</v>
      </c>
      <c r="Q185" s="154">
        <v>21</v>
      </c>
      <c r="S185" s="150"/>
      <c r="T185" s="45">
        <v>1127</v>
      </c>
      <c r="U185" s="45" t="s">
        <v>1426</v>
      </c>
      <c r="V185" s="45">
        <v>1135</v>
      </c>
      <c r="W185" s="45" t="s">
        <v>1444</v>
      </c>
      <c r="X185" s="99">
        <v>44562</v>
      </c>
      <c r="Y185" s="99">
        <v>44815</v>
      </c>
      <c r="Z185" s="99">
        <v>45101</v>
      </c>
      <c r="AA185" s="99">
        <v>45169</v>
      </c>
      <c r="AB185" s="42" t="s">
        <v>1119</v>
      </c>
      <c r="AC185" s="42"/>
      <c r="AD185" s="42"/>
      <c r="AE185" s="42" t="s">
        <v>734</v>
      </c>
      <c r="AF185" s="42" t="s">
        <v>734</v>
      </c>
      <c r="AG185" s="42"/>
      <c r="AH185" s="42" t="s">
        <v>734</v>
      </c>
      <c r="AI185" s="42" t="s">
        <v>734</v>
      </c>
      <c r="AJ185" s="42" t="s">
        <v>734</v>
      </c>
      <c r="AK185" s="42" t="s">
        <v>734</v>
      </c>
      <c r="AL185" s="42" t="s">
        <v>734</v>
      </c>
      <c r="AM185" s="42" t="s">
        <v>734</v>
      </c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68">
        <v>15.2</v>
      </c>
      <c r="AY185" s="37"/>
      <c r="BA185" s="68"/>
      <c r="BB185" s="68"/>
      <c r="BD185" s="67">
        <f t="shared" si="35"/>
        <v>1018.4</v>
      </c>
      <c r="BE185" s="67"/>
      <c r="BF185" s="37"/>
      <c r="BG185" s="73">
        <v>1</v>
      </c>
      <c r="BH185" s="67">
        <f t="shared" si="54"/>
        <v>0.80000000000000071</v>
      </c>
      <c r="BI185" s="67">
        <f t="shared" si="55"/>
        <v>0</v>
      </c>
      <c r="BJ185" s="67">
        <f t="shared" si="56"/>
        <v>53.600000000000051</v>
      </c>
      <c r="BN185" s="67">
        <f>IF((AX185+AY185+AZ185+BH185)&lt;20,(20-(AX185+AY185+AZ185)),0)</f>
        <v>4.8000000000000007</v>
      </c>
      <c r="BO185" s="70">
        <f t="shared" si="33"/>
        <v>321.60000000000002</v>
      </c>
      <c r="BP185" s="37">
        <v>9</v>
      </c>
      <c r="BQ185" s="37">
        <v>0</v>
      </c>
      <c r="BR185" s="37">
        <v>0</v>
      </c>
      <c r="BS185" s="37">
        <v>0</v>
      </c>
      <c r="BT185" s="87">
        <f t="shared" si="34"/>
        <v>20.8</v>
      </c>
      <c r="BU185" s="87"/>
      <c r="BV185" s="87"/>
      <c r="BW185" s="87"/>
      <c r="BX185" s="87"/>
      <c r="BY185" s="87"/>
      <c r="BZ185" s="87"/>
      <c r="CA185" s="87"/>
      <c r="CB185" s="87"/>
      <c r="CC185" s="87"/>
      <c r="CD185" s="87"/>
      <c r="CF185" s="67">
        <f t="shared" si="39"/>
        <v>187.20000000000002</v>
      </c>
      <c r="CG185" s="67">
        <f t="shared" si="40"/>
        <v>0</v>
      </c>
      <c r="CH185" s="67">
        <f t="shared" si="41"/>
        <v>0</v>
      </c>
      <c r="CI185" s="67">
        <f t="shared" si="46"/>
        <v>0</v>
      </c>
      <c r="CJ185" s="37">
        <f t="shared" si="42"/>
        <v>72</v>
      </c>
      <c r="CK185" s="37">
        <f t="shared" si="43"/>
        <v>0</v>
      </c>
      <c r="CL185" s="37">
        <f t="shared" si="44"/>
        <v>0</v>
      </c>
      <c r="CM185" s="37">
        <f t="shared" si="45"/>
        <v>0</v>
      </c>
    </row>
    <row r="186" spans="2:91" ht="25.5">
      <c r="B186" s="156">
        <v>180</v>
      </c>
      <c r="C186" s="160">
        <v>114</v>
      </c>
      <c r="D186" s="162">
        <v>7</v>
      </c>
      <c r="E186" s="161">
        <v>0.28125</v>
      </c>
      <c r="F186" s="161">
        <v>0.29166666666666669</v>
      </c>
      <c r="G186" s="160" t="s">
        <v>322</v>
      </c>
      <c r="H186" s="160" t="s">
        <v>479</v>
      </c>
      <c r="I186" s="163">
        <v>8</v>
      </c>
      <c r="J186" s="164" t="s">
        <v>146</v>
      </c>
      <c r="K186" s="165">
        <v>240</v>
      </c>
      <c r="L186" s="166">
        <f t="shared" si="32"/>
        <v>1920</v>
      </c>
      <c r="M186" s="177" t="s">
        <v>723</v>
      </c>
      <c r="N186" s="150" t="s">
        <v>868</v>
      </c>
      <c r="O186" s="150">
        <v>21</v>
      </c>
      <c r="P186" s="154" t="s">
        <v>1914</v>
      </c>
      <c r="Q186" s="154">
        <v>21</v>
      </c>
      <c r="S186" s="150"/>
      <c r="T186" s="45">
        <v>1135</v>
      </c>
      <c r="U186" s="45" t="s">
        <v>1444</v>
      </c>
      <c r="V186" s="45">
        <v>1127</v>
      </c>
      <c r="W186" s="45" t="s">
        <v>1426</v>
      </c>
      <c r="X186" s="99">
        <v>44816</v>
      </c>
      <c r="Y186" s="99">
        <v>45100</v>
      </c>
      <c r="Z186" s="99"/>
      <c r="AA186" s="99"/>
      <c r="AB186" s="45" t="s">
        <v>1124</v>
      </c>
      <c r="AC186" s="45"/>
      <c r="AD186" s="42" t="s">
        <v>734</v>
      </c>
      <c r="AE186" s="42"/>
      <c r="AF186" s="42" t="s">
        <v>734</v>
      </c>
      <c r="AG186" s="42"/>
      <c r="AH186" s="42" t="s">
        <v>734</v>
      </c>
      <c r="AI186" s="42" t="s">
        <v>734</v>
      </c>
      <c r="AJ186" s="42" t="s">
        <v>734</v>
      </c>
      <c r="AK186" s="42" t="s">
        <v>734</v>
      </c>
      <c r="AL186" s="42" t="s">
        <v>734</v>
      </c>
      <c r="AM186" s="42" t="s">
        <v>734</v>
      </c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68">
        <v>15.2</v>
      </c>
      <c r="AY186" s="37"/>
      <c r="BA186" s="68"/>
      <c r="BB186" s="68"/>
      <c r="BD186" s="67">
        <f t="shared" si="35"/>
        <v>3648</v>
      </c>
      <c r="BE186" s="67"/>
      <c r="BF186" s="37"/>
      <c r="BG186" s="73">
        <v>1</v>
      </c>
      <c r="BH186" s="67">
        <f t="shared" si="54"/>
        <v>0.80000000000000071</v>
      </c>
      <c r="BI186" s="67">
        <f t="shared" si="55"/>
        <v>0</v>
      </c>
      <c r="BJ186" s="67">
        <f t="shared" si="56"/>
        <v>192.00000000000017</v>
      </c>
      <c r="BN186" s="67">
        <f>IF((AX186+AY186+AZ186+BH186)&lt;20,(20-(AX186+AY186+AZ186)),0)</f>
        <v>4.8000000000000007</v>
      </c>
      <c r="BO186" s="70">
        <f t="shared" si="33"/>
        <v>1152.0000000000002</v>
      </c>
      <c r="BP186" s="37">
        <v>17</v>
      </c>
      <c r="BQ186" s="37">
        <v>26</v>
      </c>
      <c r="BR186" s="37">
        <v>25</v>
      </c>
      <c r="BS186" s="37">
        <v>25</v>
      </c>
      <c r="BT186" s="87">
        <f t="shared" si="34"/>
        <v>20.8</v>
      </c>
      <c r="BU186" s="87"/>
      <c r="BV186" s="87"/>
      <c r="BW186" s="87"/>
      <c r="BX186" s="87"/>
      <c r="BY186" s="87"/>
      <c r="BZ186" s="87"/>
      <c r="CA186" s="87"/>
      <c r="CB186" s="87"/>
      <c r="CC186" s="87"/>
      <c r="CD186" s="87"/>
      <c r="CF186" s="67">
        <f t="shared" si="39"/>
        <v>353.6</v>
      </c>
      <c r="CG186" s="67">
        <f t="shared" si="40"/>
        <v>540.80000000000007</v>
      </c>
      <c r="CH186" s="67">
        <f t="shared" si="41"/>
        <v>520</v>
      </c>
      <c r="CI186" s="67">
        <f t="shared" si="46"/>
        <v>520</v>
      </c>
      <c r="CJ186" s="37">
        <f t="shared" si="42"/>
        <v>136</v>
      </c>
      <c r="CK186" s="37">
        <f t="shared" si="43"/>
        <v>208</v>
      </c>
      <c r="CL186" s="37">
        <f t="shared" si="44"/>
        <v>200</v>
      </c>
      <c r="CM186" s="37">
        <f t="shared" si="45"/>
        <v>200</v>
      </c>
    </row>
    <row r="187" spans="2:91" ht="22.5">
      <c r="B187" s="156">
        <v>181</v>
      </c>
      <c r="C187" s="160">
        <v>114</v>
      </c>
      <c r="D187" s="162">
        <v>7</v>
      </c>
      <c r="E187" s="161">
        <v>0.28472222222222221</v>
      </c>
      <c r="F187" s="161">
        <v>0.2951388888888889</v>
      </c>
      <c r="G187" s="160" t="s">
        <v>322</v>
      </c>
      <c r="H187" s="160" t="s">
        <v>1</v>
      </c>
      <c r="I187" s="163">
        <v>8</v>
      </c>
      <c r="J187" s="164" t="s">
        <v>146</v>
      </c>
      <c r="K187" s="165">
        <v>67</v>
      </c>
      <c r="L187" s="166">
        <f t="shared" si="32"/>
        <v>536</v>
      </c>
      <c r="M187" s="177" t="s">
        <v>723</v>
      </c>
      <c r="N187" s="150" t="s">
        <v>868</v>
      </c>
      <c r="O187" s="150">
        <v>21</v>
      </c>
      <c r="P187" s="154" t="s">
        <v>1914</v>
      </c>
      <c r="Q187" s="154">
        <v>21</v>
      </c>
      <c r="S187" s="150"/>
      <c r="T187" s="45">
        <v>1135</v>
      </c>
      <c r="U187" s="45" t="s">
        <v>1444</v>
      </c>
      <c r="V187" s="45">
        <v>1127</v>
      </c>
      <c r="W187" s="45" t="s">
        <v>1426</v>
      </c>
      <c r="X187" s="99">
        <v>44562</v>
      </c>
      <c r="Y187" s="99">
        <v>44815</v>
      </c>
      <c r="Z187" s="99">
        <v>45101</v>
      </c>
      <c r="AA187" s="99">
        <v>45169</v>
      </c>
      <c r="AB187" s="42" t="s">
        <v>1119</v>
      </c>
      <c r="AC187" s="42"/>
      <c r="AD187" s="42"/>
      <c r="AE187" s="42" t="s">
        <v>734</v>
      </c>
      <c r="AF187" s="42" t="s">
        <v>734</v>
      </c>
      <c r="AG187" s="42"/>
      <c r="AH187" s="42" t="s">
        <v>734</v>
      </c>
      <c r="AI187" s="42" t="s">
        <v>734</v>
      </c>
      <c r="AJ187" s="42" t="s">
        <v>734</v>
      </c>
      <c r="AK187" s="42" t="s">
        <v>734</v>
      </c>
      <c r="AL187" s="42" t="s">
        <v>734</v>
      </c>
      <c r="AM187" s="42" t="s">
        <v>734</v>
      </c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68">
        <v>15.2</v>
      </c>
      <c r="AY187" s="37"/>
      <c r="BA187" s="68"/>
      <c r="BB187" s="68"/>
      <c r="BD187" s="67">
        <f t="shared" si="35"/>
        <v>1018.4</v>
      </c>
      <c r="BE187" s="67"/>
      <c r="BF187" s="37"/>
      <c r="BG187" s="73">
        <v>1</v>
      </c>
      <c r="BH187" s="67">
        <f t="shared" si="54"/>
        <v>0.80000000000000071</v>
      </c>
      <c r="BI187" s="67">
        <f t="shared" si="55"/>
        <v>0</v>
      </c>
      <c r="BJ187" s="67">
        <f t="shared" si="56"/>
        <v>53.600000000000051</v>
      </c>
      <c r="BN187" s="67">
        <f>IF((AX187+AY187+AZ187+BH187)&lt;20,(20-(AX187+AY187+AZ187)),0)</f>
        <v>4.8000000000000007</v>
      </c>
      <c r="BO187" s="70">
        <f t="shared" si="33"/>
        <v>321.60000000000002</v>
      </c>
      <c r="BP187" s="37">
        <v>9</v>
      </c>
      <c r="BQ187" s="37">
        <v>0</v>
      </c>
      <c r="BR187" s="37">
        <v>0</v>
      </c>
      <c r="BS187" s="37">
        <v>0</v>
      </c>
      <c r="BT187" s="87">
        <f t="shared" si="34"/>
        <v>20.8</v>
      </c>
      <c r="BU187" s="87"/>
      <c r="BV187" s="87"/>
      <c r="BW187" s="87"/>
      <c r="BX187" s="87"/>
      <c r="BY187" s="87"/>
      <c r="BZ187" s="87"/>
      <c r="CA187" s="87"/>
      <c r="CB187" s="87"/>
      <c r="CC187" s="87"/>
      <c r="CD187" s="87"/>
      <c r="CF187" s="67">
        <f t="shared" si="39"/>
        <v>187.20000000000002</v>
      </c>
      <c r="CG187" s="67">
        <f t="shared" si="40"/>
        <v>0</v>
      </c>
      <c r="CH187" s="67">
        <f t="shared" si="41"/>
        <v>0</v>
      </c>
      <c r="CI187" s="67">
        <f t="shared" si="46"/>
        <v>0</v>
      </c>
      <c r="CJ187" s="37">
        <f t="shared" si="42"/>
        <v>72</v>
      </c>
      <c r="CK187" s="37">
        <f t="shared" si="43"/>
        <v>0</v>
      </c>
      <c r="CL187" s="37">
        <f t="shared" si="44"/>
        <v>0</v>
      </c>
      <c r="CM187" s="37">
        <f t="shared" si="45"/>
        <v>0</v>
      </c>
    </row>
    <row r="188" spans="2:91" ht="25.5">
      <c r="B188" s="156">
        <v>182</v>
      </c>
      <c r="C188" s="160">
        <v>114</v>
      </c>
      <c r="D188" s="162">
        <v>10</v>
      </c>
      <c r="E188" s="161">
        <v>0.30555555555555552</v>
      </c>
      <c r="F188" s="173">
        <v>0.31597222222222221</v>
      </c>
      <c r="G188" s="160" t="s">
        <v>323</v>
      </c>
      <c r="H188" s="160" t="s">
        <v>479</v>
      </c>
      <c r="I188" s="163">
        <v>8</v>
      </c>
      <c r="J188" s="164" t="s">
        <v>146</v>
      </c>
      <c r="K188" s="165">
        <v>240</v>
      </c>
      <c r="L188" s="166">
        <f t="shared" si="32"/>
        <v>1920</v>
      </c>
      <c r="M188" s="177" t="s">
        <v>723</v>
      </c>
      <c r="N188" s="150" t="s">
        <v>868</v>
      </c>
      <c r="O188" s="150">
        <v>21</v>
      </c>
      <c r="P188" s="154" t="s">
        <v>1914</v>
      </c>
      <c r="Q188" s="154">
        <v>21</v>
      </c>
      <c r="S188" s="150"/>
      <c r="T188" s="45">
        <v>1127</v>
      </c>
      <c r="U188" s="45" t="s">
        <v>1426</v>
      </c>
      <c r="V188" s="45">
        <v>1135</v>
      </c>
      <c r="W188" s="45" t="s">
        <v>1444</v>
      </c>
      <c r="X188" s="99">
        <v>44816</v>
      </c>
      <c r="Y188" s="99">
        <v>45100</v>
      </c>
      <c r="Z188" s="99"/>
      <c r="AA188" s="99"/>
      <c r="AB188" s="45" t="s">
        <v>1124</v>
      </c>
      <c r="AC188" s="45"/>
      <c r="AD188" s="42" t="s">
        <v>734</v>
      </c>
      <c r="AE188" s="42"/>
      <c r="AF188" s="42" t="s">
        <v>734</v>
      </c>
      <c r="AG188" s="42"/>
      <c r="AH188" s="42" t="s">
        <v>734</v>
      </c>
      <c r="AI188" s="42" t="s">
        <v>734</v>
      </c>
      <c r="AJ188" s="42" t="s">
        <v>734</v>
      </c>
      <c r="AK188" s="42" t="s">
        <v>734</v>
      </c>
      <c r="AL188" s="42" t="s">
        <v>734</v>
      </c>
      <c r="AM188" s="42" t="s">
        <v>734</v>
      </c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68">
        <v>15.2</v>
      </c>
      <c r="AY188" s="37"/>
      <c r="BA188" s="68"/>
      <c r="BB188" s="68"/>
      <c r="BD188" s="67">
        <f t="shared" si="35"/>
        <v>3648</v>
      </c>
      <c r="BE188" s="67"/>
      <c r="BF188" s="37"/>
      <c r="BG188" s="73">
        <v>1</v>
      </c>
      <c r="BH188" s="67">
        <f t="shared" si="54"/>
        <v>0.80000000000000071</v>
      </c>
      <c r="BI188" s="67">
        <f t="shared" si="55"/>
        <v>0</v>
      </c>
      <c r="BJ188" s="67">
        <f t="shared" si="56"/>
        <v>192.00000000000017</v>
      </c>
      <c r="BN188" s="37"/>
      <c r="BO188" s="70">
        <f t="shared" si="33"/>
        <v>0</v>
      </c>
      <c r="BP188" s="37">
        <v>17</v>
      </c>
      <c r="BQ188" s="37">
        <v>26</v>
      </c>
      <c r="BR188" s="37">
        <v>25</v>
      </c>
      <c r="BS188" s="37">
        <v>25</v>
      </c>
      <c r="BT188" s="87">
        <f t="shared" si="34"/>
        <v>16</v>
      </c>
      <c r="BU188" s="87"/>
      <c r="BV188" s="87"/>
      <c r="BW188" s="87"/>
      <c r="BX188" s="87"/>
      <c r="BY188" s="87"/>
      <c r="BZ188" s="87"/>
      <c r="CA188" s="87"/>
      <c r="CB188" s="87"/>
      <c r="CC188" s="87"/>
      <c r="CD188" s="87"/>
      <c r="CF188" s="67">
        <f t="shared" si="39"/>
        <v>272</v>
      </c>
      <c r="CG188" s="67">
        <f t="shared" si="40"/>
        <v>416</v>
      </c>
      <c r="CH188" s="67">
        <f t="shared" si="41"/>
        <v>400</v>
      </c>
      <c r="CI188" s="67">
        <f t="shared" si="46"/>
        <v>400</v>
      </c>
      <c r="CJ188" s="37">
        <f t="shared" si="42"/>
        <v>136</v>
      </c>
      <c r="CK188" s="37">
        <f t="shared" si="43"/>
        <v>208</v>
      </c>
      <c r="CL188" s="37">
        <f t="shared" si="44"/>
        <v>200</v>
      </c>
      <c r="CM188" s="37">
        <f t="shared" si="45"/>
        <v>200</v>
      </c>
    </row>
    <row r="189" spans="2:91" ht="22.5">
      <c r="B189" s="156">
        <v>183</v>
      </c>
      <c r="C189" s="160">
        <v>114</v>
      </c>
      <c r="D189" s="162">
        <v>10</v>
      </c>
      <c r="E189" s="161">
        <v>0.31319444444444444</v>
      </c>
      <c r="F189" s="161">
        <v>0.32361111111111113</v>
      </c>
      <c r="G189" s="160" t="s">
        <v>323</v>
      </c>
      <c r="H189" s="160" t="s">
        <v>1</v>
      </c>
      <c r="I189" s="163">
        <v>8</v>
      </c>
      <c r="J189" s="164" t="s">
        <v>146</v>
      </c>
      <c r="K189" s="165">
        <v>67</v>
      </c>
      <c r="L189" s="166">
        <f t="shared" si="32"/>
        <v>536</v>
      </c>
      <c r="M189" s="177" t="s">
        <v>723</v>
      </c>
      <c r="N189" s="150" t="s">
        <v>868</v>
      </c>
      <c r="O189" s="150">
        <v>21</v>
      </c>
      <c r="P189" s="154" t="s">
        <v>1914</v>
      </c>
      <c r="Q189" s="154">
        <v>21</v>
      </c>
      <c r="S189" s="150"/>
      <c r="T189" s="45">
        <v>1127</v>
      </c>
      <c r="U189" s="45" t="s">
        <v>1426</v>
      </c>
      <c r="V189" s="45">
        <v>1135</v>
      </c>
      <c r="W189" s="45" t="s">
        <v>1444</v>
      </c>
      <c r="X189" s="99">
        <v>44562</v>
      </c>
      <c r="Y189" s="99">
        <v>44815</v>
      </c>
      <c r="Z189" s="99">
        <v>45101</v>
      </c>
      <c r="AA189" s="99">
        <v>45169</v>
      </c>
      <c r="AB189" s="42" t="s">
        <v>1119</v>
      </c>
      <c r="AC189" s="42"/>
      <c r="AD189" s="42"/>
      <c r="AE189" s="42" t="s">
        <v>734</v>
      </c>
      <c r="AF189" s="42" t="s">
        <v>734</v>
      </c>
      <c r="AG189" s="42"/>
      <c r="AH189" s="42" t="s">
        <v>734</v>
      </c>
      <c r="AI189" s="42" t="s">
        <v>734</v>
      </c>
      <c r="AJ189" s="42" t="s">
        <v>734</v>
      </c>
      <c r="AK189" s="42" t="s">
        <v>734</v>
      </c>
      <c r="AL189" s="42" t="s">
        <v>734</v>
      </c>
      <c r="AM189" s="42" t="s">
        <v>734</v>
      </c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68">
        <v>15.2</v>
      </c>
      <c r="AY189" s="37"/>
      <c r="BA189" s="68"/>
      <c r="BB189" s="68"/>
      <c r="BD189" s="67">
        <f t="shared" si="35"/>
        <v>1018.4</v>
      </c>
      <c r="BE189" s="67"/>
      <c r="BF189" s="37"/>
      <c r="BG189" s="73">
        <v>1</v>
      </c>
      <c r="BH189" s="67">
        <f t="shared" si="54"/>
        <v>0.80000000000000071</v>
      </c>
      <c r="BI189" s="67">
        <f t="shared" si="55"/>
        <v>0</v>
      </c>
      <c r="BJ189" s="67">
        <f t="shared" si="56"/>
        <v>53.600000000000051</v>
      </c>
      <c r="BN189" s="37"/>
      <c r="BO189" s="70">
        <f t="shared" si="33"/>
        <v>0</v>
      </c>
      <c r="BP189" s="37">
        <v>9</v>
      </c>
      <c r="BQ189" s="37">
        <v>0</v>
      </c>
      <c r="BR189" s="37">
        <v>0</v>
      </c>
      <c r="BS189" s="37">
        <v>0</v>
      </c>
      <c r="BT189" s="87">
        <f t="shared" si="34"/>
        <v>16</v>
      </c>
      <c r="BU189" s="87"/>
      <c r="BV189" s="87"/>
      <c r="BW189" s="87"/>
      <c r="BX189" s="87"/>
      <c r="BY189" s="87"/>
      <c r="BZ189" s="87"/>
      <c r="CA189" s="87"/>
      <c r="CB189" s="87"/>
      <c r="CC189" s="87"/>
      <c r="CD189" s="87"/>
      <c r="CF189" s="67">
        <f t="shared" si="39"/>
        <v>144</v>
      </c>
      <c r="CG189" s="67">
        <f t="shared" si="40"/>
        <v>0</v>
      </c>
      <c r="CH189" s="67">
        <f t="shared" si="41"/>
        <v>0</v>
      </c>
      <c r="CI189" s="67">
        <f t="shared" si="46"/>
        <v>0</v>
      </c>
      <c r="CJ189" s="37">
        <f t="shared" si="42"/>
        <v>72</v>
      </c>
      <c r="CK189" s="37">
        <f t="shared" si="43"/>
        <v>0</v>
      </c>
      <c r="CL189" s="37">
        <f t="shared" si="44"/>
        <v>0</v>
      </c>
      <c r="CM189" s="37">
        <f t="shared" si="45"/>
        <v>0</v>
      </c>
    </row>
    <row r="190" spans="2:91" ht="25.5">
      <c r="B190" s="156">
        <v>184</v>
      </c>
      <c r="C190" s="160">
        <v>114</v>
      </c>
      <c r="D190" s="162">
        <v>9</v>
      </c>
      <c r="E190" s="161">
        <v>0.31944444444444448</v>
      </c>
      <c r="F190" s="161">
        <v>0.34027777777777773</v>
      </c>
      <c r="G190" s="160" t="s">
        <v>322</v>
      </c>
      <c r="H190" s="160" t="s">
        <v>479</v>
      </c>
      <c r="I190" s="163">
        <v>8</v>
      </c>
      <c r="J190" s="164" t="s">
        <v>146</v>
      </c>
      <c r="K190" s="165">
        <v>240</v>
      </c>
      <c r="L190" s="166">
        <f t="shared" si="32"/>
        <v>1920</v>
      </c>
      <c r="M190" s="177" t="s">
        <v>723</v>
      </c>
      <c r="N190" s="150" t="s">
        <v>868</v>
      </c>
      <c r="O190" s="150">
        <v>21</v>
      </c>
      <c r="P190" s="154" t="s">
        <v>1914</v>
      </c>
      <c r="Q190" s="154">
        <v>21</v>
      </c>
      <c r="S190" s="150"/>
      <c r="T190" s="45">
        <v>1135</v>
      </c>
      <c r="U190" s="45" t="s">
        <v>1444</v>
      </c>
      <c r="V190" s="45">
        <v>1127</v>
      </c>
      <c r="W190" s="45" t="s">
        <v>1426</v>
      </c>
      <c r="X190" s="99">
        <v>44816</v>
      </c>
      <c r="Y190" s="99">
        <v>45100</v>
      </c>
      <c r="Z190" s="99"/>
      <c r="AA190" s="99"/>
      <c r="AB190" s="45" t="s">
        <v>1124</v>
      </c>
      <c r="AC190" s="45"/>
      <c r="AD190" s="42" t="s">
        <v>734</v>
      </c>
      <c r="AE190" s="42"/>
      <c r="AF190" s="42" t="s">
        <v>734</v>
      </c>
      <c r="AG190" s="42"/>
      <c r="AH190" s="42" t="s">
        <v>734</v>
      </c>
      <c r="AI190" s="42" t="s">
        <v>734</v>
      </c>
      <c r="AJ190" s="42" t="s">
        <v>734</v>
      </c>
      <c r="AK190" s="42" t="s">
        <v>734</v>
      </c>
      <c r="AL190" s="42" t="s">
        <v>734</v>
      </c>
      <c r="AM190" s="42" t="s">
        <v>734</v>
      </c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68">
        <v>15.2</v>
      </c>
      <c r="AY190" s="37"/>
      <c r="BA190" s="68"/>
      <c r="BB190" s="68"/>
      <c r="BD190" s="67">
        <f t="shared" si="35"/>
        <v>3648</v>
      </c>
      <c r="BE190" s="67"/>
      <c r="BF190" s="37"/>
      <c r="BG190" s="73">
        <v>1</v>
      </c>
      <c r="BH190" s="67">
        <f t="shared" si="54"/>
        <v>0.80000000000000071</v>
      </c>
      <c r="BI190" s="67">
        <f t="shared" si="55"/>
        <v>0</v>
      </c>
      <c r="BJ190" s="67">
        <f t="shared" si="56"/>
        <v>192.00000000000017</v>
      </c>
      <c r="BN190" s="37"/>
      <c r="BO190" s="70">
        <f t="shared" si="33"/>
        <v>0</v>
      </c>
      <c r="BP190" s="37">
        <v>17</v>
      </c>
      <c r="BQ190" s="37">
        <v>26</v>
      </c>
      <c r="BR190" s="37">
        <v>25</v>
      </c>
      <c r="BS190" s="37">
        <v>25</v>
      </c>
      <c r="BT190" s="87">
        <f t="shared" si="34"/>
        <v>16</v>
      </c>
      <c r="BU190" s="87"/>
      <c r="BV190" s="87"/>
      <c r="BW190" s="87"/>
      <c r="BX190" s="87"/>
      <c r="BY190" s="87"/>
      <c r="BZ190" s="87"/>
      <c r="CA190" s="87"/>
      <c r="CB190" s="87"/>
      <c r="CC190" s="87"/>
      <c r="CD190" s="87"/>
      <c r="CF190" s="67">
        <f t="shared" si="39"/>
        <v>272</v>
      </c>
      <c r="CG190" s="67">
        <f t="shared" si="40"/>
        <v>416</v>
      </c>
      <c r="CH190" s="67">
        <f t="shared" si="41"/>
        <v>400</v>
      </c>
      <c r="CI190" s="67">
        <f t="shared" si="46"/>
        <v>400</v>
      </c>
      <c r="CJ190" s="37">
        <f t="shared" si="42"/>
        <v>136</v>
      </c>
      <c r="CK190" s="37">
        <f t="shared" si="43"/>
        <v>208</v>
      </c>
      <c r="CL190" s="37">
        <f t="shared" si="44"/>
        <v>200</v>
      </c>
      <c r="CM190" s="37">
        <f t="shared" si="45"/>
        <v>200</v>
      </c>
    </row>
    <row r="191" spans="2:91" ht="22.5">
      <c r="B191" s="156">
        <v>185</v>
      </c>
      <c r="C191" s="160">
        <v>114</v>
      </c>
      <c r="D191" s="162">
        <v>9</v>
      </c>
      <c r="E191" s="161">
        <v>0.32361111111111113</v>
      </c>
      <c r="F191" s="161">
        <v>0.3444444444444445</v>
      </c>
      <c r="G191" s="160" t="s">
        <v>322</v>
      </c>
      <c r="H191" s="160" t="s">
        <v>1</v>
      </c>
      <c r="I191" s="163">
        <v>8</v>
      </c>
      <c r="J191" s="164" t="s">
        <v>146</v>
      </c>
      <c r="K191" s="165">
        <v>67</v>
      </c>
      <c r="L191" s="166">
        <f t="shared" si="32"/>
        <v>536</v>
      </c>
      <c r="M191" s="177" t="s">
        <v>723</v>
      </c>
      <c r="N191" s="150" t="s">
        <v>868</v>
      </c>
      <c r="O191" s="150">
        <v>21</v>
      </c>
      <c r="P191" s="154" t="s">
        <v>1914</v>
      </c>
      <c r="Q191" s="154">
        <v>21</v>
      </c>
      <c r="S191" s="150"/>
      <c r="T191" s="45">
        <v>1135</v>
      </c>
      <c r="U191" s="45" t="s">
        <v>1444</v>
      </c>
      <c r="V191" s="45">
        <v>1127</v>
      </c>
      <c r="W191" s="45" t="s">
        <v>1426</v>
      </c>
      <c r="X191" s="99">
        <v>44562</v>
      </c>
      <c r="Y191" s="99">
        <v>44815</v>
      </c>
      <c r="Z191" s="99">
        <v>45101</v>
      </c>
      <c r="AA191" s="99">
        <v>45169</v>
      </c>
      <c r="AB191" s="42" t="s">
        <v>1119</v>
      </c>
      <c r="AC191" s="42"/>
      <c r="AD191" s="42"/>
      <c r="AE191" s="42" t="s">
        <v>734</v>
      </c>
      <c r="AF191" s="42" t="s">
        <v>734</v>
      </c>
      <c r="AG191" s="42"/>
      <c r="AH191" s="42" t="s">
        <v>734</v>
      </c>
      <c r="AI191" s="42" t="s">
        <v>734</v>
      </c>
      <c r="AJ191" s="42" t="s">
        <v>734</v>
      </c>
      <c r="AK191" s="42" t="s">
        <v>734</v>
      </c>
      <c r="AL191" s="42" t="s">
        <v>734</v>
      </c>
      <c r="AM191" s="42" t="s">
        <v>734</v>
      </c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68">
        <v>15.2</v>
      </c>
      <c r="AY191" s="37"/>
      <c r="BA191" s="68"/>
      <c r="BB191" s="68"/>
      <c r="BD191" s="67">
        <f t="shared" si="35"/>
        <v>1018.4</v>
      </c>
      <c r="BE191" s="67"/>
      <c r="BF191" s="37"/>
      <c r="BG191" s="73">
        <v>1</v>
      </c>
      <c r="BH191" s="67">
        <f t="shared" si="54"/>
        <v>0.80000000000000071</v>
      </c>
      <c r="BI191" s="67">
        <f t="shared" si="55"/>
        <v>0</v>
      </c>
      <c r="BJ191" s="67">
        <f t="shared" si="56"/>
        <v>53.600000000000051</v>
      </c>
      <c r="BN191" s="37"/>
      <c r="BO191" s="70">
        <f t="shared" si="33"/>
        <v>0</v>
      </c>
      <c r="BP191" s="37">
        <v>9</v>
      </c>
      <c r="BQ191" s="37">
        <v>0</v>
      </c>
      <c r="BR191" s="37">
        <v>0</v>
      </c>
      <c r="BS191" s="37">
        <v>0</v>
      </c>
      <c r="BT191" s="87">
        <f t="shared" si="34"/>
        <v>16</v>
      </c>
      <c r="BU191" s="87"/>
      <c r="BV191" s="87"/>
      <c r="BW191" s="87"/>
      <c r="BX191" s="87"/>
      <c r="BY191" s="87"/>
      <c r="BZ191" s="87"/>
      <c r="CA191" s="87"/>
      <c r="CB191" s="87"/>
      <c r="CC191" s="87"/>
      <c r="CD191" s="87"/>
      <c r="CF191" s="67">
        <f t="shared" si="39"/>
        <v>144</v>
      </c>
      <c r="CG191" s="67">
        <f t="shared" si="40"/>
        <v>0</v>
      </c>
      <c r="CH191" s="67">
        <f t="shared" si="41"/>
        <v>0</v>
      </c>
      <c r="CI191" s="67">
        <f t="shared" si="46"/>
        <v>0</v>
      </c>
      <c r="CJ191" s="37">
        <f t="shared" si="42"/>
        <v>72</v>
      </c>
      <c r="CK191" s="37">
        <f t="shared" si="43"/>
        <v>0</v>
      </c>
      <c r="CL191" s="37">
        <f t="shared" si="44"/>
        <v>0</v>
      </c>
      <c r="CM191" s="37">
        <f t="shared" si="45"/>
        <v>0</v>
      </c>
    </row>
    <row r="192" spans="2:91" ht="25.5">
      <c r="B192" s="156">
        <v>186</v>
      </c>
      <c r="C192" s="160">
        <v>114</v>
      </c>
      <c r="D192" s="162">
        <v>12</v>
      </c>
      <c r="E192" s="161">
        <v>0.4861111111111111</v>
      </c>
      <c r="F192" s="161">
        <v>0.49652777777777773</v>
      </c>
      <c r="G192" s="160" t="s">
        <v>323</v>
      </c>
      <c r="H192" s="160" t="s">
        <v>267</v>
      </c>
      <c r="I192" s="163">
        <v>8</v>
      </c>
      <c r="J192" s="164" t="s">
        <v>146</v>
      </c>
      <c r="K192" s="165">
        <v>55</v>
      </c>
      <c r="L192" s="166">
        <f t="shared" si="32"/>
        <v>440</v>
      </c>
      <c r="M192" s="177" t="s">
        <v>723</v>
      </c>
      <c r="N192" s="150" t="s">
        <v>868</v>
      </c>
      <c r="O192" s="150">
        <v>21</v>
      </c>
      <c r="P192" s="154" t="s">
        <v>1914</v>
      </c>
      <c r="Q192" s="154">
        <v>21</v>
      </c>
      <c r="S192" s="150"/>
      <c r="T192" s="45">
        <v>1127</v>
      </c>
      <c r="U192" s="45" t="s">
        <v>1426</v>
      </c>
      <c r="V192" s="45">
        <v>1135</v>
      </c>
      <c r="W192" s="45" t="s">
        <v>1444</v>
      </c>
      <c r="X192" s="99">
        <v>44562</v>
      </c>
      <c r="Y192" s="99">
        <v>44815</v>
      </c>
      <c r="Z192" s="99">
        <v>45101</v>
      </c>
      <c r="AA192" s="99">
        <v>45169</v>
      </c>
      <c r="AB192" s="41" t="s">
        <v>1121</v>
      </c>
      <c r="AC192" s="41"/>
      <c r="AD192" s="42"/>
      <c r="AE192" s="42" t="s">
        <v>734</v>
      </c>
      <c r="AF192" s="42" t="s">
        <v>734</v>
      </c>
      <c r="AG192" s="42"/>
      <c r="AH192" s="42" t="s">
        <v>734</v>
      </c>
      <c r="AI192" s="42" t="s">
        <v>734</v>
      </c>
      <c r="AJ192" s="42" t="s">
        <v>734</v>
      </c>
      <c r="AK192" s="42" t="s">
        <v>734</v>
      </c>
      <c r="AL192" s="42" t="s">
        <v>734</v>
      </c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68">
        <v>15.2</v>
      </c>
      <c r="AY192" s="37"/>
      <c r="BA192" s="68"/>
      <c r="BB192" s="68"/>
      <c r="BD192" s="67">
        <f t="shared" si="35"/>
        <v>836</v>
      </c>
      <c r="BE192" s="67"/>
      <c r="BF192" s="37"/>
      <c r="BG192" s="73">
        <v>1</v>
      </c>
      <c r="BH192" s="67">
        <f t="shared" si="54"/>
        <v>0.80000000000000071</v>
      </c>
      <c r="BI192" s="67">
        <f t="shared" si="55"/>
        <v>0</v>
      </c>
      <c r="BJ192" s="67">
        <f t="shared" si="56"/>
        <v>44.000000000000043</v>
      </c>
      <c r="BN192" s="37"/>
      <c r="BO192" s="70">
        <f t="shared" si="33"/>
        <v>0</v>
      </c>
      <c r="BP192" s="37">
        <v>7</v>
      </c>
      <c r="BQ192" s="37">
        <v>0</v>
      </c>
      <c r="BR192" s="37">
        <v>0</v>
      </c>
      <c r="BT192" s="87">
        <f t="shared" si="34"/>
        <v>16</v>
      </c>
      <c r="BU192" s="87"/>
      <c r="BV192" s="87"/>
      <c r="BW192" s="87"/>
      <c r="BX192" s="87"/>
      <c r="BY192" s="87"/>
      <c r="BZ192" s="87"/>
      <c r="CA192" s="87"/>
      <c r="CB192" s="87"/>
      <c r="CC192" s="87"/>
      <c r="CD192" s="87"/>
      <c r="CF192" s="67">
        <f t="shared" si="39"/>
        <v>112</v>
      </c>
      <c r="CG192" s="67">
        <f t="shared" si="40"/>
        <v>0</v>
      </c>
      <c r="CH192" s="67">
        <f t="shared" si="41"/>
        <v>0</v>
      </c>
      <c r="CI192" s="67">
        <f t="shared" si="46"/>
        <v>0</v>
      </c>
      <c r="CJ192" s="37">
        <f t="shared" si="42"/>
        <v>56</v>
      </c>
      <c r="CK192" s="37">
        <f t="shared" si="43"/>
        <v>0</v>
      </c>
      <c r="CL192" s="37">
        <f t="shared" si="44"/>
        <v>0</v>
      </c>
      <c r="CM192" s="37">
        <f t="shared" si="45"/>
        <v>0</v>
      </c>
    </row>
    <row r="193" spans="2:91" ht="25.5">
      <c r="B193" s="156">
        <v>187</v>
      </c>
      <c r="C193" s="160">
        <v>114</v>
      </c>
      <c r="D193" s="162">
        <v>12</v>
      </c>
      <c r="E193" s="161">
        <v>0.48958333333333331</v>
      </c>
      <c r="F193" s="161">
        <v>0.5</v>
      </c>
      <c r="G193" s="160" t="s">
        <v>323</v>
      </c>
      <c r="H193" s="160" t="s">
        <v>479</v>
      </c>
      <c r="I193" s="163">
        <v>8</v>
      </c>
      <c r="J193" s="164" t="s">
        <v>146</v>
      </c>
      <c r="K193" s="165">
        <v>240</v>
      </c>
      <c r="L193" s="166">
        <f t="shared" ref="L193:L256" si="57">+K193*I193</f>
        <v>1920</v>
      </c>
      <c r="M193" s="177" t="s">
        <v>723</v>
      </c>
      <c r="N193" s="150" t="s">
        <v>868</v>
      </c>
      <c r="O193" s="150">
        <v>21</v>
      </c>
      <c r="P193" s="154" t="s">
        <v>1914</v>
      </c>
      <c r="Q193" s="154">
        <v>21</v>
      </c>
      <c r="S193" s="150"/>
      <c r="T193" s="45">
        <v>1127</v>
      </c>
      <c r="U193" s="45" t="s">
        <v>1426</v>
      </c>
      <c r="V193" s="45">
        <v>1135</v>
      </c>
      <c r="W193" s="45" t="s">
        <v>1444</v>
      </c>
      <c r="X193" s="99">
        <v>44816</v>
      </c>
      <c r="Y193" s="99">
        <v>45100</v>
      </c>
      <c r="Z193" s="99"/>
      <c r="AA193" s="99"/>
      <c r="AB193" s="45" t="s">
        <v>1124</v>
      </c>
      <c r="AC193" s="45"/>
      <c r="AD193" s="42" t="s">
        <v>734</v>
      </c>
      <c r="AE193" s="42"/>
      <c r="AF193" s="42" t="s">
        <v>734</v>
      </c>
      <c r="AG193" s="42"/>
      <c r="AH193" s="42" t="s">
        <v>734</v>
      </c>
      <c r="AI193" s="42" t="s">
        <v>734</v>
      </c>
      <c r="AJ193" s="42" t="s">
        <v>734</v>
      </c>
      <c r="AK193" s="42" t="s">
        <v>734</v>
      </c>
      <c r="AL193" s="42" t="s">
        <v>734</v>
      </c>
      <c r="AM193" s="42" t="s">
        <v>734</v>
      </c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68">
        <v>15.2</v>
      </c>
      <c r="AY193" s="37"/>
      <c r="BA193" s="68"/>
      <c r="BB193" s="68"/>
      <c r="BD193" s="67">
        <f t="shared" si="35"/>
        <v>3648</v>
      </c>
      <c r="BE193" s="67"/>
      <c r="BF193" s="37"/>
      <c r="BG193" s="73">
        <v>1</v>
      </c>
      <c r="BH193" s="67">
        <f t="shared" si="54"/>
        <v>0.80000000000000071</v>
      </c>
      <c r="BI193" s="67">
        <f t="shared" si="55"/>
        <v>0</v>
      </c>
      <c r="BJ193" s="67">
        <f t="shared" si="56"/>
        <v>192.00000000000017</v>
      </c>
      <c r="BN193" s="37"/>
      <c r="BO193" s="70">
        <f t="shared" ref="BO193:BO256" si="58">BN193*K193</f>
        <v>0</v>
      </c>
      <c r="BP193" s="37">
        <v>17</v>
      </c>
      <c r="BQ193" s="37">
        <v>26</v>
      </c>
      <c r="BR193" s="37">
        <v>25</v>
      </c>
      <c r="BS193" s="37">
        <v>25</v>
      </c>
      <c r="BT193" s="87">
        <f t="shared" ref="BT193:BT256" si="59">SUM(AX193:AZ193)+SUM(BH193:BI193)+SUM(BK193:BL193)+BN193</f>
        <v>16</v>
      </c>
      <c r="BU193" s="87"/>
      <c r="BV193" s="87"/>
      <c r="BW193" s="87"/>
      <c r="BX193" s="87"/>
      <c r="BY193" s="87"/>
      <c r="BZ193" s="87"/>
      <c r="CA193" s="87"/>
      <c r="CB193" s="87"/>
      <c r="CC193" s="87"/>
      <c r="CD193" s="87"/>
      <c r="CF193" s="67">
        <f t="shared" si="39"/>
        <v>272</v>
      </c>
      <c r="CG193" s="67">
        <f t="shared" si="40"/>
        <v>416</v>
      </c>
      <c r="CH193" s="67">
        <f t="shared" si="41"/>
        <v>400</v>
      </c>
      <c r="CI193" s="67">
        <f t="shared" si="46"/>
        <v>400</v>
      </c>
      <c r="CJ193" s="37">
        <f t="shared" si="42"/>
        <v>136</v>
      </c>
      <c r="CK193" s="37">
        <f t="shared" si="43"/>
        <v>208</v>
      </c>
      <c r="CL193" s="37">
        <f t="shared" si="44"/>
        <v>200</v>
      </c>
      <c r="CM193" s="37">
        <f t="shared" si="45"/>
        <v>200</v>
      </c>
    </row>
    <row r="194" spans="2:91" ht="25.5">
      <c r="B194" s="156">
        <v>188</v>
      </c>
      <c r="C194" s="160">
        <v>114</v>
      </c>
      <c r="D194" s="162">
        <v>11</v>
      </c>
      <c r="E194" s="161">
        <v>0.50347222222222221</v>
      </c>
      <c r="F194" s="161">
        <v>0.52083333333333337</v>
      </c>
      <c r="G194" s="160" t="s">
        <v>322</v>
      </c>
      <c r="H194" s="160" t="s">
        <v>479</v>
      </c>
      <c r="I194" s="163">
        <v>8</v>
      </c>
      <c r="J194" s="164" t="s">
        <v>146</v>
      </c>
      <c r="K194" s="165">
        <v>240</v>
      </c>
      <c r="L194" s="166">
        <f t="shared" si="57"/>
        <v>1920</v>
      </c>
      <c r="M194" s="177" t="s">
        <v>723</v>
      </c>
      <c r="N194" s="150" t="s">
        <v>868</v>
      </c>
      <c r="O194" s="150">
        <v>21</v>
      </c>
      <c r="P194" s="154" t="s">
        <v>1914</v>
      </c>
      <c r="Q194" s="154">
        <v>21</v>
      </c>
      <c r="S194" s="150"/>
      <c r="T194" s="45">
        <v>1135</v>
      </c>
      <c r="U194" s="45" t="s">
        <v>1444</v>
      </c>
      <c r="V194" s="45">
        <v>1127</v>
      </c>
      <c r="W194" s="45" t="s">
        <v>1426</v>
      </c>
      <c r="X194" s="99">
        <v>44816</v>
      </c>
      <c r="Y194" s="99">
        <v>45100</v>
      </c>
      <c r="Z194" s="99"/>
      <c r="AA194" s="99"/>
      <c r="AB194" s="45" t="s">
        <v>1124</v>
      </c>
      <c r="AC194" s="45"/>
      <c r="AD194" s="42" t="s">
        <v>734</v>
      </c>
      <c r="AE194" s="42"/>
      <c r="AF194" s="42" t="s">
        <v>734</v>
      </c>
      <c r="AG194" s="42"/>
      <c r="AH194" s="42" t="s">
        <v>734</v>
      </c>
      <c r="AI194" s="42" t="s">
        <v>734</v>
      </c>
      <c r="AJ194" s="42" t="s">
        <v>734</v>
      </c>
      <c r="AK194" s="42" t="s">
        <v>734</v>
      </c>
      <c r="AL194" s="42" t="s">
        <v>734</v>
      </c>
      <c r="AM194" s="42" t="s">
        <v>734</v>
      </c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68">
        <v>15.2</v>
      </c>
      <c r="AY194" s="37"/>
      <c r="BA194" s="68"/>
      <c r="BB194" s="68"/>
      <c r="BD194" s="67">
        <f t="shared" si="35"/>
        <v>3648</v>
      </c>
      <c r="BE194" s="67"/>
      <c r="BF194" s="37"/>
      <c r="BG194" s="73">
        <v>1</v>
      </c>
      <c r="BH194" s="67">
        <f t="shared" si="54"/>
        <v>0.80000000000000071</v>
      </c>
      <c r="BI194" s="67">
        <f t="shared" si="55"/>
        <v>0</v>
      </c>
      <c r="BJ194" s="67">
        <f t="shared" si="56"/>
        <v>192.00000000000017</v>
      </c>
      <c r="BN194" s="37"/>
      <c r="BO194" s="70">
        <f t="shared" si="58"/>
        <v>0</v>
      </c>
      <c r="BP194" s="37">
        <v>17</v>
      </c>
      <c r="BQ194" s="37">
        <v>26</v>
      </c>
      <c r="BR194" s="37">
        <v>25</v>
      </c>
      <c r="BS194" s="37">
        <v>25</v>
      </c>
      <c r="BT194" s="87">
        <f t="shared" si="59"/>
        <v>16</v>
      </c>
      <c r="BU194" s="87"/>
      <c r="BV194" s="87"/>
      <c r="BW194" s="87"/>
      <c r="BX194" s="87"/>
      <c r="BY194" s="87"/>
      <c r="BZ194" s="87"/>
      <c r="CA194" s="87"/>
      <c r="CB194" s="87"/>
      <c r="CC194" s="87"/>
      <c r="CD194" s="87"/>
      <c r="CF194" s="67">
        <f t="shared" si="39"/>
        <v>272</v>
      </c>
      <c r="CG194" s="67">
        <f t="shared" si="40"/>
        <v>416</v>
      </c>
      <c r="CH194" s="67">
        <f t="shared" si="41"/>
        <v>400</v>
      </c>
      <c r="CI194" s="67">
        <f t="shared" si="46"/>
        <v>400</v>
      </c>
      <c r="CJ194" s="37">
        <f t="shared" si="42"/>
        <v>136</v>
      </c>
      <c r="CK194" s="37">
        <f t="shared" si="43"/>
        <v>208</v>
      </c>
      <c r="CL194" s="37">
        <f t="shared" si="44"/>
        <v>200</v>
      </c>
      <c r="CM194" s="37">
        <f t="shared" si="45"/>
        <v>200</v>
      </c>
    </row>
    <row r="195" spans="2:91" ht="25.5">
      <c r="B195" s="156">
        <v>189</v>
      </c>
      <c r="C195" s="160">
        <v>114</v>
      </c>
      <c r="D195" s="162">
        <v>11</v>
      </c>
      <c r="E195" s="161">
        <v>0.50347222222222221</v>
      </c>
      <c r="F195" s="161">
        <v>0.52430555555555558</v>
      </c>
      <c r="G195" s="160" t="s">
        <v>322</v>
      </c>
      <c r="H195" s="160" t="s">
        <v>267</v>
      </c>
      <c r="I195" s="163">
        <v>8</v>
      </c>
      <c r="J195" s="164" t="s">
        <v>146</v>
      </c>
      <c r="K195" s="165">
        <v>55</v>
      </c>
      <c r="L195" s="166">
        <f t="shared" si="57"/>
        <v>440</v>
      </c>
      <c r="M195" s="177" t="s">
        <v>723</v>
      </c>
      <c r="N195" s="150" t="s">
        <v>868</v>
      </c>
      <c r="O195" s="150">
        <v>21</v>
      </c>
      <c r="P195" s="154" t="s">
        <v>1914</v>
      </c>
      <c r="Q195" s="154">
        <v>21</v>
      </c>
      <c r="S195" s="150"/>
      <c r="T195" s="45">
        <v>1135</v>
      </c>
      <c r="U195" s="45" t="s">
        <v>1444</v>
      </c>
      <c r="V195" s="45">
        <v>1127</v>
      </c>
      <c r="W195" s="45" t="s">
        <v>1426</v>
      </c>
      <c r="X195" s="99">
        <v>44562</v>
      </c>
      <c r="Y195" s="99">
        <v>44815</v>
      </c>
      <c r="Z195" s="99">
        <v>45101</v>
      </c>
      <c r="AA195" s="99">
        <v>45169</v>
      </c>
      <c r="AB195" s="41" t="s">
        <v>1121</v>
      </c>
      <c r="AC195" s="41"/>
      <c r="AD195" s="42"/>
      <c r="AE195" s="42" t="s">
        <v>734</v>
      </c>
      <c r="AF195" s="42" t="s">
        <v>734</v>
      </c>
      <c r="AG195" s="42"/>
      <c r="AH195" s="42" t="s">
        <v>734</v>
      </c>
      <c r="AI195" s="42" t="s">
        <v>734</v>
      </c>
      <c r="AJ195" s="42" t="s">
        <v>734</v>
      </c>
      <c r="AK195" s="42" t="s">
        <v>734</v>
      </c>
      <c r="AL195" s="42" t="s">
        <v>734</v>
      </c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68">
        <v>15.2</v>
      </c>
      <c r="AY195" s="37"/>
      <c r="BA195" s="68"/>
      <c r="BB195" s="68"/>
      <c r="BD195" s="67">
        <f t="shared" ref="BD195:BD257" si="60">AX195*K195</f>
        <v>836</v>
      </c>
      <c r="BE195" s="67"/>
      <c r="BF195" s="37"/>
      <c r="BG195" s="73">
        <v>1</v>
      </c>
      <c r="BH195" s="67">
        <f t="shared" si="54"/>
        <v>0.80000000000000071</v>
      </c>
      <c r="BI195" s="67">
        <f t="shared" si="55"/>
        <v>0</v>
      </c>
      <c r="BJ195" s="67">
        <f t="shared" si="56"/>
        <v>44.000000000000043</v>
      </c>
      <c r="BN195" s="37"/>
      <c r="BO195" s="70">
        <f t="shared" si="58"/>
        <v>0</v>
      </c>
      <c r="BP195" s="37">
        <v>7</v>
      </c>
      <c r="BQ195" s="37">
        <v>0</v>
      </c>
      <c r="BR195" s="37">
        <v>0</v>
      </c>
      <c r="BT195" s="87">
        <f t="shared" si="59"/>
        <v>16</v>
      </c>
      <c r="BU195" s="87"/>
      <c r="BV195" s="87"/>
      <c r="BW195" s="87"/>
      <c r="BX195" s="87"/>
      <c r="BY195" s="87"/>
      <c r="BZ195" s="87"/>
      <c r="CA195" s="87"/>
      <c r="CB195" s="87"/>
      <c r="CC195" s="87"/>
      <c r="CD195" s="87"/>
      <c r="CF195" s="67">
        <f t="shared" ref="CF195:CF258" si="61">(BT195*BP195)+(BV195*CD195)</f>
        <v>112</v>
      </c>
      <c r="CG195" s="67">
        <f t="shared" ref="CG195:CG258" si="62">(BT195*BQ195)+(BX195*CD195)</f>
        <v>0</v>
      </c>
      <c r="CH195" s="67">
        <f t="shared" ref="CH195:CH258" si="63">(BR195*BT195)+(BZ195*CD195)</f>
        <v>0</v>
      </c>
      <c r="CI195" s="67">
        <f t="shared" si="46"/>
        <v>0</v>
      </c>
      <c r="CJ195" s="37">
        <f t="shared" ref="CJ195:CJ258" si="64">BP195*I195</f>
        <v>56</v>
      </c>
      <c r="CK195" s="37">
        <f t="shared" ref="CK195:CK258" si="65">BQ195*I195</f>
        <v>0</v>
      </c>
      <c r="CL195" s="37">
        <f t="shared" ref="CL195:CL258" si="66">BR195*I195</f>
        <v>0</v>
      </c>
      <c r="CM195" s="37">
        <f t="shared" ref="CM195:CM258" si="67">BS195*I195</f>
        <v>0</v>
      </c>
    </row>
    <row r="196" spans="2:91" ht="22.5">
      <c r="B196" s="156">
        <v>190</v>
      </c>
      <c r="C196" s="160">
        <v>114</v>
      </c>
      <c r="D196" s="162">
        <v>14</v>
      </c>
      <c r="E196" s="161">
        <v>0.54999999999999993</v>
      </c>
      <c r="F196" s="161">
        <v>0.56458333333333333</v>
      </c>
      <c r="G196" s="160" t="s">
        <v>323</v>
      </c>
      <c r="H196" s="160" t="s">
        <v>1</v>
      </c>
      <c r="I196" s="163">
        <v>8</v>
      </c>
      <c r="J196" s="164" t="s">
        <v>146</v>
      </c>
      <c r="K196" s="165">
        <v>67</v>
      </c>
      <c r="L196" s="166">
        <f t="shared" si="57"/>
        <v>536</v>
      </c>
      <c r="M196" s="177" t="s">
        <v>723</v>
      </c>
      <c r="N196" s="150" t="s">
        <v>868</v>
      </c>
      <c r="O196" s="150">
        <v>21</v>
      </c>
      <c r="P196" s="154" t="s">
        <v>1914</v>
      </c>
      <c r="Q196" s="154">
        <v>21</v>
      </c>
      <c r="S196" s="150"/>
      <c r="T196" s="45">
        <v>1127</v>
      </c>
      <c r="U196" s="45" t="s">
        <v>1426</v>
      </c>
      <c r="V196" s="45">
        <v>1135</v>
      </c>
      <c r="W196" s="45" t="s">
        <v>1444</v>
      </c>
      <c r="X196" s="99">
        <v>44562</v>
      </c>
      <c r="Y196" s="99">
        <v>44815</v>
      </c>
      <c r="Z196" s="99">
        <v>45101</v>
      </c>
      <c r="AA196" s="99">
        <v>45169</v>
      </c>
      <c r="AB196" s="42" t="s">
        <v>1119</v>
      </c>
      <c r="AC196" s="42"/>
      <c r="AD196" s="42"/>
      <c r="AE196" s="42" t="s">
        <v>734</v>
      </c>
      <c r="AF196" s="42" t="s">
        <v>734</v>
      </c>
      <c r="AG196" s="42"/>
      <c r="AH196" s="42" t="s">
        <v>734</v>
      </c>
      <c r="AI196" s="42" t="s">
        <v>734</v>
      </c>
      <c r="AJ196" s="42" t="s">
        <v>734</v>
      </c>
      <c r="AK196" s="42" t="s">
        <v>734</v>
      </c>
      <c r="AL196" s="42" t="s">
        <v>734</v>
      </c>
      <c r="AM196" s="42" t="s">
        <v>734</v>
      </c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68">
        <v>15.2</v>
      </c>
      <c r="AY196" s="37"/>
      <c r="BA196" s="68"/>
      <c r="BB196" s="68"/>
      <c r="BD196" s="67">
        <f t="shared" si="60"/>
        <v>1018.4</v>
      </c>
      <c r="BE196" s="67"/>
      <c r="BF196" s="37"/>
      <c r="BG196" s="73">
        <v>1</v>
      </c>
      <c r="BH196" s="67">
        <f t="shared" si="54"/>
        <v>0.80000000000000071</v>
      </c>
      <c r="BI196" s="67">
        <f t="shared" si="55"/>
        <v>0</v>
      </c>
      <c r="BJ196" s="67">
        <f t="shared" si="56"/>
        <v>53.600000000000051</v>
      </c>
      <c r="BN196" s="37"/>
      <c r="BO196" s="70">
        <f t="shared" si="58"/>
        <v>0</v>
      </c>
      <c r="BP196" s="37">
        <v>9</v>
      </c>
      <c r="BQ196" s="37">
        <v>0</v>
      </c>
      <c r="BR196" s="37">
        <v>0</v>
      </c>
      <c r="BS196" s="37">
        <v>0</v>
      </c>
      <c r="BT196" s="87">
        <f t="shared" si="59"/>
        <v>16</v>
      </c>
      <c r="BU196" s="87"/>
      <c r="BV196" s="87"/>
      <c r="BW196" s="87"/>
      <c r="BX196" s="87"/>
      <c r="BY196" s="87"/>
      <c r="BZ196" s="87"/>
      <c r="CA196" s="87"/>
      <c r="CB196" s="87"/>
      <c r="CC196" s="87"/>
      <c r="CD196" s="87"/>
      <c r="CF196" s="67">
        <f t="shared" si="61"/>
        <v>144</v>
      </c>
      <c r="CG196" s="67">
        <f t="shared" si="62"/>
        <v>0</v>
      </c>
      <c r="CH196" s="67">
        <f t="shared" si="63"/>
        <v>0</v>
      </c>
      <c r="CI196" s="67">
        <f t="shared" ref="CI196:CI259" si="68">(BS196*BT196)+(CB196*CD196)</f>
        <v>0</v>
      </c>
      <c r="CJ196" s="37">
        <f t="shared" si="64"/>
        <v>72</v>
      </c>
      <c r="CK196" s="37">
        <f t="shared" si="65"/>
        <v>0</v>
      </c>
      <c r="CL196" s="37">
        <f t="shared" si="66"/>
        <v>0</v>
      </c>
      <c r="CM196" s="37">
        <f t="shared" si="67"/>
        <v>0</v>
      </c>
    </row>
    <row r="197" spans="2:91" ht="25.5">
      <c r="B197" s="156">
        <v>191</v>
      </c>
      <c r="C197" s="160">
        <v>114</v>
      </c>
      <c r="D197" s="162">
        <v>14</v>
      </c>
      <c r="E197" s="161">
        <v>0.54999999999999993</v>
      </c>
      <c r="F197" s="161">
        <v>0.56458333333333333</v>
      </c>
      <c r="G197" s="160" t="s">
        <v>323</v>
      </c>
      <c r="H197" s="160" t="s">
        <v>479</v>
      </c>
      <c r="I197" s="163">
        <v>8</v>
      </c>
      <c r="J197" s="164" t="s">
        <v>146</v>
      </c>
      <c r="K197" s="165">
        <v>240</v>
      </c>
      <c r="L197" s="166">
        <f t="shared" si="57"/>
        <v>1920</v>
      </c>
      <c r="M197" s="177" t="s">
        <v>723</v>
      </c>
      <c r="N197" s="150" t="s">
        <v>868</v>
      </c>
      <c r="O197" s="150">
        <v>21</v>
      </c>
      <c r="P197" s="154" t="s">
        <v>1914</v>
      </c>
      <c r="Q197" s="154">
        <v>21</v>
      </c>
      <c r="S197" s="150"/>
      <c r="T197" s="45">
        <v>1127</v>
      </c>
      <c r="U197" s="45" t="s">
        <v>1426</v>
      </c>
      <c r="V197" s="45">
        <v>1135</v>
      </c>
      <c r="W197" s="45" t="s">
        <v>1444</v>
      </c>
      <c r="X197" s="99">
        <v>44816</v>
      </c>
      <c r="Y197" s="99">
        <v>45100</v>
      </c>
      <c r="Z197" s="99"/>
      <c r="AA197" s="99"/>
      <c r="AB197" s="45" t="s">
        <v>1124</v>
      </c>
      <c r="AC197" s="45"/>
      <c r="AD197" s="42" t="s">
        <v>734</v>
      </c>
      <c r="AE197" s="42"/>
      <c r="AF197" s="42" t="s">
        <v>734</v>
      </c>
      <c r="AG197" s="42"/>
      <c r="AH197" s="42" t="s">
        <v>734</v>
      </c>
      <c r="AI197" s="42" t="s">
        <v>734</v>
      </c>
      <c r="AJ197" s="42" t="s">
        <v>734</v>
      </c>
      <c r="AK197" s="42" t="s">
        <v>734</v>
      </c>
      <c r="AL197" s="42" t="s">
        <v>734</v>
      </c>
      <c r="AM197" s="42" t="s">
        <v>734</v>
      </c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68">
        <v>15.2</v>
      </c>
      <c r="AY197" s="37"/>
      <c r="BA197" s="68"/>
      <c r="BB197" s="68"/>
      <c r="BD197" s="67">
        <f t="shared" si="60"/>
        <v>3648</v>
      </c>
      <c r="BE197" s="67"/>
      <c r="BF197" s="37"/>
      <c r="BG197" s="73">
        <v>1</v>
      </c>
      <c r="BH197" s="67">
        <f t="shared" si="54"/>
        <v>0.80000000000000071</v>
      </c>
      <c r="BI197" s="67">
        <f t="shared" si="55"/>
        <v>0</v>
      </c>
      <c r="BJ197" s="67">
        <f t="shared" si="56"/>
        <v>192.00000000000017</v>
      </c>
      <c r="BN197" s="37"/>
      <c r="BO197" s="70">
        <f t="shared" si="58"/>
        <v>0</v>
      </c>
      <c r="BP197" s="37">
        <v>17</v>
      </c>
      <c r="BQ197" s="37">
        <v>26</v>
      </c>
      <c r="BR197" s="37">
        <v>25</v>
      </c>
      <c r="BS197" s="37">
        <v>25</v>
      </c>
      <c r="BT197" s="87">
        <f t="shared" si="59"/>
        <v>16</v>
      </c>
      <c r="BU197" s="87"/>
      <c r="BV197" s="87"/>
      <c r="BW197" s="87"/>
      <c r="BX197" s="87"/>
      <c r="BY197" s="87"/>
      <c r="BZ197" s="87"/>
      <c r="CA197" s="87"/>
      <c r="CB197" s="87"/>
      <c r="CC197" s="87"/>
      <c r="CD197" s="87"/>
      <c r="CF197" s="67">
        <f t="shared" si="61"/>
        <v>272</v>
      </c>
      <c r="CG197" s="67">
        <f t="shared" si="62"/>
        <v>416</v>
      </c>
      <c r="CH197" s="67">
        <f t="shared" si="63"/>
        <v>400</v>
      </c>
      <c r="CI197" s="67">
        <f t="shared" si="68"/>
        <v>400</v>
      </c>
      <c r="CJ197" s="37">
        <f t="shared" si="64"/>
        <v>136</v>
      </c>
      <c r="CK197" s="37">
        <f t="shared" si="65"/>
        <v>208</v>
      </c>
      <c r="CL197" s="37">
        <f t="shared" si="66"/>
        <v>200</v>
      </c>
      <c r="CM197" s="37">
        <f t="shared" si="67"/>
        <v>200</v>
      </c>
    </row>
    <row r="198" spans="2:91" ht="22.5">
      <c r="B198" s="156">
        <v>192</v>
      </c>
      <c r="C198" s="160">
        <v>114</v>
      </c>
      <c r="D198" s="162">
        <v>13</v>
      </c>
      <c r="E198" s="161">
        <v>0.56458333333333333</v>
      </c>
      <c r="F198" s="173">
        <v>0.57291666666666663</v>
      </c>
      <c r="G198" s="160" t="s">
        <v>322</v>
      </c>
      <c r="H198" s="160" t="s">
        <v>325</v>
      </c>
      <c r="I198" s="163">
        <v>8</v>
      </c>
      <c r="J198" s="164" t="s">
        <v>146</v>
      </c>
      <c r="K198" s="165">
        <v>67</v>
      </c>
      <c r="L198" s="166">
        <f t="shared" si="57"/>
        <v>536</v>
      </c>
      <c r="M198" s="177" t="s">
        <v>723</v>
      </c>
      <c r="N198" s="150" t="s">
        <v>868</v>
      </c>
      <c r="O198" s="150">
        <v>21</v>
      </c>
      <c r="P198" s="154" t="s">
        <v>1914</v>
      </c>
      <c r="Q198" s="154">
        <v>21</v>
      </c>
      <c r="S198" s="150"/>
      <c r="T198" s="45">
        <v>1135</v>
      </c>
      <c r="U198" s="45" t="s">
        <v>1444</v>
      </c>
      <c r="V198" s="45">
        <v>1127</v>
      </c>
      <c r="W198" s="45" t="s">
        <v>1426</v>
      </c>
      <c r="X198" s="99">
        <v>44562</v>
      </c>
      <c r="Y198" s="99">
        <v>44815</v>
      </c>
      <c r="Z198" s="99">
        <v>45101</v>
      </c>
      <c r="AA198" s="99">
        <v>45169</v>
      </c>
      <c r="AB198" s="42" t="s">
        <v>1119</v>
      </c>
      <c r="AC198" s="42"/>
      <c r="AD198" s="42"/>
      <c r="AE198" s="42" t="s">
        <v>734</v>
      </c>
      <c r="AF198" s="42" t="s">
        <v>734</v>
      </c>
      <c r="AG198" s="42"/>
      <c r="AH198" s="42" t="s">
        <v>734</v>
      </c>
      <c r="AI198" s="42" t="s">
        <v>734</v>
      </c>
      <c r="AJ198" s="42" t="s">
        <v>734</v>
      </c>
      <c r="AK198" s="42" t="s">
        <v>734</v>
      </c>
      <c r="AL198" s="42" t="s">
        <v>734</v>
      </c>
      <c r="AM198" s="42" t="s">
        <v>734</v>
      </c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68">
        <v>15.2</v>
      </c>
      <c r="AY198" s="37"/>
      <c r="BA198" s="68"/>
      <c r="BB198" s="68"/>
      <c r="BD198" s="67">
        <f t="shared" si="60"/>
        <v>1018.4</v>
      </c>
      <c r="BE198" s="67"/>
      <c r="BF198" s="37"/>
      <c r="BG198" s="73">
        <v>1</v>
      </c>
      <c r="BH198" s="67">
        <f t="shared" si="54"/>
        <v>0.80000000000000071</v>
      </c>
      <c r="BI198" s="67">
        <f t="shared" si="55"/>
        <v>0</v>
      </c>
      <c r="BJ198" s="67">
        <f t="shared" si="56"/>
        <v>53.600000000000051</v>
      </c>
      <c r="BN198" s="37"/>
      <c r="BO198" s="70">
        <f t="shared" si="58"/>
        <v>0</v>
      </c>
      <c r="BP198" s="37">
        <v>9</v>
      </c>
      <c r="BQ198" s="37">
        <v>0</v>
      </c>
      <c r="BR198" s="37">
        <v>0</v>
      </c>
      <c r="BS198" s="37">
        <v>0</v>
      </c>
      <c r="BT198" s="87">
        <f t="shared" si="59"/>
        <v>16</v>
      </c>
      <c r="BU198" s="87"/>
      <c r="BV198" s="87"/>
      <c r="BW198" s="87"/>
      <c r="BX198" s="87"/>
      <c r="BY198" s="87"/>
      <c r="BZ198" s="87"/>
      <c r="CA198" s="87"/>
      <c r="CB198" s="87"/>
      <c r="CC198" s="87"/>
      <c r="CD198" s="87"/>
      <c r="CF198" s="67">
        <f t="shared" si="61"/>
        <v>144</v>
      </c>
      <c r="CG198" s="67">
        <f t="shared" si="62"/>
        <v>0</v>
      </c>
      <c r="CH198" s="67">
        <f t="shared" si="63"/>
        <v>0</v>
      </c>
      <c r="CI198" s="67">
        <f t="shared" si="68"/>
        <v>0</v>
      </c>
      <c r="CJ198" s="37">
        <f t="shared" si="64"/>
        <v>72</v>
      </c>
      <c r="CK198" s="37">
        <f t="shared" si="65"/>
        <v>0</v>
      </c>
      <c r="CL198" s="37">
        <f t="shared" si="66"/>
        <v>0</v>
      </c>
      <c r="CM198" s="37">
        <f t="shared" si="67"/>
        <v>0</v>
      </c>
    </row>
    <row r="199" spans="2:91" ht="25.5">
      <c r="B199" s="156">
        <v>193</v>
      </c>
      <c r="C199" s="160">
        <v>114</v>
      </c>
      <c r="D199" s="162">
        <v>13</v>
      </c>
      <c r="E199" s="161">
        <v>0.56458333333333333</v>
      </c>
      <c r="F199" s="161">
        <v>0.57499999999999996</v>
      </c>
      <c r="G199" s="160" t="s">
        <v>324</v>
      </c>
      <c r="H199" s="160" t="s">
        <v>479</v>
      </c>
      <c r="I199" s="163">
        <v>10</v>
      </c>
      <c r="J199" s="164" t="s">
        <v>146</v>
      </c>
      <c r="K199" s="165">
        <v>240</v>
      </c>
      <c r="L199" s="166">
        <f t="shared" si="57"/>
        <v>2400</v>
      </c>
      <c r="M199" s="177" t="s">
        <v>723</v>
      </c>
      <c r="N199" s="150" t="s">
        <v>868</v>
      </c>
      <c r="O199" s="150">
        <v>21</v>
      </c>
      <c r="P199" s="154" t="s">
        <v>1914</v>
      </c>
      <c r="Q199" s="154">
        <v>21</v>
      </c>
      <c r="S199" s="150"/>
      <c r="T199" s="45">
        <v>1135</v>
      </c>
      <c r="U199" s="45" t="s">
        <v>1444</v>
      </c>
      <c r="V199" s="45">
        <v>1136</v>
      </c>
      <c r="W199" s="45" t="s">
        <v>1445</v>
      </c>
      <c r="X199" s="99">
        <v>44816</v>
      </c>
      <c r="Y199" s="99">
        <v>45100</v>
      </c>
      <c r="Z199" s="99"/>
      <c r="AA199" s="99"/>
      <c r="AB199" s="45" t="s">
        <v>1124</v>
      </c>
      <c r="AC199" s="45"/>
      <c r="AD199" s="42" t="s">
        <v>734</v>
      </c>
      <c r="AE199" s="42"/>
      <c r="AF199" s="42" t="s">
        <v>734</v>
      </c>
      <c r="AG199" s="42"/>
      <c r="AH199" s="42" t="s">
        <v>734</v>
      </c>
      <c r="AI199" s="42" t="s">
        <v>734</v>
      </c>
      <c r="AJ199" s="42" t="s">
        <v>734</v>
      </c>
      <c r="AK199" s="42" t="s">
        <v>734</v>
      </c>
      <c r="AL199" s="42" t="s">
        <v>734</v>
      </c>
      <c r="AM199" s="42" t="s">
        <v>734</v>
      </c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68">
        <v>19</v>
      </c>
      <c r="AY199" s="37"/>
      <c r="BA199" s="68"/>
      <c r="BB199" s="68"/>
      <c r="BD199" s="67">
        <f t="shared" si="60"/>
        <v>4560</v>
      </c>
      <c r="BE199" s="67"/>
      <c r="BF199" s="37"/>
      <c r="BG199" s="73">
        <v>1</v>
      </c>
      <c r="BH199" s="67">
        <f t="shared" si="54"/>
        <v>1</v>
      </c>
      <c r="BI199" s="67">
        <f t="shared" si="55"/>
        <v>0</v>
      </c>
      <c r="BJ199" s="67">
        <f t="shared" si="56"/>
        <v>240</v>
      </c>
      <c r="BN199" s="37"/>
      <c r="BO199" s="70">
        <f t="shared" si="58"/>
        <v>0</v>
      </c>
      <c r="BP199" s="37">
        <v>17</v>
      </c>
      <c r="BQ199" s="37">
        <v>26</v>
      </c>
      <c r="BR199" s="37">
        <v>25</v>
      </c>
      <c r="BS199" s="37">
        <v>25</v>
      </c>
      <c r="BT199" s="87">
        <f t="shared" si="59"/>
        <v>20</v>
      </c>
      <c r="BU199" s="87"/>
      <c r="BV199" s="87"/>
      <c r="BW199" s="87"/>
      <c r="BX199" s="87"/>
      <c r="BY199" s="87"/>
      <c r="BZ199" s="87"/>
      <c r="CA199" s="87"/>
      <c r="CB199" s="87"/>
      <c r="CC199" s="87"/>
      <c r="CD199" s="87"/>
      <c r="CF199" s="67">
        <f t="shared" si="61"/>
        <v>340</v>
      </c>
      <c r="CG199" s="67">
        <f t="shared" si="62"/>
        <v>520</v>
      </c>
      <c r="CH199" s="67">
        <f t="shared" si="63"/>
        <v>500</v>
      </c>
      <c r="CI199" s="67">
        <f t="shared" si="68"/>
        <v>500</v>
      </c>
      <c r="CJ199" s="37">
        <f t="shared" si="64"/>
        <v>170</v>
      </c>
      <c r="CK199" s="37">
        <f t="shared" si="65"/>
        <v>260</v>
      </c>
      <c r="CL199" s="37">
        <f t="shared" si="66"/>
        <v>250</v>
      </c>
      <c r="CM199" s="37">
        <f t="shared" si="67"/>
        <v>250</v>
      </c>
    </row>
    <row r="200" spans="2:91" ht="25.5">
      <c r="B200" s="156">
        <v>194</v>
      </c>
      <c r="C200" s="174">
        <v>114</v>
      </c>
      <c r="D200" s="191">
        <v>16</v>
      </c>
      <c r="E200" s="161">
        <v>0.58888888888888891</v>
      </c>
      <c r="F200" s="173">
        <v>0.59930555555555554</v>
      </c>
      <c r="G200" s="160" t="s">
        <v>323</v>
      </c>
      <c r="H200" s="160" t="s">
        <v>103</v>
      </c>
      <c r="I200" s="163">
        <v>8</v>
      </c>
      <c r="J200" s="164" t="s">
        <v>146</v>
      </c>
      <c r="K200" s="165">
        <v>174</v>
      </c>
      <c r="L200" s="166">
        <f t="shared" si="57"/>
        <v>1392</v>
      </c>
      <c r="M200" s="177" t="s">
        <v>723</v>
      </c>
      <c r="N200" s="150" t="s">
        <v>868</v>
      </c>
      <c r="O200" s="150">
        <v>21</v>
      </c>
      <c r="P200" s="154" t="s">
        <v>1914</v>
      </c>
      <c r="Q200" s="154">
        <v>21</v>
      </c>
      <c r="S200" s="150"/>
      <c r="T200" s="45">
        <v>1127</v>
      </c>
      <c r="U200" s="45" t="s">
        <v>1426</v>
      </c>
      <c r="V200" s="45">
        <v>1135</v>
      </c>
      <c r="W200" s="45" t="s">
        <v>1444</v>
      </c>
      <c r="X200" s="98">
        <v>44816</v>
      </c>
      <c r="Y200" s="98">
        <v>45086</v>
      </c>
      <c r="Z200" s="98"/>
      <c r="AA200" s="98"/>
      <c r="AB200" s="41" t="s">
        <v>1114</v>
      </c>
      <c r="AC200" s="41"/>
      <c r="AD200" s="42"/>
      <c r="AE200" s="42"/>
      <c r="AF200" s="42"/>
      <c r="AG200" s="42" t="s">
        <v>734</v>
      </c>
      <c r="AH200" s="42" t="s">
        <v>734</v>
      </c>
      <c r="AI200" s="42" t="s">
        <v>734</v>
      </c>
      <c r="AJ200" s="42" t="s">
        <v>734</v>
      </c>
      <c r="AK200" s="42" t="s">
        <v>734</v>
      </c>
      <c r="AL200" s="42" t="s">
        <v>734</v>
      </c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68">
        <v>0</v>
      </c>
      <c r="BA200" s="68"/>
      <c r="BB200" s="68"/>
      <c r="BD200" s="67">
        <f t="shared" si="60"/>
        <v>0</v>
      </c>
      <c r="BE200" s="67"/>
      <c r="BF200" s="37"/>
      <c r="BG200" s="73">
        <v>1</v>
      </c>
      <c r="BH200" s="67">
        <f t="shared" si="54"/>
        <v>16</v>
      </c>
      <c r="BI200" s="67">
        <f t="shared" si="55"/>
        <v>0</v>
      </c>
      <c r="BJ200" s="67">
        <f t="shared" si="56"/>
        <v>2784</v>
      </c>
      <c r="BN200" s="37"/>
      <c r="BO200" s="70">
        <f t="shared" si="58"/>
        <v>0</v>
      </c>
      <c r="BP200" s="37">
        <v>15</v>
      </c>
      <c r="BQ200" s="37">
        <v>20</v>
      </c>
      <c r="BR200" s="37">
        <v>21</v>
      </c>
      <c r="BS200" s="37">
        <v>15</v>
      </c>
      <c r="BT200" s="87">
        <f t="shared" si="59"/>
        <v>16</v>
      </c>
      <c r="BU200" s="87"/>
      <c r="BV200" s="87"/>
      <c r="BW200" s="87"/>
      <c r="BX200" s="87"/>
      <c r="BY200" s="87"/>
      <c r="BZ200" s="87"/>
      <c r="CA200" s="87"/>
      <c r="CB200" s="87"/>
      <c r="CC200" s="87"/>
      <c r="CD200" s="87"/>
      <c r="CF200" s="67">
        <f t="shared" si="61"/>
        <v>240</v>
      </c>
      <c r="CG200" s="67">
        <f t="shared" si="62"/>
        <v>320</v>
      </c>
      <c r="CH200" s="67">
        <f t="shared" si="63"/>
        <v>336</v>
      </c>
      <c r="CI200" s="67">
        <f t="shared" si="68"/>
        <v>240</v>
      </c>
      <c r="CJ200" s="37">
        <f t="shared" si="64"/>
        <v>120</v>
      </c>
      <c r="CK200" s="37">
        <f t="shared" si="65"/>
        <v>160</v>
      </c>
      <c r="CL200" s="37">
        <f t="shared" si="66"/>
        <v>168</v>
      </c>
      <c r="CM200" s="37">
        <f t="shared" si="67"/>
        <v>120</v>
      </c>
    </row>
    <row r="201" spans="2:91" ht="25.5">
      <c r="B201" s="156">
        <v>195</v>
      </c>
      <c r="C201" s="160">
        <v>114</v>
      </c>
      <c r="D201" s="162">
        <v>18</v>
      </c>
      <c r="E201" s="161">
        <v>0.7270833333333333</v>
      </c>
      <c r="F201" s="161">
        <v>0.74791666666666667</v>
      </c>
      <c r="G201" s="160" t="s">
        <v>323</v>
      </c>
      <c r="H201" s="160" t="s">
        <v>479</v>
      </c>
      <c r="I201" s="163">
        <v>8</v>
      </c>
      <c r="J201" s="164" t="s">
        <v>146</v>
      </c>
      <c r="K201" s="165">
        <v>240</v>
      </c>
      <c r="L201" s="166">
        <f t="shared" si="57"/>
        <v>1920</v>
      </c>
      <c r="M201" s="177" t="s">
        <v>723</v>
      </c>
      <c r="N201" s="150" t="s">
        <v>868</v>
      </c>
      <c r="O201" s="150">
        <v>21</v>
      </c>
      <c r="P201" s="154" t="s">
        <v>1914</v>
      </c>
      <c r="Q201" s="154">
        <v>21</v>
      </c>
      <c r="S201" s="150"/>
      <c r="T201" s="45">
        <v>1127</v>
      </c>
      <c r="U201" s="45" t="s">
        <v>1426</v>
      </c>
      <c r="V201" s="45">
        <v>1135</v>
      </c>
      <c r="W201" s="45" t="s">
        <v>1444</v>
      </c>
      <c r="X201" s="99">
        <v>44816</v>
      </c>
      <c r="Y201" s="99">
        <v>45100</v>
      </c>
      <c r="Z201" s="99"/>
      <c r="AA201" s="99"/>
      <c r="AB201" s="45" t="s">
        <v>1124</v>
      </c>
      <c r="AC201" s="45"/>
      <c r="AD201" s="42" t="s">
        <v>734</v>
      </c>
      <c r="AE201" s="42"/>
      <c r="AF201" s="42" t="s">
        <v>734</v>
      </c>
      <c r="AG201" s="42"/>
      <c r="AH201" s="42" t="s">
        <v>734</v>
      </c>
      <c r="AI201" s="42" t="s">
        <v>734</v>
      </c>
      <c r="AJ201" s="42" t="s">
        <v>734</v>
      </c>
      <c r="AK201" s="42" t="s">
        <v>734</v>
      </c>
      <c r="AL201" s="42" t="s">
        <v>734</v>
      </c>
      <c r="AM201" s="42" t="s">
        <v>734</v>
      </c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68">
        <v>15.2</v>
      </c>
      <c r="BA201" s="68"/>
      <c r="BB201" s="68"/>
      <c r="BD201" s="67">
        <f t="shared" si="60"/>
        <v>3648</v>
      </c>
      <c r="BE201" s="67"/>
      <c r="BF201" s="37"/>
      <c r="BG201" s="73">
        <v>1</v>
      </c>
      <c r="BH201" s="67">
        <f t="shared" si="54"/>
        <v>0.80000000000000071</v>
      </c>
      <c r="BI201" s="67">
        <f t="shared" si="55"/>
        <v>0</v>
      </c>
      <c r="BJ201" s="67">
        <f t="shared" si="56"/>
        <v>192.00000000000017</v>
      </c>
      <c r="BN201" s="37"/>
      <c r="BO201" s="70">
        <f t="shared" si="58"/>
        <v>0</v>
      </c>
      <c r="BP201" s="37">
        <v>17</v>
      </c>
      <c r="BQ201" s="37">
        <v>26</v>
      </c>
      <c r="BR201" s="37">
        <v>25</v>
      </c>
      <c r="BS201" s="37">
        <v>25</v>
      </c>
      <c r="BT201" s="87">
        <f t="shared" si="59"/>
        <v>16</v>
      </c>
      <c r="BU201" s="87"/>
      <c r="BV201" s="87"/>
      <c r="BW201" s="87"/>
      <c r="BX201" s="87"/>
      <c r="BY201" s="87"/>
      <c r="BZ201" s="87"/>
      <c r="CA201" s="87"/>
      <c r="CB201" s="87"/>
      <c r="CC201" s="87"/>
      <c r="CD201" s="87"/>
      <c r="CF201" s="67">
        <f t="shared" si="61"/>
        <v>272</v>
      </c>
      <c r="CG201" s="67">
        <f t="shared" si="62"/>
        <v>416</v>
      </c>
      <c r="CH201" s="67">
        <f t="shared" si="63"/>
        <v>400</v>
      </c>
      <c r="CI201" s="67">
        <f t="shared" si="68"/>
        <v>400</v>
      </c>
      <c r="CJ201" s="37">
        <f t="shared" si="64"/>
        <v>136</v>
      </c>
      <c r="CK201" s="37">
        <f t="shared" si="65"/>
        <v>208</v>
      </c>
      <c r="CL201" s="37">
        <f t="shared" si="66"/>
        <v>200</v>
      </c>
      <c r="CM201" s="37">
        <f t="shared" si="67"/>
        <v>200</v>
      </c>
    </row>
    <row r="202" spans="2:91" ht="22.5">
      <c r="B202" s="156">
        <v>196</v>
      </c>
      <c r="C202" s="160">
        <v>114</v>
      </c>
      <c r="D202" s="162">
        <v>18</v>
      </c>
      <c r="E202" s="161">
        <v>0.7270833333333333</v>
      </c>
      <c r="F202" s="161">
        <v>0.74791666666666667</v>
      </c>
      <c r="G202" s="160" t="s">
        <v>323</v>
      </c>
      <c r="H202" s="160" t="s">
        <v>1</v>
      </c>
      <c r="I202" s="163">
        <v>8</v>
      </c>
      <c r="J202" s="164" t="s">
        <v>146</v>
      </c>
      <c r="K202" s="165">
        <v>67</v>
      </c>
      <c r="L202" s="166">
        <f t="shared" si="57"/>
        <v>536</v>
      </c>
      <c r="M202" s="177" t="s">
        <v>723</v>
      </c>
      <c r="N202" s="150" t="s">
        <v>868</v>
      </c>
      <c r="O202" s="150">
        <v>21</v>
      </c>
      <c r="P202" s="154" t="s">
        <v>1914</v>
      </c>
      <c r="Q202" s="154">
        <v>21</v>
      </c>
      <c r="S202" s="150"/>
      <c r="T202" s="45">
        <v>1127</v>
      </c>
      <c r="U202" s="45" t="s">
        <v>1426</v>
      </c>
      <c r="V202" s="45">
        <v>1135</v>
      </c>
      <c r="W202" s="45" t="s">
        <v>1444</v>
      </c>
      <c r="X202" s="99">
        <v>44562</v>
      </c>
      <c r="Y202" s="99">
        <v>44815</v>
      </c>
      <c r="Z202" s="99">
        <v>45101</v>
      </c>
      <c r="AA202" s="99">
        <v>45169</v>
      </c>
      <c r="AB202" s="42" t="s">
        <v>1119</v>
      </c>
      <c r="AC202" s="42"/>
      <c r="AD202" s="42"/>
      <c r="AE202" s="42" t="s">
        <v>734</v>
      </c>
      <c r="AF202" s="42" t="s">
        <v>734</v>
      </c>
      <c r="AG202" s="42"/>
      <c r="AH202" s="42" t="s">
        <v>734</v>
      </c>
      <c r="AI202" s="42" t="s">
        <v>734</v>
      </c>
      <c r="AJ202" s="42" t="s">
        <v>734</v>
      </c>
      <c r="AK202" s="42" t="s">
        <v>734</v>
      </c>
      <c r="AL202" s="42" t="s">
        <v>734</v>
      </c>
      <c r="AM202" s="42" t="s">
        <v>734</v>
      </c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68">
        <v>15.2</v>
      </c>
      <c r="BA202" s="68"/>
      <c r="BB202" s="68"/>
      <c r="BD202" s="67">
        <f t="shared" si="60"/>
        <v>1018.4</v>
      </c>
      <c r="BE202" s="67"/>
      <c r="BF202" s="37"/>
      <c r="BG202" s="73">
        <v>1</v>
      </c>
      <c r="BH202" s="67">
        <f t="shared" si="54"/>
        <v>0.80000000000000071</v>
      </c>
      <c r="BI202" s="67">
        <f t="shared" si="55"/>
        <v>0</v>
      </c>
      <c r="BJ202" s="67">
        <f t="shared" si="56"/>
        <v>53.600000000000051</v>
      </c>
      <c r="BN202" s="37"/>
      <c r="BO202" s="70">
        <f t="shared" si="58"/>
        <v>0</v>
      </c>
      <c r="BP202" s="37">
        <v>9</v>
      </c>
      <c r="BQ202" s="37">
        <v>0</v>
      </c>
      <c r="BR202" s="37">
        <v>0</v>
      </c>
      <c r="BS202" s="37">
        <v>0</v>
      </c>
      <c r="BT202" s="87">
        <f t="shared" si="59"/>
        <v>16</v>
      </c>
      <c r="BU202" s="87"/>
      <c r="BV202" s="87"/>
      <c r="BW202" s="87"/>
      <c r="BX202" s="87"/>
      <c r="BY202" s="87"/>
      <c r="BZ202" s="87"/>
      <c r="CA202" s="87"/>
      <c r="CB202" s="87"/>
      <c r="CC202" s="87"/>
      <c r="CD202" s="87"/>
      <c r="CF202" s="67">
        <f t="shared" si="61"/>
        <v>144</v>
      </c>
      <c r="CG202" s="67">
        <f t="shared" si="62"/>
        <v>0</v>
      </c>
      <c r="CH202" s="67">
        <f t="shared" si="63"/>
        <v>0</v>
      </c>
      <c r="CI202" s="67">
        <f t="shared" si="68"/>
        <v>0</v>
      </c>
      <c r="CJ202" s="37">
        <f t="shared" si="64"/>
        <v>72</v>
      </c>
      <c r="CK202" s="37">
        <f t="shared" si="65"/>
        <v>0</v>
      </c>
      <c r="CL202" s="37">
        <f t="shared" si="66"/>
        <v>0</v>
      </c>
      <c r="CM202" s="37">
        <f t="shared" si="67"/>
        <v>0</v>
      </c>
    </row>
    <row r="203" spans="2:91" ht="25.5">
      <c r="B203" s="156">
        <v>197</v>
      </c>
      <c r="C203" s="160">
        <v>114</v>
      </c>
      <c r="D203" s="162">
        <v>17</v>
      </c>
      <c r="E203" s="161">
        <v>0.75</v>
      </c>
      <c r="F203" s="161">
        <v>0.76041666666666663</v>
      </c>
      <c r="G203" s="160" t="s">
        <v>322</v>
      </c>
      <c r="H203" s="160" t="s">
        <v>479</v>
      </c>
      <c r="I203" s="163">
        <v>8</v>
      </c>
      <c r="J203" s="164" t="s">
        <v>146</v>
      </c>
      <c r="K203" s="165">
        <v>240</v>
      </c>
      <c r="L203" s="166">
        <f t="shared" si="57"/>
        <v>1920</v>
      </c>
      <c r="M203" s="177" t="s">
        <v>723</v>
      </c>
      <c r="N203" s="150" t="s">
        <v>868</v>
      </c>
      <c r="O203" s="150">
        <v>21</v>
      </c>
      <c r="P203" s="154" t="s">
        <v>1914</v>
      </c>
      <c r="Q203" s="154">
        <v>21</v>
      </c>
      <c r="S203" s="150"/>
      <c r="T203" s="45">
        <v>1135</v>
      </c>
      <c r="U203" s="45" t="s">
        <v>1444</v>
      </c>
      <c r="V203" s="45">
        <v>1127</v>
      </c>
      <c r="W203" s="45" t="s">
        <v>1426</v>
      </c>
      <c r="X203" s="99">
        <v>44816</v>
      </c>
      <c r="Y203" s="99">
        <v>45100</v>
      </c>
      <c r="Z203" s="99"/>
      <c r="AA203" s="99"/>
      <c r="AB203" s="45" t="s">
        <v>1124</v>
      </c>
      <c r="AC203" s="45"/>
      <c r="AD203" s="42" t="s">
        <v>734</v>
      </c>
      <c r="AE203" s="42"/>
      <c r="AF203" s="42" t="s">
        <v>734</v>
      </c>
      <c r="AG203" s="42"/>
      <c r="AH203" s="42" t="s">
        <v>734</v>
      </c>
      <c r="AI203" s="42" t="s">
        <v>734</v>
      </c>
      <c r="AJ203" s="42" t="s">
        <v>734</v>
      </c>
      <c r="AK203" s="42" t="s">
        <v>734</v>
      </c>
      <c r="AL203" s="42" t="s">
        <v>734</v>
      </c>
      <c r="AM203" s="42" t="s">
        <v>734</v>
      </c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68">
        <v>15.2</v>
      </c>
      <c r="BA203" s="68"/>
      <c r="BB203" s="68"/>
      <c r="BD203" s="67">
        <f t="shared" si="60"/>
        <v>3648</v>
      </c>
      <c r="BE203" s="67"/>
      <c r="BF203" s="37"/>
      <c r="BG203" s="73">
        <v>1</v>
      </c>
      <c r="BH203" s="67">
        <f t="shared" si="54"/>
        <v>0.80000000000000071</v>
      </c>
      <c r="BI203" s="67">
        <f t="shared" si="55"/>
        <v>0</v>
      </c>
      <c r="BJ203" s="67">
        <f t="shared" si="56"/>
        <v>192.00000000000017</v>
      </c>
      <c r="BN203" s="37"/>
      <c r="BO203" s="70">
        <f t="shared" si="58"/>
        <v>0</v>
      </c>
      <c r="BP203" s="37">
        <v>17</v>
      </c>
      <c r="BQ203" s="37">
        <v>26</v>
      </c>
      <c r="BR203" s="37">
        <v>25</v>
      </c>
      <c r="BS203" s="37">
        <v>25</v>
      </c>
      <c r="BT203" s="87">
        <f t="shared" si="59"/>
        <v>16</v>
      </c>
      <c r="BU203" s="87"/>
      <c r="BV203" s="87"/>
      <c r="BW203" s="87"/>
      <c r="BX203" s="87"/>
      <c r="BY203" s="87"/>
      <c r="BZ203" s="87"/>
      <c r="CA203" s="87"/>
      <c r="CB203" s="87"/>
      <c r="CC203" s="87"/>
      <c r="CD203" s="87"/>
      <c r="CF203" s="67">
        <f t="shared" si="61"/>
        <v>272</v>
      </c>
      <c r="CG203" s="67">
        <f t="shared" si="62"/>
        <v>416</v>
      </c>
      <c r="CH203" s="67">
        <f t="shared" si="63"/>
        <v>400</v>
      </c>
      <c r="CI203" s="67">
        <f t="shared" si="68"/>
        <v>400</v>
      </c>
      <c r="CJ203" s="37">
        <f t="shared" si="64"/>
        <v>136</v>
      </c>
      <c r="CK203" s="37">
        <f t="shared" si="65"/>
        <v>208</v>
      </c>
      <c r="CL203" s="37">
        <f t="shared" si="66"/>
        <v>200</v>
      </c>
      <c r="CM203" s="37">
        <f t="shared" si="67"/>
        <v>200</v>
      </c>
    </row>
    <row r="204" spans="2:91" ht="22.5">
      <c r="B204" s="156">
        <v>198</v>
      </c>
      <c r="C204" s="160">
        <v>114</v>
      </c>
      <c r="D204" s="162">
        <v>17</v>
      </c>
      <c r="E204" s="161">
        <v>0.75</v>
      </c>
      <c r="F204" s="173">
        <v>0.76041666666666663</v>
      </c>
      <c r="G204" s="160" t="s">
        <v>322</v>
      </c>
      <c r="H204" s="160" t="s">
        <v>1</v>
      </c>
      <c r="I204" s="163">
        <v>8</v>
      </c>
      <c r="J204" s="164" t="s">
        <v>146</v>
      </c>
      <c r="K204" s="165">
        <v>67</v>
      </c>
      <c r="L204" s="166">
        <f t="shared" si="57"/>
        <v>536</v>
      </c>
      <c r="M204" s="177" t="s">
        <v>723</v>
      </c>
      <c r="N204" s="150" t="s">
        <v>868</v>
      </c>
      <c r="O204" s="150">
        <v>21</v>
      </c>
      <c r="P204" s="154" t="s">
        <v>1914</v>
      </c>
      <c r="Q204" s="154">
        <v>21</v>
      </c>
      <c r="S204" s="150"/>
      <c r="T204" s="45">
        <v>1135</v>
      </c>
      <c r="U204" s="45" t="s">
        <v>1444</v>
      </c>
      <c r="V204" s="45">
        <v>1127</v>
      </c>
      <c r="W204" s="45" t="s">
        <v>1426</v>
      </c>
      <c r="X204" s="99">
        <v>44562</v>
      </c>
      <c r="Y204" s="99">
        <v>44815</v>
      </c>
      <c r="Z204" s="99">
        <v>45101</v>
      </c>
      <c r="AA204" s="99">
        <v>45169</v>
      </c>
      <c r="AB204" s="42" t="s">
        <v>1119</v>
      </c>
      <c r="AC204" s="42"/>
      <c r="AD204" s="42"/>
      <c r="AE204" s="42" t="s">
        <v>734</v>
      </c>
      <c r="AF204" s="42" t="s">
        <v>734</v>
      </c>
      <c r="AG204" s="42"/>
      <c r="AH204" s="42" t="s">
        <v>734</v>
      </c>
      <c r="AI204" s="42" t="s">
        <v>734</v>
      </c>
      <c r="AJ204" s="42" t="s">
        <v>734</v>
      </c>
      <c r="AK204" s="42" t="s">
        <v>734</v>
      </c>
      <c r="AL204" s="42" t="s">
        <v>734</v>
      </c>
      <c r="AM204" s="42" t="s">
        <v>734</v>
      </c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68">
        <v>15.2</v>
      </c>
      <c r="BA204" s="68"/>
      <c r="BB204" s="68"/>
      <c r="BD204" s="67">
        <f t="shared" si="60"/>
        <v>1018.4</v>
      </c>
      <c r="BE204" s="67"/>
      <c r="BF204" s="37"/>
      <c r="BG204" s="73">
        <v>1</v>
      </c>
      <c r="BH204" s="67">
        <f t="shared" si="54"/>
        <v>0.80000000000000071</v>
      </c>
      <c r="BI204" s="67">
        <f t="shared" si="55"/>
        <v>0</v>
      </c>
      <c r="BJ204" s="67">
        <f t="shared" si="56"/>
        <v>53.600000000000051</v>
      </c>
      <c r="BN204" s="37"/>
      <c r="BO204" s="70">
        <f t="shared" si="58"/>
        <v>0</v>
      </c>
      <c r="BP204" s="37">
        <v>9</v>
      </c>
      <c r="BQ204" s="37">
        <v>0</v>
      </c>
      <c r="BR204" s="37">
        <v>0</v>
      </c>
      <c r="BS204" s="37">
        <v>0</v>
      </c>
      <c r="BT204" s="87">
        <f t="shared" si="59"/>
        <v>16</v>
      </c>
      <c r="BU204" s="87"/>
      <c r="BV204" s="87"/>
      <c r="BW204" s="87"/>
      <c r="BX204" s="87"/>
      <c r="BY204" s="87"/>
      <c r="BZ204" s="87"/>
      <c r="CA204" s="87"/>
      <c r="CB204" s="87"/>
      <c r="CC204" s="87"/>
      <c r="CD204" s="87"/>
      <c r="CF204" s="67">
        <f t="shared" si="61"/>
        <v>144</v>
      </c>
      <c r="CG204" s="67">
        <f t="shared" si="62"/>
        <v>0</v>
      </c>
      <c r="CH204" s="67">
        <f t="shared" si="63"/>
        <v>0</v>
      </c>
      <c r="CI204" s="67">
        <f t="shared" si="68"/>
        <v>0</v>
      </c>
      <c r="CJ204" s="37">
        <f t="shared" si="64"/>
        <v>72</v>
      </c>
      <c r="CK204" s="37">
        <f t="shared" si="65"/>
        <v>0</v>
      </c>
      <c r="CL204" s="37">
        <f t="shared" si="66"/>
        <v>0</v>
      </c>
      <c r="CM204" s="37">
        <f t="shared" si="67"/>
        <v>0</v>
      </c>
    </row>
    <row r="205" spans="2:91" ht="45">
      <c r="B205" s="156">
        <v>199</v>
      </c>
      <c r="C205" s="160">
        <v>115</v>
      </c>
      <c r="D205" s="160">
        <v>381</v>
      </c>
      <c r="E205" s="161">
        <v>0.28819444444444448</v>
      </c>
      <c r="F205" s="161">
        <v>0.30902777777777779</v>
      </c>
      <c r="G205" s="171" t="s">
        <v>386</v>
      </c>
      <c r="H205" s="160" t="s">
        <v>97</v>
      </c>
      <c r="I205" s="163">
        <v>15</v>
      </c>
      <c r="J205" s="164" t="s">
        <v>101</v>
      </c>
      <c r="K205" s="165">
        <v>208</v>
      </c>
      <c r="L205" s="166">
        <f t="shared" si="57"/>
        <v>3120</v>
      </c>
      <c r="M205" s="177" t="s">
        <v>731</v>
      </c>
      <c r="N205" s="150" t="s">
        <v>839</v>
      </c>
      <c r="O205" s="150">
        <v>30</v>
      </c>
      <c r="P205" s="154" t="s">
        <v>1913</v>
      </c>
      <c r="Q205" s="154">
        <v>20</v>
      </c>
      <c r="R205" s="150" t="s">
        <v>1258</v>
      </c>
      <c r="S205" s="154">
        <v>23</v>
      </c>
      <c r="T205" s="45">
        <v>1111</v>
      </c>
      <c r="U205" s="45" t="s">
        <v>1421</v>
      </c>
      <c r="V205" s="45" t="s">
        <v>1446</v>
      </c>
      <c r="W205" s="45" t="s">
        <v>1447</v>
      </c>
      <c r="X205" s="98">
        <v>44816</v>
      </c>
      <c r="Y205" s="98">
        <v>45086</v>
      </c>
      <c r="Z205" s="98"/>
      <c r="AA205" s="98"/>
      <c r="AB205" s="41" t="s">
        <v>1118</v>
      </c>
      <c r="AC205" s="41"/>
      <c r="AD205" s="42"/>
      <c r="AE205" s="42"/>
      <c r="AF205" s="42"/>
      <c r="AG205" s="42" t="s">
        <v>734</v>
      </c>
      <c r="AH205" s="42" t="s">
        <v>734</v>
      </c>
      <c r="AI205" s="42" t="s">
        <v>734</v>
      </c>
      <c r="AJ205" s="42" t="s">
        <v>734</v>
      </c>
      <c r="AK205" s="42" t="s">
        <v>734</v>
      </c>
      <c r="AL205" s="42" t="s">
        <v>734</v>
      </c>
      <c r="AM205" s="42" t="s">
        <v>734</v>
      </c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68">
        <v>104.8</v>
      </c>
      <c r="BA205" s="68"/>
      <c r="BB205" s="68"/>
      <c r="BD205" s="67">
        <f t="shared" si="60"/>
        <v>21798.399999999998</v>
      </c>
      <c r="BE205" s="67"/>
      <c r="BF205" s="37"/>
      <c r="BG205" s="69">
        <v>2</v>
      </c>
      <c r="BH205" s="67">
        <f t="shared" si="54"/>
        <v>0</v>
      </c>
      <c r="BI205" s="67">
        <f t="shared" si="55"/>
        <v>0</v>
      </c>
      <c r="BJ205" s="70">
        <f t="shared" si="56"/>
        <v>0</v>
      </c>
      <c r="BN205" s="67">
        <f>IF((AX205+AY205+AZ205)&lt;20,(20-(AX205+AY205+AZ205)),0)</f>
        <v>0</v>
      </c>
      <c r="BO205" s="70">
        <f t="shared" si="58"/>
        <v>0</v>
      </c>
      <c r="BP205" s="37">
        <v>17</v>
      </c>
      <c r="BQ205" s="37">
        <v>25</v>
      </c>
      <c r="BR205" s="37">
        <v>25</v>
      </c>
      <c r="BS205" s="37">
        <v>18</v>
      </c>
      <c r="BT205" s="87">
        <f t="shared" si="59"/>
        <v>104.8</v>
      </c>
      <c r="BU205" s="87"/>
      <c r="BV205" s="87"/>
      <c r="BW205" s="87"/>
      <c r="BX205" s="87"/>
      <c r="BY205" s="87"/>
      <c r="BZ205" s="87"/>
      <c r="CA205" s="87"/>
      <c r="CB205" s="87"/>
      <c r="CC205" s="87"/>
      <c r="CD205" s="87"/>
      <c r="CF205" s="67">
        <f t="shared" si="61"/>
        <v>1781.6</v>
      </c>
      <c r="CG205" s="67">
        <f t="shared" si="62"/>
        <v>2620</v>
      </c>
      <c r="CH205" s="67">
        <f t="shared" si="63"/>
        <v>2620</v>
      </c>
      <c r="CI205" s="67">
        <f t="shared" si="68"/>
        <v>1886.3999999999999</v>
      </c>
      <c r="CJ205" s="37">
        <f t="shared" si="64"/>
        <v>255</v>
      </c>
      <c r="CK205" s="37">
        <f t="shared" si="65"/>
        <v>375</v>
      </c>
      <c r="CL205" s="37">
        <f t="shared" si="66"/>
        <v>375</v>
      </c>
      <c r="CM205" s="37">
        <f t="shared" si="67"/>
        <v>270</v>
      </c>
    </row>
    <row r="206" spans="2:91" ht="45">
      <c r="B206" s="156">
        <v>200</v>
      </c>
      <c r="C206" s="160">
        <v>115</v>
      </c>
      <c r="D206" s="160">
        <v>436</v>
      </c>
      <c r="E206" s="173">
        <v>0.2951388888888889</v>
      </c>
      <c r="F206" s="161">
        <v>0.31111111111111112</v>
      </c>
      <c r="G206" s="171" t="s">
        <v>1063</v>
      </c>
      <c r="H206" s="160" t="s">
        <v>103</v>
      </c>
      <c r="I206" s="163">
        <v>7</v>
      </c>
      <c r="J206" s="164">
        <v>29</v>
      </c>
      <c r="K206" s="165">
        <v>174</v>
      </c>
      <c r="L206" s="166">
        <f t="shared" si="57"/>
        <v>1218</v>
      </c>
      <c r="M206" s="177" t="s">
        <v>731</v>
      </c>
      <c r="N206" s="150" t="s">
        <v>795</v>
      </c>
      <c r="O206" s="150">
        <v>35</v>
      </c>
      <c r="P206" s="154" t="s">
        <v>1913</v>
      </c>
      <c r="Q206" s="154">
        <v>20</v>
      </c>
      <c r="R206" s="150" t="s">
        <v>1258</v>
      </c>
      <c r="S206" s="154">
        <v>23</v>
      </c>
      <c r="T206" s="45" t="s">
        <v>1448</v>
      </c>
      <c r="U206" s="45" t="s">
        <v>1449</v>
      </c>
      <c r="V206" s="45" t="s">
        <v>1450</v>
      </c>
      <c r="W206" s="45" t="s">
        <v>1451</v>
      </c>
      <c r="X206" s="98">
        <v>44816</v>
      </c>
      <c r="Y206" s="98">
        <v>45086</v>
      </c>
      <c r="Z206" s="98"/>
      <c r="AA206" s="98"/>
      <c r="AB206" s="41" t="s">
        <v>1114</v>
      </c>
      <c r="AC206" s="41"/>
      <c r="AD206" s="42"/>
      <c r="AE206" s="42"/>
      <c r="AF206" s="42"/>
      <c r="AG206" s="42" t="s">
        <v>734</v>
      </c>
      <c r="AH206" s="42" t="s">
        <v>734</v>
      </c>
      <c r="AI206" s="42" t="s">
        <v>734</v>
      </c>
      <c r="AJ206" s="42" t="s">
        <v>734</v>
      </c>
      <c r="AK206" s="42" t="s">
        <v>734</v>
      </c>
      <c r="AL206" s="42" t="s">
        <v>734</v>
      </c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68">
        <f>30+27.13</f>
        <v>57.129999999999995</v>
      </c>
      <c r="BA206" s="68"/>
      <c r="BB206" s="68"/>
      <c r="BD206" s="67">
        <f t="shared" si="60"/>
        <v>9940.619999999999</v>
      </c>
      <c r="BE206" s="67"/>
      <c r="BF206" s="37"/>
      <c r="BG206" s="73">
        <v>1</v>
      </c>
      <c r="BH206" s="67">
        <f t="shared" si="54"/>
        <v>0</v>
      </c>
      <c r="BI206" s="67">
        <f t="shared" si="55"/>
        <v>0</v>
      </c>
      <c r="BJ206" s="70">
        <f t="shared" si="56"/>
        <v>0</v>
      </c>
      <c r="BN206" s="37"/>
      <c r="BO206" s="70">
        <f t="shared" si="58"/>
        <v>0</v>
      </c>
      <c r="BP206" s="37">
        <v>15</v>
      </c>
      <c r="BQ206" s="37">
        <v>20</v>
      </c>
      <c r="BR206" s="37">
        <v>21</v>
      </c>
      <c r="BS206" s="37">
        <v>15</v>
      </c>
      <c r="BT206" s="87">
        <f t="shared" si="59"/>
        <v>57.129999999999995</v>
      </c>
      <c r="BU206" s="87"/>
      <c r="BV206" s="87"/>
      <c r="BW206" s="87"/>
      <c r="BX206" s="87"/>
      <c r="BY206" s="87"/>
      <c r="BZ206" s="87"/>
      <c r="CA206" s="87"/>
      <c r="CB206" s="87"/>
      <c r="CC206" s="87"/>
      <c r="CD206" s="87"/>
      <c r="CF206" s="67">
        <f t="shared" si="61"/>
        <v>856.94999999999993</v>
      </c>
      <c r="CG206" s="67">
        <f t="shared" si="62"/>
        <v>1142.5999999999999</v>
      </c>
      <c r="CH206" s="67">
        <f t="shared" si="63"/>
        <v>1199.73</v>
      </c>
      <c r="CI206" s="67">
        <f t="shared" si="68"/>
        <v>856.94999999999993</v>
      </c>
      <c r="CJ206" s="37">
        <f t="shared" si="64"/>
        <v>105</v>
      </c>
      <c r="CK206" s="37">
        <f t="shared" si="65"/>
        <v>140</v>
      </c>
      <c r="CL206" s="37">
        <f t="shared" si="66"/>
        <v>147</v>
      </c>
      <c r="CM206" s="37">
        <f t="shared" si="67"/>
        <v>105</v>
      </c>
    </row>
    <row r="207" spans="2:91" ht="45">
      <c r="B207" s="156">
        <v>201</v>
      </c>
      <c r="C207" s="169">
        <v>115</v>
      </c>
      <c r="D207" s="169">
        <v>434</v>
      </c>
      <c r="E207" s="170">
        <v>0.35625000000000001</v>
      </c>
      <c r="F207" s="170">
        <v>0.37291666666666662</v>
      </c>
      <c r="G207" s="171" t="s">
        <v>685</v>
      </c>
      <c r="H207" s="160" t="s">
        <v>479</v>
      </c>
      <c r="I207" s="169">
        <v>9</v>
      </c>
      <c r="J207" s="172">
        <v>19</v>
      </c>
      <c r="K207" s="165">
        <v>240</v>
      </c>
      <c r="L207" s="166">
        <f t="shared" si="57"/>
        <v>2160</v>
      </c>
      <c r="M207" s="177" t="s">
        <v>731</v>
      </c>
      <c r="N207" s="150" t="s">
        <v>795</v>
      </c>
      <c r="O207" s="150">
        <v>35</v>
      </c>
      <c r="P207" s="154" t="s">
        <v>1913</v>
      </c>
      <c r="Q207" s="154">
        <v>20</v>
      </c>
      <c r="R207" s="150" t="s">
        <v>1258</v>
      </c>
      <c r="S207" s="154">
        <v>23</v>
      </c>
      <c r="T207" s="45" t="s">
        <v>1452</v>
      </c>
      <c r="U207" s="45" t="s">
        <v>1453</v>
      </c>
      <c r="V207" s="45" t="s">
        <v>1454</v>
      </c>
      <c r="W207" s="45" t="s">
        <v>1455</v>
      </c>
      <c r="X207" s="99">
        <v>44816</v>
      </c>
      <c r="Y207" s="99">
        <v>45100</v>
      </c>
      <c r="Z207" s="99"/>
      <c r="AA207" s="99"/>
      <c r="AB207" s="41" t="s">
        <v>1124</v>
      </c>
      <c r="AC207" s="41"/>
      <c r="AD207" s="41" t="s">
        <v>734</v>
      </c>
      <c r="AE207" s="41"/>
      <c r="AF207" s="41" t="s">
        <v>734</v>
      </c>
      <c r="AG207" s="41"/>
      <c r="AH207" s="41" t="s">
        <v>734</v>
      </c>
      <c r="AI207" s="41" t="s">
        <v>734</v>
      </c>
      <c r="AJ207" s="41" t="s">
        <v>734</v>
      </c>
      <c r="AK207" s="41" t="s">
        <v>734</v>
      </c>
      <c r="AL207" s="41" t="s">
        <v>734</v>
      </c>
      <c r="AM207" s="41" t="s">
        <v>734</v>
      </c>
      <c r="AN207" s="41"/>
      <c r="AO207" s="41"/>
      <c r="AP207" s="41"/>
      <c r="AQ207" s="41"/>
      <c r="AR207" s="41"/>
      <c r="AS207" s="41"/>
      <c r="AT207" s="41"/>
      <c r="AU207" s="41"/>
      <c r="AV207" s="41"/>
      <c r="AW207" s="41"/>
      <c r="AX207" s="37"/>
      <c r="AY207" s="67">
        <f>2.2*9</f>
        <v>19.8</v>
      </c>
      <c r="BD207" s="67">
        <f t="shared" si="60"/>
        <v>0</v>
      </c>
      <c r="BE207" s="67">
        <f>AY207*K207</f>
        <v>4752</v>
      </c>
      <c r="BF207" s="37"/>
      <c r="BG207" s="73">
        <v>1</v>
      </c>
      <c r="BI207" s="67"/>
      <c r="BJ207" s="37"/>
      <c r="BK207" s="67">
        <f>IF(AND((AY207/I207)&lt;2,BG207=1),(I207*2)-AY207,0)</f>
        <v>0</v>
      </c>
      <c r="BL207" s="67">
        <f>IF(AND((AY207/I207)&lt;3,BG207=2),(I207*3)-AY207,0)</f>
        <v>0</v>
      </c>
      <c r="BM207" s="70">
        <f>(BK207+BL207)*K207</f>
        <v>0</v>
      </c>
      <c r="BN207" s="37"/>
      <c r="BO207" s="70">
        <f t="shared" si="58"/>
        <v>0</v>
      </c>
      <c r="BP207" s="37">
        <v>17</v>
      </c>
      <c r="BQ207" s="37">
        <v>26</v>
      </c>
      <c r="BR207" s="37">
        <v>25</v>
      </c>
      <c r="BS207" s="37">
        <v>25</v>
      </c>
      <c r="BT207" s="87">
        <f t="shared" si="59"/>
        <v>19.8</v>
      </c>
      <c r="BU207" s="87"/>
      <c r="BV207" s="87"/>
      <c r="BW207" s="87"/>
      <c r="BX207" s="87"/>
      <c r="BY207" s="87"/>
      <c r="BZ207" s="87"/>
      <c r="CA207" s="87"/>
      <c r="CB207" s="87"/>
      <c r="CC207" s="87"/>
      <c r="CD207" s="87"/>
      <c r="CF207" s="67">
        <f t="shared" si="61"/>
        <v>336.6</v>
      </c>
      <c r="CG207" s="67">
        <f t="shared" si="62"/>
        <v>514.80000000000007</v>
      </c>
      <c r="CH207" s="67">
        <f t="shared" si="63"/>
        <v>495</v>
      </c>
      <c r="CI207" s="67">
        <f t="shared" si="68"/>
        <v>495</v>
      </c>
      <c r="CJ207" s="37">
        <f t="shared" si="64"/>
        <v>153</v>
      </c>
      <c r="CK207" s="37">
        <f t="shared" si="65"/>
        <v>234</v>
      </c>
      <c r="CL207" s="37">
        <f t="shared" si="66"/>
        <v>225</v>
      </c>
      <c r="CM207" s="37">
        <f t="shared" si="67"/>
        <v>225</v>
      </c>
    </row>
    <row r="208" spans="2:91" ht="45">
      <c r="B208" s="156">
        <v>202</v>
      </c>
      <c r="C208" s="169">
        <v>115</v>
      </c>
      <c r="D208" s="169">
        <v>431</v>
      </c>
      <c r="E208" s="170">
        <v>0.47222222222222227</v>
      </c>
      <c r="F208" s="176">
        <v>0.50347222222222221</v>
      </c>
      <c r="G208" s="171" t="s">
        <v>79</v>
      </c>
      <c r="H208" s="160" t="s">
        <v>479</v>
      </c>
      <c r="I208" s="169">
        <f>8+11</f>
        <v>19</v>
      </c>
      <c r="J208" s="172">
        <v>19</v>
      </c>
      <c r="K208" s="165">
        <v>240</v>
      </c>
      <c r="L208" s="166">
        <f t="shared" si="57"/>
        <v>4560</v>
      </c>
      <c r="M208" s="177" t="s">
        <v>732</v>
      </c>
      <c r="N208" s="154" t="s">
        <v>797</v>
      </c>
      <c r="O208" s="154">
        <v>21</v>
      </c>
      <c r="P208" s="154" t="s">
        <v>1915</v>
      </c>
      <c r="Q208" s="154">
        <v>23</v>
      </c>
      <c r="S208" s="154"/>
      <c r="T208" s="45" t="s">
        <v>1446</v>
      </c>
      <c r="U208" s="45" t="s">
        <v>1447</v>
      </c>
      <c r="V208" s="45">
        <v>1106</v>
      </c>
      <c r="W208" s="45" t="s">
        <v>1456</v>
      </c>
      <c r="X208" s="99">
        <v>44816</v>
      </c>
      <c r="Y208" s="99">
        <v>45100</v>
      </c>
      <c r="Z208" s="99"/>
      <c r="AA208" s="99"/>
      <c r="AB208" s="45" t="s">
        <v>1124</v>
      </c>
      <c r="AC208" s="45"/>
      <c r="AD208" s="42" t="s">
        <v>734</v>
      </c>
      <c r="AE208" s="42"/>
      <c r="AF208" s="42" t="s">
        <v>734</v>
      </c>
      <c r="AG208" s="42"/>
      <c r="AH208" s="42" t="s">
        <v>734</v>
      </c>
      <c r="AI208" s="42" t="s">
        <v>734</v>
      </c>
      <c r="AJ208" s="42" t="s">
        <v>734</v>
      </c>
      <c r="AK208" s="42" t="s">
        <v>734</v>
      </c>
      <c r="AL208" s="42" t="s">
        <v>734</v>
      </c>
      <c r="AM208" s="42" t="s">
        <v>734</v>
      </c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BA208" s="38" t="s">
        <v>732</v>
      </c>
      <c r="BB208" s="38"/>
      <c r="BD208" s="67">
        <f t="shared" si="60"/>
        <v>0</v>
      </c>
      <c r="BF208" s="37"/>
      <c r="BG208" s="73">
        <v>1</v>
      </c>
      <c r="BI208" s="67"/>
      <c r="BJ208" s="37"/>
      <c r="BN208" s="37"/>
      <c r="BO208" s="70">
        <f t="shared" si="58"/>
        <v>0</v>
      </c>
      <c r="BP208" s="37">
        <v>17</v>
      </c>
      <c r="BQ208" s="37">
        <v>26</v>
      </c>
      <c r="BR208" s="37">
        <v>25</v>
      </c>
      <c r="BS208" s="37">
        <v>25</v>
      </c>
      <c r="BT208" s="87">
        <f t="shared" si="59"/>
        <v>0</v>
      </c>
      <c r="BU208" s="87"/>
      <c r="BV208" s="87"/>
      <c r="BW208" s="87"/>
      <c r="BX208" s="87"/>
      <c r="BY208" s="87"/>
      <c r="BZ208" s="87"/>
      <c r="CA208" s="87"/>
      <c r="CB208" s="87"/>
      <c r="CC208" s="87"/>
      <c r="CD208" s="87"/>
      <c r="CF208" s="67">
        <f t="shared" si="61"/>
        <v>0</v>
      </c>
      <c r="CG208" s="67">
        <f t="shared" si="62"/>
        <v>0</v>
      </c>
      <c r="CH208" s="67">
        <f t="shared" si="63"/>
        <v>0</v>
      </c>
      <c r="CI208" s="67">
        <f t="shared" si="68"/>
        <v>0</v>
      </c>
      <c r="CJ208" s="37">
        <f t="shared" si="64"/>
        <v>323</v>
      </c>
      <c r="CK208" s="37">
        <f t="shared" si="65"/>
        <v>494</v>
      </c>
      <c r="CL208" s="37">
        <f t="shared" si="66"/>
        <v>475</v>
      </c>
      <c r="CM208" s="37">
        <f t="shared" si="67"/>
        <v>475</v>
      </c>
    </row>
    <row r="209" spans="2:91" ht="45">
      <c r="B209" s="156">
        <v>203</v>
      </c>
      <c r="C209" s="160">
        <v>115</v>
      </c>
      <c r="D209" s="160">
        <v>489</v>
      </c>
      <c r="E209" s="161">
        <v>0.52222222222222225</v>
      </c>
      <c r="F209" s="161">
        <v>0.53263888888888888</v>
      </c>
      <c r="G209" s="171" t="s">
        <v>385</v>
      </c>
      <c r="H209" s="160" t="s">
        <v>253</v>
      </c>
      <c r="I209" s="163">
        <v>7</v>
      </c>
      <c r="J209" s="164" t="s">
        <v>101</v>
      </c>
      <c r="K209" s="165">
        <v>34</v>
      </c>
      <c r="L209" s="166">
        <f t="shared" si="57"/>
        <v>238</v>
      </c>
      <c r="M209" s="177" t="s">
        <v>731</v>
      </c>
      <c r="N209" s="150" t="s">
        <v>1086</v>
      </c>
      <c r="O209" s="150" t="s">
        <v>1087</v>
      </c>
      <c r="P209" s="154" t="s">
        <v>795</v>
      </c>
      <c r="Q209" s="154">
        <v>35</v>
      </c>
      <c r="R209" s="150" t="s">
        <v>1258</v>
      </c>
      <c r="S209" s="154">
        <v>23</v>
      </c>
      <c r="T209" s="45" t="s">
        <v>1446</v>
      </c>
      <c r="U209" s="45" t="s">
        <v>1447</v>
      </c>
      <c r="V209" s="45">
        <v>1100</v>
      </c>
      <c r="W209" s="45" t="s">
        <v>1420</v>
      </c>
      <c r="X209" s="98">
        <v>44816</v>
      </c>
      <c r="Y209" s="98">
        <v>45086</v>
      </c>
      <c r="Z209" s="98"/>
      <c r="AA209" s="98"/>
      <c r="AB209" s="42" t="s">
        <v>1123</v>
      </c>
      <c r="AC209" s="42"/>
      <c r="AD209" s="42"/>
      <c r="AE209" s="42"/>
      <c r="AF209" s="42"/>
      <c r="AG209" s="42" t="s">
        <v>734</v>
      </c>
      <c r="AH209" s="42"/>
      <c r="AI209" s="42"/>
      <c r="AJ209" s="42"/>
      <c r="AK209" s="42"/>
      <c r="AL209" s="42"/>
      <c r="AM209" s="42" t="s">
        <v>734</v>
      </c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68">
        <v>64.010000000000005</v>
      </c>
      <c r="BA209" s="68"/>
      <c r="BB209" s="68"/>
      <c r="BD209" s="67">
        <f t="shared" si="60"/>
        <v>2176.34</v>
      </c>
      <c r="BE209" s="67"/>
      <c r="BF209" s="37"/>
      <c r="BG209" s="69">
        <v>2</v>
      </c>
      <c r="BH209" s="67">
        <f>IF(AND((AX209/I209)&lt;2,BG209=1),(I209*2)-AX209,0)</f>
        <v>0</v>
      </c>
      <c r="BI209" s="67">
        <f>IF(AND((AX209/I209)&lt;3,BG209=2),(I209*3)-AX209,0)</f>
        <v>0</v>
      </c>
      <c r="BJ209" s="70">
        <f>(BH209+BI209)*K209</f>
        <v>0</v>
      </c>
      <c r="BN209" s="37"/>
      <c r="BO209" s="70">
        <f t="shared" si="58"/>
        <v>0</v>
      </c>
      <c r="BP209" s="37">
        <v>2</v>
      </c>
      <c r="BQ209" s="37">
        <v>5</v>
      </c>
      <c r="BR209" s="37">
        <v>4</v>
      </c>
      <c r="BS209" s="37">
        <v>3</v>
      </c>
      <c r="BT209" s="87">
        <f t="shared" si="59"/>
        <v>64.010000000000005</v>
      </c>
      <c r="BU209" s="87"/>
      <c r="BV209" s="87"/>
      <c r="BW209" s="87"/>
      <c r="BX209" s="87"/>
      <c r="BY209" s="87"/>
      <c r="BZ209" s="87"/>
      <c r="CA209" s="87"/>
      <c r="CB209" s="87"/>
      <c r="CC209" s="87"/>
      <c r="CD209" s="87"/>
      <c r="CF209" s="67">
        <f t="shared" si="61"/>
        <v>128.02000000000001</v>
      </c>
      <c r="CG209" s="67">
        <f t="shared" si="62"/>
        <v>320.05</v>
      </c>
      <c r="CH209" s="67">
        <f t="shared" si="63"/>
        <v>256.04000000000002</v>
      </c>
      <c r="CI209" s="67">
        <f t="shared" si="68"/>
        <v>192.03000000000003</v>
      </c>
      <c r="CJ209" s="37">
        <f t="shared" si="64"/>
        <v>14</v>
      </c>
      <c r="CK209" s="37">
        <f t="shared" si="65"/>
        <v>35</v>
      </c>
      <c r="CL209" s="37">
        <f t="shared" si="66"/>
        <v>28</v>
      </c>
      <c r="CM209" s="37">
        <f t="shared" si="67"/>
        <v>21</v>
      </c>
    </row>
    <row r="210" spans="2:91" ht="45">
      <c r="B210" s="156">
        <v>204</v>
      </c>
      <c r="C210" s="160">
        <v>115</v>
      </c>
      <c r="D210" s="160">
        <v>435</v>
      </c>
      <c r="E210" s="161">
        <v>0.55555555555555558</v>
      </c>
      <c r="F210" s="161">
        <v>0.56597222222222221</v>
      </c>
      <c r="G210" s="171" t="s">
        <v>385</v>
      </c>
      <c r="H210" s="160" t="s">
        <v>103</v>
      </c>
      <c r="I210" s="163">
        <v>7</v>
      </c>
      <c r="J210" s="164" t="s">
        <v>101</v>
      </c>
      <c r="K210" s="165">
        <v>174</v>
      </c>
      <c r="L210" s="166">
        <f t="shared" si="57"/>
        <v>1218</v>
      </c>
      <c r="M210" s="177" t="s">
        <v>731</v>
      </c>
      <c r="N210" s="150" t="s">
        <v>1086</v>
      </c>
      <c r="O210" s="150" t="s">
        <v>1087</v>
      </c>
      <c r="P210" s="154" t="s">
        <v>795</v>
      </c>
      <c r="Q210" s="154">
        <v>35</v>
      </c>
      <c r="R210" s="150" t="s">
        <v>1258</v>
      </c>
      <c r="S210" s="154">
        <v>23</v>
      </c>
      <c r="T210" s="45" t="s">
        <v>1446</v>
      </c>
      <c r="U210" s="45" t="s">
        <v>1447</v>
      </c>
      <c r="V210" s="45">
        <v>1100</v>
      </c>
      <c r="W210" s="45" t="s">
        <v>1420</v>
      </c>
      <c r="X210" s="98">
        <v>44816</v>
      </c>
      <c r="Y210" s="98">
        <v>45086</v>
      </c>
      <c r="Z210" s="98"/>
      <c r="AA210" s="98"/>
      <c r="AB210" s="41" t="s">
        <v>1114</v>
      </c>
      <c r="AC210" s="41"/>
      <c r="AD210" s="42"/>
      <c r="AE210" s="42"/>
      <c r="AF210" s="42"/>
      <c r="AG210" s="42" t="s">
        <v>734</v>
      </c>
      <c r="AH210" s="42" t="s">
        <v>734</v>
      </c>
      <c r="AI210" s="42" t="s">
        <v>734</v>
      </c>
      <c r="AJ210" s="42" t="s">
        <v>734</v>
      </c>
      <c r="AK210" s="42" t="s">
        <v>734</v>
      </c>
      <c r="AL210" s="42" t="s">
        <v>734</v>
      </c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68">
        <v>64.010000000000005</v>
      </c>
      <c r="BA210" s="68"/>
      <c r="BB210" s="68"/>
      <c r="BD210" s="67">
        <f t="shared" si="60"/>
        <v>11137.740000000002</v>
      </c>
      <c r="BE210" s="67"/>
      <c r="BF210" s="37"/>
      <c r="BG210" s="69">
        <v>2</v>
      </c>
      <c r="BH210" s="67">
        <f>IF(AND((AX210/I210)&lt;2,BG210=1),(I210*2)-AX210,0)</f>
        <v>0</v>
      </c>
      <c r="BI210" s="67">
        <f>IF(AND((AX210/I210)&lt;3,BG210=2),(I210*3)-AX210,0)</f>
        <v>0</v>
      </c>
      <c r="BJ210" s="70">
        <f>(BH210+BI210)*K210</f>
        <v>0</v>
      </c>
      <c r="BN210" s="37"/>
      <c r="BO210" s="70">
        <f t="shared" si="58"/>
        <v>0</v>
      </c>
      <c r="BP210" s="37">
        <v>15</v>
      </c>
      <c r="BQ210" s="37">
        <v>20</v>
      </c>
      <c r="BR210" s="37">
        <v>21</v>
      </c>
      <c r="BS210" s="37">
        <v>15</v>
      </c>
      <c r="BT210" s="87">
        <f t="shared" si="59"/>
        <v>64.010000000000005</v>
      </c>
      <c r="BU210" s="87"/>
      <c r="BV210" s="87"/>
      <c r="BW210" s="87"/>
      <c r="BX210" s="87"/>
      <c r="BY210" s="87"/>
      <c r="BZ210" s="87"/>
      <c r="CA210" s="87"/>
      <c r="CB210" s="87"/>
      <c r="CC210" s="87"/>
      <c r="CD210" s="87"/>
      <c r="CF210" s="67">
        <f t="shared" si="61"/>
        <v>960.15000000000009</v>
      </c>
      <c r="CG210" s="67">
        <f t="shared" si="62"/>
        <v>1280.2</v>
      </c>
      <c r="CH210" s="67">
        <f t="shared" si="63"/>
        <v>1344.21</v>
      </c>
      <c r="CI210" s="67">
        <f t="shared" si="68"/>
        <v>960.15000000000009</v>
      </c>
      <c r="CJ210" s="37">
        <f t="shared" si="64"/>
        <v>105</v>
      </c>
      <c r="CK210" s="37">
        <f t="shared" si="65"/>
        <v>140</v>
      </c>
      <c r="CL210" s="37">
        <f t="shared" si="66"/>
        <v>147</v>
      </c>
      <c r="CM210" s="37">
        <f t="shared" si="67"/>
        <v>105</v>
      </c>
    </row>
    <row r="211" spans="2:91" ht="45">
      <c r="B211" s="156">
        <v>205</v>
      </c>
      <c r="C211" s="160">
        <v>116</v>
      </c>
      <c r="D211" s="160">
        <v>215</v>
      </c>
      <c r="E211" s="161">
        <v>0.28402777777777777</v>
      </c>
      <c r="F211" s="161">
        <v>0.29444444444444445</v>
      </c>
      <c r="G211" s="160" t="s">
        <v>553</v>
      </c>
      <c r="H211" s="160" t="s">
        <v>103</v>
      </c>
      <c r="I211" s="163">
        <v>5</v>
      </c>
      <c r="J211" s="164">
        <v>29</v>
      </c>
      <c r="K211" s="165">
        <v>174</v>
      </c>
      <c r="L211" s="166">
        <f t="shared" si="57"/>
        <v>870</v>
      </c>
      <c r="M211" s="177" t="s">
        <v>731</v>
      </c>
      <c r="N211" s="150" t="s">
        <v>795</v>
      </c>
      <c r="O211" s="150">
        <v>35</v>
      </c>
      <c r="P211" s="154" t="s">
        <v>1913</v>
      </c>
      <c r="Q211" s="154">
        <v>20</v>
      </c>
      <c r="R211" s="150" t="s">
        <v>1258</v>
      </c>
      <c r="S211" s="154">
        <v>23</v>
      </c>
      <c r="T211" s="45">
        <v>1105</v>
      </c>
      <c r="U211" s="45" t="s">
        <v>1457</v>
      </c>
      <c r="V211" s="45" t="s">
        <v>1458</v>
      </c>
      <c r="W211" s="45" t="s">
        <v>1459</v>
      </c>
      <c r="X211" s="98">
        <v>44816</v>
      </c>
      <c r="Y211" s="98">
        <v>45086</v>
      </c>
      <c r="Z211" s="98"/>
      <c r="AA211" s="98"/>
      <c r="AB211" s="41" t="s">
        <v>1114</v>
      </c>
      <c r="AC211" s="41"/>
      <c r="AD211" s="42"/>
      <c r="AE211" s="42"/>
      <c r="AF211" s="42"/>
      <c r="AG211" s="42" t="s">
        <v>734</v>
      </c>
      <c r="AH211" s="42" t="s">
        <v>734</v>
      </c>
      <c r="AI211" s="42" t="s">
        <v>734</v>
      </c>
      <c r="AJ211" s="42" t="s">
        <v>734</v>
      </c>
      <c r="AK211" s="42" t="s">
        <v>734</v>
      </c>
      <c r="AL211" s="42" t="s">
        <v>734</v>
      </c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68">
        <v>30</v>
      </c>
      <c r="BA211" s="68"/>
      <c r="BB211" s="68"/>
      <c r="BD211" s="67">
        <f t="shared" si="60"/>
        <v>5220</v>
      </c>
      <c r="BE211" s="67"/>
      <c r="BF211" s="37"/>
      <c r="BG211" s="73">
        <v>1</v>
      </c>
      <c r="BH211" s="67">
        <f>IF(AND((AX211/I211)&lt;2,BG211=1),(I211*2)-AX211,0)</f>
        <v>0</v>
      </c>
      <c r="BI211" s="67">
        <f>IF(AND((AX211/I211)&lt;3,BG211=2),(I211*3)-AX211,0)</f>
        <v>0</v>
      </c>
      <c r="BJ211" s="70">
        <f>(BH211+BI211)*K211</f>
        <v>0</v>
      </c>
      <c r="BN211" s="67">
        <f>IF((AX211+AY211+AZ211)&lt;20,(20-(AX211+AY211+AZ211)),0)</f>
        <v>0</v>
      </c>
      <c r="BO211" s="70">
        <f t="shared" si="58"/>
        <v>0</v>
      </c>
      <c r="BP211" s="37">
        <v>15</v>
      </c>
      <c r="BQ211" s="37">
        <v>20</v>
      </c>
      <c r="BR211" s="37">
        <v>21</v>
      </c>
      <c r="BS211" s="37">
        <v>15</v>
      </c>
      <c r="BT211" s="87">
        <f t="shared" si="59"/>
        <v>30</v>
      </c>
      <c r="BU211" s="87"/>
      <c r="BV211" s="87"/>
      <c r="BW211" s="87"/>
      <c r="BX211" s="87"/>
      <c r="BY211" s="87"/>
      <c r="BZ211" s="87"/>
      <c r="CA211" s="87"/>
      <c r="CB211" s="87"/>
      <c r="CC211" s="87"/>
      <c r="CD211" s="87"/>
      <c r="CF211" s="67">
        <f t="shared" si="61"/>
        <v>450</v>
      </c>
      <c r="CG211" s="67">
        <f t="shared" si="62"/>
        <v>600</v>
      </c>
      <c r="CH211" s="67">
        <f t="shared" si="63"/>
        <v>630</v>
      </c>
      <c r="CI211" s="67">
        <f t="shared" si="68"/>
        <v>450</v>
      </c>
      <c r="CJ211" s="37">
        <f t="shared" si="64"/>
        <v>75</v>
      </c>
      <c r="CK211" s="37">
        <f t="shared" si="65"/>
        <v>100</v>
      </c>
      <c r="CL211" s="37">
        <f t="shared" si="66"/>
        <v>105</v>
      </c>
      <c r="CM211" s="37">
        <f t="shared" si="67"/>
        <v>75</v>
      </c>
    </row>
    <row r="212" spans="2:91" ht="45">
      <c r="B212" s="156">
        <v>206</v>
      </c>
      <c r="C212" s="169">
        <v>116</v>
      </c>
      <c r="D212" s="169">
        <v>217</v>
      </c>
      <c r="E212" s="170">
        <v>0.375</v>
      </c>
      <c r="F212" s="176">
        <v>0.40972222222222227</v>
      </c>
      <c r="G212" s="185" t="s">
        <v>1042</v>
      </c>
      <c r="H212" s="171" t="s">
        <v>267</v>
      </c>
      <c r="I212" s="169">
        <v>22</v>
      </c>
      <c r="J212" s="172">
        <v>19</v>
      </c>
      <c r="K212" s="165">
        <v>55</v>
      </c>
      <c r="L212" s="166">
        <f t="shared" si="57"/>
        <v>1210</v>
      </c>
      <c r="M212" s="177" t="s">
        <v>732</v>
      </c>
      <c r="N212" s="154" t="s">
        <v>797</v>
      </c>
      <c r="O212" s="154">
        <v>21</v>
      </c>
      <c r="P212" s="154" t="s">
        <v>1915</v>
      </c>
      <c r="Q212" s="154">
        <v>23</v>
      </c>
      <c r="S212" s="154"/>
      <c r="T212" s="45">
        <v>1106</v>
      </c>
      <c r="U212" s="45" t="s">
        <v>1456</v>
      </c>
      <c r="V212" s="45">
        <v>1</v>
      </c>
      <c r="W212" s="45" t="s">
        <v>1339</v>
      </c>
      <c r="X212" s="99">
        <v>44562</v>
      </c>
      <c r="Y212" s="99">
        <v>44815</v>
      </c>
      <c r="Z212" s="99">
        <v>45101</v>
      </c>
      <c r="AA212" s="99">
        <v>45169</v>
      </c>
      <c r="AB212" s="41" t="s">
        <v>1121</v>
      </c>
      <c r="AC212" s="41"/>
      <c r="AD212" s="42"/>
      <c r="AE212" s="42" t="s">
        <v>734</v>
      </c>
      <c r="AF212" s="42" t="s">
        <v>734</v>
      </c>
      <c r="AG212" s="42"/>
      <c r="AH212" s="42" t="s">
        <v>734</v>
      </c>
      <c r="AI212" s="42" t="s">
        <v>734</v>
      </c>
      <c r="AJ212" s="42" t="s">
        <v>734</v>
      </c>
      <c r="AK212" s="42" t="s">
        <v>734</v>
      </c>
      <c r="AL212" s="42" t="s">
        <v>734</v>
      </c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BA212" s="38" t="s">
        <v>732</v>
      </c>
      <c r="BB212" s="38"/>
      <c r="BD212" s="67">
        <f t="shared" si="60"/>
        <v>0</v>
      </c>
      <c r="BF212" s="37"/>
      <c r="BG212" s="73">
        <v>1</v>
      </c>
      <c r="BI212" s="67"/>
      <c r="BJ212" s="37"/>
      <c r="BN212" s="37"/>
      <c r="BO212" s="70">
        <f t="shared" si="58"/>
        <v>0</v>
      </c>
      <c r="BP212" s="37">
        <v>7</v>
      </c>
      <c r="BQ212" s="37">
        <v>0</v>
      </c>
      <c r="BR212" s="37">
        <v>0</v>
      </c>
      <c r="BT212" s="87">
        <f t="shared" si="59"/>
        <v>0</v>
      </c>
      <c r="BU212" s="87"/>
      <c r="BV212" s="87"/>
      <c r="BW212" s="87"/>
      <c r="BX212" s="87"/>
      <c r="BY212" s="87"/>
      <c r="BZ212" s="87"/>
      <c r="CA212" s="87"/>
      <c r="CB212" s="87"/>
      <c r="CC212" s="87"/>
      <c r="CD212" s="87"/>
      <c r="CF212" s="67">
        <f t="shared" si="61"/>
        <v>0</v>
      </c>
      <c r="CG212" s="67">
        <f t="shared" si="62"/>
        <v>0</v>
      </c>
      <c r="CH212" s="67">
        <f t="shared" si="63"/>
        <v>0</v>
      </c>
      <c r="CI212" s="67">
        <f t="shared" si="68"/>
        <v>0</v>
      </c>
      <c r="CJ212" s="37">
        <f t="shared" si="64"/>
        <v>154</v>
      </c>
      <c r="CK212" s="37">
        <f t="shared" si="65"/>
        <v>0</v>
      </c>
      <c r="CL212" s="37">
        <f t="shared" si="66"/>
        <v>0</v>
      </c>
      <c r="CM212" s="37">
        <f t="shared" si="67"/>
        <v>0</v>
      </c>
    </row>
    <row r="213" spans="2:91" ht="45">
      <c r="B213" s="156">
        <v>207</v>
      </c>
      <c r="C213" s="160">
        <v>116</v>
      </c>
      <c r="D213" s="160">
        <v>240</v>
      </c>
      <c r="E213" s="161">
        <v>0.44444444444444442</v>
      </c>
      <c r="F213" s="161">
        <v>0.46527777777777773</v>
      </c>
      <c r="G213" s="160" t="s">
        <v>77</v>
      </c>
      <c r="H213" s="160" t="s">
        <v>424</v>
      </c>
      <c r="I213" s="163">
        <v>11</v>
      </c>
      <c r="J213" s="164" t="s">
        <v>188</v>
      </c>
      <c r="K213" s="165">
        <v>67</v>
      </c>
      <c r="L213" s="166">
        <f t="shared" si="57"/>
        <v>737</v>
      </c>
      <c r="M213" s="177" t="s">
        <v>731</v>
      </c>
      <c r="N213" s="150" t="s">
        <v>795</v>
      </c>
      <c r="O213" s="150">
        <v>35</v>
      </c>
      <c r="P213" s="154" t="s">
        <v>1258</v>
      </c>
      <c r="Q213" s="154">
        <v>23</v>
      </c>
      <c r="R213" s="150" t="s">
        <v>1259</v>
      </c>
      <c r="S213" s="151">
        <v>21</v>
      </c>
      <c r="T213" s="45">
        <v>1100</v>
      </c>
      <c r="U213" s="45" t="s">
        <v>1420</v>
      </c>
      <c r="V213" s="45">
        <v>1106</v>
      </c>
      <c r="W213" s="45" t="s">
        <v>1456</v>
      </c>
      <c r="X213" s="99">
        <v>44562</v>
      </c>
      <c r="Y213" s="99">
        <v>44815</v>
      </c>
      <c r="Z213" s="99">
        <v>45101</v>
      </c>
      <c r="AA213" s="99">
        <v>45169</v>
      </c>
      <c r="AB213" s="42" t="s">
        <v>1119</v>
      </c>
      <c r="AC213" s="42"/>
      <c r="AD213" s="42"/>
      <c r="AE213" s="42" t="s">
        <v>734</v>
      </c>
      <c r="AF213" s="42" t="s">
        <v>734</v>
      </c>
      <c r="AG213" s="42"/>
      <c r="AH213" s="42" t="s">
        <v>734</v>
      </c>
      <c r="AI213" s="42" t="s">
        <v>734</v>
      </c>
      <c r="AJ213" s="42" t="s">
        <v>734</v>
      </c>
      <c r="AK213" s="42" t="s">
        <v>734</v>
      </c>
      <c r="AL213" s="42" t="s">
        <v>734</v>
      </c>
      <c r="AM213" s="42" t="s">
        <v>734</v>
      </c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68">
        <v>24.2</v>
      </c>
      <c r="BA213" s="68"/>
      <c r="BB213" s="68"/>
      <c r="BD213" s="67">
        <f t="shared" si="60"/>
        <v>1621.3999999999999</v>
      </c>
      <c r="BE213" s="67"/>
      <c r="BF213" s="37"/>
      <c r="BG213" s="73">
        <v>1</v>
      </c>
      <c r="BH213" s="67">
        <f>IF(AND((AX213/I213)&lt;2,BG213=1),(I213*2)-AX213,0)</f>
        <v>0</v>
      </c>
      <c r="BI213" s="67">
        <f>IF(AND((AX213/I213)&lt;3,BG213=2),(I213*3)-AX213,0)</f>
        <v>0</v>
      </c>
      <c r="BJ213" s="70">
        <f>(BH213+BI213)*K213</f>
        <v>0</v>
      </c>
      <c r="BN213" s="37"/>
      <c r="BO213" s="70">
        <f t="shared" si="58"/>
        <v>0</v>
      </c>
      <c r="BP213" s="37">
        <v>9</v>
      </c>
      <c r="BQ213" s="37">
        <v>0</v>
      </c>
      <c r="BR213" s="37">
        <v>0</v>
      </c>
      <c r="BS213" s="37">
        <v>0</v>
      </c>
      <c r="BT213" s="87">
        <f t="shared" si="59"/>
        <v>24.2</v>
      </c>
      <c r="BU213" s="87"/>
      <c r="BV213" s="87"/>
      <c r="BW213" s="87"/>
      <c r="BX213" s="87"/>
      <c r="BY213" s="87"/>
      <c r="BZ213" s="87"/>
      <c r="CA213" s="87"/>
      <c r="CB213" s="87"/>
      <c r="CC213" s="87"/>
      <c r="CD213" s="87"/>
      <c r="CF213" s="67">
        <f t="shared" si="61"/>
        <v>217.79999999999998</v>
      </c>
      <c r="CG213" s="67">
        <f t="shared" si="62"/>
        <v>0</v>
      </c>
      <c r="CH213" s="67">
        <f t="shared" si="63"/>
        <v>0</v>
      </c>
      <c r="CI213" s="67">
        <f t="shared" si="68"/>
        <v>0</v>
      </c>
      <c r="CJ213" s="37">
        <f t="shared" si="64"/>
        <v>99</v>
      </c>
      <c r="CK213" s="37">
        <f t="shared" si="65"/>
        <v>0</v>
      </c>
      <c r="CL213" s="37">
        <f t="shared" si="66"/>
        <v>0</v>
      </c>
      <c r="CM213" s="37">
        <f t="shared" si="67"/>
        <v>0</v>
      </c>
    </row>
    <row r="214" spans="2:91" ht="45">
      <c r="B214" s="156">
        <v>208</v>
      </c>
      <c r="C214" s="160">
        <v>116</v>
      </c>
      <c r="D214" s="160">
        <v>327</v>
      </c>
      <c r="E214" s="161">
        <v>0.46875</v>
      </c>
      <c r="F214" s="161">
        <v>0.4826388888888889</v>
      </c>
      <c r="G214" s="160" t="s">
        <v>78</v>
      </c>
      <c r="H214" s="160" t="s">
        <v>424</v>
      </c>
      <c r="I214" s="163">
        <v>9</v>
      </c>
      <c r="J214" s="164" t="s">
        <v>188</v>
      </c>
      <c r="K214" s="165">
        <v>67</v>
      </c>
      <c r="L214" s="166">
        <f t="shared" si="57"/>
        <v>603</v>
      </c>
      <c r="M214" s="177" t="s">
        <v>731</v>
      </c>
      <c r="N214" s="150" t="s">
        <v>795</v>
      </c>
      <c r="O214" s="150">
        <v>35</v>
      </c>
      <c r="P214" s="154" t="s">
        <v>1258</v>
      </c>
      <c r="Q214" s="154">
        <v>23</v>
      </c>
      <c r="R214" s="150" t="s">
        <v>1259</v>
      </c>
      <c r="S214" s="151">
        <v>21</v>
      </c>
      <c r="T214" s="45">
        <v>1106</v>
      </c>
      <c r="U214" s="45" t="s">
        <v>1456</v>
      </c>
      <c r="V214" s="45">
        <v>1100</v>
      </c>
      <c r="W214" s="45" t="s">
        <v>1420</v>
      </c>
      <c r="X214" s="99">
        <v>44562</v>
      </c>
      <c r="Y214" s="99">
        <v>44815</v>
      </c>
      <c r="Z214" s="99">
        <v>45101</v>
      </c>
      <c r="AA214" s="99">
        <v>45169</v>
      </c>
      <c r="AB214" s="42" t="s">
        <v>1119</v>
      </c>
      <c r="AC214" s="42"/>
      <c r="AD214" s="42"/>
      <c r="AE214" s="42" t="s">
        <v>734</v>
      </c>
      <c r="AF214" s="42" t="s">
        <v>734</v>
      </c>
      <c r="AG214" s="42"/>
      <c r="AH214" s="42" t="s">
        <v>734</v>
      </c>
      <c r="AI214" s="42" t="s">
        <v>734</v>
      </c>
      <c r="AJ214" s="42" t="s">
        <v>734</v>
      </c>
      <c r="AK214" s="42" t="s">
        <v>734</v>
      </c>
      <c r="AL214" s="42" t="s">
        <v>734</v>
      </c>
      <c r="AM214" s="42" t="s">
        <v>734</v>
      </c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68">
        <v>19.8</v>
      </c>
      <c r="BA214" s="68"/>
      <c r="BB214" s="68"/>
      <c r="BD214" s="67">
        <f t="shared" si="60"/>
        <v>1326.6000000000001</v>
      </c>
      <c r="BE214" s="67"/>
      <c r="BF214" s="37"/>
      <c r="BG214" s="73">
        <v>1</v>
      </c>
      <c r="BH214" s="67">
        <f>IF(AND((AX214/I214)&lt;2,BG214=1),(I214*2)-AX214,0)</f>
        <v>0</v>
      </c>
      <c r="BI214" s="67">
        <f>IF(AND((AX214/I214)&lt;3,BG214=2),(I214*3)-AX214,0)</f>
        <v>0</v>
      </c>
      <c r="BJ214" s="70">
        <f>(BH214+BI214)*K214</f>
        <v>0</v>
      </c>
      <c r="BN214" s="37"/>
      <c r="BO214" s="70">
        <f t="shared" si="58"/>
        <v>0</v>
      </c>
      <c r="BP214" s="37">
        <v>9</v>
      </c>
      <c r="BQ214" s="37">
        <v>0</v>
      </c>
      <c r="BR214" s="37">
        <v>0</v>
      </c>
      <c r="BS214" s="37">
        <v>0</v>
      </c>
      <c r="BT214" s="87">
        <f t="shared" si="59"/>
        <v>19.8</v>
      </c>
      <c r="BU214" s="87"/>
      <c r="BV214" s="87"/>
      <c r="BW214" s="87"/>
      <c r="BX214" s="87"/>
      <c r="BY214" s="87"/>
      <c r="BZ214" s="87"/>
      <c r="CA214" s="87"/>
      <c r="CB214" s="87"/>
      <c r="CC214" s="87"/>
      <c r="CD214" s="87"/>
      <c r="CF214" s="67">
        <f t="shared" si="61"/>
        <v>178.20000000000002</v>
      </c>
      <c r="CG214" s="67">
        <f t="shared" si="62"/>
        <v>0</v>
      </c>
      <c r="CH214" s="67">
        <f t="shared" si="63"/>
        <v>0</v>
      </c>
      <c r="CI214" s="67">
        <f t="shared" si="68"/>
        <v>0</v>
      </c>
      <c r="CJ214" s="37">
        <f t="shared" si="64"/>
        <v>81</v>
      </c>
      <c r="CK214" s="37">
        <f t="shared" si="65"/>
        <v>0</v>
      </c>
      <c r="CL214" s="37">
        <f t="shared" si="66"/>
        <v>0</v>
      </c>
      <c r="CM214" s="37">
        <f t="shared" si="67"/>
        <v>0</v>
      </c>
    </row>
    <row r="215" spans="2:91" ht="45">
      <c r="B215" s="156">
        <v>209</v>
      </c>
      <c r="C215" s="169">
        <v>116</v>
      </c>
      <c r="D215" s="169">
        <v>242</v>
      </c>
      <c r="E215" s="170">
        <v>0.48333333333333334</v>
      </c>
      <c r="F215" s="170">
        <v>0.50347222222222221</v>
      </c>
      <c r="G215" s="171" t="s">
        <v>77</v>
      </c>
      <c r="H215" s="171" t="s">
        <v>1</v>
      </c>
      <c r="I215" s="169">
        <v>11</v>
      </c>
      <c r="J215" s="172">
        <v>30</v>
      </c>
      <c r="K215" s="165">
        <v>67</v>
      </c>
      <c r="L215" s="166">
        <f t="shared" si="57"/>
        <v>737</v>
      </c>
      <c r="M215" s="177" t="s">
        <v>731</v>
      </c>
      <c r="N215" s="150" t="s">
        <v>795</v>
      </c>
      <c r="O215" s="150">
        <v>35</v>
      </c>
      <c r="P215" s="154" t="s">
        <v>1258</v>
      </c>
      <c r="Q215" s="154">
        <v>23</v>
      </c>
      <c r="R215" s="150" t="s">
        <v>1259</v>
      </c>
      <c r="S215" s="151">
        <v>21</v>
      </c>
      <c r="T215" s="45">
        <v>1100</v>
      </c>
      <c r="U215" s="45" t="s">
        <v>1420</v>
      </c>
      <c r="V215" s="45">
        <v>1106</v>
      </c>
      <c r="W215" s="45" t="s">
        <v>1456</v>
      </c>
      <c r="X215" s="99">
        <v>44562</v>
      </c>
      <c r="Y215" s="99">
        <v>44815</v>
      </c>
      <c r="Z215" s="99">
        <v>45101</v>
      </c>
      <c r="AA215" s="99">
        <v>45169</v>
      </c>
      <c r="AB215" s="42" t="s">
        <v>1119</v>
      </c>
      <c r="AC215" s="42"/>
      <c r="AD215" s="42"/>
      <c r="AE215" s="42" t="s">
        <v>734</v>
      </c>
      <c r="AF215" s="42" t="s">
        <v>734</v>
      </c>
      <c r="AG215" s="42"/>
      <c r="AH215" s="42" t="s">
        <v>734</v>
      </c>
      <c r="AI215" s="42" t="s">
        <v>734</v>
      </c>
      <c r="AJ215" s="42" t="s">
        <v>734</v>
      </c>
      <c r="AK215" s="42" t="s">
        <v>734</v>
      </c>
      <c r="AL215" s="42" t="s">
        <v>734</v>
      </c>
      <c r="AM215" s="42" t="s">
        <v>734</v>
      </c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79">
        <v>0</v>
      </c>
      <c r="BA215" s="67"/>
      <c r="BB215" s="67"/>
      <c r="BD215" s="67">
        <f t="shared" si="60"/>
        <v>0</v>
      </c>
      <c r="BE215" s="67"/>
      <c r="BF215" s="67">
        <f>AX215*K215</f>
        <v>0</v>
      </c>
      <c r="BG215" s="73">
        <v>1</v>
      </c>
      <c r="BH215" s="67">
        <f>IF(AND((AX215/I215)&lt;2,BG215=1),(I215*2)-AX215,0)</f>
        <v>22</v>
      </c>
      <c r="BI215" s="67">
        <f>IF(AND((AX215/I215)&lt;3,BG215=2),(I215*3)-AX215,0)</f>
        <v>0</v>
      </c>
      <c r="BJ215" s="70">
        <f>(BH215+BI215)*K215</f>
        <v>1474</v>
      </c>
      <c r="BN215" s="37"/>
      <c r="BO215" s="70">
        <f t="shared" si="58"/>
        <v>0</v>
      </c>
      <c r="BP215" s="37">
        <v>9</v>
      </c>
      <c r="BQ215" s="37">
        <v>0</v>
      </c>
      <c r="BR215" s="37">
        <v>0</v>
      </c>
      <c r="BS215" s="37">
        <v>0</v>
      </c>
      <c r="BT215" s="87">
        <f t="shared" si="59"/>
        <v>22</v>
      </c>
      <c r="BU215" s="87"/>
      <c r="BV215" s="87"/>
      <c r="BW215" s="87"/>
      <c r="BX215" s="87"/>
      <c r="BY215" s="87"/>
      <c r="BZ215" s="87"/>
      <c r="CA215" s="87"/>
      <c r="CB215" s="87"/>
      <c r="CC215" s="87"/>
      <c r="CD215" s="87"/>
      <c r="CF215" s="67">
        <f t="shared" si="61"/>
        <v>198</v>
      </c>
      <c r="CG215" s="67">
        <f t="shared" si="62"/>
        <v>0</v>
      </c>
      <c r="CH215" s="67">
        <f t="shared" si="63"/>
        <v>0</v>
      </c>
      <c r="CI215" s="67">
        <f t="shared" si="68"/>
        <v>0</v>
      </c>
      <c r="CJ215" s="37">
        <f t="shared" si="64"/>
        <v>99</v>
      </c>
      <c r="CK215" s="37">
        <f t="shared" si="65"/>
        <v>0</v>
      </c>
      <c r="CL215" s="37">
        <f t="shared" si="66"/>
        <v>0</v>
      </c>
      <c r="CM215" s="37">
        <f t="shared" si="67"/>
        <v>0</v>
      </c>
    </row>
    <row r="216" spans="2:91" ht="45">
      <c r="B216" s="156">
        <v>210</v>
      </c>
      <c r="C216" s="169">
        <v>116</v>
      </c>
      <c r="D216" s="169">
        <v>117</v>
      </c>
      <c r="E216" s="170">
        <v>0.69444444444444453</v>
      </c>
      <c r="F216" s="170">
        <v>0.70833333333333337</v>
      </c>
      <c r="G216" s="171" t="s">
        <v>78</v>
      </c>
      <c r="H216" s="171" t="s">
        <v>267</v>
      </c>
      <c r="I216" s="169">
        <v>11</v>
      </c>
      <c r="J216" s="172">
        <v>19</v>
      </c>
      <c r="K216" s="165">
        <v>55</v>
      </c>
      <c r="L216" s="166">
        <f t="shared" si="57"/>
        <v>605</v>
      </c>
      <c r="M216" s="177" t="s">
        <v>732</v>
      </c>
      <c r="N216" s="154" t="s">
        <v>797</v>
      </c>
      <c r="O216" s="154">
        <v>21</v>
      </c>
      <c r="P216" s="154" t="s">
        <v>1915</v>
      </c>
      <c r="Q216" s="154">
        <v>23</v>
      </c>
      <c r="S216" s="154"/>
      <c r="T216" s="45">
        <v>1106</v>
      </c>
      <c r="U216" s="45" t="s">
        <v>1456</v>
      </c>
      <c r="V216" s="45">
        <v>1100</v>
      </c>
      <c r="W216" s="45" t="s">
        <v>1420</v>
      </c>
      <c r="X216" s="99">
        <v>44562</v>
      </c>
      <c r="Y216" s="99">
        <v>44815</v>
      </c>
      <c r="Z216" s="99">
        <v>45101</v>
      </c>
      <c r="AA216" s="99">
        <v>45169</v>
      </c>
      <c r="AB216" s="41" t="s">
        <v>1121</v>
      </c>
      <c r="AC216" s="41"/>
      <c r="AD216" s="42"/>
      <c r="AE216" s="42" t="s">
        <v>734</v>
      </c>
      <c r="AF216" s="42" t="s">
        <v>734</v>
      </c>
      <c r="AG216" s="42"/>
      <c r="AH216" s="42" t="s">
        <v>734</v>
      </c>
      <c r="AI216" s="42" t="s">
        <v>734</v>
      </c>
      <c r="AJ216" s="42" t="s">
        <v>734</v>
      </c>
      <c r="AK216" s="42" t="s">
        <v>734</v>
      </c>
      <c r="AL216" s="42" t="s">
        <v>734</v>
      </c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BA216" s="38" t="s">
        <v>732</v>
      </c>
      <c r="BB216" s="38"/>
      <c r="BD216" s="67">
        <f t="shared" si="60"/>
        <v>0</v>
      </c>
      <c r="BF216" s="37"/>
      <c r="BG216" s="73">
        <v>1</v>
      </c>
      <c r="BI216" s="67"/>
      <c r="BJ216" s="37"/>
      <c r="BN216" s="37"/>
      <c r="BO216" s="70">
        <f t="shared" si="58"/>
        <v>0</v>
      </c>
      <c r="BP216" s="37">
        <v>7</v>
      </c>
      <c r="BQ216" s="37">
        <v>0</v>
      </c>
      <c r="BR216" s="37">
        <v>0</v>
      </c>
      <c r="BT216" s="87">
        <f t="shared" si="59"/>
        <v>0</v>
      </c>
      <c r="BU216" s="87"/>
      <c r="BV216" s="87"/>
      <c r="BW216" s="87"/>
      <c r="BX216" s="87"/>
      <c r="BY216" s="87"/>
      <c r="BZ216" s="87"/>
      <c r="CA216" s="87"/>
      <c r="CB216" s="87"/>
      <c r="CC216" s="87"/>
      <c r="CD216" s="87"/>
      <c r="CF216" s="67">
        <f t="shared" si="61"/>
        <v>0</v>
      </c>
      <c r="CG216" s="67">
        <f t="shared" si="62"/>
        <v>0</v>
      </c>
      <c r="CH216" s="67">
        <f t="shared" si="63"/>
        <v>0</v>
      </c>
      <c r="CI216" s="67">
        <f t="shared" si="68"/>
        <v>0</v>
      </c>
      <c r="CJ216" s="37">
        <f t="shared" si="64"/>
        <v>77</v>
      </c>
      <c r="CK216" s="37">
        <f t="shared" si="65"/>
        <v>0</v>
      </c>
      <c r="CL216" s="37">
        <f t="shared" si="66"/>
        <v>0</v>
      </c>
      <c r="CM216" s="37">
        <f t="shared" si="67"/>
        <v>0</v>
      </c>
    </row>
    <row r="217" spans="2:91" ht="45">
      <c r="B217" s="156">
        <v>211</v>
      </c>
      <c r="C217" s="169">
        <v>116</v>
      </c>
      <c r="D217" s="169">
        <v>246</v>
      </c>
      <c r="E217" s="170">
        <v>0.70833333333333337</v>
      </c>
      <c r="F217" s="170">
        <v>0.72916666666666663</v>
      </c>
      <c r="G217" s="171" t="s">
        <v>77</v>
      </c>
      <c r="H217" s="171" t="s">
        <v>267</v>
      </c>
      <c r="I217" s="169">
        <v>11</v>
      </c>
      <c r="J217" s="172">
        <v>19</v>
      </c>
      <c r="K217" s="165">
        <v>55</v>
      </c>
      <c r="L217" s="166">
        <f t="shared" si="57"/>
        <v>605</v>
      </c>
      <c r="M217" s="177" t="s">
        <v>732</v>
      </c>
      <c r="N217" s="154" t="s">
        <v>797</v>
      </c>
      <c r="O217" s="154">
        <v>21</v>
      </c>
      <c r="P217" s="154" t="s">
        <v>1915</v>
      </c>
      <c r="Q217" s="154">
        <v>23</v>
      </c>
      <c r="S217" s="154"/>
      <c r="T217" s="45">
        <v>1100</v>
      </c>
      <c r="U217" s="45" t="s">
        <v>1420</v>
      </c>
      <c r="V217" s="45">
        <v>1106</v>
      </c>
      <c r="W217" s="45" t="s">
        <v>1456</v>
      </c>
      <c r="X217" s="99">
        <v>44562</v>
      </c>
      <c r="Y217" s="99">
        <v>44815</v>
      </c>
      <c r="Z217" s="99">
        <v>45101</v>
      </c>
      <c r="AA217" s="99">
        <v>45169</v>
      </c>
      <c r="AB217" s="41" t="s">
        <v>1121</v>
      </c>
      <c r="AC217" s="41"/>
      <c r="AD217" s="42"/>
      <c r="AE217" s="42" t="s">
        <v>734</v>
      </c>
      <c r="AF217" s="42" t="s">
        <v>734</v>
      </c>
      <c r="AG217" s="42"/>
      <c r="AH217" s="42" t="s">
        <v>734</v>
      </c>
      <c r="AI217" s="42" t="s">
        <v>734</v>
      </c>
      <c r="AJ217" s="42" t="s">
        <v>734</v>
      </c>
      <c r="AK217" s="42" t="s">
        <v>734</v>
      </c>
      <c r="AL217" s="42" t="s">
        <v>734</v>
      </c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BA217" s="38" t="s">
        <v>732</v>
      </c>
      <c r="BB217" s="38"/>
      <c r="BD217" s="67">
        <f t="shared" si="60"/>
        <v>0</v>
      </c>
      <c r="BF217" s="37"/>
      <c r="BG217" s="73">
        <v>1</v>
      </c>
      <c r="BI217" s="67"/>
      <c r="BJ217" s="37"/>
      <c r="BN217" s="37"/>
      <c r="BO217" s="70">
        <f t="shared" si="58"/>
        <v>0</v>
      </c>
      <c r="BP217" s="37">
        <v>7</v>
      </c>
      <c r="BQ217" s="37">
        <v>0</v>
      </c>
      <c r="BR217" s="37">
        <v>0</v>
      </c>
      <c r="BT217" s="87">
        <f t="shared" si="59"/>
        <v>0</v>
      </c>
      <c r="BU217" s="87"/>
      <c r="BV217" s="87"/>
      <c r="BW217" s="87"/>
      <c r="BX217" s="87"/>
      <c r="BY217" s="87"/>
      <c r="BZ217" s="87"/>
      <c r="CA217" s="87"/>
      <c r="CB217" s="87"/>
      <c r="CC217" s="87"/>
      <c r="CD217" s="87"/>
      <c r="CF217" s="67">
        <f t="shared" si="61"/>
        <v>0</v>
      </c>
      <c r="CG217" s="67">
        <f t="shared" si="62"/>
        <v>0</v>
      </c>
      <c r="CH217" s="67">
        <f t="shared" si="63"/>
        <v>0</v>
      </c>
      <c r="CI217" s="67">
        <f t="shared" si="68"/>
        <v>0</v>
      </c>
      <c r="CJ217" s="37">
        <f t="shared" si="64"/>
        <v>77</v>
      </c>
      <c r="CK217" s="37">
        <f t="shared" si="65"/>
        <v>0</v>
      </c>
      <c r="CL217" s="37">
        <f t="shared" si="66"/>
        <v>0</v>
      </c>
      <c r="CM217" s="37">
        <f t="shared" si="67"/>
        <v>0</v>
      </c>
    </row>
    <row r="218" spans="2:91" ht="45">
      <c r="B218" s="156">
        <v>212</v>
      </c>
      <c r="C218" s="169">
        <v>116</v>
      </c>
      <c r="D218" s="169">
        <v>236</v>
      </c>
      <c r="E218" s="176">
        <v>0.75069444444444444</v>
      </c>
      <c r="F218" s="170">
        <v>0.77083333333333337</v>
      </c>
      <c r="G218" s="171" t="s">
        <v>77</v>
      </c>
      <c r="H218" s="160" t="s">
        <v>155</v>
      </c>
      <c r="I218" s="169">
        <v>11</v>
      </c>
      <c r="J218" s="172">
        <v>19</v>
      </c>
      <c r="K218" s="165">
        <v>252</v>
      </c>
      <c r="L218" s="166">
        <f t="shared" si="57"/>
        <v>2772</v>
      </c>
      <c r="M218" s="177" t="s">
        <v>732</v>
      </c>
      <c r="N218" s="154" t="s">
        <v>797</v>
      </c>
      <c r="O218" s="154">
        <v>21</v>
      </c>
      <c r="P218" s="154" t="s">
        <v>1915</v>
      </c>
      <c r="Q218" s="154">
        <v>23</v>
      </c>
      <c r="S218" s="154"/>
      <c r="T218" s="45">
        <v>1100</v>
      </c>
      <c r="U218" s="45" t="s">
        <v>1420</v>
      </c>
      <c r="V218" s="45">
        <v>1106</v>
      </c>
      <c r="W218" s="45" t="s">
        <v>1456</v>
      </c>
      <c r="X218" s="98">
        <v>44805</v>
      </c>
      <c r="Y218" s="98">
        <v>45169</v>
      </c>
      <c r="Z218" s="98"/>
      <c r="AA218" s="98"/>
      <c r="AB218" s="41" t="s">
        <v>1113</v>
      </c>
      <c r="AC218" s="41"/>
      <c r="AD218" s="42" t="s">
        <v>734</v>
      </c>
      <c r="AE218" s="42" t="s">
        <v>734</v>
      </c>
      <c r="AF218" s="42" t="s">
        <v>734</v>
      </c>
      <c r="AG218" s="42"/>
      <c r="AH218" s="42" t="s">
        <v>734</v>
      </c>
      <c r="AI218" s="42" t="s">
        <v>734</v>
      </c>
      <c r="AJ218" s="42" t="s">
        <v>734</v>
      </c>
      <c r="AK218" s="42" t="s">
        <v>734</v>
      </c>
      <c r="AL218" s="42" t="s">
        <v>734</v>
      </c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BA218" s="38" t="s">
        <v>732</v>
      </c>
      <c r="BB218" s="38"/>
      <c r="BD218" s="67">
        <f t="shared" si="60"/>
        <v>0</v>
      </c>
      <c r="BF218" s="37"/>
      <c r="BG218" s="73">
        <v>1</v>
      </c>
      <c r="BI218" s="67"/>
      <c r="BJ218" s="37"/>
      <c r="BN218" s="37"/>
      <c r="BO218" s="70">
        <f t="shared" si="58"/>
        <v>0</v>
      </c>
      <c r="BP218" s="37">
        <v>22</v>
      </c>
      <c r="BQ218" s="37">
        <v>21</v>
      </c>
      <c r="BR218" s="37">
        <v>21</v>
      </c>
      <c r="BS218" s="37">
        <v>20</v>
      </c>
      <c r="BT218" s="87">
        <f t="shared" si="59"/>
        <v>0</v>
      </c>
      <c r="BU218" s="87"/>
      <c r="BV218" s="87"/>
      <c r="BW218" s="87"/>
      <c r="BX218" s="87"/>
      <c r="BY218" s="87"/>
      <c r="BZ218" s="87"/>
      <c r="CA218" s="87"/>
      <c r="CB218" s="87"/>
      <c r="CC218" s="87"/>
      <c r="CD218" s="87"/>
      <c r="CF218" s="67">
        <f t="shared" si="61"/>
        <v>0</v>
      </c>
      <c r="CG218" s="67">
        <f t="shared" si="62"/>
        <v>0</v>
      </c>
      <c r="CH218" s="67">
        <f t="shared" si="63"/>
        <v>0</v>
      </c>
      <c r="CI218" s="67">
        <f t="shared" si="68"/>
        <v>0</v>
      </c>
      <c r="CJ218" s="37">
        <f t="shared" si="64"/>
        <v>242</v>
      </c>
      <c r="CK218" s="37">
        <f t="shared" si="65"/>
        <v>231</v>
      </c>
      <c r="CL218" s="37">
        <f t="shared" si="66"/>
        <v>231</v>
      </c>
      <c r="CM218" s="37">
        <f t="shared" si="67"/>
        <v>220</v>
      </c>
    </row>
    <row r="219" spans="2:91" ht="45">
      <c r="B219" s="156">
        <v>213</v>
      </c>
      <c r="C219" s="169">
        <v>116</v>
      </c>
      <c r="D219" s="169">
        <v>123</v>
      </c>
      <c r="E219" s="170">
        <v>0.77430555555555547</v>
      </c>
      <c r="F219" s="176">
        <v>0.78749999999999998</v>
      </c>
      <c r="G219" s="171" t="s">
        <v>78</v>
      </c>
      <c r="H219" s="160" t="s">
        <v>155</v>
      </c>
      <c r="I219" s="169">
        <v>11</v>
      </c>
      <c r="J219" s="172">
        <v>19</v>
      </c>
      <c r="K219" s="165">
        <v>252</v>
      </c>
      <c r="L219" s="166">
        <f t="shared" si="57"/>
        <v>2772</v>
      </c>
      <c r="M219" s="177" t="s">
        <v>732</v>
      </c>
      <c r="N219" s="154" t="s">
        <v>797</v>
      </c>
      <c r="O219" s="154">
        <v>21</v>
      </c>
      <c r="P219" s="154" t="s">
        <v>1915</v>
      </c>
      <c r="Q219" s="154">
        <v>23</v>
      </c>
      <c r="S219" s="154"/>
      <c r="T219" s="45">
        <v>1106</v>
      </c>
      <c r="U219" s="45" t="s">
        <v>1456</v>
      </c>
      <c r="V219" s="45">
        <v>1100</v>
      </c>
      <c r="W219" s="45" t="s">
        <v>1420</v>
      </c>
      <c r="X219" s="98">
        <v>44805</v>
      </c>
      <c r="Y219" s="98">
        <v>45169</v>
      </c>
      <c r="Z219" s="98"/>
      <c r="AA219" s="98"/>
      <c r="AB219" s="41" t="s">
        <v>1113</v>
      </c>
      <c r="AC219" s="41"/>
      <c r="AD219" s="42" t="s">
        <v>734</v>
      </c>
      <c r="AE219" s="42" t="s">
        <v>734</v>
      </c>
      <c r="AF219" s="42" t="s">
        <v>734</v>
      </c>
      <c r="AG219" s="42"/>
      <c r="AH219" s="42" t="s">
        <v>734</v>
      </c>
      <c r="AI219" s="42" t="s">
        <v>734</v>
      </c>
      <c r="AJ219" s="42" t="s">
        <v>734</v>
      </c>
      <c r="AK219" s="42" t="s">
        <v>734</v>
      </c>
      <c r="AL219" s="42" t="s">
        <v>734</v>
      </c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BA219" s="38" t="s">
        <v>732</v>
      </c>
      <c r="BB219" s="38"/>
      <c r="BD219" s="67">
        <f t="shared" si="60"/>
        <v>0</v>
      </c>
      <c r="BF219" s="37"/>
      <c r="BG219" s="73">
        <v>1</v>
      </c>
      <c r="BI219" s="67"/>
      <c r="BJ219" s="37"/>
      <c r="BN219" s="37"/>
      <c r="BO219" s="70">
        <f t="shared" si="58"/>
        <v>0</v>
      </c>
      <c r="BP219" s="37">
        <v>22</v>
      </c>
      <c r="BQ219" s="37">
        <v>21</v>
      </c>
      <c r="BR219" s="37">
        <v>21</v>
      </c>
      <c r="BS219" s="37">
        <v>20</v>
      </c>
      <c r="BT219" s="87">
        <f t="shared" si="59"/>
        <v>0</v>
      </c>
      <c r="BU219" s="87"/>
      <c r="BV219" s="87"/>
      <c r="BW219" s="87"/>
      <c r="BX219" s="87"/>
      <c r="BY219" s="87"/>
      <c r="BZ219" s="87"/>
      <c r="CA219" s="87"/>
      <c r="CB219" s="87"/>
      <c r="CC219" s="87"/>
      <c r="CD219" s="87"/>
      <c r="CF219" s="67">
        <f t="shared" si="61"/>
        <v>0</v>
      </c>
      <c r="CG219" s="67">
        <f t="shared" si="62"/>
        <v>0</v>
      </c>
      <c r="CH219" s="67">
        <f t="shared" si="63"/>
        <v>0</v>
      </c>
      <c r="CI219" s="67">
        <f t="shared" si="68"/>
        <v>0</v>
      </c>
      <c r="CJ219" s="37">
        <f t="shared" si="64"/>
        <v>242</v>
      </c>
      <c r="CK219" s="37">
        <f t="shared" si="65"/>
        <v>231</v>
      </c>
      <c r="CL219" s="37">
        <f t="shared" si="66"/>
        <v>231</v>
      </c>
      <c r="CM219" s="37">
        <f t="shared" si="67"/>
        <v>220</v>
      </c>
    </row>
    <row r="220" spans="2:91" ht="45">
      <c r="B220" s="156">
        <v>214</v>
      </c>
      <c r="C220" s="169">
        <v>116</v>
      </c>
      <c r="D220" s="169">
        <v>248</v>
      </c>
      <c r="E220" s="176">
        <v>0.82708333333333339</v>
      </c>
      <c r="F220" s="170">
        <v>0.84722222222222221</v>
      </c>
      <c r="G220" s="171" t="s">
        <v>77</v>
      </c>
      <c r="H220" s="171" t="s">
        <v>18</v>
      </c>
      <c r="I220" s="169">
        <v>11</v>
      </c>
      <c r="J220" s="172">
        <v>19</v>
      </c>
      <c r="K220" s="165">
        <v>304</v>
      </c>
      <c r="L220" s="166">
        <f t="shared" si="57"/>
        <v>3344</v>
      </c>
      <c r="M220" s="177" t="s">
        <v>732</v>
      </c>
      <c r="N220" s="154" t="s">
        <v>797</v>
      </c>
      <c r="O220" s="154">
        <v>21</v>
      </c>
      <c r="P220" s="154" t="s">
        <v>1915</v>
      </c>
      <c r="Q220" s="154">
        <v>23</v>
      </c>
      <c r="S220" s="154"/>
      <c r="T220" s="45">
        <v>1100</v>
      </c>
      <c r="U220" s="45" t="s">
        <v>1420</v>
      </c>
      <c r="V220" s="45">
        <v>1106</v>
      </c>
      <c r="W220" s="45" t="s">
        <v>1456</v>
      </c>
      <c r="X220" s="98">
        <v>44805</v>
      </c>
      <c r="Y220" s="98">
        <v>45169</v>
      </c>
      <c r="Z220" s="98"/>
      <c r="AA220" s="98"/>
      <c r="AB220" s="42" t="s">
        <v>1125</v>
      </c>
      <c r="AC220" s="42"/>
      <c r="AD220" s="42" t="s">
        <v>734</v>
      </c>
      <c r="AE220" s="42" t="s">
        <v>734</v>
      </c>
      <c r="AF220" s="42" t="s">
        <v>734</v>
      </c>
      <c r="AG220" s="42"/>
      <c r="AH220" s="42" t="s">
        <v>734</v>
      </c>
      <c r="AI220" s="42" t="s">
        <v>734</v>
      </c>
      <c r="AJ220" s="42" t="s">
        <v>734</v>
      </c>
      <c r="AK220" s="42" t="s">
        <v>734</v>
      </c>
      <c r="AL220" s="42" t="s">
        <v>734</v>
      </c>
      <c r="AM220" s="42" t="s">
        <v>734</v>
      </c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BA220" s="38" t="s">
        <v>732</v>
      </c>
      <c r="BB220" s="38"/>
      <c r="BD220" s="67">
        <f t="shared" si="60"/>
        <v>0</v>
      </c>
      <c r="BF220" s="37"/>
      <c r="BG220" s="73">
        <v>1</v>
      </c>
      <c r="BI220" s="67"/>
      <c r="BJ220" s="37"/>
      <c r="BN220" s="37"/>
      <c r="BO220" s="70">
        <f t="shared" si="58"/>
        <v>0</v>
      </c>
      <c r="BP220" s="37">
        <v>26</v>
      </c>
      <c r="BQ220" s="37">
        <v>26</v>
      </c>
      <c r="BR220" s="37">
        <v>25</v>
      </c>
      <c r="BS220" s="37">
        <v>25</v>
      </c>
      <c r="BT220" s="87">
        <f t="shared" si="59"/>
        <v>0</v>
      </c>
      <c r="BU220" s="87"/>
      <c r="BV220" s="87"/>
      <c r="BW220" s="87"/>
      <c r="BX220" s="87"/>
      <c r="BY220" s="87"/>
      <c r="BZ220" s="87"/>
      <c r="CA220" s="87"/>
      <c r="CB220" s="87"/>
      <c r="CC220" s="87"/>
      <c r="CD220" s="87"/>
      <c r="CF220" s="67">
        <f t="shared" si="61"/>
        <v>0</v>
      </c>
      <c r="CG220" s="67">
        <f t="shared" si="62"/>
        <v>0</v>
      </c>
      <c r="CH220" s="67">
        <f t="shared" si="63"/>
        <v>0</v>
      </c>
      <c r="CI220" s="67">
        <f t="shared" si="68"/>
        <v>0</v>
      </c>
      <c r="CJ220" s="37">
        <f t="shared" si="64"/>
        <v>286</v>
      </c>
      <c r="CK220" s="37">
        <f t="shared" si="65"/>
        <v>286</v>
      </c>
      <c r="CL220" s="37">
        <f t="shared" si="66"/>
        <v>275</v>
      </c>
      <c r="CM220" s="37">
        <f t="shared" si="67"/>
        <v>275</v>
      </c>
    </row>
    <row r="221" spans="2:91" ht="25.5">
      <c r="B221" s="156">
        <v>215</v>
      </c>
      <c r="C221" s="160">
        <v>121</v>
      </c>
      <c r="D221" s="160">
        <v>70</v>
      </c>
      <c r="E221" s="161">
        <v>0.25</v>
      </c>
      <c r="F221" s="161">
        <v>0.25694444444444448</v>
      </c>
      <c r="G221" s="160" t="s">
        <v>300</v>
      </c>
      <c r="H221" s="160" t="s">
        <v>479</v>
      </c>
      <c r="I221" s="163">
        <v>5.5</v>
      </c>
      <c r="J221" s="164" t="s">
        <v>269</v>
      </c>
      <c r="K221" s="165">
        <v>240</v>
      </c>
      <c r="L221" s="166">
        <f t="shared" si="57"/>
        <v>1320</v>
      </c>
      <c r="M221" s="177" t="s">
        <v>729</v>
      </c>
      <c r="N221" s="150" t="s">
        <v>886</v>
      </c>
      <c r="O221" s="150">
        <v>9</v>
      </c>
      <c r="P221" s="150" t="s">
        <v>984</v>
      </c>
      <c r="Q221" s="150">
        <v>18</v>
      </c>
      <c r="S221" s="150"/>
      <c r="T221" s="45">
        <v>4070</v>
      </c>
      <c r="U221" s="45" t="s">
        <v>1460</v>
      </c>
      <c r="V221" s="45">
        <v>1122</v>
      </c>
      <c r="W221" s="45" t="s">
        <v>1340</v>
      </c>
      <c r="X221" s="99">
        <v>44816</v>
      </c>
      <c r="Y221" s="99">
        <v>45100</v>
      </c>
      <c r="Z221" s="99"/>
      <c r="AA221" s="99"/>
      <c r="AB221" s="45" t="s">
        <v>1124</v>
      </c>
      <c r="AC221" s="45"/>
      <c r="AD221" s="42" t="s">
        <v>734</v>
      </c>
      <c r="AE221" s="42"/>
      <c r="AF221" s="42" t="s">
        <v>734</v>
      </c>
      <c r="AG221" s="42"/>
      <c r="AH221" s="42" t="s">
        <v>734</v>
      </c>
      <c r="AI221" s="42" t="s">
        <v>734</v>
      </c>
      <c r="AJ221" s="42" t="s">
        <v>734</v>
      </c>
      <c r="AK221" s="42" t="s">
        <v>734</v>
      </c>
      <c r="AL221" s="42" t="s">
        <v>734</v>
      </c>
      <c r="AM221" s="42" t="s">
        <v>734</v>
      </c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68">
        <v>28.38</v>
      </c>
      <c r="BA221" s="68"/>
      <c r="BB221" s="68"/>
      <c r="BD221" s="67">
        <f t="shared" si="60"/>
        <v>6811.2</v>
      </c>
      <c r="BE221" s="67"/>
      <c r="BF221" s="37"/>
      <c r="BG221" s="73">
        <v>1</v>
      </c>
      <c r="BH221" s="67">
        <f t="shared" ref="BH221:BH252" si="69">IF(AND((AX221/I221)&lt;2,BG221=1),(I221*2)-AX221,0)</f>
        <v>0</v>
      </c>
      <c r="BI221" s="67">
        <f t="shared" ref="BI221:BI252" si="70">IF(AND((AX221/I221)&lt;3,BG221=2),(I221*3)-AX221,0)</f>
        <v>0</v>
      </c>
      <c r="BJ221" s="70">
        <f t="shared" ref="BJ221:BJ248" si="71">(BH221+BI221)*K221</f>
        <v>0</v>
      </c>
      <c r="BN221" s="67">
        <f>IF((AX221+AY221+AZ221)&lt;20,(20-(AX221+AY221+AZ221)),0)</f>
        <v>0</v>
      </c>
      <c r="BO221" s="70">
        <f t="shared" si="58"/>
        <v>0</v>
      </c>
      <c r="BP221" s="37">
        <v>17</v>
      </c>
      <c r="BQ221" s="37">
        <v>26</v>
      </c>
      <c r="BR221" s="37">
        <v>25</v>
      </c>
      <c r="BS221" s="37">
        <v>25</v>
      </c>
      <c r="BT221" s="87">
        <f t="shared" si="59"/>
        <v>28.38</v>
      </c>
      <c r="BU221" s="87"/>
      <c r="BV221" s="87"/>
      <c r="BW221" s="87"/>
      <c r="BX221" s="87"/>
      <c r="BY221" s="87"/>
      <c r="BZ221" s="87"/>
      <c r="CA221" s="87"/>
      <c r="CB221" s="87"/>
      <c r="CC221" s="87"/>
      <c r="CD221" s="87"/>
      <c r="CF221" s="67">
        <f t="shared" si="61"/>
        <v>482.46</v>
      </c>
      <c r="CG221" s="67">
        <f t="shared" si="62"/>
        <v>737.88</v>
      </c>
      <c r="CH221" s="67">
        <f t="shared" si="63"/>
        <v>709.5</v>
      </c>
      <c r="CI221" s="67">
        <f t="shared" si="68"/>
        <v>709.5</v>
      </c>
      <c r="CJ221" s="37">
        <f t="shared" si="64"/>
        <v>93.5</v>
      </c>
      <c r="CK221" s="37">
        <f t="shared" si="65"/>
        <v>143</v>
      </c>
      <c r="CL221" s="37">
        <f t="shared" si="66"/>
        <v>137.5</v>
      </c>
      <c r="CM221" s="37">
        <f t="shared" si="67"/>
        <v>137.5</v>
      </c>
    </row>
    <row r="222" spans="2:91" ht="22.5">
      <c r="B222" s="156">
        <v>216</v>
      </c>
      <c r="C222" s="160">
        <v>121</v>
      </c>
      <c r="D222" s="160">
        <v>72</v>
      </c>
      <c r="E222" s="161">
        <v>0.2638888888888889</v>
      </c>
      <c r="F222" s="173">
        <v>0.27083333333333331</v>
      </c>
      <c r="G222" s="160" t="s">
        <v>300</v>
      </c>
      <c r="H222" s="160" t="s">
        <v>1</v>
      </c>
      <c r="I222" s="163">
        <v>5.5</v>
      </c>
      <c r="J222" s="164" t="s">
        <v>269</v>
      </c>
      <c r="K222" s="165">
        <v>67</v>
      </c>
      <c r="L222" s="166">
        <f t="shared" si="57"/>
        <v>368.5</v>
      </c>
      <c r="M222" s="177" t="s">
        <v>729</v>
      </c>
      <c r="N222" s="150" t="s">
        <v>886</v>
      </c>
      <c r="O222" s="150">
        <v>9</v>
      </c>
      <c r="P222" s="150" t="s">
        <v>984</v>
      </c>
      <c r="Q222" s="150">
        <v>18</v>
      </c>
      <c r="S222" s="150"/>
      <c r="T222" s="45">
        <v>4070</v>
      </c>
      <c r="U222" s="45" t="s">
        <v>1460</v>
      </c>
      <c r="V222" s="45">
        <v>1122</v>
      </c>
      <c r="W222" s="45" t="s">
        <v>1340</v>
      </c>
      <c r="X222" s="99">
        <v>44562</v>
      </c>
      <c r="Y222" s="99">
        <v>44815</v>
      </c>
      <c r="Z222" s="99">
        <v>45101</v>
      </c>
      <c r="AA222" s="99">
        <v>45169</v>
      </c>
      <c r="AB222" s="42" t="s">
        <v>1119</v>
      </c>
      <c r="AC222" s="42"/>
      <c r="AD222" s="42"/>
      <c r="AE222" s="42" t="s">
        <v>734</v>
      </c>
      <c r="AF222" s="42" t="s">
        <v>734</v>
      </c>
      <c r="AG222" s="42"/>
      <c r="AH222" s="42" t="s">
        <v>734</v>
      </c>
      <c r="AI222" s="42" t="s">
        <v>734</v>
      </c>
      <c r="AJ222" s="42" t="s">
        <v>734</v>
      </c>
      <c r="AK222" s="42" t="s">
        <v>734</v>
      </c>
      <c r="AL222" s="42" t="s">
        <v>734</v>
      </c>
      <c r="AM222" s="42" t="s">
        <v>734</v>
      </c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68">
        <v>28.38</v>
      </c>
      <c r="BA222" s="68"/>
      <c r="BB222" s="68"/>
      <c r="BD222" s="67">
        <f t="shared" si="60"/>
        <v>1901.46</v>
      </c>
      <c r="BE222" s="67"/>
      <c r="BF222" s="37"/>
      <c r="BG222" s="73">
        <v>1</v>
      </c>
      <c r="BH222" s="67">
        <f t="shared" si="69"/>
        <v>0</v>
      </c>
      <c r="BI222" s="67">
        <f t="shared" si="70"/>
        <v>0</v>
      </c>
      <c r="BJ222" s="70">
        <f t="shared" si="71"/>
        <v>0</v>
      </c>
      <c r="BN222" s="67">
        <f>IF((AX222+AY222+AZ222)&lt;20,(20-(AX222+AY222+AZ222)),0)</f>
        <v>0</v>
      </c>
      <c r="BO222" s="70">
        <f t="shared" si="58"/>
        <v>0</v>
      </c>
      <c r="BP222" s="37">
        <v>9</v>
      </c>
      <c r="BQ222" s="37">
        <v>0</v>
      </c>
      <c r="BR222" s="37">
        <v>0</v>
      </c>
      <c r="BS222" s="37">
        <v>0</v>
      </c>
      <c r="BT222" s="87">
        <f t="shared" si="59"/>
        <v>28.38</v>
      </c>
      <c r="BU222" s="87"/>
      <c r="BV222" s="87"/>
      <c r="BW222" s="87"/>
      <c r="BX222" s="87"/>
      <c r="BY222" s="87"/>
      <c r="BZ222" s="87"/>
      <c r="CA222" s="87"/>
      <c r="CB222" s="87"/>
      <c r="CC222" s="87"/>
      <c r="CD222" s="87"/>
      <c r="CF222" s="67">
        <f t="shared" si="61"/>
        <v>255.42</v>
      </c>
      <c r="CG222" s="67">
        <f t="shared" si="62"/>
        <v>0</v>
      </c>
      <c r="CH222" s="67">
        <f t="shared" si="63"/>
        <v>0</v>
      </c>
      <c r="CI222" s="67">
        <f t="shared" si="68"/>
        <v>0</v>
      </c>
      <c r="CJ222" s="37">
        <f t="shared" si="64"/>
        <v>49.5</v>
      </c>
      <c r="CK222" s="37">
        <f t="shared" si="65"/>
        <v>0</v>
      </c>
      <c r="CL222" s="37">
        <f t="shared" si="66"/>
        <v>0</v>
      </c>
      <c r="CM222" s="37">
        <f t="shared" si="67"/>
        <v>0</v>
      </c>
    </row>
    <row r="223" spans="2:91" ht="33.75">
      <c r="B223" s="156">
        <v>217</v>
      </c>
      <c r="C223" s="160">
        <v>121</v>
      </c>
      <c r="D223" s="160">
        <v>173</v>
      </c>
      <c r="E223" s="173">
        <v>0.26874999999999999</v>
      </c>
      <c r="F223" s="173">
        <v>0.27152777777777776</v>
      </c>
      <c r="G223" s="160" t="s">
        <v>301</v>
      </c>
      <c r="H223" s="160" t="s">
        <v>97</v>
      </c>
      <c r="I223" s="163">
        <v>1.5</v>
      </c>
      <c r="J223" s="164" t="s">
        <v>269</v>
      </c>
      <c r="K223" s="165">
        <v>208</v>
      </c>
      <c r="L223" s="166">
        <f t="shared" si="57"/>
        <v>312</v>
      </c>
      <c r="M223" s="177" t="s">
        <v>729</v>
      </c>
      <c r="N223" s="150" t="s">
        <v>886</v>
      </c>
      <c r="O223" s="150">
        <v>9</v>
      </c>
      <c r="P223" s="150" t="s">
        <v>984</v>
      </c>
      <c r="Q223" s="150">
        <v>18</v>
      </c>
      <c r="S223" s="150"/>
      <c r="T223" s="45" t="s">
        <v>1461</v>
      </c>
      <c r="U223" s="45" t="s">
        <v>1462</v>
      </c>
      <c r="V223" s="45">
        <v>1125</v>
      </c>
      <c r="W223" s="45" t="s">
        <v>1463</v>
      </c>
      <c r="X223" s="98">
        <v>44816</v>
      </c>
      <c r="Y223" s="98">
        <v>45086</v>
      </c>
      <c r="Z223" s="98"/>
      <c r="AA223" s="98"/>
      <c r="AB223" s="41" t="s">
        <v>1118</v>
      </c>
      <c r="AC223" s="41"/>
      <c r="AD223" s="42"/>
      <c r="AE223" s="42"/>
      <c r="AF223" s="42"/>
      <c r="AG223" s="42" t="s">
        <v>734</v>
      </c>
      <c r="AH223" s="42" t="s">
        <v>734</v>
      </c>
      <c r="AI223" s="42" t="s">
        <v>734</v>
      </c>
      <c r="AJ223" s="42" t="s">
        <v>734</v>
      </c>
      <c r="AK223" s="42" t="s">
        <v>734</v>
      </c>
      <c r="AL223" s="42" t="s">
        <v>734</v>
      </c>
      <c r="AM223" s="42" t="s">
        <v>734</v>
      </c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68">
        <v>2.7</v>
      </c>
      <c r="BA223" s="68"/>
      <c r="BB223" s="68"/>
      <c r="BD223" s="67">
        <f t="shared" si="60"/>
        <v>561.6</v>
      </c>
      <c r="BE223" s="67"/>
      <c r="BF223" s="37"/>
      <c r="BG223" s="73">
        <v>1</v>
      </c>
      <c r="BH223" s="67">
        <f t="shared" si="69"/>
        <v>0.29999999999999982</v>
      </c>
      <c r="BI223" s="67">
        <f t="shared" si="70"/>
        <v>0</v>
      </c>
      <c r="BJ223" s="67">
        <f t="shared" si="71"/>
        <v>62.399999999999963</v>
      </c>
      <c r="BN223" s="67">
        <f>IF((AX223+AY223+AZ223+BH223)&lt;20,(20-(AX223+AY223+AZ223)),0)</f>
        <v>17.3</v>
      </c>
      <c r="BO223" s="70">
        <f t="shared" si="58"/>
        <v>3598.4</v>
      </c>
      <c r="BP223" s="37">
        <v>17</v>
      </c>
      <c r="BQ223" s="37">
        <v>25</v>
      </c>
      <c r="BR223" s="37">
        <v>25</v>
      </c>
      <c r="BS223" s="37">
        <v>18</v>
      </c>
      <c r="BT223" s="87">
        <f t="shared" si="59"/>
        <v>20.3</v>
      </c>
      <c r="BU223" s="87"/>
      <c r="BV223" s="87"/>
      <c r="BW223" s="87"/>
      <c r="BX223" s="87"/>
      <c r="BY223" s="87"/>
      <c r="BZ223" s="87"/>
      <c r="CA223" s="87"/>
      <c r="CB223" s="87"/>
      <c r="CC223" s="87"/>
      <c r="CD223" s="87"/>
      <c r="CF223" s="67">
        <f t="shared" si="61"/>
        <v>345.1</v>
      </c>
      <c r="CG223" s="67">
        <f t="shared" si="62"/>
        <v>507.5</v>
      </c>
      <c r="CH223" s="67">
        <f t="shared" si="63"/>
        <v>507.5</v>
      </c>
      <c r="CI223" s="67">
        <f t="shared" si="68"/>
        <v>365.40000000000003</v>
      </c>
      <c r="CJ223" s="37">
        <f t="shared" si="64"/>
        <v>25.5</v>
      </c>
      <c r="CK223" s="37">
        <f t="shared" si="65"/>
        <v>37.5</v>
      </c>
      <c r="CL223" s="37">
        <f t="shared" si="66"/>
        <v>37.5</v>
      </c>
      <c r="CM223" s="37">
        <f t="shared" si="67"/>
        <v>27</v>
      </c>
    </row>
    <row r="224" spans="2:91" ht="25.5">
      <c r="B224" s="156">
        <v>218</v>
      </c>
      <c r="C224" s="160">
        <v>121</v>
      </c>
      <c r="D224" s="160">
        <v>72</v>
      </c>
      <c r="E224" s="161">
        <v>0.27777777777777779</v>
      </c>
      <c r="F224" s="161">
        <v>0.28472222222222221</v>
      </c>
      <c r="G224" s="160" t="s">
        <v>300</v>
      </c>
      <c r="H224" s="160" t="s">
        <v>479</v>
      </c>
      <c r="I224" s="163">
        <v>5.5</v>
      </c>
      <c r="J224" s="164" t="s">
        <v>269</v>
      </c>
      <c r="K224" s="165">
        <v>240</v>
      </c>
      <c r="L224" s="166">
        <f t="shared" si="57"/>
        <v>1320</v>
      </c>
      <c r="M224" s="177" t="s">
        <v>729</v>
      </c>
      <c r="N224" s="150" t="s">
        <v>886</v>
      </c>
      <c r="O224" s="150">
        <v>9</v>
      </c>
      <c r="P224" s="150" t="s">
        <v>984</v>
      </c>
      <c r="Q224" s="150">
        <v>18</v>
      </c>
      <c r="S224" s="150"/>
      <c r="T224" s="45">
        <v>4070</v>
      </c>
      <c r="U224" s="45" t="s">
        <v>1460</v>
      </c>
      <c r="V224" s="45">
        <v>1122</v>
      </c>
      <c r="W224" s="45" t="s">
        <v>1340</v>
      </c>
      <c r="X224" s="99">
        <v>44816</v>
      </c>
      <c r="Y224" s="99">
        <v>45100</v>
      </c>
      <c r="Z224" s="99"/>
      <c r="AA224" s="99"/>
      <c r="AB224" s="45" t="s">
        <v>1124</v>
      </c>
      <c r="AC224" s="45"/>
      <c r="AD224" s="42" t="s">
        <v>734</v>
      </c>
      <c r="AE224" s="42"/>
      <c r="AF224" s="42" t="s">
        <v>734</v>
      </c>
      <c r="AG224" s="42"/>
      <c r="AH224" s="42" t="s">
        <v>734</v>
      </c>
      <c r="AI224" s="42" t="s">
        <v>734</v>
      </c>
      <c r="AJ224" s="42" t="s">
        <v>734</v>
      </c>
      <c r="AK224" s="42" t="s">
        <v>734</v>
      </c>
      <c r="AL224" s="42" t="s">
        <v>734</v>
      </c>
      <c r="AM224" s="42" t="s">
        <v>734</v>
      </c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68">
        <v>28.38</v>
      </c>
      <c r="BA224" s="68"/>
      <c r="BB224" s="68"/>
      <c r="BD224" s="67">
        <f t="shared" si="60"/>
        <v>6811.2</v>
      </c>
      <c r="BE224" s="67"/>
      <c r="BF224" s="37"/>
      <c r="BG224" s="73">
        <v>1</v>
      </c>
      <c r="BH224" s="67">
        <f t="shared" si="69"/>
        <v>0</v>
      </c>
      <c r="BI224" s="67">
        <f t="shared" si="70"/>
        <v>0</v>
      </c>
      <c r="BJ224" s="70">
        <f t="shared" si="71"/>
        <v>0</v>
      </c>
      <c r="BN224" s="67">
        <f>IF((AX224+AY224+AZ224)&lt;20,(20-(AX224+AY224+AZ224)),0)</f>
        <v>0</v>
      </c>
      <c r="BO224" s="70">
        <f t="shared" si="58"/>
        <v>0</v>
      </c>
      <c r="BP224" s="37">
        <v>17</v>
      </c>
      <c r="BQ224" s="37">
        <v>26</v>
      </c>
      <c r="BR224" s="37">
        <v>25</v>
      </c>
      <c r="BS224" s="37">
        <v>25</v>
      </c>
      <c r="BT224" s="87">
        <f t="shared" si="59"/>
        <v>28.38</v>
      </c>
      <c r="BU224" s="87"/>
      <c r="BV224" s="87"/>
      <c r="BW224" s="87"/>
      <c r="BX224" s="87"/>
      <c r="BY224" s="87"/>
      <c r="BZ224" s="87"/>
      <c r="CA224" s="87"/>
      <c r="CB224" s="87"/>
      <c r="CC224" s="87"/>
      <c r="CD224" s="87"/>
      <c r="CF224" s="67">
        <f t="shared" si="61"/>
        <v>482.46</v>
      </c>
      <c r="CG224" s="67">
        <f t="shared" si="62"/>
        <v>737.88</v>
      </c>
      <c r="CH224" s="67">
        <f t="shared" si="63"/>
        <v>709.5</v>
      </c>
      <c r="CI224" s="67">
        <f t="shared" si="68"/>
        <v>709.5</v>
      </c>
      <c r="CJ224" s="37">
        <f t="shared" si="64"/>
        <v>93.5</v>
      </c>
      <c r="CK224" s="37">
        <f t="shared" si="65"/>
        <v>143</v>
      </c>
      <c r="CL224" s="37">
        <f t="shared" si="66"/>
        <v>137.5</v>
      </c>
      <c r="CM224" s="37">
        <f t="shared" si="67"/>
        <v>137.5</v>
      </c>
    </row>
    <row r="225" spans="2:91" ht="22.5">
      <c r="B225" s="156">
        <v>219</v>
      </c>
      <c r="C225" s="160">
        <v>121</v>
      </c>
      <c r="D225" s="160">
        <v>65</v>
      </c>
      <c r="E225" s="161">
        <v>0.2951388888888889</v>
      </c>
      <c r="F225" s="161">
        <v>0.30208333333333331</v>
      </c>
      <c r="G225" s="160" t="s">
        <v>298</v>
      </c>
      <c r="H225" s="160" t="s">
        <v>18</v>
      </c>
      <c r="I225" s="163">
        <v>5.5</v>
      </c>
      <c r="J225" s="164" t="s">
        <v>269</v>
      </c>
      <c r="K225" s="165">
        <v>304</v>
      </c>
      <c r="L225" s="166">
        <f t="shared" si="57"/>
        <v>1672</v>
      </c>
      <c r="M225" s="177" t="s">
        <v>729</v>
      </c>
      <c r="N225" s="150" t="s">
        <v>886</v>
      </c>
      <c r="O225" s="150">
        <v>9</v>
      </c>
      <c r="P225" s="150" t="s">
        <v>984</v>
      </c>
      <c r="Q225" s="150">
        <v>18</v>
      </c>
      <c r="S225" s="150"/>
      <c r="T225" s="45">
        <v>1122</v>
      </c>
      <c r="U225" s="45" t="s">
        <v>1340</v>
      </c>
      <c r="V225" s="45">
        <v>4070</v>
      </c>
      <c r="W225" s="45" t="s">
        <v>1460</v>
      </c>
      <c r="X225" s="98">
        <v>44805</v>
      </c>
      <c r="Y225" s="98">
        <v>45169</v>
      </c>
      <c r="Z225" s="98"/>
      <c r="AA225" s="98"/>
      <c r="AB225" s="42" t="s">
        <v>1125</v>
      </c>
      <c r="AC225" s="42"/>
      <c r="AD225" s="42" t="s">
        <v>734</v>
      </c>
      <c r="AE225" s="42" t="s">
        <v>734</v>
      </c>
      <c r="AF225" s="42" t="s">
        <v>734</v>
      </c>
      <c r="AG225" s="42"/>
      <c r="AH225" s="42" t="s">
        <v>734</v>
      </c>
      <c r="AI225" s="42" t="s">
        <v>734</v>
      </c>
      <c r="AJ225" s="42" t="s">
        <v>734</v>
      </c>
      <c r="AK225" s="42" t="s">
        <v>734</v>
      </c>
      <c r="AL225" s="42" t="s">
        <v>734</v>
      </c>
      <c r="AM225" s="42" t="s">
        <v>734</v>
      </c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68">
        <v>28.38</v>
      </c>
      <c r="BA225" s="68"/>
      <c r="BB225" s="68"/>
      <c r="BD225" s="67">
        <f t="shared" si="60"/>
        <v>8627.52</v>
      </c>
      <c r="BE225" s="67"/>
      <c r="BF225" s="37"/>
      <c r="BG225" s="73">
        <v>1</v>
      </c>
      <c r="BH225" s="67">
        <f t="shared" si="69"/>
        <v>0</v>
      </c>
      <c r="BI225" s="67">
        <f t="shared" si="70"/>
        <v>0</v>
      </c>
      <c r="BJ225" s="70">
        <f t="shared" si="71"/>
        <v>0</v>
      </c>
      <c r="BN225" s="37"/>
      <c r="BO225" s="70">
        <f t="shared" si="58"/>
        <v>0</v>
      </c>
      <c r="BP225" s="37">
        <v>26</v>
      </c>
      <c r="BQ225" s="37">
        <v>26</v>
      </c>
      <c r="BR225" s="37">
        <v>25</v>
      </c>
      <c r="BS225" s="37">
        <v>25</v>
      </c>
      <c r="BT225" s="87">
        <f t="shared" si="59"/>
        <v>28.38</v>
      </c>
      <c r="BU225" s="87"/>
      <c r="BV225" s="87"/>
      <c r="BW225" s="87"/>
      <c r="BX225" s="87"/>
      <c r="BY225" s="87"/>
      <c r="BZ225" s="87"/>
      <c r="CA225" s="87"/>
      <c r="CB225" s="87"/>
      <c r="CC225" s="87"/>
      <c r="CD225" s="87"/>
      <c r="CF225" s="67">
        <f t="shared" si="61"/>
        <v>737.88</v>
      </c>
      <c r="CG225" s="67">
        <f t="shared" si="62"/>
        <v>737.88</v>
      </c>
      <c r="CH225" s="67">
        <f t="shared" si="63"/>
        <v>709.5</v>
      </c>
      <c r="CI225" s="67">
        <f t="shared" si="68"/>
        <v>709.5</v>
      </c>
      <c r="CJ225" s="37">
        <f t="shared" si="64"/>
        <v>143</v>
      </c>
      <c r="CK225" s="37">
        <f t="shared" si="65"/>
        <v>143</v>
      </c>
      <c r="CL225" s="37">
        <f t="shared" si="66"/>
        <v>137.5</v>
      </c>
      <c r="CM225" s="37">
        <f t="shared" si="67"/>
        <v>137.5</v>
      </c>
    </row>
    <row r="226" spans="2:91" ht="25.5">
      <c r="B226" s="156">
        <v>220</v>
      </c>
      <c r="C226" s="160">
        <v>121</v>
      </c>
      <c r="D226" s="160">
        <v>74</v>
      </c>
      <c r="E226" s="161">
        <v>0.54861111111111105</v>
      </c>
      <c r="F226" s="161">
        <v>0.55555555555555558</v>
      </c>
      <c r="G226" s="160" t="s">
        <v>300</v>
      </c>
      <c r="H226" s="160" t="s">
        <v>479</v>
      </c>
      <c r="I226" s="163">
        <v>5.5</v>
      </c>
      <c r="J226" s="164" t="s">
        <v>269</v>
      </c>
      <c r="K226" s="165">
        <v>240</v>
      </c>
      <c r="L226" s="166">
        <f t="shared" si="57"/>
        <v>1320</v>
      </c>
      <c r="M226" s="177" t="s">
        <v>729</v>
      </c>
      <c r="N226" s="154" t="s">
        <v>984</v>
      </c>
      <c r="O226" s="154">
        <v>18</v>
      </c>
      <c r="P226" s="154" t="s">
        <v>886</v>
      </c>
      <c r="Q226" s="154">
        <v>9</v>
      </c>
      <c r="S226" s="154"/>
      <c r="T226" s="45">
        <v>4070</v>
      </c>
      <c r="U226" s="45" t="s">
        <v>1460</v>
      </c>
      <c r="V226" s="45">
        <v>1122</v>
      </c>
      <c r="W226" s="45" t="s">
        <v>1340</v>
      </c>
      <c r="X226" s="99">
        <v>44816</v>
      </c>
      <c r="Y226" s="99">
        <v>45100</v>
      </c>
      <c r="Z226" s="99"/>
      <c r="AA226" s="99"/>
      <c r="AB226" s="45" t="s">
        <v>1124</v>
      </c>
      <c r="AC226" s="45"/>
      <c r="AD226" s="42" t="s">
        <v>734</v>
      </c>
      <c r="AE226" s="42"/>
      <c r="AF226" s="42" t="s">
        <v>734</v>
      </c>
      <c r="AG226" s="42"/>
      <c r="AH226" s="42" t="s">
        <v>734</v>
      </c>
      <c r="AI226" s="42" t="s">
        <v>734</v>
      </c>
      <c r="AJ226" s="42" t="s">
        <v>734</v>
      </c>
      <c r="AK226" s="42" t="s">
        <v>734</v>
      </c>
      <c r="AL226" s="42" t="s">
        <v>734</v>
      </c>
      <c r="AM226" s="42" t="s">
        <v>734</v>
      </c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68">
        <v>28.38</v>
      </c>
      <c r="BA226" s="68"/>
      <c r="BB226" s="68"/>
      <c r="BD226" s="67">
        <f t="shared" si="60"/>
        <v>6811.2</v>
      </c>
      <c r="BE226" s="67"/>
      <c r="BF226" s="37"/>
      <c r="BG226" s="73">
        <v>1</v>
      </c>
      <c r="BH226" s="67">
        <f t="shared" si="69"/>
        <v>0</v>
      </c>
      <c r="BI226" s="67">
        <f t="shared" si="70"/>
        <v>0</v>
      </c>
      <c r="BJ226" s="70">
        <f t="shared" si="71"/>
        <v>0</v>
      </c>
      <c r="BN226" s="37"/>
      <c r="BO226" s="70">
        <f t="shared" si="58"/>
        <v>0</v>
      </c>
      <c r="BP226" s="37">
        <v>17</v>
      </c>
      <c r="BQ226" s="37">
        <v>26</v>
      </c>
      <c r="BR226" s="37">
        <v>25</v>
      </c>
      <c r="BS226" s="37">
        <v>25</v>
      </c>
      <c r="BT226" s="87">
        <f t="shared" si="59"/>
        <v>28.38</v>
      </c>
      <c r="BU226" s="87"/>
      <c r="BV226" s="87"/>
      <c r="BW226" s="87"/>
      <c r="BX226" s="87"/>
      <c r="BY226" s="87"/>
      <c r="BZ226" s="87"/>
      <c r="CA226" s="87"/>
      <c r="CB226" s="87"/>
      <c r="CC226" s="87"/>
      <c r="CD226" s="87"/>
      <c r="CF226" s="67">
        <f t="shared" si="61"/>
        <v>482.46</v>
      </c>
      <c r="CG226" s="67">
        <f t="shared" si="62"/>
        <v>737.88</v>
      </c>
      <c r="CH226" s="67">
        <f t="shared" si="63"/>
        <v>709.5</v>
      </c>
      <c r="CI226" s="67">
        <f t="shared" si="68"/>
        <v>709.5</v>
      </c>
      <c r="CJ226" s="37">
        <f t="shared" si="64"/>
        <v>93.5</v>
      </c>
      <c r="CK226" s="37">
        <f t="shared" si="65"/>
        <v>143</v>
      </c>
      <c r="CL226" s="37">
        <f t="shared" si="66"/>
        <v>137.5</v>
      </c>
      <c r="CM226" s="37">
        <f t="shared" si="67"/>
        <v>137.5</v>
      </c>
    </row>
    <row r="227" spans="2:91" ht="22.5">
      <c r="B227" s="156">
        <v>221</v>
      </c>
      <c r="C227" s="160">
        <v>121</v>
      </c>
      <c r="D227" s="160">
        <v>74</v>
      </c>
      <c r="E227" s="161">
        <v>0.55555555555555558</v>
      </c>
      <c r="F227" s="161">
        <v>0.5625</v>
      </c>
      <c r="G227" s="160" t="s">
        <v>300</v>
      </c>
      <c r="H227" s="160" t="s">
        <v>1</v>
      </c>
      <c r="I227" s="163">
        <v>5.5</v>
      </c>
      <c r="J227" s="164" t="s">
        <v>269</v>
      </c>
      <c r="K227" s="165">
        <v>67</v>
      </c>
      <c r="L227" s="166">
        <f t="shared" si="57"/>
        <v>368.5</v>
      </c>
      <c r="M227" s="177" t="s">
        <v>729</v>
      </c>
      <c r="N227" s="154" t="s">
        <v>984</v>
      </c>
      <c r="O227" s="154">
        <v>18</v>
      </c>
      <c r="P227" s="154" t="s">
        <v>886</v>
      </c>
      <c r="Q227" s="154">
        <v>9</v>
      </c>
      <c r="S227" s="154"/>
      <c r="T227" s="45">
        <v>4070</v>
      </c>
      <c r="U227" s="45" t="s">
        <v>1460</v>
      </c>
      <c r="V227" s="45">
        <v>1122</v>
      </c>
      <c r="W227" s="45" t="s">
        <v>1340</v>
      </c>
      <c r="X227" s="99">
        <v>44562</v>
      </c>
      <c r="Y227" s="99">
        <v>44815</v>
      </c>
      <c r="Z227" s="99">
        <v>45101</v>
      </c>
      <c r="AA227" s="99">
        <v>45169</v>
      </c>
      <c r="AB227" s="42" t="s">
        <v>1119</v>
      </c>
      <c r="AC227" s="42"/>
      <c r="AD227" s="42"/>
      <c r="AE227" s="42" t="s">
        <v>734</v>
      </c>
      <c r="AF227" s="42" t="s">
        <v>734</v>
      </c>
      <c r="AG227" s="42"/>
      <c r="AH227" s="42" t="s">
        <v>734</v>
      </c>
      <c r="AI227" s="42" t="s">
        <v>734</v>
      </c>
      <c r="AJ227" s="42" t="s">
        <v>734</v>
      </c>
      <c r="AK227" s="42" t="s">
        <v>734</v>
      </c>
      <c r="AL227" s="42" t="s">
        <v>734</v>
      </c>
      <c r="AM227" s="42" t="s">
        <v>734</v>
      </c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68">
        <v>28.38</v>
      </c>
      <c r="BA227" s="68"/>
      <c r="BB227" s="68"/>
      <c r="BD227" s="67">
        <f t="shared" si="60"/>
        <v>1901.46</v>
      </c>
      <c r="BE227" s="67"/>
      <c r="BF227" s="37"/>
      <c r="BG227" s="73">
        <v>1</v>
      </c>
      <c r="BH227" s="67">
        <f t="shared" si="69"/>
        <v>0</v>
      </c>
      <c r="BI227" s="67">
        <f t="shared" si="70"/>
        <v>0</v>
      </c>
      <c r="BJ227" s="70">
        <f t="shared" si="71"/>
        <v>0</v>
      </c>
      <c r="BN227" s="37"/>
      <c r="BO227" s="70">
        <f t="shared" si="58"/>
        <v>0</v>
      </c>
      <c r="BP227" s="37">
        <v>9</v>
      </c>
      <c r="BQ227" s="37">
        <v>0</v>
      </c>
      <c r="BR227" s="37">
        <v>0</v>
      </c>
      <c r="BS227" s="37">
        <v>0</v>
      </c>
      <c r="BT227" s="87">
        <f t="shared" si="59"/>
        <v>28.38</v>
      </c>
      <c r="BU227" s="87"/>
      <c r="BV227" s="87"/>
      <c r="BW227" s="87"/>
      <c r="BX227" s="87"/>
      <c r="BY227" s="87"/>
      <c r="BZ227" s="87"/>
      <c r="CA227" s="87"/>
      <c r="CB227" s="87"/>
      <c r="CC227" s="87"/>
      <c r="CD227" s="87"/>
      <c r="CF227" s="67">
        <f t="shared" si="61"/>
        <v>255.42</v>
      </c>
      <c r="CG227" s="67">
        <f t="shared" si="62"/>
        <v>0</v>
      </c>
      <c r="CH227" s="67">
        <f t="shared" si="63"/>
        <v>0</v>
      </c>
      <c r="CI227" s="67">
        <f t="shared" si="68"/>
        <v>0</v>
      </c>
      <c r="CJ227" s="37">
        <f t="shared" si="64"/>
        <v>49.5</v>
      </c>
      <c r="CK227" s="37">
        <f t="shared" si="65"/>
        <v>0</v>
      </c>
      <c r="CL227" s="37">
        <f t="shared" si="66"/>
        <v>0</v>
      </c>
      <c r="CM227" s="37">
        <f t="shared" si="67"/>
        <v>0</v>
      </c>
    </row>
    <row r="228" spans="2:91" ht="22.5">
      <c r="B228" s="156">
        <v>222</v>
      </c>
      <c r="C228" s="160">
        <v>121</v>
      </c>
      <c r="D228" s="160">
        <v>67</v>
      </c>
      <c r="E228" s="161">
        <v>0.56597222222222221</v>
      </c>
      <c r="F228" s="161">
        <v>0.57291666666666663</v>
      </c>
      <c r="G228" s="160" t="s">
        <v>298</v>
      </c>
      <c r="H228" s="160" t="s">
        <v>18</v>
      </c>
      <c r="I228" s="163">
        <v>5.5</v>
      </c>
      <c r="J228" s="164" t="s">
        <v>269</v>
      </c>
      <c r="K228" s="165">
        <v>304</v>
      </c>
      <c r="L228" s="166">
        <f t="shared" si="57"/>
        <v>1672</v>
      </c>
      <c r="M228" s="177" t="s">
        <v>729</v>
      </c>
      <c r="N228" s="154" t="s">
        <v>984</v>
      </c>
      <c r="O228" s="154">
        <v>18</v>
      </c>
      <c r="P228" s="154" t="s">
        <v>886</v>
      </c>
      <c r="Q228" s="154">
        <v>9</v>
      </c>
      <c r="S228" s="154"/>
      <c r="T228" s="45">
        <v>1122</v>
      </c>
      <c r="U228" s="45" t="s">
        <v>1340</v>
      </c>
      <c r="V228" s="45">
        <v>4070</v>
      </c>
      <c r="W228" s="45" t="s">
        <v>1460</v>
      </c>
      <c r="X228" s="98">
        <v>44805</v>
      </c>
      <c r="Y228" s="98">
        <v>45169</v>
      </c>
      <c r="Z228" s="98"/>
      <c r="AA228" s="98"/>
      <c r="AB228" s="42" t="s">
        <v>1125</v>
      </c>
      <c r="AC228" s="42"/>
      <c r="AD228" s="42" t="s">
        <v>734</v>
      </c>
      <c r="AE228" s="42" t="s">
        <v>734</v>
      </c>
      <c r="AF228" s="42" t="s">
        <v>734</v>
      </c>
      <c r="AG228" s="42"/>
      <c r="AH228" s="42" t="s">
        <v>734</v>
      </c>
      <c r="AI228" s="42" t="s">
        <v>734</v>
      </c>
      <c r="AJ228" s="42" t="s">
        <v>734</v>
      </c>
      <c r="AK228" s="42" t="s">
        <v>734</v>
      </c>
      <c r="AL228" s="42" t="s">
        <v>734</v>
      </c>
      <c r="AM228" s="42" t="s">
        <v>734</v>
      </c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68">
        <v>28.38</v>
      </c>
      <c r="BA228" s="68"/>
      <c r="BB228" s="68"/>
      <c r="BD228" s="67">
        <f t="shared" si="60"/>
        <v>8627.52</v>
      </c>
      <c r="BE228" s="67"/>
      <c r="BF228" s="37"/>
      <c r="BG228" s="73">
        <v>1</v>
      </c>
      <c r="BH228" s="67">
        <f t="shared" si="69"/>
        <v>0</v>
      </c>
      <c r="BI228" s="67">
        <f t="shared" si="70"/>
        <v>0</v>
      </c>
      <c r="BJ228" s="70">
        <f t="shared" si="71"/>
        <v>0</v>
      </c>
      <c r="BN228" s="37"/>
      <c r="BO228" s="70">
        <f t="shared" si="58"/>
        <v>0</v>
      </c>
      <c r="BP228" s="37">
        <v>26</v>
      </c>
      <c r="BQ228" s="37">
        <v>26</v>
      </c>
      <c r="BR228" s="37">
        <v>25</v>
      </c>
      <c r="BS228" s="37">
        <v>25</v>
      </c>
      <c r="BT228" s="87">
        <f t="shared" si="59"/>
        <v>28.38</v>
      </c>
      <c r="BU228" s="87"/>
      <c r="BV228" s="87"/>
      <c r="BW228" s="87"/>
      <c r="BX228" s="87"/>
      <c r="BY228" s="87"/>
      <c r="BZ228" s="87"/>
      <c r="CA228" s="87"/>
      <c r="CB228" s="87"/>
      <c r="CC228" s="87"/>
      <c r="CD228" s="87"/>
      <c r="CF228" s="67">
        <f t="shared" si="61"/>
        <v>737.88</v>
      </c>
      <c r="CG228" s="67">
        <f t="shared" si="62"/>
        <v>737.88</v>
      </c>
      <c r="CH228" s="67">
        <f t="shared" si="63"/>
        <v>709.5</v>
      </c>
      <c r="CI228" s="67">
        <f t="shared" si="68"/>
        <v>709.5</v>
      </c>
      <c r="CJ228" s="37">
        <f t="shared" si="64"/>
        <v>143</v>
      </c>
      <c r="CK228" s="37">
        <f t="shared" si="65"/>
        <v>143</v>
      </c>
      <c r="CL228" s="37">
        <f t="shared" si="66"/>
        <v>137.5</v>
      </c>
      <c r="CM228" s="37">
        <f t="shared" si="67"/>
        <v>137.5</v>
      </c>
    </row>
    <row r="229" spans="2:91" ht="25.5">
      <c r="B229" s="156">
        <v>223</v>
      </c>
      <c r="C229" s="160">
        <v>121</v>
      </c>
      <c r="D229" s="160">
        <v>67</v>
      </c>
      <c r="E229" s="161">
        <v>0.57291666666666663</v>
      </c>
      <c r="F229" s="161">
        <v>0.57986111111111105</v>
      </c>
      <c r="G229" s="160" t="s">
        <v>299</v>
      </c>
      <c r="H229" s="162" t="s">
        <v>119</v>
      </c>
      <c r="I229" s="163">
        <v>4</v>
      </c>
      <c r="J229" s="164" t="s">
        <v>269</v>
      </c>
      <c r="K229" s="165">
        <v>36</v>
      </c>
      <c r="L229" s="166">
        <f t="shared" si="57"/>
        <v>144</v>
      </c>
      <c r="M229" s="177" t="s">
        <v>729</v>
      </c>
      <c r="N229" s="154" t="s">
        <v>984</v>
      </c>
      <c r="O229" s="154">
        <v>18</v>
      </c>
      <c r="P229" s="154" t="s">
        <v>886</v>
      </c>
      <c r="Q229" s="154">
        <v>9</v>
      </c>
      <c r="S229" s="154"/>
      <c r="T229" s="45">
        <v>4070</v>
      </c>
      <c r="U229" s="45" t="s">
        <v>1460</v>
      </c>
      <c r="V229" s="45" t="s">
        <v>1464</v>
      </c>
      <c r="W229" s="45" t="s">
        <v>1465</v>
      </c>
      <c r="X229" s="98">
        <v>44816</v>
      </c>
      <c r="Y229" s="98">
        <v>45086</v>
      </c>
      <c r="Z229" s="98"/>
      <c r="AA229" s="98"/>
      <c r="AB229" s="42" t="s">
        <v>1133</v>
      </c>
      <c r="AC229" s="42"/>
      <c r="AD229" s="42"/>
      <c r="AE229" s="42"/>
      <c r="AF229" s="42"/>
      <c r="AG229" s="42" t="s">
        <v>734</v>
      </c>
      <c r="AH229" s="42"/>
      <c r="AI229" s="42"/>
      <c r="AJ229" s="42"/>
      <c r="AK229" s="42"/>
      <c r="AL229" s="42" t="s">
        <v>734</v>
      </c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68">
        <v>10.33</v>
      </c>
      <c r="AY229" s="37"/>
      <c r="BA229" s="68"/>
      <c r="BB229" s="68"/>
      <c r="BD229" s="67">
        <f t="shared" si="60"/>
        <v>371.88</v>
      </c>
      <c r="BE229" s="67"/>
      <c r="BF229" s="37"/>
      <c r="BG229" s="73">
        <v>1</v>
      </c>
      <c r="BH229" s="67">
        <f t="shared" si="69"/>
        <v>0</v>
      </c>
      <c r="BI229" s="67">
        <f t="shared" si="70"/>
        <v>0</v>
      </c>
      <c r="BJ229" s="70">
        <f t="shared" si="71"/>
        <v>0</v>
      </c>
      <c r="BN229" s="37"/>
      <c r="BO229" s="70">
        <f t="shared" si="58"/>
        <v>0</v>
      </c>
      <c r="BP229" s="37">
        <v>3</v>
      </c>
      <c r="BQ229" s="37">
        <v>4</v>
      </c>
      <c r="BR229" s="37">
        <v>4</v>
      </c>
      <c r="BS229" s="37">
        <v>3</v>
      </c>
      <c r="BT229" s="87">
        <f t="shared" si="59"/>
        <v>10.33</v>
      </c>
      <c r="BU229" s="87"/>
      <c r="BV229" s="87"/>
      <c r="BW229" s="87"/>
      <c r="BX229" s="87"/>
      <c r="BY229" s="87"/>
      <c r="BZ229" s="87"/>
      <c r="CA229" s="87"/>
      <c r="CB229" s="87"/>
      <c r="CC229" s="87"/>
      <c r="CD229" s="87"/>
      <c r="CF229" s="67">
        <f t="shared" si="61"/>
        <v>30.990000000000002</v>
      </c>
      <c r="CG229" s="67">
        <f t="shared" si="62"/>
        <v>41.32</v>
      </c>
      <c r="CH229" s="67">
        <f t="shared" si="63"/>
        <v>41.32</v>
      </c>
      <c r="CI229" s="67">
        <f t="shared" si="68"/>
        <v>30.990000000000002</v>
      </c>
      <c r="CJ229" s="37">
        <f t="shared" si="64"/>
        <v>12</v>
      </c>
      <c r="CK229" s="37">
        <f t="shared" si="65"/>
        <v>16</v>
      </c>
      <c r="CL229" s="37">
        <f t="shared" si="66"/>
        <v>16</v>
      </c>
      <c r="CM229" s="37">
        <f t="shared" si="67"/>
        <v>12</v>
      </c>
    </row>
    <row r="230" spans="2:91" ht="25.5">
      <c r="B230" s="156">
        <v>224</v>
      </c>
      <c r="C230" s="174">
        <v>121</v>
      </c>
      <c r="D230" s="160">
        <v>67</v>
      </c>
      <c r="E230" s="161">
        <v>0.57986111111111105</v>
      </c>
      <c r="F230" s="161">
        <v>0.59236111111111112</v>
      </c>
      <c r="G230" s="160" t="s">
        <v>670</v>
      </c>
      <c r="H230" s="160" t="s">
        <v>404</v>
      </c>
      <c r="I230" s="163">
        <v>12.4</v>
      </c>
      <c r="J230" s="164" t="s">
        <v>167</v>
      </c>
      <c r="K230" s="165">
        <v>36</v>
      </c>
      <c r="L230" s="166">
        <f t="shared" si="57"/>
        <v>446.40000000000003</v>
      </c>
      <c r="M230" s="177" t="s">
        <v>729</v>
      </c>
      <c r="N230" s="154" t="s">
        <v>984</v>
      </c>
      <c r="O230" s="154">
        <v>18</v>
      </c>
      <c r="P230" s="154" t="s">
        <v>886</v>
      </c>
      <c r="Q230" s="154">
        <v>9</v>
      </c>
      <c r="S230" s="154"/>
      <c r="T230" s="45" t="s">
        <v>1464</v>
      </c>
      <c r="U230" s="45" t="s">
        <v>1465</v>
      </c>
      <c r="V230" s="45" t="s">
        <v>1466</v>
      </c>
      <c r="W230" s="45" t="s">
        <v>1467</v>
      </c>
      <c r="X230" s="98">
        <v>44816</v>
      </c>
      <c r="Y230" s="98">
        <v>45086</v>
      </c>
      <c r="Z230" s="98"/>
      <c r="AA230" s="98"/>
      <c r="AB230" s="42" t="s">
        <v>1133</v>
      </c>
      <c r="AC230" s="42"/>
      <c r="AD230" s="42"/>
      <c r="AE230" s="42"/>
      <c r="AF230" s="42"/>
      <c r="AG230" s="42" t="s">
        <v>734</v>
      </c>
      <c r="AH230" s="42"/>
      <c r="AI230" s="42"/>
      <c r="AJ230" s="42"/>
      <c r="AK230" s="42"/>
      <c r="AL230" s="42" t="s">
        <v>734</v>
      </c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68">
        <f>18+7.2</f>
        <v>25.2</v>
      </c>
      <c r="AY230" s="37"/>
      <c r="BA230" s="68"/>
      <c r="BB230" s="68"/>
      <c r="BD230" s="67">
        <f t="shared" si="60"/>
        <v>907.19999999999993</v>
      </c>
      <c r="BE230" s="67"/>
      <c r="BF230" s="37"/>
      <c r="BG230" s="73">
        <v>1</v>
      </c>
      <c r="BH230" s="67">
        <f t="shared" si="69"/>
        <v>0</v>
      </c>
      <c r="BI230" s="67">
        <f t="shared" si="70"/>
        <v>0</v>
      </c>
      <c r="BJ230" s="70">
        <f t="shared" si="71"/>
        <v>0</v>
      </c>
      <c r="BN230" s="37"/>
      <c r="BO230" s="70">
        <f t="shared" si="58"/>
        <v>0</v>
      </c>
      <c r="BP230" s="37">
        <v>3</v>
      </c>
      <c r="BQ230" s="37">
        <v>4</v>
      </c>
      <c r="BR230" s="37">
        <v>4</v>
      </c>
      <c r="BS230" s="37">
        <v>3</v>
      </c>
      <c r="BT230" s="87">
        <f t="shared" si="59"/>
        <v>25.2</v>
      </c>
      <c r="BU230" s="87"/>
      <c r="BV230" s="87"/>
      <c r="BW230" s="87"/>
      <c r="BX230" s="87"/>
      <c r="BY230" s="87"/>
      <c r="BZ230" s="87"/>
      <c r="CA230" s="87"/>
      <c r="CB230" s="87"/>
      <c r="CC230" s="87"/>
      <c r="CD230" s="87"/>
      <c r="CF230" s="67">
        <f t="shared" si="61"/>
        <v>75.599999999999994</v>
      </c>
      <c r="CG230" s="67">
        <f t="shared" si="62"/>
        <v>100.8</v>
      </c>
      <c r="CH230" s="67">
        <f t="shared" si="63"/>
        <v>100.8</v>
      </c>
      <c r="CI230" s="67">
        <f t="shared" si="68"/>
        <v>75.599999999999994</v>
      </c>
      <c r="CJ230" s="37">
        <f t="shared" si="64"/>
        <v>37.200000000000003</v>
      </c>
      <c r="CK230" s="37">
        <f t="shared" si="65"/>
        <v>49.6</v>
      </c>
      <c r="CL230" s="37">
        <f t="shared" si="66"/>
        <v>49.6</v>
      </c>
      <c r="CM230" s="37">
        <f t="shared" si="67"/>
        <v>37.200000000000003</v>
      </c>
    </row>
    <row r="231" spans="2:91" ht="25.5">
      <c r="B231" s="156">
        <v>225</v>
      </c>
      <c r="C231" s="160">
        <v>121</v>
      </c>
      <c r="D231" s="160">
        <v>437</v>
      </c>
      <c r="E231" s="161">
        <v>0.60277777777777775</v>
      </c>
      <c r="F231" s="161">
        <v>0.60763888888888895</v>
      </c>
      <c r="G231" s="160" t="s">
        <v>298</v>
      </c>
      <c r="H231" s="160" t="s">
        <v>97</v>
      </c>
      <c r="I231" s="163">
        <v>5.5</v>
      </c>
      <c r="J231" s="164" t="s">
        <v>269</v>
      </c>
      <c r="K231" s="165">
        <v>208</v>
      </c>
      <c r="L231" s="166">
        <f t="shared" si="57"/>
        <v>1144</v>
      </c>
      <c r="M231" s="177" t="s">
        <v>729</v>
      </c>
      <c r="N231" s="154" t="s">
        <v>984</v>
      </c>
      <c r="O231" s="154">
        <v>18</v>
      </c>
      <c r="P231" s="154" t="s">
        <v>886</v>
      </c>
      <c r="Q231" s="154">
        <v>9</v>
      </c>
      <c r="S231" s="154"/>
      <c r="T231" s="45">
        <v>1122</v>
      </c>
      <c r="U231" s="45" t="s">
        <v>1340</v>
      </c>
      <c r="V231" s="45">
        <v>4070</v>
      </c>
      <c r="W231" s="45" t="s">
        <v>1460</v>
      </c>
      <c r="X231" s="98">
        <v>44816</v>
      </c>
      <c r="Y231" s="98">
        <v>45086</v>
      </c>
      <c r="Z231" s="98"/>
      <c r="AA231" s="98"/>
      <c r="AB231" s="41" t="s">
        <v>1118</v>
      </c>
      <c r="AC231" s="41"/>
      <c r="AD231" s="42"/>
      <c r="AE231" s="42"/>
      <c r="AF231" s="42"/>
      <c r="AG231" s="42" t="s">
        <v>734</v>
      </c>
      <c r="AH231" s="42" t="s">
        <v>734</v>
      </c>
      <c r="AI231" s="42" t="s">
        <v>734</v>
      </c>
      <c r="AJ231" s="42" t="s">
        <v>734</v>
      </c>
      <c r="AK231" s="42" t="s">
        <v>734</v>
      </c>
      <c r="AL231" s="42" t="s">
        <v>734</v>
      </c>
      <c r="AM231" s="42" t="s">
        <v>734</v>
      </c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68">
        <v>14.58</v>
      </c>
      <c r="AY231" s="37"/>
      <c r="BA231" s="68"/>
      <c r="BB231" s="68"/>
      <c r="BD231" s="67">
        <f t="shared" si="60"/>
        <v>3032.64</v>
      </c>
      <c r="BE231" s="67"/>
      <c r="BF231" s="37"/>
      <c r="BG231" s="73">
        <v>1</v>
      </c>
      <c r="BH231" s="67">
        <f t="shared" si="69"/>
        <v>0</v>
      </c>
      <c r="BI231" s="67">
        <f t="shared" si="70"/>
        <v>0</v>
      </c>
      <c r="BJ231" s="70">
        <f t="shared" si="71"/>
        <v>0</v>
      </c>
      <c r="BN231" s="37"/>
      <c r="BO231" s="70">
        <f t="shared" si="58"/>
        <v>0</v>
      </c>
      <c r="BP231" s="37">
        <v>17</v>
      </c>
      <c r="BQ231" s="37">
        <v>25</v>
      </c>
      <c r="BR231" s="37">
        <v>25</v>
      </c>
      <c r="BS231" s="37">
        <v>18</v>
      </c>
      <c r="BT231" s="87">
        <f t="shared" si="59"/>
        <v>14.58</v>
      </c>
      <c r="BU231" s="87"/>
      <c r="BV231" s="87"/>
      <c r="BW231" s="87"/>
      <c r="BX231" s="87"/>
      <c r="BY231" s="87"/>
      <c r="BZ231" s="87"/>
      <c r="CA231" s="87"/>
      <c r="CB231" s="87"/>
      <c r="CC231" s="87"/>
      <c r="CD231" s="87"/>
      <c r="CF231" s="67">
        <f t="shared" si="61"/>
        <v>247.86</v>
      </c>
      <c r="CG231" s="67">
        <f t="shared" si="62"/>
        <v>364.5</v>
      </c>
      <c r="CH231" s="67">
        <f t="shared" si="63"/>
        <v>364.5</v>
      </c>
      <c r="CI231" s="67">
        <f t="shared" si="68"/>
        <v>262.44</v>
      </c>
      <c r="CJ231" s="37">
        <f t="shared" si="64"/>
        <v>93.5</v>
      </c>
      <c r="CK231" s="37">
        <f t="shared" si="65"/>
        <v>137.5</v>
      </c>
      <c r="CL231" s="37">
        <f t="shared" si="66"/>
        <v>137.5</v>
      </c>
      <c r="CM231" s="37">
        <f t="shared" si="67"/>
        <v>99</v>
      </c>
    </row>
    <row r="232" spans="2:91" ht="25.5">
      <c r="B232" s="156">
        <v>226</v>
      </c>
      <c r="C232" s="160">
        <v>121</v>
      </c>
      <c r="D232" s="160">
        <v>707</v>
      </c>
      <c r="E232" s="161">
        <v>0.68055555555555547</v>
      </c>
      <c r="F232" s="161">
        <v>0.6875</v>
      </c>
      <c r="G232" s="160" t="s">
        <v>297</v>
      </c>
      <c r="H232" s="160" t="s">
        <v>194</v>
      </c>
      <c r="I232" s="163">
        <v>5.5</v>
      </c>
      <c r="J232" s="164" t="s">
        <v>93</v>
      </c>
      <c r="K232" s="165">
        <f>34+34+36+33</f>
        <v>137</v>
      </c>
      <c r="L232" s="166">
        <f t="shared" si="57"/>
        <v>753.5</v>
      </c>
      <c r="M232" s="177" t="s">
        <v>729</v>
      </c>
      <c r="N232" s="154" t="s">
        <v>984</v>
      </c>
      <c r="O232" s="154">
        <v>18</v>
      </c>
      <c r="P232" s="154" t="s">
        <v>886</v>
      </c>
      <c r="Q232" s="154">
        <v>9</v>
      </c>
      <c r="S232" s="154"/>
      <c r="T232" s="45">
        <v>1122</v>
      </c>
      <c r="U232" s="45" t="s">
        <v>1340</v>
      </c>
      <c r="V232" s="45">
        <v>4070</v>
      </c>
      <c r="W232" s="45" t="s">
        <v>1460</v>
      </c>
      <c r="X232" s="98">
        <v>44816</v>
      </c>
      <c r="Y232" s="98">
        <v>45086</v>
      </c>
      <c r="Z232" s="98"/>
      <c r="AA232" s="98"/>
      <c r="AB232" s="43" t="s">
        <v>1117</v>
      </c>
      <c r="AC232" s="43"/>
      <c r="AD232" s="42"/>
      <c r="AE232" s="42"/>
      <c r="AF232" s="42"/>
      <c r="AG232" s="42" t="s">
        <v>734</v>
      </c>
      <c r="AH232" s="42" t="s">
        <v>734</v>
      </c>
      <c r="AI232" s="42" t="s">
        <v>734</v>
      </c>
      <c r="AJ232" s="42" t="s">
        <v>734</v>
      </c>
      <c r="AK232" s="42" t="s">
        <v>734</v>
      </c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68">
        <v>9.9</v>
      </c>
      <c r="AY232" s="37"/>
      <c r="BA232" s="68"/>
      <c r="BB232" s="68"/>
      <c r="BD232" s="67">
        <f t="shared" si="60"/>
        <v>1356.3</v>
      </c>
      <c r="BE232" s="67"/>
      <c r="BF232" s="37"/>
      <c r="BG232" s="73">
        <v>1</v>
      </c>
      <c r="BH232" s="67">
        <f t="shared" si="69"/>
        <v>1.0999999999999996</v>
      </c>
      <c r="BI232" s="67">
        <f t="shared" si="70"/>
        <v>0</v>
      </c>
      <c r="BJ232" s="67">
        <f t="shared" si="71"/>
        <v>150.69999999999996</v>
      </c>
      <c r="BN232" s="37"/>
      <c r="BO232" s="70">
        <f t="shared" si="58"/>
        <v>0</v>
      </c>
      <c r="BP232" s="37">
        <v>12</v>
      </c>
      <c r="BQ232" s="37">
        <v>16</v>
      </c>
      <c r="BR232" s="37">
        <v>17</v>
      </c>
      <c r="BS232" s="37">
        <v>12</v>
      </c>
      <c r="BT232" s="87">
        <f t="shared" si="59"/>
        <v>11</v>
      </c>
      <c r="BU232" s="87"/>
      <c r="BV232" s="87"/>
      <c r="BW232" s="87"/>
      <c r="BX232" s="87"/>
      <c r="BY232" s="87"/>
      <c r="BZ232" s="87"/>
      <c r="CA232" s="87"/>
      <c r="CB232" s="87"/>
      <c r="CC232" s="87"/>
      <c r="CD232" s="87"/>
      <c r="CF232" s="67">
        <f t="shared" si="61"/>
        <v>132</v>
      </c>
      <c r="CG232" s="67">
        <f t="shared" si="62"/>
        <v>176</v>
      </c>
      <c r="CH232" s="67">
        <f t="shared" si="63"/>
        <v>187</v>
      </c>
      <c r="CI232" s="67">
        <f t="shared" si="68"/>
        <v>132</v>
      </c>
      <c r="CJ232" s="37">
        <f t="shared" si="64"/>
        <v>66</v>
      </c>
      <c r="CK232" s="37">
        <f t="shared" si="65"/>
        <v>88</v>
      </c>
      <c r="CL232" s="37">
        <f t="shared" si="66"/>
        <v>93.5</v>
      </c>
      <c r="CM232" s="37">
        <f t="shared" si="67"/>
        <v>66</v>
      </c>
    </row>
    <row r="233" spans="2:91" ht="22.5">
      <c r="B233" s="156">
        <v>227</v>
      </c>
      <c r="C233" s="160">
        <v>121</v>
      </c>
      <c r="D233" s="160">
        <v>69</v>
      </c>
      <c r="E233" s="161">
        <v>0.73958333333333337</v>
      </c>
      <c r="F233" s="161">
        <v>0.74652777777777779</v>
      </c>
      <c r="G233" s="160" t="s">
        <v>298</v>
      </c>
      <c r="H233" s="160" t="s">
        <v>18</v>
      </c>
      <c r="I233" s="163">
        <v>5.5</v>
      </c>
      <c r="J233" s="164" t="s">
        <v>269</v>
      </c>
      <c r="K233" s="165">
        <v>304</v>
      </c>
      <c r="L233" s="166">
        <f t="shared" si="57"/>
        <v>1672</v>
      </c>
      <c r="M233" s="177" t="s">
        <v>729</v>
      </c>
      <c r="N233" s="154" t="s">
        <v>984</v>
      </c>
      <c r="O233" s="154">
        <v>18</v>
      </c>
      <c r="P233" s="154" t="s">
        <v>886</v>
      </c>
      <c r="Q233" s="154">
        <v>9</v>
      </c>
      <c r="S233" s="154"/>
      <c r="T233" s="45">
        <v>1122</v>
      </c>
      <c r="U233" s="45" t="s">
        <v>1340</v>
      </c>
      <c r="V233" s="45">
        <v>4070</v>
      </c>
      <c r="W233" s="45" t="s">
        <v>1460</v>
      </c>
      <c r="X233" s="98">
        <v>44805</v>
      </c>
      <c r="Y233" s="98">
        <v>45169</v>
      </c>
      <c r="Z233" s="98"/>
      <c r="AA233" s="98"/>
      <c r="AB233" s="42" t="s">
        <v>1125</v>
      </c>
      <c r="AC233" s="42"/>
      <c r="AD233" s="42" t="s">
        <v>734</v>
      </c>
      <c r="AE233" s="42" t="s">
        <v>734</v>
      </c>
      <c r="AF233" s="42" t="s">
        <v>734</v>
      </c>
      <c r="AG233" s="42"/>
      <c r="AH233" s="42" t="s">
        <v>734</v>
      </c>
      <c r="AI233" s="42" t="s">
        <v>734</v>
      </c>
      <c r="AJ233" s="42" t="s">
        <v>734</v>
      </c>
      <c r="AK233" s="42" t="s">
        <v>734</v>
      </c>
      <c r="AL233" s="42" t="s">
        <v>734</v>
      </c>
      <c r="AM233" s="42" t="s">
        <v>734</v>
      </c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68">
        <v>17.7</v>
      </c>
      <c r="AY233" s="37"/>
      <c r="BA233" s="68"/>
      <c r="BB233" s="68"/>
      <c r="BD233" s="67">
        <f t="shared" si="60"/>
        <v>5380.8</v>
      </c>
      <c r="BE233" s="67"/>
      <c r="BF233" s="37"/>
      <c r="BG233" s="73">
        <v>1</v>
      </c>
      <c r="BH233" s="67">
        <f t="shared" si="69"/>
        <v>0</v>
      </c>
      <c r="BI233" s="67">
        <f t="shared" si="70"/>
        <v>0</v>
      </c>
      <c r="BJ233" s="70">
        <f t="shared" si="71"/>
        <v>0</v>
      </c>
      <c r="BN233" s="37"/>
      <c r="BO233" s="70">
        <f t="shared" si="58"/>
        <v>0</v>
      </c>
      <c r="BP233" s="37">
        <v>26</v>
      </c>
      <c r="BQ233" s="37">
        <v>26</v>
      </c>
      <c r="BR233" s="37">
        <v>25</v>
      </c>
      <c r="BS233" s="37">
        <v>25</v>
      </c>
      <c r="BT233" s="87">
        <f t="shared" si="59"/>
        <v>17.7</v>
      </c>
      <c r="BU233" s="87"/>
      <c r="BV233" s="87"/>
      <c r="BW233" s="87"/>
      <c r="BX233" s="87"/>
      <c r="BY233" s="87"/>
      <c r="BZ233" s="87"/>
      <c r="CA233" s="87"/>
      <c r="CB233" s="87"/>
      <c r="CC233" s="87"/>
      <c r="CD233" s="87"/>
      <c r="CF233" s="67">
        <f t="shared" si="61"/>
        <v>460.2</v>
      </c>
      <c r="CG233" s="67">
        <f t="shared" si="62"/>
        <v>460.2</v>
      </c>
      <c r="CH233" s="67">
        <f t="shared" si="63"/>
        <v>442.5</v>
      </c>
      <c r="CI233" s="67">
        <f t="shared" si="68"/>
        <v>442.5</v>
      </c>
      <c r="CJ233" s="37">
        <f t="shared" si="64"/>
        <v>143</v>
      </c>
      <c r="CK233" s="37">
        <f t="shared" si="65"/>
        <v>143</v>
      </c>
      <c r="CL233" s="37">
        <f t="shared" si="66"/>
        <v>137.5</v>
      </c>
      <c r="CM233" s="37">
        <f t="shared" si="67"/>
        <v>137.5</v>
      </c>
    </row>
    <row r="234" spans="2:91" ht="33.75">
      <c r="B234" s="156">
        <v>228</v>
      </c>
      <c r="C234" s="160">
        <v>121</v>
      </c>
      <c r="D234" s="160">
        <v>112</v>
      </c>
      <c r="E234" s="161">
        <v>0.76458333333333339</v>
      </c>
      <c r="F234" s="161">
        <v>0.76736111111111116</v>
      </c>
      <c r="G234" s="160" t="s">
        <v>296</v>
      </c>
      <c r="H234" s="160" t="s">
        <v>103</v>
      </c>
      <c r="I234" s="163">
        <v>1.5</v>
      </c>
      <c r="J234" s="164" t="s">
        <v>269</v>
      </c>
      <c r="K234" s="165">
        <v>174</v>
      </c>
      <c r="L234" s="166">
        <f t="shared" si="57"/>
        <v>261</v>
      </c>
      <c r="M234" s="177" t="s">
        <v>729</v>
      </c>
      <c r="N234" s="154" t="s">
        <v>886</v>
      </c>
      <c r="O234" s="154">
        <v>9</v>
      </c>
      <c r="P234" s="154" t="s">
        <v>984</v>
      </c>
      <c r="Q234" s="154">
        <v>18</v>
      </c>
      <c r="S234" s="154"/>
      <c r="T234" s="45">
        <v>1125</v>
      </c>
      <c r="U234" s="45" t="s">
        <v>1463</v>
      </c>
      <c r="V234" s="45" t="s">
        <v>1461</v>
      </c>
      <c r="W234" s="45" t="s">
        <v>1462</v>
      </c>
      <c r="X234" s="98">
        <v>44816</v>
      </c>
      <c r="Y234" s="98">
        <v>45086</v>
      </c>
      <c r="Z234" s="98"/>
      <c r="AA234" s="98"/>
      <c r="AB234" s="41" t="s">
        <v>1114</v>
      </c>
      <c r="AC234" s="41"/>
      <c r="AD234" s="42"/>
      <c r="AE234" s="42"/>
      <c r="AF234" s="42"/>
      <c r="AG234" s="42" t="s">
        <v>734</v>
      </c>
      <c r="AH234" s="42" t="s">
        <v>734</v>
      </c>
      <c r="AI234" s="42" t="s">
        <v>734</v>
      </c>
      <c r="AJ234" s="42" t="s">
        <v>734</v>
      </c>
      <c r="AK234" s="42" t="s">
        <v>734</v>
      </c>
      <c r="AL234" s="42" t="s">
        <v>734</v>
      </c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68">
        <v>10</v>
      </c>
      <c r="AY234" s="37"/>
      <c r="BA234" s="68"/>
      <c r="BB234" s="68"/>
      <c r="BD234" s="67">
        <f t="shared" si="60"/>
        <v>1740</v>
      </c>
      <c r="BE234" s="67"/>
      <c r="BF234" s="37"/>
      <c r="BG234" s="73">
        <v>1</v>
      </c>
      <c r="BH234" s="67">
        <f t="shared" si="69"/>
        <v>0</v>
      </c>
      <c r="BI234" s="67">
        <f t="shared" si="70"/>
        <v>0</v>
      </c>
      <c r="BJ234" s="70">
        <f t="shared" si="71"/>
        <v>0</v>
      </c>
      <c r="BN234" s="37"/>
      <c r="BO234" s="70">
        <f t="shared" si="58"/>
        <v>0</v>
      </c>
      <c r="BP234" s="37">
        <v>15</v>
      </c>
      <c r="BQ234" s="37">
        <v>20</v>
      </c>
      <c r="BR234" s="37">
        <v>21</v>
      </c>
      <c r="BS234" s="37">
        <v>15</v>
      </c>
      <c r="BT234" s="87">
        <f t="shared" si="59"/>
        <v>10</v>
      </c>
      <c r="BU234" s="87"/>
      <c r="BV234" s="87"/>
      <c r="BW234" s="87"/>
      <c r="BX234" s="87"/>
      <c r="BY234" s="87"/>
      <c r="BZ234" s="87"/>
      <c r="CA234" s="87"/>
      <c r="CB234" s="87"/>
      <c r="CC234" s="87"/>
      <c r="CD234" s="87"/>
      <c r="CF234" s="67">
        <f t="shared" si="61"/>
        <v>150</v>
      </c>
      <c r="CG234" s="67">
        <f t="shared" si="62"/>
        <v>200</v>
      </c>
      <c r="CH234" s="67">
        <f t="shared" si="63"/>
        <v>210</v>
      </c>
      <c r="CI234" s="67">
        <f t="shared" si="68"/>
        <v>150</v>
      </c>
      <c r="CJ234" s="37">
        <f t="shared" si="64"/>
        <v>22.5</v>
      </c>
      <c r="CK234" s="37">
        <f t="shared" si="65"/>
        <v>30</v>
      </c>
      <c r="CL234" s="37">
        <f t="shared" si="66"/>
        <v>31.5</v>
      </c>
      <c r="CM234" s="37">
        <f t="shared" si="67"/>
        <v>22.5</v>
      </c>
    </row>
    <row r="235" spans="2:91" ht="33.75">
      <c r="B235" s="156">
        <v>229</v>
      </c>
      <c r="C235" s="160">
        <v>122</v>
      </c>
      <c r="D235" s="160">
        <v>23</v>
      </c>
      <c r="E235" s="161">
        <v>0.28472222222222221</v>
      </c>
      <c r="F235" s="161">
        <v>0.29375000000000001</v>
      </c>
      <c r="G235" s="174" t="s">
        <v>1043</v>
      </c>
      <c r="H235" s="160" t="s">
        <v>97</v>
      </c>
      <c r="I235" s="163">
        <v>6.1</v>
      </c>
      <c r="J235" s="164" t="s">
        <v>116</v>
      </c>
      <c r="K235" s="165">
        <v>208</v>
      </c>
      <c r="L235" s="166">
        <f t="shared" si="57"/>
        <v>1268.8</v>
      </c>
      <c r="M235" s="167" t="s">
        <v>1099</v>
      </c>
      <c r="N235" s="154" t="s">
        <v>859</v>
      </c>
      <c r="O235" s="154">
        <v>24</v>
      </c>
      <c r="P235" s="154" t="s">
        <v>860</v>
      </c>
      <c r="Q235" s="154">
        <v>21</v>
      </c>
      <c r="R235" s="154" t="s">
        <v>1973</v>
      </c>
      <c r="S235" s="151">
        <v>24</v>
      </c>
      <c r="T235" s="45" t="s">
        <v>1468</v>
      </c>
      <c r="U235" s="45" t="s">
        <v>1469</v>
      </c>
      <c r="V235" s="45">
        <v>1220</v>
      </c>
      <c r="W235" s="45" t="s">
        <v>1470</v>
      </c>
      <c r="X235" s="98">
        <v>44816</v>
      </c>
      <c r="Y235" s="98">
        <v>45086</v>
      </c>
      <c r="Z235" s="98"/>
      <c r="AA235" s="98"/>
      <c r="AB235" s="41" t="s">
        <v>1118</v>
      </c>
      <c r="AC235" s="41"/>
      <c r="AD235" s="42"/>
      <c r="AE235" s="42"/>
      <c r="AF235" s="42"/>
      <c r="AG235" s="42" t="s">
        <v>734</v>
      </c>
      <c r="AH235" s="42" t="s">
        <v>734</v>
      </c>
      <c r="AI235" s="42" t="s">
        <v>734</v>
      </c>
      <c r="AJ235" s="42" t="s">
        <v>734</v>
      </c>
      <c r="AK235" s="42" t="s">
        <v>734</v>
      </c>
      <c r="AL235" s="42" t="s">
        <v>734</v>
      </c>
      <c r="AM235" s="42" t="s">
        <v>734</v>
      </c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68">
        <v>12.2</v>
      </c>
      <c r="AY235" s="37"/>
      <c r="BA235" s="68"/>
      <c r="BB235" s="68"/>
      <c r="BD235" s="67">
        <f t="shared" si="60"/>
        <v>2537.6</v>
      </c>
      <c r="BE235" s="67"/>
      <c r="BF235" s="37"/>
      <c r="BG235" s="73">
        <v>1</v>
      </c>
      <c r="BH235" s="67">
        <f t="shared" si="69"/>
        <v>0</v>
      </c>
      <c r="BI235" s="67">
        <f t="shared" si="70"/>
        <v>0</v>
      </c>
      <c r="BJ235" s="70">
        <f t="shared" si="71"/>
        <v>0</v>
      </c>
      <c r="BN235" s="67">
        <f>IF((AX235+AY235+AZ235)&lt;20,(20-(AX235+AY235+AZ235)),0)</f>
        <v>7.8000000000000007</v>
      </c>
      <c r="BO235" s="70">
        <f t="shared" si="58"/>
        <v>1622.4</v>
      </c>
      <c r="BP235" s="37">
        <v>17</v>
      </c>
      <c r="BQ235" s="37">
        <v>25</v>
      </c>
      <c r="BR235" s="37">
        <v>25</v>
      </c>
      <c r="BS235" s="37">
        <v>18</v>
      </c>
      <c r="BT235" s="87">
        <f t="shared" si="59"/>
        <v>20</v>
      </c>
      <c r="BU235" s="87"/>
      <c r="BV235" s="87"/>
      <c r="BW235" s="87"/>
      <c r="BX235" s="87"/>
      <c r="BY235" s="87"/>
      <c r="BZ235" s="87"/>
      <c r="CA235" s="87"/>
      <c r="CB235" s="87"/>
      <c r="CC235" s="87"/>
      <c r="CD235" s="87"/>
      <c r="CF235" s="67">
        <f t="shared" si="61"/>
        <v>340</v>
      </c>
      <c r="CG235" s="67">
        <f t="shared" si="62"/>
        <v>500</v>
      </c>
      <c r="CH235" s="67">
        <f t="shared" si="63"/>
        <v>500</v>
      </c>
      <c r="CI235" s="67">
        <f t="shared" si="68"/>
        <v>360</v>
      </c>
      <c r="CJ235" s="37">
        <f t="shared" si="64"/>
        <v>103.69999999999999</v>
      </c>
      <c r="CK235" s="37">
        <f t="shared" si="65"/>
        <v>152.5</v>
      </c>
      <c r="CL235" s="37">
        <f t="shared" si="66"/>
        <v>152.5</v>
      </c>
      <c r="CM235" s="37">
        <f t="shared" si="67"/>
        <v>109.8</v>
      </c>
    </row>
    <row r="236" spans="2:91" ht="33.75">
      <c r="B236" s="156">
        <v>230</v>
      </c>
      <c r="C236" s="160">
        <v>122</v>
      </c>
      <c r="D236" s="164">
        <v>920</v>
      </c>
      <c r="E236" s="161">
        <v>0.30555555555555552</v>
      </c>
      <c r="F236" s="161">
        <v>0.3298611111111111</v>
      </c>
      <c r="G236" s="160" t="s">
        <v>683</v>
      </c>
      <c r="H236" s="160" t="s">
        <v>97</v>
      </c>
      <c r="I236" s="163">
        <v>10</v>
      </c>
      <c r="J236" s="164" t="s">
        <v>99</v>
      </c>
      <c r="K236" s="165">
        <v>208</v>
      </c>
      <c r="L236" s="166">
        <f t="shared" si="57"/>
        <v>2080</v>
      </c>
      <c r="M236" s="167" t="s">
        <v>1099</v>
      </c>
      <c r="N236" s="154" t="s">
        <v>859</v>
      </c>
      <c r="O236" s="154">
        <v>24</v>
      </c>
      <c r="P236" s="154" t="s">
        <v>860</v>
      </c>
      <c r="Q236" s="154">
        <v>21</v>
      </c>
      <c r="R236" s="154" t="s">
        <v>1973</v>
      </c>
      <c r="S236" s="151">
        <v>24</v>
      </c>
      <c r="T236" s="45" t="s">
        <v>1471</v>
      </c>
      <c r="U236" s="45" t="s">
        <v>1472</v>
      </c>
      <c r="V236" s="45" t="s">
        <v>1473</v>
      </c>
      <c r="W236" s="45" t="s">
        <v>1474</v>
      </c>
      <c r="X236" s="98">
        <v>44816</v>
      </c>
      <c r="Y236" s="98">
        <v>45086</v>
      </c>
      <c r="Z236" s="98"/>
      <c r="AA236" s="98"/>
      <c r="AB236" s="41" t="s">
        <v>1118</v>
      </c>
      <c r="AC236" s="41"/>
      <c r="AD236" s="42"/>
      <c r="AE236" s="42"/>
      <c r="AF236" s="42"/>
      <c r="AG236" s="42" t="s">
        <v>734</v>
      </c>
      <c r="AH236" s="42" t="s">
        <v>734</v>
      </c>
      <c r="AI236" s="42" t="s">
        <v>734</v>
      </c>
      <c r="AJ236" s="42" t="s">
        <v>734</v>
      </c>
      <c r="AK236" s="42" t="s">
        <v>734</v>
      </c>
      <c r="AL236" s="42" t="s">
        <v>734</v>
      </c>
      <c r="AM236" s="42" t="s">
        <v>734</v>
      </c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68">
        <v>45.81</v>
      </c>
      <c r="AY236" s="37"/>
      <c r="BA236" s="68"/>
      <c r="BB236" s="68"/>
      <c r="BD236" s="67">
        <f t="shared" si="60"/>
        <v>9528.48</v>
      </c>
      <c r="BE236" s="67"/>
      <c r="BF236" s="37"/>
      <c r="BG236" s="73">
        <v>1</v>
      </c>
      <c r="BH236" s="67">
        <f t="shared" si="69"/>
        <v>0</v>
      </c>
      <c r="BI236" s="67">
        <f t="shared" si="70"/>
        <v>0</v>
      </c>
      <c r="BJ236" s="70">
        <f t="shared" si="71"/>
        <v>0</v>
      </c>
      <c r="BN236" s="37"/>
      <c r="BO236" s="70">
        <f t="shared" si="58"/>
        <v>0</v>
      </c>
      <c r="BP236" s="37">
        <v>17</v>
      </c>
      <c r="BQ236" s="37">
        <v>25</v>
      </c>
      <c r="BR236" s="37">
        <v>25</v>
      </c>
      <c r="BS236" s="37">
        <v>18</v>
      </c>
      <c r="BT236" s="87">
        <f t="shared" si="59"/>
        <v>45.81</v>
      </c>
      <c r="BU236" s="87"/>
      <c r="BV236" s="87"/>
      <c r="BW236" s="87"/>
      <c r="BX236" s="87"/>
      <c r="BY236" s="87"/>
      <c r="BZ236" s="87"/>
      <c r="CA236" s="87"/>
      <c r="CB236" s="87"/>
      <c r="CC236" s="87"/>
      <c r="CD236" s="87"/>
      <c r="CF236" s="67">
        <f t="shared" si="61"/>
        <v>778.77</v>
      </c>
      <c r="CG236" s="67">
        <f t="shared" si="62"/>
        <v>1145.25</v>
      </c>
      <c r="CH236" s="67">
        <f t="shared" si="63"/>
        <v>1145.25</v>
      </c>
      <c r="CI236" s="67">
        <f t="shared" si="68"/>
        <v>824.58</v>
      </c>
      <c r="CJ236" s="37">
        <f t="shared" si="64"/>
        <v>170</v>
      </c>
      <c r="CK236" s="37">
        <f t="shared" si="65"/>
        <v>250</v>
      </c>
      <c r="CL236" s="37">
        <f t="shared" si="66"/>
        <v>250</v>
      </c>
      <c r="CM236" s="37">
        <f t="shared" si="67"/>
        <v>180</v>
      </c>
    </row>
    <row r="237" spans="2:91" ht="33.75">
      <c r="B237" s="156">
        <v>231</v>
      </c>
      <c r="C237" s="160">
        <v>122</v>
      </c>
      <c r="D237" s="164">
        <v>924</v>
      </c>
      <c r="E237" s="161">
        <v>0.54513888888888895</v>
      </c>
      <c r="F237" s="161">
        <v>0.55902777777777779</v>
      </c>
      <c r="G237" s="160" t="s">
        <v>684</v>
      </c>
      <c r="H237" s="160" t="s">
        <v>97</v>
      </c>
      <c r="I237" s="163">
        <v>10</v>
      </c>
      <c r="J237" s="164" t="s">
        <v>99</v>
      </c>
      <c r="K237" s="165">
        <v>208</v>
      </c>
      <c r="L237" s="166">
        <f t="shared" si="57"/>
        <v>2080</v>
      </c>
      <c r="M237" s="167" t="s">
        <v>1099</v>
      </c>
      <c r="N237" s="154" t="s">
        <v>859</v>
      </c>
      <c r="O237" s="154">
        <v>24</v>
      </c>
      <c r="P237" s="154" t="s">
        <v>860</v>
      </c>
      <c r="Q237" s="154">
        <v>21</v>
      </c>
      <c r="R237" s="154" t="s">
        <v>1973</v>
      </c>
      <c r="S237" s="151">
        <v>24</v>
      </c>
      <c r="T237" s="45" t="s">
        <v>1475</v>
      </c>
      <c r="U237" s="45" t="s">
        <v>1476</v>
      </c>
      <c r="V237" s="45" t="s">
        <v>1471</v>
      </c>
      <c r="W237" s="45" t="s">
        <v>1472</v>
      </c>
      <c r="X237" s="98">
        <v>44816</v>
      </c>
      <c r="Y237" s="98">
        <v>45086</v>
      </c>
      <c r="Z237" s="98"/>
      <c r="AA237" s="98"/>
      <c r="AB237" s="41" t="s">
        <v>1118</v>
      </c>
      <c r="AC237" s="41"/>
      <c r="AD237" s="42"/>
      <c r="AE237" s="42"/>
      <c r="AF237" s="42"/>
      <c r="AG237" s="42" t="s">
        <v>734</v>
      </c>
      <c r="AH237" s="42" t="s">
        <v>734</v>
      </c>
      <c r="AI237" s="42" t="s">
        <v>734</v>
      </c>
      <c r="AJ237" s="42" t="s">
        <v>734</v>
      </c>
      <c r="AK237" s="42" t="s">
        <v>734</v>
      </c>
      <c r="AL237" s="42" t="s">
        <v>734</v>
      </c>
      <c r="AM237" s="42" t="s">
        <v>734</v>
      </c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68">
        <v>45.8</v>
      </c>
      <c r="AY237" s="37"/>
      <c r="BA237" s="68"/>
      <c r="BB237" s="68"/>
      <c r="BD237" s="67">
        <f t="shared" si="60"/>
        <v>9526.4</v>
      </c>
      <c r="BE237" s="67"/>
      <c r="BF237" s="37"/>
      <c r="BG237" s="73">
        <v>1</v>
      </c>
      <c r="BH237" s="67">
        <f t="shared" si="69"/>
        <v>0</v>
      </c>
      <c r="BI237" s="67">
        <f t="shared" si="70"/>
        <v>0</v>
      </c>
      <c r="BJ237" s="70">
        <f t="shared" si="71"/>
        <v>0</v>
      </c>
      <c r="BN237" s="37"/>
      <c r="BO237" s="70">
        <f t="shared" si="58"/>
        <v>0</v>
      </c>
      <c r="BP237" s="37">
        <v>17</v>
      </c>
      <c r="BQ237" s="37">
        <v>25</v>
      </c>
      <c r="BR237" s="37">
        <v>25</v>
      </c>
      <c r="BS237" s="37">
        <v>18</v>
      </c>
      <c r="BT237" s="87">
        <f t="shared" si="59"/>
        <v>45.8</v>
      </c>
      <c r="BU237" s="87"/>
      <c r="BV237" s="87"/>
      <c r="BW237" s="87"/>
      <c r="BX237" s="87"/>
      <c r="BY237" s="87"/>
      <c r="BZ237" s="87"/>
      <c r="CA237" s="87"/>
      <c r="CB237" s="87"/>
      <c r="CC237" s="87"/>
      <c r="CD237" s="87"/>
      <c r="CF237" s="67">
        <f t="shared" si="61"/>
        <v>778.59999999999991</v>
      </c>
      <c r="CG237" s="67">
        <f t="shared" si="62"/>
        <v>1145</v>
      </c>
      <c r="CH237" s="67">
        <f t="shared" si="63"/>
        <v>1145</v>
      </c>
      <c r="CI237" s="67">
        <f t="shared" si="68"/>
        <v>824.4</v>
      </c>
      <c r="CJ237" s="37">
        <f t="shared" si="64"/>
        <v>170</v>
      </c>
      <c r="CK237" s="37">
        <f t="shared" si="65"/>
        <v>250</v>
      </c>
      <c r="CL237" s="37">
        <f t="shared" si="66"/>
        <v>250</v>
      </c>
      <c r="CM237" s="37">
        <f t="shared" si="67"/>
        <v>180</v>
      </c>
    </row>
    <row r="238" spans="2:91" ht="33.75">
      <c r="B238" s="156">
        <v>232</v>
      </c>
      <c r="C238" s="160">
        <v>122</v>
      </c>
      <c r="D238" s="160">
        <v>926</v>
      </c>
      <c r="E238" s="161">
        <v>0.58680555555555558</v>
      </c>
      <c r="F238" s="161">
        <v>0.60069444444444442</v>
      </c>
      <c r="G238" s="160" t="s">
        <v>313</v>
      </c>
      <c r="H238" s="160" t="s">
        <v>311</v>
      </c>
      <c r="I238" s="163">
        <v>10</v>
      </c>
      <c r="J238" s="164" t="s">
        <v>93</v>
      </c>
      <c r="K238" s="165">
        <v>68</v>
      </c>
      <c r="L238" s="166">
        <f t="shared" si="57"/>
        <v>680</v>
      </c>
      <c r="M238" s="167" t="s">
        <v>1099</v>
      </c>
      <c r="N238" s="154" t="s">
        <v>859</v>
      </c>
      <c r="O238" s="154">
        <v>24</v>
      </c>
      <c r="P238" s="154" t="s">
        <v>860</v>
      </c>
      <c r="Q238" s="154">
        <v>21</v>
      </c>
      <c r="R238" s="154" t="s">
        <v>1973</v>
      </c>
      <c r="S238" s="151">
        <v>24</v>
      </c>
      <c r="T238" s="45" t="s">
        <v>1471</v>
      </c>
      <c r="U238" s="45" t="s">
        <v>1472</v>
      </c>
      <c r="V238" s="45" t="s">
        <v>1475</v>
      </c>
      <c r="W238" s="45" t="s">
        <v>1476</v>
      </c>
      <c r="X238" s="98">
        <v>44816</v>
      </c>
      <c r="Y238" s="98">
        <v>45086</v>
      </c>
      <c r="Z238" s="98"/>
      <c r="AA238" s="98"/>
      <c r="AB238" s="45" t="s">
        <v>1134</v>
      </c>
      <c r="AC238" s="45"/>
      <c r="AD238" s="42"/>
      <c r="AE238" s="42"/>
      <c r="AF238" s="42"/>
      <c r="AG238" s="42" t="s">
        <v>734</v>
      </c>
      <c r="AH238" s="42"/>
      <c r="AI238" s="42" t="s">
        <v>734</v>
      </c>
      <c r="AJ238" s="42"/>
      <c r="AK238" s="42" t="s">
        <v>734</v>
      </c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68">
        <v>18</v>
      </c>
      <c r="AY238" s="37"/>
      <c r="BA238" s="68"/>
      <c r="BB238" s="68"/>
      <c r="BD238" s="67">
        <f t="shared" si="60"/>
        <v>1224</v>
      </c>
      <c r="BE238" s="67"/>
      <c r="BF238" s="37"/>
      <c r="BG238" s="73">
        <v>1</v>
      </c>
      <c r="BH238" s="67">
        <f t="shared" si="69"/>
        <v>2</v>
      </c>
      <c r="BI238" s="67">
        <f t="shared" si="70"/>
        <v>0</v>
      </c>
      <c r="BJ238" s="67">
        <f t="shared" si="71"/>
        <v>136</v>
      </c>
      <c r="BN238" s="37"/>
      <c r="BO238" s="70">
        <f t="shared" si="58"/>
        <v>0</v>
      </c>
      <c r="BP238" s="37">
        <v>6</v>
      </c>
      <c r="BQ238" s="37">
        <v>8</v>
      </c>
      <c r="BR238" s="37">
        <v>8</v>
      </c>
      <c r="BS238" s="37">
        <v>6</v>
      </c>
      <c r="BT238" s="87">
        <f t="shared" si="59"/>
        <v>20</v>
      </c>
      <c r="BU238" s="87"/>
      <c r="BV238" s="87"/>
      <c r="BW238" s="87"/>
      <c r="BX238" s="87"/>
      <c r="BY238" s="87"/>
      <c r="BZ238" s="87"/>
      <c r="CA238" s="87"/>
      <c r="CB238" s="87"/>
      <c r="CC238" s="87"/>
      <c r="CD238" s="87"/>
      <c r="CF238" s="67">
        <f t="shared" si="61"/>
        <v>120</v>
      </c>
      <c r="CG238" s="67">
        <f t="shared" si="62"/>
        <v>160</v>
      </c>
      <c r="CH238" s="67">
        <f t="shared" si="63"/>
        <v>160</v>
      </c>
      <c r="CI238" s="67">
        <f t="shared" si="68"/>
        <v>120</v>
      </c>
      <c r="CJ238" s="37">
        <f t="shared" si="64"/>
        <v>60</v>
      </c>
      <c r="CK238" s="37">
        <f t="shared" si="65"/>
        <v>80</v>
      </c>
      <c r="CL238" s="37">
        <f t="shared" si="66"/>
        <v>80</v>
      </c>
      <c r="CM238" s="37">
        <f t="shared" si="67"/>
        <v>60</v>
      </c>
    </row>
    <row r="239" spans="2:91" ht="33.75">
      <c r="B239" s="156">
        <v>233</v>
      </c>
      <c r="C239" s="160">
        <v>122</v>
      </c>
      <c r="D239" s="160">
        <v>927</v>
      </c>
      <c r="E239" s="161">
        <v>0.69097222222222221</v>
      </c>
      <c r="F239" s="161">
        <v>0.70486111111111116</v>
      </c>
      <c r="G239" s="160" t="s">
        <v>312</v>
      </c>
      <c r="H239" s="160" t="s">
        <v>311</v>
      </c>
      <c r="I239" s="163">
        <v>10</v>
      </c>
      <c r="J239" s="164" t="s">
        <v>93</v>
      </c>
      <c r="K239" s="165">
        <v>68</v>
      </c>
      <c r="L239" s="166">
        <f t="shared" si="57"/>
        <v>680</v>
      </c>
      <c r="M239" s="167" t="s">
        <v>1099</v>
      </c>
      <c r="N239" s="154" t="s">
        <v>859</v>
      </c>
      <c r="O239" s="154">
        <v>24</v>
      </c>
      <c r="P239" s="154" t="s">
        <v>860</v>
      </c>
      <c r="Q239" s="154">
        <v>21</v>
      </c>
      <c r="R239" s="154" t="s">
        <v>1973</v>
      </c>
      <c r="S239" s="151">
        <v>24</v>
      </c>
      <c r="T239" s="45" t="s">
        <v>1475</v>
      </c>
      <c r="U239" s="45" t="s">
        <v>1476</v>
      </c>
      <c r="V239" s="45" t="s">
        <v>1471</v>
      </c>
      <c r="W239" s="45" t="s">
        <v>1472</v>
      </c>
      <c r="X239" s="98">
        <v>44816</v>
      </c>
      <c r="Y239" s="98">
        <v>45086</v>
      </c>
      <c r="Z239" s="98"/>
      <c r="AA239" s="98"/>
      <c r="AB239" s="45" t="s">
        <v>1134</v>
      </c>
      <c r="AC239" s="45"/>
      <c r="AD239" s="42"/>
      <c r="AE239" s="42"/>
      <c r="AF239" s="42"/>
      <c r="AG239" s="42" t="s">
        <v>734</v>
      </c>
      <c r="AH239" s="42"/>
      <c r="AI239" s="42" t="s">
        <v>734</v>
      </c>
      <c r="AJ239" s="42"/>
      <c r="AK239" s="42" t="s">
        <v>734</v>
      </c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68">
        <v>18</v>
      </c>
      <c r="AY239" s="37"/>
      <c r="BA239" s="68"/>
      <c r="BB239" s="68"/>
      <c r="BD239" s="67">
        <f t="shared" si="60"/>
        <v>1224</v>
      </c>
      <c r="BE239" s="67"/>
      <c r="BF239" s="37"/>
      <c r="BG239" s="73">
        <v>1</v>
      </c>
      <c r="BH239" s="67">
        <f t="shared" si="69"/>
        <v>2</v>
      </c>
      <c r="BI239" s="67">
        <f t="shared" si="70"/>
        <v>0</v>
      </c>
      <c r="BJ239" s="67">
        <f t="shared" si="71"/>
        <v>136</v>
      </c>
      <c r="BN239" s="37"/>
      <c r="BO239" s="70">
        <f t="shared" si="58"/>
        <v>0</v>
      </c>
      <c r="BP239" s="37">
        <v>6</v>
      </c>
      <c r="BQ239" s="37">
        <v>8</v>
      </c>
      <c r="BR239" s="37">
        <v>8</v>
      </c>
      <c r="BS239" s="37">
        <v>6</v>
      </c>
      <c r="BT239" s="87">
        <f t="shared" si="59"/>
        <v>20</v>
      </c>
      <c r="BU239" s="87"/>
      <c r="BV239" s="87"/>
      <c r="BW239" s="87"/>
      <c r="BX239" s="87"/>
      <c r="BY239" s="87"/>
      <c r="BZ239" s="87"/>
      <c r="CA239" s="87"/>
      <c r="CB239" s="87"/>
      <c r="CC239" s="87"/>
      <c r="CD239" s="87"/>
      <c r="CF239" s="67">
        <f t="shared" si="61"/>
        <v>120</v>
      </c>
      <c r="CG239" s="67">
        <f t="shared" si="62"/>
        <v>160</v>
      </c>
      <c r="CH239" s="67">
        <f t="shared" si="63"/>
        <v>160</v>
      </c>
      <c r="CI239" s="67">
        <f t="shared" si="68"/>
        <v>120</v>
      </c>
      <c r="CJ239" s="37">
        <f t="shared" si="64"/>
        <v>60</v>
      </c>
      <c r="CK239" s="37">
        <f t="shared" si="65"/>
        <v>80</v>
      </c>
      <c r="CL239" s="37">
        <f t="shared" si="66"/>
        <v>80</v>
      </c>
      <c r="CM239" s="37">
        <f t="shared" si="67"/>
        <v>60</v>
      </c>
    </row>
    <row r="240" spans="2:91" ht="89.25">
      <c r="B240" s="156">
        <v>234</v>
      </c>
      <c r="C240" s="160">
        <v>123</v>
      </c>
      <c r="D240" s="160">
        <v>1</v>
      </c>
      <c r="E240" s="161">
        <v>0.31597222222222221</v>
      </c>
      <c r="F240" s="161">
        <v>0.34027777777777773</v>
      </c>
      <c r="G240" s="160" t="s">
        <v>338</v>
      </c>
      <c r="H240" s="160" t="s">
        <v>639</v>
      </c>
      <c r="I240" s="163">
        <v>22</v>
      </c>
      <c r="J240" s="164" t="s">
        <v>93</v>
      </c>
      <c r="K240" s="165">
        <v>25</v>
      </c>
      <c r="L240" s="166">
        <f t="shared" si="57"/>
        <v>550</v>
      </c>
      <c r="M240" s="167" t="s">
        <v>740</v>
      </c>
      <c r="N240" s="154" t="s">
        <v>857</v>
      </c>
      <c r="O240" s="154">
        <v>20</v>
      </c>
      <c r="P240" s="154" t="s">
        <v>1981</v>
      </c>
      <c r="Q240" s="154" t="s">
        <v>1917</v>
      </c>
      <c r="S240" s="154"/>
      <c r="T240" s="45">
        <v>1255</v>
      </c>
      <c r="U240" s="45" t="s">
        <v>1348</v>
      </c>
      <c r="V240" s="45" t="s">
        <v>1346</v>
      </c>
      <c r="W240" s="45" t="s">
        <v>1347</v>
      </c>
      <c r="X240" s="99">
        <v>44816</v>
      </c>
      <c r="Y240" s="99">
        <v>44911</v>
      </c>
      <c r="Z240" s="99">
        <v>45004</v>
      </c>
      <c r="AA240" s="99">
        <v>45100</v>
      </c>
      <c r="AB240" s="42" t="s">
        <v>1857</v>
      </c>
      <c r="AC240" s="42" t="s">
        <v>1135</v>
      </c>
      <c r="AD240" s="42" t="s">
        <v>734</v>
      </c>
      <c r="AE240" s="42"/>
      <c r="AF240" s="42" t="s">
        <v>734</v>
      </c>
      <c r="AG240" s="42"/>
      <c r="AH240" s="42" t="s">
        <v>734</v>
      </c>
      <c r="AI240" s="42"/>
      <c r="AJ240" s="42"/>
      <c r="AK240" s="42"/>
      <c r="AL240" s="42" t="s">
        <v>734</v>
      </c>
      <c r="AM240" s="42" t="s">
        <v>734</v>
      </c>
      <c r="AN240" s="42"/>
      <c r="AO240" s="42" t="s">
        <v>734</v>
      </c>
      <c r="AP240" s="42"/>
      <c r="AQ240" s="42" t="s">
        <v>734</v>
      </c>
      <c r="AR240" s="42"/>
      <c r="AS240" s="42"/>
      <c r="AT240" s="42"/>
      <c r="AU240" s="42"/>
      <c r="AV240" s="42"/>
      <c r="AW240" s="42"/>
      <c r="AX240" s="68">
        <v>61.98</v>
      </c>
      <c r="AY240" s="37"/>
      <c r="BA240" s="68"/>
      <c r="BB240" s="68"/>
      <c r="BD240" s="67">
        <f t="shared" si="60"/>
        <v>1549.5</v>
      </c>
      <c r="BE240" s="67"/>
      <c r="BF240" s="37"/>
      <c r="BG240" s="73">
        <v>1</v>
      </c>
      <c r="BH240" s="67">
        <f t="shared" si="69"/>
        <v>0</v>
      </c>
      <c r="BI240" s="67">
        <f t="shared" si="70"/>
        <v>0</v>
      </c>
      <c r="BJ240" s="70">
        <f t="shared" si="71"/>
        <v>0</v>
      </c>
      <c r="BN240" s="37"/>
      <c r="BO240" s="70">
        <f t="shared" si="58"/>
        <v>0</v>
      </c>
      <c r="BP240" s="37">
        <v>8</v>
      </c>
      <c r="BQ240" s="37">
        <v>14</v>
      </c>
      <c r="BR240" s="37">
        <v>13</v>
      </c>
      <c r="BS240" s="37">
        <v>8</v>
      </c>
      <c r="BT240" s="87">
        <f t="shared" si="59"/>
        <v>61.98</v>
      </c>
      <c r="BU240" s="87"/>
      <c r="BV240" s="87"/>
      <c r="BW240" s="87"/>
      <c r="BX240" s="87"/>
      <c r="BY240" s="87"/>
      <c r="BZ240" s="87"/>
      <c r="CA240" s="87"/>
      <c r="CB240" s="87"/>
      <c r="CC240" s="87"/>
      <c r="CD240" s="87"/>
      <c r="CF240" s="67">
        <f t="shared" si="61"/>
        <v>495.84</v>
      </c>
      <c r="CG240" s="67">
        <f t="shared" si="62"/>
        <v>867.71999999999991</v>
      </c>
      <c r="CH240" s="67">
        <f t="shared" si="63"/>
        <v>805.74</v>
      </c>
      <c r="CI240" s="67">
        <f t="shared" si="68"/>
        <v>495.84</v>
      </c>
      <c r="CJ240" s="37">
        <f t="shared" si="64"/>
        <v>176</v>
      </c>
      <c r="CK240" s="37">
        <f t="shared" si="65"/>
        <v>308</v>
      </c>
      <c r="CL240" s="37">
        <f t="shared" si="66"/>
        <v>286</v>
      </c>
      <c r="CM240" s="37">
        <f t="shared" si="67"/>
        <v>176</v>
      </c>
    </row>
    <row r="241" spans="2:91" ht="76.5">
      <c r="B241" s="156">
        <v>235</v>
      </c>
      <c r="C241" s="160">
        <v>123</v>
      </c>
      <c r="D241" s="160">
        <v>1</v>
      </c>
      <c r="E241" s="161">
        <v>0.31597222222222221</v>
      </c>
      <c r="F241" s="161">
        <v>0.34027777777777773</v>
      </c>
      <c r="G241" s="160" t="s">
        <v>338</v>
      </c>
      <c r="H241" s="160" t="s">
        <v>638</v>
      </c>
      <c r="I241" s="163">
        <v>22</v>
      </c>
      <c r="J241" s="164" t="s">
        <v>234</v>
      </c>
      <c r="K241" s="165">
        <f>24+27+27+5</f>
        <v>83</v>
      </c>
      <c r="L241" s="166">
        <f t="shared" si="57"/>
        <v>1826</v>
      </c>
      <c r="M241" s="167" t="s">
        <v>740</v>
      </c>
      <c r="N241" s="154" t="s">
        <v>856</v>
      </c>
      <c r="O241" s="154">
        <v>23</v>
      </c>
      <c r="P241" s="154" t="s">
        <v>1984</v>
      </c>
      <c r="Q241" s="154" t="s">
        <v>1918</v>
      </c>
      <c r="S241" s="154"/>
      <c r="T241" s="45">
        <v>1255</v>
      </c>
      <c r="U241" s="45" t="s">
        <v>1348</v>
      </c>
      <c r="V241" s="45" t="s">
        <v>1346</v>
      </c>
      <c r="W241" s="45" t="s">
        <v>1347</v>
      </c>
      <c r="X241" s="99">
        <v>44912</v>
      </c>
      <c r="Y241" s="99">
        <v>45003</v>
      </c>
      <c r="Z241" s="99"/>
      <c r="AA241" s="99"/>
      <c r="AB241" s="42" t="s">
        <v>1856</v>
      </c>
      <c r="AC241" s="42" t="s">
        <v>1135</v>
      </c>
      <c r="AD241" s="42" t="s">
        <v>734</v>
      </c>
      <c r="AE241" s="42"/>
      <c r="AF241" s="42" t="s">
        <v>734</v>
      </c>
      <c r="AG241" s="42"/>
      <c r="AH241" s="42" t="s">
        <v>734</v>
      </c>
      <c r="AI241" s="42" t="s">
        <v>734</v>
      </c>
      <c r="AJ241" s="42" t="s">
        <v>734</v>
      </c>
      <c r="AK241" s="42" t="s">
        <v>734</v>
      </c>
      <c r="AL241" s="42" t="s">
        <v>734</v>
      </c>
      <c r="AM241" s="42" t="s">
        <v>734</v>
      </c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68">
        <v>78.87</v>
      </c>
      <c r="AY241" s="37"/>
      <c r="BA241" s="68"/>
      <c r="BB241" s="68"/>
      <c r="BD241" s="67">
        <f t="shared" si="60"/>
        <v>6546.21</v>
      </c>
      <c r="BE241" s="67"/>
      <c r="BF241" s="37"/>
      <c r="BG241" s="73">
        <v>1</v>
      </c>
      <c r="BH241" s="67">
        <f t="shared" si="69"/>
        <v>0</v>
      </c>
      <c r="BI241" s="67">
        <f t="shared" si="70"/>
        <v>0</v>
      </c>
      <c r="BJ241" s="70">
        <f t="shared" si="71"/>
        <v>0</v>
      </c>
      <c r="BN241" s="37"/>
      <c r="BO241" s="70">
        <f t="shared" si="58"/>
        <v>0</v>
      </c>
      <c r="BP241" s="37">
        <v>0</v>
      </c>
      <c r="BQ241" s="37">
        <v>0</v>
      </c>
      <c r="BR241" s="37">
        <v>0</v>
      </c>
      <c r="BS241" s="37">
        <v>12</v>
      </c>
      <c r="BT241" s="87">
        <f t="shared" si="59"/>
        <v>78.87</v>
      </c>
      <c r="BU241" s="87"/>
      <c r="BV241" s="87"/>
      <c r="BW241" s="87"/>
      <c r="BX241" s="87"/>
      <c r="BY241" s="87"/>
      <c r="BZ241" s="87"/>
      <c r="CA241" s="87"/>
      <c r="CB241" s="87"/>
      <c r="CC241" s="87"/>
      <c r="CD241" s="87"/>
      <c r="CF241" s="67">
        <f t="shared" si="61"/>
        <v>0</v>
      </c>
      <c r="CG241" s="67">
        <f t="shared" si="62"/>
        <v>0</v>
      </c>
      <c r="CH241" s="67">
        <f t="shared" si="63"/>
        <v>0</v>
      </c>
      <c r="CI241" s="67">
        <f t="shared" si="68"/>
        <v>946.44</v>
      </c>
      <c r="CJ241" s="37">
        <f t="shared" si="64"/>
        <v>0</v>
      </c>
      <c r="CK241" s="37">
        <f t="shared" si="65"/>
        <v>0</v>
      </c>
      <c r="CL241" s="37">
        <f t="shared" si="66"/>
        <v>0</v>
      </c>
      <c r="CM241" s="37">
        <f t="shared" si="67"/>
        <v>264</v>
      </c>
    </row>
    <row r="242" spans="2:91" ht="89.25">
      <c r="B242" s="156">
        <v>236</v>
      </c>
      <c r="C242" s="160">
        <v>123</v>
      </c>
      <c r="D242" s="160">
        <v>6</v>
      </c>
      <c r="E242" s="161">
        <v>0.70833333333333337</v>
      </c>
      <c r="F242" s="161">
        <v>0.73263888888888884</v>
      </c>
      <c r="G242" s="160" t="s">
        <v>337</v>
      </c>
      <c r="H242" s="160" t="s">
        <v>639</v>
      </c>
      <c r="I242" s="163">
        <v>22</v>
      </c>
      <c r="J242" s="164" t="s">
        <v>93</v>
      </c>
      <c r="K242" s="165">
        <v>25</v>
      </c>
      <c r="L242" s="166">
        <f t="shared" si="57"/>
        <v>550</v>
      </c>
      <c r="M242" s="167" t="s">
        <v>740</v>
      </c>
      <c r="N242" s="154" t="s">
        <v>858</v>
      </c>
      <c r="O242" s="154">
        <v>20</v>
      </c>
      <c r="P242" s="154" t="s">
        <v>1981</v>
      </c>
      <c r="Q242" s="154" t="s">
        <v>1917</v>
      </c>
      <c r="S242" s="154"/>
      <c r="T242" s="45" t="s">
        <v>1346</v>
      </c>
      <c r="U242" s="45" t="s">
        <v>1347</v>
      </c>
      <c r="V242" s="45">
        <v>1255</v>
      </c>
      <c r="W242" s="45" t="s">
        <v>1348</v>
      </c>
      <c r="X242" s="99">
        <v>44816</v>
      </c>
      <c r="Y242" s="99">
        <v>44911</v>
      </c>
      <c r="Z242" s="99">
        <v>45004</v>
      </c>
      <c r="AA242" s="99">
        <v>45100</v>
      </c>
      <c r="AB242" s="42" t="s">
        <v>1857</v>
      </c>
      <c r="AC242" s="42" t="s">
        <v>1135</v>
      </c>
      <c r="AD242" s="42" t="s">
        <v>734</v>
      </c>
      <c r="AE242" s="42"/>
      <c r="AF242" s="42" t="s">
        <v>734</v>
      </c>
      <c r="AG242" s="42"/>
      <c r="AH242" s="42" t="s">
        <v>734</v>
      </c>
      <c r="AI242" s="42"/>
      <c r="AJ242" s="42"/>
      <c r="AK242" s="42"/>
      <c r="AL242" s="42" t="s">
        <v>734</v>
      </c>
      <c r="AM242" s="42" t="s">
        <v>734</v>
      </c>
      <c r="AN242" s="42"/>
      <c r="AO242" s="42" t="s">
        <v>734</v>
      </c>
      <c r="AP242" s="42"/>
      <c r="AQ242" s="42" t="s">
        <v>734</v>
      </c>
      <c r="AR242" s="42"/>
      <c r="AS242" s="42"/>
      <c r="AT242" s="42"/>
      <c r="AU242" s="42"/>
      <c r="AV242" s="42"/>
      <c r="AW242" s="42"/>
      <c r="AX242" s="68">
        <v>61.98</v>
      </c>
      <c r="AY242" s="37"/>
      <c r="BA242" s="68"/>
      <c r="BB242" s="68"/>
      <c r="BD242" s="67">
        <f t="shared" si="60"/>
        <v>1549.5</v>
      </c>
      <c r="BE242" s="67"/>
      <c r="BF242" s="37"/>
      <c r="BG242" s="73">
        <v>1</v>
      </c>
      <c r="BH242" s="67">
        <f t="shared" si="69"/>
        <v>0</v>
      </c>
      <c r="BI242" s="67">
        <f t="shared" si="70"/>
        <v>0</v>
      </c>
      <c r="BJ242" s="70">
        <f t="shared" si="71"/>
        <v>0</v>
      </c>
      <c r="BN242" s="37"/>
      <c r="BO242" s="70">
        <f t="shared" si="58"/>
        <v>0</v>
      </c>
      <c r="BP242" s="37">
        <v>8</v>
      </c>
      <c r="BQ242" s="37">
        <v>14</v>
      </c>
      <c r="BR242" s="37">
        <v>13</v>
      </c>
      <c r="BS242" s="37">
        <v>8</v>
      </c>
      <c r="BT242" s="87">
        <f t="shared" si="59"/>
        <v>61.98</v>
      </c>
      <c r="BU242" s="87"/>
      <c r="BV242" s="87"/>
      <c r="BW242" s="87"/>
      <c r="BX242" s="87"/>
      <c r="BY242" s="87"/>
      <c r="BZ242" s="87"/>
      <c r="CA242" s="87"/>
      <c r="CB242" s="87"/>
      <c r="CC242" s="87"/>
      <c r="CD242" s="87"/>
      <c r="CF242" s="67">
        <f t="shared" si="61"/>
        <v>495.84</v>
      </c>
      <c r="CG242" s="67">
        <f t="shared" si="62"/>
        <v>867.71999999999991</v>
      </c>
      <c r="CH242" s="67">
        <f t="shared" si="63"/>
        <v>805.74</v>
      </c>
      <c r="CI242" s="67">
        <f t="shared" si="68"/>
        <v>495.84</v>
      </c>
      <c r="CJ242" s="37">
        <f t="shared" si="64"/>
        <v>176</v>
      </c>
      <c r="CK242" s="37">
        <f t="shared" si="65"/>
        <v>308</v>
      </c>
      <c r="CL242" s="37">
        <f t="shared" si="66"/>
        <v>286</v>
      </c>
      <c r="CM242" s="37">
        <f t="shared" si="67"/>
        <v>176</v>
      </c>
    </row>
    <row r="243" spans="2:91" ht="76.5">
      <c r="B243" s="156">
        <v>237</v>
      </c>
      <c r="C243" s="160">
        <v>123</v>
      </c>
      <c r="D243" s="160">
        <v>6</v>
      </c>
      <c r="E243" s="161">
        <v>0.70833333333333337</v>
      </c>
      <c r="F243" s="161">
        <v>0.73263888888888884</v>
      </c>
      <c r="G243" s="160" t="s">
        <v>337</v>
      </c>
      <c r="H243" s="160" t="s">
        <v>638</v>
      </c>
      <c r="I243" s="163">
        <v>22</v>
      </c>
      <c r="J243" s="164" t="s">
        <v>234</v>
      </c>
      <c r="K243" s="165">
        <f>24+27+27+5</f>
        <v>83</v>
      </c>
      <c r="L243" s="166">
        <f t="shared" si="57"/>
        <v>1826</v>
      </c>
      <c r="M243" s="167" t="s">
        <v>740</v>
      </c>
      <c r="N243" s="154" t="s">
        <v>856</v>
      </c>
      <c r="O243" s="154" t="s">
        <v>234</v>
      </c>
      <c r="P243" s="154" t="s">
        <v>1984</v>
      </c>
      <c r="Q243" s="154" t="s">
        <v>1918</v>
      </c>
      <c r="S243" s="154"/>
      <c r="T243" s="45" t="s">
        <v>1346</v>
      </c>
      <c r="U243" s="45" t="s">
        <v>1347</v>
      </c>
      <c r="V243" s="45">
        <v>1255</v>
      </c>
      <c r="W243" s="45" t="s">
        <v>1348</v>
      </c>
      <c r="X243" s="99">
        <v>44912</v>
      </c>
      <c r="Y243" s="99">
        <v>45003</v>
      </c>
      <c r="Z243" s="99"/>
      <c r="AA243" s="99"/>
      <c r="AB243" s="42" t="s">
        <v>1856</v>
      </c>
      <c r="AC243" s="42" t="s">
        <v>1135</v>
      </c>
      <c r="AD243" s="42" t="s">
        <v>734</v>
      </c>
      <c r="AE243" s="42"/>
      <c r="AF243" s="42" t="s">
        <v>734</v>
      </c>
      <c r="AG243" s="42"/>
      <c r="AH243" s="42" t="s">
        <v>734</v>
      </c>
      <c r="AI243" s="42" t="s">
        <v>734</v>
      </c>
      <c r="AJ243" s="42" t="s">
        <v>734</v>
      </c>
      <c r="AK243" s="42" t="s">
        <v>734</v>
      </c>
      <c r="AL243" s="42" t="s">
        <v>734</v>
      </c>
      <c r="AM243" s="42" t="s">
        <v>734</v>
      </c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68">
        <v>78.87</v>
      </c>
      <c r="AY243" s="37"/>
      <c r="BA243" s="68"/>
      <c r="BB243" s="68"/>
      <c r="BD243" s="67">
        <f t="shared" si="60"/>
        <v>6546.21</v>
      </c>
      <c r="BE243" s="67"/>
      <c r="BF243" s="37"/>
      <c r="BG243" s="73">
        <v>1</v>
      </c>
      <c r="BH243" s="67">
        <f t="shared" si="69"/>
        <v>0</v>
      </c>
      <c r="BI243" s="67">
        <f t="shared" si="70"/>
        <v>0</v>
      </c>
      <c r="BJ243" s="70">
        <f t="shared" si="71"/>
        <v>0</v>
      </c>
      <c r="BN243" s="37"/>
      <c r="BO243" s="70">
        <f t="shared" si="58"/>
        <v>0</v>
      </c>
      <c r="BP243" s="37">
        <v>0</v>
      </c>
      <c r="BQ243" s="37">
        <v>0</v>
      </c>
      <c r="BR243" s="37">
        <v>0</v>
      </c>
      <c r="BS243" s="37">
        <v>12</v>
      </c>
      <c r="BT243" s="87">
        <f t="shared" si="59"/>
        <v>78.87</v>
      </c>
      <c r="BU243" s="87"/>
      <c r="BV243" s="87"/>
      <c r="BW243" s="87"/>
      <c r="BX243" s="87"/>
      <c r="BY243" s="87"/>
      <c r="BZ243" s="87"/>
      <c r="CA243" s="87"/>
      <c r="CB243" s="87"/>
      <c r="CC243" s="87"/>
      <c r="CD243" s="87"/>
      <c r="CF243" s="67">
        <f t="shared" si="61"/>
        <v>0</v>
      </c>
      <c r="CG243" s="67">
        <f t="shared" si="62"/>
        <v>0</v>
      </c>
      <c r="CH243" s="67">
        <f t="shared" si="63"/>
        <v>0</v>
      </c>
      <c r="CI243" s="67">
        <f t="shared" si="68"/>
        <v>946.44</v>
      </c>
      <c r="CJ243" s="37">
        <f t="shared" si="64"/>
        <v>0</v>
      </c>
      <c r="CK243" s="37">
        <f t="shared" si="65"/>
        <v>0</v>
      </c>
      <c r="CL243" s="37">
        <f t="shared" si="66"/>
        <v>0</v>
      </c>
      <c r="CM243" s="37">
        <f t="shared" si="67"/>
        <v>264</v>
      </c>
    </row>
    <row r="244" spans="2:91" ht="38.25">
      <c r="B244" s="156">
        <v>238</v>
      </c>
      <c r="C244" s="160">
        <v>124</v>
      </c>
      <c r="D244" s="160">
        <v>655</v>
      </c>
      <c r="E244" s="173">
        <v>0.25347222222222221</v>
      </c>
      <c r="F244" s="161">
        <v>0.3125</v>
      </c>
      <c r="G244" s="160" t="s">
        <v>401</v>
      </c>
      <c r="H244" s="160" t="s">
        <v>618</v>
      </c>
      <c r="I244" s="163">
        <v>65.5</v>
      </c>
      <c r="J244" s="164">
        <v>29</v>
      </c>
      <c r="K244" s="165">
        <v>36</v>
      </c>
      <c r="L244" s="166">
        <f t="shared" si="57"/>
        <v>2358</v>
      </c>
      <c r="M244" s="167" t="s">
        <v>741</v>
      </c>
      <c r="N244" s="154" t="s">
        <v>887</v>
      </c>
      <c r="O244" s="154">
        <v>8</v>
      </c>
      <c r="P244" s="154" t="s">
        <v>888</v>
      </c>
      <c r="Q244" s="154">
        <v>21</v>
      </c>
      <c r="R244" s="154" t="s">
        <v>889</v>
      </c>
      <c r="S244" s="154">
        <v>8</v>
      </c>
      <c r="T244" s="45" t="s">
        <v>1477</v>
      </c>
      <c r="U244" s="45" t="s">
        <v>1478</v>
      </c>
      <c r="V244" s="45">
        <v>1300</v>
      </c>
      <c r="W244" s="45" t="s">
        <v>1479</v>
      </c>
      <c r="X244" s="98">
        <v>44816</v>
      </c>
      <c r="Y244" s="98">
        <v>45086</v>
      </c>
      <c r="Z244" s="98"/>
      <c r="AA244" s="98"/>
      <c r="AB244" s="45" t="s">
        <v>1136</v>
      </c>
      <c r="AC244" s="45"/>
      <c r="AD244" s="42"/>
      <c r="AE244" s="42"/>
      <c r="AF244" s="42"/>
      <c r="AG244" s="42" t="s">
        <v>734</v>
      </c>
      <c r="AH244" s="42" t="s">
        <v>734</v>
      </c>
      <c r="AI244" s="42"/>
      <c r="AJ244" s="42"/>
      <c r="AK244" s="42"/>
      <c r="AL244" s="42"/>
      <c r="AM244" s="42"/>
      <c r="AN244" s="42"/>
      <c r="AO244" s="42" t="s">
        <v>734</v>
      </c>
      <c r="AP244" s="42"/>
      <c r="AQ244" s="42"/>
      <c r="AR244" s="42"/>
      <c r="AS244" s="42"/>
      <c r="AT244" s="42"/>
      <c r="AU244" s="42"/>
      <c r="AV244" s="42"/>
      <c r="AW244" s="42"/>
      <c r="AX244" s="68">
        <v>205.87</v>
      </c>
      <c r="AY244" s="37"/>
      <c r="BA244" s="68"/>
      <c r="BB244" s="68"/>
      <c r="BD244" s="67">
        <f t="shared" si="60"/>
        <v>7411.32</v>
      </c>
      <c r="BE244" s="67"/>
      <c r="BF244" s="37"/>
      <c r="BG244" s="73">
        <v>1</v>
      </c>
      <c r="BH244" s="67">
        <f t="shared" si="69"/>
        <v>0</v>
      </c>
      <c r="BI244" s="67">
        <f t="shared" si="70"/>
        <v>0</v>
      </c>
      <c r="BJ244" s="70">
        <f t="shared" si="71"/>
        <v>0</v>
      </c>
      <c r="BN244" s="67">
        <f>IF((AX244+AY244+AZ244)&lt;20,(20-(AX244+AY244+AZ244)),0)</f>
        <v>0</v>
      </c>
      <c r="BO244" s="70">
        <f t="shared" si="58"/>
        <v>0</v>
      </c>
      <c r="BP244" s="37">
        <v>3</v>
      </c>
      <c r="BQ244" s="37">
        <v>4</v>
      </c>
      <c r="BR244" s="37">
        <v>5</v>
      </c>
      <c r="BS244" s="37">
        <v>4</v>
      </c>
      <c r="BT244" s="87">
        <f t="shared" si="59"/>
        <v>205.87</v>
      </c>
      <c r="BU244" s="87"/>
      <c r="BV244" s="87"/>
      <c r="BW244" s="87"/>
      <c r="BX244" s="87"/>
      <c r="BY244" s="87"/>
      <c r="BZ244" s="87"/>
      <c r="CA244" s="87"/>
      <c r="CB244" s="87"/>
      <c r="CC244" s="87"/>
      <c r="CD244" s="87"/>
      <c r="CF244" s="67">
        <f t="shared" si="61"/>
        <v>617.61</v>
      </c>
      <c r="CG244" s="67">
        <f t="shared" si="62"/>
        <v>823.48</v>
      </c>
      <c r="CH244" s="67">
        <f t="shared" si="63"/>
        <v>1029.3499999999999</v>
      </c>
      <c r="CI244" s="67">
        <f t="shared" si="68"/>
        <v>823.48</v>
      </c>
      <c r="CJ244" s="37">
        <f t="shared" si="64"/>
        <v>196.5</v>
      </c>
      <c r="CK244" s="37">
        <f t="shared" si="65"/>
        <v>262</v>
      </c>
      <c r="CL244" s="37">
        <f t="shared" si="66"/>
        <v>327.5</v>
      </c>
      <c r="CM244" s="37">
        <f t="shared" si="67"/>
        <v>262</v>
      </c>
    </row>
    <row r="245" spans="2:91" ht="38.25">
      <c r="B245" s="156">
        <v>239</v>
      </c>
      <c r="C245" s="160">
        <v>124</v>
      </c>
      <c r="D245" s="160">
        <v>654</v>
      </c>
      <c r="E245" s="161">
        <v>0.58333333333333337</v>
      </c>
      <c r="F245" s="161">
        <v>0.64930555555555558</v>
      </c>
      <c r="G245" s="160" t="s">
        <v>531</v>
      </c>
      <c r="H245" s="160" t="s">
        <v>619</v>
      </c>
      <c r="I245" s="163">
        <v>65.5</v>
      </c>
      <c r="J245" s="164">
        <v>29</v>
      </c>
      <c r="K245" s="165">
        <v>39</v>
      </c>
      <c r="L245" s="166">
        <f t="shared" si="57"/>
        <v>2554.5</v>
      </c>
      <c r="M245" s="167" t="s">
        <v>741</v>
      </c>
      <c r="N245" s="154" t="s">
        <v>889</v>
      </c>
      <c r="O245" s="154">
        <v>8</v>
      </c>
      <c r="P245" s="154" t="s">
        <v>888</v>
      </c>
      <c r="Q245" s="154">
        <v>21</v>
      </c>
      <c r="R245" s="154" t="s">
        <v>887</v>
      </c>
      <c r="S245" s="151">
        <v>8</v>
      </c>
      <c r="T245" s="45">
        <v>1300</v>
      </c>
      <c r="U245" s="45" t="s">
        <v>1479</v>
      </c>
      <c r="V245" s="45">
        <v>5111</v>
      </c>
      <c r="W245" s="45" t="s">
        <v>1478</v>
      </c>
      <c r="X245" s="98">
        <v>44816</v>
      </c>
      <c r="Y245" s="98">
        <v>45086</v>
      </c>
      <c r="Z245" s="98"/>
      <c r="AA245" s="98"/>
      <c r="AB245" s="45" t="s">
        <v>1137</v>
      </c>
      <c r="AC245" s="45"/>
      <c r="AD245" s="42"/>
      <c r="AE245" s="42"/>
      <c r="AF245" s="42"/>
      <c r="AG245" s="42" t="s">
        <v>734</v>
      </c>
      <c r="AH245" s="42"/>
      <c r="AI245" s="42"/>
      <c r="AJ245" s="42"/>
      <c r="AK245" s="42"/>
      <c r="AL245" s="42" t="s">
        <v>734</v>
      </c>
      <c r="AM245" s="42"/>
      <c r="AN245" s="42"/>
      <c r="AO245" s="42"/>
      <c r="AP245" s="42"/>
      <c r="AQ245" s="42" t="s">
        <v>734</v>
      </c>
      <c r="AR245" s="42"/>
      <c r="AS245" s="42"/>
      <c r="AT245" s="42"/>
      <c r="AU245" s="42"/>
      <c r="AV245" s="42"/>
      <c r="AW245" s="42"/>
      <c r="AX245" s="68">
        <v>196.5</v>
      </c>
      <c r="AY245" s="37"/>
      <c r="BA245" s="68"/>
      <c r="BB245" s="68"/>
      <c r="BD245" s="67">
        <f t="shared" si="60"/>
        <v>7663.5</v>
      </c>
      <c r="BE245" s="67"/>
      <c r="BF245" s="37"/>
      <c r="BG245" s="73">
        <v>1</v>
      </c>
      <c r="BH245" s="67">
        <f t="shared" si="69"/>
        <v>0</v>
      </c>
      <c r="BI245" s="67">
        <f t="shared" si="70"/>
        <v>0</v>
      </c>
      <c r="BJ245" s="70">
        <f t="shared" si="71"/>
        <v>0</v>
      </c>
      <c r="BN245" s="37"/>
      <c r="BO245" s="70">
        <f t="shared" si="58"/>
        <v>0</v>
      </c>
      <c r="BP245" s="37">
        <v>3</v>
      </c>
      <c r="BQ245" s="37">
        <v>4</v>
      </c>
      <c r="BR245" s="37">
        <v>4</v>
      </c>
      <c r="BS245" s="37">
        <v>5</v>
      </c>
      <c r="BT245" s="87">
        <f t="shared" si="59"/>
        <v>196.5</v>
      </c>
      <c r="BU245" s="87"/>
      <c r="BV245" s="87"/>
      <c r="BW245" s="87"/>
      <c r="BX245" s="87"/>
      <c r="BY245" s="87"/>
      <c r="BZ245" s="87"/>
      <c r="CA245" s="87"/>
      <c r="CB245" s="87"/>
      <c r="CC245" s="87"/>
      <c r="CD245" s="87"/>
      <c r="CF245" s="67">
        <f t="shared" si="61"/>
        <v>589.5</v>
      </c>
      <c r="CG245" s="67">
        <f t="shared" si="62"/>
        <v>786</v>
      </c>
      <c r="CH245" s="67">
        <f t="shared" si="63"/>
        <v>786</v>
      </c>
      <c r="CI245" s="67">
        <f t="shared" si="68"/>
        <v>982.5</v>
      </c>
      <c r="CJ245" s="37">
        <f t="shared" si="64"/>
        <v>196.5</v>
      </c>
      <c r="CK245" s="37">
        <f t="shared" si="65"/>
        <v>262</v>
      </c>
      <c r="CL245" s="37">
        <f t="shared" si="66"/>
        <v>262</v>
      </c>
      <c r="CM245" s="37">
        <f t="shared" si="67"/>
        <v>327.5</v>
      </c>
    </row>
    <row r="246" spans="2:91" ht="25.5">
      <c r="B246" s="156">
        <v>240</v>
      </c>
      <c r="C246" s="160">
        <v>132</v>
      </c>
      <c r="D246" s="160">
        <v>642</v>
      </c>
      <c r="E246" s="161">
        <v>0.40277777777777773</v>
      </c>
      <c r="F246" s="161">
        <v>0.4236111111111111</v>
      </c>
      <c r="G246" s="160" t="s">
        <v>110</v>
      </c>
      <c r="H246" s="160" t="s">
        <v>108</v>
      </c>
      <c r="I246" s="163">
        <v>17</v>
      </c>
      <c r="J246" s="164" t="s">
        <v>99</v>
      </c>
      <c r="K246" s="165">
        <v>52</v>
      </c>
      <c r="L246" s="166">
        <f t="shared" si="57"/>
        <v>884</v>
      </c>
      <c r="M246" s="167" t="s">
        <v>742</v>
      </c>
      <c r="N246" s="154" t="s">
        <v>924</v>
      </c>
      <c r="O246" s="154">
        <v>21</v>
      </c>
      <c r="P246" s="154" t="s">
        <v>1919</v>
      </c>
      <c r="Q246" s="154">
        <v>21</v>
      </c>
      <c r="R246" s="221" t="s">
        <v>2084</v>
      </c>
      <c r="S246" s="221">
        <v>21</v>
      </c>
      <c r="T246" s="45">
        <v>1121</v>
      </c>
      <c r="U246" s="45" t="s">
        <v>1373</v>
      </c>
      <c r="V246" s="45" t="s">
        <v>1395</v>
      </c>
      <c r="W246" s="45" t="s">
        <v>1396</v>
      </c>
      <c r="X246" s="98">
        <v>44805</v>
      </c>
      <c r="Y246" s="98">
        <v>45169</v>
      </c>
      <c r="Z246" s="98"/>
      <c r="AA246" s="98"/>
      <c r="AB246" s="42" t="s">
        <v>1138</v>
      </c>
      <c r="AC246" s="42"/>
      <c r="AD246" s="42" t="s">
        <v>734</v>
      </c>
      <c r="AE246" s="42" t="s">
        <v>734</v>
      </c>
      <c r="AF246" s="42" t="s">
        <v>734</v>
      </c>
      <c r="AG246" s="42"/>
      <c r="AH246" s="42"/>
      <c r="AI246" s="42"/>
      <c r="AJ246" s="42" t="s">
        <v>734</v>
      </c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68">
        <v>62.32</v>
      </c>
      <c r="AY246" s="37"/>
      <c r="BA246" s="68"/>
      <c r="BB246" s="68"/>
      <c r="BD246" s="67">
        <f t="shared" si="60"/>
        <v>3240.64</v>
      </c>
      <c r="BE246" s="67"/>
      <c r="BF246" s="37"/>
      <c r="BG246" s="73">
        <v>1</v>
      </c>
      <c r="BH246" s="67">
        <f t="shared" si="69"/>
        <v>0</v>
      </c>
      <c r="BI246" s="67">
        <f t="shared" si="70"/>
        <v>0</v>
      </c>
      <c r="BJ246" s="70">
        <f t="shared" si="71"/>
        <v>0</v>
      </c>
      <c r="BN246" s="37"/>
      <c r="BO246" s="70">
        <f t="shared" si="58"/>
        <v>0</v>
      </c>
      <c r="BP246" s="37">
        <v>4</v>
      </c>
      <c r="BQ246" s="37">
        <v>4</v>
      </c>
      <c r="BR246" s="37">
        <v>5</v>
      </c>
      <c r="BS246" s="37">
        <v>4</v>
      </c>
      <c r="BT246" s="87">
        <f t="shared" si="59"/>
        <v>62.32</v>
      </c>
      <c r="BU246" s="87"/>
      <c r="BV246" s="87"/>
      <c r="BW246" s="87"/>
      <c r="BX246" s="87"/>
      <c r="BY246" s="87"/>
      <c r="BZ246" s="87"/>
      <c r="CA246" s="87"/>
      <c r="CB246" s="87"/>
      <c r="CC246" s="87"/>
      <c r="CD246" s="87"/>
      <c r="CF246" s="67">
        <f t="shared" si="61"/>
        <v>249.28</v>
      </c>
      <c r="CG246" s="67">
        <f t="shared" si="62"/>
        <v>249.28</v>
      </c>
      <c r="CH246" s="67">
        <f t="shared" si="63"/>
        <v>311.60000000000002</v>
      </c>
      <c r="CI246" s="67">
        <f t="shared" si="68"/>
        <v>249.28</v>
      </c>
      <c r="CJ246" s="37">
        <f t="shared" si="64"/>
        <v>68</v>
      </c>
      <c r="CK246" s="37">
        <f t="shared" si="65"/>
        <v>68</v>
      </c>
      <c r="CL246" s="37">
        <f t="shared" si="66"/>
        <v>85</v>
      </c>
      <c r="CM246" s="37">
        <f t="shared" si="67"/>
        <v>68</v>
      </c>
    </row>
    <row r="247" spans="2:91" ht="25.5">
      <c r="B247" s="156">
        <v>241</v>
      </c>
      <c r="C247" s="160">
        <v>132</v>
      </c>
      <c r="D247" s="160">
        <v>647</v>
      </c>
      <c r="E247" s="161">
        <v>0.49305555555555558</v>
      </c>
      <c r="F247" s="161">
        <v>0.51388888888888895</v>
      </c>
      <c r="G247" s="160" t="s">
        <v>109</v>
      </c>
      <c r="H247" s="160" t="s">
        <v>108</v>
      </c>
      <c r="I247" s="163">
        <v>17</v>
      </c>
      <c r="J247" s="164" t="s">
        <v>99</v>
      </c>
      <c r="K247" s="165">
        <v>52</v>
      </c>
      <c r="L247" s="166">
        <f t="shared" si="57"/>
        <v>884</v>
      </c>
      <c r="M247" s="167" t="s">
        <v>742</v>
      </c>
      <c r="N247" s="154" t="s">
        <v>924</v>
      </c>
      <c r="O247" s="154">
        <v>21</v>
      </c>
      <c r="P247" s="154" t="s">
        <v>1919</v>
      </c>
      <c r="Q247" s="154">
        <v>21</v>
      </c>
      <c r="R247" s="221" t="s">
        <v>2084</v>
      </c>
      <c r="S247" s="221">
        <v>21</v>
      </c>
      <c r="T247" s="45" t="s">
        <v>1395</v>
      </c>
      <c r="U247" s="45" t="s">
        <v>1397</v>
      </c>
      <c r="V247" s="45">
        <v>1121</v>
      </c>
      <c r="W247" s="45" t="s">
        <v>1373</v>
      </c>
      <c r="X247" s="98">
        <v>44805</v>
      </c>
      <c r="Y247" s="98">
        <v>45169</v>
      </c>
      <c r="Z247" s="98"/>
      <c r="AA247" s="98"/>
      <c r="AB247" s="42" t="s">
        <v>1138</v>
      </c>
      <c r="AC247" s="42"/>
      <c r="AD247" s="42" t="s">
        <v>734</v>
      </c>
      <c r="AE247" s="42" t="s">
        <v>734</v>
      </c>
      <c r="AF247" s="42" t="s">
        <v>734</v>
      </c>
      <c r="AG247" s="42"/>
      <c r="AH247" s="42"/>
      <c r="AI247" s="42"/>
      <c r="AJ247" s="42" t="s">
        <v>734</v>
      </c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68">
        <v>62.32</v>
      </c>
      <c r="AY247" s="37"/>
      <c r="BA247" s="68"/>
      <c r="BB247" s="68"/>
      <c r="BD247" s="67">
        <f t="shared" si="60"/>
        <v>3240.64</v>
      </c>
      <c r="BE247" s="67"/>
      <c r="BF247" s="37"/>
      <c r="BG247" s="73">
        <v>1</v>
      </c>
      <c r="BH247" s="67">
        <f t="shared" si="69"/>
        <v>0</v>
      </c>
      <c r="BI247" s="67">
        <f t="shared" si="70"/>
        <v>0</v>
      </c>
      <c r="BJ247" s="70">
        <f t="shared" si="71"/>
        <v>0</v>
      </c>
      <c r="BN247" s="37"/>
      <c r="BO247" s="70">
        <f t="shared" si="58"/>
        <v>0</v>
      </c>
      <c r="BP247" s="37">
        <v>4</v>
      </c>
      <c r="BQ247" s="37">
        <v>4</v>
      </c>
      <c r="BR247" s="37">
        <v>5</v>
      </c>
      <c r="BS247" s="37">
        <v>4</v>
      </c>
      <c r="BT247" s="87">
        <f t="shared" si="59"/>
        <v>62.32</v>
      </c>
      <c r="BU247" s="87"/>
      <c r="BV247" s="87"/>
      <c r="BW247" s="87"/>
      <c r="BX247" s="87"/>
      <c r="BY247" s="87"/>
      <c r="BZ247" s="87"/>
      <c r="CA247" s="87"/>
      <c r="CB247" s="87"/>
      <c r="CC247" s="87"/>
      <c r="CD247" s="87"/>
      <c r="CF247" s="67">
        <f t="shared" si="61"/>
        <v>249.28</v>
      </c>
      <c r="CG247" s="67">
        <f t="shared" si="62"/>
        <v>249.28</v>
      </c>
      <c r="CH247" s="67">
        <f t="shared" si="63"/>
        <v>311.60000000000002</v>
      </c>
      <c r="CI247" s="67">
        <f t="shared" si="68"/>
        <v>249.28</v>
      </c>
      <c r="CJ247" s="37">
        <f t="shared" si="64"/>
        <v>68</v>
      </c>
      <c r="CK247" s="37">
        <f t="shared" si="65"/>
        <v>68</v>
      </c>
      <c r="CL247" s="37">
        <f t="shared" si="66"/>
        <v>85</v>
      </c>
      <c r="CM247" s="37">
        <f t="shared" si="67"/>
        <v>68</v>
      </c>
    </row>
    <row r="248" spans="2:91" ht="33.75">
      <c r="B248" s="156">
        <v>242</v>
      </c>
      <c r="C248" s="160">
        <v>132</v>
      </c>
      <c r="D248" s="164">
        <v>643</v>
      </c>
      <c r="E248" s="161">
        <v>0.52430555555555558</v>
      </c>
      <c r="F248" s="161">
        <v>0.54305555555555551</v>
      </c>
      <c r="G248" s="160" t="s">
        <v>257</v>
      </c>
      <c r="H248" s="162" t="s">
        <v>123</v>
      </c>
      <c r="I248" s="163">
        <v>20</v>
      </c>
      <c r="J248" s="164" t="s">
        <v>254</v>
      </c>
      <c r="K248" s="165">
        <v>34</v>
      </c>
      <c r="L248" s="166">
        <f t="shared" si="57"/>
        <v>680</v>
      </c>
      <c r="M248" s="167" t="s">
        <v>724</v>
      </c>
      <c r="N248" s="150" t="s">
        <v>985</v>
      </c>
      <c r="O248" s="184">
        <v>46</v>
      </c>
      <c r="P248" s="150" t="s">
        <v>902</v>
      </c>
      <c r="Q248" s="184">
        <v>47</v>
      </c>
      <c r="R248" s="154" t="s">
        <v>1970</v>
      </c>
      <c r="S248" s="151">
        <v>45</v>
      </c>
      <c r="T248" s="45" t="s">
        <v>1480</v>
      </c>
      <c r="U248" s="45" t="s">
        <v>1481</v>
      </c>
      <c r="V248" s="45">
        <v>1078</v>
      </c>
      <c r="W248" s="45" t="s">
        <v>1396</v>
      </c>
      <c r="X248" s="98">
        <v>44816</v>
      </c>
      <c r="Y248" s="98">
        <v>45086</v>
      </c>
      <c r="Z248" s="98"/>
      <c r="AA248" s="98"/>
      <c r="AB248" s="41" t="s">
        <v>1123</v>
      </c>
      <c r="AC248" s="41"/>
      <c r="AD248" s="42"/>
      <c r="AE248" s="42"/>
      <c r="AF248" s="42"/>
      <c r="AG248" s="42" t="s">
        <v>734</v>
      </c>
      <c r="AH248" s="42"/>
      <c r="AI248" s="42"/>
      <c r="AJ248" s="42"/>
      <c r="AK248" s="42"/>
      <c r="AL248" s="42"/>
      <c r="AM248" s="42" t="s">
        <v>734</v>
      </c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77">
        <v>165.99</v>
      </c>
      <c r="AY248" s="37"/>
      <c r="BA248" s="68"/>
      <c r="BB248" s="68"/>
      <c r="BD248" s="67">
        <f t="shared" si="60"/>
        <v>5643.66</v>
      </c>
      <c r="BE248" s="67"/>
      <c r="BF248" s="37"/>
      <c r="BG248" s="69">
        <v>2</v>
      </c>
      <c r="BH248" s="67">
        <f t="shared" si="69"/>
        <v>0</v>
      </c>
      <c r="BI248" s="77">
        <f t="shared" si="70"/>
        <v>0</v>
      </c>
      <c r="BJ248" s="78">
        <f t="shared" si="71"/>
        <v>0</v>
      </c>
      <c r="BN248" s="37"/>
      <c r="BO248" s="70">
        <f t="shared" si="58"/>
        <v>0</v>
      </c>
      <c r="BP248" s="37">
        <v>2</v>
      </c>
      <c r="BQ248" s="37">
        <v>5</v>
      </c>
      <c r="BR248" s="37">
        <v>4</v>
      </c>
      <c r="BS248" s="37">
        <v>3</v>
      </c>
      <c r="BT248" s="87">
        <f t="shared" si="59"/>
        <v>165.99</v>
      </c>
      <c r="BU248" s="87"/>
      <c r="BV248" s="87"/>
      <c r="BW248" s="87"/>
      <c r="BX248" s="87"/>
      <c r="BY248" s="87"/>
      <c r="BZ248" s="87"/>
      <c r="CA248" s="87"/>
      <c r="CB248" s="87"/>
      <c r="CC248" s="87"/>
      <c r="CD248" s="87"/>
      <c r="CF248" s="67">
        <f t="shared" si="61"/>
        <v>331.98</v>
      </c>
      <c r="CG248" s="67">
        <f t="shared" si="62"/>
        <v>829.95</v>
      </c>
      <c r="CH248" s="67">
        <f t="shared" si="63"/>
        <v>663.96</v>
      </c>
      <c r="CI248" s="67">
        <f t="shared" si="68"/>
        <v>497.97</v>
      </c>
      <c r="CJ248" s="37">
        <f t="shared" si="64"/>
        <v>40</v>
      </c>
      <c r="CK248" s="37">
        <f t="shared" si="65"/>
        <v>100</v>
      </c>
      <c r="CL248" s="37">
        <f t="shared" si="66"/>
        <v>80</v>
      </c>
      <c r="CM248" s="37">
        <f t="shared" si="67"/>
        <v>60</v>
      </c>
    </row>
    <row r="249" spans="2:91" ht="33.75">
      <c r="B249" s="156">
        <v>243</v>
      </c>
      <c r="C249" s="160">
        <v>132</v>
      </c>
      <c r="D249" s="164">
        <v>643</v>
      </c>
      <c r="E249" s="161">
        <v>0.54305555555555551</v>
      </c>
      <c r="F249" s="161">
        <v>0.55347222222222225</v>
      </c>
      <c r="G249" s="160" t="s">
        <v>256</v>
      </c>
      <c r="H249" s="160" t="s">
        <v>253</v>
      </c>
      <c r="I249" s="163">
        <v>9</v>
      </c>
      <c r="J249" s="164" t="s">
        <v>254</v>
      </c>
      <c r="K249" s="165">
        <v>34</v>
      </c>
      <c r="L249" s="166">
        <f t="shared" si="57"/>
        <v>306</v>
      </c>
      <c r="M249" s="167" t="s">
        <v>724</v>
      </c>
      <c r="N249" s="150" t="s">
        <v>985</v>
      </c>
      <c r="O249" s="184">
        <v>46</v>
      </c>
      <c r="P249" s="150" t="s">
        <v>902</v>
      </c>
      <c r="Q249" s="184">
        <v>47</v>
      </c>
      <c r="S249" s="184"/>
      <c r="T249" s="45" t="s">
        <v>1395</v>
      </c>
      <c r="U249" s="45" t="s">
        <v>1397</v>
      </c>
      <c r="V249" s="45">
        <v>1118</v>
      </c>
      <c r="W249" s="45" t="s">
        <v>1427</v>
      </c>
      <c r="X249" s="98">
        <v>44816</v>
      </c>
      <c r="Y249" s="98">
        <v>45086</v>
      </c>
      <c r="Z249" s="98"/>
      <c r="AA249" s="98"/>
      <c r="AB249" s="42" t="s">
        <v>1123</v>
      </c>
      <c r="AC249" s="42"/>
      <c r="AD249" s="42"/>
      <c r="AE249" s="42"/>
      <c r="AF249" s="42"/>
      <c r="AG249" s="42" t="s">
        <v>734</v>
      </c>
      <c r="AH249" s="42"/>
      <c r="AI249" s="42"/>
      <c r="AJ249" s="42"/>
      <c r="AK249" s="42"/>
      <c r="AL249" s="42"/>
      <c r="AM249" s="42" t="s">
        <v>734</v>
      </c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77">
        <v>16.2</v>
      </c>
      <c r="AY249" s="37"/>
      <c r="BA249" s="68"/>
      <c r="BB249" s="68"/>
      <c r="BD249" s="67">
        <f t="shared" si="60"/>
        <v>550.79999999999995</v>
      </c>
      <c r="BE249" s="67"/>
      <c r="BF249" s="37"/>
      <c r="BG249" s="69">
        <v>2</v>
      </c>
      <c r="BH249" s="67">
        <f t="shared" si="69"/>
        <v>0</v>
      </c>
      <c r="BI249" s="77">
        <f t="shared" si="70"/>
        <v>10.8</v>
      </c>
      <c r="BJ249" s="78"/>
      <c r="BN249" s="37"/>
      <c r="BO249" s="70">
        <f t="shared" si="58"/>
        <v>0</v>
      </c>
      <c r="BP249" s="37">
        <v>2</v>
      </c>
      <c r="BQ249" s="37">
        <v>5</v>
      </c>
      <c r="BR249" s="37">
        <v>4</v>
      </c>
      <c r="BS249" s="37">
        <v>3</v>
      </c>
      <c r="BT249" s="87">
        <f t="shared" si="59"/>
        <v>27</v>
      </c>
      <c r="BU249" s="87"/>
      <c r="BV249" s="87"/>
      <c r="BW249" s="87"/>
      <c r="BX249" s="87"/>
      <c r="BY249" s="87"/>
      <c r="BZ249" s="87"/>
      <c r="CA249" s="87"/>
      <c r="CB249" s="87"/>
      <c r="CC249" s="87"/>
      <c r="CD249" s="87"/>
      <c r="CF249" s="67">
        <f t="shared" si="61"/>
        <v>54</v>
      </c>
      <c r="CG249" s="67">
        <f t="shared" si="62"/>
        <v>135</v>
      </c>
      <c r="CH249" s="67">
        <f t="shared" si="63"/>
        <v>108</v>
      </c>
      <c r="CI249" s="67">
        <f t="shared" si="68"/>
        <v>81</v>
      </c>
      <c r="CJ249" s="37">
        <f t="shared" si="64"/>
        <v>18</v>
      </c>
      <c r="CK249" s="37">
        <f t="shared" si="65"/>
        <v>45</v>
      </c>
      <c r="CL249" s="37">
        <f t="shared" si="66"/>
        <v>36</v>
      </c>
      <c r="CM249" s="37">
        <f t="shared" si="67"/>
        <v>27</v>
      </c>
    </row>
    <row r="250" spans="2:91" ht="51">
      <c r="B250" s="156">
        <v>244</v>
      </c>
      <c r="C250" s="160">
        <v>132</v>
      </c>
      <c r="D250" s="164">
        <v>643</v>
      </c>
      <c r="E250" s="161">
        <v>0.55347222222222225</v>
      </c>
      <c r="F250" s="161">
        <v>0.55555555555555558</v>
      </c>
      <c r="G250" s="160" t="s">
        <v>535</v>
      </c>
      <c r="H250" s="160" t="s">
        <v>253</v>
      </c>
      <c r="I250" s="163">
        <v>2</v>
      </c>
      <c r="J250" s="164" t="s">
        <v>254</v>
      </c>
      <c r="K250" s="165">
        <v>34</v>
      </c>
      <c r="L250" s="166">
        <f t="shared" si="57"/>
        <v>68</v>
      </c>
      <c r="M250" s="167" t="s">
        <v>724</v>
      </c>
      <c r="N250" s="150" t="s">
        <v>985</v>
      </c>
      <c r="O250" s="184">
        <v>46</v>
      </c>
      <c r="P250" s="150" t="s">
        <v>902</v>
      </c>
      <c r="Q250" s="184">
        <v>47</v>
      </c>
      <c r="S250" s="184"/>
      <c r="T250" s="45">
        <v>1118</v>
      </c>
      <c r="U250" s="45" t="s">
        <v>1427</v>
      </c>
      <c r="V250" s="45">
        <v>1115</v>
      </c>
      <c r="W250" s="45" t="s">
        <v>1482</v>
      </c>
      <c r="X250" s="98">
        <v>44816</v>
      </c>
      <c r="Y250" s="98">
        <v>45086</v>
      </c>
      <c r="Z250" s="98"/>
      <c r="AA250" s="98"/>
      <c r="AB250" s="42" t="s">
        <v>1123</v>
      </c>
      <c r="AC250" s="42"/>
      <c r="AD250" s="42"/>
      <c r="AE250" s="42"/>
      <c r="AF250" s="42"/>
      <c r="AG250" s="42" t="s">
        <v>734</v>
      </c>
      <c r="AH250" s="42"/>
      <c r="AI250" s="42"/>
      <c r="AJ250" s="42"/>
      <c r="AK250" s="42"/>
      <c r="AL250" s="42"/>
      <c r="AM250" s="42" t="s">
        <v>734</v>
      </c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77">
        <v>6</v>
      </c>
      <c r="AY250" s="37"/>
      <c r="BA250" s="68"/>
      <c r="BB250" s="68"/>
      <c r="BD250" s="67">
        <f t="shared" si="60"/>
        <v>204</v>
      </c>
      <c r="BE250" s="67"/>
      <c r="BF250" s="37"/>
      <c r="BG250" s="69">
        <v>2</v>
      </c>
      <c r="BH250" s="67">
        <f t="shared" si="69"/>
        <v>0</v>
      </c>
      <c r="BI250" s="77">
        <f t="shared" si="70"/>
        <v>0</v>
      </c>
      <c r="BJ250" s="78">
        <f>(BH250+BI250)*K250</f>
        <v>0</v>
      </c>
      <c r="BN250" s="37"/>
      <c r="BO250" s="70">
        <f t="shared" si="58"/>
        <v>0</v>
      </c>
      <c r="BP250" s="37">
        <v>2</v>
      </c>
      <c r="BQ250" s="37">
        <v>5</v>
      </c>
      <c r="BR250" s="37">
        <v>4</v>
      </c>
      <c r="BS250" s="37">
        <v>3</v>
      </c>
      <c r="BT250" s="87">
        <f t="shared" si="59"/>
        <v>6</v>
      </c>
      <c r="BU250" s="87"/>
      <c r="BV250" s="87"/>
      <c r="BW250" s="87"/>
      <c r="BX250" s="87"/>
      <c r="BY250" s="87"/>
      <c r="BZ250" s="87"/>
      <c r="CA250" s="87"/>
      <c r="CB250" s="87"/>
      <c r="CC250" s="87"/>
      <c r="CD250" s="87"/>
      <c r="CF250" s="67">
        <f t="shared" si="61"/>
        <v>12</v>
      </c>
      <c r="CG250" s="67">
        <f t="shared" si="62"/>
        <v>30</v>
      </c>
      <c r="CH250" s="67">
        <f t="shared" si="63"/>
        <v>24</v>
      </c>
      <c r="CI250" s="67">
        <f t="shared" si="68"/>
        <v>18</v>
      </c>
      <c r="CJ250" s="37">
        <f t="shared" si="64"/>
        <v>4</v>
      </c>
      <c r="CK250" s="37">
        <f t="shared" si="65"/>
        <v>10</v>
      </c>
      <c r="CL250" s="37">
        <f t="shared" si="66"/>
        <v>8</v>
      </c>
      <c r="CM250" s="37">
        <f t="shared" si="67"/>
        <v>6</v>
      </c>
    </row>
    <row r="251" spans="2:91" ht="33.75">
      <c r="B251" s="156">
        <v>245</v>
      </c>
      <c r="C251" s="160">
        <v>132</v>
      </c>
      <c r="D251" s="164">
        <v>641</v>
      </c>
      <c r="E251" s="161">
        <v>0.56597222222222221</v>
      </c>
      <c r="F251" s="161">
        <v>0.58472222222222225</v>
      </c>
      <c r="G251" s="160" t="s">
        <v>257</v>
      </c>
      <c r="H251" s="160" t="s">
        <v>103</v>
      </c>
      <c r="I251" s="163">
        <v>20</v>
      </c>
      <c r="J251" s="164" t="s">
        <v>254</v>
      </c>
      <c r="K251" s="165">
        <v>174</v>
      </c>
      <c r="L251" s="166">
        <f t="shared" si="57"/>
        <v>3480</v>
      </c>
      <c r="M251" s="167" t="s">
        <v>724</v>
      </c>
      <c r="N251" s="150" t="s">
        <v>985</v>
      </c>
      <c r="O251" s="184">
        <v>46</v>
      </c>
      <c r="P251" s="150" t="s">
        <v>902</v>
      </c>
      <c r="Q251" s="184">
        <v>47</v>
      </c>
      <c r="R251" s="154" t="s">
        <v>1970</v>
      </c>
      <c r="S251" s="151">
        <v>45</v>
      </c>
      <c r="T251" s="45" t="s">
        <v>1480</v>
      </c>
      <c r="U251" s="45" t="s">
        <v>1481</v>
      </c>
      <c r="V251" s="45">
        <v>1078</v>
      </c>
      <c r="W251" s="45" t="s">
        <v>1396</v>
      </c>
      <c r="X251" s="98">
        <v>44816</v>
      </c>
      <c r="Y251" s="98">
        <v>45086</v>
      </c>
      <c r="Z251" s="98"/>
      <c r="AA251" s="98"/>
      <c r="AB251" s="41" t="s">
        <v>1114</v>
      </c>
      <c r="AC251" s="41"/>
      <c r="AD251" s="42"/>
      <c r="AE251" s="42"/>
      <c r="AF251" s="42"/>
      <c r="AG251" s="42" t="s">
        <v>734</v>
      </c>
      <c r="AH251" s="42" t="s">
        <v>734</v>
      </c>
      <c r="AI251" s="42" t="s">
        <v>734</v>
      </c>
      <c r="AJ251" s="42" t="s">
        <v>734</v>
      </c>
      <c r="AK251" s="42" t="s">
        <v>734</v>
      </c>
      <c r="AL251" s="42" t="s">
        <v>734</v>
      </c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67">
        <v>165.99</v>
      </c>
      <c r="AY251" s="37"/>
      <c r="BA251" s="68"/>
      <c r="BB251" s="68"/>
      <c r="BD251" s="67">
        <f t="shared" si="60"/>
        <v>28882.260000000002</v>
      </c>
      <c r="BE251" s="67"/>
      <c r="BF251" s="37"/>
      <c r="BG251" s="69">
        <v>2</v>
      </c>
      <c r="BH251" s="67">
        <f t="shared" si="69"/>
        <v>0</v>
      </c>
      <c r="BI251" s="67">
        <f t="shared" si="70"/>
        <v>0</v>
      </c>
      <c r="BJ251" s="70">
        <f>(BH251+BI251)*K251</f>
        <v>0</v>
      </c>
      <c r="BN251" s="37"/>
      <c r="BO251" s="70">
        <f t="shared" si="58"/>
        <v>0</v>
      </c>
      <c r="BP251" s="37">
        <v>15</v>
      </c>
      <c r="BQ251" s="37">
        <v>20</v>
      </c>
      <c r="BR251" s="37">
        <v>21</v>
      </c>
      <c r="BS251" s="37">
        <v>15</v>
      </c>
      <c r="BT251" s="87">
        <f t="shared" si="59"/>
        <v>165.99</v>
      </c>
      <c r="BU251" s="87"/>
      <c r="BV251" s="87"/>
      <c r="BW251" s="87"/>
      <c r="BX251" s="87"/>
      <c r="BY251" s="87"/>
      <c r="BZ251" s="87"/>
      <c r="CA251" s="87"/>
      <c r="CB251" s="87"/>
      <c r="CC251" s="87"/>
      <c r="CD251" s="87"/>
      <c r="CF251" s="67">
        <f t="shared" si="61"/>
        <v>2489.8500000000004</v>
      </c>
      <c r="CG251" s="67">
        <f t="shared" si="62"/>
        <v>3319.8</v>
      </c>
      <c r="CH251" s="67">
        <f t="shared" si="63"/>
        <v>3485.79</v>
      </c>
      <c r="CI251" s="67">
        <f t="shared" si="68"/>
        <v>2489.8500000000004</v>
      </c>
      <c r="CJ251" s="37">
        <f t="shared" si="64"/>
        <v>300</v>
      </c>
      <c r="CK251" s="37">
        <f t="shared" si="65"/>
        <v>400</v>
      </c>
      <c r="CL251" s="37">
        <f t="shared" si="66"/>
        <v>420</v>
      </c>
      <c r="CM251" s="37">
        <f t="shared" si="67"/>
        <v>300</v>
      </c>
    </row>
    <row r="252" spans="2:91" ht="33.75">
      <c r="B252" s="156">
        <v>246</v>
      </c>
      <c r="C252" s="160">
        <v>132</v>
      </c>
      <c r="D252" s="164">
        <v>641</v>
      </c>
      <c r="E252" s="161">
        <v>0.58472222222222225</v>
      </c>
      <c r="F252" s="161">
        <v>0.59444444444444444</v>
      </c>
      <c r="G252" s="160" t="s">
        <v>671</v>
      </c>
      <c r="H252" s="160" t="s">
        <v>103</v>
      </c>
      <c r="I252" s="163">
        <v>11</v>
      </c>
      <c r="J252" s="164" t="s">
        <v>254</v>
      </c>
      <c r="K252" s="165">
        <v>174</v>
      </c>
      <c r="L252" s="166">
        <f t="shared" si="57"/>
        <v>1914</v>
      </c>
      <c r="M252" s="167" t="s">
        <v>724</v>
      </c>
      <c r="N252" s="150" t="s">
        <v>985</v>
      </c>
      <c r="O252" s="184">
        <v>46</v>
      </c>
      <c r="P252" s="150" t="s">
        <v>902</v>
      </c>
      <c r="Q252" s="184">
        <v>47</v>
      </c>
      <c r="R252" s="154" t="s">
        <v>901</v>
      </c>
      <c r="S252" s="151">
        <v>9</v>
      </c>
      <c r="T252" s="45" t="s">
        <v>1395</v>
      </c>
      <c r="U252" s="45" t="s">
        <v>1397</v>
      </c>
      <c r="V252" s="45">
        <v>1115</v>
      </c>
      <c r="W252" s="45" t="s">
        <v>1482</v>
      </c>
      <c r="X252" s="98">
        <v>44816</v>
      </c>
      <c r="Y252" s="98">
        <v>45086</v>
      </c>
      <c r="Z252" s="98"/>
      <c r="AA252" s="98"/>
      <c r="AB252" s="41" t="s">
        <v>1114</v>
      </c>
      <c r="AC252" s="41"/>
      <c r="AD252" s="42"/>
      <c r="AE252" s="42"/>
      <c r="AF252" s="42"/>
      <c r="AG252" s="42" t="s">
        <v>734</v>
      </c>
      <c r="AH252" s="42" t="s">
        <v>734</v>
      </c>
      <c r="AI252" s="42" t="s">
        <v>734</v>
      </c>
      <c r="AJ252" s="42" t="s">
        <v>734</v>
      </c>
      <c r="AK252" s="42" t="s">
        <v>734</v>
      </c>
      <c r="AL252" s="42" t="s">
        <v>734</v>
      </c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68">
        <f>16.2+3.6</f>
        <v>19.8</v>
      </c>
      <c r="AY252" s="37"/>
      <c r="BA252" s="68"/>
      <c r="BB252" s="68"/>
      <c r="BD252" s="67">
        <f t="shared" si="60"/>
        <v>3445.2000000000003</v>
      </c>
      <c r="BE252" s="67"/>
      <c r="BF252" s="37"/>
      <c r="BG252" s="69">
        <v>2</v>
      </c>
      <c r="BH252" s="67">
        <f t="shared" si="69"/>
        <v>0</v>
      </c>
      <c r="BI252" s="67">
        <f t="shared" si="70"/>
        <v>13.2</v>
      </c>
      <c r="BJ252" s="70">
        <f>(BH252+BI252)*K252</f>
        <v>2296.7999999999997</v>
      </c>
      <c r="BN252" s="37"/>
      <c r="BO252" s="70">
        <f t="shared" si="58"/>
        <v>0</v>
      </c>
      <c r="BP252" s="37">
        <v>15</v>
      </c>
      <c r="BQ252" s="37">
        <v>20</v>
      </c>
      <c r="BR252" s="37">
        <v>21</v>
      </c>
      <c r="BS252" s="37">
        <v>15</v>
      </c>
      <c r="BT252" s="87">
        <f t="shared" si="59"/>
        <v>33</v>
      </c>
      <c r="BU252" s="87"/>
      <c r="BV252" s="87"/>
      <c r="BW252" s="87"/>
      <c r="BX252" s="87"/>
      <c r="BY252" s="87"/>
      <c r="BZ252" s="87"/>
      <c r="CA252" s="87"/>
      <c r="CB252" s="87"/>
      <c r="CC252" s="87"/>
      <c r="CD252" s="87"/>
      <c r="CF252" s="67">
        <f t="shared" si="61"/>
        <v>495</v>
      </c>
      <c r="CG252" s="67">
        <f t="shared" si="62"/>
        <v>660</v>
      </c>
      <c r="CH252" s="67">
        <f t="shared" si="63"/>
        <v>693</v>
      </c>
      <c r="CI252" s="67">
        <f t="shared" si="68"/>
        <v>495</v>
      </c>
      <c r="CJ252" s="37">
        <f t="shared" si="64"/>
        <v>165</v>
      </c>
      <c r="CK252" s="37">
        <f t="shared" si="65"/>
        <v>220</v>
      </c>
      <c r="CL252" s="37">
        <f t="shared" si="66"/>
        <v>231</v>
      </c>
      <c r="CM252" s="37">
        <f t="shared" si="67"/>
        <v>165</v>
      </c>
    </row>
    <row r="253" spans="2:91" ht="38.25">
      <c r="B253" s="156">
        <v>247</v>
      </c>
      <c r="C253" s="160">
        <v>135</v>
      </c>
      <c r="D253" s="164">
        <v>640</v>
      </c>
      <c r="E253" s="161">
        <v>0.2951388888888889</v>
      </c>
      <c r="F253" s="161">
        <v>0.31180555555555556</v>
      </c>
      <c r="G253" s="160" t="s">
        <v>673</v>
      </c>
      <c r="H253" s="160" t="s">
        <v>103</v>
      </c>
      <c r="I253" s="163">
        <v>14.5</v>
      </c>
      <c r="J253" s="164" t="s">
        <v>254</v>
      </c>
      <c r="K253" s="165">
        <v>174</v>
      </c>
      <c r="L253" s="166">
        <f t="shared" si="57"/>
        <v>2523</v>
      </c>
      <c r="M253" s="167" t="s">
        <v>724</v>
      </c>
      <c r="N253" s="150" t="s">
        <v>985</v>
      </c>
      <c r="O253" s="184">
        <v>46</v>
      </c>
      <c r="P253" s="150" t="s">
        <v>1970</v>
      </c>
      <c r="Q253" s="184">
        <v>45</v>
      </c>
      <c r="S253" s="184"/>
      <c r="T253" s="45">
        <v>1084</v>
      </c>
      <c r="U253" s="45" t="s">
        <v>1398</v>
      </c>
      <c r="V253" s="45">
        <v>1080</v>
      </c>
      <c r="W253" s="45" t="s">
        <v>1399</v>
      </c>
      <c r="X253" s="98">
        <v>44816</v>
      </c>
      <c r="Y253" s="98">
        <v>45086</v>
      </c>
      <c r="Z253" s="98"/>
      <c r="AA253" s="98"/>
      <c r="AB253" s="41" t="s">
        <v>1114</v>
      </c>
      <c r="AC253" s="41"/>
      <c r="AD253" s="42"/>
      <c r="AE253" s="42"/>
      <c r="AF253" s="42"/>
      <c r="AG253" s="42" t="s">
        <v>734</v>
      </c>
      <c r="AH253" s="42" t="s">
        <v>734</v>
      </c>
      <c r="AI253" s="42" t="s">
        <v>734</v>
      </c>
      <c r="AJ253" s="42" t="s">
        <v>734</v>
      </c>
      <c r="AK253" s="42" t="s">
        <v>734</v>
      </c>
      <c r="AL253" s="42" t="s">
        <v>734</v>
      </c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71">
        <v>26.1</v>
      </c>
      <c r="AY253" s="37"/>
      <c r="BA253" s="68"/>
      <c r="BB253" s="68"/>
      <c r="BD253" s="67">
        <f t="shared" si="60"/>
        <v>4541.4000000000005</v>
      </c>
      <c r="BE253" s="67"/>
      <c r="BF253" s="37"/>
      <c r="BG253" s="69">
        <v>2</v>
      </c>
      <c r="BH253" s="71"/>
      <c r="BI253" s="71"/>
      <c r="BJ253" s="72"/>
      <c r="BN253" s="37"/>
      <c r="BO253" s="70">
        <f t="shared" si="58"/>
        <v>0</v>
      </c>
      <c r="BP253" s="37">
        <v>15</v>
      </c>
      <c r="BQ253" s="37">
        <v>20</v>
      </c>
      <c r="BR253" s="37">
        <v>21</v>
      </c>
      <c r="BS253" s="37">
        <v>15</v>
      </c>
      <c r="BT253" s="87">
        <f t="shared" si="59"/>
        <v>26.1</v>
      </c>
      <c r="BU253" s="87"/>
      <c r="BV253" s="87"/>
      <c r="BW253" s="87"/>
      <c r="BX253" s="87"/>
      <c r="BY253" s="87"/>
      <c r="BZ253" s="87"/>
      <c r="CA253" s="87"/>
      <c r="CB253" s="87"/>
      <c r="CC253" s="87"/>
      <c r="CD253" s="87"/>
      <c r="CF253" s="67">
        <f t="shared" si="61"/>
        <v>391.5</v>
      </c>
      <c r="CG253" s="67">
        <f t="shared" si="62"/>
        <v>522</v>
      </c>
      <c r="CH253" s="67">
        <f t="shared" si="63"/>
        <v>548.1</v>
      </c>
      <c r="CI253" s="67">
        <f t="shared" si="68"/>
        <v>391.5</v>
      </c>
      <c r="CJ253" s="37">
        <f t="shared" si="64"/>
        <v>217.5</v>
      </c>
      <c r="CK253" s="37">
        <f t="shared" si="65"/>
        <v>290</v>
      </c>
      <c r="CL253" s="37">
        <f t="shared" si="66"/>
        <v>304.5</v>
      </c>
      <c r="CM253" s="37">
        <f t="shared" si="67"/>
        <v>217.5</v>
      </c>
    </row>
    <row r="254" spans="2:91" ht="38.25">
      <c r="B254" s="156">
        <v>248</v>
      </c>
      <c r="C254" s="160">
        <v>135</v>
      </c>
      <c r="D254" s="164">
        <v>640</v>
      </c>
      <c r="E254" s="161">
        <v>0.2951388888888889</v>
      </c>
      <c r="F254" s="161">
        <v>0.31180555555555556</v>
      </c>
      <c r="G254" s="160" t="s">
        <v>672</v>
      </c>
      <c r="H254" s="160" t="s">
        <v>534</v>
      </c>
      <c r="I254" s="163">
        <v>14.5</v>
      </c>
      <c r="J254" s="164" t="s">
        <v>93</v>
      </c>
      <c r="K254" s="165">
        <v>34</v>
      </c>
      <c r="L254" s="166">
        <f t="shared" si="57"/>
        <v>493</v>
      </c>
      <c r="M254" s="167" t="s">
        <v>724</v>
      </c>
      <c r="N254" s="150" t="s">
        <v>985</v>
      </c>
      <c r="O254" s="184">
        <v>46</v>
      </c>
      <c r="P254" s="150" t="s">
        <v>1970</v>
      </c>
      <c r="Q254" s="184">
        <v>45</v>
      </c>
      <c r="S254" s="184"/>
      <c r="T254" s="45">
        <v>1084</v>
      </c>
      <c r="U254" s="45" t="s">
        <v>1398</v>
      </c>
      <c r="V254" s="45">
        <v>1080</v>
      </c>
      <c r="W254" s="45" t="s">
        <v>1399</v>
      </c>
      <c r="X254" s="98">
        <v>44816</v>
      </c>
      <c r="Y254" s="98">
        <v>45086</v>
      </c>
      <c r="Z254" s="98"/>
      <c r="AA254" s="98"/>
      <c r="AB254" s="42" t="s">
        <v>1123</v>
      </c>
      <c r="AC254" s="42"/>
      <c r="AD254" s="42"/>
      <c r="AE254" s="42"/>
      <c r="AF254" s="42"/>
      <c r="AG254" s="42" t="s">
        <v>734</v>
      </c>
      <c r="AH254" s="42"/>
      <c r="AI254" s="42"/>
      <c r="AJ254" s="42"/>
      <c r="AK254" s="42"/>
      <c r="AL254" s="42"/>
      <c r="AM254" s="42" t="s">
        <v>734</v>
      </c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68">
        <f>29.4+7.2</f>
        <v>36.6</v>
      </c>
      <c r="AY254" s="37"/>
      <c r="BA254" s="68"/>
      <c r="BB254" s="68"/>
      <c r="BD254" s="67">
        <f t="shared" si="60"/>
        <v>1244.4000000000001</v>
      </c>
      <c r="BE254" s="67"/>
      <c r="BF254" s="37"/>
      <c r="BG254" s="73">
        <v>1</v>
      </c>
      <c r="BH254" s="67">
        <f>IF(AND((AX254/I254)&lt;2,BG254=1),(I254*2)-AX254,0)</f>
        <v>0</v>
      </c>
      <c r="BI254" s="67">
        <f>IF(AND((AX254/I254)&lt;3,BG254=2),(I254*3)-AX254,0)</f>
        <v>0</v>
      </c>
      <c r="BJ254" s="70">
        <f>(BH254+BI254)*K254</f>
        <v>0</v>
      </c>
      <c r="BN254" s="37"/>
      <c r="BO254" s="70">
        <f t="shared" si="58"/>
        <v>0</v>
      </c>
      <c r="BP254" s="37">
        <v>2</v>
      </c>
      <c r="BQ254" s="37">
        <v>5</v>
      </c>
      <c r="BR254" s="37">
        <v>4</v>
      </c>
      <c r="BS254" s="37">
        <v>3</v>
      </c>
      <c r="BT254" s="87">
        <f t="shared" si="59"/>
        <v>36.6</v>
      </c>
      <c r="BU254" s="87"/>
      <c r="BV254" s="87"/>
      <c r="BW254" s="87"/>
      <c r="BX254" s="87"/>
      <c r="BY254" s="87"/>
      <c r="BZ254" s="87"/>
      <c r="CA254" s="87"/>
      <c r="CB254" s="87"/>
      <c r="CC254" s="87"/>
      <c r="CD254" s="87"/>
      <c r="CF254" s="67">
        <f t="shared" si="61"/>
        <v>73.2</v>
      </c>
      <c r="CG254" s="67">
        <f t="shared" si="62"/>
        <v>183</v>
      </c>
      <c r="CH254" s="67">
        <f t="shared" si="63"/>
        <v>146.4</v>
      </c>
      <c r="CI254" s="67">
        <f t="shared" si="68"/>
        <v>109.80000000000001</v>
      </c>
      <c r="CJ254" s="37">
        <f t="shared" si="64"/>
        <v>29</v>
      </c>
      <c r="CK254" s="37">
        <f t="shared" si="65"/>
        <v>72.5</v>
      </c>
      <c r="CL254" s="37">
        <f t="shared" si="66"/>
        <v>58</v>
      </c>
      <c r="CM254" s="37">
        <f t="shared" si="67"/>
        <v>43.5</v>
      </c>
    </row>
    <row r="255" spans="2:91" ht="38.25">
      <c r="B255" s="156">
        <v>249</v>
      </c>
      <c r="C255" s="160">
        <v>201</v>
      </c>
      <c r="D255" s="162">
        <v>59</v>
      </c>
      <c r="E255" s="161">
        <v>0.27499999999999997</v>
      </c>
      <c r="F255" s="161">
        <v>0.30694444444444441</v>
      </c>
      <c r="G255" s="160" t="s">
        <v>193</v>
      </c>
      <c r="H255" s="160" t="s">
        <v>634</v>
      </c>
      <c r="I255" s="163">
        <v>31</v>
      </c>
      <c r="J255" s="164" t="s">
        <v>191</v>
      </c>
      <c r="K255" s="165">
        <v>36</v>
      </c>
      <c r="L255" s="166">
        <f t="shared" si="57"/>
        <v>1116</v>
      </c>
      <c r="M255" s="167" t="s">
        <v>743</v>
      </c>
      <c r="N255" s="154" t="s">
        <v>953</v>
      </c>
      <c r="O255" s="154">
        <v>61</v>
      </c>
      <c r="P255" s="154" t="s">
        <v>951</v>
      </c>
      <c r="Q255" s="154">
        <v>55</v>
      </c>
      <c r="R255" s="154" t="s">
        <v>952</v>
      </c>
      <c r="S255" s="154">
        <v>57</v>
      </c>
      <c r="T255" s="45">
        <v>2180</v>
      </c>
      <c r="U255" s="45" t="s">
        <v>1483</v>
      </c>
      <c r="V255" s="45">
        <v>1</v>
      </c>
      <c r="W255" s="45" t="s">
        <v>1339</v>
      </c>
      <c r="X255" s="98">
        <v>44816</v>
      </c>
      <c r="Y255" s="98">
        <v>45086</v>
      </c>
      <c r="Z255" s="98"/>
      <c r="AA255" s="98"/>
      <c r="AB255" s="45" t="s">
        <v>1136</v>
      </c>
      <c r="AC255" s="45"/>
      <c r="AD255" s="42"/>
      <c r="AE255" s="42"/>
      <c r="AF255" s="42"/>
      <c r="AG255" s="42" t="s">
        <v>734</v>
      </c>
      <c r="AH255" s="42" t="s">
        <v>734</v>
      </c>
      <c r="AI255" s="42"/>
      <c r="AJ255" s="42"/>
      <c r="AK255" s="42"/>
      <c r="AL255" s="42"/>
      <c r="AM255" s="42"/>
      <c r="AN255" s="42"/>
      <c r="AO255" s="42" t="s">
        <v>734</v>
      </c>
      <c r="AP255" s="42"/>
      <c r="AQ255" s="42"/>
      <c r="AR255" s="42"/>
      <c r="AS255" s="42"/>
      <c r="AT255" s="42"/>
      <c r="AU255" s="42"/>
      <c r="AV255" s="42"/>
      <c r="AW255" s="42"/>
      <c r="AX255" s="68">
        <v>173.55</v>
      </c>
      <c r="AY255" s="37"/>
      <c r="BA255" s="68"/>
      <c r="BB255" s="68"/>
      <c r="BD255" s="67">
        <f t="shared" si="60"/>
        <v>6247.8</v>
      </c>
      <c r="BE255" s="67"/>
      <c r="BF255" s="37"/>
      <c r="BG255" s="69">
        <v>2</v>
      </c>
      <c r="BH255" s="67">
        <f>IF(AND((AX255/I255)&lt;2,BG255=1),(I255*2)-AX255,0)</f>
        <v>0</v>
      </c>
      <c r="BI255" s="67">
        <f>IF(AND((AX255/I255)&lt;3,BG255=2),(I255*3)-AX255,0)</f>
        <v>0</v>
      </c>
      <c r="BJ255" s="70">
        <f>(BH255+BI255)*K255</f>
        <v>0</v>
      </c>
      <c r="BN255" s="67">
        <f>IF((AX255+AY255+AZ255)&lt;20,(20-(AX255+AY255+AZ255)),0)</f>
        <v>0</v>
      </c>
      <c r="BO255" s="70">
        <f t="shared" si="58"/>
        <v>0</v>
      </c>
      <c r="BP255" s="37">
        <v>3</v>
      </c>
      <c r="BQ255" s="37">
        <v>4</v>
      </c>
      <c r="BR255" s="37">
        <v>5</v>
      </c>
      <c r="BS255" s="37">
        <v>4</v>
      </c>
      <c r="BT255" s="87">
        <f t="shared" si="59"/>
        <v>173.55</v>
      </c>
      <c r="BU255" s="87"/>
      <c r="BV255" s="87"/>
      <c r="BW255" s="87"/>
      <c r="BX255" s="87"/>
      <c r="BY255" s="87"/>
      <c r="BZ255" s="87"/>
      <c r="CA255" s="87"/>
      <c r="CB255" s="87"/>
      <c r="CC255" s="87"/>
      <c r="CD255" s="87"/>
      <c r="CF255" s="67">
        <f t="shared" si="61"/>
        <v>520.65000000000009</v>
      </c>
      <c r="CG255" s="67">
        <f t="shared" si="62"/>
        <v>694.2</v>
      </c>
      <c r="CH255" s="67">
        <f t="shared" si="63"/>
        <v>867.75</v>
      </c>
      <c r="CI255" s="67">
        <f t="shared" si="68"/>
        <v>694.2</v>
      </c>
      <c r="CJ255" s="37">
        <f t="shared" si="64"/>
        <v>93</v>
      </c>
      <c r="CK255" s="37">
        <f t="shared" si="65"/>
        <v>124</v>
      </c>
      <c r="CL255" s="37">
        <f t="shared" si="66"/>
        <v>155</v>
      </c>
      <c r="CM255" s="37">
        <f t="shared" si="67"/>
        <v>124</v>
      </c>
    </row>
    <row r="256" spans="2:91" ht="51">
      <c r="B256" s="156">
        <v>250</v>
      </c>
      <c r="C256" s="160">
        <v>201</v>
      </c>
      <c r="D256" s="162">
        <v>59</v>
      </c>
      <c r="E256" s="161">
        <v>0.27499999999999997</v>
      </c>
      <c r="F256" s="161">
        <v>0.30694444444444441</v>
      </c>
      <c r="G256" s="160" t="s">
        <v>405</v>
      </c>
      <c r="H256" s="160" t="s">
        <v>633</v>
      </c>
      <c r="I256" s="163">
        <v>30</v>
      </c>
      <c r="J256" s="164" t="s">
        <v>101</v>
      </c>
      <c r="K256" s="165">
        <f>174-33</f>
        <v>141</v>
      </c>
      <c r="L256" s="166">
        <f t="shared" si="57"/>
        <v>4230</v>
      </c>
      <c r="M256" s="167" t="s">
        <v>743</v>
      </c>
      <c r="N256" s="154" t="s">
        <v>953</v>
      </c>
      <c r="O256" s="154">
        <v>61</v>
      </c>
      <c r="P256" s="154" t="s">
        <v>951</v>
      </c>
      <c r="Q256" s="154">
        <v>55</v>
      </c>
      <c r="R256" s="154" t="s">
        <v>952</v>
      </c>
      <c r="S256" s="154">
        <v>57</v>
      </c>
      <c r="T256" s="45">
        <v>2180</v>
      </c>
      <c r="U256" s="45" t="s">
        <v>1483</v>
      </c>
      <c r="V256" s="45">
        <v>1</v>
      </c>
      <c r="W256" s="45" t="s">
        <v>1339</v>
      </c>
      <c r="X256" s="98">
        <v>44816</v>
      </c>
      <c r="Y256" s="98">
        <v>45086</v>
      </c>
      <c r="Z256" s="98"/>
      <c r="AA256" s="98"/>
      <c r="AB256" s="45" t="s">
        <v>1139</v>
      </c>
      <c r="AC256" s="45"/>
      <c r="AD256" s="42"/>
      <c r="AE256" s="42"/>
      <c r="AF256" s="42"/>
      <c r="AG256" s="42" t="s">
        <v>734</v>
      </c>
      <c r="AH256" s="42"/>
      <c r="AI256" s="42" t="s">
        <v>734</v>
      </c>
      <c r="AJ256" s="42" t="s">
        <v>734</v>
      </c>
      <c r="AK256" s="42" t="s">
        <v>734</v>
      </c>
      <c r="AL256" s="42" t="s">
        <v>734</v>
      </c>
      <c r="AM256" s="42"/>
      <c r="AN256" s="42"/>
      <c r="AO256" s="42"/>
      <c r="AP256" s="42" t="s">
        <v>734</v>
      </c>
      <c r="AQ256" s="42"/>
      <c r="AR256" s="42"/>
      <c r="AS256" s="42"/>
      <c r="AT256" s="42"/>
      <c r="AU256" s="42"/>
      <c r="AV256" s="42"/>
      <c r="AW256" s="42"/>
      <c r="AX256" s="68">
        <v>90</v>
      </c>
      <c r="AY256" s="37"/>
      <c r="BA256" s="68"/>
      <c r="BB256" s="68"/>
      <c r="BD256" s="67">
        <f t="shared" si="60"/>
        <v>12690</v>
      </c>
      <c r="BE256" s="67"/>
      <c r="BF256" s="37"/>
      <c r="BG256" s="69">
        <v>2</v>
      </c>
      <c r="BH256" s="67">
        <f>IF(AND((AX256/I256)&lt;2,BG256=1),(I256*2)-AX256,0)</f>
        <v>0</v>
      </c>
      <c r="BI256" s="67">
        <f>IF(AND((AX256/I256)&lt;3,BG256=2),(I256*3)-AX256,0)</f>
        <v>0</v>
      </c>
      <c r="BJ256" s="70">
        <f>(BH256+BI256)*K256</f>
        <v>0</v>
      </c>
      <c r="BN256" s="67">
        <f>IF((AX256+AY256+AZ256)&lt;20,(20-(AX256+AY256+AZ256)),0)</f>
        <v>0</v>
      </c>
      <c r="BO256" s="70">
        <f t="shared" si="58"/>
        <v>0</v>
      </c>
      <c r="BP256" s="37">
        <v>12</v>
      </c>
      <c r="BQ256" s="37">
        <v>16</v>
      </c>
      <c r="BR256" s="37">
        <v>16</v>
      </c>
      <c r="BS256" s="37">
        <v>11</v>
      </c>
      <c r="BT256" s="87">
        <f t="shared" si="59"/>
        <v>90</v>
      </c>
      <c r="BU256" s="87"/>
      <c r="BV256" s="87"/>
      <c r="BW256" s="87"/>
      <c r="BX256" s="87"/>
      <c r="BY256" s="87"/>
      <c r="BZ256" s="87"/>
      <c r="CA256" s="87"/>
      <c r="CB256" s="87"/>
      <c r="CC256" s="87"/>
      <c r="CD256" s="87"/>
      <c r="CF256" s="67">
        <f t="shared" si="61"/>
        <v>1080</v>
      </c>
      <c r="CG256" s="67">
        <f t="shared" si="62"/>
        <v>1440</v>
      </c>
      <c r="CH256" s="67">
        <f t="shared" si="63"/>
        <v>1440</v>
      </c>
      <c r="CI256" s="67">
        <f t="shared" si="68"/>
        <v>990</v>
      </c>
      <c r="CJ256" s="37">
        <f t="shared" si="64"/>
        <v>360</v>
      </c>
      <c r="CK256" s="37">
        <f t="shared" si="65"/>
        <v>480</v>
      </c>
      <c r="CL256" s="37">
        <f t="shared" si="66"/>
        <v>480</v>
      </c>
      <c r="CM256" s="37">
        <f t="shared" si="67"/>
        <v>330</v>
      </c>
    </row>
    <row r="257" spans="1:91" ht="25.5">
      <c r="B257" s="156">
        <v>251</v>
      </c>
      <c r="C257" s="192">
        <v>201</v>
      </c>
      <c r="D257" s="192">
        <v>251</v>
      </c>
      <c r="E257" s="193">
        <v>0.29791666666666666</v>
      </c>
      <c r="F257" s="193">
        <v>0.34513888888888888</v>
      </c>
      <c r="G257" s="194" t="s">
        <v>543</v>
      </c>
      <c r="H257" s="160" t="s">
        <v>479</v>
      </c>
      <c r="I257" s="192">
        <v>44</v>
      </c>
      <c r="J257" s="195">
        <v>50</v>
      </c>
      <c r="K257" s="165">
        <v>240</v>
      </c>
      <c r="L257" s="166">
        <f t="shared" ref="L257:L320" si="72">+K257*I257</f>
        <v>10560</v>
      </c>
      <c r="M257" s="196" t="s">
        <v>744</v>
      </c>
      <c r="N257" s="154" t="s">
        <v>978</v>
      </c>
      <c r="O257" s="154">
        <v>61</v>
      </c>
      <c r="P257" s="154" t="s">
        <v>1920</v>
      </c>
      <c r="Q257" s="154">
        <v>58</v>
      </c>
      <c r="R257" s="154" t="s">
        <v>1261</v>
      </c>
      <c r="S257" s="150">
        <v>65</v>
      </c>
      <c r="T257" s="45">
        <v>2290</v>
      </c>
      <c r="U257" s="45" t="s">
        <v>1484</v>
      </c>
      <c r="V257" s="45">
        <v>1</v>
      </c>
      <c r="W257" s="45" t="s">
        <v>1339</v>
      </c>
      <c r="X257" s="99">
        <v>44816</v>
      </c>
      <c r="Y257" s="99">
        <v>45100</v>
      </c>
      <c r="Z257" s="99"/>
      <c r="AA257" s="99"/>
      <c r="AB257" s="45" t="s">
        <v>1124</v>
      </c>
      <c r="AC257" s="45"/>
      <c r="AD257" s="42" t="s">
        <v>734</v>
      </c>
      <c r="AE257" s="42"/>
      <c r="AF257" s="42" t="s">
        <v>734</v>
      </c>
      <c r="AG257" s="42"/>
      <c r="AH257" s="42" t="s">
        <v>734</v>
      </c>
      <c r="AI257" s="42" t="s">
        <v>734</v>
      </c>
      <c r="AJ257" s="42" t="s">
        <v>734</v>
      </c>
      <c r="AK257" s="42" t="s">
        <v>734</v>
      </c>
      <c r="AL257" s="42" t="s">
        <v>734</v>
      </c>
      <c r="AM257" s="42" t="s">
        <v>734</v>
      </c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68">
        <v>105.6</v>
      </c>
      <c r="AY257" s="37"/>
      <c r="BA257" s="68"/>
      <c r="BB257" s="68"/>
      <c r="BD257" s="67">
        <f t="shared" si="60"/>
        <v>25344</v>
      </c>
      <c r="BE257" s="67"/>
      <c r="BF257" s="37"/>
      <c r="BG257" s="69">
        <v>2</v>
      </c>
      <c r="BH257" s="67">
        <f>IF(AND((AX257/I257)&lt;2,BG257=1),(I257*2)-AX257,0)</f>
        <v>0</v>
      </c>
      <c r="BI257" s="67">
        <f>IF(AND((AX257/I257)&lt;3,BG257=2),(I257*3)-AX257,0)</f>
        <v>26.400000000000006</v>
      </c>
      <c r="BJ257" s="70">
        <f>(BH257+BI257)*K257</f>
        <v>6336.0000000000018</v>
      </c>
      <c r="BN257" s="37"/>
      <c r="BO257" s="70">
        <f t="shared" ref="BO257:BO292" si="73">BN257*K257</f>
        <v>0</v>
      </c>
      <c r="BP257" s="37">
        <v>17</v>
      </c>
      <c r="BQ257" s="37">
        <v>26</v>
      </c>
      <c r="BR257" s="37">
        <v>25</v>
      </c>
      <c r="BS257" s="37">
        <v>25</v>
      </c>
      <c r="BT257" s="87">
        <f t="shared" ref="BT257:BT292" si="74">SUM(AX257:AZ257)+SUM(BH257:BI257)+SUM(BK257:BL257)+BN257</f>
        <v>132</v>
      </c>
      <c r="BU257" s="87"/>
      <c r="BV257" s="87"/>
      <c r="BW257" s="87"/>
      <c r="BX257" s="87"/>
      <c r="BY257" s="87"/>
      <c r="BZ257" s="87"/>
      <c r="CA257" s="87"/>
      <c r="CB257" s="87"/>
      <c r="CC257" s="87"/>
      <c r="CD257" s="87"/>
      <c r="CF257" s="67">
        <f t="shared" si="61"/>
        <v>2244</v>
      </c>
      <c r="CG257" s="67">
        <f t="shared" si="62"/>
        <v>3432</v>
      </c>
      <c r="CH257" s="67">
        <f t="shared" si="63"/>
        <v>3300</v>
      </c>
      <c r="CI257" s="67">
        <f t="shared" si="68"/>
        <v>3300</v>
      </c>
      <c r="CJ257" s="37">
        <f t="shared" si="64"/>
        <v>748</v>
      </c>
      <c r="CK257" s="37">
        <f t="shared" si="65"/>
        <v>1144</v>
      </c>
      <c r="CL257" s="37">
        <f t="shared" si="66"/>
        <v>1100</v>
      </c>
      <c r="CM257" s="37">
        <f t="shared" si="67"/>
        <v>1100</v>
      </c>
    </row>
    <row r="258" spans="1:91" ht="33.75">
      <c r="A258" s="3" t="s">
        <v>804</v>
      </c>
      <c r="B258" s="156">
        <v>252</v>
      </c>
      <c r="C258" s="192">
        <v>201</v>
      </c>
      <c r="D258" s="197">
        <v>279</v>
      </c>
      <c r="E258" s="198">
        <v>0.32361111111111113</v>
      </c>
      <c r="F258" s="198">
        <v>0.33611111111111108</v>
      </c>
      <c r="G258" s="194" t="s">
        <v>539</v>
      </c>
      <c r="H258" s="160" t="s">
        <v>444</v>
      </c>
      <c r="I258" s="192">
        <v>15</v>
      </c>
      <c r="J258" s="195">
        <v>50</v>
      </c>
      <c r="K258" s="199">
        <v>47</v>
      </c>
      <c r="L258" s="166">
        <f t="shared" si="72"/>
        <v>705</v>
      </c>
      <c r="M258" s="167" t="s">
        <v>751</v>
      </c>
      <c r="N258" s="150" t="s">
        <v>837</v>
      </c>
      <c r="O258" s="150">
        <v>57</v>
      </c>
      <c r="P258" s="150" t="s">
        <v>836</v>
      </c>
      <c r="Q258" s="150">
        <v>57</v>
      </c>
      <c r="R258" s="221" t="s">
        <v>2080</v>
      </c>
      <c r="S258" s="221" t="s">
        <v>2081</v>
      </c>
      <c r="T258" s="45">
        <v>2290</v>
      </c>
      <c r="U258" s="45" t="s">
        <v>1484</v>
      </c>
      <c r="V258" s="45">
        <v>2180</v>
      </c>
      <c r="W258" s="45" t="s">
        <v>1483</v>
      </c>
      <c r="X258" s="99">
        <v>44816</v>
      </c>
      <c r="Y258" s="99">
        <v>45100</v>
      </c>
      <c r="Z258" s="99"/>
      <c r="AA258" s="99"/>
      <c r="AB258" s="46" t="s">
        <v>1115</v>
      </c>
      <c r="AC258" s="46"/>
      <c r="AD258" s="42" t="s">
        <v>734</v>
      </c>
      <c r="AE258" s="42"/>
      <c r="AF258" s="42"/>
      <c r="AG258" s="42"/>
      <c r="AH258" s="42"/>
      <c r="AI258" s="42"/>
      <c r="AJ258" s="42"/>
      <c r="AK258" s="42"/>
      <c r="AL258" s="42"/>
      <c r="AM258" s="42"/>
      <c r="AN258" s="42" t="s">
        <v>734</v>
      </c>
      <c r="AO258" s="42"/>
      <c r="AP258" s="42"/>
      <c r="AQ258" s="42"/>
      <c r="AR258" s="42"/>
      <c r="AS258" s="42"/>
      <c r="AT258" s="42"/>
      <c r="AU258" s="42"/>
      <c r="AV258" s="42"/>
      <c r="AW258" s="42"/>
      <c r="AX258" s="68"/>
      <c r="AY258" s="37"/>
      <c r="AZ258" s="67">
        <f>3*I258</f>
        <v>45</v>
      </c>
      <c r="BA258" s="68"/>
      <c r="BB258" s="68"/>
      <c r="BF258" s="67">
        <f>AZ258*K258</f>
        <v>2115</v>
      </c>
      <c r="BG258" s="69">
        <v>2</v>
      </c>
      <c r="BH258" s="73"/>
      <c r="BI258" s="79"/>
      <c r="BJ258" s="73"/>
      <c r="BK258" s="73"/>
      <c r="BL258" s="73"/>
      <c r="BM258" s="73"/>
      <c r="BN258" s="37"/>
      <c r="BO258" s="70">
        <f t="shared" si="73"/>
        <v>0</v>
      </c>
      <c r="BP258" s="37">
        <v>2</v>
      </c>
      <c r="BQ258" s="37">
        <v>5</v>
      </c>
      <c r="BR258" s="37">
        <v>5</v>
      </c>
      <c r="BS258" s="37">
        <v>6</v>
      </c>
      <c r="BT258" s="87">
        <f t="shared" si="74"/>
        <v>45</v>
      </c>
      <c r="BU258" s="87"/>
      <c r="BV258" s="87"/>
      <c r="BW258" s="87"/>
      <c r="BX258" s="87"/>
      <c r="BY258" s="87"/>
      <c r="BZ258" s="87"/>
      <c r="CA258" s="87"/>
      <c r="CB258" s="87"/>
      <c r="CC258" s="87"/>
      <c r="CD258" s="87"/>
      <c r="CF258" s="67">
        <f t="shared" si="61"/>
        <v>90</v>
      </c>
      <c r="CG258" s="67">
        <f t="shared" si="62"/>
        <v>225</v>
      </c>
      <c r="CH258" s="67">
        <f t="shared" si="63"/>
        <v>225</v>
      </c>
      <c r="CI258" s="67">
        <f t="shared" si="68"/>
        <v>270</v>
      </c>
      <c r="CJ258" s="37">
        <f t="shared" si="64"/>
        <v>30</v>
      </c>
      <c r="CK258" s="37">
        <f t="shared" si="65"/>
        <v>75</v>
      </c>
      <c r="CL258" s="37">
        <f t="shared" si="66"/>
        <v>75</v>
      </c>
      <c r="CM258" s="37">
        <f t="shared" si="67"/>
        <v>90</v>
      </c>
    </row>
    <row r="259" spans="1:91" ht="33.75">
      <c r="A259" s="3" t="s">
        <v>804</v>
      </c>
      <c r="B259" s="156">
        <v>253</v>
      </c>
      <c r="C259" s="192">
        <v>201</v>
      </c>
      <c r="D259" s="197">
        <v>518</v>
      </c>
      <c r="E259" s="198">
        <v>0.35694444444444445</v>
      </c>
      <c r="F259" s="198">
        <v>0.36944444444444446</v>
      </c>
      <c r="G259" s="194" t="s">
        <v>540</v>
      </c>
      <c r="H259" s="160" t="s">
        <v>479</v>
      </c>
      <c r="I259" s="192">
        <v>15</v>
      </c>
      <c r="J259" s="195">
        <v>50</v>
      </c>
      <c r="K259" s="199">
        <v>240</v>
      </c>
      <c r="L259" s="166">
        <f t="shared" si="72"/>
        <v>3600</v>
      </c>
      <c r="M259" s="167" t="s">
        <v>751</v>
      </c>
      <c r="N259" s="150" t="s">
        <v>837</v>
      </c>
      <c r="O259" s="150">
        <v>57</v>
      </c>
      <c r="P259" s="150" t="s">
        <v>836</v>
      </c>
      <c r="Q259" s="150">
        <v>57</v>
      </c>
      <c r="R259" s="221" t="s">
        <v>2080</v>
      </c>
      <c r="S259" s="221" t="s">
        <v>2081</v>
      </c>
      <c r="T259" s="45">
        <v>2180</v>
      </c>
      <c r="U259" s="45" t="s">
        <v>1483</v>
      </c>
      <c r="V259" s="45">
        <v>2290</v>
      </c>
      <c r="W259" s="45" t="s">
        <v>1484</v>
      </c>
      <c r="X259" s="99">
        <v>44816</v>
      </c>
      <c r="Y259" s="99">
        <v>45100</v>
      </c>
      <c r="Z259" s="99"/>
      <c r="AA259" s="99"/>
      <c r="AB259" s="45" t="s">
        <v>1124</v>
      </c>
      <c r="AC259" s="45"/>
      <c r="AD259" s="42" t="s">
        <v>734</v>
      </c>
      <c r="AE259" s="42"/>
      <c r="AF259" s="42" t="s">
        <v>734</v>
      </c>
      <c r="AG259" s="42"/>
      <c r="AH259" s="42" t="s">
        <v>734</v>
      </c>
      <c r="AI259" s="42" t="s">
        <v>734</v>
      </c>
      <c r="AJ259" s="42" t="s">
        <v>734</v>
      </c>
      <c r="AK259" s="42" t="s">
        <v>734</v>
      </c>
      <c r="AL259" s="42" t="s">
        <v>734</v>
      </c>
      <c r="AM259" s="42" t="s">
        <v>734</v>
      </c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68"/>
      <c r="AY259" s="37"/>
      <c r="AZ259" s="67">
        <f>3*I259</f>
        <v>45</v>
      </c>
      <c r="BA259" s="68"/>
      <c r="BB259" s="68"/>
      <c r="BF259" s="67">
        <f>AZ259*K259</f>
        <v>10800</v>
      </c>
      <c r="BG259" s="69">
        <v>2</v>
      </c>
      <c r="BH259" s="73"/>
      <c r="BI259" s="79"/>
      <c r="BJ259" s="73"/>
      <c r="BK259" s="73"/>
      <c r="BL259" s="73"/>
      <c r="BM259" s="73"/>
      <c r="BN259" s="37"/>
      <c r="BO259" s="70">
        <f t="shared" si="73"/>
        <v>0</v>
      </c>
      <c r="BP259" s="37">
        <v>17</v>
      </c>
      <c r="BQ259" s="37">
        <v>26</v>
      </c>
      <c r="BR259" s="37">
        <v>25</v>
      </c>
      <c r="BS259" s="37">
        <v>25</v>
      </c>
      <c r="BT259" s="87">
        <f t="shared" si="74"/>
        <v>45</v>
      </c>
      <c r="BU259" s="87"/>
      <c r="BV259" s="87"/>
      <c r="BW259" s="87"/>
      <c r="BX259" s="87"/>
      <c r="BY259" s="87"/>
      <c r="BZ259" s="87"/>
      <c r="CA259" s="87"/>
      <c r="CB259" s="87"/>
      <c r="CC259" s="87"/>
      <c r="CD259" s="87"/>
      <c r="CF259" s="67">
        <f t="shared" ref="CF259:CF292" si="75">(BT259*BP259)+(BV259*CD259)</f>
        <v>765</v>
      </c>
      <c r="CG259" s="67">
        <f t="shared" ref="CG259:CG322" si="76">(BT259*BQ259)+(BX259*CD259)</f>
        <v>1170</v>
      </c>
      <c r="CH259" s="67">
        <f t="shared" ref="CH259:CH322" si="77">(BR259*BT259)+(BZ259*CD259)</f>
        <v>1125</v>
      </c>
      <c r="CI259" s="67">
        <f t="shared" si="68"/>
        <v>1125</v>
      </c>
      <c r="CJ259" s="37">
        <f t="shared" ref="CJ259:CJ322" si="78">BP259*I259</f>
        <v>255</v>
      </c>
      <c r="CK259" s="37">
        <f t="shared" ref="CK259:CK322" si="79">BQ259*I259</f>
        <v>390</v>
      </c>
      <c r="CL259" s="37">
        <f t="shared" ref="CL259:CL322" si="80">BR259*I259</f>
        <v>375</v>
      </c>
      <c r="CM259" s="37">
        <f t="shared" ref="CM259:CM322" si="81">BS259*I259</f>
        <v>375</v>
      </c>
    </row>
    <row r="260" spans="1:91" ht="33.75">
      <c r="A260" s="3" t="s">
        <v>804</v>
      </c>
      <c r="B260" s="156">
        <v>254</v>
      </c>
      <c r="C260" s="192">
        <v>201</v>
      </c>
      <c r="D260" s="197">
        <v>518</v>
      </c>
      <c r="E260" s="198">
        <v>0.35694444444444445</v>
      </c>
      <c r="F260" s="198">
        <v>0.36944444444444446</v>
      </c>
      <c r="G260" s="194" t="s">
        <v>540</v>
      </c>
      <c r="H260" s="160" t="s">
        <v>444</v>
      </c>
      <c r="I260" s="192">
        <v>15</v>
      </c>
      <c r="J260" s="195">
        <v>50</v>
      </c>
      <c r="K260" s="199">
        <v>47</v>
      </c>
      <c r="L260" s="166">
        <f t="shared" si="72"/>
        <v>705</v>
      </c>
      <c r="M260" s="167" t="s">
        <v>751</v>
      </c>
      <c r="N260" s="150" t="s">
        <v>837</v>
      </c>
      <c r="O260" s="150">
        <v>57</v>
      </c>
      <c r="P260" s="150" t="s">
        <v>836</v>
      </c>
      <c r="Q260" s="150">
        <v>57</v>
      </c>
      <c r="R260" s="221" t="s">
        <v>2080</v>
      </c>
      <c r="S260" s="221" t="s">
        <v>2081</v>
      </c>
      <c r="T260" s="45">
        <v>2180</v>
      </c>
      <c r="U260" s="45" t="s">
        <v>1483</v>
      </c>
      <c r="V260" s="45">
        <v>2290</v>
      </c>
      <c r="W260" s="45" t="s">
        <v>1484</v>
      </c>
      <c r="X260" s="99">
        <v>44816</v>
      </c>
      <c r="Y260" s="99">
        <v>45100</v>
      </c>
      <c r="Z260" s="99"/>
      <c r="AA260" s="99"/>
      <c r="AB260" s="46" t="s">
        <v>1115</v>
      </c>
      <c r="AC260" s="46"/>
      <c r="AD260" s="42" t="s">
        <v>734</v>
      </c>
      <c r="AE260" s="42"/>
      <c r="AF260" s="42"/>
      <c r="AG260" s="42"/>
      <c r="AH260" s="42"/>
      <c r="AI260" s="42"/>
      <c r="AJ260" s="42"/>
      <c r="AK260" s="42"/>
      <c r="AL260" s="42"/>
      <c r="AM260" s="42"/>
      <c r="AN260" s="42" t="s">
        <v>734</v>
      </c>
      <c r="AO260" s="42"/>
      <c r="AP260" s="42"/>
      <c r="AQ260" s="42"/>
      <c r="AR260" s="42"/>
      <c r="AS260" s="42"/>
      <c r="AT260" s="42"/>
      <c r="AU260" s="42"/>
      <c r="AV260" s="42"/>
      <c r="AW260" s="42"/>
      <c r="AX260" s="68"/>
      <c r="AY260" s="37"/>
      <c r="AZ260" s="67">
        <f>3*I260</f>
        <v>45</v>
      </c>
      <c r="BA260" s="68"/>
      <c r="BB260" s="68"/>
      <c r="BF260" s="67">
        <f>AZ260*K260</f>
        <v>2115</v>
      </c>
      <c r="BG260" s="69">
        <v>2</v>
      </c>
      <c r="BH260" s="73"/>
      <c r="BI260" s="79"/>
      <c r="BJ260" s="73"/>
      <c r="BK260" s="73"/>
      <c r="BL260" s="73"/>
      <c r="BM260" s="73"/>
      <c r="BN260" s="37"/>
      <c r="BO260" s="70">
        <f t="shared" si="73"/>
        <v>0</v>
      </c>
      <c r="BP260" s="37">
        <v>2</v>
      </c>
      <c r="BQ260" s="37">
        <v>5</v>
      </c>
      <c r="BR260" s="37">
        <v>5</v>
      </c>
      <c r="BS260" s="37">
        <v>6</v>
      </c>
      <c r="BT260" s="87">
        <f t="shared" si="74"/>
        <v>45</v>
      </c>
      <c r="BU260" s="87"/>
      <c r="BV260" s="87"/>
      <c r="BW260" s="87"/>
      <c r="BX260" s="87"/>
      <c r="BY260" s="87"/>
      <c r="BZ260" s="87"/>
      <c r="CA260" s="87"/>
      <c r="CB260" s="87"/>
      <c r="CC260" s="87"/>
      <c r="CD260" s="87"/>
      <c r="CF260" s="67">
        <f t="shared" si="75"/>
        <v>90</v>
      </c>
      <c r="CG260" s="67">
        <f t="shared" si="76"/>
        <v>225</v>
      </c>
      <c r="CH260" s="67">
        <f t="shared" si="77"/>
        <v>225</v>
      </c>
      <c r="CI260" s="67">
        <f t="shared" ref="CI260:CI323" si="82">(BS260*BT260)+(CB260*CD260)</f>
        <v>270</v>
      </c>
      <c r="CJ260" s="37">
        <f t="shared" si="78"/>
        <v>30</v>
      </c>
      <c r="CK260" s="37">
        <f t="shared" si="79"/>
        <v>75</v>
      </c>
      <c r="CL260" s="37">
        <f t="shared" si="80"/>
        <v>75</v>
      </c>
      <c r="CM260" s="37">
        <f t="shared" si="81"/>
        <v>90</v>
      </c>
    </row>
    <row r="261" spans="1:91" ht="25.5">
      <c r="A261" s="3" t="s">
        <v>1180</v>
      </c>
      <c r="B261" s="156">
        <v>255</v>
      </c>
      <c r="C261" s="192">
        <v>201</v>
      </c>
      <c r="D261" s="197">
        <v>230</v>
      </c>
      <c r="E261" s="198">
        <v>0.36805555555555558</v>
      </c>
      <c r="F261" s="198">
        <v>0.41597222222222219</v>
      </c>
      <c r="G261" s="194" t="s">
        <v>544</v>
      </c>
      <c r="H261" s="160" t="s">
        <v>479</v>
      </c>
      <c r="I261" s="197">
        <v>44</v>
      </c>
      <c r="J261" s="195">
        <v>50</v>
      </c>
      <c r="K261" s="199">
        <v>240</v>
      </c>
      <c r="L261" s="166">
        <f t="shared" si="72"/>
        <v>10560</v>
      </c>
      <c r="M261" s="196" t="s">
        <v>744</v>
      </c>
      <c r="N261" s="154" t="s">
        <v>978</v>
      </c>
      <c r="O261" s="154">
        <v>61</v>
      </c>
      <c r="P261" s="154" t="s">
        <v>1920</v>
      </c>
      <c r="Q261" s="154">
        <v>58</v>
      </c>
      <c r="R261" s="154" t="s">
        <v>1261</v>
      </c>
      <c r="S261" s="150">
        <v>65</v>
      </c>
      <c r="T261" s="45">
        <v>1</v>
      </c>
      <c r="U261" s="45" t="s">
        <v>1336</v>
      </c>
      <c r="V261" s="45">
        <v>2290</v>
      </c>
      <c r="W261" s="45" t="s">
        <v>1484</v>
      </c>
      <c r="X261" s="99">
        <v>44816</v>
      </c>
      <c r="Y261" s="99">
        <v>45100</v>
      </c>
      <c r="Z261" s="99"/>
      <c r="AA261" s="99"/>
      <c r="AB261" s="45" t="s">
        <v>1124</v>
      </c>
      <c r="AC261" s="45"/>
      <c r="AD261" s="42" t="s">
        <v>734</v>
      </c>
      <c r="AE261" s="42"/>
      <c r="AF261" s="42" t="s">
        <v>734</v>
      </c>
      <c r="AG261" s="42"/>
      <c r="AH261" s="42" t="s">
        <v>734</v>
      </c>
      <c r="AI261" s="42" t="s">
        <v>734</v>
      </c>
      <c r="AJ261" s="42" t="s">
        <v>734</v>
      </c>
      <c r="AK261" s="42" t="s">
        <v>734</v>
      </c>
      <c r="AL261" s="42" t="s">
        <v>734</v>
      </c>
      <c r="AM261" s="42" t="s">
        <v>734</v>
      </c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68">
        <v>105.6</v>
      </c>
      <c r="AY261" s="37"/>
      <c r="BA261" s="68"/>
      <c r="BB261" s="68"/>
      <c r="BD261" s="67">
        <f>AX261*K261</f>
        <v>25344</v>
      </c>
      <c r="BE261" s="67"/>
      <c r="BF261" s="37"/>
      <c r="BG261" s="69">
        <v>2</v>
      </c>
      <c r="BH261" s="67">
        <f>IF(AND((AX261/I261)&lt;2,BG261=1),(I261*2)-AX261,0)</f>
        <v>0</v>
      </c>
      <c r="BI261" s="67">
        <f>IF(AND((AX261/I261)&lt;3,BG261=2),(I261*3)-AX261,0)</f>
        <v>26.400000000000006</v>
      </c>
      <c r="BJ261" s="70">
        <f>(BH261+BI261)*K261</f>
        <v>6336.0000000000018</v>
      </c>
      <c r="BN261" s="37"/>
      <c r="BO261" s="70">
        <f t="shared" si="73"/>
        <v>0</v>
      </c>
      <c r="BP261" s="37">
        <v>17</v>
      </c>
      <c r="BQ261" s="37">
        <v>26</v>
      </c>
      <c r="BR261" s="37">
        <v>25</v>
      </c>
      <c r="BS261" s="37">
        <v>25</v>
      </c>
      <c r="BT261" s="87">
        <f t="shared" si="74"/>
        <v>132</v>
      </c>
      <c r="BU261" s="87"/>
      <c r="BV261" s="87"/>
      <c r="BW261" s="87"/>
      <c r="BX261" s="87"/>
      <c r="BY261" s="87"/>
      <c r="BZ261" s="87"/>
      <c r="CA261" s="87"/>
      <c r="CB261" s="87"/>
      <c r="CC261" s="87"/>
      <c r="CD261" s="87"/>
      <c r="CF261" s="67">
        <f t="shared" si="75"/>
        <v>2244</v>
      </c>
      <c r="CG261" s="67">
        <f t="shared" si="76"/>
        <v>3432</v>
      </c>
      <c r="CH261" s="67">
        <f t="shared" si="77"/>
        <v>3300</v>
      </c>
      <c r="CI261" s="67">
        <f t="shared" si="82"/>
        <v>3300</v>
      </c>
      <c r="CJ261" s="37">
        <f t="shared" si="78"/>
        <v>748</v>
      </c>
      <c r="CK261" s="37">
        <f t="shared" si="79"/>
        <v>1144</v>
      </c>
      <c r="CL261" s="37">
        <f t="shared" si="80"/>
        <v>1100</v>
      </c>
      <c r="CM261" s="37">
        <f t="shared" si="81"/>
        <v>1100</v>
      </c>
    </row>
    <row r="262" spans="1:91" ht="33.75">
      <c r="A262" s="3" t="s">
        <v>804</v>
      </c>
      <c r="B262" s="156">
        <v>256</v>
      </c>
      <c r="C262" s="192">
        <v>201</v>
      </c>
      <c r="D262" s="197">
        <v>351</v>
      </c>
      <c r="E262" s="198">
        <v>0.375</v>
      </c>
      <c r="F262" s="198">
        <v>0.38750000000000001</v>
      </c>
      <c r="G262" s="194" t="s">
        <v>539</v>
      </c>
      <c r="H262" s="160" t="s">
        <v>479</v>
      </c>
      <c r="I262" s="192">
        <v>15</v>
      </c>
      <c r="J262" s="195">
        <v>50</v>
      </c>
      <c r="K262" s="199">
        <v>240</v>
      </c>
      <c r="L262" s="166">
        <f t="shared" si="72"/>
        <v>3600</v>
      </c>
      <c r="M262" s="167" t="s">
        <v>751</v>
      </c>
      <c r="N262" s="150" t="s">
        <v>837</v>
      </c>
      <c r="O262" s="150">
        <v>57</v>
      </c>
      <c r="P262" s="150" t="s">
        <v>836</v>
      </c>
      <c r="Q262" s="150">
        <v>57</v>
      </c>
      <c r="R262" s="221" t="s">
        <v>2080</v>
      </c>
      <c r="S262" s="221" t="s">
        <v>2081</v>
      </c>
      <c r="T262" s="45">
        <v>2290</v>
      </c>
      <c r="U262" s="45" t="s">
        <v>1484</v>
      </c>
      <c r="V262" s="45">
        <v>2180</v>
      </c>
      <c r="W262" s="45" t="s">
        <v>1483</v>
      </c>
      <c r="X262" s="99">
        <v>44816</v>
      </c>
      <c r="Y262" s="99">
        <v>45100</v>
      </c>
      <c r="Z262" s="99"/>
      <c r="AA262" s="99"/>
      <c r="AB262" s="45" t="s">
        <v>1124</v>
      </c>
      <c r="AC262" s="45"/>
      <c r="AD262" s="42" t="s">
        <v>734</v>
      </c>
      <c r="AE262" s="42"/>
      <c r="AF262" s="42" t="s">
        <v>734</v>
      </c>
      <c r="AG262" s="42"/>
      <c r="AH262" s="42" t="s">
        <v>734</v>
      </c>
      <c r="AI262" s="42" t="s">
        <v>734</v>
      </c>
      <c r="AJ262" s="42" t="s">
        <v>734</v>
      </c>
      <c r="AK262" s="42" t="s">
        <v>734</v>
      </c>
      <c r="AL262" s="42" t="s">
        <v>734</v>
      </c>
      <c r="AM262" s="42" t="s">
        <v>734</v>
      </c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68"/>
      <c r="AY262" s="37"/>
      <c r="AZ262" s="67">
        <f>3*I262</f>
        <v>45</v>
      </c>
      <c r="BA262" s="68"/>
      <c r="BB262" s="68"/>
      <c r="BF262" s="67">
        <f>AZ262*K262</f>
        <v>10800</v>
      </c>
      <c r="BG262" s="69">
        <v>2</v>
      </c>
      <c r="BH262" s="73"/>
      <c r="BI262" s="79"/>
      <c r="BJ262" s="73"/>
      <c r="BK262" s="73"/>
      <c r="BL262" s="73"/>
      <c r="BM262" s="73"/>
      <c r="BN262" s="37"/>
      <c r="BO262" s="70">
        <f t="shared" si="73"/>
        <v>0</v>
      </c>
      <c r="BP262" s="37">
        <v>17</v>
      </c>
      <c r="BQ262" s="37">
        <v>26</v>
      </c>
      <c r="BR262" s="37">
        <v>25</v>
      </c>
      <c r="BS262" s="37">
        <v>25</v>
      </c>
      <c r="BT262" s="87">
        <f t="shared" si="74"/>
        <v>45</v>
      </c>
      <c r="BU262" s="87"/>
      <c r="BV262" s="87"/>
      <c r="BW262" s="87"/>
      <c r="BX262" s="87"/>
      <c r="BY262" s="87"/>
      <c r="BZ262" s="87"/>
      <c r="CA262" s="87"/>
      <c r="CB262" s="87"/>
      <c r="CC262" s="87"/>
      <c r="CD262" s="87"/>
      <c r="CF262" s="67">
        <f t="shared" si="75"/>
        <v>765</v>
      </c>
      <c r="CG262" s="67">
        <f t="shared" si="76"/>
        <v>1170</v>
      </c>
      <c r="CH262" s="67">
        <f t="shared" si="77"/>
        <v>1125</v>
      </c>
      <c r="CI262" s="67">
        <f t="shared" si="82"/>
        <v>1125</v>
      </c>
      <c r="CJ262" s="37">
        <f t="shared" si="78"/>
        <v>255</v>
      </c>
      <c r="CK262" s="37">
        <f t="shared" si="79"/>
        <v>390</v>
      </c>
      <c r="CL262" s="37">
        <f t="shared" si="80"/>
        <v>375</v>
      </c>
      <c r="CM262" s="37">
        <f t="shared" si="81"/>
        <v>375</v>
      </c>
    </row>
    <row r="263" spans="1:91" ht="33.75">
      <c r="A263" s="3" t="s">
        <v>804</v>
      </c>
      <c r="B263" s="156">
        <v>257</v>
      </c>
      <c r="C263" s="192">
        <v>201</v>
      </c>
      <c r="D263" s="197">
        <v>351</v>
      </c>
      <c r="E263" s="198">
        <v>0.375</v>
      </c>
      <c r="F263" s="198">
        <v>0.38750000000000001</v>
      </c>
      <c r="G263" s="194" t="s">
        <v>539</v>
      </c>
      <c r="H263" s="160" t="s">
        <v>444</v>
      </c>
      <c r="I263" s="192">
        <v>15</v>
      </c>
      <c r="J263" s="195">
        <v>50</v>
      </c>
      <c r="K263" s="199">
        <v>47</v>
      </c>
      <c r="L263" s="166">
        <f t="shared" si="72"/>
        <v>705</v>
      </c>
      <c r="M263" s="167" t="s">
        <v>751</v>
      </c>
      <c r="N263" s="150" t="s">
        <v>837</v>
      </c>
      <c r="O263" s="150">
        <v>57</v>
      </c>
      <c r="P263" s="150" t="s">
        <v>836</v>
      </c>
      <c r="Q263" s="150">
        <v>57</v>
      </c>
      <c r="R263" s="221" t="s">
        <v>2080</v>
      </c>
      <c r="S263" s="221" t="s">
        <v>2081</v>
      </c>
      <c r="T263" s="45">
        <v>2290</v>
      </c>
      <c r="U263" s="45" t="s">
        <v>1484</v>
      </c>
      <c r="V263" s="45">
        <v>2180</v>
      </c>
      <c r="W263" s="45" t="s">
        <v>1483</v>
      </c>
      <c r="X263" s="99">
        <v>44816</v>
      </c>
      <c r="Y263" s="99">
        <v>45100</v>
      </c>
      <c r="Z263" s="99"/>
      <c r="AA263" s="99"/>
      <c r="AB263" s="46" t="s">
        <v>1115</v>
      </c>
      <c r="AC263" s="46"/>
      <c r="AD263" s="42" t="s">
        <v>734</v>
      </c>
      <c r="AE263" s="42"/>
      <c r="AF263" s="42"/>
      <c r="AG263" s="42"/>
      <c r="AH263" s="42"/>
      <c r="AI263" s="42"/>
      <c r="AJ263" s="42"/>
      <c r="AK263" s="42"/>
      <c r="AL263" s="42"/>
      <c r="AM263" s="42"/>
      <c r="AN263" s="42" t="s">
        <v>734</v>
      </c>
      <c r="AO263" s="42"/>
      <c r="AP263" s="42"/>
      <c r="AQ263" s="42"/>
      <c r="AR263" s="42"/>
      <c r="AS263" s="42"/>
      <c r="AT263" s="42"/>
      <c r="AU263" s="42"/>
      <c r="AV263" s="42"/>
      <c r="AW263" s="42"/>
      <c r="AX263" s="68"/>
      <c r="AY263" s="37"/>
      <c r="AZ263" s="67">
        <f>3*I263</f>
        <v>45</v>
      </c>
      <c r="BA263" s="68"/>
      <c r="BB263" s="68"/>
      <c r="BF263" s="67">
        <f>AZ263*K263</f>
        <v>2115</v>
      </c>
      <c r="BG263" s="69">
        <v>2</v>
      </c>
      <c r="BH263" s="73"/>
      <c r="BI263" s="79"/>
      <c r="BJ263" s="73"/>
      <c r="BK263" s="73"/>
      <c r="BL263" s="73"/>
      <c r="BM263" s="73"/>
      <c r="BN263" s="37"/>
      <c r="BO263" s="70">
        <f t="shared" si="73"/>
        <v>0</v>
      </c>
      <c r="BP263" s="37">
        <v>2</v>
      </c>
      <c r="BQ263" s="37">
        <v>5</v>
      </c>
      <c r="BR263" s="37">
        <v>5</v>
      </c>
      <c r="BS263" s="37">
        <v>6</v>
      </c>
      <c r="BT263" s="87">
        <f t="shared" si="74"/>
        <v>45</v>
      </c>
      <c r="BU263" s="87"/>
      <c r="BV263" s="87"/>
      <c r="BW263" s="87"/>
      <c r="BX263" s="87"/>
      <c r="BY263" s="87"/>
      <c r="BZ263" s="87"/>
      <c r="CA263" s="87"/>
      <c r="CB263" s="87"/>
      <c r="CC263" s="87"/>
      <c r="CD263" s="87"/>
      <c r="CF263" s="67">
        <f t="shared" si="75"/>
        <v>90</v>
      </c>
      <c r="CG263" s="67">
        <f t="shared" si="76"/>
        <v>225</v>
      </c>
      <c r="CH263" s="67">
        <f t="shared" si="77"/>
        <v>225</v>
      </c>
      <c r="CI263" s="67">
        <f t="shared" si="82"/>
        <v>270</v>
      </c>
      <c r="CJ263" s="37">
        <f t="shared" si="78"/>
        <v>30</v>
      </c>
      <c r="CK263" s="37">
        <f t="shared" si="79"/>
        <v>75</v>
      </c>
      <c r="CL263" s="37">
        <f t="shared" si="80"/>
        <v>75</v>
      </c>
      <c r="CM263" s="37">
        <f t="shared" si="81"/>
        <v>90</v>
      </c>
    </row>
    <row r="264" spans="1:91" ht="33.75">
      <c r="A264" s="3" t="s">
        <v>804</v>
      </c>
      <c r="B264" s="156">
        <v>258</v>
      </c>
      <c r="C264" s="192">
        <v>201</v>
      </c>
      <c r="D264" s="197">
        <v>520</v>
      </c>
      <c r="E264" s="198">
        <v>0.39861111111111108</v>
      </c>
      <c r="F264" s="198">
        <v>0.41111111111111115</v>
      </c>
      <c r="G264" s="194" t="s">
        <v>540</v>
      </c>
      <c r="H264" s="160" t="s">
        <v>479</v>
      </c>
      <c r="I264" s="192">
        <v>15</v>
      </c>
      <c r="J264" s="195">
        <v>50</v>
      </c>
      <c r="K264" s="199">
        <v>240</v>
      </c>
      <c r="L264" s="166">
        <f t="shared" si="72"/>
        <v>3600</v>
      </c>
      <c r="M264" s="167" t="s">
        <v>751</v>
      </c>
      <c r="N264" s="150" t="s">
        <v>837</v>
      </c>
      <c r="O264" s="150">
        <v>57</v>
      </c>
      <c r="P264" s="150" t="s">
        <v>836</v>
      </c>
      <c r="Q264" s="150">
        <v>57</v>
      </c>
      <c r="R264" s="221" t="s">
        <v>2080</v>
      </c>
      <c r="S264" s="221" t="s">
        <v>2081</v>
      </c>
      <c r="T264" s="45">
        <v>2180</v>
      </c>
      <c r="U264" s="45" t="s">
        <v>1483</v>
      </c>
      <c r="V264" s="45">
        <v>2290</v>
      </c>
      <c r="W264" s="45" t="s">
        <v>1484</v>
      </c>
      <c r="X264" s="99">
        <v>44816</v>
      </c>
      <c r="Y264" s="99">
        <v>45100</v>
      </c>
      <c r="Z264" s="99"/>
      <c r="AA264" s="99"/>
      <c r="AB264" s="45" t="s">
        <v>1124</v>
      </c>
      <c r="AC264" s="45"/>
      <c r="AD264" s="42" t="s">
        <v>734</v>
      </c>
      <c r="AE264" s="42"/>
      <c r="AF264" s="42" t="s">
        <v>734</v>
      </c>
      <c r="AG264" s="42"/>
      <c r="AH264" s="42" t="s">
        <v>734</v>
      </c>
      <c r="AI264" s="42" t="s">
        <v>734</v>
      </c>
      <c r="AJ264" s="42" t="s">
        <v>734</v>
      </c>
      <c r="AK264" s="42" t="s">
        <v>734</v>
      </c>
      <c r="AL264" s="42" t="s">
        <v>734</v>
      </c>
      <c r="AM264" s="42" t="s">
        <v>734</v>
      </c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68"/>
      <c r="AY264" s="37"/>
      <c r="AZ264" s="67">
        <f>3*I264</f>
        <v>45</v>
      </c>
      <c r="BA264" s="68"/>
      <c r="BB264" s="68"/>
      <c r="BF264" s="67">
        <f>AZ264*K264</f>
        <v>10800</v>
      </c>
      <c r="BG264" s="69">
        <v>2</v>
      </c>
      <c r="BH264" s="73"/>
      <c r="BI264" s="79"/>
      <c r="BJ264" s="73"/>
      <c r="BK264" s="73"/>
      <c r="BL264" s="73"/>
      <c r="BM264" s="73"/>
      <c r="BN264" s="37"/>
      <c r="BO264" s="70">
        <f t="shared" si="73"/>
        <v>0</v>
      </c>
      <c r="BP264" s="37">
        <v>17</v>
      </c>
      <c r="BQ264" s="37">
        <v>26</v>
      </c>
      <c r="BR264" s="37">
        <v>25</v>
      </c>
      <c r="BS264" s="37">
        <v>25</v>
      </c>
      <c r="BT264" s="87">
        <f t="shared" si="74"/>
        <v>45</v>
      </c>
      <c r="BU264" s="87"/>
      <c r="BV264" s="87"/>
      <c r="BW264" s="87"/>
      <c r="BX264" s="87"/>
      <c r="BY264" s="87"/>
      <c r="BZ264" s="87"/>
      <c r="CA264" s="87"/>
      <c r="CB264" s="87"/>
      <c r="CC264" s="87"/>
      <c r="CD264" s="87"/>
      <c r="CF264" s="67">
        <f t="shared" si="75"/>
        <v>765</v>
      </c>
      <c r="CG264" s="67">
        <f t="shared" si="76"/>
        <v>1170</v>
      </c>
      <c r="CH264" s="67">
        <f t="shared" si="77"/>
        <v>1125</v>
      </c>
      <c r="CI264" s="67">
        <f t="shared" si="82"/>
        <v>1125</v>
      </c>
      <c r="CJ264" s="37">
        <f t="shared" si="78"/>
        <v>255</v>
      </c>
      <c r="CK264" s="37">
        <f t="shared" si="79"/>
        <v>390</v>
      </c>
      <c r="CL264" s="37">
        <f t="shared" si="80"/>
        <v>375</v>
      </c>
      <c r="CM264" s="37">
        <f t="shared" si="81"/>
        <v>375</v>
      </c>
    </row>
    <row r="265" spans="1:91" ht="25.5">
      <c r="A265" s="3" t="s">
        <v>803</v>
      </c>
      <c r="B265" s="156">
        <v>259</v>
      </c>
      <c r="C265" s="192">
        <v>201</v>
      </c>
      <c r="D265" s="192">
        <v>65</v>
      </c>
      <c r="E265" s="198">
        <v>0.41666666666666669</v>
      </c>
      <c r="F265" s="198">
        <v>0.4291666666666667</v>
      </c>
      <c r="G265" s="194" t="s">
        <v>539</v>
      </c>
      <c r="H265" s="160" t="s">
        <v>550</v>
      </c>
      <c r="I265" s="192">
        <v>16</v>
      </c>
      <c r="J265" s="195">
        <v>50</v>
      </c>
      <c r="K265" s="199">
        <v>13</v>
      </c>
      <c r="L265" s="166">
        <f t="shared" si="72"/>
        <v>208</v>
      </c>
      <c r="M265" s="186" t="s">
        <v>745</v>
      </c>
      <c r="N265" s="3" t="s">
        <v>1262</v>
      </c>
      <c r="O265" s="151">
        <v>58</v>
      </c>
      <c r="P265" s="154" t="s">
        <v>1921</v>
      </c>
      <c r="Q265" s="154">
        <v>56</v>
      </c>
      <c r="T265" s="45">
        <v>2290</v>
      </c>
      <c r="U265" s="45" t="s">
        <v>1484</v>
      </c>
      <c r="V265" s="45">
        <v>2180</v>
      </c>
      <c r="W265" s="45" t="s">
        <v>1483</v>
      </c>
      <c r="X265" s="99">
        <v>44562</v>
      </c>
      <c r="Y265" s="99">
        <v>44815</v>
      </c>
      <c r="Z265" s="99">
        <v>45101</v>
      </c>
      <c r="AA265" s="99">
        <v>45169</v>
      </c>
      <c r="AB265" s="36" t="s">
        <v>1116</v>
      </c>
      <c r="AC265" s="36"/>
      <c r="AD265" s="42"/>
      <c r="AE265" s="42" t="s">
        <v>734</v>
      </c>
      <c r="AF265" s="42"/>
      <c r="AG265" s="42"/>
      <c r="AH265" s="42"/>
      <c r="AI265" s="42"/>
      <c r="AJ265" s="42"/>
      <c r="AK265" s="42"/>
      <c r="AL265" s="42"/>
      <c r="AM265" s="42"/>
      <c r="AN265" s="42" t="s">
        <v>734</v>
      </c>
      <c r="AO265" s="42"/>
      <c r="AP265" s="42"/>
      <c r="AQ265" s="42"/>
      <c r="AR265" s="42"/>
      <c r="AS265" s="42"/>
      <c r="AT265" s="42"/>
      <c r="AU265" s="42"/>
      <c r="AV265" s="42"/>
      <c r="AW265" s="42"/>
      <c r="AX265" s="68"/>
      <c r="BB265" s="38" t="s">
        <v>1021</v>
      </c>
      <c r="BD265" s="67">
        <f>AX265*K265</f>
        <v>0</v>
      </c>
      <c r="BF265" s="37"/>
      <c r="BG265" s="69">
        <v>2</v>
      </c>
      <c r="BI265" s="67"/>
      <c r="BJ265" s="37"/>
      <c r="BN265" s="37"/>
      <c r="BO265" s="70">
        <f t="shared" si="73"/>
        <v>0</v>
      </c>
      <c r="BP265" s="37">
        <v>2</v>
      </c>
      <c r="BQ265" s="37">
        <v>0</v>
      </c>
      <c r="BR265" s="37">
        <v>0</v>
      </c>
      <c r="BT265" s="87">
        <f t="shared" si="74"/>
        <v>0</v>
      </c>
      <c r="BU265" s="87" t="s">
        <v>1116</v>
      </c>
      <c r="BV265" s="127">
        <v>2</v>
      </c>
      <c r="BW265" s="127"/>
      <c r="BX265" s="127">
        <v>0</v>
      </c>
      <c r="BY265" s="127"/>
      <c r="BZ265" s="127">
        <v>0</v>
      </c>
      <c r="CA265" s="127"/>
      <c r="CB265" s="127">
        <v>0</v>
      </c>
      <c r="CC265" s="127"/>
      <c r="CD265" s="87">
        <v>400</v>
      </c>
      <c r="CF265" s="67">
        <f t="shared" si="75"/>
        <v>800</v>
      </c>
      <c r="CG265" s="67">
        <f t="shared" si="76"/>
        <v>0</v>
      </c>
      <c r="CH265" s="67">
        <f t="shared" si="77"/>
        <v>0</v>
      </c>
      <c r="CI265" s="67">
        <f t="shared" si="82"/>
        <v>0</v>
      </c>
      <c r="CJ265" s="37">
        <f t="shared" si="78"/>
        <v>32</v>
      </c>
      <c r="CK265" s="37">
        <f t="shared" si="79"/>
        <v>0</v>
      </c>
      <c r="CL265" s="37">
        <f t="shared" si="80"/>
        <v>0</v>
      </c>
      <c r="CM265" s="37">
        <f t="shared" si="81"/>
        <v>0</v>
      </c>
    </row>
    <row r="266" spans="1:91" ht="33.75">
      <c r="A266" s="3" t="s">
        <v>804</v>
      </c>
      <c r="B266" s="156">
        <v>260</v>
      </c>
      <c r="C266" s="192">
        <v>201</v>
      </c>
      <c r="D266" s="197">
        <v>65</v>
      </c>
      <c r="E266" s="198">
        <v>0.41666666666666669</v>
      </c>
      <c r="F266" s="198">
        <v>0.4291666666666667</v>
      </c>
      <c r="G266" s="194" t="s">
        <v>539</v>
      </c>
      <c r="H266" s="160" t="s">
        <v>479</v>
      </c>
      <c r="I266" s="192">
        <v>15</v>
      </c>
      <c r="J266" s="195">
        <v>50</v>
      </c>
      <c r="K266" s="199">
        <v>240</v>
      </c>
      <c r="L266" s="166">
        <f t="shared" si="72"/>
        <v>3600</v>
      </c>
      <c r="M266" s="167" t="s">
        <v>751</v>
      </c>
      <c r="N266" s="150" t="s">
        <v>837</v>
      </c>
      <c r="O266" s="150">
        <v>57</v>
      </c>
      <c r="P266" s="150" t="s">
        <v>836</v>
      </c>
      <c r="Q266" s="150">
        <v>57</v>
      </c>
      <c r="R266" s="221" t="s">
        <v>2080</v>
      </c>
      <c r="S266" s="221" t="s">
        <v>2081</v>
      </c>
      <c r="T266" s="45">
        <v>2290</v>
      </c>
      <c r="U266" s="45" t="s">
        <v>1484</v>
      </c>
      <c r="V266" s="45">
        <v>2180</v>
      </c>
      <c r="W266" s="45" t="s">
        <v>1483</v>
      </c>
      <c r="X266" s="99">
        <v>44816</v>
      </c>
      <c r="Y266" s="99">
        <v>45100</v>
      </c>
      <c r="Z266" s="99"/>
      <c r="AA266" s="99"/>
      <c r="AB266" s="45" t="s">
        <v>1124</v>
      </c>
      <c r="AC266" s="45"/>
      <c r="AD266" s="42" t="s">
        <v>734</v>
      </c>
      <c r="AE266" s="42"/>
      <c r="AF266" s="42" t="s">
        <v>734</v>
      </c>
      <c r="AG266" s="42"/>
      <c r="AH266" s="42" t="s">
        <v>734</v>
      </c>
      <c r="AI266" s="42" t="s">
        <v>734</v>
      </c>
      <c r="AJ266" s="42" t="s">
        <v>734</v>
      </c>
      <c r="AK266" s="42" t="s">
        <v>734</v>
      </c>
      <c r="AL266" s="42" t="s">
        <v>734</v>
      </c>
      <c r="AM266" s="42" t="s">
        <v>734</v>
      </c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68"/>
      <c r="AZ266" s="67">
        <f>3*I266</f>
        <v>45</v>
      </c>
      <c r="BA266" s="68"/>
      <c r="BB266" s="68"/>
      <c r="BF266" s="67">
        <f>AZ266*K266</f>
        <v>10800</v>
      </c>
      <c r="BG266" s="69">
        <v>2</v>
      </c>
      <c r="BH266" s="73"/>
      <c r="BI266" s="79"/>
      <c r="BJ266" s="73"/>
      <c r="BK266" s="73"/>
      <c r="BL266" s="73"/>
      <c r="BM266" s="73"/>
      <c r="BN266" s="37"/>
      <c r="BO266" s="70">
        <f t="shared" si="73"/>
        <v>0</v>
      </c>
      <c r="BP266" s="37">
        <v>17</v>
      </c>
      <c r="BQ266" s="37">
        <v>26</v>
      </c>
      <c r="BR266" s="37">
        <v>25</v>
      </c>
      <c r="BS266" s="37">
        <v>25</v>
      </c>
      <c r="BT266" s="87">
        <f t="shared" si="74"/>
        <v>45</v>
      </c>
      <c r="BU266" s="87"/>
      <c r="BV266" s="87"/>
      <c r="BW266" s="87"/>
      <c r="BX266" s="87"/>
      <c r="BY266" s="87"/>
      <c r="BZ266" s="87"/>
      <c r="CA266" s="87"/>
      <c r="CB266" s="87"/>
      <c r="CC266" s="87"/>
      <c r="CD266" s="87"/>
      <c r="CF266" s="67">
        <f t="shared" si="75"/>
        <v>765</v>
      </c>
      <c r="CG266" s="67">
        <f t="shared" si="76"/>
        <v>1170</v>
      </c>
      <c r="CH266" s="67">
        <f t="shared" si="77"/>
        <v>1125</v>
      </c>
      <c r="CI266" s="67">
        <f t="shared" si="82"/>
        <v>1125</v>
      </c>
      <c r="CJ266" s="37">
        <f t="shared" si="78"/>
        <v>255</v>
      </c>
      <c r="CK266" s="37">
        <f t="shared" si="79"/>
        <v>390</v>
      </c>
      <c r="CL266" s="37">
        <f t="shared" si="80"/>
        <v>375</v>
      </c>
      <c r="CM266" s="37">
        <f t="shared" si="81"/>
        <v>375</v>
      </c>
    </row>
    <row r="267" spans="1:91" ht="33.75">
      <c r="A267" s="3" t="s">
        <v>804</v>
      </c>
      <c r="B267" s="156">
        <v>261</v>
      </c>
      <c r="C267" s="192">
        <v>201</v>
      </c>
      <c r="D267" s="197">
        <v>65</v>
      </c>
      <c r="E267" s="198">
        <v>0.41666666666666669</v>
      </c>
      <c r="F267" s="198">
        <v>0.4291666666666667</v>
      </c>
      <c r="G267" s="194" t="s">
        <v>539</v>
      </c>
      <c r="H267" s="160" t="s">
        <v>444</v>
      </c>
      <c r="I267" s="192">
        <v>15</v>
      </c>
      <c r="J267" s="195">
        <v>50</v>
      </c>
      <c r="K267" s="199">
        <v>47</v>
      </c>
      <c r="L267" s="166">
        <f t="shared" si="72"/>
        <v>705</v>
      </c>
      <c r="M267" s="167" t="s">
        <v>751</v>
      </c>
      <c r="N267" s="150" t="s">
        <v>837</v>
      </c>
      <c r="O267" s="150">
        <v>57</v>
      </c>
      <c r="P267" s="150" t="s">
        <v>836</v>
      </c>
      <c r="Q267" s="150">
        <v>57</v>
      </c>
      <c r="R267" s="221" t="s">
        <v>2080</v>
      </c>
      <c r="S267" s="221" t="s">
        <v>2081</v>
      </c>
      <c r="T267" s="45">
        <v>2290</v>
      </c>
      <c r="U267" s="45" t="s">
        <v>1484</v>
      </c>
      <c r="V267" s="45">
        <v>2180</v>
      </c>
      <c r="W267" s="45" t="s">
        <v>1483</v>
      </c>
      <c r="X267" s="99">
        <v>44816</v>
      </c>
      <c r="Y267" s="99">
        <v>45100</v>
      </c>
      <c r="Z267" s="99"/>
      <c r="AA267" s="99"/>
      <c r="AB267" s="46" t="s">
        <v>1115</v>
      </c>
      <c r="AC267" s="46"/>
      <c r="AD267" s="42" t="s">
        <v>734</v>
      </c>
      <c r="AE267" s="42"/>
      <c r="AF267" s="42"/>
      <c r="AG267" s="42"/>
      <c r="AH267" s="42"/>
      <c r="AI267" s="42"/>
      <c r="AJ267" s="42"/>
      <c r="AK267" s="42"/>
      <c r="AL267" s="42"/>
      <c r="AM267" s="42"/>
      <c r="AN267" s="42" t="s">
        <v>734</v>
      </c>
      <c r="AO267" s="42"/>
      <c r="AP267" s="42"/>
      <c r="AQ267" s="42"/>
      <c r="AR267" s="42"/>
      <c r="AS267" s="42"/>
      <c r="AT267" s="42"/>
      <c r="AU267" s="42"/>
      <c r="AV267" s="42"/>
      <c r="AW267" s="42"/>
      <c r="AX267" s="68"/>
      <c r="AZ267" s="67">
        <f>3*I267</f>
        <v>45</v>
      </c>
      <c r="BA267" s="68"/>
      <c r="BB267" s="68"/>
      <c r="BF267" s="67">
        <f>AZ267*K267</f>
        <v>2115</v>
      </c>
      <c r="BG267" s="69">
        <v>2</v>
      </c>
      <c r="BH267" s="73"/>
      <c r="BI267" s="79"/>
      <c r="BJ267" s="73"/>
      <c r="BK267" s="73"/>
      <c r="BL267" s="73"/>
      <c r="BM267" s="73"/>
      <c r="BN267" s="37"/>
      <c r="BO267" s="70">
        <f t="shared" si="73"/>
        <v>0</v>
      </c>
      <c r="BP267" s="37">
        <v>2</v>
      </c>
      <c r="BQ267" s="37">
        <v>5</v>
      </c>
      <c r="BR267" s="37">
        <v>5</v>
      </c>
      <c r="BS267" s="37">
        <v>6</v>
      </c>
      <c r="BT267" s="87">
        <f t="shared" si="74"/>
        <v>45</v>
      </c>
      <c r="BU267" s="87"/>
      <c r="BV267" s="87"/>
      <c r="BW267" s="87"/>
      <c r="BX267" s="87"/>
      <c r="BY267" s="87"/>
      <c r="BZ267" s="87"/>
      <c r="CA267" s="87"/>
      <c r="CB267" s="87"/>
      <c r="CC267" s="87"/>
      <c r="CD267" s="87"/>
      <c r="CF267" s="67">
        <f t="shared" si="75"/>
        <v>90</v>
      </c>
      <c r="CG267" s="67">
        <f t="shared" si="76"/>
        <v>225</v>
      </c>
      <c r="CH267" s="67">
        <f t="shared" si="77"/>
        <v>225</v>
      </c>
      <c r="CI267" s="67">
        <f t="shared" si="82"/>
        <v>270</v>
      </c>
      <c r="CJ267" s="37">
        <f t="shared" si="78"/>
        <v>30</v>
      </c>
      <c r="CK267" s="37">
        <f t="shared" si="79"/>
        <v>75</v>
      </c>
      <c r="CL267" s="37">
        <f t="shared" si="80"/>
        <v>75</v>
      </c>
      <c r="CM267" s="37">
        <f t="shared" si="81"/>
        <v>90</v>
      </c>
    </row>
    <row r="268" spans="1:91" ht="33.75">
      <c r="A268" s="3" t="s">
        <v>804</v>
      </c>
      <c r="B268" s="156">
        <v>262</v>
      </c>
      <c r="C268" s="192">
        <v>201</v>
      </c>
      <c r="D268" s="197">
        <v>522</v>
      </c>
      <c r="E268" s="198">
        <v>0.44027777777777777</v>
      </c>
      <c r="F268" s="198">
        <v>0.45277777777777778</v>
      </c>
      <c r="G268" s="194" t="s">
        <v>540</v>
      </c>
      <c r="H268" s="160" t="s">
        <v>479</v>
      </c>
      <c r="I268" s="192">
        <v>15</v>
      </c>
      <c r="J268" s="195">
        <v>50</v>
      </c>
      <c r="K268" s="199">
        <v>240</v>
      </c>
      <c r="L268" s="166">
        <f t="shared" si="72"/>
        <v>3600</v>
      </c>
      <c r="M268" s="167" t="s">
        <v>751</v>
      </c>
      <c r="N268" s="150" t="s">
        <v>837</v>
      </c>
      <c r="O268" s="150">
        <v>57</v>
      </c>
      <c r="P268" s="150" t="s">
        <v>836</v>
      </c>
      <c r="Q268" s="150">
        <v>57</v>
      </c>
      <c r="R268" s="221" t="s">
        <v>2080</v>
      </c>
      <c r="S268" s="221" t="s">
        <v>2081</v>
      </c>
      <c r="T268" s="45">
        <v>2180</v>
      </c>
      <c r="U268" s="45" t="s">
        <v>1483</v>
      </c>
      <c r="V268" s="45">
        <v>2290</v>
      </c>
      <c r="W268" s="45" t="s">
        <v>1484</v>
      </c>
      <c r="X268" s="99">
        <v>44816</v>
      </c>
      <c r="Y268" s="99">
        <v>45100</v>
      </c>
      <c r="Z268" s="99"/>
      <c r="AA268" s="99"/>
      <c r="AB268" s="45" t="s">
        <v>1124</v>
      </c>
      <c r="AC268" s="45"/>
      <c r="AD268" s="42" t="s">
        <v>734</v>
      </c>
      <c r="AE268" s="42"/>
      <c r="AF268" s="42" t="s">
        <v>734</v>
      </c>
      <c r="AG268" s="42"/>
      <c r="AH268" s="42" t="s">
        <v>734</v>
      </c>
      <c r="AI268" s="42" t="s">
        <v>734</v>
      </c>
      <c r="AJ268" s="42" t="s">
        <v>734</v>
      </c>
      <c r="AK268" s="42" t="s">
        <v>734</v>
      </c>
      <c r="AL268" s="42" t="s">
        <v>734</v>
      </c>
      <c r="AM268" s="42" t="s">
        <v>734</v>
      </c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68"/>
      <c r="AZ268" s="67">
        <f>3*I268</f>
        <v>45</v>
      </c>
      <c r="BA268" s="68"/>
      <c r="BB268" s="68"/>
      <c r="BF268" s="67">
        <f>AZ268*K268</f>
        <v>10800</v>
      </c>
      <c r="BG268" s="69">
        <v>2</v>
      </c>
      <c r="BH268" s="73"/>
      <c r="BI268" s="79"/>
      <c r="BJ268" s="73"/>
      <c r="BK268" s="73"/>
      <c r="BL268" s="73"/>
      <c r="BM268" s="73"/>
      <c r="BN268" s="37"/>
      <c r="BO268" s="70">
        <f t="shared" si="73"/>
        <v>0</v>
      </c>
      <c r="BP268" s="37">
        <v>17</v>
      </c>
      <c r="BQ268" s="37">
        <v>26</v>
      </c>
      <c r="BR268" s="37">
        <v>25</v>
      </c>
      <c r="BS268" s="37">
        <v>25</v>
      </c>
      <c r="BT268" s="87">
        <f t="shared" si="74"/>
        <v>45</v>
      </c>
      <c r="BU268" s="87"/>
      <c r="BV268" s="87"/>
      <c r="BW268" s="87"/>
      <c r="BX268" s="87"/>
      <c r="BY268" s="87"/>
      <c r="BZ268" s="87"/>
      <c r="CA268" s="87"/>
      <c r="CB268" s="87"/>
      <c r="CC268" s="87"/>
      <c r="CD268" s="87"/>
      <c r="CF268" s="67">
        <f t="shared" si="75"/>
        <v>765</v>
      </c>
      <c r="CG268" s="67">
        <f t="shared" si="76"/>
        <v>1170</v>
      </c>
      <c r="CH268" s="67">
        <f t="shared" si="77"/>
        <v>1125</v>
      </c>
      <c r="CI268" s="67">
        <f t="shared" si="82"/>
        <v>1125</v>
      </c>
      <c r="CJ268" s="37">
        <f t="shared" si="78"/>
        <v>255</v>
      </c>
      <c r="CK268" s="37">
        <f t="shared" si="79"/>
        <v>390</v>
      </c>
      <c r="CL268" s="37">
        <f t="shared" si="80"/>
        <v>375</v>
      </c>
      <c r="CM268" s="37">
        <f t="shared" si="81"/>
        <v>375</v>
      </c>
    </row>
    <row r="269" spans="1:91" ht="33.75">
      <c r="A269" s="3" t="s">
        <v>804</v>
      </c>
      <c r="B269" s="156">
        <v>263</v>
      </c>
      <c r="C269" s="192">
        <v>201</v>
      </c>
      <c r="D269" s="197">
        <v>522</v>
      </c>
      <c r="E269" s="198">
        <v>0.45208333333333334</v>
      </c>
      <c r="F269" s="198">
        <v>0.46458333333333335</v>
      </c>
      <c r="G269" s="194" t="s">
        <v>540</v>
      </c>
      <c r="H269" s="160" t="s">
        <v>444</v>
      </c>
      <c r="I269" s="192">
        <v>15</v>
      </c>
      <c r="J269" s="195">
        <v>50</v>
      </c>
      <c r="K269" s="199">
        <v>47</v>
      </c>
      <c r="L269" s="166">
        <f t="shared" si="72"/>
        <v>705</v>
      </c>
      <c r="M269" s="167" t="s">
        <v>751</v>
      </c>
      <c r="N269" s="150" t="s">
        <v>837</v>
      </c>
      <c r="O269" s="150">
        <v>57</v>
      </c>
      <c r="P269" s="150" t="s">
        <v>836</v>
      </c>
      <c r="Q269" s="150">
        <v>57</v>
      </c>
      <c r="R269" s="221" t="s">
        <v>2080</v>
      </c>
      <c r="S269" s="221" t="s">
        <v>2081</v>
      </c>
      <c r="T269" s="45">
        <v>2180</v>
      </c>
      <c r="U269" s="45" t="s">
        <v>1483</v>
      </c>
      <c r="V269" s="45">
        <v>2290</v>
      </c>
      <c r="W269" s="45" t="s">
        <v>1484</v>
      </c>
      <c r="X269" s="99">
        <v>44816</v>
      </c>
      <c r="Y269" s="99">
        <v>45100</v>
      </c>
      <c r="Z269" s="99"/>
      <c r="AA269" s="99"/>
      <c r="AB269" s="46" t="s">
        <v>1115</v>
      </c>
      <c r="AC269" s="46"/>
      <c r="AD269" s="42" t="s">
        <v>734</v>
      </c>
      <c r="AE269" s="42"/>
      <c r="AF269" s="42"/>
      <c r="AG269" s="42"/>
      <c r="AH269" s="42"/>
      <c r="AI269" s="42"/>
      <c r="AJ269" s="42"/>
      <c r="AK269" s="42"/>
      <c r="AL269" s="42"/>
      <c r="AM269" s="42"/>
      <c r="AN269" s="42" t="s">
        <v>734</v>
      </c>
      <c r="AO269" s="42"/>
      <c r="AP269" s="42"/>
      <c r="AQ269" s="42"/>
      <c r="AR269" s="42"/>
      <c r="AS269" s="42"/>
      <c r="AT269" s="42"/>
      <c r="AU269" s="42"/>
      <c r="AV269" s="42"/>
      <c r="AW269" s="42"/>
      <c r="AX269" s="68"/>
      <c r="AZ269" s="67">
        <f>3*I269</f>
        <v>45</v>
      </c>
      <c r="BA269" s="68"/>
      <c r="BB269" s="68"/>
      <c r="BF269" s="67">
        <f>AZ269*K269</f>
        <v>2115</v>
      </c>
      <c r="BG269" s="69">
        <v>2</v>
      </c>
      <c r="BH269" s="73"/>
      <c r="BI269" s="79"/>
      <c r="BJ269" s="73"/>
      <c r="BK269" s="73"/>
      <c r="BL269" s="73"/>
      <c r="BM269" s="73"/>
      <c r="BN269" s="37"/>
      <c r="BO269" s="70">
        <f t="shared" si="73"/>
        <v>0</v>
      </c>
      <c r="BP269" s="37">
        <v>2</v>
      </c>
      <c r="BQ269" s="37">
        <v>5</v>
      </c>
      <c r="BR269" s="37">
        <v>5</v>
      </c>
      <c r="BS269" s="37">
        <v>6</v>
      </c>
      <c r="BT269" s="87">
        <f t="shared" si="74"/>
        <v>45</v>
      </c>
      <c r="BU269" s="87"/>
      <c r="BV269" s="87"/>
      <c r="BW269" s="87"/>
      <c r="BX269" s="87"/>
      <c r="BY269" s="87"/>
      <c r="BZ269" s="87"/>
      <c r="CA269" s="87"/>
      <c r="CB269" s="87"/>
      <c r="CC269" s="87"/>
      <c r="CD269" s="87"/>
      <c r="CF269" s="67">
        <f t="shared" si="75"/>
        <v>90</v>
      </c>
      <c r="CG269" s="67">
        <f t="shared" si="76"/>
        <v>225</v>
      </c>
      <c r="CH269" s="67">
        <f t="shared" si="77"/>
        <v>225</v>
      </c>
      <c r="CI269" s="67">
        <f t="shared" si="82"/>
        <v>270</v>
      </c>
      <c r="CJ269" s="37">
        <f t="shared" si="78"/>
        <v>30</v>
      </c>
      <c r="CK269" s="37">
        <f t="shared" si="79"/>
        <v>75</v>
      </c>
      <c r="CL269" s="37">
        <f t="shared" si="80"/>
        <v>75</v>
      </c>
      <c r="CM269" s="37">
        <f t="shared" si="81"/>
        <v>90</v>
      </c>
    </row>
    <row r="270" spans="1:91" ht="25.5">
      <c r="A270" s="3" t="s">
        <v>804</v>
      </c>
      <c r="B270" s="156">
        <v>264</v>
      </c>
      <c r="C270" s="192">
        <v>201</v>
      </c>
      <c r="D270" s="197">
        <v>353</v>
      </c>
      <c r="E270" s="198">
        <v>0.45763888888888887</v>
      </c>
      <c r="F270" s="198">
        <v>0.5395833333333333</v>
      </c>
      <c r="G270" s="194" t="s">
        <v>588</v>
      </c>
      <c r="H270" s="194" t="s">
        <v>587</v>
      </c>
      <c r="I270" s="192">
        <v>44</v>
      </c>
      <c r="J270" s="195">
        <v>50</v>
      </c>
      <c r="K270" s="199">
        <v>38</v>
      </c>
      <c r="L270" s="166">
        <f t="shared" si="72"/>
        <v>1672</v>
      </c>
      <c r="M270" s="196" t="s">
        <v>744</v>
      </c>
      <c r="N270" s="150" t="s">
        <v>977</v>
      </c>
      <c r="O270" s="150">
        <v>54</v>
      </c>
      <c r="P270" s="150" t="s">
        <v>801</v>
      </c>
      <c r="Q270" s="150">
        <v>45</v>
      </c>
      <c r="R270" s="150" t="s">
        <v>800</v>
      </c>
      <c r="S270" s="150">
        <v>37</v>
      </c>
      <c r="T270" s="45">
        <v>2290</v>
      </c>
      <c r="U270" s="45" t="s">
        <v>1484</v>
      </c>
      <c r="V270" s="45">
        <v>1</v>
      </c>
      <c r="W270" s="45" t="s">
        <v>1339</v>
      </c>
      <c r="X270" s="99">
        <v>44816</v>
      </c>
      <c r="Y270" s="99">
        <v>45100</v>
      </c>
      <c r="Z270" s="99"/>
      <c r="AA270" s="99"/>
      <c r="AB270" s="41" t="s">
        <v>1140</v>
      </c>
      <c r="AC270" s="41"/>
      <c r="AD270" s="42" t="s">
        <v>734</v>
      </c>
      <c r="AE270" s="42"/>
      <c r="AF270" s="42" t="s">
        <v>734</v>
      </c>
      <c r="AG270" s="42"/>
      <c r="AH270" s="42"/>
      <c r="AI270" s="42"/>
      <c r="AJ270" s="42"/>
      <c r="AK270" s="42"/>
      <c r="AL270" s="42"/>
      <c r="AM270" s="42" t="s">
        <v>734</v>
      </c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68"/>
      <c r="AZ270" s="67">
        <f>3*I270</f>
        <v>132</v>
      </c>
      <c r="BA270" s="68"/>
      <c r="BB270" s="68"/>
      <c r="BF270" s="67">
        <f>AZ270*K270</f>
        <v>5016</v>
      </c>
      <c r="BG270" s="69">
        <v>2</v>
      </c>
      <c r="BH270" s="73"/>
      <c r="BI270" s="79"/>
      <c r="BJ270" s="73"/>
      <c r="BK270" s="73"/>
      <c r="BL270" s="73"/>
      <c r="BM270" s="73"/>
      <c r="BN270" s="37"/>
      <c r="BO270" s="70">
        <f t="shared" si="73"/>
        <v>0</v>
      </c>
      <c r="BP270" s="37">
        <v>2</v>
      </c>
      <c r="BQ270" s="37">
        <v>5</v>
      </c>
      <c r="BR270" s="37">
        <v>4</v>
      </c>
      <c r="BS270" s="37">
        <v>5</v>
      </c>
      <c r="BT270" s="87">
        <f t="shared" si="74"/>
        <v>132</v>
      </c>
      <c r="BU270" s="87"/>
      <c r="BV270" s="87"/>
      <c r="BW270" s="87"/>
      <c r="BX270" s="87"/>
      <c r="BY270" s="87"/>
      <c r="BZ270" s="87"/>
      <c r="CA270" s="87"/>
      <c r="CB270" s="87"/>
      <c r="CC270" s="87"/>
      <c r="CD270" s="87"/>
      <c r="CF270" s="67">
        <f t="shared" si="75"/>
        <v>264</v>
      </c>
      <c r="CG270" s="67">
        <f t="shared" si="76"/>
        <v>660</v>
      </c>
      <c r="CH270" s="67">
        <f t="shared" si="77"/>
        <v>528</v>
      </c>
      <c r="CI270" s="67">
        <f t="shared" si="82"/>
        <v>660</v>
      </c>
      <c r="CJ270" s="37">
        <f t="shared" si="78"/>
        <v>88</v>
      </c>
      <c r="CK270" s="37">
        <f t="shared" si="79"/>
        <v>220</v>
      </c>
      <c r="CL270" s="37">
        <f t="shared" si="80"/>
        <v>176</v>
      </c>
      <c r="CM270" s="37">
        <f t="shared" si="81"/>
        <v>220</v>
      </c>
    </row>
    <row r="271" spans="1:91" s="82" customFormat="1" ht="25.5">
      <c r="A271" s="3" t="s">
        <v>803</v>
      </c>
      <c r="B271" s="156">
        <v>265</v>
      </c>
      <c r="C271" s="192">
        <v>201</v>
      </c>
      <c r="D271" s="192">
        <v>518</v>
      </c>
      <c r="E271" s="198">
        <v>0.48194444444444445</v>
      </c>
      <c r="F271" s="198">
        <v>0.49444444444444446</v>
      </c>
      <c r="G271" s="194" t="s">
        <v>540</v>
      </c>
      <c r="H271" s="160" t="s">
        <v>425</v>
      </c>
      <c r="I271" s="192">
        <v>16</v>
      </c>
      <c r="J271" s="195">
        <v>50</v>
      </c>
      <c r="K271" s="199">
        <v>55</v>
      </c>
      <c r="L271" s="166">
        <f t="shared" si="72"/>
        <v>880</v>
      </c>
      <c r="M271" s="167" t="s">
        <v>754</v>
      </c>
      <c r="N271" s="154" t="s">
        <v>891</v>
      </c>
      <c r="O271" s="154">
        <v>57</v>
      </c>
      <c r="P271" s="150" t="s">
        <v>1922</v>
      </c>
      <c r="Q271" s="150">
        <v>57</v>
      </c>
      <c r="R271" s="3"/>
      <c r="S271" s="154"/>
      <c r="T271" s="45">
        <v>2180</v>
      </c>
      <c r="U271" s="45" t="s">
        <v>1483</v>
      </c>
      <c r="V271" s="45">
        <v>2290</v>
      </c>
      <c r="W271" s="45" t="s">
        <v>1484</v>
      </c>
      <c r="X271" s="99">
        <v>44562</v>
      </c>
      <c r="Y271" s="99">
        <v>44815</v>
      </c>
      <c r="Z271" s="99">
        <v>45101</v>
      </c>
      <c r="AA271" s="99">
        <v>45169</v>
      </c>
      <c r="AB271" s="41" t="s">
        <v>1121</v>
      </c>
      <c r="AC271" s="41"/>
      <c r="AD271" s="42"/>
      <c r="AE271" s="42" t="s">
        <v>734</v>
      </c>
      <c r="AF271" s="42" t="s">
        <v>734</v>
      </c>
      <c r="AG271" s="42"/>
      <c r="AH271" s="42" t="s">
        <v>734</v>
      </c>
      <c r="AI271" s="42" t="s">
        <v>734</v>
      </c>
      <c r="AJ271" s="42" t="s">
        <v>734</v>
      </c>
      <c r="AK271" s="42" t="s">
        <v>734</v>
      </c>
      <c r="AL271" s="42" t="s">
        <v>734</v>
      </c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67"/>
      <c r="AY271" s="67"/>
      <c r="AZ271" s="37"/>
      <c r="BA271" s="76"/>
      <c r="BB271" s="80" t="s">
        <v>754</v>
      </c>
      <c r="BC271" s="37"/>
      <c r="BD271" s="67">
        <f>AX271*K271</f>
        <v>0</v>
      </c>
      <c r="BE271" s="37"/>
      <c r="BF271" s="37"/>
      <c r="BG271" s="69">
        <v>2</v>
      </c>
      <c r="BH271" s="37"/>
      <c r="BI271" s="67"/>
      <c r="BJ271" s="37"/>
      <c r="BK271" s="37"/>
      <c r="BL271" s="37"/>
      <c r="BM271" s="37"/>
      <c r="BN271" s="37"/>
      <c r="BO271" s="70">
        <f t="shared" si="73"/>
        <v>0</v>
      </c>
      <c r="BP271" s="37">
        <v>7</v>
      </c>
      <c r="BQ271" s="37">
        <v>0</v>
      </c>
      <c r="BR271" s="37">
        <v>0</v>
      </c>
      <c r="BS271" s="37"/>
      <c r="BT271" s="87">
        <f t="shared" si="74"/>
        <v>0</v>
      </c>
      <c r="BU271" s="87" t="s">
        <v>1119</v>
      </c>
      <c r="BV271" s="127">
        <v>9</v>
      </c>
      <c r="BW271" s="127"/>
      <c r="BX271" s="127">
        <v>0</v>
      </c>
      <c r="BY271" s="127"/>
      <c r="BZ271" s="127">
        <v>0</v>
      </c>
      <c r="CA271" s="127"/>
      <c r="CB271" s="127">
        <v>0</v>
      </c>
      <c r="CC271" s="127"/>
      <c r="CD271" s="87">
        <v>350</v>
      </c>
      <c r="CE271" s="37"/>
      <c r="CF271" s="67">
        <f t="shared" si="75"/>
        <v>3150</v>
      </c>
      <c r="CG271" s="67">
        <f t="shared" si="76"/>
        <v>0</v>
      </c>
      <c r="CH271" s="67">
        <f t="shared" si="77"/>
        <v>0</v>
      </c>
      <c r="CI271" s="67">
        <f t="shared" si="82"/>
        <v>0</v>
      </c>
      <c r="CJ271" s="37">
        <f t="shared" si="78"/>
        <v>112</v>
      </c>
      <c r="CK271" s="37">
        <f t="shared" si="79"/>
        <v>0</v>
      </c>
      <c r="CL271" s="37">
        <f t="shared" si="80"/>
        <v>0</v>
      </c>
      <c r="CM271" s="37">
        <f t="shared" si="81"/>
        <v>0</v>
      </c>
    </row>
    <row r="272" spans="1:91" ht="33.75">
      <c r="A272" s="3" t="s">
        <v>804</v>
      </c>
      <c r="B272" s="156">
        <v>266</v>
      </c>
      <c r="C272" s="192">
        <v>201</v>
      </c>
      <c r="D272" s="197">
        <v>516</v>
      </c>
      <c r="E272" s="198">
        <v>0.48194444444444445</v>
      </c>
      <c r="F272" s="198">
        <v>0.49444444444444446</v>
      </c>
      <c r="G272" s="194" t="s">
        <v>540</v>
      </c>
      <c r="H272" s="160" t="s">
        <v>479</v>
      </c>
      <c r="I272" s="192">
        <v>15</v>
      </c>
      <c r="J272" s="195">
        <v>50</v>
      </c>
      <c r="K272" s="199">
        <v>240</v>
      </c>
      <c r="L272" s="166">
        <f t="shared" si="72"/>
        <v>3600</v>
      </c>
      <c r="M272" s="167" t="s">
        <v>751</v>
      </c>
      <c r="N272" s="150" t="s">
        <v>837</v>
      </c>
      <c r="O272" s="150">
        <v>57</v>
      </c>
      <c r="P272" s="150" t="s">
        <v>836</v>
      </c>
      <c r="Q272" s="150">
        <v>57</v>
      </c>
      <c r="R272" s="221" t="s">
        <v>2080</v>
      </c>
      <c r="S272" s="221" t="s">
        <v>2081</v>
      </c>
      <c r="T272" s="45">
        <v>2180</v>
      </c>
      <c r="U272" s="45" t="s">
        <v>1483</v>
      </c>
      <c r="V272" s="45">
        <v>2290</v>
      </c>
      <c r="W272" s="45" t="s">
        <v>1484</v>
      </c>
      <c r="X272" s="278">
        <v>44816</v>
      </c>
      <c r="Y272" s="278">
        <v>45100</v>
      </c>
      <c r="Z272" s="278"/>
      <c r="AA272" s="278"/>
      <c r="AB272" s="39" t="s">
        <v>1124</v>
      </c>
      <c r="AC272" s="45"/>
      <c r="AD272" s="42" t="s">
        <v>734</v>
      </c>
      <c r="AE272" s="42"/>
      <c r="AF272" s="42" t="s">
        <v>734</v>
      </c>
      <c r="AG272" s="42"/>
      <c r="AH272" s="42" t="s">
        <v>734</v>
      </c>
      <c r="AI272" s="42" t="s">
        <v>734</v>
      </c>
      <c r="AJ272" s="42" t="s">
        <v>734</v>
      </c>
      <c r="AK272" s="42" t="s">
        <v>734</v>
      </c>
      <c r="AL272" s="42" t="s">
        <v>734</v>
      </c>
      <c r="AM272" s="42" t="s">
        <v>734</v>
      </c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68"/>
      <c r="AZ272" s="67">
        <f>3*I272</f>
        <v>45</v>
      </c>
      <c r="BA272" s="68"/>
      <c r="BB272" s="68"/>
      <c r="BF272" s="67">
        <f>AZ272*K272</f>
        <v>10800</v>
      </c>
      <c r="BG272" s="69">
        <v>2</v>
      </c>
      <c r="BH272" s="279"/>
      <c r="BI272" s="79"/>
      <c r="BJ272" s="81"/>
      <c r="BK272" s="279"/>
      <c r="BL272" s="279"/>
      <c r="BM272" s="81"/>
      <c r="BN272" s="280"/>
      <c r="BO272" s="70">
        <f t="shared" si="73"/>
        <v>0</v>
      </c>
      <c r="BP272" s="37">
        <v>17</v>
      </c>
      <c r="BQ272" s="37">
        <v>26</v>
      </c>
      <c r="BR272" s="37">
        <v>25</v>
      </c>
      <c r="BS272" s="37">
        <v>25</v>
      </c>
      <c r="BT272" s="87">
        <f t="shared" si="74"/>
        <v>45</v>
      </c>
      <c r="BU272" s="87"/>
      <c r="BV272" s="87"/>
      <c r="BW272" s="87"/>
      <c r="BX272" s="87"/>
      <c r="BY272" s="87"/>
      <c r="BZ272" s="87"/>
      <c r="CA272" s="87"/>
      <c r="CB272" s="87"/>
      <c r="CC272" s="87"/>
      <c r="CD272" s="87"/>
      <c r="CE272" s="280"/>
      <c r="CF272" s="67">
        <f t="shared" si="75"/>
        <v>765</v>
      </c>
      <c r="CG272" s="67">
        <f t="shared" si="76"/>
        <v>1170</v>
      </c>
      <c r="CH272" s="67">
        <f t="shared" si="77"/>
        <v>1125</v>
      </c>
      <c r="CI272" s="67">
        <f t="shared" si="82"/>
        <v>1125</v>
      </c>
      <c r="CJ272" s="37">
        <f t="shared" si="78"/>
        <v>255</v>
      </c>
      <c r="CK272" s="37">
        <f t="shared" si="79"/>
        <v>390</v>
      </c>
      <c r="CL272" s="37">
        <f t="shared" si="80"/>
        <v>375</v>
      </c>
      <c r="CM272" s="37">
        <f t="shared" si="81"/>
        <v>375</v>
      </c>
    </row>
    <row r="273" spans="1:91" ht="33.75">
      <c r="A273" s="3" t="s">
        <v>804</v>
      </c>
      <c r="B273" s="156">
        <v>267</v>
      </c>
      <c r="C273" s="192">
        <v>201</v>
      </c>
      <c r="D273" s="197">
        <v>524</v>
      </c>
      <c r="E273" s="198">
        <v>0.50416666666666665</v>
      </c>
      <c r="F273" s="198">
        <v>0.51666666666666672</v>
      </c>
      <c r="G273" s="194" t="s">
        <v>540</v>
      </c>
      <c r="H273" s="160" t="s">
        <v>444</v>
      </c>
      <c r="I273" s="192">
        <v>15</v>
      </c>
      <c r="J273" s="195">
        <v>50</v>
      </c>
      <c r="K273" s="165">
        <v>47</v>
      </c>
      <c r="L273" s="166">
        <f t="shared" si="72"/>
        <v>705</v>
      </c>
      <c r="M273" s="167" t="s">
        <v>751</v>
      </c>
      <c r="N273" s="150" t="s">
        <v>837</v>
      </c>
      <c r="O273" s="150">
        <v>57</v>
      </c>
      <c r="P273" s="150" t="s">
        <v>836</v>
      </c>
      <c r="Q273" s="150">
        <v>57</v>
      </c>
      <c r="R273" s="221" t="s">
        <v>2080</v>
      </c>
      <c r="S273" s="221" t="s">
        <v>2081</v>
      </c>
      <c r="T273" s="45">
        <v>2180</v>
      </c>
      <c r="U273" s="45" t="s">
        <v>1483</v>
      </c>
      <c r="V273" s="45">
        <v>2290</v>
      </c>
      <c r="W273" s="45" t="s">
        <v>1484</v>
      </c>
      <c r="X273" s="99">
        <v>44816</v>
      </c>
      <c r="Y273" s="99">
        <v>45100</v>
      </c>
      <c r="Z273" s="99"/>
      <c r="AA273" s="99"/>
      <c r="AB273" s="46" t="s">
        <v>1115</v>
      </c>
      <c r="AC273" s="46"/>
      <c r="AD273" s="42" t="s">
        <v>734</v>
      </c>
      <c r="AE273" s="42"/>
      <c r="AF273" s="42"/>
      <c r="AG273" s="42"/>
      <c r="AH273" s="42"/>
      <c r="AI273" s="42"/>
      <c r="AJ273" s="42"/>
      <c r="AK273" s="42"/>
      <c r="AL273" s="42"/>
      <c r="AM273" s="42"/>
      <c r="AN273" s="42" t="s">
        <v>734</v>
      </c>
      <c r="AO273" s="42"/>
      <c r="AP273" s="42"/>
      <c r="AQ273" s="42"/>
      <c r="AR273" s="42"/>
      <c r="AS273" s="42"/>
      <c r="AT273" s="42"/>
      <c r="AU273" s="42"/>
      <c r="AV273" s="42"/>
      <c r="AW273" s="42"/>
      <c r="AX273" s="68"/>
      <c r="AZ273" s="67">
        <f>3*I273</f>
        <v>45</v>
      </c>
      <c r="BA273" s="68"/>
      <c r="BB273" s="68"/>
      <c r="BF273" s="67">
        <f>AZ273*K273</f>
        <v>2115</v>
      </c>
      <c r="BG273" s="69">
        <v>2</v>
      </c>
      <c r="BH273" s="73"/>
      <c r="BI273" s="79"/>
      <c r="BJ273" s="73"/>
      <c r="BK273" s="73"/>
      <c r="BL273" s="73"/>
      <c r="BM273" s="73"/>
      <c r="BN273" s="37"/>
      <c r="BO273" s="70">
        <f t="shared" si="73"/>
        <v>0</v>
      </c>
      <c r="BP273" s="37">
        <v>2</v>
      </c>
      <c r="BQ273" s="37">
        <v>5</v>
      </c>
      <c r="BR273" s="37">
        <v>5</v>
      </c>
      <c r="BS273" s="37">
        <v>6</v>
      </c>
      <c r="BT273" s="87">
        <f t="shared" si="74"/>
        <v>45</v>
      </c>
      <c r="BU273" s="87"/>
      <c r="BV273" s="87"/>
      <c r="BW273" s="87"/>
      <c r="BX273" s="87"/>
      <c r="BY273" s="87"/>
      <c r="BZ273" s="87"/>
      <c r="CA273" s="87"/>
      <c r="CB273" s="87"/>
      <c r="CC273" s="87"/>
      <c r="CD273" s="87"/>
      <c r="CF273" s="67">
        <f t="shared" si="75"/>
        <v>90</v>
      </c>
      <c r="CG273" s="67">
        <f t="shared" si="76"/>
        <v>225</v>
      </c>
      <c r="CH273" s="67">
        <f t="shared" si="77"/>
        <v>225</v>
      </c>
      <c r="CI273" s="67">
        <f t="shared" si="82"/>
        <v>270</v>
      </c>
      <c r="CJ273" s="37">
        <f t="shared" si="78"/>
        <v>30</v>
      </c>
      <c r="CK273" s="37">
        <f t="shared" si="79"/>
        <v>75</v>
      </c>
      <c r="CL273" s="37">
        <f t="shared" si="80"/>
        <v>75</v>
      </c>
      <c r="CM273" s="37">
        <f t="shared" si="81"/>
        <v>90</v>
      </c>
    </row>
    <row r="274" spans="1:91" ht="33.75">
      <c r="A274" s="3" t="s">
        <v>804</v>
      </c>
      <c r="B274" s="156">
        <v>268</v>
      </c>
      <c r="C274" s="192">
        <v>201</v>
      </c>
      <c r="D274" s="197">
        <v>525</v>
      </c>
      <c r="E274" s="198">
        <v>0.52222222222222225</v>
      </c>
      <c r="F274" s="198">
        <v>0.53472222222222221</v>
      </c>
      <c r="G274" s="194" t="s">
        <v>539</v>
      </c>
      <c r="H274" s="160" t="s">
        <v>444</v>
      </c>
      <c r="I274" s="192">
        <v>15</v>
      </c>
      <c r="J274" s="195">
        <v>50</v>
      </c>
      <c r="K274" s="199">
        <v>47</v>
      </c>
      <c r="L274" s="166">
        <f t="shared" si="72"/>
        <v>705</v>
      </c>
      <c r="M274" s="167" t="s">
        <v>751</v>
      </c>
      <c r="N274" s="150" t="s">
        <v>837</v>
      </c>
      <c r="O274" s="150">
        <v>57</v>
      </c>
      <c r="P274" s="150" t="s">
        <v>836</v>
      </c>
      <c r="Q274" s="150">
        <v>57</v>
      </c>
      <c r="R274" s="221" t="s">
        <v>2080</v>
      </c>
      <c r="S274" s="221" t="s">
        <v>2081</v>
      </c>
      <c r="T274" s="45">
        <v>2290</v>
      </c>
      <c r="U274" s="45" t="s">
        <v>1484</v>
      </c>
      <c r="V274" s="45">
        <v>2180</v>
      </c>
      <c r="W274" s="45" t="s">
        <v>1483</v>
      </c>
      <c r="X274" s="99">
        <v>44816</v>
      </c>
      <c r="Y274" s="99">
        <v>45100</v>
      </c>
      <c r="Z274" s="99"/>
      <c r="AA274" s="99"/>
      <c r="AB274" s="46" t="s">
        <v>1115</v>
      </c>
      <c r="AC274" s="46"/>
      <c r="AD274" s="42" t="s">
        <v>734</v>
      </c>
      <c r="AE274" s="42"/>
      <c r="AF274" s="42"/>
      <c r="AG274" s="42"/>
      <c r="AH274" s="42"/>
      <c r="AI274" s="42"/>
      <c r="AJ274" s="42"/>
      <c r="AK274" s="42"/>
      <c r="AL274" s="42"/>
      <c r="AM274" s="42"/>
      <c r="AN274" s="42" t="s">
        <v>734</v>
      </c>
      <c r="AO274" s="42"/>
      <c r="AP274" s="42"/>
      <c r="AQ274" s="42"/>
      <c r="AR274" s="42"/>
      <c r="AS274" s="42"/>
      <c r="AT274" s="42"/>
      <c r="AU274" s="42"/>
      <c r="AV274" s="42"/>
      <c r="AW274" s="42"/>
      <c r="AX274" s="68"/>
      <c r="AZ274" s="67">
        <f>3*I274</f>
        <v>45</v>
      </c>
      <c r="BA274" s="68"/>
      <c r="BB274" s="68"/>
      <c r="BF274" s="67">
        <f>AZ274*K274</f>
        <v>2115</v>
      </c>
      <c r="BG274" s="69">
        <v>2</v>
      </c>
      <c r="BH274" s="73"/>
      <c r="BI274" s="79"/>
      <c r="BJ274" s="73"/>
      <c r="BK274" s="73"/>
      <c r="BL274" s="73"/>
      <c r="BM274" s="73"/>
      <c r="BN274" s="37"/>
      <c r="BO274" s="70">
        <f t="shared" si="73"/>
        <v>0</v>
      </c>
      <c r="BP274" s="37">
        <v>2</v>
      </c>
      <c r="BQ274" s="37">
        <v>5</v>
      </c>
      <c r="BR274" s="37">
        <v>5</v>
      </c>
      <c r="BS274" s="37">
        <v>6</v>
      </c>
      <c r="BT274" s="87">
        <f t="shared" si="74"/>
        <v>45</v>
      </c>
      <c r="BU274" s="87"/>
      <c r="BV274" s="87"/>
      <c r="BW274" s="87"/>
      <c r="BX274" s="87"/>
      <c r="BY274" s="87"/>
      <c r="BZ274" s="87"/>
      <c r="CA274" s="87"/>
      <c r="CB274" s="87"/>
      <c r="CC274" s="87"/>
      <c r="CD274" s="87"/>
      <c r="CF274" s="67">
        <f t="shared" si="75"/>
        <v>90</v>
      </c>
      <c r="CG274" s="67">
        <f t="shared" si="76"/>
        <v>225</v>
      </c>
      <c r="CH274" s="67">
        <f t="shared" si="77"/>
        <v>225</v>
      </c>
      <c r="CI274" s="67">
        <f t="shared" si="82"/>
        <v>270</v>
      </c>
      <c r="CJ274" s="37">
        <f t="shared" si="78"/>
        <v>30</v>
      </c>
      <c r="CK274" s="37">
        <f t="shared" si="79"/>
        <v>75</v>
      </c>
      <c r="CL274" s="37">
        <f t="shared" si="80"/>
        <v>75</v>
      </c>
      <c r="CM274" s="37">
        <f t="shared" si="81"/>
        <v>90</v>
      </c>
    </row>
    <row r="275" spans="1:91" ht="25.5">
      <c r="B275" s="156">
        <v>269</v>
      </c>
      <c r="C275" s="160">
        <v>201</v>
      </c>
      <c r="D275" s="162">
        <v>335</v>
      </c>
      <c r="E275" s="161">
        <v>0.55902777777777779</v>
      </c>
      <c r="F275" s="161">
        <v>0.57499999999999996</v>
      </c>
      <c r="G275" s="162" t="s">
        <v>182</v>
      </c>
      <c r="H275" s="160" t="s">
        <v>282</v>
      </c>
      <c r="I275" s="163">
        <v>15</v>
      </c>
      <c r="J275" s="164">
        <v>50</v>
      </c>
      <c r="K275" s="165">
        <v>36</v>
      </c>
      <c r="L275" s="166">
        <f t="shared" si="72"/>
        <v>540</v>
      </c>
      <c r="M275" s="167" t="s">
        <v>745</v>
      </c>
      <c r="N275" s="3" t="s">
        <v>1262</v>
      </c>
      <c r="O275" s="151">
        <v>58</v>
      </c>
      <c r="P275" s="154" t="s">
        <v>1921</v>
      </c>
      <c r="Q275" s="154">
        <v>56</v>
      </c>
      <c r="T275" s="45">
        <v>2290</v>
      </c>
      <c r="U275" s="45" t="s">
        <v>1484</v>
      </c>
      <c r="V275" s="45">
        <v>2180</v>
      </c>
      <c r="W275" s="45" t="s">
        <v>1483</v>
      </c>
      <c r="X275" s="98">
        <v>44816</v>
      </c>
      <c r="Y275" s="98">
        <v>45086</v>
      </c>
      <c r="Z275" s="98"/>
      <c r="AA275" s="98"/>
      <c r="AB275" s="42" t="s">
        <v>1133</v>
      </c>
      <c r="AC275" s="42"/>
      <c r="AD275" s="42"/>
      <c r="AE275" s="42"/>
      <c r="AF275" s="42"/>
      <c r="AG275" s="42" t="s">
        <v>734</v>
      </c>
      <c r="AH275" s="42"/>
      <c r="AI275" s="42"/>
      <c r="AJ275" s="42"/>
      <c r="AK275" s="42"/>
      <c r="AL275" s="42" t="s">
        <v>734</v>
      </c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68">
        <v>27</v>
      </c>
      <c r="BA275" s="68"/>
      <c r="BB275" s="68"/>
      <c r="BD275" s="67">
        <f>AX275*K275</f>
        <v>972</v>
      </c>
      <c r="BE275" s="67"/>
      <c r="BF275" s="37"/>
      <c r="BG275" s="69">
        <v>2</v>
      </c>
      <c r="BH275" s="71"/>
      <c r="BI275" s="71"/>
      <c r="BJ275" s="72"/>
      <c r="BN275" s="37"/>
      <c r="BO275" s="70">
        <f t="shared" si="73"/>
        <v>0</v>
      </c>
      <c r="BP275" s="37">
        <v>3</v>
      </c>
      <c r="BQ275" s="37">
        <v>4</v>
      </c>
      <c r="BR275" s="37">
        <v>4</v>
      </c>
      <c r="BS275" s="37">
        <v>3</v>
      </c>
      <c r="BT275" s="87">
        <f t="shared" si="74"/>
        <v>27</v>
      </c>
      <c r="BU275" s="87"/>
      <c r="BV275" s="87"/>
      <c r="BW275" s="87"/>
      <c r="BX275" s="87"/>
      <c r="BY275" s="87"/>
      <c r="BZ275" s="87"/>
      <c r="CA275" s="87"/>
      <c r="CB275" s="87"/>
      <c r="CC275" s="87"/>
      <c r="CD275" s="87"/>
      <c r="CF275" s="67">
        <f t="shared" si="75"/>
        <v>81</v>
      </c>
      <c r="CG275" s="67">
        <f t="shared" si="76"/>
        <v>108</v>
      </c>
      <c r="CH275" s="67">
        <f t="shared" si="77"/>
        <v>108</v>
      </c>
      <c r="CI275" s="67">
        <f t="shared" si="82"/>
        <v>81</v>
      </c>
      <c r="CJ275" s="37">
        <f t="shared" si="78"/>
        <v>45</v>
      </c>
      <c r="CK275" s="37">
        <f t="shared" si="79"/>
        <v>60</v>
      </c>
      <c r="CL275" s="37">
        <f t="shared" si="80"/>
        <v>60</v>
      </c>
      <c r="CM275" s="37">
        <f t="shared" si="81"/>
        <v>45</v>
      </c>
    </row>
    <row r="276" spans="1:91" ht="33.75">
      <c r="A276" s="3" t="s">
        <v>804</v>
      </c>
      <c r="B276" s="156">
        <v>270</v>
      </c>
      <c r="C276" s="192">
        <v>201</v>
      </c>
      <c r="D276" s="197">
        <v>529</v>
      </c>
      <c r="E276" s="198">
        <v>0.56041666666666667</v>
      </c>
      <c r="F276" s="198">
        <v>0.57291666666666663</v>
      </c>
      <c r="G276" s="194" t="s">
        <v>539</v>
      </c>
      <c r="H276" s="160" t="s">
        <v>444</v>
      </c>
      <c r="I276" s="192">
        <v>15</v>
      </c>
      <c r="J276" s="195">
        <v>50</v>
      </c>
      <c r="K276" s="165">
        <v>47</v>
      </c>
      <c r="L276" s="166">
        <f t="shared" si="72"/>
        <v>705</v>
      </c>
      <c r="M276" s="167" t="s">
        <v>751</v>
      </c>
      <c r="N276" s="150" t="s">
        <v>837</v>
      </c>
      <c r="O276" s="150">
        <v>57</v>
      </c>
      <c r="P276" s="150" t="s">
        <v>836</v>
      </c>
      <c r="Q276" s="150">
        <v>57</v>
      </c>
      <c r="R276" s="221" t="s">
        <v>2080</v>
      </c>
      <c r="S276" s="221" t="s">
        <v>2081</v>
      </c>
      <c r="T276" s="45">
        <v>2290</v>
      </c>
      <c r="U276" s="45" t="s">
        <v>1484</v>
      </c>
      <c r="V276" s="45">
        <v>2180</v>
      </c>
      <c r="W276" s="45" t="s">
        <v>1483</v>
      </c>
      <c r="X276" s="99">
        <v>44816</v>
      </c>
      <c r="Y276" s="99">
        <v>45100</v>
      </c>
      <c r="Z276" s="99"/>
      <c r="AA276" s="99"/>
      <c r="AB276" s="46" t="s">
        <v>1115</v>
      </c>
      <c r="AC276" s="46"/>
      <c r="AD276" s="42" t="s">
        <v>734</v>
      </c>
      <c r="AE276" s="42"/>
      <c r="AF276" s="42"/>
      <c r="AG276" s="42"/>
      <c r="AH276" s="42"/>
      <c r="AI276" s="42"/>
      <c r="AJ276" s="42"/>
      <c r="AK276" s="42"/>
      <c r="AL276" s="42"/>
      <c r="AM276" s="42"/>
      <c r="AN276" s="42" t="s">
        <v>734</v>
      </c>
      <c r="AO276" s="42"/>
      <c r="AP276" s="42"/>
      <c r="AQ276" s="42"/>
      <c r="AR276" s="42"/>
      <c r="AS276" s="42"/>
      <c r="AT276" s="42"/>
      <c r="AU276" s="42"/>
      <c r="AV276" s="42"/>
      <c r="AW276" s="42"/>
      <c r="AX276" s="68"/>
      <c r="AZ276" s="67">
        <f>3*I276</f>
        <v>45</v>
      </c>
      <c r="BA276" s="68"/>
      <c r="BB276" s="68"/>
      <c r="BF276" s="67">
        <f>AZ276*K276</f>
        <v>2115</v>
      </c>
      <c r="BG276" s="69">
        <v>2</v>
      </c>
      <c r="BH276" s="73"/>
      <c r="BI276" s="79"/>
      <c r="BJ276" s="73"/>
      <c r="BK276" s="73"/>
      <c r="BL276" s="73"/>
      <c r="BM276" s="73"/>
      <c r="BN276" s="37"/>
      <c r="BO276" s="70">
        <f t="shared" si="73"/>
        <v>0</v>
      </c>
      <c r="BP276" s="37">
        <v>2</v>
      </c>
      <c r="BQ276" s="37">
        <v>5</v>
      </c>
      <c r="BR276" s="37">
        <v>5</v>
      </c>
      <c r="BS276" s="37">
        <v>6</v>
      </c>
      <c r="BT276" s="87">
        <f t="shared" si="74"/>
        <v>45</v>
      </c>
      <c r="BU276" s="87"/>
      <c r="BV276" s="87"/>
      <c r="BW276" s="87"/>
      <c r="BX276" s="87"/>
      <c r="BY276" s="87"/>
      <c r="BZ276" s="87"/>
      <c r="CA276" s="87"/>
      <c r="CB276" s="87"/>
      <c r="CC276" s="87"/>
      <c r="CD276" s="87"/>
      <c r="CF276" s="67">
        <f t="shared" si="75"/>
        <v>90</v>
      </c>
      <c r="CG276" s="67">
        <f t="shared" si="76"/>
        <v>225</v>
      </c>
      <c r="CH276" s="67">
        <f t="shared" si="77"/>
        <v>225</v>
      </c>
      <c r="CI276" s="67">
        <f t="shared" si="82"/>
        <v>270</v>
      </c>
      <c r="CJ276" s="37">
        <f t="shared" si="78"/>
        <v>30</v>
      </c>
      <c r="CK276" s="37">
        <f t="shared" si="79"/>
        <v>75</v>
      </c>
      <c r="CL276" s="37">
        <f t="shared" si="80"/>
        <v>75</v>
      </c>
      <c r="CM276" s="37">
        <f t="shared" si="81"/>
        <v>90</v>
      </c>
    </row>
    <row r="277" spans="1:91" ht="33.75">
      <c r="A277" s="3" t="s">
        <v>804</v>
      </c>
      <c r="B277" s="156">
        <v>271</v>
      </c>
      <c r="C277" s="192">
        <v>201</v>
      </c>
      <c r="D277" s="197">
        <v>526</v>
      </c>
      <c r="E277" s="193">
        <v>0.57291666666666663</v>
      </c>
      <c r="F277" s="193">
        <v>0.5854166666666667</v>
      </c>
      <c r="G277" s="194" t="s">
        <v>540</v>
      </c>
      <c r="H277" s="160" t="s">
        <v>444</v>
      </c>
      <c r="I277" s="192">
        <v>15</v>
      </c>
      <c r="J277" s="195">
        <v>50</v>
      </c>
      <c r="K277" s="199">
        <v>47</v>
      </c>
      <c r="L277" s="166">
        <f t="shared" si="72"/>
        <v>705</v>
      </c>
      <c r="M277" s="167" t="s">
        <v>751</v>
      </c>
      <c r="N277" s="150" t="s">
        <v>837</v>
      </c>
      <c r="O277" s="150">
        <v>57</v>
      </c>
      <c r="P277" s="150" t="s">
        <v>836</v>
      </c>
      <c r="Q277" s="150">
        <v>57</v>
      </c>
      <c r="R277" s="221" t="s">
        <v>2080</v>
      </c>
      <c r="S277" s="221" t="s">
        <v>2081</v>
      </c>
      <c r="T277" s="45">
        <v>2180</v>
      </c>
      <c r="U277" s="45" t="s">
        <v>1483</v>
      </c>
      <c r="V277" s="45">
        <v>2290</v>
      </c>
      <c r="W277" s="45" t="s">
        <v>1484</v>
      </c>
      <c r="X277" s="99">
        <v>44816</v>
      </c>
      <c r="Y277" s="99">
        <v>45100</v>
      </c>
      <c r="Z277" s="99"/>
      <c r="AA277" s="99"/>
      <c r="AB277" s="46" t="s">
        <v>1115</v>
      </c>
      <c r="AC277" s="46"/>
      <c r="AD277" s="42" t="s">
        <v>734</v>
      </c>
      <c r="AE277" s="42"/>
      <c r="AF277" s="42"/>
      <c r="AG277" s="42"/>
      <c r="AH277" s="42"/>
      <c r="AI277" s="42"/>
      <c r="AJ277" s="42"/>
      <c r="AK277" s="42"/>
      <c r="AL277" s="42"/>
      <c r="AM277" s="42"/>
      <c r="AN277" s="42" t="s">
        <v>734</v>
      </c>
      <c r="AO277" s="42"/>
      <c r="AP277" s="42"/>
      <c r="AQ277" s="42"/>
      <c r="AR277" s="42"/>
      <c r="AS277" s="42"/>
      <c r="AT277" s="42"/>
      <c r="AU277" s="42"/>
      <c r="AV277" s="42"/>
      <c r="AW277" s="42"/>
      <c r="AX277" s="68"/>
      <c r="AZ277" s="67">
        <f>3*I277</f>
        <v>45</v>
      </c>
      <c r="BA277" s="68"/>
      <c r="BB277" s="68"/>
      <c r="BF277" s="67">
        <f>AZ277*K277</f>
        <v>2115</v>
      </c>
      <c r="BG277" s="69">
        <v>2</v>
      </c>
      <c r="BH277" s="73"/>
      <c r="BI277" s="79"/>
      <c r="BJ277" s="73"/>
      <c r="BK277" s="73"/>
      <c r="BL277" s="73"/>
      <c r="BM277" s="73"/>
      <c r="BN277" s="37"/>
      <c r="BO277" s="70">
        <f t="shared" si="73"/>
        <v>0</v>
      </c>
      <c r="BP277" s="37">
        <v>2</v>
      </c>
      <c r="BQ277" s="37">
        <v>5</v>
      </c>
      <c r="BR277" s="37">
        <v>5</v>
      </c>
      <c r="BS277" s="37">
        <v>6</v>
      </c>
      <c r="BT277" s="87">
        <f t="shared" si="74"/>
        <v>45</v>
      </c>
      <c r="BU277" s="87"/>
      <c r="BV277" s="87"/>
      <c r="BW277" s="87"/>
      <c r="BX277" s="87"/>
      <c r="BY277" s="87"/>
      <c r="BZ277" s="87"/>
      <c r="CA277" s="87"/>
      <c r="CB277" s="87"/>
      <c r="CC277" s="87"/>
      <c r="CD277" s="87"/>
      <c r="CF277" s="67">
        <f t="shared" si="75"/>
        <v>90</v>
      </c>
      <c r="CG277" s="67">
        <f t="shared" si="76"/>
        <v>225</v>
      </c>
      <c r="CH277" s="67">
        <f t="shared" si="77"/>
        <v>225</v>
      </c>
      <c r="CI277" s="67">
        <f t="shared" si="82"/>
        <v>270</v>
      </c>
      <c r="CJ277" s="37">
        <f t="shared" si="78"/>
        <v>30</v>
      </c>
      <c r="CK277" s="37">
        <f t="shared" si="79"/>
        <v>75</v>
      </c>
      <c r="CL277" s="37">
        <f t="shared" si="80"/>
        <v>75</v>
      </c>
      <c r="CM277" s="37">
        <f t="shared" si="81"/>
        <v>90</v>
      </c>
    </row>
    <row r="278" spans="1:91" ht="25.5">
      <c r="B278" s="156">
        <v>272</v>
      </c>
      <c r="C278" s="160">
        <v>201</v>
      </c>
      <c r="D278" s="162">
        <v>310</v>
      </c>
      <c r="E278" s="161">
        <v>0.60277777777777775</v>
      </c>
      <c r="F278" s="161">
        <v>0.61388888888888882</v>
      </c>
      <c r="G278" s="162" t="s">
        <v>181</v>
      </c>
      <c r="H278" s="160" t="s">
        <v>282</v>
      </c>
      <c r="I278" s="163">
        <v>15</v>
      </c>
      <c r="J278" s="164">
        <v>55</v>
      </c>
      <c r="K278" s="165">
        <v>36</v>
      </c>
      <c r="L278" s="166">
        <f t="shared" si="72"/>
        <v>540</v>
      </c>
      <c r="M278" s="167" t="s">
        <v>745</v>
      </c>
      <c r="N278" s="3" t="s">
        <v>1262</v>
      </c>
      <c r="O278" s="151">
        <v>58</v>
      </c>
      <c r="P278" s="154" t="s">
        <v>1921</v>
      </c>
      <c r="Q278" s="154">
        <v>56</v>
      </c>
      <c r="T278" s="45">
        <v>2180</v>
      </c>
      <c r="U278" s="45" t="s">
        <v>1483</v>
      </c>
      <c r="V278" s="45">
        <v>2290</v>
      </c>
      <c r="W278" s="45" t="s">
        <v>1484</v>
      </c>
      <c r="X278" s="98">
        <v>44816</v>
      </c>
      <c r="Y278" s="98">
        <v>45086</v>
      </c>
      <c r="Z278" s="98"/>
      <c r="AA278" s="98"/>
      <c r="AB278" s="42" t="s">
        <v>1133</v>
      </c>
      <c r="AC278" s="42"/>
      <c r="AD278" s="42"/>
      <c r="AE278" s="42"/>
      <c r="AF278" s="42"/>
      <c r="AG278" s="42" t="s">
        <v>734</v>
      </c>
      <c r="AH278" s="42"/>
      <c r="AI278" s="42"/>
      <c r="AJ278" s="42"/>
      <c r="AK278" s="42"/>
      <c r="AL278" s="42" t="s">
        <v>734</v>
      </c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68">
        <v>27</v>
      </c>
      <c r="BA278" s="68"/>
      <c r="BB278" s="68"/>
      <c r="BD278" s="67">
        <f>AX278*K278</f>
        <v>972</v>
      </c>
      <c r="BE278" s="67"/>
      <c r="BF278" s="37"/>
      <c r="BG278" s="69">
        <v>2</v>
      </c>
      <c r="BH278" s="71"/>
      <c r="BI278" s="71"/>
      <c r="BJ278" s="72"/>
      <c r="BN278" s="37"/>
      <c r="BO278" s="70">
        <f t="shared" si="73"/>
        <v>0</v>
      </c>
      <c r="BP278" s="37">
        <v>3</v>
      </c>
      <c r="BQ278" s="37">
        <v>4</v>
      </c>
      <c r="BR278" s="37">
        <v>4</v>
      </c>
      <c r="BS278" s="37">
        <v>3</v>
      </c>
      <c r="BT278" s="87">
        <f t="shared" si="74"/>
        <v>27</v>
      </c>
      <c r="BU278" s="87"/>
      <c r="BV278" s="87"/>
      <c r="BW278" s="87"/>
      <c r="BX278" s="87"/>
      <c r="BY278" s="87"/>
      <c r="BZ278" s="87"/>
      <c r="CA278" s="87"/>
      <c r="CB278" s="87"/>
      <c r="CC278" s="87"/>
      <c r="CD278" s="87"/>
      <c r="CF278" s="67">
        <f t="shared" si="75"/>
        <v>81</v>
      </c>
      <c r="CG278" s="67">
        <f t="shared" si="76"/>
        <v>108</v>
      </c>
      <c r="CH278" s="67">
        <f t="shared" si="77"/>
        <v>108</v>
      </c>
      <c r="CI278" s="67">
        <f t="shared" si="82"/>
        <v>81</v>
      </c>
      <c r="CJ278" s="37">
        <f t="shared" si="78"/>
        <v>45</v>
      </c>
      <c r="CK278" s="37">
        <f t="shared" si="79"/>
        <v>60</v>
      </c>
      <c r="CL278" s="37">
        <f t="shared" si="80"/>
        <v>60</v>
      </c>
      <c r="CM278" s="37">
        <f t="shared" si="81"/>
        <v>45</v>
      </c>
    </row>
    <row r="279" spans="1:91" ht="33.75">
      <c r="A279" s="3" t="s">
        <v>804</v>
      </c>
      <c r="B279" s="156">
        <v>273</v>
      </c>
      <c r="C279" s="192">
        <v>201</v>
      </c>
      <c r="D279" s="197">
        <v>71</v>
      </c>
      <c r="E279" s="198">
        <v>0.625</v>
      </c>
      <c r="F279" s="198">
        <v>0.63750000000000007</v>
      </c>
      <c r="G279" s="194" t="s">
        <v>539</v>
      </c>
      <c r="H279" s="160" t="s">
        <v>479</v>
      </c>
      <c r="I279" s="192">
        <v>15</v>
      </c>
      <c r="J279" s="195">
        <v>50</v>
      </c>
      <c r="K279" s="165">
        <v>240</v>
      </c>
      <c r="L279" s="166">
        <f t="shared" si="72"/>
        <v>3600</v>
      </c>
      <c r="M279" s="167" t="s">
        <v>751</v>
      </c>
      <c r="N279" s="150" t="s">
        <v>837</v>
      </c>
      <c r="O279" s="150">
        <v>57</v>
      </c>
      <c r="P279" s="150" t="s">
        <v>836</v>
      </c>
      <c r="Q279" s="150">
        <v>57</v>
      </c>
      <c r="R279" s="221" t="s">
        <v>2080</v>
      </c>
      <c r="S279" s="221" t="s">
        <v>2081</v>
      </c>
      <c r="T279" s="45">
        <v>2290</v>
      </c>
      <c r="U279" s="45" t="s">
        <v>1484</v>
      </c>
      <c r="V279" s="45">
        <v>2180</v>
      </c>
      <c r="W279" s="45" t="s">
        <v>1483</v>
      </c>
      <c r="X279" s="99">
        <v>44816</v>
      </c>
      <c r="Y279" s="99">
        <v>45100</v>
      </c>
      <c r="Z279" s="99"/>
      <c r="AA279" s="99"/>
      <c r="AB279" s="45" t="s">
        <v>1124</v>
      </c>
      <c r="AC279" s="45"/>
      <c r="AD279" s="42" t="s">
        <v>734</v>
      </c>
      <c r="AE279" s="42"/>
      <c r="AF279" s="42" t="s">
        <v>734</v>
      </c>
      <c r="AG279" s="42"/>
      <c r="AH279" s="42" t="s">
        <v>734</v>
      </c>
      <c r="AI279" s="42" t="s">
        <v>734</v>
      </c>
      <c r="AJ279" s="42" t="s">
        <v>734</v>
      </c>
      <c r="AK279" s="42" t="s">
        <v>734</v>
      </c>
      <c r="AL279" s="42" t="s">
        <v>734</v>
      </c>
      <c r="AM279" s="42" t="s">
        <v>734</v>
      </c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68"/>
      <c r="AZ279" s="67">
        <f>3*I279</f>
        <v>45</v>
      </c>
      <c r="BA279" s="68"/>
      <c r="BB279" s="68"/>
      <c r="BF279" s="67">
        <f>AZ279*K279</f>
        <v>10800</v>
      </c>
      <c r="BG279" s="69">
        <v>2</v>
      </c>
      <c r="BH279" s="73"/>
      <c r="BI279" s="79"/>
      <c r="BJ279" s="73"/>
      <c r="BK279" s="73"/>
      <c r="BL279" s="73"/>
      <c r="BM279" s="73"/>
      <c r="BN279" s="37"/>
      <c r="BO279" s="70">
        <f t="shared" si="73"/>
        <v>0</v>
      </c>
      <c r="BP279" s="37">
        <v>17</v>
      </c>
      <c r="BQ279" s="37">
        <v>26</v>
      </c>
      <c r="BR279" s="37">
        <v>25</v>
      </c>
      <c r="BS279" s="37">
        <v>25</v>
      </c>
      <c r="BT279" s="87">
        <f t="shared" si="74"/>
        <v>45</v>
      </c>
      <c r="BU279" s="87"/>
      <c r="BV279" s="87"/>
      <c r="BW279" s="87"/>
      <c r="BX279" s="87"/>
      <c r="BY279" s="87"/>
      <c r="BZ279" s="87"/>
      <c r="CA279" s="87"/>
      <c r="CB279" s="87"/>
      <c r="CC279" s="87"/>
      <c r="CD279" s="87"/>
      <c r="CF279" s="67">
        <f t="shared" si="75"/>
        <v>765</v>
      </c>
      <c r="CG279" s="67">
        <f t="shared" si="76"/>
        <v>1170</v>
      </c>
      <c r="CH279" s="67">
        <f t="shared" si="77"/>
        <v>1125</v>
      </c>
      <c r="CI279" s="67">
        <f t="shared" si="82"/>
        <v>1125</v>
      </c>
      <c r="CJ279" s="37">
        <f t="shared" si="78"/>
        <v>255</v>
      </c>
      <c r="CK279" s="37">
        <f t="shared" si="79"/>
        <v>390</v>
      </c>
      <c r="CL279" s="37">
        <f t="shared" si="80"/>
        <v>375</v>
      </c>
      <c r="CM279" s="37">
        <f t="shared" si="81"/>
        <v>375</v>
      </c>
    </row>
    <row r="280" spans="1:91" ht="25.5">
      <c r="A280" s="3" t="s">
        <v>804</v>
      </c>
      <c r="B280" s="156">
        <v>274</v>
      </c>
      <c r="C280" s="192">
        <v>201</v>
      </c>
      <c r="D280" s="197">
        <v>71</v>
      </c>
      <c r="E280" s="198">
        <v>0.625</v>
      </c>
      <c r="F280" s="198">
        <v>0.63750000000000007</v>
      </c>
      <c r="G280" s="194" t="s">
        <v>539</v>
      </c>
      <c r="H280" s="160" t="s">
        <v>444</v>
      </c>
      <c r="I280" s="192">
        <v>15</v>
      </c>
      <c r="J280" s="195">
        <v>50</v>
      </c>
      <c r="K280" s="199">
        <v>47</v>
      </c>
      <c r="L280" s="166">
        <f t="shared" si="72"/>
        <v>705</v>
      </c>
      <c r="M280" s="167" t="s">
        <v>744</v>
      </c>
      <c r="N280" s="150" t="s">
        <v>977</v>
      </c>
      <c r="O280" s="150">
        <v>54</v>
      </c>
      <c r="P280" s="150" t="s">
        <v>801</v>
      </c>
      <c r="Q280" s="150">
        <v>45</v>
      </c>
      <c r="R280" s="150" t="s">
        <v>800</v>
      </c>
      <c r="S280" s="150">
        <v>37</v>
      </c>
      <c r="T280" s="45">
        <v>2290</v>
      </c>
      <c r="U280" s="45" t="s">
        <v>1484</v>
      </c>
      <c r="V280" s="45">
        <v>2180</v>
      </c>
      <c r="W280" s="45" t="s">
        <v>1483</v>
      </c>
      <c r="X280" s="99">
        <v>44816</v>
      </c>
      <c r="Y280" s="99">
        <v>45100</v>
      </c>
      <c r="Z280" s="99"/>
      <c r="AA280" s="99"/>
      <c r="AB280" s="46" t="s">
        <v>1115</v>
      </c>
      <c r="AC280" s="46"/>
      <c r="AD280" s="42" t="s">
        <v>734</v>
      </c>
      <c r="AE280" s="42"/>
      <c r="AF280" s="42"/>
      <c r="AG280" s="42"/>
      <c r="AH280" s="42"/>
      <c r="AI280" s="42"/>
      <c r="AJ280" s="42"/>
      <c r="AK280" s="42"/>
      <c r="AL280" s="42"/>
      <c r="AM280" s="42"/>
      <c r="AN280" s="42" t="s">
        <v>734</v>
      </c>
      <c r="AO280" s="42"/>
      <c r="AP280" s="42"/>
      <c r="AQ280" s="42"/>
      <c r="AR280" s="42"/>
      <c r="AS280" s="42"/>
      <c r="AT280" s="42"/>
      <c r="AU280" s="42"/>
      <c r="AV280" s="42"/>
      <c r="AW280" s="42"/>
      <c r="AX280" s="68"/>
      <c r="AZ280" s="67">
        <f>3*I280</f>
        <v>45</v>
      </c>
      <c r="BA280" s="68"/>
      <c r="BB280" s="68"/>
      <c r="BF280" s="67">
        <f>AZ280*K280</f>
        <v>2115</v>
      </c>
      <c r="BG280" s="69">
        <v>2</v>
      </c>
      <c r="BH280" s="73"/>
      <c r="BI280" s="79"/>
      <c r="BJ280" s="73"/>
      <c r="BK280" s="73"/>
      <c r="BL280" s="73"/>
      <c r="BM280" s="73"/>
      <c r="BN280" s="37"/>
      <c r="BO280" s="70">
        <f t="shared" si="73"/>
        <v>0</v>
      </c>
      <c r="BP280" s="37">
        <v>2</v>
      </c>
      <c r="BQ280" s="37">
        <v>5</v>
      </c>
      <c r="BR280" s="37">
        <v>5</v>
      </c>
      <c r="BS280" s="37">
        <v>6</v>
      </c>
      <c r="BT280" s="87">
        <f t="shared" si="74"/>
        <v>45</v>
      </c>
      <c r="BU280" s="87"/>
      <c r="BV280" s="87"/>
      <c r="BW280" s="87"/>
      <c r="BX280" s="87"/>
      <c r="BY280" s="87"/>
      <c r="BZ280" s="87"/>
      <c r="CA280" s="87"/>
      <c r="CB280" s="87"/>
      <c r="CC280" s="87"/>
      <c r="CD280" s="87"/>
      <c r="CF280" s="67">
        <f t="shared" si="75"/>
        <v>90</v>
      </c>
      <c r="CG280" s="67">
        <f t="shared" si="76"/>
        <v>225</v>
      </c>
      <c r="CH280" s="67">
        <f t="shared" si="77"/>
        <v>225</v>
      </c>
      <c r="CI280" s="67">
        <f t="shared" si="82"/>
        <v>270</v>
      </c>
      <c r="CJ280" s="37">
        <f t="shared" si="78"/>
        <v>30</v>
      </c>
      <c r="CK280" s="37">
        <f t="shared" si="79"/>
        <v>75</v>
      </c>
      <c r="CL280" s="37">
        <f t="shared" si="80"/>
        <v>75</v>
      </c>
      <c r="CM280" s="37">
        <f t="shared" si="81"/>
        <v>90</v>
      </c>
    </row>
    <row r="281" spans="1:91" ht="25.5">
      <c r="A281" s="3" t="s">
        <v>803</v>
      </c>
      <c r="B281" s="156">
        <v>275</v>
      </c>
      <c r="C281" s="192">
        <v>201</v>
      </c>
      <c r="D281" s="192">
        <v>71</v>
      </c>
      <c r="E281" s="198">
        <v>0.625</v>
      </c>
      <c r="F281" s="198">
        <v>0.67222222222222217</v>
      </c>
      <c r="G281" s="194" t="s">
        <v>543</v>
      </c>
      <c r="H281" s="160" t="s">
        <v>550</v>
      </c>
      <c r="I281" s="192">
        <v>44</v>
      </c>
      <c r="J281" s="195">
        <v>50</v>
      </c>
      <c r="K281" s="199">
        <v>13</v>
      </c>
      <c r="L281" s="166">
        <f t="shared" si="72"/>
        <v>572</v>
      </c>
      <c r="M281" s="186" t="s">
        <v>745</v>
      </c>
      <c r="N281" s="154" t="s">
        <v>1921</v>
      </c>
      <c r="O281" s="154">
        <v>56</v>
      </c>
      <c r="T281" s="45">
        <v>2290</v>
      </c>
      <c r="U281" s="45" t="s">
        <v>1484</v>
      </c>
      <c r="V281" s="45">
        <v>1</v>
      </c>
      <c r="W281" s="45" t="s">
        <v>1339</v>
      </c>
      <c r="X281" s="99">
        <v>44562</v>
      </c>
      <c r="Y281" s="99">
        <v>44815</v>
      </c>
      <c r="Z281" s="99">
        <v>45101</v>
      </c>
      <c r="AA281" s="99">
        <v>45169</v>
      </c>
      <c r="AB281" s="36" t="s">
        <v>1116</v>
      </c>
      <c r="AC281" s="36"/>
      <c r="AD281" s="42"/>
      <c r="AE281" s="42" t="s">
        <v>734</v>
      </c>
      <c r="AF281" s="42"/>
      <c r="AG281" s="42"/>
      <c r="AH281" s="42"/>
      <c r="AI281" s="42"/>
      <c r="AJ281" s="42"/>
      <c r="AK281" s="42"/>
      <c r="AL281" s="42"/>
      <c r="AM281" s="42"/>
      <c r="AN281" s="42" t="s">
        <v>734</v>
      </c>
      <c r="AO281" s="42"/>
      <c r="AP281" s="42"/>
      <c r="AQ281" s="42"/>
      <c r="AR281" s="42"/>
      <c r="AS281" s="42"/>
      <c r="AT281" s="42"/>
      <c r="AU281" s="42"/>
      <c r="AV281" s="42"/>
      <c r="AW281" s="42"/>
      <c r="AX281" s="68"/>
      <c r="AY281" s="37"/>
      <c r="BB281" s="38" t="s">
        <v>1021</v>
      </c>
      <c r="BD281" s="67">
        <f>AX281*K281</f>
        <v>0</v>
      </c>
      <c r="BF281" s="37"/>
      <c r="BG281" s="69">
        <v>2</v>
      </c>
      <c r="BI281" s="67"/>
      <c r="BJ281" s="37"/>
      <c r="BN281" s="37"/>
      <c r="BO281" s="70">
        <f t="shared" si="73"/>
        <v>0</v>
      </c>
      <c r="BP281" s="37">
        <v>2</v>
      </c>
      <c r="BQ281" s="37">
        <v>0</v>
      </c>
      <c r="BR281" s="37">
        <v>0</v>
      </c>
      <c r="BT281" s="87">
        <f t="shared" si="74"/>
        <v>0</v>
      </c>
      <c r="BU281" s="87"/>
      <c r="BV281" s="87"/>
      <c r="BW281" s="87"/>
      <c r="BX281" s="87"/>
      <c r="BY281" s="87"/>
      <c r="BZ281" s="87"/>
      <c r="CA281" s="87"/>
      <c r="CB281" s="87"/>
      <c r="CC281" s="87"/>
      <c r="CD281" s="87"/>
      <c r="CF281" s="67">
        <f t="shared" si="75"/>
        <v>0</v>
      </c>
      <c r="CG281" s="67">
        <f t="shared" si="76"/>
        <v>0</v>
      </c>
      <c r="CH281" s="67">
        <f t="shared" si="77"/>
        <v>0</v>
      </c>
      <c r="CI281" s="67">
        <f t="shared" si="82"/>
        <v>0</v>
      </c>
      <c r="CJ281" s="37">
        <f t="shared" si="78"/>
        <v>88</v>
      </c>
      <c r="CK281" s="37">
        <f t="shared" si="79"/>
        <v>0</v>
      </c>
      <c r="CL281" s="37">
        <f t="shared" si="80"/>
        <v>0</v>
      </c>
      <c r="CM281" s="37">
        <f t="shared" si="81"/>
        <v>0</v>
      </c>
    </row>
    <row r="282" spans="1:91" ht="33.75">
      <c r="A282" s="3" t="s">
        <v>804</v>
      </c>
      <c r="B282" s="156">
        <v>276</v>
      </c>
      <c r="C282" s="192">
        <v>201</v>
      </c>
      <c r="D282" s="197">
        <v>530</v>
      </c>
      <c r="E282" s="198">
        <v>0.64861111111111114</v>
      </c>
      <c r="F282" s="198">
        <v>0.66111111111111109</v>
      </c>
      <c r="G282" s="194" t="s">
        <v>540</v>
      </c>
      <c r="H282" s="160" t="s">
        <v>479</v>
      </c>
      <c r="I282" s="192">
        <v>15</v>
      </c>
      <c r="J282" s="195">
        <v>50</v>
      </c>
      <c r="K282" s="199">
        <v>240</v>
      </c>
      <c r="L282" s="166">
        <f t="shared" si="72"/>
        <v>3600</v>
      </c>
      <c r="M282" s="167" t="s">
        <v>751</v>
      </c>
      <c r="N282" s="150" t="s">
        <v>837</v>
      </c>
      <c r="O282" s="150">
        <v>57</v>
      </c>
      <c r="P282" s="150" t="s">
        <v>836</v>
      </c>
      <c r="Q282" s="150">
        <v>57</v>
      </c>
      <c r="R282" s="221" t="s">
        <v>2080</v>
      </c>
      <c r="S282" s="221" t="s">
        <v>2081</v>
      </c>
      <c r="T282" s="45">
        <v>2180</v>
      </c>
      <c r="U282" s="45" t="s">
        <v>1483</v>
      </c>
      <c r="V282" s="45">
        <v>2290</v>
      </c>
      <c r="W282" s="45" t="s">
        <v>1484</v>
      </c>
      <c r="X282" s="99">
        <v>44816</v>
      </c>
      <c r="Y282" s="99">
        <v>45100</v>
      </c>
      <c r="Z282" s="99"/>
      <c r="AA282" s="99"/>
      <c r="AB282" s="45" t="s">
        <v>1124</v>
      </c>
      <c r="AC282" s="45"/>
      <c r="AD282" s="42" t="s">
        <v>734</v>
      </c>
      <c r="AE282" s="42"/>
      <c r="AF282" s="42" t="s">
        <v>734</v>
      </c>
      <c r="AG282" s="42"/>
      <c r="AH282" s="42" t="s">
        <v>734</v>
      </c>
      <c r="AI282" s="42" t="s">
        <v>734</v>
      </c>
      <c r="AJ282" s="42" t="s">
        <v>734</v>
      </c>
      <c r="AK282" s="42" t="s">
        <v>734</v>
      </c>
      <c r="AL282" s="42" t="s">
        <v>734</v>
      </c>
      <c r="AM282" s="42" t="s">
        <v>734</v>
      </c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68"/>
      <c r="AY282" s="37"/>
      <c r="AZ282" s="67">
        <f>3*I282</f>
        <v>45</v>
      </c>
      <c r="BA282" s="68"/>
      <c r="BB282" s="68"/>
      <c r="BF282" s="67">
        <f>AZ282*K282</f>
        <v>10800</v>
      </c>
      <c r="BG282" s="69">
        <v>2</v>
      </c>
      <c r="BH282" s="73"/>
      <c r="BI282" s="79"/>
      <c r="BJ282" s="73"/>
      <c r="BK282" s="73"/>
      <c r="BL282" s="73"/>
      <c r="BM282" s="73"/>
      <c r="BN282" s="37"/>
      <c r="BO282" s="70">
        <f t="shared" si="73"/>
        <v>0</v>
      </c>
      <c r="BP282" s="37">
        <v>17</v>
      </c>
      <c r="BQ282" s="37">
        <v>26</v>
      </c>
      <c r="BR282" s="37">
        <v>25</v>
      </c>
      <c r="BS282" s="37">
        <v>25</v>
      </c>
      <c r="BT282" s="87">
        <f t="shared" si="74"/>
        <v>45</v>
      </c>
      <c r="BU282" s="87"/>
      <c r="BV282" s="87"/>
      <c r="BW282" s="87"/>
      <c r="BX282" s="87"/>
      <c r="BY282" s="87"/>
      <c r="BZ282" s="87"/>
      <c r="CA282" s="87"/>
      <c r="CB282" s="87"/>
      <c r="CC282" s="87"/>
      <c r="CD282" s="87"/>
      <c r="CF282" s="67">
        <f t="shared" si="75"/>
        <v>765</v>
      </c>
      <c r="CG282" s="67">
        <f t="shared" si="76"/>
        <v>1170</v>
      </c>
      <c r="CH282" s="67">
        <f t="shared" si="77"/>
        <v>1125</v>
      </c>
      <c r="CI282" s="67">
        <f t="shared" si="82"/>
        <v>1125</v>
      </c>
      <c r="CJ282" s="37">
        <f t="shared" si="78"/>
        <v>255</v>
      </c>
      <c r="CK282" s="37">
        <f t="shared" si="79"/>
        <v>390</v>
      </c>
      <c r="CL282" s="37">
        <f t="shared" si="80"/>
        <v>375</v>
      </c>
      <c r="CM282" s="37">
        <f t="shared" si="81"/>
        <v>375</v>
      </c>
    </row>
    <row r="283" spans="1:91" ht="25.5">
      <c r="A283" s="3" t="s">
        <v>804</v>
      </c>
      <c r="B283" s="156">
        <v>277</v>
      </c>
      <c r="C283" s="192">
        <v>201</v>
      </c>
      <c r="D283" s="197">
        <v>530</v>
      </c>
      <c r="E283" s="198">
        <v>0.64861111111111114</v>
      </c>
      <c r="F283" s="198">
        <v>0.66111111111111109</v>
      </c>
      <c r="G283" s="194" t="s">
        <v>540</v>
      </c>
      <c r="H283" s="160" t="s">
        <v>444</v>
      </c>
      <c r="I283" s="192">
        <v>15</v>
      </c>
      <c r="J283" s="195">
        <v>50</v>
      </c>
      <c r="K283" s="199">
        <v>47</v>
      </c>
      <c r="L283" s="166">
        <f t="shared" si="72"/>
        <v>705</v>
      </c>
      <c r="M283" s="167" t="s">
        <v>744</v>
      </c>
      <c r="N283" s="150" t="s">
        <v>977</v>
      </c>
      <c r="O283" s="150">
        <v>54</v>
      </c>
      <c r="P283" s="150" t="s">
        <v>801</v>
      </c>
      <c r="Q283" s="150">
        <v>45</v>
      </c>
      <c r="R283" s="150" t="s">
        <v>800</v>
      </c>
      <c r="S283" s="150">
        <v>37</v>
      </c>
      <c r="T283" s="45">
        <v>2180</v>
      </c>
      <c r="U283" s="45" t="s">
        <v>1483</v>
      </c>
      <c r="V283" s="45">
        <v>2290</v>
      </c>
      <c r="W283" s="45" t="s">
        <v>1484</v>
      </c>
      <c r="X283" s="99">
        <v>44816</v>
      </c>
      <c r="Y283" s="99">
        <v>45100</v>
      </c>
      <c r="Z283" s="99"/>
      <c r="AA283" s="99"/>
      <c r="AB283" s="46" t="s">
        <v>1115</v>
      </c>
      <c r="AC283" s="46"/>
      <c r="AD283" s="42" t="s">
        <v>734</v>
      </c>
      <c r="AE283" s="42"/>
      <c r="AF283" s="42"/>
      <c r="AG283" s="42"/>
      <c r="AH283" s="42"/>
      <c r="AI283" s="42"/>
      <c r="AJ283" s="42"/>
      <c r="AK283" s="42"/>
      <c r="AL283" s="42"/>
      <c r="AM283" s="42"/>
      <c r="AN283" s="42" t="s">
        <v>734</v>
      </c>
      <c r="AO283" s="42"/>
      <c r="AP283" s="42"/>
      <c r="AQ283" s="42"/>
      <c r="AR283" s="42"/>
      <c r="AS283" s="42"/>
      <c r="AT283" s="42"/>
      <c r="AU283" s="42"/>
      <c r="AV283" s="42"/>
      <c r="AW283" s="42"/>
      <c r="AX283" s="68"/>
      <c r="AY283" s="37"/>
      <c r="AZ283" s="67">
        <f>3*I283</f>
        <v>45</v>
      </c>
      <c r="BA283" s="68"/>
      <c r="BB283" s="68"/>
      <c r="BF283" s="67">
        <f>AZ283*K283</f>
        <v>2115</v>
      </c>
      <c r="BG283" s="69">
        <v>2</v>
      </c>
      <c r="BH283" s="73"/>
      <c r="BI283" s="79"/>
      <c r="BJ283" s="73"/>
      <c r="BK283" s="73"/>
      <c r="BL283" s="73"/>
      <c r="BM283" s="73"/>
      <c r="BN283" s="37"/>
      <c r="BO283" s="70">
        <f t="shared" si="73"/>
        <v>0</v>
      </c>
      <c r="BP283" s="37">
        <v>2</v>
      </c>
      <c r="BQ283" s="37">
        <v>5</v>
      </c>
      <c r="BR283" s="37">
        <v>5</v>
      </c>
      <c r="BS283" s="37">
        <v>6</v>
      </c>
      <c r="BT283" s="87">
        <f t="shared" si="74"/>
        <v>45</v>
      </c>
      <c r="BU283" s="87"/>
      <c r="BV283" s="87"/>
      <c r="BW283" s="87"/>
      <c r="BX283" s="87"/>
      <c r="BY283" s="87"/>
      <c r="BZ283" s="87"/>
      <c r="CA283" s="87"/>
      <c r="CB283" s="87"/>
      <c r="CC283" s="87"/>
      <c r="CD283" s="87"/>
      <c r="CF283" s="67">
        <f t="shared" si="75"/>
        <v>90</v>
      </c>
      <c r="CG283" s="67">
        <f t="shared" si="76"/>
        <v>225</v>
      </c>
      <c r="CH283" s="67">
        <f t="shared" si="77"/>
        <v>225</v>
      </c>
      <c r="CI283" s="67">
        <f t="shared" si="82"/>
        <v>270</v>
      </c>
      <c r="CJ283" s="37">
        <f t="shared" si="78"/>
        <v>30</v>
      </c>
      <c r="CK283" s="37">
        <f t="shared" si="79"/>
        <v>75</v>
      </c>
      <c r="CL283" s="37">
        <f t="shared" si="80"/>
        <v>75</v>
      </c>
      <c r="CM283" s="37">
        <f t="shared" si="81"/>
        <v>90</v>
      </c>
    </row>
    <row r="284" spans="1:91" ht="25.5">
      <c r="A284" s="3" t="s">
        <v>803</v>
      </c>
      <c r="B284" s="156">
        <v>278</v>
      </c>
      <c r="C284" s="192">
        <v>201</v>
      </c>
      <c r="D284" s="192">
        <v>73</v>
      </c>
      <c r="E284" s="198">
        <v>0.70833333333333337</v>
      </c>
      <c r="F284" s="198">
        <v>0.72083333333333333</v>
      </c>
      <c r="G284" s="194" t="s">
        <v>539</v>
      </c>
      <c r="H284" s="160" t="s">
        <v>424</v>
      </c>
      <c r="I284" s="192">
        <v>16</v>
      </c>
      <c r="J284" s="195">
        <v>50</v>
      </c>
      <c r="K284" s="199">
        <v>67</v>
      </c>
      <c r="L284" s="166">
        <f t="shared" si="72"/>
        <v>1072</v>
      </c>
      <c r="M284" s="167" t="s">
        <v>744</v>
      </c>
      <c r="N284" s="154" t="s">
        <v>977</v>
      </c>
      <c r="O284" s="154">
        <v>54</v>
      </c>
      <c r="P284" s="154" t="s">
        <v>801</v>
      </c>
      <c r="Q284" s="154">
        <v>45</v>
      </c>
      <c r="R284" s="154" t="s">
        <v>802</v>
      </c>
      <c r="S284" s="152">
        <v>28</v>
      </c>
      <c r="T284" s="45">
        <v>2290</v>
      </c>
      <c r="U284" s="45" t="s">
        <v>1484</v>
      </c>
      <c r="V284" s="45">
        <v>2180</v>
      </c>
      <c r="W284" s="45" t="s">
        <v>1483</v>
      </c>
      <c r="X284" s="99">
        <v>44562</v>
      </c>
      <c r="Y284" s="99">
        <v>44815</v>
      </c>
      <c r="Z284" s="99">
        <v>45101</v>
      </c>
      <c r="AA284" s="99">
        <v>45169</v>
      </c>
      <c r="AB284" s="42" t="s">
        <v>1119</v>
      </c>
      <c r="AC284" s="42"/>
      <c r="AD284" s="42"/>
      <c r="AE284" s="42" t="s">
        <v>734</v>
      </c>
      <c r="AF284" s="42" t="s">
        <v>734</v>
      </c>
      <c r="AG284" s="42"/>
      <c r="AH284" s="42" t="s">
        <v>734</v>
      </c>
      <c r="AI284" s="42" t="s">
        <v>734</v>
      </c>
      <c r="AJ284" s="42" t="s">
        <v>734</v>
      </c>
      <c r="AK284" s="42" t="s">
        <v>734</v>
      </c>
      <c r="AL284" s="42" t="s">
        <v>734</v>
      </c>
      <c r="AM284" s="42" t="s">
        <v>734</v>
      </c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68"/>
      <c r="AY284" s="37"/>
      <c r="BB284" s="80" t="s">
        <v>744</v>
      </c>
      <c r="BD284" s="67">
        <f>AX284*K284</f>
        <v>0</v>
      </c>
      <c r="BF284" s="37"/>
      <c r="BG284" s="69">
        <v>2</v>
      </c>
      <c r="BI284" s="67"/>
      <c r="BJ284" s="37"/>
      <c r="BN284" s="37"/>
      <c r="BO284" s="70">
        <f t="shared" si="73"/>
        <v>0</v>
      </c>
      <c r="BP284" s="37">
        <v>9</v>
      </c>
      <c r="BQ284" s="37">
        <v>0</v>
      </c>
      <c r="BR284" s="37">
        <v>0</v>
      </c>
      <c r="BS284" s="37">
        <v>0</v>
      </c>
      <c r="BT284" s="87">
        <f t="shared" si="74"/>
        <v>0</v>
      </c>
      <c r="BU284" s="87" t="s">
        <v>1119</v>
      </c>
      <c r="BV284" s="127">
        <v>9</v>
      </c>
      <c r="BW284" s="127"/>
      <c r="BX284" s="127">
        <v>0</v>
      </c>
      <c r="BY284" s="127"/>
      <c r="BZ284" s="127">
        <v>0</v>
      </c>
      <c r="CA284" s="127"/>
      <c r="CB284" s="127">
        <v>0</v>
      </c>
      <c r="CC284" s="127"/>
      <c r="CD284" s="87">
        <v>350</v>
      </c>
      <c r="CF284" s="67">
        <f t="shared" si="75"/>
        <v>3150</v>
      </c>
      <c r="CG284" s="67">
        <f t="shared" si="76"/>
        <v>0</v>
      </c>
      <c r="CH284" s="67">
        <f t="shared" si="77"/>
        <v>0</v>
      </c>
      <c r="CI284" s="67">
        <f t="shared" si="82"/>
        <v>0</v>
      </c>
      <c r="CJ284" s="37">
        <f t="shared" si="78"/>
        <v>144</v>
      </c>
      <c r="CK284" s="37">
        <f t="shared" si="79"/>
        <v>0</v>
      </c>
      <c r="CL284" s="37">
        <f t="shared" si="80"/>
        <v>0</v>
      </c>
      <c r="CM284" s="37">
        <f t="shared" si="81"/>
        <v>0</v>
      </c>
    </row>
    <row r="285" spans="1:91" ht="25.5">
      <c r="A285" s="3" t="s">
        <v>804</v>
      </c>
      <c r="B285" s="156">
        <v>279</v>
      </c>
      <c r="C285" s="192">
        <v>201</v>
      </c>
      <c r="D285" s="197">
        <v>73</v>
      </c>
      <c r="E285" s="198">
        <v>0.71180555555555547</v>
      </c>
      <c r="F285" s="198">
        <v>0.72430555555555554</v>
      </c>
      <c r="G285" s="194" t="s">
        <v>539</v>
      </c>
      <c r="H285" s="160" t="s">
        <v>479</v>
      </c>
      <c r="I285" s="192">
        <v>15</v>
      </c>
      <c r="J285" s="195">
        <v>50</v>
      </c>
      <c r="K285" s="199">
        <v>240</v>
      </c>
      <c r="L285" s="166">
        <f t="shared" si="72"/>
        <v>3600</v>
      </c>
      <c r="M285" s="167" t="s">
        <v>754</v>
      </c>
      <c r="N285" s="150" t="s">
        <v>891</v>
      </c>
      <c r="O285" s="150">
        <v>57</v>
      </c>
      <c r="P285" s="150" t="s">
        <v>1922</v>
      </c>
      <c r="Q285" s="150">
        <v>57</v>
      </c>
      <c r="R285" s="150" t="s">
        <v>1263</v>
      </c>
      <c r="S285" s="150">
        <v>38</v>
      </c>
      <c r="T285" s="45">
        <v>2290</v>
      </c>
      <c r="U285" s="45" t="s">
        <v>1484</v>
      </c>
      <c r="V285" s="45">
        <v>2180</v>
      </c>
      <c r="W285" s="45" t="s">
        <v>1483</v>
      </c>
      <c r="X285" s="99">
        <v>44816</v>
      </c>
      <c r="Y285" s="99">
        <v>45100</v>
      </c>
      <c r="Z285" s="99"/>
      <c r="AA285" s="99"/>
      <c r="AB285" s="45" t="s">
        <v>1124</v>
      </c>
      <c r="AC285" s="45"/>
      <c r="AD285" s="42" t="s">
        <v>734</v>
      </c>
      <c r="AE285" s="42"/>
      <c r="AF285" s="42" t="s">
        <v>734</v>
      </c>
      <c r="AG285" s="42"/>
      <c r="AH285" s="42" t="s">
        <v>734</v>
      </c>
      <c r="AI285" s="42" t="s">
        <v>734</v>
      </c>
      <c r="AJ285" s="42" t="s">
        <v>734</v>
      </c>
      <c r="AK285" s="42" t="s">
        <v>734</v>
      </c>
      <c r="AL285" s="42" t="s">
        <v>734</v>
      </c>
      <c r="AM285" s="42" t="s">
        <v>734</v>
      </c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68"/>
      <c r="AY285" s="37"/>
      <c r="AZ285" s="67">
        <f>3*I285</f>
        <v>45</v>
      </c>
      <c r="BA285" s="68"/>
      <c r="BB285" s="68"/>
      <c r="BF285" s="67">
        <f>AZ285*K285</f>
        <v>10800</v>
      </c>
      <c r="BG285" s="69">
        <v>2</v>
      </c>
      <c r="BH285" s="73"/>
      <c r="BI285" s="79"/>
      <c r="BJ285" s="73"/>
      <c r="BK285" s="73"/>
      <c r="BL285" s="73"/>
      <c r="BM285" s="73"/>
      <c r="BN285" s="37"/>
      <c r="BO285" s="70">
        <f t="shared" si="73"/>
        <v>0</v>
      </c>
      <c r="BP285" s="37">
        <v>17</v>
      </c>
      <c r="BQ285" s="37">
        <v>26</v>
      </c>
      <c r="BR285" s="37">
        <v>25</v>
      </c>
      <c r="BS285" s="37">
        <v>25</v>
      </c>
      <c r="BT285" s="87">
        <f t="shared" si="74"/>
        <v>45</v>
      </c>
      <c r="BU285" s="87"/>
      <c r="BV285" s="87"/>
      <c r="BW285" s="87"/>
      <c r="BX285" s="87"/>
      <c r="BY285" s="87"/>
      <c r="BZ285" s="87"/>
      <c r="CA285" s="87"/>
      <c r="CB285" s="87"/>
      <c r="CC285" s="87"/>
      <c r="CD285" s="87"/>
      <c r="CF285" s="67">
        <f t="shared" si="75"/>
        <v>765</v>
      </c>
      <c r="CG285" s="67">
        <f t="shared" si="76"/>
        <v>1170</v>
      </c>
      <c r="CH285" s="67">
        <f t="shared" si="77"/>
        <v>1125</v>
      </c>
      <c r="CI285" s="67">
        <f t="shared" si="82"/>
        <v>1125</v>
      </c>
      <c r="CJ285" s="37">
        <f t="shared" si="78"/>
        <v>255</v>
      </c>
      <c r="CK285" s="37">
        <f t="shared" si="79"/>
        <v>390</v>
      </c>
      <c r="CL285" s="37">
        <f t="shared" si="80"/>
        <v>375</v>
      </c>
      <c r="CM285" s="37">
        <f t="shared" si="81"/>
        <v>375</v>
      </c>
    </row>
    <row r="286" spans="1:91" ht="25.5">
      <c r="A286" s="3" t="s">
        <v>804</v>
      </c>
      <c r="B286" s="156">
        <v>280</v>
      </c>
      <c r="C286" s="192">
        <v>201</v>
      </c>
      <c r="D286" s="197">
        <v>73</v>
      </c>
      <c r="E286" s="198">
        <v>0.71180555555555547</v>
      </c>
      <c r="F286" s="198">
        <v>0.72430555555555554</v>
      </c>
      <c r="G286" s="194" t="s">
        <v>539</v>
      </c>
      <c r="H286" s="160" t="s">
        <v>444</v>
      </c>
      <c r="I286" s="192">
        <v>15</v>
      </c>
      <c r="J286" s="195">
        <v>50</v>
      </c>
      <c r="K286" s="199">
        <v>47</v>
      </c>
      <c r="L286" s="166">
        <f t="shared" si="72"/>
        <v>705</v>
      </c>
      <c r="M286" s="167" t="s">
        <v>744</v>
      </c>
      <c r="N286" s="150" t="s">
        <v>977</v>
      </c>
      <c r="O286" s="150">
        <v>54</v>
      </c>
      <c r="P286" s="150" t="s">
        <v>801</v>
      </c>
      <c r="Q286" s="150">
        <v>45</v>
      </c>
      <c r="R286" s="150" t="s">
        <v>800</v>
      </c>
      <c r="S286" s="150">
        <v>37</v>
      </c>
      <c r="T286" s="45">
        <v>2290</v>
      </c>
      <c r="U286" s="45" t="s">
        <v>1484</v>
      </c>
      <c r="V286" s="45">
        <v>2180</v>
      </c>
      <c r="W286" s="45" t="s">
        <v>1483</v>
      </c>
      <c r="X286" s="99">
        <v>44816</v>
      </c>
      <c r="Y286" s="99">
        <v>45100</v>
      </c>
      <c r="Z286" s="99"/>
      <c r="AA286" s="99"/>
      <c r="AB286" s="46" t="s">
        <v>1115</v>
      </c>
      <c r="AC286" s="46"/>
      <c r="AD286" s="42" t="s">
        <v>734</v>
      </c>
      <c r="AE286" s="42"/>
      <c r="AF286" s="42"/>
      <c r="AG286" s="42"/>
      <c r="AH286" s="42"/>
      <c r="AI286" s="42"/>
      <c r="AJ286" s="42"/>
      <c r="AK286" s="42"/>
      <c r="AL286" s="42"/>
      <c r="AM286" s="42"/>
      <c r="AN286" s="42" t="s">
        <v>734</v>
      </c>
      <c r="AO286" s="42"/>
      <c r="AP286" s="42"/>
      <c r="AQ286" s="42"/>
      <c r="AR286" s="42"/>
      <c r="AS286" s="42"/>
      <c r="AT286" s="42"/>
      <c r="AU286" s="42"/>
      <c r="AV286" s="42"/>
      <c r="AW286" s="42"/>
      <c r="AX286" s="68"/>
      <c r="AY286" s="37"/>
      <c r="AZ286" s="67">
        <f>3*I286</f>
        <v>45</v>
      </c>
      <c r="BA286" s="68"/>
      <c r="BB286" s="68"/>
      <c r="BF286" s="67">
        <f>AZ286*K286</f>
        <v>2115</v>
      </c>
      <c r="BG286" s="69">
        <v>2</v>
      </c>
      <c r="BH286" s="73"/>
      <c r="BI286" s="79"/>
      <c r="BJ286" s="73"/>
      <c r="BK286" s="73"/>
      <c r="BL286" s="73"/>
      <c r="BM286" s="73"/>
      <c r="BN286" s="37"/>
      <c r="BO286" s="70">
        <f t="shared" si="73"/>
        <v>0</v>
      </c>
      <c r="BP286" s="37">
        <v>2</v>
      </c>
      <c r="BQ286" s="37">
        <v>5</v>
      </c>
      <c r="BR286" s="37">
        <v>5</v>
      </c>
      <c r="BS286" s="37">
        <v>6</v>
      </c>
      <c r="BT286" s="87">
        <f t="shared" si="74"/>
        <v>45</v>
      </c>
      <c r="BU286" s="87"/>
      <c r="BV286" s="87"/>
      <c r="BW286" s="87"/>
      <c r="BX286" s="87"/>
      <c r="BY286" s="87"/>
      <c r="BZ286" s="87"/>
      <c r="CA286" s="87"/>
      <c r="CB286" s="87"/>
      <c r="CC286" s="87"/>
      <c r="CD286" s="87"/>
      <c r="CF286" s="67">
        <f t="shared" si="75"/>
        <v>90</v>
      </c>
      <c r="CG286" s="67">
        <f t="shared" si="76"/>
        <v>225</v>
      </c>
      <c r="CH286" s="67">
        <f t="shared" si="77"/>
        <v>225</v>
      </c>
      <c r="CI286" s="67">
        <f t="shared" si="82"/>
        <v>270</v>
      </c>
      <c r="CJ286" s="37">
        <f t="shared" si="78"/>
        <v>30</v>
      </c>
      <c r="CK286" s="37">
        <f t="shared" si="79"/>
        <v>75</v>
      </c>
      <c r="CL286" s="37">
        <f t="shared" si="80"/>
        <v>75</v>
      </c>
      <c r="CM286" s="37">
        <f t="shared" si="81"/>
        <v>90</v>
      </c>
    </row>
    <row r="287" spans="1:91" ht="25.5">
      <c r="A287" s="3" t="s">
        <v>803</v>
      </c>
      <c r="B287" s="156">
        <v>281</v>
      </c>
      <c r="C287" s="192">
        <v>201</v>
      </c>
      <c r="D287" s="192">
        <v>302</v>
      </c>
      <c r="E287" s="198">
        <v>0.7402777777777777</v>
      </c>
      <c r="F287" s="198">
        <v>0.75277777777777777</v>
      </c>
      <c r="G287" s="194" t="s">
        <v>540</v>
      </c>
      <c r="H287" s="160" t="s">
        <v>550</v>
      </c>
      <c r="I287" s="192">
        <v>16</v>
      </c>
      <c r="J287" s="195">
        <v>50</v>
      </c>
      <c r="K287" s="199">
        <v>13</v>
      </c>
      <c r="L287" s="166">
        <f t="shared" si="72"/>
        <v>208</v>
      </c>
      <c r="M287" s="186" t="s">
        <v>745</v>
      </c>
      <c r="N287" s="3" t="s">
        <v>1262</v>
      </c>
      <c r="O287" s="151">
        <v>58</v>
      </c>
      <c r="P287" s="154" t="s">
        <v>1921</v>
      </c>
      <c r="Q287" s="154">
        <v>56</v>
      </c>
      <c r="T287" s="45">
        <v>2180</v>
      </c>
      <c r="U287" s="45" t="s">
        <v>1483</v>
      </c>
      <c r="V287" s="45">
        <v>2290</v>
      </c>
      <c r="W287" s="45" t="s">
        <v>1484</v>
      </c>
      <c r="X287" s="99">
        <v>44562</v>
      </c>
      <c r="Y287" s="99">
        <v>44815</v>
      </c>
      <c r="Z287" s="99">
        <v>45101</v>
      </c>
      <c r="AA287" s="99">
        <v>45169</v>
      </c>
      <c r="AB287" s="36" t="s">
        <v>1116</v>
      </c>
      <c r="AC287" s="36"/>
      <c r="AD287" s="42"/>
      <c r="AE287" s="42" t="s">
        <v>734</v>
      </c>
      <c r="AF287" s="42"/>
      <c r="AG287" s="42"/>
      <c r="AH287" s="42"/>
      <c r="AI287" s="42"/>
      <c r="AJ287" s="42"/>
      <c r="AK287" s="42"/>
      <c r="AL287" s="42"/>
      <c r="AM287" s="42"/>
      <c r="AN287" s="42" t="s">
        <v>734</v>
      </c>
      <c r="AO287" s="42"/>
      <c r="AP287" s="42"/>
      <c r="AQ287" s="42"/>
      <c r="AR287" s="42"/>
      <c r="AS287" s="42"/>
      <c r="AT287" s="42"/>
      <c r="AU287" s="42"/>
      <c r="AV287" s="42"/>
      <c r="AW287" s="42"/>
      <c r="AX287" s="68"/>
      <c r="AY287" s="37"/>
      <c r="BB287" s="38" t="s">
        <v>1021</v>
      </c>
      <c r="BD287" s="67">
        <f>AX287*K287</f>
        <v>0</v>
      </c>
      <c r="BF287" s="37"/>
      <c r="BG287" s="69">
        <v>2</v>
      </c>
      <c r="BI287" s="67"/>
      <c r="BJ287" s="37"/>
      <c r="BN287" s="37"/>
      <c r="BO287" s="70">
        <f t="shared" si="73"/>
        <v>0</v>
      </c>
      <c r="BP287" s="37">
        <v>2</v>
      </c>
      <c r="BQ287" s="37">
        <v>0</v>
      </c>
      <c r="BR287" s="37">
        <v>0</v>
      </c>
      <c r="BT287" s="87">
        <f t="shared" si="74"/>
        <v>0</v>
      </c>
      <c r="BU287" s="87"/>
      <c r="BV287" s="87"/>
      <c r="BW287" s="87"/>
      <c r="BX287" s="87"/>
      <c r="BY287" s="87"/>
      <c r="BZ287" s="87"/>
      <c r="CA287" s="87"/>
      <c r="CB287" s="87"/>
      <c r="CC287" s="87"/>
      <c r="CD287" s="87"/>
      <c r="CF287" s="67">
        <f t="shared" si="75"/>
        <v>0</v>
      </c>
      <c r="CG287" s="67">
        <f t="shared" si="76"/>
        <v>0</v>
      </c>
      <c r="CH287" s="67">
        <f t="shared" si="77"/>
        <v>0</v>
      </c>
      <c r="CI287" s="67">
        <f t="shared" si="82"/>
        <v>0</v>
      </c>
      <c r="CJ287" s="37">
        <f t="shared" si="78"/>
        <v>32</v>
      </c>
      <c r="CK287" s="37">
        <f t="shared" si="79"/>
        <v>0</v>
      </c>
      <c r="CL287" s="37">
        <f t="shared" si="80"/>
        <v>0</v>
      </c>
      <c r="CM287" s="37">
        <f t="shared" si="81"/>
        <v>0</v>
      </c>
    </row>
    <row r="288" spans="1:91" ht="25.5">
      <c r="A288" s="3" t="s">
        <v>804</v>
      </c>
      <c r="B288" s="156">
        <v>282</v>
      </c>
      <c r="C288" s="192">
        <v>201</v>
      </c>
      <c r="D288" s="197">
        <v>302</v>
      </c>
      <c r="E288" s="198">
        <v>0.7402777777777777</v>
      </c>
      <c r="F288" s="198">
        <v>0.75277777777777777</v>
      </c>
      <c r="G288" s="194" t="s">
        <v>540</v>
      </c>
      <c r="H288" s="160" t="s">
        <v>444</v>
      </c>
      <c r="I288" s="192">
        <v>15</v>
      </c>
      <c r="J288" s="195">
        <v>50</v>
      </c>
      <c r="K288" s="199">
        <v>47</v>
      </c>
      <c r="L288" s="166">
        <f t="shared" si="72"/>
        <v>705</v>
      </c>
      <c r="M288" s="167" t="s">
        <v>744</v>
      </c>
      <c r="N288" s="150" t="s">
        <v>977</v>
      </c>
      <c r="O288" s="150">
        <v>54</v>
      </c>
      <c r="P288" s="150" t="s">
        <v>801</v>
      </c>
      <c r="Q288" s="150">
        <v>45</v>
      </c>
      <c r="R288" s="150" t="s">
        <v>800</v>
      </c>
      <c r="S288" s="150">
        <v>37</v>
      </c>
      <c r="T288" s="45">
        <v>2180</v>
      </c>
      <c r="U288" s="45" t="s">
        <v>1483</v>
      </c>
      <c r="V288" s="45">
        <v>2290</v>
      </c>
      <c r="W288" s="45" t="s">
        <v>1484</v>
      </c>
      <c r="X288" s="99">
        <v>44816</v>
      </c>
      <c r="Y288" s="99">
        <v>45100</v>
      </c>
      <c r="Z288" s="99"/>
      <c r="AA288" s="99"/>
      <c r="AB288" s="46" t="s">
        <v>1115</v>
      </c>
      <c r="AC288" s="46"/>
      <c r="AD288" s="42" t="s">
        <v>734</v>
      </c>
      <c r="AE288" s="42"/>
      <c r="AF288" s="42"/>
      <c r="AG288" s="42"/>
      <c r="AH288" s="42"/>
      <c r="AI288" s="42"/>
      <c r="AJ288" s="42"/>
      <c r="AK288" s="42"/>
      <c r="AL288" s="42"/>
      <c r="AM288" s="42"/>
      <c r="AN288" s="42" t="s">
        <v>734</v>
      </c>
      <c r="AO288" s="42"/>
      <c r="AP288" s="42"/>
      <c r="AQ288" s="42"/>
      <c r="AR288" s="42"/>
      <c r="AS288" s="42"/>
      <c r="AT288" s="42"/>
      <c r="AU288" s="42"/>
      <c r="AV288" s="42"/>
      <c r="AW288" s="42"/>
      <c r="AX288" s="68"/>
      <c r="AY288" s="37"/>
      <c r="AZ288" s="67">
        <f>3*I288</f>
        <v>45</v>
      </c>
      <c r="BA288" s="68"/>
      <c r="BB288" s="68"/>
      <c r="BF288" s="67">
        <f>AZ288*K288</f>
        <v>2115</v>
      </c>
      <c r="BG288" s="69">
        <v>2</v>
      </c>
      <c r="BH288" s="73"/>
      <c r="BI288" s="79"/>
      <c r="BJ288" s="73"/>
      <c r="BK288" s="73"/>
      <c r="BL288" s="73"/>
      <c r="BM288" s="73"/>
      <c r="BN288" s="37"/>
      <c r="BO288" s="70">
        <f t="shared" si="73"/>
        <v>0</v>
      </c>
      <c r="BP288" s="37">
        <v>2</v>
      </c>
      <c r="BQ288" s="37">
        <v>5</v>
      </c>
      <c r="BR288" s="37">
        <v>5</v>
      </c>
      <c r="BS288" s="37">
        <v>6</v>
      </c>
      <c r="BT288" s="87">
        <f t="shared" si="74"/>
        <v>45</v>
      </c>
      <c r="BU288" s="87"/>
      <c r="BV288" s="87"/>
      <c r="BW288" s="87"/>
      <c r="BX288" s="87"/>
      <c r="BY288" s="87"/>
      <c r="BZ288" s="87"/>
      <c r="CA288" s="87"/>
      <c r="CB288" s="87"/>
      <c r="CC288" s="87"/>
      <c r="CD288" s="87"/>
      <c r="CF288" s="67">
        <f t="shared" si="75"/>
        <v>90</v>
      </c>
      <c r="CG288" s="67">
        <f t="shared" si="76"/>
        <v>225</v>
      </c>
      <c r="CH288" s="67">
        <f t="shared" si="77"/>
        <v>225</v>
      </c>
      <c r="CI288" s="67">
        <f t="shared" si="82"/>
        <v>270</v>
      </c>
      <c r="CJ288" s="37">
        <f t="shared" si="78"/>
        <v>30</v>
      </c>
      <c r="CK288" s="37">
        <f t="shared" si="79"/>
        <v>75</v>
      </c>
      <c r="CL288" s="37">
        <f t="shared" si="80"/>
        <v>75</v>
      </c>
      <c r="CM288" s="37">
        <f t="shared" si="81"/>
        <v>90</v>
      </c>
    </row>
    <row r="289" spans="1:91" ht="25.5">
      <c r="A289" s="3" t="s">
        <v>804</v>
      </c>
      <c r="B289" s="156">
        <v>283</v>
      </c>
      <c r="C289" s="192">
        <v>201</v>
      </c>
      <c r="D289" s="197">
        <v>77</v>
      </c>
      <c r="E289" s="198">
        <v>0.74930555555555556</v>
      </c>
      <c r="F289" s="198">
        <v>0.76180555555555562</v>
      </c>
      <c r="G289" s="194" t="s">
        <v>539</v>
      </c>
      <c r="H289" s="160" t="s">
        <v>479</v>
      </c>
      <c r="I289" s="192">
        <v>15</v>
      </c>
      <c r="J289" s="195">
        <v>50</v>
      </c>
      <c r="K289" s="165">
        <v>240</v>
      </c>
      <c r="L289" s="166">
        <f t="shared" si="72"/>
        <v>3600</v>
      </c>
      <c r="M289" s="167" t="s">
        <v>754</v>
      </c>
      <c r="N289" s="150" t="s">
        <v>891</v>
      </c>
      <c r="O289" s="150">
        <v>57</v>
      </c>
      <c r="P289" s="150" t="s">
        <v>1922</v>
      </c>
      <c r="Q289" s="150">
        <v>57</v>
      </c>
      <c r="R289" s="150" t="s">
        <v>1263</v>
      </c>
      <c r="S289" s="150">
        <v>38</v>
      </c>
      <c r="T289" s="45">
        <v>2290</v>
      </c>
      <c r="U289" s="45" t="s">
        <v>1484</v>
      </c>
      <c r="V289" s="45">
        <v>2180</v>
      </c>
      <c r="W289" s="45" t="s">
        <v>1483</v>
      </c>
      <c r="X289" s="99">
        <v>44816</v>
      </c>
      <c r="Y289" s="99">
        <v>45100</v>
      </c>
      <c r="Z289" s="99"/>
      <c r="AA289" s="99"/>
      <c r="AB289" s="45" t="s">
        <v>1124</v>
      </c>
      <c r="AC289" s="45"/>
      <c r="AD289" s="42" t="s">
        <v>734</v>
      </c>
      <c r="AE289" s="42"/>
      <c r="AF289" s="42" t="s">
        <v>734</v>
      </c>
      <c r="AG289" s="42"/>
      <c r="AH289" s="42" t="s">
        <v>734</v>
      </c>
      <c r="AI289" s="42" t="s">
        <v>734</v>
      </c>
      <c r="AJ289" s="42" t="s">
        <v>734</v>
      </c>
      <c r="AK289" s="42" t="s">
        <v>734</v>
      </c>
      <c r="AL289" s="42" t="s">
        <v>734</v>
      </c>
      <c r="AM289" s="42" t="s">
        <v>734</v>
      </c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68"/>
      <c r="AY289" s="37"/>
      <c r="AZ289" s="67">
        <f>3*I289</f>
        <v>45</v>
      </c>
      <c r="BA289" s="68"/>
      <c r="BB289" s="68"/>
      <c r="BF289" s="67">
        <f>AZ289*K289</f>
        <v>10800</v>
      </c>
      <c r="BG289" s="69">
        <v>2</v>
      </c>
      <c r="BH289" s="73"/>
      <c r="BI289" s="79"/>
      <c r="BJ289" s="73"/>
      <c r="BK289" s="73"/>
      <c r="BL289" s="73"/>
      <c r="BM289" s="73"/>
      <c r="BN289" s="37"/>
      <c r="BO289" s="70">
        <f t="shared" si="73"/>
        <v>0</v>
      </c>
      <c r="BP289" s="37">
        <v>17</v>
      </c>
      <c r="BQ289" s="37">
        <v>26</v>
      </c>
      <c r="BR289" s="37">
        <v>25</v>
      </c>
      <c r="BS289" s="37">
        <v>25</v>
      </c>
      <c r="BT289" s="87">
        <f t="shared" si="74"/>
        <v>45</v>
      </c>
      <c r="BU289" s="87"/>
      <c r="BV289" s="87"/>
      <c r="BW289" s="87"/>
      <c r="BX289" s="87"/>
      <c r="BY289" s="87"/>
      <c r="BZ289" s="87"/>
      <c r="CA289" s="87"/>
      <c r="CB289" s="87"/>
      <c r="CC289" s="87"/>
      <c r="CD289" s="87"/>
      <c r="CF289" s="67">
        <f t="shared" si="75"/>
        <v>765</v>
      </c>
      <c r="CG289" s="67">
        <f t="shared" si="76"/>
        <v>1170</v>
      </c>
      <c r="CH289" s="67">
        <f t="shared" si="77"/>
        <v>1125</v>
      </c>
      <c r="CI289" s="67">
        <f t="shared" si="82"/>
        <v>1125</v>
      </c>
      <c r="CJ289" s="37">
        <f t="shared" si="78"/>
        <v>255</v>
      </c>
      <c r="CK289" s="37">
        <f t="shared" si="79"/>
        <v>390</v>
      </c>
      <c r="CL289" s="37">
        <f t="shared" si="80"/>
        <v>375</v>
      </c>
      <c r="CM289" s="37">
        <f t="shared" si="81"/>
        <v>375</v>
      </c>
    </row>
    <row r="290" spans="1:91" ht="25.5">
      <c r="A290" s="3" t="s">
        <v>804</v>
      </c>
      <c r="B290" s="156">
        <v>284</v>
      </c>
      <c r="C290" s="192">
        <v>201</v>
      </c>
      <c r="D290" s="197">
        <v>308</v>
      </c>
      <c r="E290" s="193">
        <v>0.77708333333333324</v>
      </c>
      <c r="F290" s="193">
        <v>0.7895833333333333</v>
      </c>
      <c r="G290" s="194" t="s">
        <v>540</v>
      </c>
      <c r="H290" s="160" t="s">
        <v>479</v>
      </c>
      <c r="I290" s="192">
        <v>15</v>
      </c>
      <c r="J290" s="195">
        <v>50</v>
      </c>
      <c r="K290" s="199">
        <v>240</v>
      </c>
      <c r="L290" s="166">
        <f t="shared" si="72"/>
        <v>3600</v>
      </c>
      <c r="M290" s="167" t="s">
        <v>754</v>
      </c>
      <c r="N290" s="150" t="s">
        <v>891</v>
      </c>
      <c r="O290" s="150">
        <v>57</v>
      </c>
      <c r="P290" s="150" t="s">
        <v>1922</v>
      </c>
      <c r="Q290" s="150">
        <v>57</v>
      </c>
      <c r="R290" s="150" t="s">
        <v>1263</v>
      </c>
      <c r="S290" s="150">
        <v>38</v>
      </c>
      <c r="T290" s="45">
        <v>2180</v>
      </c>
      <c r="U290" s="45" t="s">
        <v>1483</v>
      </c>
      <c r="V290" s="45">
        <v>2290</v>
      </c>
      <c r="W290" s="45" t="s">
        <v>1484</v>
      </c>
      <c r="X290" s="99">
        <v>44816</v>
      </c>
      <c r="Y290" s="99">
        <v>45100</v>
      </c>
      <c r="Z290" s="99"/>
      <c r="AA290" s="99"/>
      <c r="AB290" s="45" t="s">
        <v>1124</v>
      </c>
      <c r="AC290" s="45"/>
      <c r="AD290" s="42" t="s">
        <v>734</v>
      </c>
      <c r="AE290" s="42"/>
      <c r="AF290" s="42" t="s">
        <v>734</v>
      </c>
      <c r="AG290" s="42"/>
      <c r="AH290" s="42" t="s">
        <v>734</v>
      </c>
      <c r="AI290" s="42" t="s">
        <v>734</v>
      </c>
      <c r="AJ290" s="42" t="s">
        <v>734</v>
      </c>
      <c r="AK290" s="42" t="s">
        <v>734</v>
      </c>
      <c r="AL290" s="42" t="s">
        <v>734</v>
      </c>
      <c r="AM290" s="42" t="s">
        <v>734</v>
      </c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68"/>
      <c r="AY290" s="37"/>
      <c r="AZ290" s="67">
        <f>3*I290</f>
        <v>45</v>
      </c>
      <c r="BA290" s="68"/>
      <c r="BB290" s="68"/>
      <c r="BF290" s="67">
        <f>AZ290*K290</f>
        <v>10800</v>
      </c>
      <c r="BG290" s="69">
        <v>2</v>
      </c>
      <c r="BH290" s="73"/>
      <c r="BI290" s="79"/>
      <c r="BJ290" s="73"/>
      <c r="BK290" s="73"/>
      <c r="BL290" s="73"/>
      <c r="BM290" s="73"/>
      <c r="BN290" s="37"/>
      <c r="BO290" s="70">
        <f t="shared" si="73"/>
        <v>0</v>
      </c>
      <c r="BP290" s="37">
        <v>17</v>
      </c>
      <c r="BQ290" s="37">
        <v>26</v>
      </c>
      <c r="BR290" s="37">
        <v>25</v>
      </c>
      <c r="BS290" s="37">
        <v>25</v>
      </c>
      <c r="BT290" s="87">
        <f t="shared" si="74"/>
        <v>45</v>
      </c>
      <c r="BU290" s="87"/>
      <c r="BV290" s="87"/>
      <c r="BW290" s="87"/>
      <c r="BX290" s="87"/>
      <c r="BY290" s="87"/>
      <c r="BZ290" s="87"/>
      <c r="CA290" s="87"/>
      <c r="CB290" s="87"/>
      <c r="CC290" s="87"/>
      <c r="CD290" s="87"/>
      <c r="CF290" s="67">
        <f t="shared" si="75"/>
        <v>765</v>
      </c>
      <c r="CG290" s="67">
        <f t="shared" si="76"/>
        <v>1170</v>
      </c>
      <c r="CH290" s="67">
        <f t="shared" si="77"/>
        <v>1125</v>
      </c>
      <c r="CI290" s="67">
        <f t="shared" si="82"/>
        <v>1125</v>
      </c>
      <c r="CJ290" s="37">
        <f t="shared" si="78"/>
        <v>255</v>
      </c>
      <c r="CK290" s="37">
        <f t="shared" si="79"/>
        <v>390</v>
      </c>
      <c r="CL290" s="37">
        <f t="shared" si="80"/>
        <v>375</v>
      </c>
      <c r="CM290" s="37">
        <f t="shared" si="81"/>
        <v>375</v>
      </c>
    </row>
    <row r="291" spans="1:91" ht="25.5">
      <c r="A291" s="3" t="s">
        <v>804</v>
      </c>
      <c r="B291" s="156">
        <v>285</v>
      </c>
      <c r="C291" s="192">
        <v>201</v>
      </c>
      <c r="D291" s="197">
        <v>527</v>
      </c>
      <c r="E291" s="198">
        <v>0.7909722222222223</v>
      </c>
      <c r="F291" s="193">
        <v>0.80347222222222225</v>
      </c>
      <c r="G291" s="194" t="s">
        <v>539</v>
      </c>
      <c r="H291" s="160" t="s">
        <v>479</v>
      </c>
      <c r="I291" s="192">
        <v>15</v>
      </c>
      <c r="J291" s="195">
        <v>50</v>
      </c>
      <c r="K291" s="199">
        <v>240</v>
      </c>
      <c r="L291" s="166">
        <f t="shared" si="72"/>
        <v>3600</v>
      </c>
      <c r="M291" s="167" t="s">
        <v>754</v>
      </c>
      <c r="N291" s="150" t="s">
        <v>891</v>
      </c>
      <c r="O291" s="150">
        <v>57</v>
      </c>
      <c r="P291" s="150" t="s">
        <v>1922</v>
      </c>
      <c r="Q291" s="150">
        <v>57</v>
      </c>
      <c r="R291" s="150" t="s">
        <v>1263</v>
      </c>
      <c r="S291" s="150">
        <v>38</v>
      </c>
      <c r="T291" s="45">
        <v>2290</v>
      </c>
      <c r="U291" s="45" t="s">
        <v>1484</v>
      </c>
      <c r="V291" s="45">
        <v>2180</v>
      </c>
      <c r="W291" s="45" t="s">
        <v>1483</v>
      </c>
      <c r="X291" s="99">
        <v>44816</v>
      </c>
      <c r="Y291" s="99">
        <v>45100</v>
      </c>
      <c r="Z291" s="99"/>
      <c r="AA291" s="99"/>
      <c r="AB291" s="45" t="s">
        <v>1124</v>
      </c>
      <c r="AC291" s="45"/>
      <c r="AD291" s="42" t="s">
        <v>734</v>
      </c>
      <c r="AE291" s="42"/>
      <c r="AF291" s="42" t="s">
        <v>734</v>
      </c>
      <c r="AG291" s="42"/>
      <c r="AH291" s="42" t="s">
        <v>734</v>
      </c>
      <c r="AI291" s="42" t="s">
        <v>734</v>
      </c>
      <c r="AJ291" s="42" t="s">
        <v>734</v>
      </c>
      <c r="AK291" s="42" t="s">
        <v>734</v>
      </c>
      <c r="AL291" s="42" t="s">
        <v>734</v>
      </c>
      <c r="AM291" s="42" t="s">
        <v>734</v>
      </c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68"/>
      <c r="AY291" s="37"/>
      <c r="AZ291" s="67">
        <f>3*I291</f>
        <v>45</v>
      </c>
      <c r="BA291" s="68"/>
      <c r="BB291" s="68"/>
      <c r="BF291" s="67">
        <f>AZ291*K291</f>
        <v>10800</v>
      </c>
      <c r="BG291" s="69">
        <v>2</v>
      </c>
      <c r="BH291" s="73"/>
      <c r="BI291" s="79"/>
      <c r="BJ291" s="73"/>
      <c r="BK291" s="73"/>
      <c r="BL291" s="73"/>
      <c r="BM291" s="73"/>
      <c r="BN291" s="37"/>
      <c r="BO291" s="70">
        <f t="shared" si="73"/>
        <v>0</v>
      </c>
      <c r="BP291" s="37">
        <v>17</v>
      </c>
      <c r="BQ291" s="37">
        <v>26</v>
      </c>
      <c r="BR291" s="37">
        <v>25</v>
      </c>
      <c r="BS291" s="37">
        <v>25</v>
      </c>
      <c r="BT291" s="87">
        <f t="shared" si="74"/>
        <v>45</v>
      </c>
      <c r="BU291" s="87"/>
      <c r="BV291" s="87"/>
      <c r="BW291" s="87"/>
      <c r="BX291" s="87"/>
      <c r="BY291" s="87"/>
      <c r="BZ291" s="87"/>
      <c r="CA291" s="87"/>
      <c r="CB291" s="87"/>
      <c r="CC291" s="87"/>
      <c r="CD291" s="87"/>
      <c r="CF291" s="67">
        <f t="shared" si="75"/>
        <v>765</v>
      </c>
      <c r="CG291" s="67">
        <f t="shared" si="76"/>
        <v>1170</v>
      </c>
      <c r="CH291" s="67">
        <f t="shared" si="77"/>
        <v>1125</v>
      </c>
      <c r="CI291" s="67">
        <f t="shared" si="82"/>
        <v>1125</v>
      </c>
      <c r="CJ291" s="37">
        <f t="shared" si="78"/>
        <v>255</v>
      </c>
      <c r="CK291" s="37">
        <f t="shared" si="79"/>
        <v>390</v>
      </c>
      <c r="CL291" s="37">
        <f t="shared" si="80"/>
        <v>375</v>
      </c>
      <c r="CM291" s="37">
        <f t="shared" si="81"/>
        <v>375</v>
      </c>
    </row>
    <row r="292" spans="1:91" ht="25.5">
      <c r="A292" s="3" t="s">
        <v>804</v>
      </c>
      <c r="B292" s="156">
        <v>286</v>
      </c>
      <c r="C292" s="192">
        <v>201</v>
      </c>
      <c r="D292" s="192">
        <v>527</v>
      </c>
      <c r="E292" s="198">
        <v>0.7909722222222223</v>
      </c>
      <c r="F292" s="198">
        <v>0.72013888888888899</v>
      </c>
      <c r="G292" s="194" t="s">
        <v>539</v>
      </c>
      <c r="H292" s="160" t="s">
        <v>444</v>
      </c>
      <c r="I292" s="192">
        <v>15</v>
      </c>
      <c r="J292" s="195">
        <v>50</v>
      </c>
      <c r="K292" s="199">
        <v>47</v>
      </c>
      <c r="L292" s="166">
        <f t="shared" si="72"/>
        <v>705</v>
      </c>
      <c r="M292" s="167" t="s">
        <v>744</v>
      </c>
      <c r="N292" s="150" t="s">
        <v>977</v>
      </c>
      <c r="O292" s="150">
        <v>54</v>
      </c>
      <c r="P292" s="150" t="s">
        <v>801</v>
      </c>
      <c r="Q292" s="150">
        <v>45</v>
      </c>
      <c r="R292" s="150" t="s">
        <v>800</v>
      </c>
      <c r="S292" s="150">
        <v>37</v>
      </c>
      <c r="T292" s="45">
        <v>2290</v>
      </c>
      <c r="U292" s="45" t="s">
        <v>1484</v>
      </c>
      <c r="V292" s="45">
        <v>2180</v>
      </c>
      <c r="W292" s="45" t="s">
        <v>1483</v>
      </c>
      <c r="X292" s="99">
        <v>44816</v>
      </c>
      <c r="Y292" s="99">
        <v>45100</v>
      </c>
      <c r="Z292" s="99"/>
      <c r="AA292" s="99"/>
      <c r="AB292" s="46" t="s">
        <v>1115</v>
      </c>
      <c r="AC292" s="46"/>
      <c r="AD292" s="42" t="s">
        <v>734</v>
      </c>
      <c r="AE292" s="42"/>
      <c r="AF292" s="42"/>
      <c r="AG292" s="42"/>
      <c r="AH292" s="42"/>
      <c r="AI292" s="42"/>
      <c r="AJ292" s="42"/>
      <c r="AK292" s="42"/>
      <c r="AL292" s="42"/>
      <c r="AM292" s="42"/>
      <c r="AN292" s="42" t="s">
        <v>734</v>
      </c>
      <c r="AO292" s="42"/>
      <c r="AP292" s="42"/>
      <c r="AQ292" s="42"/>
      <c r="AR292" s="42"/>
      <c r="AS292" s="42"/>
      <c r="AT292" s="42"/>
      <c r="AU292" s="42"/>
      <c r="AV292" s="42"/>
      <c r="AW292" s="42"/>
      <c r="AX292" s="68"/>
      <c r="AY292" s="37"/>
      <c r="AZ292" s="67">
        <f>3*I292</f>
        <v>45</v>
      </c>
      <c r="BA292" s="68"/>
      <c r="BB292" s="68"/>
      <c r="BF292" s="67">
        <f>AZ292*K292</f>
        <v>2115</v>
      </c>
      <c r="BG292" s="69">
        <v>2</v>
      </c>
      <c r="BH292" s="73"/>
      <c r="BI292" s="79"/>
      <c r="BJ292" s="73"/>
      <c r="BK292" s="73"/>
      <c r="BL292" s="73"/>
      <c r="BM292" s="73"/>
      <c r="BN292" s="37"/>
      <c r="BO292" s="70">
        <f t="shared" si="73"/>
        <v>0</v>
      </c>
      <c r="BP292" s="37">
        <v>2</v>
      </c>
      <c r="BQ292" s="37">
        <v>5</v>
      </c>
      <c r="BR292" s="37">
        <v>5</v>
      </c>
      <c r="BS292" s="37">
        <v>6</v>
      </c>
      <c r="BT292" s="87">
        <f t="shared" si="74"/>
        <v>45</v>
      </c>
      <c r="BU292" s="87"/>
      <c r="BV292" s="87"/>
      <c r="BW292" s="87"/>
      <c r="BX292" s="87"/>
      <c r="BY292" s="87"/>
      <c r="BZ292" s="87"/>
      <c r="CA292" s="87"/>
      <c r="CB292" s="87"/>
      <c r="CC292" s="87"/>
      <c r="CD292" s="87"/>
      <c r="CF292" s="67">
        <f t="shared" si="75"/>
        <v>90</v>
      </c>
      <c r="CG292" s="67">
        <f t="shared" si="76"/>
        <v>225</v>
      </c>
      <c r="CH292" s="67">
        <f t="shared" si="77"/>
        <v>225</v>
      </c>
      <c r="CI292" s="67">
        <f t="shared" si="82"/>
        <v>270</v>
      </c>
      <c r="CJ292" s="37">
        <f t="shared" si="78"/>
        <v>30</v>
      </c>
      <c r="CK292" s="37">
        <f t="shared" si="79"/>
        <v>75</v>
      </c>
      <c r="CL292" s="37">
        <f t="shared" si="80"/>
        <v>75</v>
      </c>
      <c r="CM292" s="37">
        <f t="shared" si="81"/>
        <v>90</v>
      </c>
    </row>
    <row r="293" spans="1:91" ht="25.5">
      <c r="A293" s="225" t="s">
        <v>2037</v>
      </c>
      <c r="B293" s="226">
        <v>287</v>
      </c>
      <c r="C293" s="227">
        <v>201</v>
      </c>
      <c r="D293" s="228">
        <v>438</v>
      </c>
      <c r="E293" s="229">
        <v>0.82986111111111116</v>
      </c>
      <c r="F293" s="229">
        <v>0.85277777777777775</v>
      </c>
      <c r="G293" s="227" t="s">
        <v>192</v>
      </c>
      <c r="H293" s="227" t="s">
        <v>203</v>
      </c>
      <c r="I293" s="230">
        <v>27</v>
      </c>
      <c r="J293" s="231" t="s">
        <v>93</v>
      </c>
      <c r="K293" s="232"/>
      <c r="L293" s="233">
        <f t="shared" si="72"/>
        <v>0</v>
      </c>
      <c r="M293" s="234" t="s">
        <v>2128</v>
      </c>
      <c r="N293" s="249"/>
      <c r="O293" s="249"/>
      <c r="P293" s="249"/>
      <c r="Q293" s="249"/>
      <c r="R293" s="249"/>
      <c r="S293" s="249"/>
      <c r="T293" s="240"/>
      <c r="U293" s="240"/>
      <c r="V293" s="240"/>
      <c r="W293" s="240"/>
      <c r="X293" s="235"/>
      <c r="Y293" s="235"/>
      <c r="Z293" s="235"/>
      <c r="AA293" s="235"/>
      <c r="AB293" s="235"/>
      <c r="AC293" s="235"/>
      <c r="AD293" s="240"/>
      <c r="AE293" s="240"/>
      <c r="AF293" s="240"/>
      <c r="AG293" s="240"/>
      <c r="AH293" s="240"/>
      <c r="AI293" s="240"/>
      <c r="AJ293" s="240"/>
      <c r="AK293" s="240"/>
      <c r="AL293" s="240"/>
      <c r="AM293" s="240"/>
      <c r="AN293" s="240"/>
      <c r="AO293" s="240"/>
      <c r="AP293" s="240"/>
      <c r="AQ293" s="240"/>
      <c r="AR293" s="240"/>
      <c r="AS293" s="240"/>
      <c r="AT293" s="240"/>
      <c r="AU293" s="240"/>
      <c r="AV293" s="240"/>
      <c r="AW293" s="240"/>
      <c r="AX293" s="235"/>
      <c r="AY293" s="235"/>
      <c r="AZ293" s="235"/>
      <c r="BA293" s="235"/>
      <c r="BB293" s="235"/>
      <c r="BC293" s="235"/>
      <c r="BD293" s="235"/>
      <c r="BE293" s="235"/>
      <c r="BF293" s="235"/>
      <c r="BG293" s="235"/>
      <c r="BH293" s="235"/>
      <c r="BI293" s="235"/>
      <c r="BJ293" s="235"/>
      <c r="BK293" s="235"/>
      <c r="BL293" s="235"/>
      <c r="BM293" s="235"/>
      <c r="BN293" s="235"/>
      <c r="BO293" s="250"/>
      <c r="BP293" s="236"/>
      <c r="BQ293" s="236"/>
      <c r="BR293" s="236"/>
      <c r="BS293" s="236"/>
      <c r="BT293" s="237"/>
      <c r="BU293" s="237"/>
      <c r="BV293" s="237"/>
      <c r="BW293" s="237"/>
      <c r="BX293" s="237"/>
      <c r="BY293" s="237"/>
      <c r="BZ293" s="237"/>
      <c r="CA293" s="237"/>
      <c r="CB293" s="237"/>
      <c r="CC293" s="237"/>
      <c r="CD293" s="237"/>
      <c r="CE293" s="236"/>
      <c r="CF293" s="238"/>
      <c r="CG293" s="238">
        <f t="shared" si="76"/>
        <v>0</v>
      </c>
      <c r="CH293" s="238">
        <f t="shared" si="77"/>
        <v>0</v>
      </c>
      <c r="CI293" s="67">
        <f t="shared" si="82"/>
        <v>0</v>
      </c>
      <c r="CJ293" s="37">
        <f t="shared" si="78"/>
        <v>0</v>
      </c>
      <c r="CK293" s="37">
        <f t="shared" si="79"/>
        <v>0</v>
      </c>
      <c r="CL293" s="37">
        <f t="shared" si="80"/>
        <v>0</v>
      </c>
      <c r="CM293" s="37">
        <f t="shared" si="81"/>
        <v>0</v>
      </c>
    </row>
    <row r="294" spans="1:91" ht="25.5">
      <c r="B294" s="156">
        <v>288</v>
      </c>
      <c r="C294" s="169">
        <v>202</v>
      </c>
      <c r="D294" s="169">
        <v>306</v>
      </c>
      <c r="E294" s="170">
        <v>0.35416666666666669</v>
      </c>
      <c r="F294" s="170">
        <v>0.40625</v>
      </c>
      <c r="G294" s="171" t="s">
        <v>9</v>
      </c>
      <c r="H294" s="160" t="s">
        <v>550</v>
      </c>
      <c r="I294" s="169">
        <v>35</v>
      </c>
      <c r="J294" s="172">
        <v>30</v>
      </c>
      <c r="K294" s="165">
        <v>13</v>
      </c>
      <c r="L294" s="166">
        <f t="shared" si="72"/>
        <v>455</v>
      </c>
      <c r="M294" s="167" t="s">
        <v>726</v>
      </c>
      <c r="N294" s="150" t="s">
        <v>939</v>
      </c>
      <c r="O294" s="150">
        <v>37</v>
      </c>
      <c r="P294" s="150" t="s">
        <v>1055</v>
      </c>
      <c r="Q294" s="150">
        <v>45</v>
      </c>
      <c r="R294" s="150" t="s">
        <v>940</v>
      </c>
      <c r="S294" s="152">
        <v>21</v>
      </c>
      <c r="T294" s="45">
        <v>1</v>
      </c>
      <c r="U294" s="45" t="s">
        <v>1336</v>
      </c>
      <c r="V294" s="45">
        <v>2670</v>
      </c>
      <c r="W294" s="45" t="s">
        <v>1485</v>
      </c>
      <c r="X294" s="99">
        <v>44562</v>
      </c>
      <c r="Y294" s="99">
        <v>44815</v>
      </c>
      <c r="Z294" s="99">
        <v>45101</v>
      </c>
      <c r="AA294" s="99">
        <v>45169</v>
      </c>
      <c r="AB294" s="36" t="s">
        <v>1116</v>
      </c>
      <c r="AC294" s="36"/>
      <c r="AD294" s="42"/>
      <c r="AE294" s="42" t="s">
        <v>734</v>
      </c>
      <c r="AF294" s="42"/>
      <c r="AG294" s="42"/>
      <c r="AH294" s="42"/>
      <c r="AI294" s="42"/>
      <c r="AJ294" s="42"/>
      <c r="AK294" s="42"/>
      <c r="AL294" s="42"/>
      <c r="AM294" s="42"/>
      <c r="AN294" s="42" t="s">
        <v>734</v>
      </c>
      <c r="AO294" s="42"/>
      <c r="AP294" s="42"/>
      <c r="AQ294" s="42"/>
      <c r="AR294" s="42"/>
      <c r="AS294" s="42"/>
      <c r="AT294" s="42"/>
      <c r="AU294" s="42"/>
      <c r="AV294" s="42"/>
      <c r="AW294" s="42"/>
      <c r="AY294" s="37"/>
      <c r="BA294" s="38" t="s">
        <v>1016</v>
      </c>
      <c r="BB294" s="38"/>
      <c r="BD294" s="67">
        <f t="shared" ref="BD294:BD321" si="83">AX294*K294</f>
        <v>0</v>
      </c>
      <c r="BF294" s="37"/>
      <c r="BG294" s="73">
        <v>1</v>
      </c>
      <c r="BI294" s="67"/>
      <c r="BJ294" s="37"/>
      <c r="BN294" s="37"/>
      <c r="BO294" s="70">
        <f t="shared" ref="BO294:BO321" si="84">BN294*K294</f>
        <v>0</v>
      </c>
      <c r="BP294" s="37">
        <v>2</v>
      </c>
      <c r="BQ294" s="37">
        <v>0</v>
      </c>
      <c r="BR294" s="37">
        <v>0</v>
      </c>
      <c r="BT294" s="87">
        <f t="shared" ref="BT294:BT321" si="85">SUM(AX294:AZ294)+SUM(BH294:BI294)+SUM(BK294:BL294)+BN294</f>
        <v>0</v>
      </c>
      <c r="BU294" s="87"/>
      <c r="BV294" s="87"/>
      <c r="BW294" s="87"/>
      <c r="BX294" s="87"/>
      <c r="BY294" s="87"/>
      <c r="BZ294" s="87"/>
      <c r="CA294" s="87"/>
      <c r="CB294" s="87"/>
      <c r="CC294" s="87"/>
      <c r="CD294" s="87"/>
      <c r="CF294" s="67">
        <f t="shared" ref="CF294:CF321" si="86">(BT294*BP294)+(BV294*CD294)</f>
        <v>0</v>
      </c>
      <c r="CG294" s="67">
        <f t="shared" si="76"/>
        <v>0</v>
      </c>
      <c r="CH294" s="67">
        <f t="shared" si="77"/>
        <v>0</v>
      </c>
      <c r="CI294" s="67">
        <f t="shared" si="82"/>
        <v>0</v>
      </c>
      <c r="CJ294" s="37">
        <f t="shared" si="78"/>
        <v>70</v>
      </c>
      <c r="CK294" s="37">
        <f t="shared" si="79"/>
        <v>0</v>
      </c>
      <c r="CL294" s="37">
        <f t="shared" si="80"/>
        <v>0</v>
      </c>
      <c r="CM294" s="37">
        <f t="shared" si="81"/>
        <v>0</v>
      </c>
    </row>
    <row r="295" spans="1:91" ht="25.5">
      <c r="B295" s="156">
        <v>289</v>
      </c>
      <c r="C295" s="200">
        <v>202</v>
      </c>
      <c r="D295" s="164">
        <v>210</v>
      </c>
      <c r="E295" s="161">
        <v>0.36458333333333331</v>
      </c>
      <c r="F295" s="161">
        <v>0.375</v>
      </c>
      <c r="G295" s="160" t="s">
        <v>498</v>
      </c>
      <c r="H295" s="160" t="s">
        <v>499</v>
      </c>
      <c r="I295" s="163">
        <v>10</v>
      </c>
      <c r="J295" s="164" t="s">
        <v>93</v>
      </c>
      <c r="K295" s="165">
        <v>33</v>
      </c>
      <c r="L295" s="166">
        <f t="shared" si="72"/>
        <v>330</v>
      </c>
      <c r="M295" s="201" t="s">
        <v>746</v>
      </c>
      <c r="N295" s="187" t="s">
        <v>921</v>
      </c>
      <c r="O295" s="154">
        <v>21</v>
      </c>
      <c r="P295" s="154" t="s">
        <v>920</v>
      </c>
      <c r="Q295" s="154">
        <v>17</v>
      </c>
      <c r="S295" s="154"/>
      <c r="T295" s="45">
        <v>2049</v>
      </c>
      <c r="U295" s="45" t="s">
        <v>1486</v>
      </c>
      <c r="V295" s="45">
        <v>2670</v>
      </c>
      <c r="W295" s="45" t="s">
        <v>1485</v>
      </c>
      <c r="X295" s="99">
        <v>44562</v>
      </c>
      <c r="Y295" s="99">
        <v>44815</v>
      </c>
      <c r="Z295" s="99">
        <v>45101</v>
      </c>
      <c r="AA295" s="99">
        <v>45169</v>
      </c>
      <c r="AB295" s="42" t="s">
        <v>1141</v>
      </c>
      <c r="AC295" s="42"/>
      <c r="AD295" s="42"/>
      <c r="AE295" s="42" t="s">
        <v>734</v>
      </c>
      <c r="AF295" s="42" t="s">
        <v>734</v>
      </c>
      <c r="AG295" s="42"/>
      <c r="AH295" s="42" t="s">
        <v>734</v>
      </c>
      <c r="AI295" s="42"/>
      <c r="AJ295" s="42" t="s">
        <v>734</v>
      </c>
      <c r="AK295" s="42" t="s">
        <v>734</v>
      </c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68">
        <v>30</v>
      </c>
      <c r="AY295" s="37"/>
      <c r="BA295" s="68"/>
      <c r="BB295" s="68"/>
      <c r="BD295" s="67">
        <f t="shared" si="83"/>
        <v>990</v>
      </c>
      <c r="BE295" s="67"/>
      <c r="BF295" s="37"/>
      <c r="BG295" s="73">
        <v>1</v>
      </c>
      <c r="BH295" s="67">
        <f t="shared" ref="BH295:BH300" si="87">IF(AND((AX295/I295)&lt;2,BG295=1),(I295*2)-AX295,0)</f>
        <v>0</v>
      </c>
      <c r="BI295" s="67">
        <f t="shared" ref="BI295:BI300" si="88">IF(AND((AX295/I295)&lt;3,BG295=2),(I295*3)-AX295,0)</f>
        <v>0</v>
      </c>
      <c r="BJ295" s="70">
        <f t="shared" ref="BJ295:BJ300" si="89">(BH295+BI295)*K295</f>
        <v>0</v>
      </c>
      <c r="BN295" s="37"/>
      <c r="BO295" s="70">
        <f t="shared" si="84"/>
        <v>0</v>
      </c>
      <c r="BP295" s="37">
        <v>4</v>
      </c>
      <c r="BQ295" s="37">
        <v>0</v>
      </c>
      <c r="BR295" s="37">
        <v>0</v>
      </c>
      <c r="BS295" s="37">
        <v>0</v>
      </c>
      <c r="BT295" s="87">
        <f t="shared" si="85"/>
        <v>30</v>
      </c>
      <c r="BU295" s="87"/>
      <c r="BV295" s="87"/>
      <c r="BW295" s="87"/>
      <c r="BX295" s="87"/>
      <c r="BY295" s="87"/>
      <c r="BZ295" s="87"/>
      <c r="CA295" s="87"/>
      <c r="CB295" s="87"/>
      <c r="CC295" s="87"/>
      <c r="CD295" s="87"/>
      <c r="CF295" s="67">
        <f t="shared" si="86"/>
        <v>120</v>
      </c>
      <c r="CG295" s="67">
        <f t="shared" si="76"/>
        <v>0</v>
      </c>
      <c r="CH295" s="67">
        <f t="shared" si="77"/>
        <v>0</v>
      </c>
      <c r="CI295" s="67">
        <f t="shared" si="82"/>
        <v>0</v>
      </c>
      <c r="CJ295" s="37">
        <f t="shared" si="78"/>
        <v>40</v>
      </c>
      <c r="CK295" s="37">
        <f t="shared" si="79"/>
        <v>0</v>
      </c>
      <c r="CL295" s="37">
        <f t="shared" si="80"/>
        <v>0</v>
      </c>
      <c r="CM295" s="37">
        <f t="shared" si="81"/>
        <v>0</v>
      </c>
    </row>
    <row r="296" spans="1:91" ht="25.5">
      <c r="B296" s="156">
        <v>290</v>
      </c>
      <c r="C296" s="200">
        <v>202</v>
      </c>
      <c r="D296" s="164">
        <v>211</v>
      </c>
      <c r="E296" s="161">
        <v>0.38541666666666669</v>
      </c>
      <c r="F296" s="161">
        <v>0.39583333333333331</v>
      </c>
      <c r="G296" s="160" t="s">
        <v>469</v>
      </c>
      <c r="H296" s="160" t="s">
        <v>499</v>
      </c>
      <c r="I296" s="163">
        <v>10</v>
      </c>
      <c r="J296" s="164" t="s">
        <v>93</v>
      </c>
      <c r="K296" s="165">
        <v>33</v>
      </c>
      <c r="L296" s="166">
        <f t="shared" si="72"/>
        <v>330</v>
      </c>
      <c r="M296" s="201" t="s">
        <v>746</v>
      </c>
      <c r="N296" s="187" t="s">
        <v>921</v>
      </c>
      <c r="O296" s="154">
        <v>21</v>
      </c>
      <c r="P296" s="154" t="s">
        <v>920</v>
      </c>
      <c r="Q296" s="154">
        <v>17</v>
      </c>
      <c r="S296" s="154"/>
      <c r="T296" s="45">
        <v>2670</v>
      </c>
      <c r="U296" s="45" t="s">
        <v>1485</v>
      </c>
      <c r="V296" s="45">
        <v>2049</v>
      </c>
      <c r="W296" s="45" t="s">
        <v>1486</v>
      </c>
      <c r="X296" s="99">
        <v>44562</v>
      </c>
      <c r="Y296" s="99">
        <v>44815</v>
      </c>
      <c r="Z296" s="99">
        <v>45101</v>
      </c>
      <c r="AA296" s="99">
        <v>45169</v>
      </c>
      <c r="AB296" s="42" t="s">
        <v>1141</v>
      </c>
      <c r="AC296" s="42"/>
      <c r="AD296" s="42"/>
      <c r="AE296" s="42" t="s">
        <v>734</v>
      </c>
      <c r="AF296" s="42" t="s">
        <v>734</v>
      </c>
      <c r="AG296" s="42"/>
      <c r="AH296" s="42" t="s">
        <v>734</v>
      </c>
      <c r="AI296" s="42"/>
      <c r="AJ296" s="42" t="s">
        <v>734</v>
      </c>
      <c r="AK296" s="42" t="s">
        <v>734</v>
      </c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68">
        <v>30</v>
      </c>
      <c r="AY296" s="37"/>
      <c r="BA296" s="68"/>
      <c r="BB296" s="68"/>
      <c r="BD296" s="67">
        <f t="shared" si="83"/>
        <v>990</v>
      </c>
      <c r="BE296" s="67"/>
      <c r="BF296" s="37"/>
      <c r="BG296" s="73">
        <v>1</v>
      </c>
      <c r="BH296" s="67">
        <f t="shared" si="87"/>
        <v>0</v>
      </c>
      <c r="BI296" s="67">
        <f t="shared" si="88"/>
        <v>0</v>
      </c>
      <c r="BJ296" s="70">
        <f t="shared" si="89"/>
        <v>0</v>
      </c>
      <c r="BN296" s="37"/>
      <c r="BO296" s="70">
        <f t="shared" si="84"/>
        <v>0</v>
      </c>
      <c r="BP296" s="37">
        <v>4</v>
      </c>
      <c r="BQ296" s="37">
        <v>0</v>
      </c>
      <c r="BR296" s="37">
        <v>0</v>
      </c>
      <c r="BS296" s="37">
        <v>0</v>
      </c>
      <c r="BT296" s="87">
        <f t="shared" si="85"/>
        <v>30</v>
      </c>
      <c r="BU296" s="87"/>
      <c r="BV296" s="87"/>
      <c r="BW296" s="87"/>
      <c r="BX296" s="87"/>
      <c r="BY296" s="87"/>
      <c r="BZ296" s="87"/>
      <c r="CA296" s="87"/>
      <c r="CB296" s="87"/>
      <c r="CC296" s="87"/>
      <c r="CD296" s="87"/>
      <c r="CF296" s="67">
        <f t="shared" si="86"/>
        <v>120</v>
      </c>
      <c r="CG296" s="67">
        <f t="shared" si="76"/>
        <v>0</v>
      </c>
      <c r="CH296" s="67">
        <f t="shared" si="77"/>
        <v>0</v>
      </c>
      <c r="CI296" s="67">
        <f t="shared" si="82"/>
        <v>0</v>
      </c>
      <c r="CJ296" s="37">
        <f t="shared" si="78"/>
        <v>40</v>
      </c>
      <c r="CK296" s="37">
        <f t="shared" si="79"/>
        <v>0</v>
      </c>
      <c r="CL296" s="37">
        <f t="shared" si="80"/>
        <v>0</v>
      </c>
      <c r="CM296" s="37">
        <f t="shared" si="81"/>
        <v>0</v>
      </c>
    </row>
    <row r="297" spans="1:91" ht="33.75">
      <c r="B297" s="156">
        <v>291</v>
      </c>
      <c r="C297" s="160">
        <v>202</v>
      </c>
      <c r="D297" s="162">
        <v>94</v>
      </c>
      <c r="E297" s="161">
        <v>0.42708333333333331</v>
      </c>
      <c r="F297" s="161">
        <v>0.43888888888888888</v>
      </c>
      <c r="G297" s="160" t="s">
        <v>226</v>
      </c>
      <c r="H297" s="160" t="s">
        <v>18</v>
      </c>
      <c r="I297" s="163">
        <v>6</v>
      </c>
      <c r="J297" s="164" t="s">
        <v>99</v>
      </c>
      <c r="K297" s="165">
        <v>304</v>
      </c>
      <c r="L297" s="166">
        <f t="shared" si="72"/>
        <v>1824</v>
      </c>
      <c r="M297" s="167" t="s">
        <v>726</v>
      </c>
      <c r="N297" s="154" t="s">
        <v>942</v>
      </c>
      <c r="O297" s="154">
        <v>23</v>
      </c>
      <c r="P297" s="150" t="s">
        <v>1923</v>
      </c>
      <c r="Q297" s="152">
        <v>23</v>
      </c>
      <c r="T297" s="45">
        <v>1</v>
      </c>
      <c r="U297" s="45" t="s">
        <v>1336</v>
      </c>
      <c r="V297" s="45" t="s">
        <v>1487</v>
      </c>
      <c r="W297" s="45" t="s">
        <v>1488</v>
      </c>
      <c r="X297" s="98">
        <v>44805</v>
      </c>
      <c r="Y297" s="98">
        <v>45169</v>
      </c>
      <c r="Z297" s="98"/>
      <c r="AA297" s="98"/>
      <c r="AB297" s="42" t="s">
        <v>1125</v>
      </c>
      <c r="AC297" s="42"/>
      <c r="AD297" s="42" t="s">
        <v>734</v>
      </c>
      <c r="AE297" s="42" t="s">
        <v>734</v>
      </c>
      <c r="AF297" s="42" t="s">
        <v>734</v>
      </c>
      <c r="AG297" s="42"/>
      <c r="AH297" s="42" t="s">
        <v>734</v>
      </c>
      <c r="AI297" s="42" t="s">
        <v>734</v>
      </c>
      <c r="AJ297" s="42" t="s">
        <v>734</v>
      </c>
      <c r="AK297" s="42" t="s">
        <v>734</v>
      </c>
      <c r="AL297" s="42" t="s">
        <v>734</v>
      </c>
      <c r="AM297" s="42" t="s">
        <v>734</v>
      </c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67">
        <v>20.64</v>
      </c>
      <c r="AY297" s="37"/>
      <c r="BA297" s="68"/>
      <c r="BB297" s="68"/>
      <c r="BD297" s="67">
        <f t="shared" si="83"/>
        <v>6274.56</v>
      </c>
      <c r="BE297" s="67"/>
      <c r="BF297" s="37"/>
      <c r="BG297" s="73">
        <v>1</v>
      </c>
      <c r="BH297" s="67">
        <f t="shared" si="87"/>
        <v>0</v>
      </c>
      <c r="BI297" s="67">
        <f t="shared" si="88"/>
        <v>0</v>
      </c>
      <c r="BJ297" s="70">
        <f t="shared" si="89"/>
        <v>0</v>
      </c>
      <c r="BN297" s="37"/>
      <c r="BO297" s="70">
        <f t="shared" si="84"/>
        <v>0</v>
      </c>
      <c r="BP297" s="37">
        <v>26</v>
      </c>
      <c r="BQ297" s="37">
        <v>26</v>
      </c>
      <c r="BR297" s="37">
        <v>25</v>
      </c>
      <c r="BS297" s="37">
        <v>25</v>
      </c>
      <c r="BT297" s="87">
        <f t="shared" si="85"/>
        <v>20.64</v>
      </c>
      <c r="BU297" s="87"/>
      <c r="BV297" s="87"/>
      <c r="BW297" s="87"/>
      <c r="BX297" s="87"/>
      <c r="BY297" s="87"/>
      <c r="BZ297" s="87"/>
      <c r="CA297" s="87"/>
      <c r="CB297" s="87"/>
      <c r="CC297" s="87"/>
      <c r="CD297" s="87"/>
      <c r="CF297" s="67">
        <f t="shared" si="86"/>
        <v>536.64</v>
      </c>
      <c r="CG297" s="67">
        <f t="shared" si="76"/>
        <v>536.64</v>
      </c>
      <c r="CH297" s="67">
        <f t="shared" si="77"/>
        <v>516</v>
      </c>
      <c r="CI297" s="67">
        <f t="shared" si="82"/>
        <v>516</v>
      </c>
      <c r="CJ297" s="37">
        <f t="shared" si="78"/>
        <v>156</v>
      </c>
      <c r="CK297" s="37">
        <f t="shared" si="79"/>
        <v>156</v>
      </c>
      <c r="CL297" s="37">
        <f t="shared" si="80"/>
        <v>150</v>
      </c>
      <c r="CM297" s="37">
        <f t="shared" si="81"/>
        <v>150</v>
      </c>
    </row>
    <row r="298" spans="1:91" ht="22.5">
      <c r="B298" s="156">
        <v>292</v>
      </c>
      <c r="C298" s="160">
        <v>202</v>
      </c>
      <c r="D298" s="162">
        <v>87</v>
      </c>
      <c r="E298" s="161">
        <v>0.44097222222222227</v>
      </c>
      <c r="F298" s="161">
        <v>0.45208333333333334</v>
      </c>
      <c r="G298" s="160" t="s">
        <v>225</v>
      </c>
      <c r="H298" s="160" t="s">
        <v>18</v>
      </c>
      <c r="I298" s="163">
        <v>6</v>
      </c>
      <c r="J298" s="164" t="s">
        <v>99</v>
      </c>
      <c r="K298" s="165">
        <v>304</v>
      </c>
      <c r="L298" s="166">
        <f t="shared" si="72"/>
        <v>1824</v>
      </c>
      <c r="M298" s="167" t="s">
        <v>726</v>
      </c>
      <c r="N298" s="154" t="s">
        <v>942</v>
      </c>
      <c r="O298" s="154">
        <v>23</v>
      </c>
      <c r="P298" s="154" t="s">
        <v>1924</v>
      </c>
      <c r="Q298" s="152">
        <v>23</v>
      </c>
      <c r="T298" s="45" t="s">
        <v>1487</v>
      </c>
      <c r="U298" s="45" t="s">
        <v>1488</v>
      </c>
      <c r="V298" s="45">
        <v>1</v>
      </c>
      <c r="W298" s="45" t="s">
        <v>1339</v>
      </c>
      <c r="X298" s="98">
        <v>44805</v>
      </c>
      <c r="Y298" s="98">
        <v>45169</v>
      </c>
      <c r="Z298" s="98"/>
      <c r="AA298" s="98"/>
      <c r="AB298" s="42" t="s">
        <v>1125</v>
      </c>
      <c r="AC298" s="42"/>
      <c r="AD298" s="42" t="s">
        <v>734</v>
      </c>
      <c r="AE298" s="42" t="s">
        <v>734</v>
      </c>
      <c r="AF298" s="42" t="s">
        <v>734</v>
      </c>
      <c r="AG298" s="42"/>
      <c r="AH298" s="42" t="s">
        <v>734</v>
      </c>
      <c r="AI298" s="42" t="s">
        <v>734</v>
      </c>
      <c r="AJ298" s="42" t="s">
        <v>734</v>
      </c>
      <c r="AK298" s="42" t="s">
        <v>734</v>
      </c>
      <c r="AL298" s="42" t="s">
        <v>734</v>
      </c>
      <c r="AM298" s="42" t="s">
        <v>734</v>
      </c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67">
        <v>20.64</v>
      </c>
      <c r="AY298" s="37"/>
      <c r="BA298" s="68"/>
      <c r="BB298" s="68"/>
      <c r="BD298" s="67">
        <f t="shared" si="83"/>
        <v>6274.56</v>
      </c>
      <c r="BE298" s="67"/>
      <c r="BF298" s="37"/>
      <c r="BG298" s="73">
        <v>1</v>
      </c>
      <c r="BH298" s="67">
        <f t="shared" si="87"/>
        <v>0</v>
      </c>
      <c r="BI298" s="67">
        <f t="shared" si="88"/>
        <v>0</v>
      </c>
      <c r="BJ298" s="70">
        <f t="shared" si="89"/>
        <v>0</v>
      </c>
      <c r="BN298" s="37"/>
      <c r="BO298" s="70">
        <f t="shared" si="84"/>
        <v>0</v>
      </c>
      <c r="BP298" s="37">
        <v>26</v>
      </c>
      <c r="BQ298" s="37">
        <v>26</v>
      </c>
      <c r="BR298" s="37">
        <v>25</v>
      </c>
      <c r="BS298" s="37">
        <v>25</v>
      </c>
      <c r="BT298" s="87">
        <f t="shared" si="85"/>
        <v>20.64</v>
      </c>
      <c r="BU298" s="87"/>
      <c r="BV298" s="87"/>
      <c r="BW298" s="87"/>
      <c r="BX298" s="87"/>
      <c r="BY298" s="87"/>
      <c r="BZ298" s="87"/>
      <c r="CA298" s="87"/>
      <c r="CB298" s="87"/>
      <c r="CC298" s="87"/>
      <c r="CD298" s="87"/>
      <c r="CF298" s="67">
        <f t="shared" si="86"/>
        <v>536.64</v>
      </c>
      <c r="CG298" s="67">
        <f t="shared" si="76"/>
        <v>536.64</v>
      </c>
      <c r="CH298" s="67">
        <f t="shared" si="77"/>
        <v>516</v>
      </c>
      <c r="CI298" s="67">
        <f t="shared" si="82"/>
        <v>516</v>
      </c>
      <c r="CJ298" s="37">
        <f t="shared" si="78"/>
        <v>156</v>
      </c>
      <c r="CK298" s="37">
        <f t="shared" si="79"/>
        <v>156</v>
      </c>
      <c r="CL298" s="37">
        <f t="shared" si="80"/>
        <v>150</v>
      </c>
      <c r="CM298" s="37">
        <f t="shared" si="81"/>
        <v>150</v>
      </c>
    </row>
    <row r="299" spans="1:91" ht="25.5">
      <c r="B299" s="156">
        <v>293</v>
      </c>
      <c r="C299" s="200">
        <v>202</v>
      </c>
      <c r="D299" s="164">
        <v>216</v>
      </c>
      <c r="E299" s="161">
        <v>0.48958333333333331</v>
      </c>
      <c r="F299" s="161">
        <v>0.5</v>
      </c>
      <c r="G299" s="160" t="s">
        <v>498</v>
      </c>
      <c r="H299" s="160" t="s">
        <v>499</v>
      </c>
      <c r="I299" s="163">
        <v>10</v>
      </c>
      <c r="J299" s="164" t="s">
        <v>93</v>
      </c>
      <c r="K299" s="165">
        <v>33</v>
      </c>
      <c r="L299" s="166">
        <f t="shared" si="72"/>
        <v>330</v>
      </c>
      <c r="M299" s="201" t="s">
        <v>746</v>
      </c>
      <c r="N299" s="187" t="s">
        <v>921</v>
      </c>
      <c r="O299" s="154">
        <v>21</v>
      </c>
      <c r="P299" s="154" t="s">
        <v>920</v>
      </c>
      <c r="Q299" s="154">
        <v>17</v>
      </c>
      <c r="S299" s="154"/>
      <c r="T299" s="45">
        <v>2049</v>
      </c>
      <c r="U299" s="45" t="s">
        <v>1486</v>
      </c>
      <c r="V299" s="45">
        <v>2670</v>
      </c>
      <c r="W299" s="45" t="s">
        <v>1485</v>
      </c>
      <c r="X299" s="99">
        <v>44562</v>
      </c>
      <c r="Y299" s="99">
        <v>44815</v>
      </c>
      <c r="Z299" s="99">
        <v>45101</v>
      </c>
      <c r="AA299" s="99">
        <v>45169</v>
      </c>
      <c r="AB299" s="42" t="s">
        <v>1141</v>
      </c>
      <c r="AC299" s="42"/>
      <c r="AD299" s="42"/>
      <c r="AE299" s="42" t="s">
        <v>734</v>
      </c>
      <c r="AF299" s="42" t="s">
        <v>734</v>
      </c>
      <c r="AG299" s="42"/>
      <c r="AH299" s="42" t="s">
        <v>734</v>
      </c>
      <c r="AI299" s="42"/>
      <c r="AJ299" s="42" t="s">
        <v>734</v>
      </c>
      <c r="AK299" s="42" t="s">
        <v>734</v>
      </c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68">
        <v>30</v>
      </c>
      <c r="AY299" s="37"/>
      <c r="BA299" s="68"/>
      <c r="BB299" s="68"/>
      <c r="BD299" s="67">
        <f t="shared" si="83"/>
        <v>990</v>
      </c>
      <c r="BE299" s="67"/>
      <c r="BF299" s="37"/>
      <c r="BG299" s="73">
        <v>1</v>
      </c>
      <c r="BH299" s="67">
        <f t="shared" si="87"/>
        <v>0</v>
      </c>
      <c r="BI299" s="67">
        <f t="shared" si="88"/>
        <v>0</v>
      </c>
      <c r="BJ299" s="70">
        <f t="shared" si="89"/>
        <v>0</v>
      </c>
      <c r="BN299" s="37"/>
      <c r="BO299" s="70">
        <f t="shared" si="84"/>
        <v>0</v>
      </c>
      <c r="BP299" s="37">
        <v>4</v>
      </c>
      <c r="BQ299" s="37">
        <v>0</v>
      </c>
      <c r="BR299" s="37">
        <v>0</v>
      </c>
      <c r="BS299" s="37">
        <v>0</v>
      </c>
      <c r="BT299" s="87">
        <f t="shared" si="85"/>
        <v>30</v>
      </c>
      <c r="BU299" s="87"/>
      <c r="BV299" s="87"/>
      <c r="BW299" s="87"/>
      <c r="BX299" s="87"/>
      <c r="BY299" s="87"/>
      <c r="BZ299" s="87"/>
      <c r="CA299" s="87"/>
      <c r="CB299" s="87"/>
      <c r="CC299" s="87"/>
      <c r="CD299" s="87"/>
      <c r="CF299" s="67">
        <f t="shared" si="86"/>
        <v>120</v>
      </c>
      <c r="CG299" s="67">
        <f t="shared" si="76"/>
        <v>0</v>
      </c>
      <c r="CH299" s="67">
        <f t="shared" si="77"/>
        <v>0</v>
      </c>
      <c r="CI299" s="67">
        <f t="shared" si="82"/>
        <v>0</v>
      </c>
      <c r="CJ299" s="37">
        <f t="shared" si="78"/>
        <v>40</v>
      </c>
      <c r="CK299" s="37">
        <f t="shared" si="79"/>
        <v>0</v>
      </c>
      <c r="CL299" s="37">
        <f t="shared" si="80"/>
        <v>0</v>
      </c>
      <c r="CM299" s="37">
        <f t="shared" si="81"/>
        <v>0</v>
      </c>
    </row>
    <row r="300" spans="1:91" ht="25.5">
      <c r="B300" s="156">
        <v>294</v>
      </c>
      <c r="C300" s="160">
        <v>202</v>
      </c>
      <c r="D300" s="160">
        <v>100</v>
      </c>
      <c r="E300" s="161">
        <v>0.54166666666666663</v>
      </c>
      <c r="F300" s="161">
        <v>0.57986111111111105</v>
      </c>
      <c r="G300" s="160" t="s">
        <v>513</v>
      </c>
      <c r="H300" s="160" t="s">
        <v>550</v>
      </c>
      <c r="I300" s="163">
        <v>24</v>
      </c>
      <c r="J300" s="164" t="s">
        <v>406</v>
      </c>
      <c r="K300" s="165">
        <v>13</v>
      </c>
      <c r="L300" s="166">
        <f t="shared" si="72"/>
        <v>312</v>
      </c>
      <c r="M300" s="167" t="s">
        <v>747</v>
      </c>
      <c r="N300" s="154" t="s">
        <v>853</v>
      </c>
      <c r="O300" s="154">
        <v>42</v>
      </c>
      <c r="P300" s="150" t="s">
        <v>1970</v>
      </c>
      <c r="Q300" s="154">
        <v>45</v>
      </c>
      <c r="R300" s="150" t="s">
        <v>1242</v>
      </c>
      <c r="S300" s="152">
        <v>48</v>
      </c>
      <c r="T300" s="45">
        <v>1</v>
      </c>
      <c r="U300" s="45" t="s">
        <v>1336</v>
      </c>
      <c r="V300" s="45">
        <v>2660</v>
      </c>
      <c r="W300" s="45" t="s">
        <v>1352</v>
      </c>
      <c r="X300" s="99">
        <v>44562</v>
      </c>
      <c r="Y300" s="99">
        <v>44815</v>
      </c>
      <c r="Z300" s="99">
        <v>45101</v>
      </c>
      <c r="AA300" s="99">
        <v>45169</v>
      </c>
      <c r="AB300" s="36" t="s">
        <v>1116</v>
      </c>
      <c r="AC300" s="36"/>
      <c r="AD300" s="42"/>
      <c r="AE300" s="42" t="s">
        <v>734</v>
      </c>
      <c r="AF300" s="42"/>
      <c r="AG300" s="42"/>
      <c r="AH300" s="42"/>
      <c r="AI300" s="42"/>
      <c r="AJ300" s="42"/>
      <c r="AK300" s="42"/>
      <c r="AL300" s="42"/>
      <c r="AM300" s="42"/>
      <c r="AN300" s="42" t="s">
        <v>734</v>
      </c>
      <c r="AO300" s="42"/>
      <c r="AP300" s="42"/>
      <c r="AQ300" s="42"/>
      <c r="AR300" s="42"/>
      <c r="AS300" s="42"/>
      <c r="AT300" s="42"/>
      <c r="AU300" s="42"/>
      <c r="AV300" s="42"/>
      <c r="AW300" s="42"/>
      <c r="AX300" s="68">
        <v>72</v>
      </c>
      <c r="AY300" s="37"/>
      <c r="BA300" s="68"/>
      <c r="BB300" s="68"/>
      <c r="BD300" s="67">
        <f t="shared" si="83"/>
        <v>936</v>
      </c>
      <c r="BE300" s="67"/>
      <c r="BF300" s="37"/>
      <c r="BG300" s="69">
        <v>2</v>
      </c>
      <c r="BH300" s="67">
        <f t="shared" si="87"/>
        <v>0</v>
      </c>
      <c r="BI300" s="67">
        <f t="shared" si="88"/>
        <v>0</v>
      </c>
      <c r="BJ300" s="70">
        <f t="shared" si="89"/>
        <v>0</v>
      </c>
      <c r="BN300" s="37"/>
      <c r="BO300" s="70">
        <f t="shared" si="84"/>
        <v>0</v>
      </c>
      <c r="BP300" s="37">
        <v>2</v>
      </c>
      <c r="BQ300" s="37">
        <v>0</v>
      </c>
      <c r="BR300" s="37">
        <v>0</v>
      </c>
      <c r="BT300" s="87">
        <f t="shared" si="85"/>
        <v>72</v>
      </c>
      <c r="BU300" s="87"/>
      <c r="BV300" s="87"/>
      <c r="BW300" s="87"/>
      <c r="BX300" s="87"/>
      <c r="BY300" s="87"/>
      <c r="BZ300" s="87"/>
      <c r="CA300" s="87"/>
      <c r="CB300" s="87"/>
      <c r="CC300" s="87"/>
      <c r="CD300" s="87"/>
      <c r="CF300" s="67">
        <f t="shared" si="86"/>
        <v>144</v>
      </c>
      <c r="CG300" s="67">
        <f t="shared" si="76"/>
        <v>0</v>
      </c>
      <c r="CH300" s="67">
        <f t="shared" si="77"/>
        <v>0</v>
      </c>
      <c r="CI300" s="67">
        <f t="shared" si="82"/>
        <v>0</v>
      </c>
      <c r="CJ300" s="37">
        <f t="shared" si="78"/>
        <v>48</v>
      </c>
      <c r="CK300" s="37">
        <f t="shared" si="79"/>
        <v>0</v>
      </c>
      <c r="CL300" s="37">
        <f t="shared" si="80"/>
        <v>0</v>
      </c>
      <c r="CM300" s="37">
        <f t="shared" si="81"/>
        <v>0</v>
      </c>
    </row>
    <row r="301" spans="1:91" ht="25.5">
      <c r="B301" s="156">
        <v>295</v>
      </c>
      <c r="C301" s="169">
        <v>202</v>
      </c>
      <c r="D301" s="169">
        <v>93</v>
      </c>
      <c r="E301" s="170">
        <v>0.55208333333333337</v>
      </c>
      <c r="F301" s="170">
        <v>0.59027777777777779</v>
      </c>
      <c r="G301" s="171" t="s">
        <v>6</v>
      </c>
      <c r="H301" s="160" t="s">
        <v>550</v>
      </c>
      <c r="I301" s="169">
        <v>24</v>
      </c>
      <c r="J301" s="172">
        <v>30</v>
      </c>
      <c r="K301" s="165">
        <v>13</v>
      </c>
      <c r="L301" s="166">
        <f t="shared" si="72"/>
        <v>312</v>
      </c>
      <c r="M301" s="167" t="s">
        <v>726</v>
      </c>
      <c r="N301" s="150" t="s">
        <v>939</v>
      </c>
      <c r="O301" s="150">
        <v>37</v>
      </c>
      <c r="P301" s="150" t="s">
        <v>938</v>
      </c>
      <c r="Q301" s="150">
        <v>23</v>
      </c>
      <c r="R301" s="268" t="s">
        <v>2061</v>
      </c>
      <c r="S301" s="269">
        <v>45</v>
      </c>
      <c r="T301" s="45">
        <v>2660</v>
      </c>
      <c r="U301" s="45" t="s">
        <v>1352</v>
      </c>
      <c r="V301" s="45">
        <v>1</v>
      </c>
      <c r="W301" s="45" t="s">
        <v>1339</v>
      </c>
      <c r="X301" s="99">
        <v>44562</v>
      </c>
      <c r="Y301" s="99">
        <v>44815</v>
      </c>
      <c r="Z301" s="99">
        <v>45101</v>
      </c>
      <c r="AA301" s="99">
        <v>45169</v>
      </c>
      <c r="AB301" s="36" t="s">
        <v>1116</v>
      </c>
      <c r="AC301" s="36"/>
      <c r="AD301" s="42"/>
      <c r="AE301" s="42" t="s">
        <v>734</v>
      </c>
      <c r="AF301" s="42"/>
      <c r="AG301" s="42"/>
      <c r="AH301" s="42"/>
      <c r="AI301" s="42"/>
      <c r="AJ301" s="42"/>
      <c r="AK301" s="42"/>
      <c r="AL301" s="42"/>
      <c r="AM301" s="42"/>
      <c r="AN301" s="42" t="s">
        <v>734</v>
      </c>
      <c r="AO301" s="42"/>
      <c r="AP301" s="42"/>
      <c r="AQ301" s="42"/>
      <c r="AR301" s="42"/>
      <c r="AS301" s="42"/>
      <c r="AT301" s="42"/>
      <c r="AU301" s="42"/>
      <c r="AV301" s="42"/>
      <c r="AW301" s="42"/>
      <c r="AY301" s="37"/>
      <c r="BA301" s="38" t="s">
        <v>1016</v>
      </c>
      <c r="BB301" s="38"/>
      <c r="BD301" s="67">
        <f t="shared" si="83"/>
        <v>0</v>
      </c>
      <c r="BF301" s="37"/>
      <c r="BG301" s="73">
        <v>1</v>
      </c>
      <c r="BI301" s="67"/>
      <c r="BJ301" s="37"/>
      <c r="BN301" s="37"/>
      <c r="BO301" s="70">
        <f t="shared" si="84"/>
        <v>0</v>
      </c>
      <c r="BP301" s="37">
        <v>2</v>
      </c>
      <c r="BQ301" s="37">
        <v>0</v>
      </c>
      <c r="BR301" s="37">
        <v>0</v>
      </c>
      <c r="BT301" s="87">
        <f t="shared" si="85"/>
        <v>0</v>
      </c>
      <c r="BU301" s="87"/>
      <c r="BV301" s="87"/>
      <c r="BW301" s="87"/>
      <c r="BX301" s="87"/>
      <c r="BY301" s="87"/>
      <c r="BZ301" s="87"/>
      <c r="CA301" s="87"/>
      <c r="CB301" s="87"/>
      <c r="CC301" s="87"/>
      <c r="CD301" s="87"/>
      <c r="CF301" s="67">
        <f t="shared" si="86"/>
        <v>0</v>
      </c>
      <c r="CG301" s="67">
        <f t="shared" si="76"/>
        <v>0</v>
      </c>
      <c r="CH301" s="67">
        <f t="shared" si="77"/>
        <v>0</v>
      </c>
      <c r="CI301" s="67">
        <f t="shared" si="82"/>
        <v>0</v>
      </c>
      <c r="CJ301" s="37">
        <f t="shared" si="78"/>
        <v>48</v>
      </c>
      <c r="CK301" s="37">
        <f t="shared" si="79"/>
        <v>0</v>
      </c>
      <c r="CL301" s="37">
        <f t="shared" si="80"/>
        <v>0</v>
      </c>
      <c r="CM301" s="37">
        <f t="shared" si="81"/>
        <v>0</v>
      </c>
    </row>
    <row r="302" spans="1:91" ht="25.5">
      <c r="B302" s="156">
        <v>296</v>
      </c>
      <c r="C302" s="169">
        <v>202</v>
      </c>
      <c r="D302" s="169">
        <v>548</v>
      </c>
      <c r="E302" s="170">
        <v>0.70833333333333337</v>
      </c>
      <c r="F302" s="170">
        <v>0.76041666666666663</v>
      </c>
      <c r="G302" s="171" t="s">
        <v>9</v>
      </c>
      <c r="H302" s="160" t="s">
        <v>550</v>
      </c>
      <c r="I302" s="169">
        <v>35</v>
      </c>
      <c r="J302" s="172">
        <v>30</v>
      </c>
      <c r="K302" s="165">
        <v>13</v>
      </c>
      <c r="L302" s="166">
        <f t="shared" si="72"/>
        <v>455</v>
      </c>
      <c r="M302" s="167" t="s">
        <v>726</v>
      </c>
      <c r="N302" s="150" t="s">
        <v>939</v>
      </c>
      <c r="O302" s="150">
        <v>37</v>
      </c>
      <c r="P302" s="150" t="s">
        <v>938</v>
      </c>
      <c r="Q302" s="150">
        <v>23</v>
      </c>
      <c r="R302" s="268" t="s">
        <v>2061</v>
      </c>
      <c r="S302" s="269">
        <v>45</v>
      </c>
      <c r="T302" s="45">
        <v>1</v>
      </c>
      <c r="U302" s="45" t="s">
        <v>1336</v>
      </c>
      <c r="V302" s="45">
        <v>2670</v>
      </c>
      <c r="W302" s="45" t="s">
        <v>1485</v>
      </c>
      <c r="X302" s="99">
        <v>44562</v>
      </c>
      <c r="Y302" s="99">
        <v>44815</v>
      </c>
      <c r="Z302" s="99">
        <v>45101</v>
      </c>
      <c r="AA302" s="99">
        <v>45169</v>
      </c>
      <c r="AB302" s="36" t="s">
        <v>1116</v>
      </c>
      <c r="AC302" s="36"/>
      <c r="AD302" s="42"/>
      <c r="AE302" s="42" t="s">
        <v>734</v>
      </c>
      <c r="AF302" s="42"/>
      <c r="AG302" s="42"/>
      <c r="AH302" s="42"/>
      <c r="AI302" s="42"/>
      <c r="AJ302" s="42"/>
      <c r="AK302" s="42"/>
      <c r="AL302" s="42"/>
      <c r="AM302" s="42"/>
      <c r="AN302" s="42" t="s">
        <v>734</v>
      </c>
      <c r="AO302" s="42"/>
      <c r="AP302" s="42"/>
      <c r="AQ302" s="42"/>
      <c r="AR302" s="42"/>
      <c r="AS302" s="42"/>
      <c r="AT302" s="42"/>
      <c r="AU302" s="42"/>
      <c r="AV302" s="42"/>
      <c r="AW302" s="42"/>
      <c r="AY302" s="37"/>
      <c r="BA302" s="38" t="s">
        <v>1016</v>
      </c>
      <c r="BB302" s="38"/>
      <c r="BD302" s="67">
        <f t="shared" si="83"/>
        <v>0</v>
      </c>
      <c r="BF302" s="37"/>
      <c r="BG302" s="73">
        <v>1</v>
      </c>
      <c r="BI302" s="67"/>
      <c r="BJ302" s="37"/>
      <c r="BN302" s="37"/>
      <c r="BO302" s="70">
        <f t="shared" si="84"/>
        <v>0</v>
      </c>
      <c r="BP302" s="37">
        <v>2</v>
      </c>
      <c r="BQ302" s="37">
        <v>0</v>
      </c>
      <c r="BR302" s="37">
        <v>0</v>
      </c>
      <c r="BT302" s="87">
        <f t="shared" si="85"/>
        <v>0</v>
      </c>
      <c r="BU302" s="87"/>
      <c r="BV302" s="87"/>
      <c r="BW302" s="87"/>
      <c r="BX302" s="87"/>
      <c r="BY302" s="87"/>
      <c r="BZ302" s="87"/>
      <c r="CA302" s="87"/>
      <c r="CB302" s="87"/>
      <c r="CC302" s="87"/>
      <c r="CD302" s="87"/>
      <c r="CF302" s="67">
        <f t="shared" si="86"/>
        <v>0</v>
      </c>
      <c r="CG302" s="67">
        <f t="shared" si="76"/>
        <v>0</v>
      </c>
      <c r="CH302" s="67">
        <f t="shared" si="77"/>
        <v>0</v>
      </c>
      <c r="CI302" s="67">
        <f t="shared" si="82"/>
        <v>0</v>
      </c>
      <c r="CJ302" s="37">
        <f t="shared" si="78"/>
        <v>70</v>
      </c>
      <c r="CK302" s="37">
        <f t="shared" si="79"/>
        <v>0</v>
      </c>
      <c r="CL302" s="37">
        <f t="shared" si="80"/>
        <v>0</v>
      </c>
      <c r="CM302" s="37">
        <f t="shared" si="81"/>
        <v>0</v>
      </c>
    </row>
    <row r="303" spans="1:91" ht="25.5">
      <c r="B303" s="156">
        <v>297</v>
      </c>
      <c r="C303" s="200">
        <v>202</v>
      </c>
      <c r="D303" s="164">
        <v>212</v>
      </c>
      <c r="E303" s="161">
        <v>0.71875</v>
      </c>
      <c r="F303" s="161">
        <v>0.72916666666666663</v>
      </c>
      <c r="G303" s="160" t="s">
        <v>498</v>
      </c>
      <c r="H303" s="160" t="s">
        <v>499</v>
      </c>
      <c r="I303" s="163">
        <v>10</v>
      </c>
      <c r="J303" s="164" t="s">
        <v>93</v>
      </c>
      <c r="K303" s="165">
        <v>33</v>
      </c>
      <c r="L303" s="166">
        <f t="shared" si="72"/>
        <v>330</v>
      </c>
      <c r="M303" s="201" t="s">
        <v>746</v>
      </c>
      <c r="N303" s="187" t="s">
        <v>921</v>
      </c>
      <c r="O303" s="154">
        <v>21</v>
      </c>
      <c r="P303" s="154" t="s">
        <v>920</v>
      </c>
      <c r="Q303" s="154">
        <v>17</v>
      </c>
      <c r="S303" s="154"/>
      <c r="T303" s="45">
        <v>2049</v>
      </c>
      <c r="U303" s="45" t="s">
        <v>1486</v>
      </c>
      <c r="V303" s="45">
        <v>2670</v>
      </c>
      <c r="W303" s="45" t="s">
        <v>1485</v>
      </c>
      <c r="X303" s="99">
        <v>44562</v>
      </c>
      <c r="Y303" s="99">
        <v>44815</v>
      </c>
      <c r="Z303" s="99">
        <v>45101</v>
      </c>
      <c r="AA303" s="99">
        <v>45169</v>
      </c>
      <c r="AB303" s="42" t="s">
        <v>1141</v>
      </c>
      <c r="AC303" s="42"/>
      <c r="AD303" s="42"/>
      <c r="AE303" s="42" t="s">
        <v>734</v>
      </c>
      <c r="AF303" s="42" t="s">
        <v>734</v>
      </c>
      <c r="AG303" s="42"/>
      <c r="AH303" s="42" t="s">
        <v>734</v>
      </c>
      <c r="AI303" s="42"/>
      <c r="AJ303" s="42" t="s">
        <v>734</v>
      </c>
      <c r="AK303" s="42" t="s">
        <v>734</v>
      </c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68">
        <v>30</v>
      </c>
      <c r="AY303" s="37"/>
      <c r="BA303" s="68"/>
      <c r="BB303" s="68"/>
      <c r="BD303" s="67">
        <f t="shared" si="83"/>
        <v>990</v>
      </c>
      <c r="BE303" s="67"/>
      <c r="BF303" s="37"/>
      <c r="BG303" s="73">
        <v>1</v>
      </c>
      <c r="BH303" s="67">
        <f>IF(AND((AX303/I303)&lt;2,BG303=1),(I303*2)-AX303,0)</f>
        <v>0</v>
      </c>
      <c r="BI303" s="67">
        <f>IF(AND((AX303/I303)&lt;3,BG303=2),(I303*3)-AX303,0)</f>
        <v>0</v>
      </c>
      <c r="BJ303" s="70">
        <f>(BH303+BI303)*K303</f>
        <v>0</v>
      </c>
      <c r="BN303" s="37"/>
      <c r="BO303" s="70">
        <f t="shared" si="84"/>
        <v>0</v>
      </c>
      <c r="BP303" s="37">
        <v>4</v>
      </c>
      <c r="BQ303" s="37">
        <v>0</v>
      </c>
      <c r="BR303" s="37">
        <v>0</v>
      </c>
      <c r="BS303" s="37">
        <v>0</v>
      </c>
      <c r="BT303" s="87">
        <f t="shared" si="85"/>
        <v>30</v>
      </c>
      <c r="BU303" s="87"/>
      <c r="BV303" s="87"/>
      <c r="BW303" s="87"/>
      <c r="BX303" s="87"/>
      <c r="BY303" s="87"/>
      <c r="BZ303" s="87"/>
      <c r="CA303" s="87"/>
      <c r="CB303" s="87"/>
      <c r="CC303" s="87"/>
      <c r="CD303" s="87"/>
      <c r="CF303" s="67">
        <f t="shared" si="86"/>
        <v>120</v>
      </c>
      <c r="CG303" s="67">
        <f t="shared" si="76"/>
        <v>0</v>
      </c>
      <c r="CH303" s="67">
        <f t="shared" si="77"/>
        <v>0</v>
      </c>
      <c r="CI303" s="67">
        <f t="shared" si="82"/>
        <v>0</v>
      </c>
      <c r="CJ303" s="37">
        <f t="shared" si="78"/>
        <v>40</v>
      </c>
      <c r="CK303" s="37">
        <f t="shared" si="79"/>
        <v>0</v>
      </c>
      <c r="CL303" s="37">
        <f t="shared" si="80"/>
        <v>0</v>
      </c>
      <c r="CM303" s="37">
        <f t="shared" si="81"/>
        <v>0</v>
      </c>
    </row>
    <row r="304" spans="1:91" ht="25.5">
      <c r="B304" s="156">
        <v>298</v>
      </c>
      <c r="C304" s="160">
        <v>202</v>
      </c>
      <c r="D304" s="160">
        <v>97</v>
      </c>
      <c r="E304" s="161">
        <v>0.72569444444444453</v>
      </c>
      <c r="F304" s="173">
        <v>0.76388888888888884</v>
      </c>
      <c r="G304" s="160" t="s">
        <v>514</v>
      </c>
      <c r="H304" s="160" t="s">
        <v>550</v>
      </c>
      <c r="I304" s="163">
        <v>24</v>
      </c>
      <c r="J304" s="164" t="s">
        <v>406</v>
      </c>
      <c r="K304" s="165">
        <v>13</v>
      </c>
      <c r="L304" s="166">
        <f t="shared" si="72"/>
        <v>312</v>
      </c>
      <c r="M304" s="167" t="s">
        <v>747</v>
      </c>
      <c r="N304" s="154" t="s">
        <v>853</v>
      </c>
      <c r="O304" s="154">
        <v>42</v>
      </c>
      <c r="P304" s="150" t="s">
        <v>1970</v>
      </c>
      <c r="Q304" s="154">
        <v>45</v>
      </c>
      <c r="R304" s="150" t="s">
        <v>1242</v>
      </c>
      <c r="S304" s="152">
        <v>48</v>
      </c>
      <c r="T304" s="45">
        <v>2660</v>
      </c>
      <c r="U304" s="45" t="s">
        <v>1352</v>
      </c>
      <c r="V304" s="45">
        <v>1</v>
      </c>
      <c r="W304" s="45" t="s">
        <v>1339</v>
      </c>
      <c r="X304" s="99">
        <v>44562</v>
      </c>
      <c r="Y304" s="99">
        <v>44815</v>
      </c>
      <c r="Z304" s="99">
        <v>45101</v>
      </c>
      <c r="AA304" s="99">
        <v>45169</v>
      </c>
      <c r="AB304" s="36" t="s">
        <v>1116</v>
      </c>
      <c r="AC304" s="36"/>
      <c r="AD304" s="42"/>
      <c r="AE304" s="42" t="s">
        <v>734</v>
      </c>
      <c r="AF304" s="42"/>
      <c r="AG304" s="42"/>
      <c r="AH304" s="42"/>
      <c r="AI304" s="42"/>
      <c r="AJ304" s="42"/>
      <c r="AK304" s="42"/>
      <c r="AL304" s="42"/>
      <c r="AM304" s="42"/>
      <c r="AN304" s="42" t="s">
        <v>734</v>
      </c>
      <c r="AO304" s="42"/>
      <c r="AP304" s="42"/>
      <c r="AQ304" s="42"/>
      <c r="AR304" s="42"/>
      <c r="AS304" s="42"/>
      <c r="AT304" s="42"/>
      <c r="AU304" s="42"/>
      <c r="AV304" s="42"/>
      <c r="AW304" s="42"/>
      <c r="AX304" s="68">
        <v>72</v>
      </c>
      <c r="AY304" s="37"/>
      <c r="BA304" s="68"/>
      <c r="BB304" s="68"/>
      <c r="BD304" s="67">
        <f t="shared" si="83"/>
        <v>936</v>
      </c>
      <c r="BE304" s="67"/>
      <c r="BF304" s="37"/>
      <c r="BG304" s="69">
        <v>2</v>
      </c>
      <c r="BH304" s="67">
        <f>IF(AND((AX304/I304)&lt;2,BG304=1),(I304*2)-AX304,0)</f>
        <v>0</v>
      </c>
      <c r="BI304" s="67">
        <f>IF(AND((AX304/I304)&lt;3,BG304=2),(I304*3)-AX304,0)</f>
        <v>0</v>
      </c>
      <c r="BJ304" s="70">
        <f>(BH304+BI304)*K304</f>
        <v>0</v>
      </c>
      <c r="BN304" s="37"/>
      <c r="BO304" s="70">
        <f t="shared" si="84"/>
        <v>0</v>
      </c>
      <c r="BP304" s="37">
        <v>2</v>
      </c>
      <c r="BQ304" s="37">
        <v>0</v>
      </c>
      <c r="BR304" s="37">
        <v>0</v>
      </c>
      <c r="BT304" s="87">
        <f t="shared" si="85"/>
        <v>72</v>
      </c>
      <c r="BU304" s="87"/>
      <c r="BV304" s="87"/>
      <c r="BW304" s="87"/>
      <c r="BX304" s="87"/>
      <c r="BY304" s="87"/>
      <c r="BZ304" s="87"/>
      <c r="CA304" s="87"/>
      <c r="CB304" s="87"/>
      <c r="CC304" s="87"/>
      <c r="CD304" s="87"/>
      <c r="CF304" s="67">
        <f t="shared" si="86"/>
        <v>144</v>
      </c>
      <c r="CG304" s="67">
        <f t="shared" si="76"/>
        <v>0</v>
      </c>
      <c r="CH304" s="67">
        <f t="shared" si="77"/>
        <v>0</v>
      </c>
      <c r="CI304" s="67">
        <f t="shared" si="82"/>
        <v>0</v>
      </c>
      <c r="CJ304" s="37">
        <f t="shared" si="78"/>
        <v>48</v>
      </c>
      <c r="CK304" s="37">
        <f t="shared" si="79"/>
        <v>0</v>
      </c>
      <c r="CL304" s="37">
        <f t="shared" si="80"/>
        <v>0</v>
      </c>
      <c r="CM304" s="37">
        <f t="shared" si="81"/>
        <v>0</v>
      </c>
    </row>
    <row r="305" spans="1:91" ht="25.5">
      <c r="B305" s="156">
        <v>299</v>
      </c>
      <c r="C305" s="200">
        <v>202</v>
      </c>
      <c r="D305" s="164">
        <v>213</v>
      </c>
      <c r="E305" s="161">
        <v>0.74305555555555547</v>
      </c>
      <c r="F305" s="161">
        <v>0.76041666666666663</v>
      </c>
      <c r="G305" s="160" t="s">
        <v>500</v>
      </c>
      <c r="H305" s="160" t="s">
        <v>499</v>
      </c>
      <c r="I305" s="163">
        <v>17.5</v>
      </c>
      <c r="J305" s="164" t="s">
        <v>93</v>
      </c>
      <c r="K305" s="165">
        <v>33</v>
      </c>
      <c r="L305" s="166">
        <f t="shared" si="72"/>
        <v>577.5</v>
      </c>
      <c r="M305" s="201" t="s">
        <v>746</v>
      </c>
      <c r="N305" s="187" t="s">
        <v>921</v>
      </c>
      <c r="O305" s="154">
        <v>21</v>
      </c>
      <c r="P305" s="150" t="s">
        <v>920</v>
      </c>
      <c r="Q305" s="150">
        <v>17</v>
      </c>
      <c r="S305" s="154"/>
      <c r="T305" s="45">
        <v>2670</v>
      </c>
      <c r="U305" s="45" t="s">
        <v>1485</v>
      </c>
      <c r="V305" s="45" t="s">
        <v>1356</v>
      </c>
      <c r="W305" s="45" t="s">
        <v>1357</v>
      </c>
      <c r="X305" s="99">
        <v>44562</v>
      </c>
      <c r="Y305" s="99">
        <v>44815</v>
      </c>
      <c r="Z305" s="99">
        <v>45101</v>
      </c>
      <c r="AA305" s="99">
        <v>45169</v>
      </c>
      <c r="AB305" s="42" t="s">
        <v>1141</v>
      </c>
      <c r="AC305" s="42"/>
      <c r="AD305" s="42"/>
      <c r="AE305" s="42" t="s">
        <v>734</v>
      </c>
      <c r="AF305" s="42" t="s">
        <v>734</v>
      </c>
      <c r="AG305" s="42"/>
      <c r="AH305" s="42" t="s">
        <v>734</v>
      </c>
      <c r="AI305" s="42"/>
      <c r="AJ305" s="42" t="s">
        <v>734</v>
      </c>
      <c r="AK305" s="42" t="s">
        <v>734</v>
      </c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68">
        <v>52.5</v>
      </c>
      <c r="AY305" s="37"/>
      <c r="BA305" s="68"/>
      <c r="BB305" s="68"/>
      <c r="BD305" s="67">
        <f t="shared" si="83"/>
        <v>1732.5</v>
      </c>
      <c r="BE305" s="67"/>
      <c r="BF305" s="37"/>
      <c r="BG305" s="73">
        <v>1</v>
      </c>
      <c r="BH305" s="67">
        <f>IF(AND((AX305/I305)&lt;2,BG305=1),(I305*2)-AX305,0)</f>
        <v>0</v>
      </c>
      <c r="BI305" s="67">
        <f>IF(AND((AX305/I305)&lt;3,BG305=2),(I305*3)-AX305,0)</f>
        <v>0</v>
      </c>
      <c r="BJ305" s="70">
        <f>(BH305+BI305)*K305</f>
        <v>0</v>
      </c>
      <c r="BN305" s="37"/>
      <c r="BO305" s="70">
        <f t="shared" si="84"/>
        <v>0</v>
      </c>
      <c r="BP305" s="37">
        <v>4</v>
      </c>
      <c r="BQ305" s="37">
        <v>0</v>
      </c>
      <c r="BR305" s="37">
        <v>0</v>
      </c>
      <c r="BS305" s="37">
        <v>0</v>
      </c>
      <c r="BT305" s="87">
        <f t="shared" si="85"/>
        <v>52.5</v>
      </c>
      <c r="BU305" s="87"/>
      <c r="BV305" s="87"/>
      <c r="BW305" s="87"/>
      <c r="BX305" s="87"/>
      <c r="BY305" s="87"/>
      <c r="BZ305" s="87"/>
      <c r="CA305" s="87"/>
      <c r="CB305" s="87"/>
      <c r="CC305" s="87"/>
      <c r="CD305" s="87"/>
      <c r="CF305" s="67">
        <f t="shared" si="86"/>
        <v>210</v>
      </c>
      <c r="CG305" s="67">
        <f t="shared" si="76"/>
        <v>0</v>
      </c>
      <c r="CH305" s="67">
        <f t="shared" si="77"/>
        <v>0</v>
      </c>
      <c r="CI305" s="67">
        <f t="shared" si="82"/>
        <v>0</v>
      </c>
      <c r="CJ305" s="37">
        <f t="shared" si="78"/>
        <v>70</v>
      </c>
      <c r="CK305" s="37">
        <f t="shared" si="79"/>
        <v>0</v>
      </c>
      <c r="CL305" s="37">
        <f t="shared" si="80"/>
        <v>0</v>
      </c>
      <c r="CM305" s="37">
        <f t="shared" si="81"/>
        <v>0</v>
      </c>
    </row>
    <row r="306" spans="1:91" ht="22.5">
      <c r="B306" s="156">
        <v>300</v>
      </c>
      <c r="C306" s="169">
        <v>202</v>
      </c>
      <c r="D306" s="169">
        <v>104</v>
      </c>
      <c r="E306" s="170">
        <v>0.75</v>
      </c>
      <c r="F306" s="170">
        <v>0.78819444444444453</v>
      </c>
      <c r="G306" s="171" t="s">
        <v>7</v>
      </c>
      <c r="H306" s="171" t="s">
        <v>1</v>
      </c>
      <c r="I306" s="169">
        <v>24</v>
      </c>
      <c r="J306" s="172">
        <v>40</v>
      </c>
      <c r="K306" s="165">
        <v>67</v>
      </c>
      <c r="L306" s="166">
        <f t="shared" si="72"/>
        <v>1608</v>
      </c>
      <c r="M306" s="167" t="s">
        <v>726</v>
      </c>
      <c r="N306" s="150" t="s">
        <v>1055</v>
      </c>
      <c r="O306" s="150">
        <v>45</v>
      </c>
      <c r="P306" s="150" t="s">
        <v>943</v>
      </c>
      <c r="Q306" s="150">
        <v>48</v>
      </c>
      <c r="R306" s="268" t="s">
        <v>2061</v>
      </c>
      <c r="S306" s="269">
        <v>45</v>
      </c>
      <c r="T306" s="45">
        <v>1</v>
      </c>
      <c r="U306" s="45" t="s">
        <v>1336</v>
      </c>
      <c r="V306" s="45">
        <v>2660</v>
      </c>
      <c r="W306" s="45" t="s">
        <v>1352</v>
      </c>
      <c r="X306" s="99">
        <v>44562</v>
      </c>
      <c r="Y306" s="99">
        <v>44815</v>
      </c>
      <c r="Z306" s="99">
        <v>45101</v>
      </c>
      <c r="AA306" s="99">
        <v>45169</v>
      </c>
      <c r="AB306" s="42" t="s">
        <v>1119</v>
      </c>
      <c r="AC306" s="42"/>
      <c r="AD306" s="42"/>
      <c r="AE306" s="42" t="s">
        <v>734</v>
      </c>
      <c r="AF306" s="42" t="s">
        <v>734</v>
      </c>
      <c r="AG306" s="42"/>
      <c r="AH306" s="42" t="s">
        <v>734</v>
      </c>
      <c r="AI306" s="42" t="s">
        <v>734</v>
      </c>
      <c r="AJ306" s="42" t="s">
        <v>734</v>
      </c>
      <c r="AK306" s="42" t="s">
        <v>734</v>
      </c>
      <c r="AL306" s="42" t="s">
        <v>734</v>
      </c>
      <c r="AM306" s="42" t="s">
        <v>734</v>
      </c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Y306" s="37"/>
      <c r="BA306" s="38" t="s">
        <v>1017</v>
      </c>
      <c r="BB306" s="38"/>
      <c r="BD306" s="67">
        <f t="shared" si="83"/>
        <v>0</v>
      </c>
      <c r="BF306" s="37"/>
      <c r="BG306" s="69">
        <v>2</v>
      </c>
      <c r="BI306" s="67"/>
      <c r="BJ306" s="37"/>
      <c r="BN306" s="37"/>
      <c r="BO306" s="70">
        <f t="shared" si="84"/>
        <v>0</v>
      </c>
      <c r="BP306" s="37">
        <v>9</v>
      </c>
      <c r="BQ306" s="37">
        <v>0</v>
      </c>
      <c r="BR306" s="37">
        <v>0</v>
      </c>
      <c r="BS306" s="37">
        <v>0</v>
      </c>
      <c r="BT306" s="87">
        <f t="shared" si="85"/>
        <v>0</v>
      </c>
      <c r="BU306" s="87" t="s">
        <v>1119</v>
      </c>
      <c r="BV306" s="127">
        <v>9</v>
      </c>
      <c r="BW306" s="127"/>
      <c r="BX306" s="127">
        <v>0</v>
      </c>
      <c r="BY306" s="127"/>
      <c r="BZ306" s="127">
        <v>0</v>
      </c>
      <c r="CA306" s="127"/>
      <c r="CB306" s="127">
        <v>0</v>
      </c>
      <c r="CC306" s="127"/>
      <c r="CD306" s="87">
        <v>220</v>
      </c>
      <c r="CF306" s="67">
        <f t="shared" si="86"/>
        <v>1980</v>
      </c>
      <c r="CG306" s="67">
        <f t="shared" si="76"/>
        <v>0</v>
      </c>
      <c r="CH306" s="67">
        <f t="shared" si="77"/>
        <v>0</v>
      </c>
      <c r="CI306" s="67">
        <f t="shared" si="82"/>
        <v>0</v>
      </c>
      <c r="CJ306" s="37">
        <f t="shared" si="78"/>
        <v>216</v>
      </c>
      <c r="CK306" s="37">
        <f t="shared" si="79"/>
        <v>0</v>
      </c>
      <c r="CL306" s="37">
        <f t="shared" si="80"/>
        <v>0</v>
      </c>
      <c r="CM306" s="37">
        <f t="shared" si="81"/>
        <v>0</v>
      </c>
    </row>
    <row r="307" spans="1:91" ht="25.5">
      <c r="B307" s="156">
        <v>301</v>
      </c>
      <c r="C307" s="169">
        <v>202</v>
      </c>
      <c r="D307" s="169">
        <v>104</v>
      </c>
      <c r="E307" s="170">
        <v>0.75</v>
      </c>
      <c r="F307" s="170">
        <v>0.78819444444444453</v>
      </c>
      <c r="G307" s="171" t="s">
        <v>7</v>
      </c>
      <c r="H307" s="160" t="s">
        <v>479</v>
      </c>
      <c r="I307" s="169">
        <v>24</v>
      </c>
      <c r="J307" s="172">
        <v>50</v>
      </c>
      <c r="K307" s="165">
        <v>240</v>
      </c>
      <c r="L307" s="166">
        <f t="shared" si="72"/>
        <v>5760</v>
      </c>
      <c r="M307" s="167" t="s">
        <v>726</v>
      </c>
      <c r="N307" s="150" t="s">
        <v>1055</v>
      </c>
      <c r="O307" s="150">
        <v>45</v>
      </c>
      <c r="P307" s="150" t="s">
        <v>943</v>
      </c>
      <c r="Q307" s="150">
        <v>48</v>
      </c>
      <c r="R307" s="268" t="s">
        <v>2061</v>
      </c>
      <c r="S307" s="269">
        <v>45</v>
      </c>
      <c r="T307" s="45">
        <v>1</v>
      </c>
      <c r="U307" s="45" t="s">
        <v>1336</v>
      </c>
      <c r="V307" s="45">
        <v>2660</v>
      </c>
      <c r="W307" s="45" t="s">
        <v>1352</v>
      </c>
      <c r="X307" s="99">
        <v>44816</v>
      </c>
      <c r="Y307" s="99">
        <v>45100</v>
      </c>
      <c r="Z307" s="99"/>
      <c r="AA307" s="99"/>
      <c r="AB307" s="45" t="s">
        <v>1124</v>
      </c>
      <c r="AC307" s="45"/>
      <c r="AD307" s="42" t="s">
        <v>734</v>
      </c>
      <c r="AE307" s="42"/>
      <c r="AF307" s="42" t="s">
        <v>734</v>
      </c>
      <c r="AG307" s="42"/>
      <c r="AH307" s="42" t="s">
        <v>734</v>
      </c>
      <c r="AI307" s="42" t="s">
        <v>734</v>
      </c>
      <c r="AJ307" s="42" t="s">
        <v>734</v>
      </c>
      <c r="AK307" s="42" t="s">
        <v>734</v>
      </c>
      <c r="AL307" s="42" t="s">
        <v>734</v>
      </c>
      <c r="AM307" s="42" t="s">
        <v>734</v>
      </c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Y307" s="67">
        <f>2.6*24</f>
        <v>62.400000000000006</v>
      </c>
      <c r="BA307" s="67"/>
      <c r="BB307" s="67"/>
      <c r="BD307" s="67">
        <f t="shared" si="83"/>
        <v>0</v>
      </c>
      <c r="BE307" s="67">
        <f>AY307*K307</f>
        <v>14976.000000000002</v>
      </c>
      <c r="BF307" s="37"/>
      <c r="BG307" s="69">
        <v>2</v>
      </c>
      <c r="BI307" s="67"/>
      <c r="BJ307" s="37"/>
      <c r="BK307" s="71"/>
      <c r="BL307" s="71"/>
      <c r="BM307" s="72"/>
      <c r="BN307" s="37"/>
      <c r="BO307" s="70">
        <f t="shared" si="84"/>
        <v>0</v>
      </c>
      <c r="BP307" s="50">
        <v>16</v>
      </c>
      <c r="BQ307" s="37">
        <v>26</v>
      </c>
      <c r="BR307" s="37">
        <v>25</v>
      </c>
      <c r="BS307" s="37">
        <v>25</v>
      </c>
      <c r="BT307" s="87">
        <f t="shared" si="85"/>
        <v>62.400000000000006</v>
      </c>
      <c r="BU307" s="87"/>
      <c r="BV307" s="87"/>
      <c r="BW307" s="87"/>
      <c r="BX307" s="87"/>
      <c r="BY307" s="87"/>
      <c r="BZ307" s="87"/>
      <c r="CA307" s="87"/>
      <c r="CB307" s="87"/>
      <c r="CC307" s="87"/>
      <c r="CD307" s="87"/>
      <c r="CF307" s="67">
        <f t="shared" si="86"/>
        <v>998.40000000000009</v>
      </c>
      <c r="CG307" s="67">
        <f t="shared" si="76"/>
        <v>1622.4</v>
      </c>
      <c r="CH307" s="67">
        <f t="shared" si="77"/>
        <v>1560.0000000000002</v>
      </c>
      <c r="CI307" s="67">
        <f t="shared" si="82"/>
        <v>1560.0000000000002</v>
      </c>
      <c r="CJ307" s="37">
        <f t="shared" si="78"/>
        <v>384</v>
      </c>
      <c r="CK307" s="37">
        <f t="shared" si="79"/>
        <v>624</v>
      </c>
      <c r="CL307" s="37">
        <f t="shared" si="80"/>
        <v>600</v>
      </c>
      <c r="CM307" s="37">
        <f t="shared" si="81"/>
        <v>600</v>
      </c>
    </row>
    <row r="308" spans="1:91" ht="25.5">
      <c r="B308" s="156">
        <v>302</v>
      </c>
      <c r="C308" s="169">
        <v>202</v>
      </c>
      <c r="D308" s="169">
        <v>247</v>
      </c>
      <c r="E308" s="170">
        <v>0.76388888888888884</v>
      </c>
      <c r="F308" s="170">
        <v>0.81597222222222221</v>
      </c>
      <c r="G308" s="171" t="s">
        <v>8</v>
      </c>
      <c r="H308" s="160" t="s">
        <v>550</v>
      </c>
      <c r="I308" s="169">
        <v>35</v>
      </c>
      <c r="J308" s="172">
        <v>30</v>
      </c>
      <c r="K308" s="165">
        <v>13</v>
      </c>
      <c r="L308" s="166">
        <f t="shared" si="72"/>
        <v>455</v>
      </c>
      <c r="M308" s="167" t="s">
        <v>726</v>
      </c>
      <c r="N308" s="150" t="s">
        <v>939</v>
      </c>
      <c r="O308" s="150">
        <v>37</v>
      </c>
      <c r="P308" s="150" t="s">
        <v>938</v>
      </c>
      <c r="Q308" s="150">
        <v>23</v>
      </c>
      <c r="R308" s="268" t="s">
        <v>2061</v>
      </c>
      <c r="S308" s="269">
        <v>45</v>
      </c>
      <c r="T308" s="45">
        <v>2670</v>
      </c>
      <c r="U308" s="45" t="s">
        <v>1485</v>
      </c>
      <c r="V308" s="45">
        <v>1</v>
      </c>
      <c r="W308" s="45" t="s">
        <v>1339</v>
      </c>
      <c r="X308" s="99">
        <v>44562</v>
      </c>
      <c r="Y308" s="99">
        <v>44815</v>
      </c>
      <c r="Z308" s="99">
        <v>45101</v>
      </c>
      <c r="AA308" s="99">
        <v>45169</v>
      </c>
      <c r="AB308" s="36" t="s">
        <v>1116</v>
      </c>
      <c r="AC308" s="36"/>
      <c r="AD308" s="42"/>
      <c r="AE308" s="42" t="s">
        <v>734</v>
      </c>
      <c r="AF308" s="42"/>
      <c r="AG308" s="42"/>
      <c r="AH308" s="42"/>
      <c r="AI308" s="42"/>
      <c r="AJ308" s="42"/>
      <c r="AK308" s="42"/>
      <c r="AL308" s="42"/>
      <c r="AM308" s="42"/>
      <c r="AN308" s="42" t="s">
        <v>734</v>
      </c>
      <c r="AO308" s="42"/>
      <c r="AP308" s="42"/>
      <c r="AQ308" s="42"/>
      <c r="AR308" s="42"/>
      <c r="AS308" s="42"/>
      <c r="AT308" s="42"/>
      <c r="AU308" s="42"/>
      <c r="AV308" s="42"/>
      <c r="AW308" s="42"/>
      <c r="AY308" s="67">
        <v>192.5</v>
      </c>
      <c r="BA308" s="38"/>
      <c r="BB308" s="38"/>
      <c r="BD308" s="67">
        <f t="shared" si="83"/>
        <v>0</v>
      </c>
      <c r="BE308" s="67">
        <f>AY308*K308</f>
        <v>2502.5</v>
      </c>
      <c r="BF308" s="37"/>
      <c r="BG308" s="73">
        <v>1</v>
      </c>
      <c r="BI308" s="67"/>
      <c r="BJ308" s="37"/>
      <c r="BK308" s="67">
        <f>IF(AND((AY308/I308)&lt;2,BG308=1),(I308*2)-AY308,0)</f>
        <v>0</v>
      </c>
      <c r="BL308" s="67">
        <f>IF(AND((AY308/I308)&lt;3,BG308=2),(I308*3)-AY308,0)</f>
        <v>0</v>
      </c>
      <c r="BM308" s="70">
        <f>(BK308+BL308)*K308</f>
        <v>0</v>
      </c>
      <c r="BN308" s="37"/>
      <c r="BO308" s="70">
        <f t="shared" si="84"/>
        <v>0</v>
      </c>
      <c r="BP308" s="37">
        <v>2</v>
      </c>
      <c r="BQ308" s="37">
        <v>0</v>
      </c>
      <c r="BR308" s="37">
        <v>0</v>
      </c>
      <c r="BT308" s="87">
        <f t="shared" si="85"/>
        <v>192.5</v>
      </c>
      <c r="BU308" s="87"/>
      <c r="BV308" s="87"/>
      <c r="BW308" s="87"/>
      <c r="BX308" s="87"/>
      <c r="BY308" s="87"/>
      <c r="BZ308" s="87"/>
      <c r="CA308" s="87"/>
      <c r="CB308" s="87"/>
      <c r="CC308" s="87"/>
      <c r="CD308" s="87"/>
      <c r="CF308" s="67">
        <f t="shared" si="86"/>
        <v>385</v>
      </c>
      <c r="CG308" s="67">
        <f t="shared" si="76"/>
        <v>0</v>
      </c>
      <c r="CH308" s="67">
        <f t="shared" si="77"/>
        <v>0</v>
      </c>
      <c r="CI308" s="67">
        <f t="shared" si="82"/>
        <v>0</v>
      </c>
      <c r="CJ308" s="37">
        <f t="shared" si="78"/>
        <v>70</v>
      </c>
      <c r="CK308" s="37">
        <f t="shared" si="79"/>
        <v>0</v>
      </c>
      <c r="CL308" s="37">
        <f t="shared" si="80"/>
        <v>0</v>
      </c>
      <c r="CM308" s="37">
        <f t="shared" si="81"/>
        <v>0</v>
      </c>
    </row>
    <row r="309" spans="1:91" s="75" customFormat="1">
      <c r="A309" s="3"/>
      <c r="B309" s="156">
        <v>303</v>
      </c>
      <c r="C309" s="169">
        <v>202</v>
      </c>
      <c r="D309" s="169">
        <v>99</v>
      </c>
      <c r="E309" s="170">
        <v>0.79166666666666663</v>
      </c>
      <c r="F309" s="170">
        <v>0.82986111111111116</v>
      </c>
      <c r="G309" s="171" t="s">
        <v>6</v>
      </c>
      <c r="H309" s="171" t="s">
        <v>1</v>
      </c>
      <c r="I309" s="169">
        <v>24</v>
      </c>
      <c r="J309" s="172">
        <v>40</v>
      </c>
      <c r="K309" s="165">
        <v>67</v>
      </c>
      <c r="L309" s="166">
        <f t="shared" si="72"/>
        <v>1608</v>
      </c>
      <c r="M309" s="167" t="s">
        <v>726</v>
      </c>
      <c r="N309" s="150" t="s">
        <v>1055</v>
      </c>
      <c r="O309" s="150">
        <v>45</v>
      </c>
      <c r="P309" s="150" t="s">
        <v>943</v>
      </c>
      <c r="Q309" s="150">
        <v>48</v>
      </c>
      <c r="R309" s="268" t="s">
        <v>2061</v>
      </c>
      <c r="S309" s="269">
        <v>45</v>
      </c>
      <c r="T309" s="45">
        <v>2660</v>
      </c>
      <c r="U309" s="45" t="s">
        <v>1352</v>
      </c>
      <c r="V309" s="45">
        <v>1</v>
      </c>
      <c r="W309" s="45" t="s">
        <v>1339</v>
      </c>
      <c r="X309" s="99">
        <v>44562</v>
      </c>
      <c r="Y309" s="99">
        <v>44815</v>
      </c>
      <c r="Z309" s="99">
        <v>45101</v>
      </c>
      <c r="AA309" s="99">
        <v>45169</v>
      </c>
      <c r="AB309" s="42" t="s">
        <v>1119</v>
      </c>
      <c r="AC309" s="42"/>
      <c r="AD309" s="42"/>
      <c r="AE309" s="42" t="s">
        <v>734</v>
      </c>
      <c r="AF309" s="42" t="s">
        <v>734</v>
      </c>
      <c r="AG309" s="42"/>
      <c r="AH309" s="42" t="s">
        <v>734</v>
      </c>
      <c r="AI309" s="42" t="s">
        <v>734</v>
      </c>
      <c r="AJ309" s="42" t="s">
        <v>734</v>
      </c>
      <c r="AK309" s="42" t="s">
        <v>734</v>
      </c>
      <c r="AL309" s="42" t="s">
        <v>734</v>
      </c>
      <c r="AM309" s="42" t="s">
        <v>734</v>
      </c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67"/>
      <c r="AY309" s="37"/>
      <c r="AZ309" s="37"/>
      <c r="BA309" s="38" t="s">
        <v>1017</v>
      </c>
      <c r="BB309" s="38"/>
      <c r="BC309" s="37"/>
      <c r="BD309" s="67">
        <f t="shared" si="83"/>
        <v>0</v>
      </c>
      <c r="BE309" s="37"/>
      <c r="BF309" s="37"/>
      <c r="BG309" s="69">
        <v>2</v>
      </c>
      <c r="BH309" s="37"/>
      <c r="BI309" s="67"/>
      <c r="BJ309" s="37"/>
      <c r="BK309" s="37"/>
      <c r="BL309" s="37"/>
      <c r="BM309" s="37"/>
      <c r="BN309" s="37"/>
      <c r="BO309" s="70">
        <f t="shared" si="84"/>
        <v>0</v>
      </c>
      <c r="BP309" s="37">
        <v>9</v>
      </c>
      <c r="BQ309" s="37">
        <v>0</v>
      </c>
      <c r="BR309" s="37">
        <v>0</v>
      </c>
      <c r="BS309" s="37">
        <v>0</v>
      </c>
      <c r="BT309" s="87">
        <f t="shared" si="85"/>
        <v>0</v>
      </c>
      <c r="BU309" s="87"/>
      <c r="BV309" s="87"/>
      <c r="BW309" s="87"/>
      <c r="BX309" s="87"/>
      <c r="BY309" s="87"/>
      <c r="BZ309" s="87"/>
      <c r="CA309" s="87"/>
      <c r="CB309" s="87"/>
      <c r="CC309" s="87"/>
      <c r="CD309" s="87"/>
      <c r="CE309" s="37"/>
      <c r="CF309" s="67">
        <f t="shared" si="86"/>
        <v>0</v>
      </c>
      <c r="CG309" s="67">
        <f t="shared" si="76"/>
        <v>0</v>
      </c>
      <c r="CH309" s="67">
        <f t="shared" si="77"/>
        <v>0</v>
      </c>
      <c r="CI309" s="67">
        <f t="shared" si="82"/>
        <v>0</v>
      </c>
      <c r="CJ309" s="37">
        <f t="shared" si="78"/>
        <v>216</v>
      </c>
      <c r="CK309" s="37">
        <f t="shared" si="79"/>
        <v>0</v>
      </c>
      <c r="CL309" s="37">
        <f t="shared" si="80"/>
        <v>0</v>
      </c>
      <c r="CM309" s="37">
        <f t="shared" si="81"/>
        <v>0</v>
      </c>
    </row>
    <row r="310" spans="1:91" s="75" customFormat="1" ht="25.5">
      <c r="A310" s="3"/>
      <c r="B310" s="156">
        <v>304</v>
      </c>
      <c r="C310" s="169">
        <v>202</v>
      </c>
      <c r="D310" s="169">
        <v>99</v>
      </c>
      <c r="E310" s="170">
        <v>0.79166666666666663</v>
      </c>
      <c r="F310" s="170">
        <v>0.82986111111111116</v>
      </c>
      <c r="G310" s="171" t="s">
        <v>6</v>
      </c>
      <c r="H310" s="160" t="s">
        <v>479</v>
      </c>
      <c r="I310" s="169">
        <v>24</v>
      </c>
      <c r="J310" s="172">
        <v>50</v>
      </c>
      <c r="K310" s="165">
        <v>240</v>
      </c>
      <c r="L310" s="166">
        <f t="shared" si="72"/>
        <v>5760</v>
      </c>
      <c r="M310" s="167" t="s">
        <v>726</v>
      </c>
      <c r="N310" s="150" t="s">
        <v>1055</v>
      </c>
      <c r="O310" s="150">
        <v>45</v>
      </c>
      <c r="P310" s="150" t="s">
        <v>943</v>
      </c>
      <c r="Q310" s="150">
        <v>48</v>
      </c>
      <c r="R310" s="268" t="s">
        <v>2061</v>
      </c>
      <c r="S310" s="269">
        <v>45</v>
      </c>
      <c r="T310" s="45">
        <v>2660</v>
      </c>
      <c r="U310" s="45" t="s">
        <v>1352</v>
      </c>
      <c r="V310" s="45">
        <v>1</v>
      </c>
      <c r="W310" s="45" t="s">
        <v>1339</v>
      </c>
      <c r="X310" s="99">
        <v>44816</v>
      </c>
      <c r="Y310" s="99">
        <v>45100</v>
      </c>
      <c r="Z310" s="99"/>
      <c r="AA310" s="99"/>
      <c r="AB310" s="45" t="s">
        <v>1124</v>
      </c>
      <c r="AC310" s="45"/>
      <c r="AD310" s="42" t="s">
        <v>734</v>
      </c>
      <c r="AE310" s="42"/>
      <c r="AF310" s="42" t="s">
        <v>734</v>
      </c>
      <c r="AG310" s="42"/>
      <c r="AH310" s="42" t="s">
        <v>734</v>
      </c>
      <c r="AI310" s="42" t="s">
        <v>734</v>
      </c>
      <c r="AJ310" s="42" t="s">
        <v>734</v>
      </c>
      <c r="AK310" s="42" t="s">
        <v>734</v>
      </c>
      <c r="AL310" s="42" t="s">
        <v>734</v>
      </c>
      <c r="AM310" s="42" t="s">
        <v>734</v>
      </c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67"/>
      <c r="AY310" s="67">
        <f>2.6*24</f>
        <v>62.400000000000006</v>
      </c>
      <c r="AZ310" s="37"/>
      <c r="BA310" s="67"/>
      <c r="BB310" s="67"/>
      <c r="BC310" s="37"/>
      <c r="BD310" s="67">
        <f t="shared" si="83"/>
        <v>0</v>
      </c>
      <c r="BE310" s="67">
        <f>AY310*K310</f>
        <v>14976.000000000002</v>
      </c>
      <c r="BF310" s="37"/>
      <c r="BG310" s="69">
        <v>2</v>
      </c>
      <c r="BI310" s="67"/>
      <c r="BK310" s="71"/>
      <c r="BL310" s="71"/>
      <c r="BM310" s="72"/>
      <c r="BO310" s="70">
        <f t="shared" si="84"/>
        <v>0</v>
      </c>
      <c r="BP310" s="50">
        <v>16</v>
      </c>
      <c r="BQ310" s="37">
        <v>26</v>
      </c>
      <c r="BR310" s="37">
        <v>25</v>
      </c>
      <c r="BS310" s="37">
        <v>25</v>
      </c>
      <c r="BT310" s="87">
        <f t="shared" si="85"/>
        <v>62.400000000000006</v>
      </c>
      <c r="BU310" s="87"/>
      <c r="BV310" s="87"/>
      <c r="BW310" s="87"/>
      <c r="BX310" s="87"/>
      <c r="BY310" s="87"/>
      <c r="BZ310" s="87"/>
      <c r="CA310" s="87"/>
      <c r="CB310" s="87"/>
      <c r="CC310" s="87"/>
      <c r="CD310" s="87"/>
      <c r="CF310" s="67">
        <f t="shared" si="86"/>
        <v>998.40000000000009</v>
      </c>
      <c r="CG310" s="67">
        <f t="shared" si="76"/>
        <v>1622.4</v>
      </c>
      <c r="CH310" s="67">
        <f t="shared" si="77"/>
        <v>1560.0000000000002</v>
      </c>
      <c r="CI310" s="67">
        <f t="shared" si="82"/>
        <v>1560.0000000000002</v>
      </c>
      <c r="CJ310" s="37">
        <f t="shared" si="78"/>
        <v>384</v>
      </c>
      <c r="CK310" s="37">
        <f t="shared" si="79"/>
        <v>624</v>
      </c>
      <c r="CL310" s="37">
        <f t="shared" si="80"/>
        <v>600</v>
      </c>
      <c r="CM310" s="37">
        <f t="shared" si="81"/>
        <v>600</v>
      </c>
    </row>
    <row r="311" spans="1:91" s="75" customFormat="1" ht="25.5">
      <c r="A311" s="3"/>
      <c r="B311" s="156">
        <v>305</v>
      </c>
      <c r="C311" s="160">
        <v>203</v>
      </c>
      <c r="D311" s="162">
        <v>383</v>
      </c>
      <c r="E311" s="161">
        <v>0.27430555555555552</v>
      </c>
      <c r="F311" s="161">
        <v>0.30069444444444443</v>
      </c>
      <c r="G311" s="160" t="s">
        <v>224</v>
      </c>
      <c r="H311" s="160" t="s">
        <v>203</v>
      </c>
      <c r="I311" s="163">
        <v>15.5</v>
      </c>
      <c r="J311" s="164" t="s">
        <v>93</v>
      </c>
      <c r="K311" s="165">
        <v>202</v>
      </c>
      <c r="L311" s="166">
        <f t="shared" si="72"/>
        <v>3131</v>
      </c>
      <c r="M311" s="167" t="s">
        <v>726</v>
      </c>
      <c r="N311" s="154" t="s">
        <v>941</v>
      </c>
      <c r="O311" s="154">
        <v>24</v>
      </c>
      <c r="P311" s="150" t="s">
        <v>940</v>
      </c>
      <c r="Q311" s="150">
        <v>21</v>
      </c>
      <c r="R311" s="150" t="s">
        <v>942</v>
      </c>
      <c r="S311" s="151">
        <v>23</v>
      </c>
      <c r="T311" s="45">
        <v>2046</v>
      </c>
      <c r="U311" s="45" t="s">
        <v>1489</v>
      </c>
      <c r="V311" s="45" t="s">
        <v>1490</v>
      </c>
      <c r="W311" s="45" t="s">
        <v>1491</v>
      </c>
      <c r="X311" s="99">
        <v>44816</v>
      </c>
      <c r="Y311" s="99">
        <v>45100</v>
      </c>
      <c r="Z311" s="99"/>
      <c r="AA311" s="99"/>
      <c r="AB311" s="41" t="s">
        <v>1120</v>
      </c>
      <c r="AC311" s="41"/>
      <c r="AD311" s="42" t="s">
        <v>734</v>
      </c>
      <c r="AE311" s="42"/>
      <c r="AF311" s="42" t="s">
        <v>734</v>
      </c>
      <c r="AG311" s="42"/>
      <c r="AH311" s="42" t="s">
        <v>734</v>
      </c>
      <c r="AI311" s="42" t="s">
        <v>734</v>
      </c>
      <c r="AJ311" s="42" t="s">
        <v>734</v>
      </c>
      <c r="AK311" s="42" t="s">
        <v>734</v>
      </c>
      <c r="AL311" s="42" t="s">
        <v>734</v>
      </c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68">
        <v>36.049999999999997</v>
      </c>
      <c r="AY311" s="37"/>
      <c r="AZ311" s="37"/>
      <c r="BA311" s="68"/>
      <c r="BB311" s="68"/>
      <c r="BC311" s="37"/>
      <c r="BD311" s="67">
        <f t="shared" si="83"/>
        <v>7282.0999999999995</v>
      </c>
      <c r="BE311" s="67"/>
      <c r="BF311" s="37"/>
      <c r="BG311" s="73">
        <v>1</v>
      </c>
      <c r="BH311" s="67">
        <f t="shared" ref="BH311:BH321" si="90">IF(AND((AX311/I311)&lt;2,BG311=1),(I311*2)-AX311,0)</f>
        <v>0</v>
      </c>
      <c r="BI311" s="67">
        <f t="shared" ref="BI311:BI321" si="91">IF(AND((AX311/I311)&lt;3,BG311=2),(I311*3)-AX311,0)</f>
        <v>0</v>
      </c>
      <c r="BJ311" s="70">
        <f t="shared" ref="BJ311:BJ321" si="92">(BH311+BI311)*K311</f>
        <v>0</v>
      </c>
      <c r="BN311" s="67">
        <f>IF((AX311+AY311+AZ311)&lt;20,(20-(AX311+AY311+AZ311)),0)</f>
        <v>0</v>
      </c>
      <c r="BO311" s="70">
        <f t="shared" si="84"/>
        <v>0</v>
      </c>
      <c r="BP311" s="37">
        <v>15</v>
      </c>
      <c r="BQ311" s="37">
        <v>21</v>
      </c>
      <c r="BR311" s="37">
        <v>21</v>
      </c>
      <c r="BS311" s="37">
        <v>20</v>
      </c>
      <c r="BT311" s="87">
        <f t="shared" si="85"/>
        <v>36.049999999999997</v>
      </c>
      <c r="BU311" s="87"/>
      <c r="BV311" s="87"/>
      <c r="BW311" s="87"/>
      <c r="BX311" s="87"/>
      <c r="BY311" s="87"/>
      <c r="BZ311" s="87"/>
      <c r="CA311" s="87"/>
      <c r="CB311" s="87"/>
      <c r="CC311" s="87"/>
      <c r="CD311" s="87"/>
      <c r="CF311" s="67">
        <f t="shared" si="86"/>
        <v>540.75</v>
      </c>
      <c r="CG311" s="67">
        <f t="shared" si="76"/>
        <v>757.05</v>
      </c>
      <c r="CH311" s="67">
        <f t="shared" si="77"/>
        <v>757.05</v>
      </c>
      <c r="CI311" s="67">
        <f t="shared" si="82"/>
        <v>721</v>
      </c>
      <c r="CJ311" s="37">
        <f t="shared" si="78"/>
        <v>232.5</v>
      </c>
      <c r="CK311" s="37">
        <f t="shared" si="79"/>
        <v>325.5</v>
      </c>
      <c r="CL311" s="37">
        <f t="shared" si="80"/>
        <v>325.5</v>
      </c>
      <c r="CM311" s="37">
        <f t="shared" si="81"/>
        <v>310</v>
      </c>
    </row>
    <row r="312" spans="1:91" s="75" customFormat="1" ht="25.5">
      <c r="A312" s="3"/>
      <c r="B312" s="156">
        <v>306</v>
      </c>
      <c r="C312" s="160">
        <v>203</v>
      </c>
      <c r="D312" s="162">
        <v>174</v>
      </c>
      <c r="E312" s="161">
        <v>0.5541666666666667</v>
      </c>
      <c r="F312" s="173">
        <v>0.57013888888888886</v>
      </c>
      <c r="G312" s="160" t="s">
        <v>674</v>
      </c>
      <c r="H312" s="160" t="s">
        <v>97</v>
      </c>
      <c r="I312" s="163">
        <v>11.5</v>
      </c>
      <c r="J312" s="164" t="s">
        <v>127</v>
      </c>
      <c r="K312" s="165">
        <v>208</v>
      </c>
      <c r="L312" s="166">
        <f t="shared" si="72"/>
        <v>2392</v>
      </c>
      <c r="M312" s="167" t="s">
        <v>726</v>
      </c>
      <c r="N312" s="154" t="s">
        <v>939</v>
      </c>
      <c r="O312" s="154">
        <v>37</v>
      </c>
      <c r="P312" s="150" t="s">
        <v>938</v>
      </c>
      <c r="Q312" s="150">
        <v>23</v>
      </c>
      <c r="R312" s="150" t="s">
        <v>942</v>
      </c>
      <c r="S312" s="151">
        <v>23</v>
      </c>
      <c r="T312" s="45" t="s">
        <v>1492</v>
      </c>
      <c r="U312" s="45" t="s">
        <v>1493</v>
      </c>
      <c r="V312" s="45">
        <v>2046</v>
      </c>
      <c r="W312" s="45" t="s">
        <v>1489</v>
      </c>
      <c r="X312" s="98">
        <v>44816</v>
      </c>
      <c r="Y312" s="98">
        <v>45086</v>
      </c>
      <c r="Z312" s="98"/>
      <c r="AA312" s="98"/>
      <c r="AB312" s="41" t="s">
        <v>1118</v>
      </c>
      <c r="AC312" s="41"/>
      <c r="AD312" s="42"/>
      <c r="AE312" s="42"/>
      <c r="AF312" s="42"/>
      <c r="AG312" s="42" t="s">
        <v>734</v>
      </c>
      <c r="AH312" s="42" t="s">
        <v>734</v>
      </c>
      <c r="AI312" s="42" t="s">
        <v>734</v>
      </c>
      <c r="AJ312" s="42" t="s">
        <v>734</v>
      </c>
      <c r="AK312" s="42" t="s">
        <v>734</v>
      </c>
      <c r="AL312" s="42" t="s">
        <v>734</v>
      </c>
      <c r="AM312" s="42" t="s">
        <v>734</v>
      </c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68">
        <v>52.32</v>
      </c>
      <c r="AY312" s="37"/>
      <c r="AZ312" s="37"/>
      <c r="BA312" s="68"/>
      <c r="BB312" s="68"/>
      <c r="BC312" s="37"/>
      <c r="BD312" s="67">
        <f t="shared" si="83"/>
        <v>10882.56</v>
      </c>
      <c r="BE312" s="67"/>
      <c r="BF312" s="37"/>
      <c r="BG312" s="69">
        <v>2</v>
      </c>
      <c r="BH312" s="67">
        <f t="shared" si="90"/>
        <v>0</v>
      </c>
      <c r="BI312" s="67">
        <f t="shared" si="91"/>
        <v>0</v>
      </c>
      <c r="BJ312" s="70">
        <f t="shared" si="92"/>
        <v>0</v>
      </c>
      <c r="BO312" s="70">
        <f t="shared" si="84"/>
        <v>0</v>
      </c>
      <c r="BP312" s="37">
        <v>17</v>
      </c>
      <c r="BQ312" s="37">
        <v>25</v>
      </c>
      <c r="BR312" s="37">
        <v>25</v>
      </c>
      <c r="BS312" s="37">
        <v>18</v>
      </c>
      <c r="BT312" s="87">
        <f t="shared" si="85"/>
        <v>52.32</v>
      </c>
      <c r="BU312" s="87"/>
      <c r="BV312" s="87"/>
      <c r="BW312" s="87"/>
      <c r="BX312" s="87"/>
      <c r="BY312" s="87"/>
      <c r="BZ312" s="87"/>
      <c r="CA312" s="87"/>
      <c r="CB312" s="87"/>
      <c r="CC312" s="87"/>
      <c r="CD312" s="87"/>
      <c r="CF312" s="67">
        <f t="shared" si="86"/>
        <v>889.44</v>
      </c>
      <c r="CG312" s="67">
        <f t="shared" si="76"/>
        <v>1308</v>
      </c>
      <c r="CH312" s="67">
        <f t="shared" si="77"/>
        <v>1308</v>
      </c>
      <c r="CI312" s="67">
        <f t="shared" si="82"/>
        <v>941.76</v>
      </c>
      <c r="CJ312" s="37">
        <f t="shared" si="78"/>
        <v>195.5</v>
      </c>
      <c r="CK312" s="37">
        <f t="shared" si="79"/>
        <v>287.5</v>
      </c>
      <c r="CL312" s="37">
        <f t="shared" si="80"/>
        <v>287.5</v>
      </c>
      <c r="CM312" s="37">
        <f t="shared" si="81"/>
        <v>207</v>
      </c>
    </row>
    <row r="313" spans="1:91" s="75" customFormat="1" ht="38.25">
      <c r="A313" s="3"/>
      <c r="B313" s="156">
        <v>307</v>
      </c>
      <c r="C313" s="160">
        <v>203</v>
      </c>
      <c r="D313" s="162">
        <v>176</v>
      </c>
      <c r="E313" s="161">
        <v>0.58402777777777781</v>
      </c>
      <c r="F313" s="161">
        <v>0.59236111111111112</v>
      </c>
      <c r="G313" s="160" t="s">
        <v>223</v>
      </c>
      <c r="H313" s="160" t="s">
        <v>222</v>
      </c>
      <c r="I313" s="163">
        <v>3.5</v>
      </c>
      <c r="J313" s="164" t="s">
        <v>93</v>
      </c>
      <c r="K313" s="165">
        <v>68</v>
      </c>
      <c r="L313" s="166">
        <f t="shared" si="72"/>
        <v>238</v>
      </c>
      <c r="M313" s="167" t="s">
        <v>726</v>
      </c>
      <c r="N313" s="154" t="s">
        <v>941</v>
      </c>
      <c r="O313" s="154">
        <v>24</v>
      </c>
      <c r="P313" s="150" t="s">
        <v>940</v>
      </c>
      <c r="Q313" s="150">
        <v>21</v>
      </c>
      <c r="R313" s="3"/>
      <c r="S313" s="154"/>
      <c r="T313" s="45" t="s">
        <v>1492</v>
      </c>
      <c r="U313" s="45" t="s">
        <v>1493</v>
      </c>
      <c r="V313" s="45">
        <v>2043</v>
      </c>
      <c r="W313" s="45" t="s">
        <v>1494</v>
      </c>
      <c r="X313" s="98">
        <v>44816</v>
      </c>
      <c r="Y313" s="98">
        <v>45086</v>
      </c>
      <c r="Z313" s="98"/>
      <c r="AA313" s="98"/>
      <c r="AB313" s="42" t="s">
        <v>1134</v>
      </c>
      <c r="AC313" s="42"/>
      <c r="AD313" s="42"/>
      <c r="AE313" s="42"/>
      <c r="AF313" s="42"/>
      <c r="AG313" s="42" t="s">
        <v>734</v>
      </c>
      <c r="AH313" s="42"/>
      <c r="AI313" s="42" t="s">
        <v>734</v>
      </c>
      <c r="AJ313" s="42"/>
      <c r="AK313" s="42" t="s">
        <v>734</v>
      </c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68">
        <v>8.48</v>
      </c>
      <c r="AY313" s="37"/>
      <c r="AZ313" s="37"/>
      <c r="BA313" s="68"/>
      <c r="BB313" s="68"/>
      <c r="BC313" s="37"/>
      <c r="BD313" s="67">
        <f t="shared" si="83"/>
        <v>576.64</v>
      </c>
      <c r="BE313" s="67"/>
      <c r="BF313" s="37"/>
      <c r="BG313" s="73">
        <v>1</v>
      </c>
      <c r="BH313" s="67">
        <f t="shared" si="90"/>
        <v>0</v>
      </c>
      <c r="BI313" s="67">
        <f t="shared" si="91"/>
        <v>0</v>
      </c>
      <c r="BJ313" s="70">
        <f t="shared" si="92"/>
        <v>0</v>
      </c>
      <c r="BO313" s="70">
        <f t="shared" si="84"/>
        <v>0</v>
      </c>
      <c r="BP313" s="37">
        <v>6</v>
      </c>
      <c r="BQ313" s="37">
        <v>8</v>
      </c>
      <c r="BR313" s="37">
        <v>8</v>
      </c>
      <c r="BS313" s="37">
        <v>6</v>
      </c>
      <c r="BT313" s="87">
        <f t="shared" si="85"/>
        <v>8.48</v>
      </c>
      <c r="BU313" s="87"/>
      <c r="BV313" s="87"/>
      <c r="BW313" s="87"/>
      <c r="BX313" s="87"/>
      <c r="BY313" s="87"/>
      <c r="BZ313" s="87"/>
      <c r="CA313" s="87"/>
      <c r="CB313" s="87"/>
      <c r="CC313" s="87"/>
      <c r="CD313" s="87"/>
      <c r="CF313" s="67">
        <f t="shared" si="86"/>
        <v>50.88</v>
      </c>
      <c r="CG313" s="67">
        <f t="shared" si="76"/>
        <v>67.84</v>
      </c>
      <c r="CH313" s="67">
        <f t="shared" si="77"/>
        <v>67.84</v>
      </c>
      <c r="CI313" s="67">
        <f t="shared" si="82"/>
        <v>50.88</v>
      </c>
      <c r="CJ313" s="37">
        <f t="shared" si="78"/>
        <v>21</v>
      </c>
      <c r="CK313" s="37">
        <f t="shared" si="79"/>
        <v>28</v>
      </c>
      <c r="CL313" s="37">
        <f t="shared" si="80"/>
        <v>28</v>
      </c>
      <c r="CM313" s="37">
        <f t="shared" si="81"/>
        <v>21</v>
      </c>
    </row>
    <row r="314" spans="1:91" s="75" customFormat="1" ht="25.5">
      <c r="A314" s="3"/>
      <c r="B314" s="156">
        <v>308</v>
      </c>
      <c r="C314" s="160">
        <v>203</v>
      </c>
      <c r="D314" s="162">
        <v>176</v>
      </c>
      <c r="E314" s="161">
        <v>0.58402777777777781</v>
      </c>
      <c r="F314" s="173">
        <v>0.61041666666666672</v>
      </c>
      <c r="G314" s="160" t="s">
        <v>221</v>
      </c>
      <c r="H314" s="160" t="s">
        <v>97</v>
      </c>
      <c r="I314" s="163">
        <v>15.5</v>
      </c>
      <c r="J314" s="164" t="s">
        <v>127</v>
      </c>
      <c r="K314" s="165">
        <v>208</v>
      </c>
      <c r="L314" s="166">
        <f t="shared" si="72"/>
        <v>3224</v>
      </c>
      <c r="M314" s="167" t="s">
        <v>726</v>
      </c>
      <c r="N314" s="154" t="s">
        <v>939</v>
      </c>
      <c r="O314" s="154">
        <v>37</v>
      </c>
      <c r="P314" s="150" t="s">
        <v>938</v>
      </c>
      <c r="Q314" s="150">
        <v>23</v>
      </c>
      <c r="R314" s="150" t="s">
        <v>942</v>
      </c>
      <c r="S314" s="151">
        <v>23</v>
      </c>
      <c r="T314" s="45" t="s">
        <v>1492</v>
      </c>
      <c r="U314" s="45" t="s">
        <v>1493</v>
      </c>
      <c r="V314" s="45">
        <v>2046</v>
      </c>
      <c r="W314" s="45" t="s">
        <v>1489</v>
      </c>
      <c r="X314" s="98">
        <v>44816</v>
      </c>
      <c r="Y314" s="98">
        <v>45086</v>
      </c>
      <c r="Z314" s="98"/>
      <c r="AA314" s="98"/>
      <c r="AB314" s="41" t="s">
        <v>1118</v>
      </c>
      <c r="AC314" s="41"/>
      <c r="AD314" s="42"/>
      <c r="AE314" s="42"/>
      <c r="AF314" s="42"/>
      <c r="AG314" s="42" t="s">
        <v>734</v>
      </c>
      <c r="AH314" s="42" t="s">
        <v>734</v>
      </c>
      <c r="AI314" s="42" t="s">
        <v>734</v>
      </c>
      <c r="AJ314" s="42" t="s">
        <v>734</v>
      </c>
      <c r="AK314" s="42" t="s">
        <v>734</v>
      </c>
      <c r="AL314" s="42" t="s">
        <v>734</v>
      </c>
      <c r="AM314" s="42" t="s">
        <v>734</v>
      </c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68">
        <v>63.62</v>
      </c>
      <c r="AY314" s="37"/>
      <c r="AZ314" s="37"/>
      <c r="BA314" s="68"/>
      <c r="BB314" s="68"/>
      <c r="BC314" s="37"/>
      <c r="BD314" s="67">
        <f t="shared" si="83"/>
        <v>13232.96</v>
      </c>
      <c r="BE314" s="67"/>
      <c r="BF314" s="37"/>
      <c r="BG314" s="69">
        <v>2</v>
      </c>
      <c r="BH314" s="67">
        <f t="shared" si="90"/>
        <v>0</v>
      </c>
      <c r="BI314" s="67">
        <f t="shared" si="91"/>
        <v>0</v>
      </c>
      <c r="BJ314" s="70">
        <f t="shared" si="92"/>
        <v>0</v>
      </c>
      <c r="BO314" s="70">
        <f t="shared" si="84"/>
        <v>0</v>
      </c>
      <c r="BP314" s="37">
        <v>17</v>
      </c>
      <c r="BQ314" s="37">
        <v>25</v>
      </c>
      <c r="BR314" s="37">
        <v>25</v>
      </c>
      <c r="BS314" s="37">
        <v>18</v>
      </c>
      <c r="BT314" s="87">
        <f t="shared" si="85"/>
        <v>63.62</v>
      </c>
      <c r="BU314" s="87"/>
      <c r="BV314" s="87"/>
      <c r="BW314" s="87"/>
      <c r="BX314" s="87"/>
      <c r="BY314" s="87"/>
      <c r="BZ314" s="87"/>
      <c r="CA314" s="87"/>
      <c r="CB314" s="87"/>
      <c r="CC314" s="87"/>
      <c r="CD314" s="87"/>
      <c r="CF314" s="67">
        <f t="shared" si="86"/>
        <v>1081.54</v>
      </c>
      <c r="CG314" s="67">
        <f t="shared" si="76"/>
        <v>1590.5</v>
      </c>
      <c r="CH314" s="67">
        <f t="shared" si="77"/>
        <v>1590.5</v>
      </c>
      <c r="CI314" s="67">
        <f t="shared" si="82"/>
        <v>1145.1599999999999</v>
      </c>
      <c r="CJ314" s="37">
        <f t="shared" si="78"/>
        <v>263.5</v>
      </c>
      <c r="CK314" s="37">
        <f t="shared" si="79"/>
        <v>387.5</v>
      </c>
      <c r="CL314" s="37">
        <f t="shared" si="80"/>
        <v>387.5</v>
      </c>
      <c r="CM314" s="37">
        <f t="shared" si="81"/>
        <v>279</v>
      </c>
    </row>
    <row r="315" spans="1:91" s="75" customFormat="1" ht="38.25">
      <c r="A315" s="3"/>
      <c r="B315" s="156">
        <v>309</v>
      </c>
      <c r="C315" s="160">
        <v>203</v>
      </c>
      <c r="D315" s="162">
        <v>80</v>
      </c>
      <c r="E315" s="161">
        <v>0.62638888888888888</v>
      </c>
      <c r="F315" s="161">
        <v>0.64513888888888882</v>
      </c>
      <c r="G315" s="160" t="s">
        <v>220</v>
      </c>
      <c r="H315" s="162" t="s">
        <v>715</v>
      </c>
      <c r="I315" s="163">
        <v>10.5</v>
      </c>
      <c r="J315" s="164" t="s">
        <v>116</v>
      </c>
      <c r="K315" s="165">
        <v>16</v>
      </c>
      <c r="L315" s="166">
        <f t="shared" si="72"/>
        <v>168</v>
      </c>
      <c r="M315" s="167" t="s">
        <v>726</v>
      </c>
      <c r="N315" s="3" t="s">
        <v>986</v>
      </c>
      <c r="O315" s="3">
        <v>9</v>
      </c>
      <c r="P315" s="3" t="s">
        <v>1925</v>
      </c>
      <c r="Q315" s="3">
        <v>9</v>
      </c>
      <c r="R315" s="3" t="s">
        <v>1264</v>
      </c>
      <c r="S315" s="1">
        <v>9</v>
      </c>
      <c r="T315" s="45">
        <v>2040</v>
      </c>
      <c r="U315" s="45" t="s">
        <v>1360</v>
      </c>
      <c r="V315" s="45">
        <v>2045</v>
      </c>
      <c r="W315" s="45" t="s">
        <v>1495</v>
      </c>
      <c r="X315" s="98">
        <v>44816</v>
      </c>
      <c r="Y315" s="98">
        <v>45086</v>
      </c>
      <c r="Z315" s="98"/>
      <c r="AA315" s="98"/>
      <c r="AB315" s="42" t="s">
        <v>1142</v>
      </c>
      <c r="AC315" s="42" t="s">
        <v>1135</v>
      </c>
      <c r="AD315" s="42"/>
      <c r="AE315" s="42"/>
      <c r="AF315" s="42"/>
      <c r="AG315" s="42" t="s">
        <v>734</v>
      </c>
      <c r="AH315" s="42" t="s">
        <v>734</v>
      </c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68">
        <v>18.899999999999999</v>
      </c>
      <c r="AY315" s="37"/>
      <c r="AZ315" s="37"/>
      <c r="BA315" s="68"/>
      <c r="BB315" s="68"/>
      <c r="BC315" s="37"/>
      <c r="BD315" s="67">
        <f t="shared" si="83"/>
        <v>302.39999999999998</v>
      </c>
      <c r="BE315" s="67"/>
      <c r="BF315" s="37"/>
      <c r="BG315" s="73">
        <v>1</v>
      </c>
      <c r="BH315" s="67">
        <f t="shared" si="90"/>
        <v>2.1000000000000014</v>
      </c>
      <c r="BI315" s="67">
        <f t="shared" si="91"/>
        <v>0</v>
      </c>
      <c r="BJ315" s="67">
        <f t="shared" si="92"/>
        <v>33.600000000000023</v>
      </c>
      <c r="BO315" s="70">
        <f t="shared" si="84"/>
        <v>0</v>
      </c>
      <c r="BP315" s="75">
        <v>2</v>
      </c>
      <c r="BQ315" s="75">
        <v>2</v>
      </c>
      <c r="BR315" s="75">
        <v>2</v>
      </c>
      <c r="BS315" s="75">
        <v>2</v>
      </c>
      <c r="BT315" s="87">
        <f t="shared" si="85"/>
        <v>21</v>
      </c>
      <c r="BU315" s="87"/>
      <c r="BV315" s="87"/>
      <c r="BW315" s="87"/>
      <c r="BX315" s="87"/>
      <c r="BY315" s="87"/>
      <c r="BZ315" s="87"/>
      <c r="CA315" s="87"/>
      <c r="CB315" s="87"/>
      <c r="CC315" s="87"/>
      <c r="CD315" s="87"/>
      <c r="CF315" s="67">
        <f t="shared" si="86"/>
        <v>42</v>
      </c>
      <c r="CG315" s="67">
        <f t="shared" si="76"/>
        <v>42</v>
      </c>
      <c r="CH315" s="67">
        <f t="shared" si="77"/>
        <v>42</v>
      </c>
      <c r="CI315" s="67">
        <f t="shared" si="82"/>
        <v>42</v>
      </c>
      <c r="CJ315" s="37">
        <f t="shared" si="78"/>
        <v>21</v>
      </c>
      <c r="CK315" s="37">
        <f t="shared" si="79"/>
        <v>21</v>
      </c>
      <c r="CL315" s="37">
        <f t="shared" si="80"/>
        <v>21</v>
      </c>
      <c r="CM315" s="37">
        <f t="shared" si="81"/>
        <v>21</v>
      </c>
    </row>
    <row r="316" spans="1:91" s="75" customFormat="1" ht="25.5">
      <c r="A316" s="3"/>
      <c r="B316" s="156">
        <v>310</v>
      </c>
      <c r="C316" s="160">
        <v>204</v>
      </c>
      <c r="D316" s="164">
        <v>405</v>
      </c>
      <c r="E316" s="161">
        <v>0.27013888888888887</v>
      </c>
      <c r="F316" s="173">
        <v>0.27708333333333335</v>
      </c>
      <c r="G316" s="160" t="s">
        <v>686</v>
      </c>
      <c r="H316" s="160" t="s">
        <v>97</v>
      </c>
      <c r="I316" s="163">
        <v>7.5</v>
      </c>
      <c r="J316" s="164" t="s">
        <v>146</v>
      </c>
      <c r="K316" s="165">
        <v>208</v>
      </c>
      <c r="L316" s="166">
        <f t="shared" si="72"/>
        <v>1560</v>
      </c>
      <c r="M316" s="201" t="s">
        <v>746</v>
      </c>
      <c r="N316" s="154" t="s">
        <v>920</v>
      </c>
      <c r="O316" s="154">
        <v>17</v>
      </c>
      <c r="P316" s="184" t="s">
        <v>921</v>
      </c>
      <c r="Q316" s="184">
        <v>21</v>
      </c>
      <c r="R316" s="3"/>
      <c r="S316" s="154"/>
      <c r="T316" s="45">
        <v>2057</v>
      </c>
      <c r="U316" s="45" t="s">
        <v>1355</v>
      </c>
      <c r="V316" s="45">
        <v>2054</v>
      </c>
      <c r="W316" s="45" t="s">
        <v>1359</v>
      </c>
      <c r="X316" s="98">
        <v>44816</v>
      </c>
      <c r="Y316" s="98">
        <v>45086</v>
      </c>
      <c r="Z316" s="98"/>
      <c r="AA316" s="98"/>
      <c r="AB316" s="41" t="s">
        <v>1118</v>
      </c>
      <c r="AC316" s="41"/>
      <c r="AD316" s="42"/>
      <c r="AE316" s="42"/>
      <c r="AF316" s="42"/>
      <c r="AG316" s="42" t="s">
        <v>734</v>
      </c>
      <c r="AH316" s="42" t="s">
        <v>734</v>
      </c>
      <c r="AI316" s="42" t="s">
        <v>734</v>
      </c>
      <c r="AJ316" s="42" t="s">
        <v>734</v>
      </c>
      <c r="AK316" s="42" t="s">
        <v>734</v>
      </c>
      <c r="AL316" s="42" t="s">
        <v>734</v>
      </c>
      <c r="AM316" s="42" t="s">
        <v>734</v>
      </c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68">
        <f>6.3+12.77</f>
        <v>19.07</v>
      </c>
      <c r="AY316" s="37"/>
      <c r="AZ316" s="37"/>
      <c r="BA316" s="68"/>
      <c r="BB316" s="68"/>
      <c r="BC316" s="37"/>
      <c r="BD316" s="67">
        <f t="shared" si="83"/>
        <v>3966.56</v>
      </c>
      <c r="BE316" s="67"/>
      <c r="BF316" s="37"/>
      <c r="BG316" s="73">
        <v>1</v>
      </c>
      <c r="BH316" s="67">
        <f t="shared" si="90"/>
        <v>0</v>
      </c>
      <c r="BI316" s="67">
        <f t="shared" si="91"/>
        <v>0</v>
      </c>
      <c r="BJ316" s="70">
        <f t="shared" si="92"/>
        <v>0</v>
      </c>
      <c r="BN316" s="67">
        <f>IF((AX316+AY316+AZ316)&lt;20,(20-(AX316+AY316+AZ316)),0)</f>
        <v>0.92999999999999972</v>
      </c>
      <c r="BO316" s="70">
        <f t="shared" si="84"/>
        <v>193.43999999999994</v>
      </c>
      <c r="BP316" s="37">
        <v>17</v>
      </c>
      <c r="BQ316" s="37">
        <v>25</v>
      </c>
      <c r="BR316" s="37">
        <v>25</v>
      </c>
      <c r="BS316" s="37">
        <v>18</v>
      </c>
      <c r="BT316" s="87">
        <f t="shared" si="85"/>
        <v>20</v>
      </c>
      <c r="BU316" s="87"/>
      <c r="BV316" s="87"/>
      <c r="BW316" s="87"/>
      <c r="BX316" s="87"/>
      <c r="BY316" s="87"/>
      <c r="BZ316" s="87"/>
      <c r="CA316" s="87"/>
      <c r="CB316" s="87"/>
      <c r="CC316" s="87"/>
      <c r="CD316" s="87"/>
      <c r="CF316" s="67">
        <f t="shared" si="86"/>
        <v>340</v>
      </c>
      <c r="CG316" s="67">
        <f t="shared" si="76"/>
        <v>500</v>
      </c>
      <c r="CH316" s="67">
        <f t="shared" si="77"/>
        <v>500</v>
      </c>
      <c r="CI316" s="67">
        <f t="shared" si="82"/>
        <v>360</v>
      </c>
      <c r="CJ316" s="37">
        <f t="shared" si="78"/>
        <v>127.5</v>
      </c>
      <c r="CK316" s="37">
        <f t="shared" si="79"/>
        <v>187.5</v>
      </c>
      <c r="CL316" s="37">
        <f t="shared" si="80"/>
        <v>187.5</v>
      </c>
      <c r="CM316" s="37">
        <f t="shared" si="81"/>
        <v>135</v>
      </c>
    </row>
    <row r="317" spans="1:91" s="75" customFormat="1" ht="25.5">
      <c r="A317" s="3"/>
      <c r="B317" s="156">
        <v>311</v>
      </c>
      <c r="C317" s="160">
        <v>204</v>
      </c>
      <c r="D317" s="162">
        <v>226</v>
      </c>
      <c r="E317" s="161">
        <v>0.27013888888888887</v>
      </c>
      <c r="F317" s="161">
        <v>0.28263888888888888</v>
      </c>
      <c r="G317" s="160" t="s">
        <v>462</v>
      </c>
      <c r="H317" s="160" t="s">
        <v>103</v>
      </c>
      <c r="I317" s="163">
        <v>10</v>
      </c>
      <c r="J317" s="164" t="s">
        <v>101</v>
      </c>
      <c r="K317" s="165">
        <v>174</v>
      </c>
      <c r="L317" s="166">
        <f t="shared" si="72"/>
        <v>1740</v>
      </c>
      <c r="M317" s="167" t="s">
        <v>743</v>
      </c>
      <c r="N317" s="154" t="s">
        <v>949</v>
      </c>
      <c r="O317" s="154">
        <v>55</v>
      </c>
      <c r="P317" s="150" t="s">
        <v>1245</v>
      </c>
      <c r="Q317" s="150">
        <v>54</v>
      </c>
      <c r="R317" s="150" t="s">
        <v>952</v>
      </c>
      <c r="S317" s="154">
        <v>57</v>
      </c>
      <c r="T317" s="45">
        <v>2054</v>
      </c>
      <c r="U317" s="45" t="s">
        <v>1359</v>
      </c>
      <c r="V317" s="45">
        <v>2127</v>
      </c>
      <c r="W317" s="45" t="s">
        <v>1358</v>
      </c>
      <c r="X317" s="98">
        <v>44816</v>
      </c>
      <c r="Y317" s="98">
        <v>45086</v>
      </c>
      <c r="Z317" s="98"/>
      <c r="AA317" s="98"/>
      <c r="AB317" s="41" t="s">
        <v>1114</v>
      </c>
      <c r="AC317" s="41"/>
      <c r="AD317" s="42"/>
      <c r="AE317" s="42"/>
      <c r="AF317" s="42"/>
      <c r="AG317" s="42" t="s">
        <v>734</v>
      </c>
      <c r="AH317" s="42" t="s">
        <v>734</v>
      </c>
      <c r="AI317" s="42" t="s">
        <v>734</v>
      </c>
      <c r="AJ317" s="42" t="s">
        <v>734</v>
      </c>
      <c r="AK317" s="42" t="s">
        <v>734</v>
      </c>
      <c r="AL317" s="42" t="s">
        <v>734</v>
      </c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68">
        <v>30</v>
      </c>
      <c r="AY317" s="37"/>
      <c r="AZ317" s="37"/>
      <c r="BA317" s="68"/>
      <c r="BB317" s="68"/>
      <c r="BC317" s="37"/>
      <c r="BD317" s="67">
        <f t="shared" si="83"/>
        <v>5220</v>
      </c>
      <c r="BE317" s="67"/>
      <c r="BF317" s="37"/>
      <c r="BG317" s="69">
        <v>2</v>
      </c>
      <c r="BH317" s="67">
        <f t="shared" si="90"/>
        <v>0</v>
      </c>
      <c r="BI317" s="67">
        <f t="shared" si="91"/>
        <v>0</v>
      </c>
      <c r="BJ317" s="70">
        <f t="shared" si="92"/>
        <v>0</v>
      </c>
      <c r="BN317" s="67">
        <f>IF((AX317+AY317+AZ317)&lt;20,(20-(AX317+AY317+AZ317)),0)</f>
        <v>0</v>
      </c>
      <c r="BO317" s="70">
        <f t="shared" si="84"/>
        <v>0</v>
      </c>
      <c r="BP317" s="37">
        <v>15</v>
      </c>
      <c r="BQ317" s="37">
        <v>20</v>
      </c>
      <c r="BR317" s="37">
        <v>21</v>
      </c>
      <c r="BS317" s="37">
        <v>15</v>
      </c>
      <c r="BT317" s="87">
        <f t="shared" si="85"/>
        <v>30</v>
      </c>
      <c r="BU317" s="87"/>
      <c r="BV317" s="87"/>
      <c r="BW317" s="87"/>
      <c r="BX317" s="87"/>
      <c r="BY317" s="87"/>
      <c r="BZ317" s="87"/>
      <c r="CA317" s="87"/>
      <c r="CB317" s="87"/>
      <c r="CC317" s="87"/>
      <c r="CD317" s="87"/>
      <c r="CF317" s="67">
        <f t="shared" si="86"/>
        <v>450</v>
      </c>
      <c r="CG317" s="67">
        <f t="shared" si="76"/>
        <v>600</v>
      </c>
      <c r="CH317" s="67">
        <f t="shared" si="77"/>
        <v>630</v>
      </c>
      <c r="CI317" s="67">
        <f t="shared" si="82"/>
        <v>450</v>
      </c>
      <c r="CJ317" s="37">
        <f t="shared" si="78"/>
        <v>150</v>
      </c>
      <c r="CK317" s="37">
        <f t="shared" si="79"/>
        <v>200</v>
      </c>
      <c r="CL317" s="37">
        <f t="shared" si="80"/>
        <v>210</v>
      </c>
      <c r="CM317" s="37">
        <f t="shared" si="81"/>
        <v>150</v>
      </c>
    </row>
    <row r="318" spans="1:91" s="75" customFormat="1" ht="25.5">
      <c r="A318" s="3"/>
      <c r="B318" s="156">
        <v>312</v>
      </c>
      <c r="C318" s="160">
        <v>204</v>
      </c>
      <c r="D318" s="164">
        <v>405</v>
      </c>
      <c r="E318" s="161">
        <v>0.2722222222222222</v>
      </c>
      <c r="F318" s="161">
        <v>0.27708333333333335</v>
      </c>
      <c r="G318" s="160" t="s">
        <v>106</v>
      </c>
      <c r="H318" s="160" t="s">
        <v>107</v>
      </c>
      <c r="I318" s="163">
        <v>4</v>
      </c>
      <c r="J318" s="164" t="s">
        <v>99</v>
      </c>
      <c r="K318" s="165">
        <v>29</v>
      </c>
      <c r="L318" s="166">
        <f t="shared" si="72"/>
        <v>116</v>
      </c>
      <c r="M318" s="201" t="s">
        <v>746</v>
      </c>
      <c r="N318" s="154" t="s">
        <v>920</v>
      </c>
      <c r="O318" s="154">
        <v>17</v>
      </c>
      <c r="P318" s="187" t="s">
        <v>921</v>
      </c>
      <c r="Q318" s="187">
        <v>21</v>
      </c>
      <c r="R318" s="3"/>
      <c r="S318" s="154"/>
      <c r="T318" s="45">
        <v>2057</v>
      </c>
      <c r="U318" s="45" t="s">
        <v>1355</v>
      </c>
      <c r="V318" s="45">
        <v>2054</v>
      </c>
      <c r="W318" s="45" t="s">
        <v>1359</v>
      </c>
      <c r="X318" s="99">
        <v>44816</v>
      </c>
      <c r="Y318" s="99">
        <v>45100</v>
      </c>
      <c r="Z318" s="99"/>
      <c r="AA318" s="99"/>
      <c r="AB318" s="41" t="s">
        <v>1122</v>
      </c>
      <c r="AC318" s="41"/>
      <c r="AD318" s="42" t="s">
        <v>734</v>
      </c>
      <c r="AE318" s="42"/>
      <c r="AF318" s="42" t="s">
        <v>734</v>
      </c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 t="s">
        <v>734</v>
      </c>
      <c r="AS318" s="42" t="s">
        <v>734</v>
      </c>
      <c r="AT318" s="42" t="s">
        <v>734</v>
      </c>
      <c r="AU318" s="42" t="s">
        <v>734</v>
      </c>
      <c r="AV318" s="42" t="s">
        <v>734</v>
      </c>
      <c r="AW318" s="42" t="s">
        <v>734</v>
      </c>
      <c r="AX318" s="68">
        <v>25</v>
      </c>
      <c r="AY318" s="37"/>
      <c r="AZ318" s="37"/>
      <c r="BA318" s="68"/>
      <c r="BB318" s="68"/>
      <c r="BC318" s="37"/>
      <c r="BD318" s="67">
        <f t="shared" si="83"/>
        <v>725</v>
      </c>
      <c r="BE318" s="67"/>
      <c r="BF318" s="37"/>
      <c r="BG318" s="73">
        <v>1</v>
      </c>
      <c r="BH318" s="67">
        <f t="shared" si="90"/>
        <v>0</v>
      </c>
      <c r="BI318" s="67">
        <f t="shared" si="91"/>
        <v>0</v>
      </c>
      <c r="BJ318" s="70">
        <f t="shared" si="92"/>
        <v>0</v>
      </c>
      <c r="BN318" s="67">
        <f>IF((AX318+AY318+AZ318)&lt;20,(20-(AX318+AY318+AZ318)),0)</f>
        <v>0</v>
      </c>
      <c r="BO318" s="70">
        <f t="shared" si="84"/>
        <v>0</v>
      </c>
      <c r="BP318" s="37">
        <v>0</v>
      </c>
      <c r="BQ318" s="37">
        <v>1</v>
      </c>
      <c r="BR318" s="37">
        <v>0</v>
      </c>
      <c r="BS318" s="37">
        <v>7</v>
      </c>
      <c r="BT318" s="87">
        <f t="shared" si="85"/>
        <v>25</v>
      </c>
      <c r="BU318" s="87"/>
      <c r="BV318" s="87"/>
      <c r="BW318" s="87"/>
      <c r="BX318" s="87"/>
      <c r="BY318" s="87"/>
      <c r="BZ318" s="87"/>
      <c r="CA318" s="87"/>
      <c r="CB318" s="87"/>
      <c r="CC318" s="87"/>
      <c r="CD318" s="87"/>
      <c r="CF318" s="67">
        <f t="shared" si="86"/>
        <v>0</v>
      </c>
      <c r="CG318" s="67">
        <f t="shared" si="76"/>
        <v>25</v>
      </c>
      <c r="CH318" s="67">
        <f t="shared" si="77"/>
        <v>0</v>
      </c>
      <c r="CI318" s="67">
        <f t="shared" si="82"/>
        <v>175</v>
      </c>
      <c r="CJ318" s="37">
        <f t="shared" si="78"/>
        <v>0</v>
      </c>
      <c r="CK318" s="37">
        <f t="shared" si="79"/>
        <v>4</v>
      </c>
      <c r="CL318" s="37">
        <f t="shared" si="80"/>
        <v>0</v>
      </c>
      <c r="CM318" s="37">
        <f t="shared" si="81"/>
        <v>28</v>
      </c>
    </row>
    <row r="319" spans="1:91" s="75" customFormat="1" ht="25.5">
      <c r="A319" s="3"/>
      <c r="B319" s="156">
        <v>313</v>
      </c>
      <c r="C319" s="160">
        <v>204</v>
      </c>
      <c r="D319" s="164">
        <v>405</v>
      </c>
      <c r="E319" s="161">
        <v>0.27291666666666664</v>
      </c>
      <c r="F319" s="161">
        <v>0.27708333333333335</v>
      </c>
      <c r="G319" s="160" t="s">
        <v>106</v>
      </c>
      <c r="H319" s="160" t="s">
        <v>105</v>
      </c>
      <c r="I319" s="163">
        <v>4</v>
      </c>
      <c r="J319" s="164" t="s">
        <v>99</v>
      </c>
      <c r="K319" s="165">
        <v>67</v>
      </c>
      <c r="L319" s="166">
        <f t="shared" si="72"/>
        <v>268</v>
      </c>
      <c r="M319" s="201" t="s">
        <v>746</v>
      </c>
      <c r="N319" s="154" t="s">
        <v>920</v>
      </c>
      <c r="O319" s="154">
        <v>17</v>
      </c>
      <c r="P319" s="187" t="s">
        <v>921</v>
      </c>
      <c r="Q319" s="187">
        <v>21</v>
      </c>
      <c r="R319" s="3"/>
      <c r="S319" s="154"/>
      <c r="T319" s="45">
        <v>2057</v>
      </c>
      <c r="U319" s="45" t="s">
        <v>1355</v>
      </c>
      <c r="V319" s="45">
        <v>2054</v>
      </c>
      <c r="W319" s="45" t="s">
        <v>1359</v>
      </c>
      <c r="X319" s="99">
        <v>44562</v>
      </c>
      <c r="Y319" s="99">
        <v>44815</v>
      </c>
      <c r="Z319" s="99">
        <v>45101</v>
      </c>
      <c r="AA319" s="99">
        <v>45169</v>
      </c>
      <c r="AB319" s="42" t="s">
        <v>1119</v>
      </c>
      <c r="AC319" s="42"/>
      <c r="AD319" s="42"/>
      <c r="AE319" s="42" t="s">
        <v>734</v>
      </c>
      <c r="AF319" s="42" t="s">
        <v>734</v>
      </c>
      <c r="AG319" s="42"/>
      <c r="AH319" s="42" t="s">
        <v>734</v>
      </c>
      <c r="AI319" s="42" t="s">
        <v>734</v>
      </c>
      <c r="AJ319" s="42" t="s">
        <v>734</v>
      </c>
      <c r="AK319" s="42" t="s">
        <v>734</v>
      </c>
      <c r="AL319" s="42" t="s">
        <v>734</v>
      </c>
      <c r="AM319" s="42" t="s">
        <v>734</v>
      </c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68">
        <v>25</v>
      </c>
      <c r="AY319" s="37"/>
      <c r="AZ319" s="37"/>
      <c r="BA319" s="68"/>
      <c r="BB319" s="68"/>
      <c r="BC319" s="37"/>
      <c r="BD319" s="67">
        <f t="shared" si="83"/>
        <v>1675</v>
      </c>
      <c r="BE319" s="67"/>
      <c r="BF319" s="37"/>
      <c r="BG319" s="73">
        <v>1</v>
      </c>
      <c r="BH319" s="67">
        <f t="shared" si="90"/>
        <v>0</v>
      </c>
      <c r="BI319" s="67">
        <f t="shared" si="91"/>
        <v>0</v>
      </c>
      <c r="BJ319" s="70">
        <f t="shared" si="92"/>
        <v>0</v>
      </c>
      <c r="BN319" s="67">
        <f>IF((AX319+AY319+AZ319)&lt;20,(20-(AX319+AY319+AZ319)),0)</f>
        <v>0</v>
      </c>
      <c r="BO319" s="70">
        <f t="shared" si="84"/>
        <v>0</v>
      </c>
      <c r="BP319" s="37">
        <v>9</v>
      </c>
      <c r="BQ319" s="37">
        <v>0</v>
      </c>
      <c r="BR319" s="37">
        <v>0</v>
      </c>
      <c r="BS319" s="37">
        <v>0</v>
      </c>
      <c r="BT319" s="87">
        <f t="shared" si="85"/>
        <v>25</v>
      </c>
      <c r="BU319" s="87"/>
      <c r="BV319" s="87"/>
      <c r="BW319" s="87"/>
      <c r="BX319" s="87"/>
      <c r="BY319" s="87"/>
      <c r="BZ319" s="87"/>
      <c r="CA319" s="87"/>
      <c r="CB319" s="87"/>
      <c r="CC319" s="87"/>
      <c r="CD319" s="87"/>
      <c r="CF319" s="67">
        <f t="shared" si="86"/>
        <v>225</v>
      </c>
      <c r="CG319" s="67">
        <f t="shared" si="76"/>
        <v>0</v>
      </c>
      <c r="CH319" s="67">
        <f t="shared" si="77"/>
        <v>0</v>
      </c>
      <c r="CI319" s="67">
        <f t="shared" si="82"/>
        <v>0</v>
      </c>
      <c r="CJ319" s="37">
        <f t="shared" si="78"/>
        <v>36</v>
      </c>
      <c r="CK319" s="37">
        <f t="shared" si="79"/>
        <v>0</v>
      </c>
      <c r="CL319" s="37">
        <f t="shared" si="80"/>
        <v>0</v>
      </c>
      <c r="CM319" s="37">
        <f t="shared" si="81"/>
        <v>0</v>
      </c>
    </row>
    <row r="320" spans="1:91" s="75" customFormat="1">
      <c r="A320" s="3"/>
      <c r="B320" s="156">
        <v>314</v>
      </c>
      <c r="C320" s="160">
        <v>204</v>
      </c>
      <c r="D320" s="162">
        <v>313</v>
      </c>
      <c r="E320" s="161">
        <v>0.2986111111111111</v>
      </c>
      <c r="F320" s="161">
        <v>0.33124999999999999</v>
      </c>
      <c r="G320" s="160" t="s">
        <v>205</v>
      </c>
      <c r="H320" s="160" t="s">
        <v>206</v>
      </c>
      <c r="I320" s="163">
        <v>27</v>
      </c>
      <c r="J320" s="164" t="s">
        <v>93</v>
      </c>
      <c r="K320" s="165">
        <v>45</v>
      </c>
      <c r="L320" s="166">
        <f t="shared" si="72"/>
        <v>1215</v>
      </c>
      <c r="M320" s="167" t="s">
        <v>726</v>
      </c>
      <c r="N320" s="154" t="s">
        <v>941</v>
      </c>
      <c r="O320" s="154">
        <v>24</v>
      </c>
      <c r="P320" s="154" t="s">
        <v>942</v>
      </c>
      <c r="Q320" s="154">
        <v>23</v>
      </c>
      <c r="R320" s="154" t="s">
        <v>938</v>
      </c>
      <c r="S320" s="152">
        <v>23</v>
      </c>
      <c r="T320" s="45">
        <v>2054</v>
      </c>
      <c r="U320" s="45" t="s">
        <v>1359</v>
      </c>
      <c r="V320" s="45">
        <v>1</v>
      </c>
      <c r="W320" s="45" t="s">
        <v>1339</v>
      </c>
      <c r="X320" s="99">
        <v>44816</v>
      </c>
      <c r="Y320" s="99">
        <v>45100</v>
      </c>
      <c r="Z320" s="99"/>
      <c r="AA320" s="99"/>
      <c r="AB320" s="45" t="s">
        <v>1115</v>
      </c>
      <c r="AC320" s="45"/>
      <c r="AD320" s="42" t="s">
        <v>734</v>
      </c>
      <c r="AE320" s="42"/>
      <c r="AF320" s="42"/>
      <c r="AG320" s="42"/>
      <c r="AH320" s="42"/>
      <c r="AI320" s="42"/>
      <c r="AJ320" s="42"/>
      <c r="AK320" s="42"/>
      <c r="AL320" s="42"/>
      <c r="AM320" s="42"/>
      <c r="AN320" s="42" t="s">
        <v>734</v>
      </c>
      <c r="AO320" s="42"/>
      <c r="AP320" s="42"/>
      <c r="AQ320" s="42"/>
      <c r="AR320" s="42"/>
      <c r="AS320" s="42"/>
      <c r="AT320" s="42"/>
      <c r="AU320" s="42"/>
      <c r="AV320" s="42"/>
      <c r="AW320" s="42"/>
      <c r="AX320" s="68">
        <v>48.6</v>
      </c>
      <c r="AY320" s="37"/>
      <c r="AZ320" s="37"/>
      <c r="BA320" s="68"/>
      <c r="BB320" s="68"/>
      <c r="BC320" s="37"/>
      <c r="BD320" s="67">
        <f t="shared" si="83"/>
        <v>2187</v>
      </c>
      <c r="BE320" s="67"/>
      <c r="BF320" s="37"/>
      <c r="BG320" s="73">
        <v>1</v>
      </c>
      <c r="BH320" s="67">
        <f t="shared" si="90"/>
        <v>5.3999999999999986</v>
      </c>
      <c r="BI320" s="67">
        <f t="shared" si="91"/>
        <v>0</v>
      </c>
      <c r="BJ320" s="67">
        <f t="shared" si="92"/>
        <v>242.99999999999994</v>
      </c>
      <c r="BO320" s="70">
        <f t="shared" si="84"/>
        <v>0</v>
      </c>
      <c r="BP320" s="37">
        <v>2</v>
      </c>
      <c r="BQ320" s="37">
        <v>5</v>
      </c>
      <c r="BR320" s="37">
        <v>5</v>
      </c>
      <c r="BS320" s="37">
        <v>6</v>
      </c>
      <c r="BT320" s="87">
        <f t="shared" si="85"/>
        <v>54</v>
      </c>
      <c r="BU320" s="87"/>
      <c r="BV320" s="87"/>
      <c r="BW320" s="87"/>
      <c r="BX320" s="87"/>
      <c r="BY320" s="87"/>
      <c r="BZ320" s="87"/>
      <c r="CA320" s="87"/>
      <c r="CB320" s="87"/>
      <c r="CC320" s="87"/>
      <c r="CD320" s="87"/>
      <c r="CF320" s="67">
        <f t="shared" si="86"/>
        <v>108</v>
      </c>
      <c r="CG320" s="67">
        <f t="shared" si="76"/>
        <v>270</v>
      </c>
      <c r="CH320" s="67">
        <f t="shared" si="77"/>
        <v>270</v>
      </c>
      <c r="CI320" s="67">
        <f t="shared" si="82"/>
        <v>324</v>
      </c>
      <c r="CJ320" s="37">
        <f t="shared" si="78"/>
        <v>54</v>
      </c>
      <c r="CK320" s="37">
        <f t="shared" si="79"/>
        <v>135</v>
      </c>
      <c r="CL320" s="37">
        <f t="shared" si="80"/>
        <v>135</v>
      </c>
      <c r="CM320" s="37">
        <f t="shared" si="81"/>
        <v>162</v>
      </c>
    </row>
    <row r="321" spans="1:91" ht="25.5">
      <c r="B321" s="156">
        <v>315</v>
      </c>
      <c r="C321" s="160">
        <v>204</v>
      </c>
      <c r="D321" s="162">
        <v>313</v>
      </c>
      <c r="E321" s="161">
        <v>0.2986111111111111</v>
      </c>
      <c r="F321" s="161">
        <v>0.33124999999999999</v>
      </c>
      <c r="G321" s="160" t="s">
        <v>205</v>
      </c>
      <c r="H321" s="160" t="s">
        <v>550</v>
      </c>
      <c r="I321" s="163">
        <v>27</v>
      </c>
      <c r="J321" s="164" t="s">
        <v>93</v>
      </c>
      <c r="K321" s="165">
        <v>13</v>
      </c>
      <c r="L321" s="166">
        <f t="shared" ref="L321:L384" si="93">+K321*I321</f>
        <v>351</v>
      </c>
      <c r="M321" s="167" t="s">
        <v>726</v>
      </c>
      <c r="N321" s="154" t="s">
        <v>941</v>
      </c>
      <c r="O321" s="154">
        <v>24</v>
      </c>
      <c r="P321" s="154" t="s">
        <v>942</v>
      </c>
      <c r="Q321" s="154">
        <v>23</v>
      </c>
      <c r="R321" s="154" t="s">
        <v>938</v>
      </c>
      <c r="S321" s="152">
        <v>23</v>
      </c>
      <c r="T321" s="45">
        <v>2054</v>
      </c>
      <c r="U321" s="45" t="s">
        <v>1359</v>
      </c>
      <c r="V321" s="45">
        <v>1</v>
      </c>
      <c r="W321" s="45" t="s">
        <v>1339</v>
      </c>
      <c r="X321" s="99">
        <v>44562</v>
      </c>
      <c r="Y321" s="99">
        <v>44815</v>
      </c>
      <c r="Z321" s="99">
        <v>45101</v>
      </c>
      <c r="AA321" s="99">
        <v>45169</v>
      </c>
      <c r="AB321" s="36" t="s">
        <v>1116</v>
      </c>
      <c r="AC321" s="36"/>
      <c r="AD321" s="42"/>
      <c r="AE321" s="42" t="s">
        <v>734</v>
      </c>
      <c r="AF321" s="42"/>
      <c r="AG321" s="42"/>
      <c r="AH321" s="42"/>
      <c r="AI321" s="42"/>
      <c r="AJ321" s="42"/>
      <c r="AK321" s="42"/>
      <c r="AL321" s="42"/>
      <c r="AM321" s="42"/>
      <c r="AN321" s="42" t="s">
        <v>734</v>
      </c>
      <c r="AO321" s="42"/>
      <c r="AP321" s="42"/>
      <c r="AQ321" s="42"/>
      <c r="AR321" s="42"/>
      <c r="AS321" s="42"/>
      <c r="AT321" s="42"/>
      <c r="AU321" s="42"/>
      <c r="AV321" s="42"/>
      <c r="AW321" s="42"/>
      <c r="AX321" s="68">
        <v>48.6</v>
      </c>
      <c r="AY321" s="37"/>
      <c r="BA321" s="68"/>
      <c r="BB321" s="68"/>
      <c r="BD321" s="67">
        <f t="shared" si="83"/>
        <v>631.80000000000007</v>
      </c>
      <c r="BE321" s="67"/>
      <c r="BF321" s="37"/>
      <c r="BG321" s="73">
        <v>1</v>
      </c>
      <c r="BH321" s="67">
        <f t="shared" si="90"/>
        <v>5.3999999999999986</v>
      </c>
      <c r="BI321" s="67">
        <f t="shared" si="91"/>
        <v>0</v>
      </c>
      <c r="BJ321" s="67">
        <f t="shared" si="92"/>
        <v>70.199999999999989</v>
      </c>
      <c r="BK321" s="75"/>
      <c r="BL321" s="75"/>
      <c r="BM321" s="75"/>
      <c r="BN321" s="75"/>
      <c r="BO321" s="70">
        <f t="shared" si="84"/>
        <v>0</v>
      </c>
      <c r="BP321" s="37">
        <v>2</v>
      </c>
      <c r="BQ321" s="37">
        <v>0</v>
      </c>
      <c r="BR321" s="37">
        <v>0</v>
      </c>
      <c r="BT321" s="87">
        <f t="shared" si="85"/>
        <v>54</v>
      </c>
      <c r="BU321" s="87"/>
      <c r="BV321" s="87"/>
      <c r="BW321" s="87"/>
      <c r="BX321" s="87"/>
      <c r="BY321" s="87"/>
      <c r="BZ321" s="87"/>
      <c r="CA321" s="87"/>
      <c r="CB321" s="87"/>
      <c r="CC321" s="87"/>
      <c r="CD321" s="87"/>
      <c r="CF321" s="67">
        <f t="shared" si="86"/>
        <v>108</v>
      </c>
      <c r="CG321" s="67">
        <f t="shared" si="76"/>
        <v>0</v>
      </c>
      <c r="CH321" s="67">
        <f t="shared" si="77"/>
        <v>0</v>
      </c>
      <c r="CI321" s="67">
        <f t="shared" si="82"/>
        <v>0</v>
      </c>
      <c r="CJ321" s="37">
        <f t="shared" si="78"/>
        <v>54</v>
      </c>
      <c r="CK321" s="37">
        <f t="shared" si="79"/>
        <v>0</v>
      </c>
      <c r="CL321" s="37">
        <f t="shared" si="80"/>
        <v>0</v>
      </c>
      <c r="CM321" s="37">
        <f t="shared" si="81"/>
        <v>0</v>
      </c>
    </row>
    <row r="322" spans="1:91" s="75" customFormat="1" ht="25.5">
      <c r="A322" s="225" t="s">
        <v>1181</v>
      </c>
      <c r="B322" s="226">
        <v>316</v>
      </c>
      <c r="C322" s="227">
        <v>204</v>
      </c>
      <c r="D322" s="228">
        <v>281</v>
      </c>
      <c r="E322" s="229">
        <v>0.30416666666666664</v>
      </c>
      <c r="F322" s="229">
        <v>0.30902777777777779</v>
      </c>
      <c r="G322" s="227" t="s">
        <v>675</v>
      </c>
      <c r="H322" s="227" t="s">
        <v>425</v>
      </c>
      <c r="I322" s="230">
        <v>16.899999999999999</v>
      </c>
      <c r="J322" s="231" t="s">
        <v>165</v>
      </c>
      <c r="K322" s="232"/>
      <c r="L322" s="233">
        <f t="shared" si="93"/>
        <v>0</v>
      </c>
      <c r="M322" s="234" t="s">
        <v>2131</v>
      </c>
      <c r="N322" s="249"/>
      <c r="O322" s="249"/>
      <c r="P322" s="249"/>
      <c r="Q322" s="249"/>
      <c r="R322" s="249"/>
      <c r="S322" s="249"/>
      <c r="T322" s="240"/>
      <c r="U322" s="240"/>
      <c r="V322" s="240"/>
      <c r="W322" s="240"/>
      <c r="X322" s="235"/>
      <c r="Y322" s="235"/>
      <c r="Z322" s="235"/>
      <c r="AA322" s="235"/>
      <c r="AB322" s="235"/>
      <c r="AC322" s="235"/>
      <c r="AD322" s="240"/>
      <c r="AE322" s="240"/>
      <c r="AF322" s="240"/>
      <c r="AG322" s="240"/>
      <c r="AH322" s="240"/>
      <c r="AI322" s="240"/>
      <c r="AJ322" s="240"/>
      <c r="AK322" s="240"/>
      <c r="AL322" s="240"/>
      <c r="AM322" s="240"/>
      <c r="AN322" s="240"/>
      <c r="AO322" s="240"/>
      <c r="AP322" s="240"/>
      <c r="AQ322" s="240"/>
      <c r="AR322" s="240"/>
      <c r="AS322" s="240"/>
      <c r="AT322" s="240"/>
      <c r="AU322" s="240"/>
      <c r="AV322" s="240"/>
      <c r="AW322" s="240"/>
      <c r="AX322" s="235"/>
      <c r="AY322" s="235"/>
      <c r="AZ322" s="235"/>
      <c r="BA322" s="235"/>
      <c r="BB322" s="235"/>
      <c r="BC322" s="235"/>
      <c r="BD322" s="235"/>
      <c r="BE322" s="235"/>
      <c r="BF322" s="235"/>
      <c r="BG322" s="235"/>
      <c r="BH322" s="235"/>
      <c r="BI322" s="235"/>
      <c r="BJ322" s="235"/>
      <c r="BK322" s="235"/>
      <c r="BL322" s="235"/>
      <c r="BM322" s="235"/>
      <c r="BN322" s="235"/>
      <c r="BO322" s="250"/>
      <c r="BP322" s="236"/>
      <c r="BQ322" s="236"/>
      <c r="BR322" s="236"/>
      <c r="BS322" s="236"/>
      <c r="BT322" s="237"/>
      <c r="BU322" s="237"/>
      <c r="BV322" s="237"/>
      <c r="BW322" s="237"/>
      <c r="BX322" s="237"/>
      <c r="BY322" s="237"/>
      <c r="BZ322" s="237"/>
      <c r="CA322" s="237"/>
      <c r="CB322" s="237"/>
      <c r="CC322" s="237"/>
      <c r="CD322" s="237"/>
      <c r="CE322" s="236"/>
      <c r="CF322" s="238"/>
      <c r="CG322" s="238">
        <f t="shared" si="76"/>
        <v>0</v>
      </c>
      <c r="CH322" s="238">
        <f t="shared" si="77"/>
        <v>0</v>
      </c>
      <c r="CI322" s="67">
        <f t="shared" si="82"/>
        <v>0</v>
      </c>
      <c r="CJ322" s="37">
        <f t="shared" si="78"/>
        <v>0</v>
      </c>
      <c r="CK322" s="37">
        <f t="shared" si="79"/>
        <v>0</v>
      </c>
      <c r="CL322" s="37">
        <f t="shared" si="80"/>
        <v>0</v>
      </c>
      <c r="CM322" s="37">
        <f t="shared" si="81"/>
        <v>0</v>
      </c>
    </row>
    <row r="323" spans="1:91" s="75" customFormat="1" ht="25.5">
      <c r="A323" s="3"/>
      <c r="B323" s="156">
        <v>317</v>
      </c>
      <c r="C323" s="160">
        <v>204</v>
      </c>
      <c r="D323" s="162">
        <v>468</v>
      </c>
      <c r="E323" s="173">
        <v>0.3611111111111111</v>
      </c>
      <c r="F323" s="173">
        <v>0.37777777777777777</v>
      </c>
      <c r="G323" s="160" t="s">
        <v>204</v>
      </c>
      <c r="H323" s="160" t="s">
        <v>203</v>
      </c>
      <c r="I323" s="163">
        <v>14</v>
      </c>
      <c r="J323" s="164" t="s">
        <v>93</v>
      </c>
      <c r="K323" s="165">
        <v>202</v>
      </c>
      <c r="L323" s="166">
        <f t="shared" si="93"/>
        <v>2828</v>
      </c>
      <c r="M323" s="167" t="s">
        <v>726</v>
      </c>
      <c r="N323" s="154" t="s">
        <v>938</v>
      </c>
      <c r="O323" s="154">
        <v>23</v>
      </c>
      <c r="P323" s="154" t="s">
        <v>940</v>
      </c>
      <c r="Q323" s="154">
        <v>21</v>
      </c>
      <c r="R323" s="154" t="s">
        <v>941</v>
      </c>
      <c r="S323" s="152">
        <v>24</v>
      </c>
      <c r="T323" s="45" t="s">
        <v>1492</v>
      </c>
      <c r="U323" s="45" t="s">
        <v>1493</v>
      </c>
      <c r="V323" s="45">
        <v>2054</v>
      </c>
      <c r="W323" s="45" t="s">
        <v>1359</v>
      </c>
      <c r="X323" s="99">
        <v>44816</v>
      </c>
      <c r="Y323" s="99">
        <v>45100</v>
      </c>
      <c r="Z323" s="99"/>
      <c r="AA323" s="99"/>
      <c r="AB323" s="41" t="s">
        <v>1120</v>
      </c>
      <c r="AC323" s="41"/>
      <c r="AD323" s="42" t="s">
        <v>734</v>
      </c>
      <c r="AE323" s="42"/>
      <c r="AF323" s="42" t="s">
        <v>734</v>
      </c>
      <c r="AG323" s="42"/>
      <c r="AH323" s="42" t="s">
        <v>734</v>
      </c>
      <c r="AI323" s="42" t="s">
        <v>734</v>
      </c>
      <c r="AJ323" s="42" t="s">
        <v>734</v>
      </c>
      <c r="AK323" s="42" t="s">
        <v>734</v>
      </c>
      <c r="AL323" s="42" t="s">
        <v>734</v>
      </c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68">
        <v>25.2</v>
      </c>
      <c r="AY323" s="37"/>
      <c r="AZ323" s="37"/>
      <c r="BA323" s="68"/>
      <c r="BB323" s="68"/>
      <c r="BC323" s="37"/>
      <c r="BD323" s="67">
        <f t="shared" ref="BD323:BD354" si="94">AX323*K323</f>
        <v>5090.3999999999996</v>
      </c>
      <c r="BE323" s="67"/>
      <c r="BF323" s="37"/>
      <c r="BG323" s="73">
        <v>1</v>
      </c>
      <c r="BH323" s="67">
        <f t="shared" ref="BH323:BH334" si="95">IF(AND((AX323/I323)&lt;2,BG323=1),(I323*2)-AX323,0)</f>
        <v>2.8000000000000007</v>
      </c>
      <c r="BI323" s="67">
        <f t="shared" ref="BI323:BI334" si="96">IF(AND((AX323/I323)&lt;3,BG323=2),(I323*3)-AX323,0)</f>
        <v>0</v>
      </c>
      <c r="BJ323" s="67">
        <f t="shared" ref="BJ323:BJ334" si="97">(BH323+BI323)*K323</f>
        <v>565.60000000000014</v>
      </c>
      <c r="BO323" s="70">
        <f t="shared" ref="BO323:BO354" si="98">BN323*K323</f>
        <v>0</v>
      </c>
      <c r="BP323" s="37">
        <v>15</v>
      </c>
      <c r="BQ323" s="37">
        <v>21</v>
      </c>
      <c r="BR323" s="37">
        <v>21</v>
      </c>
      <c r="BS323" s="37">
        <v>20</v>
      </c>
      <c r="BT323" s="87">
        <f t="shared" ref="BT323:BT354" si="99">SUM(AX323:AZ323)+SUM(BH323:BI323)+SUM(BK323:BL323)+BN323</f>
        <v>28</v>
      </c>
      <c r="BU323" s="87"/>
      <c r="BV323" s="87"/>
      <c r="BW323" s="87"/>
      <c r="BX323" s="87"/>
      <c r="BY323" s="87"/>
      <c r="BZ323" s="87"/>
      <c r="CA323" s="87"/>
      <c r="CB323" s="87"/>
      <c r="CC323" s="87"/>
      <c r="CD323" s="87"/>
      <c r="CF323" s="67">
        <f t="shared" ref="CF323:CF354" si="100">(BT323*BP323)+(BV323*CD323)</f>
        <v>420</v>
      </c>
      <c r="CG323" s="67">
        <f t="shared" ref="CG323:CG386" si="101">(BT323*BQ323)+(BX323*CD323)</f>
        <v>588</v>
      </c>
      <c r="CH323" s="67">
        <f t="shared" ref="CH323:CH386" si="102">(BR323*BT323)+(BZ323*CD323)</f>
        <v>588</v>
      </c>
      <c r="CI323" s="67">
        <f t="shared" si="82"/>
        <v>560</v>
      </c>
      <c r="CJ323" s="37">
        <f t="shared" ref="CJ323:CJ386" si="103">BP323*I323</f>
        <v>210</v>
      </c>
      <c r="CK323" s="37">
        <f t="shared" ref="CK323:CK386" si="104">BQ323*I323</f>
        <v>294</v>
      </c>
      <c r="CL323" s="37">
        <f t="shared" ref="CL323:CL386" si="105">BR323*I323</f>
        <v>294</v>
      </c>
      <c r="CM323" s="37">
        <f t="shared" ref="CM323:CM386" si="106">BS323*I323</f>
        <v>280</v>
      </c>
    </row>
    <row r="324" spans="1:91" s="75" customFormat="1" ht="25.5">
      <c r="A324" s="3"/>
      <c r="B324" s="156">
        <v>318</v>
      </c>
      <c r="C324" s="160">
        <v>204</v>
      </c>
      <c r="D324" s="164">
        <v>231</v>
      </c>
      <c r="E324" s="161">
        <v>0.3923611111111111</v>
      </c>
      <c r="F324" s="173">
        <v>0.42291666666666666</v>
      </c>
      <c r="G324" s="160" t="s">
        <v>676</v>
      </c>
      <c r="H324" s="160" t="s">
        <v>479</v>
      </c>
      <c r="I324" s="163">
        <v>29</v>
      </c>
      <c r="J324" s="164" t="s">
        <v>188</v>
      </c>
      <c r="K324" s="165">
        <v>240</v>
      </c>
      <c r="L324" s="166">
        <f t="shared" si="93"/>
        <v>6960</v>
      </c>
      <c r="M324" s="167" t="s">
        <v>726</v>
      </c>
      <c r="N324" s="150" t="s">
        <v>938</v>
      </c>
      <c r="O324" s="154">
        <v>23</v>
      </c>
      <c r="P324" s="150"/>
      <c r="Q324" s="150"/>
      <c r="R324" s="154"/>
      <c r="S324" s="154"/>
      <c r="T324" s="45">
        <v>2054</v>
      </c>
      <c r="U324" s="45" t="s">
        <v>1359</v>
      </c>
      <c r="V324" s="45">
        <v>1</v>
      </c>
      <c r="W324" s="45" t="s">
        <v>1339</v>
      </c>
      <c r="X324" s="99">
        <v>44816</v>
      </c>
      <c r="Y324" s="99">
        <v>45100</v>
      </c>
      <c r="Z324" s="99"/>
      <c r="AA324" s="99"/>
      <c r="AB324" s="45" t="s">
        <v>1124</v>
      </c>
      <c r="AC324" s="45"/>
      <c r="AD324" s="42" t="s">
        <v>734</v>
      </c>
      <c r="AE324" s="42"/>
      <c r="AF324" s="42" t="s">
        <v>734</v>
      </c>
      <c r="AG324" s="42"/>
      <c r="AH324" s="42" t="s">
        <v>734</v>
      </c>
      <c r="AI324" s="42" t="s">
        <v>734</v>
      </c>
      <c r="AJ324" s="42" t="s">
        <v>734</v>
      </c>
      <c r="AK324" s="42" t="s">
        <v>734</v>
      </c>
      <c r="AL324" s="42" t="s">
        <v>734</v>
      </c>
      <c r="AM324" s="42" t="s">
        <v>734</v>
      </c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68">
        <f>51.2+39</f>
        <v>90.2</v>
      </c>
      <c r="AY324" s="37"/>
      <c r="AZ324" s="37"/>
      <c r="BA324" s="68"/>
      <c r="BB324" s="68"/>
      <c r="BC324" s="37"/>
      <c r="BD324" s="67">
        <f t="shared" si="94"/>
        <v>21648</v>
      </c>
      <c r="BE324" s="67"/>
      <c r="BF324" s="37"/>
      <c r="BG324" s="73">
        <v>1</v>
      </c>
      <c r="BH324" s="67">
        <f t="shared" si="95"/>
        <v>0</v>
      </c>
      <c r="BI324" s="67">
        <f t="shared" si="96"/>
        <v>0</v>
      </c>
      <c r="BJ324" s="70">
        <f t="shared" si="97"/>
        <v>0</v>
      </c>
      <c r="BO324" s="70">
        <f t="shared" si="98"/>
        <v>0</v>
      </c>
      <c r="BP324" s="37">
        <v>17</v>
      </c>
      <c r="BQ324" s="37">
        <v>26</v>
      </c>
      <c r="BR324" s="37">
        <v>25</v>
      </c>
      <c r="BS324" s="37">
        <v>25</v>
      </c>
      <c r="BT324" s="87">
        <f t="shared" si="99"/>
        <v>90.2</v>
      </c>
      <c r="BU324" s="87"/>
      <c r="BV324" s="87"/>
      <c r="BW324" s="87"/>
      <c r="BX324" s="87"/>
      <c r="BY324" s="87"/>
      <c r="BZ324" s="87"/>
      <c r="CA324" s="87"/>
      <c r="CB324" s="87"/>
      <c r="CC324" s="87"/>
      <c r="CD324" s="87"/>
      <c r="CF324" s="67">
        <f t="shared" si="100"/>
        <v>1533.4</v>
      </c>
      <c r="CG324" s="67">
        <f t="shared" si="101"/>
        <v>2345.2000000000003</v>
      </c>
      <c r="CH324" s="67">
        <f t="shared" si="102"/>
        <v>2255</v>
      </c>
      <c r="CI324" s="67">
        <f t="shared" ref="CI324:CI387" si="107">(BS324*BT324)+(CB324*CD324)</f>
        <v>2255</v>
      </c>
      <c r="CJ324" s="37">
        <f t="shared" si="103"/>
        <v>493</v>
      </c>
      <c r="CK324" s="37">
        <f t="shared" si="104"/>
        <v>754</v>
      </c>
      <c r="CL324" s="37">
        <f t="shared" si="105"/>
        <v>725</v>
      </c>
      <c r="CM324" s="37">
        <f t="shared" si="106"/>
        <v>725</v>
      </c>
    </row>
    <row r="325" spans="1:91" ht="25.5">
      <c r="B325" s="156">
        <v>319</v>
      </c>
      <c r="C325" s="160">
        <v>204</v>
      </c>
      <c r="D325" s="162">
        <v>274</v>
      </c>
      <c r="E325" s="161">
        <v>0.42499999999999999</v>
      </c>
      <c r="F325" s="161">
        <v>0.4458333333333333</v>
      </c>
      <c r="G325" s="160" t="s">
        <v>547</v>
      </c>
      <c r="H325" s="160" t="s">
        <v>425</v>
      </c>
      <c r="I325" s="163">
        <v>17.899999999999999</v>
      </c>
      <c r="J325" s="164" t="s">
        <v>188</v>
      </c>
      <c r="K325" s="165">
        <v>55</v>
      </c>
      <c r="L325" s="166">
        <f t="shared" si="93"/>
        <v>984.49999999999989</v>
      </c>
      <c r="M325" s="167" t="s">
        <v>726</v>
      </c>
      <c r="N325" s="154" t="s">
        <v>939</v>
      </c>
      <c r="O325" s="154">
        <v>37</v>
      </c>
      <c r="P325" s="150" t="s">
        <v>1055</v>
      </c>
      <c r="Q325" s="150">
        <v>45</v>
      </c>
      <c r="R325" s="154"/>
      <c r="S325" s="154"/>
      <c r="T325" s="45" t="s">
        <v>1492</v>
      </c>
      <c r="U325" s="45" t="s">
        <v>1493</v>
      </c>
      <c r="V325" s="45">
        <v>2057</v>
      </c>
      <c r="W325" s="45" t="s">
        <v>1355</v>
      </c>
      <c r="X325" s="99">
        <v>44562</v>
      </c>
      <c r="Y325" s="99">
        <v>44815</v>
      </c>
      <c r="Z325" s="99">
        <v>45101</v>
      </c>
      <c r="AA325" s="99">
        <v>45169</v>
      </c>
      <c r="AB325" s="41" t="s">
        <v>1121</v>
      </c>
      <c r="AC325" s="41"/>
      <c r="AD325" s="42"/>
      <c r="AE325" s="42" t="s">
        <v>734</v>
      </c>
      <c r="AF325" s="42" t="s">
        <v>734</v>
      </c>
      <c r="AG325" s="42"/>
      <c r="AH325" s="42" t="s">
        <v>734</v>
      </c>
      <c r="AI325" s="42" t="s">
        <v>734</v>
      </c>
      <c r="AJ325" s="42" t="s">
        <v>734</v>
      </c>
      <c r="AK325" s="42" t="s">
        <v>734</v>
      </c>
      <c r="AL325" s="42" t="s">
        <v>734</v>
      </c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68">
        <v>53.7</v>
      </c>
      <c r="AY325" s="37"/>
      <c r="BA325" s="68"/>
      <c r="BB325" s="68"/>
      <c r="BD325" s="67">
        <f t="shared" si="94"/>
        <v>2953.5</v>
      </c>
      <c r="BE325" s="67"/>
      <c r="BF325" s="37"/>
      <c r="BG325" s="73">
        <v>1</v>
      </c>
      <c r="BH325" s="67">
        <f t="shared" si="95"/>
        <v>0</v>
      </c>
      <c r="BI325" s="67">
        <f t="shared" si="96"/>
        <v>0</v>
      </c>
      <c r="BJ325" s="70">
        <f t="shared" si="97"/>
        <v>0</v>
      </c>
      <c r="BK325" s="75"/>
      <c r="BL325" s="75"/>
      <c r="BM325" s="75"/>
      <c r="BN325" s="75"/>
      <c r="BO325" s="70">
        <f t="shared" si="98"/>
        <v>0</v>
      </c>
      <c r="BP325" s="37">
        <v>7</v>
      </c>
      <c r="BQ325" s="37">
        <v>0</v>
      </c>
      <c r="BR325" s="37">
        <v>0</v>
      </c>
      <c r="BS325" s="75"/>
      <c r="BT325" s="87">
        <f t="shared" si="99"/>
        <v>53.7</v>
      </c>
      <c r="BU325" s="87"/>
      <c r="BV325" s="87"/>
      <c r="BW325" s="87"/>
      <c r="BX325" s="87"/>
      <c r="BY325" s="87"/>
      <c r="BZ325" s="87"/>
      <c r="CA325" s="87"/>
      <c r="CB325" s="87"/>
      <c r="CC325" s="87"/>
      <c r="CD325" s="87"/>
      <c r="CE325" s="75"/>
      <c r="CF325" s="67">
        <f t="shared" si="100"/>
        <v>375.90000000000003</v>
      </c>
      <c r="CG325" s="67">
        <f t="shared" si="101"/>
        <v>0</v>
      </c>
      <c r="CH325" s="67">
        <f t="shared" si="102"/>
        <v>0</v>
      </c>
      <c r="CI325" s="67">
        <f t="shared" si="107"/>
        <v>0</v>
      </c>
      <c r="CJ325" s="37">
        <f t="shared" si="103"/>
        <v>125.29999999999998</v>
      </c>
      <c r="CK325" s="37">
        <f t="shared" si="104"/>
        <v>0</v>
      </c>
      <c r="CL325" s="37">
        <f t="shared" si="105"/>
        <v>0</v>
      </c>
      <c r="CM325" s="37">
        <f t="shared" si="106"/>
        <v>0</v>
      </c>
    </row>
    <row r="326" spans="1:91" ht="25.5">
      <c r="B326" s="156">
        <v>320</v>
      </c>
      <c r="C326" s="160">
        <v>204</v>
      </c>
      <c r="D326" s="162">
        <v>274</v>
      </c>
      <c r="E326" s="161">
        <v>0.45</v>
      </c>
      <c r="F326" s="161">
        <v>0.47083333333333338</v>
      </c>
      <c r="G326" s="160" t="s">
        <v>677</v>
      </c>
      <c r="H326" s="160" t="s">
        <v>424</v>
      </c>
      <c r="I326" s="163">
        <v>19.899999999999999</v>
      </c>
      <c r="J326" s="164" t="s">
        <v>188</v>
      </c>
      <c r="K326" s="165">
        <v>67</v>
      </c>
      <c r="L326" s="166">
        <f t="shared" si="93"/>
        <v>1333.3</v>
      </c>
      <c r="M326" s="167" t="s">
        <v>726</v>
      </c>
      <c r="N326" s="154" t="s">
        <v>939</v>
      </c>
      <c r="O326" s="154">
        <v>37</v>
      </c>
      <c r="P326" s="150" t="s">
        <v>1055</v>
      </c>
      <c r="Q326" s="150">
        <v>45</v>
      </c>
      <c r="R326" s="154"/>
      <c r="S326" s="154"/>
      <c r="T326" s="45">
        <v>2057</v>
      </c>
      <c r="U326" s="45" t="s">
        <v>1355</v>
      </c>
      <c r="V326" s="45" t="s">
        <v>1492</v>
      </c>
      <c r="W326" s="45" t="s">
        <v>1493</v>
      </c>
      <c r="X326" s="99">
        <v>44562</v>
      </c>
      <c r="Y326" s="99">
        <v>44815</v>
      </c>
      <c r="Z326" s="99">
        <v>45101</v>
      </c>
      <c r="AA326" s="99">
        <v>45169</v>
      </c>
      <c r="AB326" s="42" t="s">
        <v>1119</v>
      </c>
      <c r="AC326" s="42"/>
      <c r="AD326" s="42"/>
      <c r="AE326" s="42" t="s">
        <v>734</v>
      </c>
      <c r="AF326" s="42" t="s">
        <v>734</v>
      </c>
      <c r="AG326" s="42"/>
      <c r="AH326" s="42" t="s">
        <v>734</v>
      </c>
      <c r="AI326" s="42" t="s">
        <v>734</v>
      </c>
      <c r="AJ326" s="42" t="s">
        <v>734</v>
      </c>
      <c r="AK326" s="42" t="s">
        <v>734</v>
      </c>
      <c r="AL326" s="42" t="s">
        <v>734</v>
      </c>
      <c r="AM326" s="42" t="s">
        <v>734</v>
      </c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68">
        <f>11.7+51.2</f>
        <v>62.900000000000006</v>
      </c>
      <c r="AY326" s="37"/>
      <c r="BA326" s="68"/>
      <c r="BB326" s="68"/>
      <c r="BD326" s="67">
        <f t="shared" si="94"/>
        <v>4214.3</v>
      </c>
      <c r="BE326" s="67"/>
      <c r="BF326" s="37"/>
      <c r="BG326" s="73">
        <v>1</v>
      </c>
      <c r="BH326" s="67">
        <f t="shared" si="95"/>
        <v>0</v>
      </c>
      <c r="BI326" s="67">
        <f t="shared" si="96"/>
        <v>0</v>
      </c>
      <c r="BJ326" s="70">
        <f t="shared" si="97"/>
        <v>0</v>
      </c>
      <c r="BN326" s="37"/>
      <c r="BO326" s="70">
        <f t="shared" si="98"/>
        <v>0</v>
      </c>
      <c r="BP326" s="37">
        <v>9</v>
      </c>
      <c r="BQ326" s="37">
        <v>0</v>
      </c>
      <c r="BR326" s="37">
        <v>0</v>
      </c>
      <c r="BS326" s="37">
        <v>0</v>
      </c>
      <c r="BT326" s="87">
        <f t="shared" si="99"/>
        <v>62.900000000000006</v>
      </c>
      <c r="BU326" s="87"/>
      <c r="BV326" s="87"/>
      <c r="BW326" s="87"/>
      <c r="BX326" s="87"/>
      <c r="BY326" s="87"/>
      <c r="BZ326" s="87"/>
      <c r="CA326" s="87"/>
      <c r="CB326" s="87"/>
      <c r="CC326" s="87"/>
      <c r="CD326" s="87"/>
      <c r="CF326" s="67">
        <f t="shared" si="100"/>
        <v>566.1</v>
      </c>
      <c r="CG326" s="67">
        <f t="shared" si="101"/>
        <v>0</v>
      </c>
      <c r="CH326" s="67">
        <f t="shared" si="102"/>
        <v>0</v>
      </c>
      <c r="CI326" s="67">
        <f t="shared" si="107"/>
        <v>0</v>
      </c>
      <c r="CJ326" s="37">
        <f t="shared" si="103"/>
        <v>179.1</v>
      </c>
      <c r="CK326" s="37">
        <f t="shared" si="104"/>
        <v>0</v>
      </c>
      <c r="CL326" s="37">
        <f t="shared" si="105"/>
        <v>0</v>
      </c>
      <c r="CM326" s="37">
        <f t="shared" si="106"/>
        <v>0</v>
      </c>
    </row>
    <row r="327" spans="1:91" ht="25.5">
      <c r="B327" s="156">
        <v>321</v>
      </c>
      <c r="C327" s="160">
        <v>204</v>
      </c>
      <c r="D327" s="164">
        <v>150</v>
      </c>
      <c r="E327" s="173">
        <v>0.49652777777777773</v>
      </c>
      <c r="F327" s="173">
        <v>0.50138888888888888</v>
      </c>
      <c r="G327" s="160" t="s">
        <v>717</v>
      </c>
      <c r="H327" s="160" t="s">
        <v>107</v>
      </c>
      <c r="I327" s="163">
        <v>4</v>
      </c>
      <c r="J327" s="164" t="s">
        <v>99</v>
      </c>
      <c r="K327" s="165">
        <v>29</v>
      </c>
      <c r="L327" s="166">
        <f t="shared" si="93"/>
        <v>116</v>
      </c>
      <c r="M327" s="201" t="s">
        <v>746</v>
      </c>
      <c r="N327" s="154" t="s">
        <v>920</v>
      </c>
      <c r="O327" s="154">
        <v>17</v>
      </c>
      <c r="P327" s="187" t="s">
        <v>921</v>
      </c>
      <c r="Q327" s="187">
        <v>21</v>
      </c>
      <c r="S327" s="154"/>
      <c r="T327" s="45">
        <v>2054</v>
      </c>
      <c r="U327" s="45" t="s">
        <v>1359</v>
      </c>
      <c r="V327" s="45">
        <v>2057</v>
      </c>
      <c r="W327" s="45" t="s">
        <v>1355</v>
      </c>
      <c r="X327" s="99">
        <v>44816</v>
      </c>
      <c r="Y327" s="99">
        <v>45100</v>
      </c>
      <c r="Z327" s="99"/>
      <c r="AA327" s="99"/>
      <c r="AB327" s="41" t="s">
        <v>1122</v>
      </c>
      <c r="AC327" s="41"/>
      <c r="AD327" s="42" t="s">
        <v>734</v>
      </c>
      <c r="AE327" s="42"/>
      <c r="AF327" s="42" t="s">
        <v>734</v>
      </c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 t="s">
        <v>734</v>
      </c>
      <c r="AS327" s="42" t="s">
        <v>734</v>
      </c>
      <c r="AT327" s="42" t="s">
        <v>734</v>
      </c>
      <c r="AU327" s="42" t="s">
        <v>734</v>
      </c>
      <c r="AV327" s="42" t="s">
        <v>734</v>
      </c>
      <c r="AW327" s="42" t="s">
        <v>734</v>
      </c>
      <c r="AX327" s="68">
        <v>18</v>
      </c>
      <c r="AY327" s="37"/>
      <c r="BA327" s="68"/>
      <c r="BB327" s="68"/>
      <c r="BD327" s="67">
        <f t="shared" si="94"/>
        <v>522</v>
      </c>
      <c r="BE327" s="67"/>
      <c r="BF327" s="37"/>
      <c r="BG327" s="73">
        <v>1</v>
      </c>
      <c r="BH327" s="67">
        <f t="shared" si="95"/>
        <v>0</v>
      </c>
      <c r="BI327" s="67">
        <f t="shared" si="96"/>
        <v>0</v>
      </c>
      <c r="BJ327" s="70">
        <f t="shared" si="97"/>
        <v>0</v>
      </c>
      <c r="BN327" s="37"/>
      <c r="BO327" s="70">
        <f t="shared" si="98"/>
        <v>0</v>
      </c>
      <c r="BP327" s="37">
        <v>0</v>
      </c>
      <c r="BQ327" s="37">
        <v>1</v>
      </c>
      <c r="BR327" s="37">
        <v>0</v>
      </c>
      <c r="BS327" s="37">
        <v>7</v>
      </c>
      <c r="BT327" s="87">
        <f t="shared" si="99"/>
        <v>18</v>
      </c>
      <c r="BU327" s="87"/>
      <c r="BV327" s="87"/>
      <c r="BW327" s="87"/>
      <c r="BX327" s="87"/>
      <c r="BY327" s="87"/>
      <c r="BZ327" s="87"/>
      <c r="CA327" s="87"/>
      <c r="CB327" s="87"/>
      <c r="CC327" s="87"/>
      <c r="CD327" s="87"/>
      <c r="CF327" s="67">
        <f t="shared" si="100"/>
        <v>0</v>
      </c>
      <c r="CG327" s="67">
        <f t="shared" si="101"/>
        <v>18</v>
      </c>
      <c r="CH327" s="67">
        <f t="shared" si="102"/>
        <v>0</v>
      </c>
      <c r="CI327" s="67">
        <f t="shared" si="107"/>
        <v>126</v>
      </c>
      <c r="CJ327" s="37">
        <f t="shared" si="103"/>
        <v>0</v>
      </c>
      <c r="CK327" s="37">
        <f t="shared" si="104"/>
        <v>4</v>
      </c>
      <c r="CL327" s="37">
        <f t="shared" si="105"/>
        <v>0</v>
      </c>
      <c r="CM327" s="37">
        <f t="shared" si="106"/>
        <v>28</v>
      </c>
    </row>
    <row r="328" spans="1:91" ht="25.5">
      <c r="B328" s="156">
        <v>322</v>
      </c>
      <c r="C328" s="160">
        <v>204</v>
      </c>
      <c r="D328" s="164">
        <v>150</v>
      </c>
      <c r="E328" s="161">
        <v>0.49652777777777773</v>
      </c>
      <c r="F328" s="173">
        <v>0.50138888888888888</v>
      </c>
      <c r="G328" s="160" t="s">
        <v>717</v>
      </c>
      <c r="H328" s="160" t="s">
        <v>97</v>
      </c>
      <c r="I328" s="163">
        <v>4</v>
      </c>
      <c r="J328" s="164" t="s">
        <v>99</v>
      </c>
      <c r="K328" s="165">
        <v>208</v>
      </c>
      <c r="L328" s="166">
        <f t="shared" si="93"/>
        <v>832</v>
      </c>
      <c r="M328" s="201" t="s">
        <v>746</v>
      </c>
      <c r="N328" s="154" t="s">
        <v>920</v>
      </c>
      <c r="O328" s="154">
        <v>17</v>
      </c>
      <c r="P328" s="187" t="s">
        <v>921</v>
      </c>
      <c r="Q328" s="187">
        <v>21</v>
      </c>
      <c r="S328" s="154"/>
      <c r="T328" s="45">
        <v>2054</v>
      </c>
      <c r="U328" s="45" t="s">
        <v>1359</v>
      </c>
      <c r="V328" s="45">
        <v>2057</v>
      </c>
      <c r="W328" s="45" t="s">
        <v>1355</v>
      </c>
      <c r="X328" s="98">
        <v>44816</v>
      </c>
      <c r="Y328" s="98">
        <v>45086</v>
      </c>
      <c r="Z328" s="98"/>
      <c r="AA328" s="98"/>
      <c r="AB328" s="41" t="s">
        <v>1118</v>
      </c>
      <c r="AC328" s="41"/>
      <c r="AD328" s="42"/>
      <c r="AE328" s="42"/>
      <c r="AF328" s="42"/>
      <c r="AG328" s="42" t="s">
        <v>734</v>
      </c>
      <c r="AH328" s="42" t="s">
        <v>734</v>
      </c>
      <c r="AI328" s="42" t="s">
        <v>734</v>
      </c>
      <c r="AJ328" s="42" t="s">
        <v>734</v>
      </c>
      <c r="AK328" s="42" t="s">
        <v>734</v>
      </c>
      <c r="AL328" s="42" t="s">
        <v>734</v>
      </c>
      <c r="AM328" s="42" t="s">
        <v>734</v>
      </c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68">
        <v>18</v>
      </c>
      <c r="AY328" s="37"/>
      <c r="BA328" s="68"/>
      <c r="BB328" s="68"/>
      <c r="BD328" s="67">
        <f t="shared" si="94"/>
        <v>3744</v>
      </c>
      <c r="BE328" s="67"/>
      <c r="BF328" s="37"/>
      <c r="BG328" s="73">
        <v>1</v>
      </c>
      <c r="BH328" s="67">
        <f t="shared" si="95"/>
        <v>0</v>
      </c>
      <c r="BI328" s="67">
        <f t="shared" si="96"/>
        <v>0</v>
      </c>
      <c r="BJ328" s="70">
        <f t="shared" si="97"/>
        <v>0</v>
      </c>
      <c r="BN328" s="37"/>
      <c r="BO328" s="70">
        <f t="shared" si="98"/>
        <v>0</v>
      </c>
      <c r="BP328" s="37">
        <v>17</v>
      </c>
      <c r="BQ328" s="37">
        <v>25</v>
      </c>
      <c r="BR328" s="37">
        <v>25</v>
      </c>
      <c r="BS328" s="37">
        <v>18</v>
      </c>
      <c r="BT328" s="87">
        <f t="shared" si="99"/>
        <v>18</v>
      </c>
      <c r="BU328" s="87"/>
      <c r="BV328" s="87"/>
      <c r="BW328" s="87"/>
      <c r="BX328" s="87"/>
      <c r="BY328" s="87"/>
      <c r="BZ328" s="87"/>
      <c r="CA328" s="87"/>
      <c r="CB328" s="87"/>
      <c r="CC328" s="87"/>
      <c r="CD328" s="87"/>
      <c r="CF328" s="67">
        <f t="shared" si="100"/>
        <v>306</v>
      </c>
      <c r="CG328" s="67">
        <f t="shared" si="101"/>
        <v>450</v>
      </c>
      <c r="CH328" s="67">
        <f t="shared" si="102"/>
        <v>450</v>
      </c>
      <c r="CI328" s="67">
        <f t="shared" si="107"/>
        <v>324</v>
      </c>
      <c r="CJ328" s="37">
        <f t="shared" si="103"/>
        <v>68</v>
      </c>
      <c r="CK328" s="37">
        <f t="shared" si="104"/>
        <v>100</v>
      </c>
      <c r="CL328" s="37">
        <f t="shared" si="105"/>
        <v>100</v>
      </c>
      <c r="CM328" s="37">
        <f t="shared" si="106"/>
        <v>72</v>
      </c>
    </row>
    <row r="329" spans="1:91" ht="25.5">
      <c r="B329" s="156">
        <v>323</v>
      </c>
      <c r="C329" s="160">
        <v>204</v>
      </c>
      <c r="D329" s="164">
        <v>276</v>
      </c>
      <c r="E329" s="161">
        <v>0.50486111111111109</v>
      </c>
      <c r="F329" s="161">
        <v>0.49861111111111112</v>
      </c>
      <c r="G329" s="160" t="s">
        <v>717</v>
      </c>
      <c r="H329" s="160" t="s">
        <v>105</v>
      </c>
      <c r="I329" s="163">
        <v>4</v>
      </c>
      <c r="J329" s="164" t="s">
        <v>99</v>
      </c>
      <c r="K329" s="165">
        <v>67</v>
      </c>
      <c r="L329" s="166">
        <f t="shared" si="93"/>
        <v>268</v>
      </c>
      <c r="M329" s="201" t="s">
        <v>746</v>
      </c>
      <c r="N329" s="154" t="s">
        <v>920</v>
      </c>
      <c r="O329" s="154">
        <v>17</v>
      </c>
      <c r="P329" s="187" t="s">
        <v>921</v>
      </c>
      <c r="Q329" s="187">
        <v>21</v>
      </c>
      <c r="S329" s="154"/>
      <c r="T329" s="45">
        <v>2054</v>
      </c>
      <c r="U329" s="45" t="s">
        <v>1359</v>
      </c>
      <c r="V329" s="45">
        <v>2057</v>
      </c>
      <c r="W329" s="45" t="s">
        <v>1355</v>
      </c>
      <c r="X329" s="99">
        <v>44562</v>
      </c>
      <c r="Y329" s="99">
        <v>44815</v>
      </c>
      <c r="Z329" s="99">
        <v>45101</v>
      </c>
      <c r="AA329" s="99">
        <v>45169</v>
      </c>
      <c r="AB329" s="42" t="s">
        <v>1119</v>
      </c>
      <c r="AC329" s="42"/>
      <c r="AD329" s="42"/>
      <c r="AE329" s="42" t="s">
        <v>734</v>
      </c>
      <c r="AF329" s="42" t="s">
        <v>734</v>
      </c>
      <c r="AG329" s="42"/>
      <c r="AH329" s="42" t="s">
        <v>734</v>
      </c>
      <c r="AI329" s="42" t="s">
        <v>734</v>
      </c>
      <c r="AJ329" s="42" t="s">
        <v>734</v>
      </c>
      <c r="AK329" s="42" t="s">
        <v>734</v>
      </c>
      <c r="AL329" s="42" t="s">
        <v>734</v>
      </c>
      <c r="AM329" s="42" t="s">
        <v>734</v>
      </c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68">
        <v>25</v>
      </c>
      <c r="AY329" s="37"/>
      <c r="BA329" s="68"/>
      <c r="BB329" s="68"/>
      <c r="BD329" s="67">
        <f t="shared" si="94"/>
        <v>1675</v>
      </c>
      <c r="BE329" s="67"/>
      <c r="BF329" s="37"/>
      <c r="BG329" s="73">
        <v>1</v>
      </c>
      <c r="BH329" s="67">
        <f t="shared" si="95"/>
        <v>0</v>
      </c>
      <c r="BI329" s="67">
        <f t="shared" si="96"/>
        <v>0</v>
      </c>
      <c r="BJ329" s="70">
        <f t="shared" si="97"/>
        <v>0</v>
      </c>
      <c r="BN329" s="37"/>
      <c r="BO329" s="70">
        <f t="shared" si="98"/>
        <v>0</v>
      </c>
      <c r="BP329" s="37">
        <v>9</v>
      </c>
      <c r="BQ329" s="37">
        <v>0</v>
      </c>
      <c r="BR329" s="37">
        <v>0</v>
      </c>
      <c r="BS329" s="37">
        <v>0</v>
      </c>
      <c r="BT329" s="87">
        <f t="shared" si="99"/>
        <v>25</v>
      </c>
      <c r="BU329" s="87"/>
      <c r="BV329" s="87"/>
      <c r="BW329" s="87"/>
      <c r="BX329" s="87"/>
      <c r="BY329" s="87"/>
      <c r="BZ329" s="87"/>
      <c r="CA329" s="87"/>
      <c r="CB329" s="87"/>
      <c r="CC329" s="87"/>
      <c r="CD329" s="87"/>
      <c r="CF329" s="67">
        <f t="shared" si="100"/>
        <v>225</v>
      </c>
      <c r="CG329" s="67">
        <f t="shared" si="101"/>
        <v>0</v>
      </c>
      <c r="CH329" s="67">
        <f t="shared" si="102"/>
        <v>0</v>
      </c>
      <c r="CI329" s="67">
        <f t="shared" si="107"/>
        <v>0</v>
      </c>
      <c r="CJ329" s="37">
        <f t="shared" si="103"/>
        <v>36</v>
      </c>
      <c r="CK329" s="37">
        <f t="shared" si="104"/>
        <v>0</v>
      </c>
      <c r="CL329" s="37">
        <f t="shared" si="105"/>
        <v>0</v>
      </c>
      <c r="CM329" s="37">
        <f t="shared" si="106"/>
        <v>0</v>
      </c>
    </row>
    <row r="330" spans="1:91" ht="25.5">
      <c r="B330" s="156">
        <v>324</v>
      </c>
      <c r="C330" s="160">
        <v>204</v>
      </c>
      <c r="D330" s="162">
        <v>427</v>
      </c>
      <c r="E330" s="173">
        <v>0.62361111111111112</v>
      </c>
      <c r="F330" s="173">
        <v>0.64583333333333337</v>
      </c>
      <c r="G330" s="160" t="s">
        <v>468</v>
      </c>
      <c r="H330" s="160" t="s">
        <v>103</v>
      </c>
      <c r="I330" s="163">
        <v>16</v>
      </c>
      <c r="J330" s="164" t="s">
        <v>93</v>
      </c>
      <c r="K330" s="165">
        <v>174</v>
      </c>
      <c r="L330" s="166">
        <f t="shared" si="93"/>
        <v>2784</v>
      </c>
      <c r="M330" s="167" t="s">
        <v>743</v>
      </c>
      <c r="N330" s="154" t="s">
        <v>954</v>
      </c>
      <c r="O330" s="154">
        <v>17</v>
      </c>
      <c r="P330" s="154" t="s">
        <v>952</v>
      </c>
      <c r="Q330" s="150">
        <v>57</v>
      </c>
      <c r="R330" s="150"/>
      <c r="S330" s="154"/>
      <c r="T330" s="45">
        <v>2127</v>
      </c>
      <c r="U330" s="45" t="s">
        <v>1358</v>
      </c>
      <c r="V330" s="45">
        <v>2048</v>
      </c>
      <c r="W330" s="45" t="s">
        <v>1353</v>
      </c>
      <c r="X330" s="98">
        <v>44816</v>
      </c>
      <c r="Y330" s="98">
        <v>45086</v>
      </c>
      <c r="Z330" s="98"/>
      <c r="AA330" s="98"/>
      <c r="AB330" s="41" t="s">
        <v>1114</v>
      </c>
      <c r="AC330" s="41"/>
      <c r="AD330" s="42"/>
      <c r="AE330" s="42"/>
      <c r="AF330" s="42"/>
      <c r="AG330" s="42" t="s">
        <v>734</v>
      </c>
      <c r="AH330" s="42" t="s">
        <v>734</v>
      </c>
      <c r="AI330" s="42" t="s">
        <v>734</v>
      </c>
      <c r="AJ330" s="42" t="s">
        <v>734</v>
      </c>
      <c r="AK330" s="42" t="s">
        <v>734</v>
      </c>
      <c r="AL330" s="42" t="s">
        <v>734</v>
      </c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68">
        <v>48</v>
      </c>
      <c r="AY330" s="37"/>
      <c r="BA330" s="68"/>
      <c r="BB330" s="68"/>
      <c r="BD330" s="67">
        <f t="shared" si="94"/>
        <v>8352</v>
      </c>
      <c r="BE330" s="67"/>
      <c r="BF330" s="37"/>
      <c r="BG330" s="73">
        <v>1</v>
      </c>
      <c r="BH330" s="67">
        <f t="shared" si="95"/>
        <v>0</v>
      </c>
      <c r="BI330" s="67">
        <f t="shared" si="96"/>
        <v>0</v>
      </c>
      <c r="BJ330" s="70">
        <f t="shared" si="97"/>
        <v>0</v>
      </c>
      <c r="BN330" s="37"/>
      <c r="BO330" s="70">
        <f t="shared" si="98"/>
        <v>0</v>
      </c>
      <c r="BP330" s="37">
        <v>15</v>
      </c>
      <c r="BQ330" s="37">
        <v>20</v>
      </c>
      <c r="BR330" s="37">
        <v>21</v>
      </c>
      <c r="BS330" s="37">
        <v>15</v>
      </c>
      <c r="BT330" s="87">
        <f t="shared" si="99"/>
        <v>48</v>
      </c>
      <c r="BU330" s="87"/>
      <c r="BV330" s="87"/>
      <c r="BW330" s="87"/>
      <c r="BX330" s="87"/>
      <c r="BY330" s="87"/>
      <c r="BZ330" s="87"/>
      <c r="CA330" s="87"/>
      <c r="CB330" s="87"/>
      <c r="CC330" s="87"/>
      <c r="CD330" s="87"/>
      <c r="CF330" s="67">
        <f t="shared" si="100"/>
        <v>720</v>
      </c>
      <c r="CG330" s="67">
        <f t="shared" si="101"/>
        <v>960</v>
      </c>
      <c r="CH330" s="67">
        <f t="shared" si="102"/>
        <v>1008</v>
      </c>
      <c r="CI330" s="67">
        <f t="shared" si="107"/>
        <v>720</v>
      </c>
      <c r="CJ330" s="37">
        <f t="shared" si="103"/>
        <v>240</v>
      </c>
      <c r="CK330" s="37">
        <f t="shared" si="104"/>
        <v>320</v>
      </c>
      <c r="CL330" s="37">
        <f t="shared" si="105"/>
        <v>336</v>
      </c>
      <c r="CM330" s="37">
        <f t="shared" si="106"/>
        <v>240</v>
      </c>
    </row>
    <row r="331" spans="1:91" ht="25.5">
      <c r="B331" s="156">
        <v>325</v>
      </c>
      <c r="C331" s="160">
        <v>204</v>
      </c>
      <c r="D331" s="160">
        <v>160</v>
      </c>
      <c r="E331" s="161">
        <v>0.71875</v>
      </c>
      <c r="F331" s="161">
        <v>0.74930555555555556</v>
      </c>
      <c r="G331" s="160" t="s">
        <v>440</v>
      </c>
      <c r="H331" s="160" t="s">
        <v>550</v>
      </c>
      <c r="I331" s="163">
        <v>27</v>
      </c>
      <c r="J331" s="164" t="s">
        <v>188</v>
      </c>
      <c r="K331" s="165">
        <v>13</v>
      </c>
      <c r="L331" s="166">
        <f t="shared" si="93"/>
        <v>351</v>
      </c>
      <c r="M331" s="167" t="s">
        <v>747</v>
      </c>
      <c r="N331" s="154" t="s">
        <v>852</v>
      </c>
      <c r="O331" s="154">
        <v>31</v>
      </c>
      <c r="P331" s="154" t="s">
        <v>1265</v>
      </c>
      <c r="Q331" s="150">
        <v>57</v>
      </c>
      <c r="S331" s="154"/>
      <c r="T331" s="45">
        <v>1</v>
      </c>
      <c r="U331" s="45" t="s">
        <v>1336</v>
      </c>
      <c r="V331" s="45">
        <v>2054</v>
      </c>
      <c r="W331" s="45" t="s">
        <v>1359</v>
      </c>
      <c r="X331" s="99">
        <v>44562</v>
      </c>
      <c r="Y331" s="99">
        <v>44815</v>
      </c>
      <c r="Z331" s="99">
        <v>45101</v>
      </c>
      <c r="AA331" s="99">
        <v>45169</v>
      </c>
      <c r="AB331" s="36" t="s">
        <v>1116</v>
      </c>
      <c r="AC331" s="36"/>
      <c r="AD331" s="42"/>
      <c r="AE331" s="42" t="s">
        <v>734</v>
      </c>
      <c r="AF331" s="42"/>
      <c r="AG331" s="42"/>
      <c r="AH331" s="42"/>
      <c r="AI331" s="42"/>
      <c r="AJ331" s="42"/>
      <c r="AK331" s="42"/>
      <c r="AL331" s="42"/>
      <c r="AM331" s="42"/>
      <c r="AN331" s="42" t="s">
        <v>734</v>
      </c>
      <c r="AO331" s="42"/>
      <c r="AP331" s="42"/>
      <c r="AQ331" s="42"/>
      <c r="AR331" s="42"/>
      <c r="AS331" s="42"/>
      <c r="AT331" s="42"/>
      <c r="AU331" s="42"/>
      <c r="AV331" s="42"/>
      <c r="AW331" s="42"/>
      <c r="AX331" s="68">
        <v>81</v>
      </c>
      <c r="AY331" s="37"/>
      <c r="BA331" s="68"/>
      <c r="BB331" s="68"/>
      <c r="BD331" s="67">
        <f t="shared" si="94"/>
        <v>1053</v>
      </c>
      <c r="BE331" s="67"/>
      <c r="BF331" s="37"/>
      <c r="BG331" s="73">
        <v>1</v>
      </c>
      <c r="BH331" s="67">
        <f t="shared" si="95"/>
        <v>0</v>
      </c>
      <c r="BI331" s="67">
        <f t="shared" si="96"/>
        <v>0</v>
      </c>
      <c r="BJ331" s="70">
        <f t="shared" si="97"/>
        <v>0</v>
      </c>
      <c r="BN331" s="37"/>
      <c r="BO331" s="70">
        <f t="shared" si="98"/>
        <v>0</v>
      </c>
      <c r="BP331" s="37">
        <v>2</v>
      </c>
      <c r="BQ331" s="37">
        <v>0</v>
      </c>
      <c r="BR331" s="37">
        <v>0</v>
      </c>
      <c r="BT331" s="87">
        <f t="shared" si="99"/>
        <v>81</v>
      </c>
      <c r="BU331" s="87"/>
      <c r="BV331" s="87"/>
      <c r="BW331" s="87"/>
      <c r="BX331" s="87"/>
      <c r="BY331" s="87"/>
      <c r="BZ331" s="87"/>
      <c r="CA331" s="87"/>
      <c r="CB331" s="87"/>
      <c r="CC331" s="87"/>
      <c r="CD331" s="87"/>
      <c r="CF331" s="67">
        <f t="shared" si="100"/>
        <v>162</v>
      </c>
      <c r="CG331" s="67">
        <f t="shared" si="101"/>
        <v>0</v>
      </c>
      <c r="CH331" s="67">
        <f t="shared" si="102"/>
        <v>0</v>
      </c>
      <c r="CI331" s="67">
        <f t="shared" si="107"/>
        <v>0</v>
      </c>
      <c r="CJ331" s="37">
        <f t="shared" si="103"/>
        <v>54</v>
      </c>
      <c r="CK331" s="37">
        <f t="shared" si="104"/>
        <v>0</v>
      </c>
      <c r="CL331" s="37">
        <f t="shared" si="105"/>
        <v>0</v>
      </c>
      <c r="CM331" s="37">
        <f t="shared" si="106"/>
        <v>0</v>
      </c>
    </row>
    <row r="332" spans="1:91" ht="25.5">
      <c r="B332" s="156">
        <v>326</v>
      </c>
      <c r="C332" s="160">
        <v>204</v>
      </c>
      <c r="D332" s="162">
        <v>162</v>
      </c>
      <c r="E332" s="161">
        <v>0.73611111111111116</v>
      </c>
      <c r="F332" s="161">
        <v>0.75138888888888899</v>
      </c>
      <c r="G332" s="160" t="s">
        <v>440</v>
      </c>
      <c r="H332" s="160" t="s">
        <v>103</v>
      </c>
      <c r="I332" s="163">
        <v>27.6</v>
      </c>
      <c r="J332" s="164" t="s">
        <v>101</v>
      </c>
      <c r="K332" s="165">
        <v>174</v>
      </c>
      <c r="L332" s="166">
        <f t="shared" si="93"/>
        <v>4802.4000000000005</v>
      </c>
      <c r="M332" s="167" t="s">
        <v>743</v>
      </c>
      <c r="N332" s="154" t="s">
        <v>952</v>
      </c>
      <c r="O332" s="154">
        <v>57</v>
      </c>
      <c r="P332" s="154" t="s">
        <v>1245</v>
      </c>
      <c r="Q332" s="150">
        <v>54</v>
      </c>
      <c r="R332" s="150" t="s">
        <v>951</v>
      </c>
      <c r="S332" s="154">
        <v>55</v>
      </c>
      <c r="T332" s="45">
        <v>1</v>
      </c>
      <c r="U332" s="45" t="s">
        <v>1336</v>
      </c>
      <c r="V332" s="45">
        <v>2054</v>
      </c>
      <c r="W332" s="45" t="s">
        <v>1359</v>
      </c>
      <c r="X332" s="98">
        <v>44816</v>
      </c>
      <c r="Y332" s="98">
        <v>45086</v>
      </c>
      <c r="Z332" s="98"/>
      <c r="AA332" s="98"/>
      <c r="AB332" s="41" t="s">
        <v>1114</v>
      </c>
      <c r="AC332" s="41"/>
      <c r="AD332" s="42"/>
      <c r="AE332" s="42"/>
      <c r="AF332" s="42"/>
      <c r="AG332" s="42" t="s">
        <v>734</v>
      </c>
      <c r="AH332" s="42" t="s">
        <v>734</v>
      </c>
      <c r="AI332" s="42" t="s">
        <v>734</v>
      </c>
      <c r="AJ332" s="42" t="s">
        <v>734</v>
      </c>
      <c r="AK332" s="42" t="s">
        <v>734</v>
      </c>
      <c r="AL332" s="42" t="s">
        <v>734</v>
      </c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68">
        <v>82.8</v>
      </c>
      <c r="AY332" s="37"/>
      <c r="BA332" s="68"/>
      <c r="BB332" s="68"/>
      <c r="BD332" s="67">
        <f t="shared" si="94"/>
        <v>14407.199999999999</v>
      </c>
      <c r="BE332" s="67"/>
      <c r="BF332" s="37"/>
      <c r="BG332" s="69">
        <v>2</v>
      </c>
      <c r="BH332" s="67">
        <f t="shared" si="95"/>
        <v>0</v>
      </c>
      <c r="BI332" s="67">
        <f t="shared" si="96"/>
        <v>0</v>
      </c>
      <c r="BJ332" s="70">
        <f t="shared" si="97"/>
        <v>0</v>
      </c>
      <c r="BN332" s="37"/>
      <c r="BO332" s="70">
        <f t="shared" si="98"/>
        <v>0</v>
      </c>
      <c r="BP332" s="37">
        <v>15</v>
      </c>
      <c r="BQ332" s="37">
        <v>20</v>
      </c>
      <c r="BR332" s="37">
        <v>21</v>
      </c>
      <c r="BS332" s="37">
        <v>15</v>
      </c>
      <c r="BT332" s="87">
        <f t="shared" si="99"/>
        <v>82.8</v>
      </c>
      <c r="BU332" s="87"/>
      <c r="BV332" s="87"/>
      <c r="BW332" s="87"/>
      <c r="BX332" s="87"/>
      <c r="BY332" s="87"/>
      <c r="BZ332" s="87"/>
      <c r="CA332" s="87"/>
      <c r="CB332" s="87"/>
      <c r="CC332" s="87"/>
      <c r="CD332" s="87"/>
      <c r="CF332" s="67">
        <f t="shared" si="100"/>
        <v>1242</v>
      </c>
      <c r="CG332" s="67">
        <f t="shared" si="101"/>
        <v>1656</v>
      </c>
      <c r="CH332" s="67">
        <f t="shared" si="102"/>
        <v>1738.8</v>
      </c>
      <c r="CI332" s="67">
        <f t="shared" si="107"/>
        <v>1242</v>
      </c>
      <c r="CJ332" s="37">
        <f t="shared" si="103"/>
        <v>414</v>
      </c>
      <c r="CK332" s="37">
        <f t="shared" si="104"/>
        <v>552</v>
      </c>
      <c r="CL332" s="37">
        <f t="shared" si="105"/>
        <v>579.6</v>
      </c>
      <c r="CM332" s="37">
        <f t="shared" si="106"/>
        <v>414</v>
      </c>
    </row>
    <row r="333" spans="1:91" ht="25.5">
      <c r="B333" s="156">
        <v>327</v>
      </c>
      <c r="C333" s="160">
        <v>204</v>
      </c>
      <c r="D333" s="164">
        <v>412</v>
      </c>
      <c r="E333" s="161">
        <v>0.75</v>
      </c>
      <c r="F333" s="161">
        <v>0.75486111111111109</v>
      </c>
      <c r="G333" s="160" t="s">
        <v>717</v>
      </c>
      <c r="H333" s="160" t="s">
        <v>107</v>
      </c>
      <c r="I333" s="163">
        <v>4</v>
      </c>
      <c r="J333" s="164" t="s">
        <v>99</v>
      </c>
      <c r="K333" s="165">
        <v>29</v>
      </c>
      <c r="L333" s="166">
        <f t="shared" si="93"/>
        <v>116</v>
      </c>
      <c r="M333" s="201" t="s">
        <v>746</v>
      </c>
      <c r="N333" s="154" t="s">
        <v>920</v>
      </c>
      <c r="O333" s="154">
        <v>17</v>
      </c>
      <c r="P333" s="187" t="s">
        <v>921</v>
      </c>
      <c r="Q333" s="184">
        <v>21</v>
      </c>
      <c r="S333" s="154"/>
      <c r="T333" s="45">
        <v>2054</v>
      </c>
      <c r="U333" s="45" t="s">
        <v>1359</v>
      </c>
      <c r="V333" s="45">
        <v>2057</v>
      </c>
      <c r="W333" s="45" t="s">
        <v>1355</v>
      </c>
      <c r="X333" s="99">
        <v>44816</v>
      </c>
      <c r="Y333" s="99">
        <v>45100</v>
      </c>
      <c r="Z333" s="99"/>
      <c r="AA333" s="99"/>
      <c r="AB333" s="41" t="s">
        <v>1122</v>
      </c>
      <c r="AC333" s="41"/>
      <c r="AD333" s="42" t="s">
        <v>734</v>
      </c>
      <c r="AE333" s="42"/>
      <c r="AF333" s="42" t="s">
        <v>734</v>
      </c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 t="s">
        <v>734</v>
      </c>
      <c r="AS333" s="42" t="s">
        <v>734</v>
      </c>
      <c r="AT333" s="42" t="s">
        <v>734</v>
      </c>
      <c r="AU333" s="42" t="s">
        <v>734</v>
      </c>
      <c r="AV333" s="42" t="s">
        <v>734</v>
      </c>
      <c r="AW333" s="42" t="s">
        <v>734</v>
      </c>
      <c r="AX333" s="68">
        <v>25</v>
      </c>
      <c r="AY333" s="37"/>
      <c r="BA333" s="68"/>
      <c r="BB333" s="68"/>
      <c r="BD333" s="67">
        <f t="shared" si="94"/>
        <v>725</v>
      </c>
      <c r="BE333" s="67"/>
      <c r="BF333" s="37"/>
      <c r="BG333" s="73">
        <v>1</v>
      </c>
      <c r="BH333" s="67">
        <f t="shared" si="95"/>
        <v>0</v>
      </c>
      <c r="BI333" s="67">
        <f t="shared" si="96"/>
        <v>0</v>
      </c>
      <c r="BJ333" s="70">
        <f t="shared" si="97"/>
        <v>0</v>
      </c>
      <c r="BN333" s="37"/>
      <c r="BO333" s="70">
        <f t="shared" si="98"/>
        <v>0</v>
      </c>
      <c r="BP333" s="37">
        <v>0</v>
      </c>
      <c r="BQ333" s="37">
        <v>1</v>
      </c>
      <c r="BR333" s="37">
        <v>0</v>
      </c>
      <c r="BS333" s="37">
        <v>7</v>
      </c>
      <c r="BT333" s="87">
        <f t="shared" si="99"/>
        <v>25</v>
      </c>
      <c r="BU333" s="87"/>
      <c r="BV333" s="87"/>
      <c r="BW333" s="87"/>
      <c r="BX333" s="87"/>
      <c r="BY333" s="87"/>
      <c r="BZ333" s="87"/>
      <c r="CA333" s="87"/>
      <c r="CB333" s="87"/>
      <c r="CC333" s="87"/>
      <c r="CD333" s="87"/>
      <c r="CF333" s="67">
        <f t="shared" si="100"/>
        <v>0</v>
      </c>
      <c r="CG333" s="67">
        <f t="shared" si="101"/>
        <v>25</v>
      </c>
      <c r="CH333" s="67">
        <f t="shared" si="102"/>
        <v>0</v>
      </c>
      <c r="CI333" s="67">
        <f t="shared" si="107"/>
        <v>175</v>
      </c>
      <c r="CJ333" s="37">
        <f t="shared" si="103"/>
        <v>0</v>
      </c>
      <c r="CK333" s="37">
        <f t="shared" si="104"/>
        <v>4</v>
      </c>
      <c r="CL333" s="37">
        <f t="shared" si="105"/>
        <v>0</v>
      </c>
      <c r="CM333" s="37">
        <f t="shared" si="106"/>
        <v>28</v>
      </c>
    </row>
    <row r="334" spans="1:91" ht="25.5">
      <c r="B334" s="156">
        <v>328</v>
      </c>
      <c r="C334" s="160">
        <v>204</v>
      </c>
      <c r="D334" s="164">
        <v>412</v>
      </c>
      <c r="E334" s="161">
        <v>0.75</v>
      </c>
      <c r="F334" s="161">
        <v>0.75763888888888886</v>
      </c>
      <c r="G334" s="160" t="s">
        <v>687</v>
      </c>
      <c r="H334" s="160" t="s">
        <v>97</v>
      </c>
      <c r="I334" s="163">
        <v>7.5</v>
      </c>
      <c r="J334" s="164" t="s">
        <v>146</v>
      </c>
      <c r="K334" s="165">
        <v>208</v>
      </c>
      <c r="L334" s="166">
        <f t="shared" si="93"/>
        <v>1560</v>
      </c>
      <c r="M334" s="201" t="s">
        <v>746</v>
      </c>
      <c r="N334" s="154" t="s">
        <v>920</v>
      </c>
      <c r="O334" s="154">
        <v>17</v>
      </c>
      <c r="P334" s="187" t="s">
        <v>921</v>
      </c>
      <c r="Q334" s="184">
        <v>21</v>
      </c>
      <c r="S334" s="154"/>
      <c r="T334" s="45">
        <v>2054</v>
      </c>
      <c r="U334" s="45" t="s">
        <v>1359</v>
      </c>
      <c r="V334" s="45">
        <v>2057</v>
      </c>
      <c r="W334" s="45" t="s">
        <v>1355</v>
      </c>
      <c r="X334" s="98">
        <v>44816</v>
      </c>
      <c r="Y334" s="98">
        <v>45086</v>
      </c>
      <c r="Z334" s="98"/>
      <c r="AA334" s="98"/>
      <c r="AB334" s="41" t="s">
        <v>1118</v>
      </c>
      <c r="AC334" s="41"/>
      <c r="AD334" s="42"/>
      <c r="AE334" s="42"/>
      <c r="AF334" s="42"/>
      <c r="AG334" s="42" t="s">
        <v>734</v>
      </c>
      <c r="AH334" s="42" t="s">
        <v>734</v>
      </c>
      <c r="AI334" s="42" t="s">
        <v>734</v>
      </c>
      <c r="AJ334" s="42" t="s">
        <v>734</v>
      </c>
      <c r="AK334" s="42" t="s">
        <v>734</v>
      </c>
      <c r="AL334" s="42" t="s">
        <v>734</v>
      </c>
      <c r="AM334" s="42" t="s">
        <v>734</v>
      </c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68">
        <f>12.77+6.3</f>
        <v>19.07</v>
      </c>
      <c r="AY334" s="37"/>
      <c r="BA334" s="68"/>
      <c r="BB334" s="68"/>
      <c r="BD334" s="67">
        <f t="shared" si="94"/>
        <v>3966.56</v>
      </c>
      <c r="BE334" s="67"/>
      <c r="BF334" s="37"/>
      <c r="BG334" s="73">
        <v>1</v>
      </c>
      <c r="BH334" s="67">
        <f t="shared" si="95"/>
        <v>0</v>
      </c>
      <c r="BI334" s="67">
        <f t="shared" si="96"/>
        <v>0</v>
      </c>
      <c r="BJ334" s="70">
        <f t="shared" si="97"/>
        <v>0</v>
      </c>
      <c r="BN334" s="37"/>
      <c r="BO334" s="70">
        <f t="shared" si="98"/>
        <v>0</v>
      </c>
      <c r="BP334" s="37">
        <v>17</v>
      </c>
      <c r="BQ334" s="37">
        <v>25</v>
      </c>
      <c r="BR334" s="37">
        <v>25</v>
      </c>
      <c r="BS334" s="37">
        <v>18</v>
      </c>
      <c r="BT334" s="87">
        <f t="shared" si="99"/>
        <v>19.07</v>
      </c>
      <c r="BU334" s="87"/>
      <c r="BV334" s="87"/>
      <c r="BW334" s="87"/>
      <c r="BX334" s="87"/>
      <c r="BY334" s="87"/>
      <c r="BZ334" s="87"/>
      <c r="CA334" s="87"/>
      <c r="CB334" s="87"/>
      <c r="CC334" s="87"/>
      <c r="CD334" s="87"/>
      <c r="CF334" s="67">
        <f t="shared" si="100"/>
        <v>324.19</v>
      </c>
      <c r="CG334" s="67">
        <f t="shared" si="101"/>
        <v>476.75</v>
      </c>
      <c r="CH334" s="67">
        <f t="shared" si="102"/>
        <v>476.75</v>
      </c>
      <c r="CI334" s="67">
        <f t="shared" si="107"/>
        <v>343.26</v>
      </c>
      <c r="CJ334" s="37">
        <f t="shared" si="103"/>
        <v>127.5</v>
      </c>
      <c r="CK334" s="37">
        <f t="shared" si="104"/>
        <v>187.5</v>
      </c>
      <c r="CL334" s="37">
        <f t="shared" si="105"/>
        <v>187.5</v>
      </c>
      <c r="CM334" s="37">
        <f t="shared" si="106"/>
        <v>135</v>
      </c>
    </row>
    <row r="335" spans="1:91" ht="22.5">
      <c r="B335" s="156">
        <v>329</v>
      </c>
      <c r="C335" s="169">
        <v>204</v>
      </c>
      <c r="D335" s="169">
        <v>164</v>
      </c>
      <c r="E335" s="170">
        <v>0.77777777777777779</v>
      </c>
      <c r="F335" s="170">
        <v>0.81319444444444444</v>
      </c>
      <c r="G335" s="171" t="s">
        <v>2</v>
      </c>
      <c r="H335" s="171" t="s">
        <v>1</v>
      </c>
      <c r="I335" s="169">
        <v>31</v>
      </c>
      <c r="J335" s="172">
        <v>50</v>
      </c>
      <c r="K335" s="165">
        <v>67</v>
      </c>
      <c r="L335" s="166">
        <f t="shared" si="93"/>
        <v>2077</v>
      </c>
      <c r="M335" s="167" t="s">
        <v>743</v>
      </c>
      <c r="N335" s="154" t="s">
        <v>952</v>
      </c>
      <c r="O335" s="154">
        <v>57</v>
      </c>
      <c r="P335" s="154" t="s">
        <v>1245</v>
      </c>
      <c r="Q335" s="150">
        <v>54</v>
      </c>
      <c r="R335" s="150" t="s">
        <v>951</v>
      </c>
      <c r="S335" s="154">
        <v>55</v>
      </c>
      <c r="T335" s="45">
        <v>1</v>
      </c>
      <c r="U335" s="45" t="s">
        <v>1336</v>
      </c>
      <c r="V335" s="45">
        <v>2057</v>
      </c>
      <c r="W335" s="45" t="s">
        <v>1355</v>
      </c>
      <c r="X335" s="99">
        <v>44562</v>
      </c>
      <c r="Y335" s="99">
        <v>44815</v>
      </c>
      <c r="Z335" s="99">
        <v>45101</v>
      </c>
      <c r="AA335" s="99">
        <v>45169</v>
      </c>
      <c r="AB335" s="42" t="s">
        <v>1119</v>
      </c>
      <c r="AC335" s="42"/>
      <c r="AD335" s="42"/>
      <c r="AE335" s="42" t="s">
        <v>734</v>
      </c>
      <c r="AF335" s="42" t="s">
        <v>734</v>
      </c>
      <c r="AG335" s="42"/>
      <c r="AH335" s="42" t="s">
        <v>734</v>
      </c>
      <c r="AI335" s="42" t="s">
        <v>734</v>
      </c>
      <c r="AJ335" s="42" t="s">
        <v>734</v>
      </c>
      <c r="AK335" s="42" t="s">
        <v>734</v>
      </c>
      <c r="AL335" s="42" t="s">
        <v>734</v>
      </c>
      <c r="AM335" s="42" t="s">
        <v>734</v>
      </c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Y335" s="67">
        <v>220</v>
      </c>
      <c r="BA335" s="67"/>
      <c r="BB335" s="67"/>
      <c r="BD335" s="67">
        <f t="shared" si="94"/>
        <v>0</v>
      </c>
      <c r="BE335" s="67">
        <f>AY335*K335</f>
        <v>14740</v>
      </c>
      <c r="BF335" s="37"/>
      <c r="BG335" s="69">
        <v>2</v>
      </c>
      <c r="BI335" s="67"/>
      <c r="BJ335" s="37"/>
      <c r="BK335" s="67">
        <f>IF(AND((AY335/I335)&lt;2,BG335=1),(I335*2)-AY335,0)</f>
        <v>0</v>
      </c>
      <c r="BL335" s="67">
        <f>IF(AND((AY335/I335)&lt;3,BG335=2),(I335*3)-AY335,0)</f>
        <v>0</v>
      </c>
      <c r="BM335" s="70">
        <f>(BK335+BL335)*K335</f>
        <v>0</v>
      </c>
      <c r="BN335" s="37"/>
      <c r="BO335" s="70">
        <f t="shared" si="98"/>
        <v>0</v>
      </c>
      <c r="BP335" s="37">
        <v>9</v>
      </c>
      <c r="BQ335" s="37">
        <v>0</v>
      </c>
      <c r="BR335" s="37">
        <v>0</v>
      </c>
      <c r="BS335" s="37">
        <v>0</v>
      </c>
      <c r="BT335" s="87">
        <f t="shared" si="99"/>
        <v>220</v>
      </c>
      <c r="BU335" s="87"/>
      <c r="BV335" s="87"/>
      <c r="BW335" s="87"/>
      <c r="BX335" s="87"/>
      <c r="BY335" s="87"/>
      <c r="BZ335" s="87"/>
      <c r="CA335" s="87"/>
      <c r="CB335" s="87"/>
      <c r="CC335" s="87"/>
      <c r="CD335" s="87"/>
      <c r="CF335" s="67">
        <f t="shared" si="100"/>
        <v>1980</v>
      </c>
      <c r="CG335" s="67">
        <f t="shared" si="101"/>
        <v>0</v>
      </c>
      <c r="CH335" s="67">
        <f t="shared" si="102"/>
        <v>0</v>
      </c>
      <c r="CI335" s="67">
        <f t="shared" si="107"/>
        <v>0</v>
      </c>
      <c r="CJ335" s="37">
        <f t="shared" si="103"/>
        <v>279</v>
      </c>
      <c r="CK335" s="37">
        <f t="shared" si="104"/>
        <v>0</v>
      </c>
      <c r="CL335" s="37">
        <f t="shared" si="105"/>
        <v>0</v>
      </c>
      <c r="CM335" s="37">
        <f t="shared" si="106"/>
        <v>0</v>
      </c>
    </row>
    <row r="336" spans="1:91" ht="25.5">
      <c r="B336" s="156">
        <v>330</v>
      </c>
      <c r="C336" s="169">
        <v>204</v>
      </c>
      <c r="D336" s="169">
        <v>168</v>
      </c>
      <c r="E336" s="170">
        <v>0.8125</v>
      </c>
      <c r="F336" s="170">
        <v>0.84305555555555556</v>
      </c>
      <c r="G336" s="171" t="s">
        <v>0</v>
      </c>
      <c r="H336" s="160" t="s">
        <v>479</v>
      </c>
      <c r="I336" s="169">
        <v>27</v>
      </c>
      <c r="J336" s="172">
        <v>40</v>
      </c>
      <c r="K336" s="165">
        <v>240</v>
      </c>
      <c r="L336" s="166">
        <f t="shared" si="93"/>
        <v>6480</v>
      </c>
      <c r="M336" s="167" t="s">
        <v>743</v>
      </c>
      <c r="N336" s="154" t="s">
        <v>952</v>
      </c>
      <c r="O336" s="154">
        <v>57</v>
      </c>
      <c r="P336" s="154" t="s">
        <v>1245</v>
      </c>
      <c r="Q336" s="150">
        <v>54</v>
      </c>
      <c r="R336" s="150" t="s">
        <v>951</v>
      </c>
      <c r="S336" s="154">
        <v>55</v>
      </c>
      <c r="T336" s="45">
        <v>1</v>
      </c>
      <c r="U336" s="45" t="s">
        <v>1336</v>
      </c>
      <c r="V336" s="45">
        <v>2054</v>
      </c>
      <c r="W336" s="45" t="s">
        <v>1359</v>
      </c>
      <c r="X336" s="99">
        <v>44816</v>
      </c>
      <c r="Y336" s="99">
        <v>45100</v>
      </c>
      <c r="Z336" s="99"/>
      <c r="AA336" s="99"/>
      <c r="AB336" s="45" t="s">
        <v>1124</v>
      </c>
      <c r="AC336" s="45"/>
      <c r="AD336" s="42" t="s">
        <v>734</v>
      </c>
      <c r="AE336" s="42"/>
      <c r="AF336" s="42" t="s">
        <v>734</v>
      </c>
      <c r="AG336" s="42"/>
      <c r="AH336" s="42" t="s">
        <v>734</v>
      </c>
      <c r="AI336" s="42" t="s">
        <v>734</v>
      </c>
      <c r="AJ336" s="42" t="s">
        <v>734</v>
      </c>
      <c r="AK336" s="42" t="s">
        <v>734</v>
      </c>
      <c r="AL336" s="42" t="s">
        <v>734</v>
      </c>
      <c r="AM336" s="42" t="s">
        <v>734</v>
      </c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Y336" s="67">
        <f>2.2*27</f>
        <v>59.400000000000006</v>
      </c>
      <c r="BA336" s="67"/>
      <c r="BB336" s="67"/>
      <c r="BD336" s="67">
        <f t="shared" si="94"/>
        <v>0</v>
      </c>
      <c r="BE336" s="67">
        <f>AY336*K336</f>
        <v>14256.000000000002</v>
      </c>
      <c r="BF336" s="37"/>
      <c r="BG336" s="69">
        <v>2</v>
      </c>
      <c r="BI336" s="67"/>
      <c r="BJ336" s="37"/>
      <c r="BK336" s="67">
        <f>IF(AND((AY336/I336)&lt;2,BG336=1),(I336*2)-AY336,0)</f>
        <v>0</v>
      </c>
      <c r="BL336" s="67">
        <f>IF(AND((AY336/I336)&lt;3,BG336=2),(I336*3)-AY336,0)</f>
        <v>21.599999999999994</v>
      </c>
      <c r="BM336" s="70">
        <f>(BK336+BL336)*K336</f>
        <v>5183.9999999999982</v>
      </c>
      <c r="BN336" s="37"/>
      <c r="BO336" s="70">
        <f t="shared" si="98"/>
        <v>0</v>
      </c>
      <c r="BP336" s="37">
        <v>17</v>
      </c>
      <c r="BQ336" s="37">
        <v>26</v>
      </c>
      <c r="BR336" s="37">
        <v>25</v>
      </c>
      <c r="BS336" s="37">
        <v>25</v>
      </c>
      <c r="BT336" s="87">
        <f t="shared" si="99"/>
        <v>81</v>
      </c>
      <c r="BU336" s="87"/>
      <c r="BV336" s="87"/>
      <c r="BW336" s="87"/>
      <c r="BX336" s="87"/>
      <c r="BY336" s="87"/>
      <c r="BZ336" s="87"/>
      <c r="CA336" s="87"/>
      <c r="CB336" s="87"/>
      <c r="CC336" s="87"/>
      <c r="CD336" s="87"/>
      <c r="CF336" s="67">
        <f t="shared" si="100"/>
        <v>1377</v>
      </c>
      <c r="CG336" s="67">
        <f t="shared" si="101"/>
        <v>2106</v>
      </c>
      <c r="CH336" s="67">
        <f t="shared" si="102"/>
        <v>2025</v>
      </c>
      <c r="CI336" s="67">
        <f t="shared" si="107"/>
        <v>2025</v>
      </c>
      <c r="CJ336" s="37">
        <f t="shared" si="103"/>
        <v>459</v>
      </c>
      <c r="CK336" s="37">
        <f t="shared" si="104"/>
        <v>702</v>
      </c>
      <c r="CL336" s="37">
        <f t="shared" si="105"/>
        <v>675</v>
      </c>
      <c r="CM336" s="37">
        <f t="shared" si="106"/>
        <v>675</v>
      </c>
    </row>
    <row r="337" spans="1:91" ht="38.25">
      <c r="B337" s="156">
        <v>331</v>
      </c>
      <c r="C337" s="160">
        <v>204</v>
      </c>
      <c r="D337" s="162">
        <v>232</v>
      </c>
      <c r="E337" s="161">
        <v>0.86111111111111116</v>
      </c>
      <c r="F337" s="161">
        <v>0.90347222222222223</v>
      </c>
      <c r="G337" s="160" t="s">
        <v>611</v>
      </c>
      <c r="H337" s="160" t="s">
        <v>425</v>
      </c>
      <c r="I337" s="163">
        <f>39+3.9</f>
        <v>42.9</v>
      </c>
      <c r="J337" s="164" t="s">
        <v>93</v>
      </c>
      <c r="K337" s="165">
        <v>55</v>
      </c>
      <c r="L337" s="166">
        <f t="shared" si="93"/>
        <v>2359.5</v>
      </c>
      <c r="M337" s="167" t="s">
        <v>726</v>
      </c>
      <c r="N337" s="154" t="s">
        <v>940</v>
      </c>
      <c r="O337" s="154">
        <v>21</v>
      </c>
      <c r="P337" s="154" t="s">
        <v>938</v>
      </c>
      <c r="Q337" s="154">
        <v>23</v>
      </c>
      <c r="R337" s="154" t="s">
        <v>941</v>
      </c>
      <c r="S337" s="152">
        <v>24</v>
      </c>
      <c r="T337" s="45">
        <v>1</v>
      </c>
      <c r="U337" s="45" t="s">
        <v>1336</v>
      </c>
      <c r="V337" s="45">
        <v>2057</v>
      </c>
      <c r="W337" s="45" t="s">
        <v>1355</v>
      </c>
      <c r="X337" s="99">
        <v>44562</v>
      </c>
      <c r="Y337" s="99">
        <v>44815</v>
      </c>
      <c r="Z337" s="99">
        <v>45101</v>
      </c>
      <c r="AA337" s="99">
        <v>45169</v>
      </c>
      <c r="AB337" s="41" t="s">
        <v>1121</v>
      </c>
      <c r="AC337" s="41"/>
      <c r="AD337" s="42"/>
      <c r="AE337" s="42" t="s">
        <v>734</v>
      </c>
      <c r="AF337" s="42" t="s">
        <v>734</v>
      </c>
      <c r="AG337" s="42"/>
      <c r="AH337" s="42" t="s">
        <v>734</v>
      </c>
      <c r="AI337" s="42" t="s">
        <v>734</v>
      </c>
      <c r="AJ337" s="42" t="s">
        <v>734</v>
      </c>
      <c r="AK337" s="42" t="s">
        <v>734</v>
      </c>
      <c r="AL337" s="42" t="s">
        <v>734</v>
      </c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68">
        <f>88.5+12</f>
        <v>100.5</v>
      </c>
      <c r="AY337" s="37"/>
      <c r="BA337" s="68"/>
      <c r="BB337" s="68"/>
      <c r="BD337" s="67">
        <f t="shared" si="94"/>
        <v>5527.5</v>
      </c>
      <c r="BE337" s="67"/>
      <c r="BF337" s="37"/>
      <c r="BG337" s="73">
        <v>1</v>
      </c>
      <c r="BH337" s="67">
        <f t="shared" ref="BH337:BH368" si="108">IF(AND((AX337/I337)&lt;2,BG337=1),(I337*2)-AX337,0)</f>
        <v>0</v>
      </c>
      <c r="BI337" s="67">
        <f t="shared" ref="BI337:BI368" si="109">IF(AND((AX337/I337)&lt;3,BG337=2),(I337*3)-AX337,0)</f>
        <v>0</v>
      </c>
      <c r="BJ337" s="70">
        <f t="shared" ref="BJ337:BJ368" si="110">(BH337+BI337)*K337</f>
        <v>0</v>
      </c>
      <c r="BN337" s="37"/>
      <c r="BO337" s="70">
        <f t="shared" si="98"/>
        <v>0</v>
      </c>
      <c r="BP337" s="37">
        <v>7</v>
      </c>
      <c r="BQ337" s="37">
        <v>0</v>
      </c>
      <c r="BR337" s="37">
        <v>0</v>
      </c>
      <c r="BT337" s="87">
        <f t="shared" si="99"/>
        <v>100.5</v>
      </c>
      <c r="BU337" s="87"/>
      <c r="BV337" s="87"/>
      <c r="BW337" s="87"/>
      <c r="BX337" s="87"/>
      <c r="BY337" s="87"/>
      <c r="BZ337" s="87"/>
      <c r="CA337" s="87"/>
      <c r="CB337" s="87"/>
      <c r="CC337" s="87"/>
      <c r="CD337" s="87"/>
      <c r="CF337" s="67">
        <f t="shared" si="100"/>
        <v>703.5</v>
      </c>
      <c r="CG337" s="67">
        <f t="shared" si="101"/>
        <v>0</v>
      </c>
      <c r="CH337" s="67">
        <f t="shared" si="102"/>
        <v>0</v>
      </c>
      <c r="CI337" s="67">
        <f t="shared" si="107"/>
        <v>0</v>
      </c>
      <c r="CJ337" s="37">
        <f t="shared" si="103"/>
        <v>300.3</v>
      </c>
      <c r="CK337" s="37">
        <f t="shared" si="104"/>
        <v>0</v>
      </c>
      <c r="CL337" s="37">
        <f t="shared" si="105"/>
        <v>0</v>
      </c>
      <c r="CM337" s="37">
        <f t="shared" si="106"/>
        <v>0</v>
      </c>
    </row>
    <row r="338" spans="1:91" ht="51">
      <c r="B338" s="156">
        <v>332</v>
      </c>
      <c r="C338" s="160">
        <v>205</v>
      </c>
      <c r="D338" s="162">
        <v>159</v>
      </c>
      <c r="E338" s="161">
        <v>0.27291666666666664</v>
      </c>
      <c r="F338" s="161">
        <v>0.30833333333333335</v>
      </c>
      <c r="G338" s="160" t="s">
        <v>606</v>
      </c>
      <c r="H338" s="160" t="s">
        <v>635</v>
      </c>
      <c r="I338" s="163">
        <f>31+1.5</f>
        <v>32.5</v>
      </c>
      <c r="J338" s="164" t="s">
        <v>191</v>
      </c>
      <c r="K338" s="165">
        <f>174-33</f>
        <v>141</v>
      </c>
      <c r="L338" s="166">
        <f t="shared" si="93"/>
        <v>4582.5</v>
      </c>
      <c r="M338" s="167" t="s">
        <v>743</v>
      </c>
      <c r="N338" s="150" t="s">
        <v>950</v>
      </c>
      <c r="O338" s="150">
        <v>51</v>
      </c>
      <c r="P338" s="150" t="s">
        <v>951</v>
      </c>
      <c r="Q338" s="150">
        <v>55</v>
      </c>
      <c r="R338" s="150" t="s">
        <v>952</v>
      </c>
      <c r="S338" s="154">
        <v>57</v>
      </c>
      <c r="T338" s="45">
        <v>2128</v>
      </c>
      <c r="U338" s="45" t="s">
        <v>1496</v>
      </c>
      <c r="V338" s="45">
        <v>1</v>
      </c>
      <c r="W338" s="45" t="s">
        <v>1339</v>
      </c>
      <c r="X338" s="98">
        <v>44816</v>
      </c>
      <c r="Y338" s="98">
        <v>45086</v>
      </c>
      <c r="Z338" s="98"/>
      <c r="AA338" s="98"/>
      <c r="AB338" s="45" t="s">
        <v>1139</v>
      </c>
      <c r="AC338" s="45"/>
      <c r="AD338" s="42"/>
      <c r="AE338" s="42"/>
      <c r="AF338" s="42"/>
      <c r="AG338" s="42" t="s">
        <v>734</v>
      </c>
      <c r="AH338" s="42"/>
      <c r="AI338" s="42" t="s">
        <v>734</v>
      </c>
      <c r="AJ338" s="42" t="s">
        <v>734</v>
      </c>
      <c r="AK338" s="42" t="s">
        <v>734</v>
      </c>
      <c r="AL338" s="42" t="s">
        <v>734</v>
      </c>
      <c r="AM338" s="42"/>
      <c r="AN338" s="42"/>
      <c r="AO338" s="42"/>
      <c r="AP338" s="42" t="s">
        <v>734</v>
      </c>
      <c r="AQ338" s="42"/>
      <c r="AR338" s="42"/>
      <c r="AS338" s="42"/>
      <c r="AT338" s="42"/>
      <c r="AU338" s="42"/>
      <c r="AV338" s="42"/>
      <c r="AW338" s="42"/>
      <c r="AX338" s="68">
        <v>147.68</v>
      </c>
      <c r="AY338" s="37"/>
      <c r="BA338" s="68"/>
      <c r="BB338" s="68"/>
      <c r="BD338" s="67">
        <f t="shared" si="94"/>
        <v>20822.88</v>
      </c>
      <c r="BE338" s="67"/>
      <c r="BF338" s="37"/>
      <c r="BG338" s="69">
        <v>2</v>
      </c>
      <c r="BH338" s="67">
        <f t="shared" si="108"/>
        <v>0</v>
      </c>
      <c r="BI338" s="67">
        <f t="shared" si="109"/>
        <v>0</v>
      </c>
      <c r="BJ338" s="70">
        <f t="shared" si="110"/>
        <v>0</v>
      </c>
      <c r="BN338" s="67">
        <f>IF((AX338+AY338+AZ338)&lt;20,(20-(AX338+AY338+AZ338)),0)</f>
        <v>0</v>
      </c>
      <c r="BO338" s="70">
        <f t="shared" si="98"/>
        <v>0</v>
      </c>
      <c r="BP338" s="37">
        <v>12</v>
      </c>
      <c r="BQ338" s="37">
        <v>16</v>
      </c>
      <c r="BR338" s="37">
        <v>16</v>
      </c>
      <c r="BS338" s="37">
        <v>11</v>
      </c>
      <c r="BT338" s="87">
        <f t="shared" si="99"/>
        <v>147.68</v>
      </c>
      <c r="BU338" s="87"/>
      <c r="BV338" s="87"/>
      <c r="BW338" s="87"/>
      <c r="BX338" s="87"/>
      <c r="BY338" s="87"/>
      <c r="BZ338" s="87"/>
      <c r="CA338" s="87"/>
      <c r="CB338" s="87"/>
      <c r="CC338" s="87"/>
      <c r="CD338" s="87"/>
      <c r="CF338" s="67">
        <f t="shared" si="100"/>
        <v>1772.16</v>
      </c>
      <c r="CG338" s="67">
        <f t="shared" si="101"/>
        <v>2362.88</v>
      </c>
      <c r="CH338" s="67">
        <f t="shared" si="102"/>
        <v>2362.88</v>
      </c>
      <c r="CI338" s="67">
        <f t="shared" si="107"/>
        <v>1624.48</v>
      </c>
      <c r="CJ338" s="37">
        <f t="shared" si="103"/>
        <v>390</v>
      </c>
      <c r="CK338" s="37">
        <f t="shared" si="104"/>
        <v>520</v>
      </c>
      <c r="CL338" s="37">
        <f t="shared" si="105"/>
        <v>520</v>
      </c>
      <c r="CM338" s="37">
        <f t="shared" si="106"/>
        <v>357.5</v>
      </c>
    </row>
    <row r="339" spans="1:91" ht="25.5">
      <c r="B339" s="156">
        <v>333</v>
      </c>
      <c r="C339" s="160">
        <v>205</v>
      </c>
      <c r="D339" s="162">
        <v>184</v>
      </c>
      <c r="E339" s="161">
        <v>0.29652777777777778</v>
      </c>
      <c r="F339" s="161">
        <v>0.31736111111111115</v>
      </c>
      <c r="G339" s="160" t="s">
        <v>463</v>
      </c>
      <c r="H339" s="160" t="s">
        <v>103</v>
      </c>
      <c r="I339" s="163">
        <v>11</v>
      </c>
      <c r="J339" s="164" t="s">
        <v>93</v>
      </c>
      <c r="K339" s="165">
        <v>174</v>
      </c>
      <c r="L339" s="166">
        <f t="shared" si="93"/>
        <v>1914</v>
      </c>
      <c r="M339" s="167" t="s">
        <v>743</v>
      </c>
      <c r="N339" s="150" t="s">
        <v>949</v>
      </c>
      <c r="O339" s="150">
        <v>55</v>
      </c>
      <c r="P339" s="150" t="s">
        <v>1245</v>
      </c>
      <c r="Q339" s="150">
        <v>54</v>
      </c>
      <c r="R339" s="150" t="s">
        <v>952</v>
      </c>
      <c r="S339" s="154">
        <v>57</v>
      </c>
      <c r="T339" s="45">
        <v>2127</v>
      </c>
      <c r="U339" s="45" t="s">
        <v>1358</v>
      </c>
      <c r="V339" s="45">
        <v>960</v>
      </c>
      <c r="W339" s="45" t="s">
        <v>1354</v>
      </c>
      <c r="X339" s="98">
        <v>44816</v>
      </c>
      <c r="Y339" s="98">
        <v>45086</v>
      </c>
      <c r="Z339" s="98"/>
      <c r="AA339" s="98"/>
      <c r="AB339" s="41" t="s">
        <v>1114</v>
      </c>
      <c r="AC339" s="41"/>
      <c r="AD339" s="42"/>
      <c r="AE339" s="42"/>
      <c r="AF339" s="42"/>
      <c r="AG339" s="42" t="s">
        <v>734</v>
      </c>
      <c r="AH339" s="42" t="s">
        <v>734</v>
      </c>
      <c r="AI339" s="42" t="s">
        <v>734</v>
      </c>
      <c r="AJ339" s="42" t="s">
        <v>734</v>
      </c>
      <c r="AK339" s="42" t="s">
        <v>734</v>
      </c>
      <c r="AL339" s="42" t="s">
        <v>734</v>
      </c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68">
        <v>33</v>
      </c>
      <c r="AY339" s="37"/>
      <c r="BA339" s="68"/>
      <c r="BB339" s="68"/>
      <c r="BC339" s="37">
        <v>59</v>
      </c>
      <c r="BD339" s="67">
        <f t="shared" si="94"/>
        <v>5742</v>
      </c>
      <c r="BE339" s="67"/>
      <c r="BF339" s="37"/>
      <c r="BG339" s="73">
        <v>1</v>
      </c>
      <c r="BH339" s="67">
        <f t="shared" si="108"/>
        <v>0</v>
      </c>
      <c r="BI339" s="67">
        <f t="shared" si="109"/>
        <v>0</v>
      </c>
      <c r="BJ339" s="70">
        <f t="shared" si="110"/>
        <v>0</v>
      </c>
      <c r="BN339" s="37"/>
      <c r="BO339" s="70">
        <f t="shared" si="98"/>
        <v>0</v>
      </c>
      <c r="BP339" s="37">
        <v>15</v>
      </c>
      <c r="BQ339" s="37">
        <v>20</v>
      </c>
      <c r="BR339" s="37">
        <v>21</v>
      </c>
      <c r="BS339" s="37">
        <v>15</v>
      </c>
      <c r="BT339" s="87">
        <f t="shared" si="99"/>
        <v>33</v>
      </c>
      <c r="BU339" s="116" t="s">
        <v>1114</v>
      </c>
      <c r="BV339" s="116" t="s">
        <v>125</v>
      </c>
      <c r="BW339" s="116"/>
      <c r="BX339" s="116" t="s">
        <v>99</v>
      </c>
      <c r="BY339" s="116"/>
      <c r="BZ339" s="116" t="s">
        <v>2056</v>
      </c>
      <c r="CA339" s="116"/>
      <c r="CB339" s="116" t="s">
        <v>125</v>
      </c>
      <c r="CC339" s="116"/>
      <c r="CD339" s="87">
        <v>87</v>
      </c>
      <c r="CF339" s="67">
        <f t="shared" si="100"/>
        <v>1800</v>
      </c>
      <c r="CG339" s="67">
        <f t="shared" si="101"/>
        <v>2400</v>
      </c>
      <c r="CH339" s="67">
        <f t="shared" si="102"/>
        <v>2520</v>
      </c>
      <c r="CI339" s="67">
        <f t="shared" si="107"/>
        <v>1800</v>
      </c>
      <c r="CJ339" s="37">
        <f t="shared" si="103"/>
        <v>165</v>
      </c>
      <c r="CK339" s="37">
        <f t="shared" si="104"/>
        <v>220</v>
      </c>
      <c r="CL339" s="37">
        <f t="shared" si="105"/>
        <v>231</v>
      </c>
      <c r="CM339" s="37">
        <f t="shared" si="106"/>
        <v>165</v>
      </c>
    </row>
    <row r="340" spans="1:91" ht="25.5">
      <c r="B340" s="156">
        <v>334</v>
      </c>
      <c r="C340" s="160">
        <v>205</v>
      </c>
      <c r="D340" s="162">
        <v>409</v>
      </c>
      <c r="E340" s="161">
        <v>0.36458333333333331</v>
      </c>
      <c r="F340" s="161">
        <v>0.37708333333333338</v>
      </c>
      <c r="G340" s="160" t="s">
        <v>495</v>
      </c>
      <c r="H340" s="160" t="s">
        <v>479</v>
      </c>
      <c r="I340" s="163">
        <v>9</v>
      </c>
      <c r="J340" s="164" t="s">
        <v>93</v>
      </c>
      <c r="K340" s="165">
        <v>240</v>
      </c>
      <c r="L340" s="166">
        <f t="shared" si="93"/>
        <v>2160</v>
      </c>
      <c r="M340" s="167" t="s">
        <v>743</v>
      </c>
      <c r="N340" s="150" t="s">
        <v>954</v>
      </c>
      <c r="O340" s="150">
        <v>17</v>
      </c>
      <c r="P340" s="150" t="s">
        <v>1926</v>
      </c>
      <c r="Q340" s="150">
        <v>37</v>
      </c>
      <c r="R340" s="150"/>
      <c r="S340" s="154"/>
      <c r="T340" s="45" t="s">
        <v>1497</v>
      </c>
      <c r="U340" s="45" t="s">
        <v>1498</v>
      </c>
      <c r="V340" s="45" t="s">
        <v>1499</v>
      </c>
      <c r="W340" s="45" t="s">
        <v>1500</v>
      </c>
      <c r="X340" s="99">
        <v>44816</v>
      </c>
      <c r="Y340" s="99">
        <v>45100</v>
      </c>
      <c r="Z340" s="99"/>
      <c r="AA340" s="99"/>
      <c r="AB340" s="45" t="s">
        <v>1124</v>
      </c>
      <c r="AC340" s="45"/>
      <c r="AD340" s="42" t="s">
        <v>734</v>
      </c>
      <c r="AE340" s="42"/>
      <c r="AF340" s="42" t="s">
        <v>734</v>
      </c>
      <c r="AG340" s="42"/>
      <c r="AH340" s="42" t="s">
        <v>734</v>
      </c>
      <c r="AI340" s="42" t="s">
        <v>734</v>
      </c>
      <c r="AJ340" s="42" t="s">
        <v>734</v>
      </c>
      <c r="AK340" s="42" t="s">
        <v>734</v>
      </c>
      <c r="AL340" s="42" t="s">
        <v>734</v>
      </c>
      <c r="AM340" s="42" t="s">
        <v>734</v>
      </c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68">
        <v>27</v>
      </c>
      <c r="AY340" s="37"/>
      <c r="BA340" s="68"/>
      <c r="BB340" s="68"/>
      <c r="BD340" s="67">
        <f t="shared" si="94"/>
        <v>6480</v>
      </c>
      <c r="BE340" s="67"/>
      <c r="BF340" s="37"/>
      <c r="BG340" s="73">
        <v>1</v>
      </c>
      <c r="BH340" s="67">
        <f t="shared" si="108"/>
        <v>0</v>
      </c>
      <c r="BI340" s="67">
        <f t="shared" si="109"/>
        <v>0</v>
      </c>
      <c r="BJ340" s="70">
        <f t="shared" si="110"/>
        <v>0</v>
      </c>
      <c r="BN340" s="37"/>
      <c r="BO340" s="70">
        <f t="shared" si="98"/>
        <v>0</v>
      </c>
      <c r="BP340" s="37">
        <v>17</v>
      </c>
      <c r="BQ340" s="37">
        <v>26</v>
      </c>
      <c r="BR340" s="37">
        <v>25</v>
      </c>
      <c r="BS340" s="37">
        <v>25</v>
      </c>
      <c r="BT340" s="87">
        <f t="shared" si="99"/>
        <v>27</v>
      </c>
      <c r="BU340" s="87"/>
      <c r="BV340" s="87"/>
      <c r="BW340" s="87"/>
      <c r="BX340" s="87"/>
      <c r="BY340" s="87"/>
      <c r="BZ340" s="87"/>
      <c r="CA340" s="87"/>
      <c r="CB340" s="87"/>
      <c r="CC340" s="87"/>
      <c r="CD340" s="87"/>
      <c r="CF340" s="67">
        <f t="shared" si="100"/>
        <v>459</v>
      </c>
      <c r="CG340" s="67">
        <f t="shared" si="101"/>
        <v>702</v>
      </c>
      <c r="CH340" s="67">
        <f t="shared" si="102"/>
        <v>675</v>
      </c>
      <c r="CI340" s="67">
        <f t="shared" si="107"/>
        <v>675</v>
      </c>
      <c r="CJ340" s="37">
        <f t="shared" si="103"/>
        <v>153</v>
      </c>
      <c r="CK340" s="37">
        <f t="shared" si="104"/>
        <v>234</v>
      </c>
      <c r="CL340" s="37">
        <f t="shared" si="105"/>
        <v>225</v>
      </c>
      <c r="CM340" s="37">
        <f t="shared" si="106"/>
        <v>225</v>
      </c>
    </row>
    <row r="341" spans="1:91" ht="25.5">
      <c r="B341" s="156">
        <v>335</v>
      </c>
      <c r="C341" s="160">
        <v>205</v>
      </c>
      <c r="D341" s="162">
        <v>409</v>
      </c>
      <c r="E341" s="161">
        <v>0.36458333333333331</v>
      </c>
      <c r="F341" s="161">
        <v>0.37708333333333338</v>
      </c>
      <c r="G341" s="160" t="s">
        <v>495</v>
      </c>
      <c r="H341" s="160" t="s">
        <v>501</v>
      </c>
      <c r="I341" s="163">
        <v>9</v>
      </c>
      <c r="J341" s="164" t="s">
        <v>93</v>
      </c>
      <c r="K341" s="165">
        <v>67</v>
      </c>
      <c r="L341" s="166">
        <f t="shared" si="93"/>
        <v>603</v>
      </c>
      <c r="M341" s="167" t="s">
        <v>743</v>
      </c>
      <c r="N341" s="150" t="s">
        <v>954</v>
      </c>
      <c r="O341" s="150">
        <v>17</v>
      </c>
      <c r="P341" s="150" t="s">
        <v>1926</v>
      </c>
      <c r="Q341" s="150">
        <v>37</v>
      </c>
      <c r="R341" s="150"/>
      <c r="S341" s="154"/>
      <c r="T341" s="45" t="s">
        <v>1497</v>
      </c>
      <c r="U341" s="45" t="s">
        <v>1498</v>
      </c>
      <c r="V341" s="45" t="s">
        <v>1499</v>
      </c>
      <c r="W341" s="45" t="s">
        <v>1500</v>
      </c>
      <c r="X341" s="99">
        <v>44562</v>
      </c>
      <c r="Y341" s="99">
        <v>44815</v>
      </c>
      <c r="Z341" s="99">
        <v>45101</v>
      </c>
      <c r="AA341" s="99">
        <v>45169</v>
      </c>
      <c r="AB341" s="42" t="s">
        <v>1119</v>
      </c>
      <c r="AC341" s="42"/>
      <c r="AD341" s="42"/>
      <c r="AE341" s="42" t="s">
        <v>734</v>
      </c>
      <c r="AF341" s="42" t="s">
        <v>734</v>
      </c>
      <c r="AG341" s="42"/>
      <c r="AH341" s="42" t="s">
        <v>734</v>
      </c>
      <c r="AI341" s="42" t="s">
        <v>734</v>
      </c>
      <c r="AJ341" s="42" t="s">
        <v>734</v>
      </c>
      <c r="AK341" s="42" t="s">
        <v>734</v>
      </c>
      <c r="AL341" s="42" t="s">
        <v>734</v>
      </c>
      <c r="AM341" s="42" t="s">
        <v>734</v>
      </c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68">
        <v>27</v>
      </c>
      <c r="AY341" s="37"/>
      <c r="BA341" s="68"/>
      <c r="BB341" s="68"/>
      <c r="BD341" s="67">
        <f t="shared" si="94"/>
        <v>1809</v>
      </c>
      <c r="BE341" s="67"/>
      <c r="BF341" s="37"/>
      <c r="BG341" s="73">
        <v>1</v>
      </c>
      <c r="BH341" s="67">
        <f t="shared" si="108"/>
        <v>0</v>
      </c>
      <c r="BI341" s="67">
        <f t="shared" si="109"/>
        <v>0</v>
      </c>
      <c r="BJ341" s="70">
        <f t="shared" si="110"/>
        <v>0</v>
      </c>
      <c r="BN341" s="37"/>
      <c r="BO341" s="70">
        <f t="shared" si="98"/>
        <v>0</v>
      </c>
      <c r="BP341" s="37">
        <v>9</v>
      </c>
      <c r="BQ341" s="37">
        <v>0</v>
      </c>
      <c r="BR341" s="37">
        <v>0</v>
      </c>
      <c r="BS341" s="37">
        <v>0</v>
      </c>
      <c r="BT341" s="87">
        <f t="shared" si="99"/>
        <v>27</v>
      </c>
      <c r="BU341" s="87"/>
      <c r="BV341" s="87"/>
      <c r="BW341" s="87"/>
      <c r="BX341" s="87"/>
      <c r="BY341" s="87"/>
      <c r="BZ341" s="87"/>
      <c r="CA341" s="87"/>
      <c r="CB341" s="87"/>
      <c r="CC341" s="87"/>
      <c r="CD341" s="87"/>
      <c r="CF341" s="67">
        <f t="shared" si="100"/>
        <v>243</v>
      </c>
      <c r="CG341" s="67">
        <f t="shared" si="101"/>
        <v>0</v>
      </c>
      <c r="CH341" s="67">
        <f t="shared" si="102"/>
        <v>0</v>
      </c>
      <c r="CI341" s="67">
        <f t="shared" si="107"/>
        <v>0</v>
      </c>
      <c r="CJ341" s="37">
        <f t="shared" si="103"/>
        <v>81</v>
      </c>
      <c r="CK341" s="37">
        <f t="shared" si="104"/>
        <v>0</v>
      </c>
      <c r="CL341" s="37">
        <f t="shared" si="105"/>
        <v>0</v>
      </c>
      <c r="CM341" s="37">
        <f t="shared" si="106"/>
        <v>0</v>
      </c>
    </row>
    <row r="342" spans="1:91" ht="25.5">
      <c r="B342" s="156">
        <v>336</v>
      </c>
      <c r="C342" s="160">
        <v>205</v>
      </c>
      <c r="D342" s="160">
        <v>404</v>
      </c>
      <c r="E342" s="161">
        <v>0.59375</v>
      </c>
      <c r="F342" s="161">
        <v>0.60347222222222219</v>
      </c>
      <c r="G342" s="160" t="s">
        <v>352</v>
      </c>
      <c r="H342" s="160" t="s">
        <v>103</v>
      </c>
      <c r="I342" s="163">
        <v>9</v>
      </c>
      <c r="J342" s="164" t="s">
        <v>93</v>
      </c>
      <c r="K342" s="165">
        <v>174</v>
      </c>
      <c r="L342" s="166">
        <f t="shared" si="93"/>
        <v>1566</v>
      </c>
      <c r="M342" s="167" t="s">
        <v>748</v>
      </c>
      <c r="N342" s="150" t="s">
        <v>906</v>
      </c>
      <c r="O342" s="150">
        <v>20</v>
      </c>
      <c r="P342" s="150" t="s">
        <v>909</v>
      </c>
      <c r="Q342" s="150">
        <v>24</v>
      </c>
      <c r="R342" s="150" t="s">
        <v>905</v>
      </c>
      <c r="S342" s="151">
        <v>23</v>
      </c>
      <c r="T342" s="45">
        <v>2120</v>
      </c>
      <c r="U342" s="45" t="s">
        <v>1501</v>
      </c>
      <c r="V342" s="45" t="s">
        <v>1502</v>
      </c>
      <c r="W342" s="45" t="s">
        <v>1503</v>
      </c>
      <c r="X342" s="98">
        <v>44816</v>
      </c>
      <c r="Y342" s="98">
        <v>45086</v>
      </c>
      <c r="Z342" s="98"/>
      <c r="AA342" s="98"/>
      <c r="AB342" s="41" t="s">
        <v>1114</v>
      </c>
      <c r="AC342" s="41"/>
      <c r="AD342" s="42"/>
      <c r="AE342" s="42"/>
      <c r="AF342" s="42"/>
      <c r="AG342" s="42" t="s">
        <v>734</v>
      </c>
      <c r="AH342" s="42" t="s">
        <v>734</v>
      </c>
      <c r="AI342" s="42" t="s">
        <v>734</v>
      </c>
      <c r="AJ342" s="42" t="s">
        <v>734</v>
      </c>
      <c r="AK342" s="42" t="s">
        <v>734</v>
      </c>
      <c r="AL342" s="42" t="s">
        <v>734</v>
      </c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68">
        <v>46.89</v>
      </c>
      <c r="AY342" s="37"/>
      <c r="BA342" s="68"/>
      <c r="BB342" s="68"/>
      <c r="BD342" s="67">
        <f t="shared" si="94"/>
        <v>8158.86</v>
      </c>
      <c r="BE342" s="67"/>
      <c r="BF342" s="37"/>
      <c r="BG342" s="73">
        <v>1</v>
      </c>
      <c r="BH342" s="67">
        <f t="shared" si="108"/>
        <v>0</v>
      </c>
      <c r="BI342" s="67">
        <f t="shared" si="109"/>
        <v>0</v>
      </c>
      <c r="BJ342" s="70">
        <f t="shared" si="110"/>
        <v>0</v>
      </c>
      <c r="BN342" s="37"/>
      <c r="BO342" s="70">
        <f t="shared" si="98"/>
        <v>0</v>
      </c>
      <c r="BP342" s="37">
        <v>15</v>
      </c>
      <c r="BQ342" s="37">
        <v>20</v>
      </c>
      <c r="BR342" s="37">
        <v>21</v>
      </c>
      <c r="BS342" s="37">
        <v>15</v>
      </c>
      <c r="BT342" s="87">
        <f t="shared" si="99"/>
        <v>46.89</v>
      </c>
      <c r="BU342" s="87"/>
      <c r="BV342" s="87"/>
      <c r="BW342" s="87"/>
      <c r="BX342" s="87"/>
      <c r="BY342" s="87"/>
      <c r="BZ342" s="87"/>
      <c r="CA342" s="87"/>
      <c r="CB342" s="87"/>
      <c r="CC342" s="87"/>
      <c r="CD342" s="87"/>
      <c r="CF342" s="67">
        <f t="shared" si="100"/>
        <v>703.35</v>
      </c>
      <c r="CG342" s="67">
        <f t="shared" si="101"/>
        <v>937.8</v>
      </c>
      <c r="CH342" s="67">
        <f t="shared" si="102"/>
        <v>984.69</v>
      </c>
      <c r="CI342" s="67">
        <f t="shared" si="107"/>
        <v>703.35</v>
      </c>
      <c r="CJ342" s="37">
        <f t="shared" si="103"/>
        <v>135</v>
      </c>
      <c r="CK342" s="37">
        <f t="shared" si="104"/>
        <v>180</v>
      </c>
      <c r="CL342" s="37">
        <f t="shared" si="105"/>
        <v>189</v>
      </c>
      <c r="CM342" s="37">
        <f t="shared" si="106"/>
        <v>135</v>
      </c>
    </row>
    <row r="343" spans="1:91" ht="25.5">
      <c r="A343" s="225" t="s">
        <v>2027</v>
      </c>
      <c r="B343" s="226">
        <v>337</v>
      </c>
      <c r="C343" s="227">
        <v>205</v>
      </c>
      <c r="D343" s="228">
        <v>171</v>
      </c>
      <c r="E343" s="229">
        <v>0.66666666666666663</v>
      </c>
      <c r="F343" s="229">
        <v>0.69861111111111107</v>
      </c>
      <c r="G343" s="227" t="s">
        <v>570</v>
      </c>
      <c r="H343" s="227" t="s">
        <v>103</v>
      </c>
      <c r="I343" s="230">
        <v>23</v>
      </c>
      <c r="J343" s="231" t="s">
        <v>101</v>
      </c>
      <c r="K343" s="239">
        <v>174</v>
      </c>
      <c r="L343" s="233">
        <f t="shared" si="93"/>
        <v>4002</v>
      </c>
      <c r="M343" s="234" t="s">
        <v>2126</v>
      </c>
      <c r="N343" s="249" t="s">
        <v>952</v>
      </c>
      <c r="O343" s="249">
        <v>57</v>
      </c>
      <c r="P343" s="249" t="s">
        <v>1245</v>
      </c>
      <c r="Q343" s="249">
        <v>54</v>
      </c>
      <c r="R343" s="249" t="s">
        <v>951</v>
      </c>
      <c r="S343" s="249">
        <v>55</v>
      </c>
      <c r="T343" s="240">
        <v>960</v>
      </c>
      <c r="U343" s="240" t="s">
        <v>1354</v>
      </c>
      <c r="V343" s="240" t="s">
        <v>1499</v>
      </c>
      <c r="W343" s="240" t="s">
        <v>1500</v>
      </c>
      <c r="X343" s="251">
        <v>44816</v>
      </c>
      <c r="Y343" s="251">
        <v>44865</v>
      </c>
      <c r="Z343" s="251"/>
      <c r="AA343" s="251"/>
      <c r="AB343" s="240" t="s">
        <v>1114</v>
      </c>
      <c r="AC343" s="240"/>
      <c r="AD343" s="252"/>
      <c r="AE343" s="252"/>
      <c r="AF343" s="252"/>
      <c r="AG343" s="252" t="s">
        <v>734</v>
      </c>
      <c r="AH343" s="252" t="s">
        <v>734</v>
      </c>
      <c r="AI343" s="252" t="s">
        <v>734</v>
      </c>
      <c r="AJ343" s="252" t="s">
        <v>734</v>
      </c>
      <c r="AK343" s="252" t="s">
        <v>734</v>
      </c>
      <c r="AL343" s="252" t="s">
        <v>734</v>
      </c>
      <c r="AM343" s="252"/>
      <c r="AN343" s="252"/>
      <c r="AO343" s="252"/>
      <c r="AP343" s="252"/>
      <c r="AQ343" s="252"/>
      <c r="AR343" s="252"/>
      <c r="AS343" s="252"/>
      <c r="AT343" s="252"/>
      <c r="AU343" s="252"/>
      <c r="AV343" s="252"/>
      <c r="AW343" s="252"/>
      <c r="AX343" s="238">
        <v>69</v>
      </c>
      <c r="AY343" s="236"/>
      <c r="AZ343" s="236"/>
      <c r="BA343" s="238"/>
      <c r="BB343" s="238"/>
      <c r="BC343" s="236"/>
      <c r="BD343" s="238">
        <f t="shared" si="94"/>
        <v>12006</v>
      </c>
      <c r="BE343" s="238"/>
      <c r="BF343" s="236"/>
      <c r="BG343" s="236">
        <v>2</v>
      </c>
      <c r="BH343" s="238">
        <f t="shared" si="108"/>
        <v>0</v>
      </c>
      <c r="BI343" s="238">
        <f t="shared" si="109"/>
        <v>0</v>
      </c>
      <c r="BJ343" s="250">
        <f t="shared" si="110"/>
        <v>0</v>
      </c>
      <c r="BK343" s="236"/>
      <c r="BL343" s="236"/>
      <c r="BM343" s="236"/>
      <c r="BN343" s="236"/>
      <c r="BO343" s="250">
        <f t="shared" si="98"/>
        <v>0</v>
      </c>
      <c r="BP343" s="236">
        <v>15</v>
      </c>
      <c r="BQ343" s="236">
        <v>20</v>
      </c>
      <c r="BR343" s="236">
        <v>0</v>
      </c>
      <c r="BS343" s="236">
        <v>0</v>
      </c>
      <c r="BT343" s="237">
        <f t="shared" si="99"/>
        <v>69</v>
      </c>
      <c r="BU343" s="237"/>
      <c r="BV343" s="237"/>
      <c r="BW343" s="237"/>
      <c r="BX343" s="237"/>
      <c r="BY343" s="237"/>
      <c r="BZ343" s="237"/>
      <c r="CA343" s="237"/>
      <c r="CB343" s="237"/>
      <c r="CC343" s="237"/>
      <c r="CD343" s="237"/>
      <c r="CE343" s="236"/>
      <c r="CF343" s="238">
        <f t="shared" si="100"/>
        <v>1035</v>
      </c>
      <c r="CG343" s="238">
        <f t="shared" si="101"/>
        <v>1380</v>
      </c>
      <c r="CH343" s="238">
        <f t="shared" si="102"/>
        <v>0</v>
      </c>
      <c r="CI343" s="67">
        <f t="shared" si="107"/>
        <v>0</v>
      </c>
      <c r="CJ343" s="37">
        <f t="shared" si="103"/>
        <v>345</v>
      </c>
      <c r="CK343" s="37">
        <f t="shared" si="104"/>
        <v>460</v>
      </c>
      <c r="CL343" s="37">
        <f t="shared" si="105"/>
        <v>0</v>
      </c>
      <c r="CM343" s="37">
        <f t="shared" si="106"/>
        <v>0</v>
      </c>
    </row>
    <row r="344" spans="1:91" ht="27" customHeight="1">
      <c r="B344" s="156">
        <v>338</v>
      </c>
      <c r="C344" s="160">
        <v>205</v>
      </c>
      <c r="D344" s="162">
        <v>366</v>
      </c>
      <c r="E344" s="161">
        <v>0.70138888888888884</v>
      </c>
      <c r="F344" s="161">
        <v>0.71319444444444446</v>
      </c>
      <c r="G344" s="160" t="s">
        <v>496</v>
      </c>
      <c r="H344" s="160" t="s">
        <v>501</v>
      </c>
      <c r="I344" s="163">
        <v>9</v>
      </c>
      <c r="J344" s="164" t="s">
        <v>93</v>
      </c>
      <c r="K344" s="165">
        <v>67</v>
      </c>
      <c r="L344" s="166">
        <f t="shared" si="93"/>
        <v>603</v>
      </c>
      <c r="M344" s="167" t="s">
        <v>743</v>
      </c>
      <c r="N344" s="150" t="s">
        <v>954</v>
      </c>
      <c r="O344" s="150">
        <v>17</v>
      </c>
      <c r="P344" s="150" t="s">
        <v>1926</v>
      </c>
      <c r="Q344" s="150">
        <v>37</v>
      </c>
      <c r="R344" s="150"/>
      <c r="S344" s="154"/>
      <c r="T344" s="45">
        <v>2120</v>
      </c>
      <c r="U344" s="45" t="s">
        <v>1501</v>
      </c>
      <c r="V344" s="45" t="s">
        <v>1497</v>
      </c>
      <c r="W344" s="45" t="s">
        <v>1498</v>
      </c>
      <c r="X344" s="99">
        <v>44562</v>
      </c>
      <c r="Y344" s="99">
        <v>44815</v>
      </c>
      <c r="Z344" s="99">
        <v>45101</v>
      </c>
      <c r="AA344" s="99">
        <v>45169</v>
      </c>
      <c r="AB344" s="42" t="s">
        <v>1119</v>
      </c>
      <c r="AC344" s="42"/>
      <c r="AD344" s="42"/>
      <c r="AE344" s="42" t="s">
        <v>734</v>
      </c>
      <c r="AF344" s="42" t="s">
        <v>734</v>
      </c>
      <c r="AG344" s="42"/>
      <c r="AH344" s="42" t="s">
        <v>734</v>
      </c>
      <c r="AI344" s="42" t="s">
        <v>734</v>
      </c>
      <c r="AJ344" s="42" t="s">
        <v>734</v>
      </c>
      <c r="AK344" s="42" t="s">
        <v>734</v>
      </c>
      <c r="AL344" s="42" t="s">
        <v>734</v>
      </c>
      <c r="AM344" s="42" t="s">
        <v>734</v>
      </c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68">
        <v>27</v>
      </c>
      <c r="AY344" s="37"/>
      <c r="BA344" s="68"/>
      <c r="BB344" s="68"/>
      <c r="BD344" s="67">
        <f t="shared" si="94"/>
        <v>1809</v>
      </c>
      <c r="BE344" s="67"/>
      <c r="BF344" s="37"/>
      <c r="BG344" s="73">
        <v>1</v>
      </c>
      <c r="BH344" s="67">
        <f t="shared" si="108"/>
        <v>0</v>
      </c>
      <c r="BI344" s="67">
        <f t="shared" si="109"/>
        <v>0</v>
      </c>
      <c r="BJ344" s="70">
        <f t="shared" si="110"/>
        <v>0</v>
      </c>
      <c r="BN344" s="37"/>
      <c r="BO344" s="70">
        <f t="shared" si="98"/>
        <v>0</v>
      </c>
      <c r="BP344" s="37">
        <v>9</v>
      </c>
      <c r="BQ344" s="37">
        <v>0</v>
      </c>
      <c r="BR344" s="37">
        <v>0</v>
      </c>
      <c r="BS344" s="37">
        <v>0</v>
      </c>
      <c r="BT344" s="87">
        <f t="shared" si="99"/>
        <v>27</v>
      </c>
      <c r="BU344" s="87"/>
      <c r="BV344" s="87"/>
      <c r="BW344" s="87"/>
      <c r="BX344" s="87"/>
      <c r="BY344" s="87"/>
      <c r="BZ344" s="87"/>
      <c r="CA344" s="87"/>
      <c r="CB344" s="87"/>
      <c r="CC344" s="87"/>
      <c r="CD344" s="87"/>
      <c r="CF344" s="67">
        <f t="shared" si="100"/>
        <v>243</v>
      </c>
      <c r="CG344" s="67">
        <f t="shared" si="101"/>
        <v>0</v>
      </c>
      <c r="CH344" s="67">
        <f t="shared" si="102"/>
        <v>0</v>
      </c>
      <c r="CI344" s="67">
        <f t="shared" si="107"/>
        <v>0</v>
      </c>
      <c r="CJ344" s="37">
        <f t="shared" si="103"/>
        <v>81</v>
      </c>
      <c r="CK344" s="37">
        <f t="shared" si="104"/>
        <v>0</v>
      </c>
      <c r="CL344" s="37">
        <f t="shared" si="105"/>
        <v>0</v>
      </c>
      <c r="CM344" s="37">
        <f t="shared" si="106"/>
        <v>0</v>
      </c>
    </row>
    <row r="345" spans="1:91" ht="25.5">
      <c r="A345" s="225" t="s">
        <v>2002</v>
      </c>
      <c r="B345" s="226">
        <v>339</v>
      </c>
      <c r="C345" s="227">
        <v>205</v>
      </c>
      <c r="D345" s="228">
        <v>366</v>
      </c>
      <c r="E345" s="229">
        <v>0.70277777777777783</v>
      </c>
      <c r="F345" s="229">
        <v>0.71458333333333324</v>
      </c>
      <c r="G345" s="227" t="s">
        <v>496</v>
      </c>
      <c r="H345" s="227" t="s">
        <v>2003</v>
      </c>
      <c r="I345" s="230">
        <v>9</v>
      </c>
      <c r="J345" s="231" t="s">
        <v>93</v>
      </c>
      <c r="K345" s="239">
        <v>240</v>
      </c>
      <c r="L345" s="233">
        <f t="shared" si="93"/>
        <v>2160</v>
      </c>
      <c r="M345" s="234" t="s">
        <v>2126</v>
      </c>
      <c r="N345" s="249" t="s">
        <v>954</v>
      </c>
      <c r="O345" s="249">
        <v>17</v>
      </c>
      <c r="P345" s="249" t="s">
        <v>1926</v>
      </c>
      <c r="Q345" s="249">
        <v>37</v>
      </c>
      <c r="R345" s="249"/>
      <c r="S345" s="249"/>
      <c r="T345" s="240">
        <v>2120</v>
      </c>
      <c r="U345" s="240" t="s">
        <v>1501</v>
      </c>
      <c r="V345" s="240" t="s">
        <v>1497</v>
      </c>
      <c r="W345" s="240" t="s">
        <v>1498</v>
      </c>
      <c r="X345" s="253">
        <v>44816</v>
      </c>
      <c r="Y345" s="253">
        <v>44894</v>
      </c>
      <c r="Z345" s="253"/>
      <c r="AA345" s="253"/>
      <c r="AB345" s="240" t="s">
        <v>1124</v>
      </c>
      <c r="AC345" s="240"/>
      <c r="AD345" s="252" t="s">
        <v>734</v>
      </c>
      <c r="AE345" s="252"/>
      <c r="AF345" s="252" t="s">
        <v>734</v>
      </c>
      <c r="AG345" s="252"/>
      <c r="AH345" s="252" t="s">
        <v>734</v>
      </c>
      <c r="AI345" s="252" t="s">
        <v>734</v>
      </c>
      <c r="AJ345" s="252" t="s">
        <v>734</v>
      </c>
      <c r="AK345" s="252" t="s">
        <v>734</v>
      </c>
      <c r="AL345" s="252" t="s">
        <v>734</v>
      </c>
      <c r="AM345" s="252" t="s">
        <v>734</v>
      </c>
      <c r="AN345" s="252"/>
      <c r="AO345" s="252"/>
      <c r="AP345" s="252"/>
      <c r="AQ345" s="252"/>
      <c r="AR345" s="252"/>
      <c r="AS345" s="252"/>
      <c r="AT345" s="252"/>
      <c r="AU345" s="252"/>
      <c r="AV345" s="252"/>
      <c r="AW345" s="252"/>
      <c r="AX345" s="238">
        <v>27</v>
      </c>
      <c r="AY345" s="236"/>
      <c r="AZ345" s="236"/>
      <c r="BA345" s="238"/>
      <c r="BB345" s="238"/>
      <c r="BC345" s="236"/>
      <c r="BD345" s="238">
        <f t="shared" si="94"/>
        <v>6480</v>
      </c>
      <c r="BE345" s="238"/>
      <c r="BF345" s="236"/>
      <c r="BG345" s="236">
        <v>1</v>
      </c>
      <c r="BH345" s="238">
        <f t="shared" si="108"/>
        <v>0</v>
      </c>
      <c r="BI345" s="238">
        <f t="shared" si="109"/>
        <v>0</v>
      </c>
      <c r="BJ345" s="250">
        <f t="shared" si="110"/>
        <v>0</v>
      </c>
      <c r="BK345" s="236"/>
      <c r="BL345" s="236"/>
      <c r="BM345" s="236"/>
      <c r="BN345" s="236"/>
      <c r="BO345" s="250">
        <f t="shared" si="98"/>
        <v>0</v>
      </c>
      <c r="BP345" s="236">
        <v>17</v>
      </c>
      <c r="BQ345" s="236">
        <v>26</v>
      </c>
      <c r="BR345" s="236">
        <v>24</v>
      </c>
      <c r="BS345" s="236">
        <v>0</v>
      </c>
      <c r="BT345" s="237">
        <f t="shared" si="99"/>
        <v>27</v>
      </c>
      <c r="BU345" s="237"/>
      <c r="BV345" s="237"/>
      <c r="BW345" s="237"/>
      <c r="BX345" s="237"/>
      <c r="BY345" s="237"/>
      <c r="BZ345" s="237"/>
      <c r="CA345" s="237"/>
      <c r="CB345" s="237"/>
      <c r="CC345" s="237"/>
      <c r="CD345" s="237"/>
      <c r="CE345" s="236"/>
      <c r="CF345" s="238">
        <f t="shared" si="100"/>
        <v>459</v>
      </c>
      <c r="CG345" s="238">
        <f t="shared" si="101"/>
        <v>702</v>
      </c>
      <c r="CH345" s="238">
        <f t="shared" si="102"/>
        <v>648</v>
      </c>
      <c r="CI345" s="67">
        <f t="shared" si="107"/>
        <v>0</v>
      </c>
      <c r="CJ345" s="37">
        <f t="shared" si="103"/>
        <v>153</v>
      </c>
      <c r="CK345" s="37">
        <f t="shared" si="104"/>
        <v>234</v>
      </c>
      <c r="CL345" s="37">
        <f t="shared" si="105"/>
        <v>216</v>
      </c>
      <c r="CM345" s="37">
        <f t="shared" si="106"/>
        <v>0</v>
      </c>
    </row>
    <row r="346" spans="1:91" ht="25.5">
      <c r="B346" s="156">
        <v>340</v>
      </c>
      <c r="C346" s="160">
        <v>205</v>
      </c>
      <c r="D346" s="162">
        <v>402</v>
      </c>
      <c r="E346" s="173">
        <v>0.80555555555555547</v>
      </c>
      <c r="F346" s="173">
        <v>0.80833333333333324</v>
      </c>
      <c r="G346" s="160" t="s">
        <v>187</v>
      </c>
      <c r="H346" s="160" t="s">
        <v>103</v>
      </c>
      <c r="I346" s="163">
        <v>3</v>
      </c>
      <c r="J346" s="164" t="s">
        <v>93</v>
      </c>
      <c r="K346" s="165">
        <v>174</v>
      </c>
      <c r="L346" s="166">
        <f t="shared" si="93"/>
        <v>522</v>
      </c>
      <c r="M346" s="167" t="s">
        <v>726</v>
      </c>
      <c r="N346" s="150" t="s">
        <v>1088</v>
      </c>
      <c r="O346" s="150">
        <v>23</v>
      </c>
      <c r="P346" s="150" t="s">
        <v>938</v>
      </c>
      <c r="Q346" s="150">
        <v>23</v>
      </c>
      <c r="R346" s="150" t="s">
        <v>940</v>
      </c>
      <c r="S346" s="152">
        <v>21</v>
      </c>
      <c r="T346" s="45">
        <v>2120</v>
      </c>
      <c r="U346" s="45" t="s">
        <v>1501</v>
      </c>
      <c r="V346" s="45">
        <v>2122</v>
      </c>
      <c r="W346" s="45" t="s">
        <v>1504</v>
      </c>
      <c r="X346" s="98">
        <v>44816</v>
      </c>
      <c r="Y346" s="98">
        <v>45086</v>
      </c>
      <c r="Z346" s="98"/>
      <c r="AA346" s="98"/>
      <c r="AB346" s="41" t="s">
        <v>1114</v>
      </c>
      <c r="AC346" s="41"/>
      <c r="AD346" s="42"/>
      <c r="AE346" s="42"/>
      <c r="AF346" s="42"/>
      <c r="AG346" s="42" t="s">
        <v>734</v>
      </c>
      <c r="AH346" s="42" t="s">
        <v>734</v>
      </c>
      <c r="AI346" s="42" t="s">
        <v>734</v>
      </c>
      <c r="AJ346" s="42" t="s">
        <v>734</v>
      </c>
      <c r="AK346" s="42" t="s">
        <v>734</v>
      </c>
      <c r="AL346" s="42" t="s">
        <v>734</v>
      </c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68">
        <v>10</v>
      </c>
      <c r="AY346" s="37"/>
      <c r="BA346" s="68"/>
      <c r="BB346" s="68"/>
      <c r="BC346" s="37">
        <v>56</v>
      </c>
      <c r="BD346" s="67">
        <f t="shared" si="94"/>
        <v>1740</v>
      </c>
      <c r="BE346" s="67"/>
      <c r="BF346" s="37"/>
      <c r="BG346" s="73">
        <v>1</v>
      </c>
      <c r="BH346" s="67">
        <f t="shared" si="108"/>
        <v>0</v>
      </c>
      <c r="BI346" s="67">
        <f t="shared" si="109"/>
        <v>0</v>
      </c>
      <c r="BJ346" s="70">
        <f t="shared" si="110"/>
        <v>0</v>
      </c>
      <c r="BN346" s="37"/>
      <c r="BO346" s="70">
        <f t="shared" si="98"/>
        <v>0</v>
      </c>
      <c r="BP346" s="37">
        <v>15</v>
      </c>
      <c r="BQ346" s="37">
        <v>20</v>
      </c>
      <c r="BR346" s="37">
        <v>21</v>
      </c>
      <c r="BS346" s="37">
        <v>15</v>
      </c>
      <c r="BT346" s="87">
        <f t="shared" si="99"/>
        <v>10</v>
      </c>
      <c r="BU346" s="41" t="s">
        <v>1114</v>
      </c>
      <c r="BV346" s="116" t="s">
        <v>125</v>
      </c>
      <c r="BW346" s="116"/>
      <c r="BX346" s="116" t="s">
        <v>99</v>
      </c>
      <c r="BY346" s="116"/>
      <c r="BZ346" s="116" t="s">
        <v>2056</v>
      </c>
      <c r="CA346" s="116"/>
      <c r="CB346" s="116" t="s">
        <v>125</v>
      </c>
      <c r="CC346" s="116"/>
      <c r="CD346" s="87">
        <v>30</v>
      </c>
      <c r="CF346" s="67">
        <f t="shared" si="100"/>
        <v>600</v>
      </c>
      <c r="CG346" s="67">
        <f t="shared" si="101"/>
        <v>800</v>
      </c>
      <c r="CH346" s="67">
        <f t="shared" si="102"/>
        <v>840</v>
      </c>
      <c r="CI346" s="67">
        <f t="shared" si="107"/>
        <v>600</v>
      </c>
      <c r="CJ346" s="37">
        <f t="shared" si="103"/>
        <v>45</v>
      </c>
      <c r="CK346" s="37">
        <f t="shared" si="104"/>
        <v>60</v>
      </c>
      <c r="CL346" s="37">
        <f t="shared" si="105"/>
        <v>63</v>
      </c>
      <c r="CM346" s="37">
        <f t="shared" si="106"/>
        <v>45</v>
      </c>
    </row>
    <row r="347" spans="1:91" ht="25.5">
      <c r="B347" s="156">
        <v>341</v>
      </c>
      <c r="C347" s="160">
        <v>206</v>
      </c>
      <c r="D347" s="162">
        <v>403</v>
      </c>
      <c r="E347" s="173">
        <v>0.25694444444444448</v>
      </c>
      <c r="F347" s="173">
        <v>0.2722222222222222</v>
      </c>
      <c r="G347" s="160" t="s">
        <v>207</v>
      </c>
      <c r="H347" s="160" t="s">
        <v>18</v>
      </c>
      <c r="I347" s="163">
        <v>12.5</v>
      </c>
      <c r="J347" s="164" t="s">
        <v>188</v>
      </c>
      <c r="K347" s="165">
        <v>304</v>
      </c>
      <c r="L347" s="166">
        <f t="shared" si="93"/>
        <v>3800</v>
      </c>
      <c r="M347" s="167" t="s">
        <v>726</v>
      </c>
      <c r="N347" s="154" t="s">
        <v>938</v>
      </c>
      <c r="O347" s="150">
        <v>23</v>
      </c>
      <c r="P347" s="150" t="s">
        <v>939</v>
      </c>
      <c r="Q347" s="150">
        <v>37</v>
      </c>
      <c r="R347" s="150" t="s">
        <v>940</v>
      </c>
      <c r="S347" s="152">
        <v>21</v>
      </c>
      <c r="T347" s="45" t="s">
        <v>1363</v>
      </c>
      <c r="U347" s="45" t="s">
        <v>1364</v>
      </c>
      <c r="V347" s="45" t="s">
        <v>1505</v>
      </c>
      <c r="W347" s="45" t="s">
        <v>1506</v>
      </c>
      <c r="X347" s="98">
        <v>44805</v>
      </c>
      <c r="Y347" s="98">
        <v>45169</v>
      </c>
      <c r="Z347" s="98"/>
      <c r="AA347" s="98"/>
      <c r="AB347" s="42" t="s">
        <v>1125</v>
      </c>
      <c r="AC347" s="42"/>
      <c r="AD347" s="42" t="s">
        <v>734</v>
      </c>
      <c r="AE347" s="42" t="s">
        <v>734</v>
      </c>
      <c r="AF347" s="42" t="s">
        <v>734</v>
      </c>
      <c r="AG347" s="42"/>
      <c r="AH347" s="42" t="s">
        <v>734</v>
      </c>
      <c r="AI347" s="42" t="s">
        <v>734</v>
      </c>
      <c r="AJ347" s="42" t="s">
        <v>734</v>
      </c>
      <c r="AK347" s="42" t="s">
        <v>734</v>
      </c>
      <c r="AL347" s="42" t="s">
        <v>734</v>
      </c>
      <c r="AM347" s="42" t="s">
        <v>734</v>
      </c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68">
        <v>50.66</v>
      </c>
      <c r="AY347" s="37"/>
      <c r="BA347" s="68"/>
      <c r="BB347" s="68"/>
      <c r="BD347" s="67">
        <f t="shared" si="94"/>
        <v>15400.64</v>
      </c>
      <c r="BE347" s="67"/>
      <c r="BF347" s="37"/>
      <c r="BG347" s="73">
        <v>1</v>
      </c>
      <c r="BH347" s="67">
        <f t="shared" si="108"/>
        <v>0</v>
      </c>
      <c r="BI347" s="67">
        <f t="shared" si="109"/>
        <v>0</v>
      </c>
      <c r="BJ347" s="70">
        <f t="shared" si="110"/>
        <v>0</v>
      </c>
      <c r="BN347" s="67">
        <f>IF((AX347+AY347+AZ347)&lt;20,(20-(AX347+AY347+AZ347)),0)</f>
        <v>0</v>
      </c>
      <c r="BO347" s="70">
        <f t="shared" si="98"/>
        <v>0</v>
      </c>
      <c r="BP347" s="37">
        <v>26</v>
      </c>
      <c r="BQ347" s="37">
        <v>26</v>
      </c>
      <c r="BR347" s="37">
        <v>25</v>
      </c>
      <c r="BS347" s="37">
        <v>25</v>
      </c>
      <c r="BT347" s="87">
        <f t="shared" si="99"/>
        <v>50.66</v>
      </c>
      <c r="BU347" s="87"/>
      <c r="BV347" s="87"/>
      <c r="BW347" s="87"/>
      <c r="BX347" s="87"/>
      <c r="BY347" s="87"/>
      <c r="BZ347" s="87"/>
      <c r="CA347" s="87"/>
      <c r="CB347" s="87"/>
      <c r="CC347" s="87"/>
      <c r="CD347" s="87"/>
      <c r="CF347" s="67">
        <f t="shared" si="100"/>
        <v>1317.1599999999999</v>
      </c>
      <c r="CG347" s="67">
        <f t="shared" si="101"/>
        <v>1317.1599999999999</v>
      </c>
      <c r="CH347" s="67">
        <f t="shared" si="102"/>
        <v>1266.5</v>
      </c>
      <c r="CI347" s="67">
        <f t="shared" si="107"/>
        <v>1266.5</v>
      </c>
      <c r="CJ347" s="37">
        <f t="shared" si="103"/>
        <v>325</v>
      </c>
      <c r="CK347" s="37">
        <f t="shared" si="104"/>
        <v>325</v>
      </c>
      <c r="CL347" s="37">
        <f t="shared" si="105"/>
        <v>312.5</v>
      </c>
      <c r="CM347" s="37">
        <f t="shared" si="106"/>
        <v>312.5</v>
      </c>
    </row>
    <row r="348" spans="1:91" ht="25.5">
      <c r="A348" s="178" t="s">
        <v>1179</v>
      </c>
      <c r="B348" s="156">
        <v>342</v>
      </c>
      <c r="C348" s="160">
        <v>206</v>
      </c>
      <c r="D348" s="162">
        <v>107</v>
      </c>
      <c r="E348" s="161">
        <v>0.29305555555555557</v>
      </c>
      <c r="F348" s="173">
        <v>0.30555555555555552</v>
      </c>
      <c r="G348" s="160" t="s">
        <v>678</v>
      </c>
      <c r="H348" s="174" t="s">
        <v>1045</v>
      </c>
      <c r="I348" s="163">
        <v>11</v>
      </c>
      <c r="J348" s="164" t="s">
        <v>99</v>
      </c>
      <c r="K348" s="179">
        <v>304</v>
      </c>
      <c r="L348" s="166">
        <f t="shared" si="93"/>
        <v>3344</v>
      </c>
      <c r="M348" s="177" t="s">
        <v>726</v>
      </c>
      <c r="N348" s="154" t="s">
        <v>938</v>
      </c>
      <c r="O348" s="150">
        <v>23</v>
      </c>
      <c r="P348" s="150" t="s">
        <v>939</v>
      </c>
      <c r="Q348" s="150">
        <v>37</v>
      </c>
      <c r="R348" s="150" t="s">
        <v>940</v>
      </c>
      <c r="S348" s="152">
        <v>21</v>
      </c>
      <c r="T348" s="45" t="s">
        <v>1363</v>
      </c>
      <c r="U348" s="45" t="s">
        <v>1364</v>
      </c>
      <c r="V348" s="45" t="s">
        <v>1507</v>
      </c>
      <c r="W348" s="45" t="s">
        <v>1508</v>
      </c>
      <c r="X348" s="98">
        <v>44805</v>
      </c>
      <c r="Y348" s="98">
        <v>45169</v>
      </c>
      <c r="Z348" s="98"/>
      <c r="AA348" s="98"/>
      <c r="AB348" s="41" t="s">
        <v>1125</v>
      </c>
      <c r="AC348" s="41"/>
      <c r="AD348" s="42" t="s">
        <v>734</v>
      </c>
      <c r="AE348" s="42" t="s">
        <v>734</v>
      </c>
      <c r="AF348" s="42" t="s">
        <v>734</v>
      </c>
      <c r="AG348" s="42"/>
      <c r="AH348" s="42" t="s">
        <v>734</v>
      </c>
      <c r="AI348" s="42" t="s">
        <v>734</v>
      </c>
      <c r="AJ348" s="42" t="s">
        <v>734</v>
      </c>
      <c r="AK348" s="42" t="s">
        <v>734</v>
      </c>
      <c r="AL348" s="42" t="s">
        <v>734</v>
      </c>
      <c r="AM348" s="42" t="s">
        <v>734</v>
      </c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68">
        <v>50.44</v>
      </c>
      <c r="AY348" s="37"/>
      <c r="BA348" s="68"/>
      <c r="BB348" s="68"/>
      <c r="BD348" s="67">
        <f t="shared" si="94"/>
        <v>15333.759999999998</v>
      </c>
      <c r="BE348" s="67"/>
      <c r="BF348" s="37"/>
      <c r="BG348" s="73">
        <v>1</v>
      </c>
      <c r="BH348" s="67">
        <f t="shared" si="108"/>
        <v>0</v>
      </c>
      <c r="BI348" s="67">
        <f t="shared" si="109"/>
        <v>0</v>
      </c>
      <c r="BJ348" s="70">
        <f t="shared" si="110"/>
        <v>0</v>
      </c>
      <c r="BN348" s="37"/>
      <c r="BO348" s="70">
        <f t="shared" si="98"/>
        <v>0</v>
      </c>
      <c r="BP348" s="37">
        <v>26</v>
      </c>
      <c r="BQ348" s="37">
        <v>26</v>
      </c>
      <c r="BR348" s="37">
        <v>25</v>
      </c>
      <c r="BS348" s="37">
        <v>25</v>
      </c>
      <c r="BT348" s="87">
        <f t="shared" si="99"/>
        <v>50.44</v>
      </c>
      <c r="BU348" s="87"/>
      <c r="BV348" s="87"/>
      <c r="BW348" s="87"/>
      <c r="BX348" s="87"/>
      <c r="BY348" s="87"/>
      <c r="BZ348" s="87"/>
      <c r="CA348" s="87"/>
      <c r="CB348" s="87"/>
      <c r="CC348" s="87"/>
      <c r="CD348" s="87"/>
      <c r="CF348" s="67">
        <f t="shared" si="100"/>
        <v>1311.44</v>
      </c>
      <c r="CG348" s="67">
        <f t="shared" si="101"/>
        <v>1311.44</v>
      </c>
      <c r="CH348" s="67">
        <f t="shared" si="102"/>
        <v>1261</v>
      </c>
      <c r="CI348" s="67">
        <f t="shared" si="107"/>
        <v>1261</v>
      </c>
      <c r="CJ348" s="37">
        <f t="shared" si="103"/>
        <v>286</v>
      </c>
      <c r="CK348" s="37">
        <f t="shared" si="104"/>
        <v>286</v>
      </c>
      <c r="CL348" s="37">
        <f t="shared" si="105"/>
        <v>275</v>
      </c>
      <c r="CM348" s="37">
        <f t="shared" si="106"/>
        <v>275</v>
      </c>
    </row>
    <row r="349" spans="1:91" ht="22.5">
      <c r="B349" s="156">
        <v>343</v>
      </c>
      <c r="C349" s="160">
        <v>206</v>
      </c>
      <c r="D349" s="162">
        <v>109</v>
      </c>
      <c r="E349" s="161">
        <v>0.31805555555555554</v>
      </c>
      <c r="F349" s="161">
        <v>0.34236111111111112</v>
      </c>
      <c r="G349" s="160" t="s">
        <v>152</v>
      </c>
      <c r="H349" s="160" t="s">
        <v>18</v>
      </c>
      <c r="I349" s="163">
        <v>16</v>
      </c>
      <c r="J349" s="164" t="s">
        <v>127</v>
      </c>
      <c r="K349" s="165">
        <v>304</v>
      </c>
      <c r="L349" s="166">
        <f t="shared" si="93"/>
        <v>4864</v>
      </c>
      <c r="M349" s="177" t="s">
        <v>726</v>
      </c>
      <c r="N349" s="154" t="s">
        <v>939</v>
      </c>
      <c r="O349" s="150">
        <v>37</v>
      </c>
      <c r="P349" s="150" t="s">
        <v>943</v>
      </c>
      <c r="Q349" s="150">
        <v>48</v>
      </c>
      <c r="R349" s="268" t="s">
        <v>2061</v>
      </c>
      <c r="S349" s="269">
        <v>45</v>
      </c>
      <c r="T349" s="45" t="s">
        <v>1363</v>
      </c>
      <c r="U349" s="45" t="s">
        <v>1364</v>
      </c>
      <c r="V349" s="45">
        <v>1</v>
      </c>
      <c r="W349" s="45" t="s">
        <v>1339</v>
      </c>
      <c r="X349" s="98">
        <v>44805</v>
      </c>
      <c r="Y349" s="98">
        <v>45169</v>
      </c>
      <c r="Z349" s="98"/>
      <c r="AA349" s="98"/>
      <c r="AB349" s="42" t="s">
        <v>1125</v>
      </c>
      <c r="AC349" s="42"/>
      <c r="AD349" s="42" t="s">
        <v>734</v>
      </c>
      <c r="AE349" s="42" t="s">
        <v>734</v>
      </c>
      <c r="AF349" s="42" t="s">
        <v>734</v>
      </c>
      <c r="AG349" s="42"/>
      <c r="AH349" s="42" t="s">
        <v>734</v>
      </c>
      <c r="AI349" s="42" t="s">
        <v>734</v>
      </c>
      <c r="AJ349" s="42" t="s">
        <v>734</v>
      </c>
      <c r="AK349" s="42" t="s">
        <v>734</v>
      </c>
      <c r="AL349" s="42" t="s">
        <v>734</v>
      </c>
      <c r="AM349" s="42" t="s">
        <v>734</v>
      </c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68">
        <v>73.349999999999994</v>
      </c>
      <c r="AY349" s="37"/>
      <c r="BA349" s="68"/>
      <c r="BB349" s="68"/>
      <c r="BD349" s="67">
        <f t="shared" si="94"/>
        <v>22298.399999999998</v>
      </c>
      <c r="BE349" s="67"/>
      <c r="BF349" s="37"/>
      <c r="BG349" s="69">
        <v>2</v>
      </c>
      <c r="BH349" s="67">
        <f t="shared" si="108"/>
        <v>0</v>
      </c>
      <c r="BI349" s="67">
        <f t="shared" si="109"/>
        <v>0</v>
      </c>
      <c r="BJ349" s="70">
        <f t="shared" si="110"/>
        <v>0</v>
      </c>
      <c r="BN349" s="37"/>
      <c r="BO349" s="70">
        <f t="shared" si="98"/>
        <v>0</v>
      </c>
      <c r="BP349" s="37">
        <v>26</v>
      </c>
      <c r="BQ349" s="37">
        <v>26</v>
      </c>
      <c r="BR349" s="37">
        <v>25</v>
      </c>
      <c r="BS349" s="37">
        <v>25</v>
      </c>
      <c r="BT349" s="87">
        <f t="shared" si="99"/>
        <v>73.349999999999994</v>
      </c>
      <c r="BU349" s="87"/>
      <c r="BV349" s="87"/>
      <c r="BW349" s="87"/>
      <c r="BX349" s="87"/>
      <c r="BY349" s="87"/>
      <c r="BZ349" s="87"/>
      <c r="CA349" s="87"/>
      <c r="CB349" s="87"/>
      <c r="CC349" s="87"/>
      <c r="CD349" s="87"/>
      <c r="CF349" s="67">
        <f t="shared" si="100"/>
        <v>1907.1</v>
      </c>
      <c r="CG349" s="67">
        <f t="shared" si="101"/>
        <v>1907.1</v>
      </c>
      <c r="CH349" s="67">
        <f t="shared" si="102"/>
        <v>1833.7499999999998</v>
      </c>
      <c r="CI349" s="67">
        <f t="shared" si="107"/>
        <v>1833.7499999999998</v>
      </c>
      <c r="CJ349" s="37">
        <f t="shared" si="103"/>
        <v>416</v>
      </c>
      <c r="CK349" s="37">
        <f t="shared" si="104"/>
        <v>416</v>
      </c>
      <c r="CL349" s="37">
        <f t="shared" si="105"/>
        <v>400</v>
      </c>
      <c r="CM349" s="37">
        <f t="shared" si="106"/>
        <v>400</v>
      </c>
    </row>
    <row r="350" spans="1:91" ht="22.5">
      <c r="B350" s="156">
        <v>344</v>
      </c>
      <c r="C350" s="160">
        <v>206</v>
      </c>
      <c r="D350" s="162">
        <v>110</v>
      </c>
      <c r="E350" s="173">
        <v>0.3527777777777778</v>
      </c>
      <c r="F350" s="173">
        <v>0.36805555555555558</v>
      </c>
      <c r="G350" s="160" t="s">
        <v>219</v>
      </c>
      <c r="H350" s="160" t="s">
        <v>157</v>
      </c>
      <c r="I350" s="163">
        <v>11</v>
      </c>
      <c r="J350" s="164" t="s">
        <v>93</v>
      </c>
      <c r="K350" s="165">
        <v>58</v>
      </c>
      <c r="L350" s="166">
        <f t="shared" si="93"/>
        <v>638</v>
      </c>
      <c r="M350" s="202" t="s">
        <v>726</v>
      </c>
      <c r="N350" s="154" t="s">
        <v>938</v>
      </c>
      <c r="O350" s="150">
        <v>23</v>
      </c>
      <c r="P350" s="150" t="s">
        <v>942</v>
      </c>
      <c r="Q350" s="150">
        <v>23</v>
      </c>
      <c r="R350" s="150" t="s">
        <v>940</v>
      </c>
      <c r="S350" s="152">
        <v>21</v>
      </c>
      <c r="T350" s="45">
        <v>2010</v>
      </c>
      <c r="U350" s="45" t="s">
        <v>1509</v>
      </c>
      <c r="V350" s="45" t="s">
        <v>1363</v>
      </c>
      <c r="W350" s="45" t="s">
        <v>1364</v>
      </c>
      <c r="X350" s="98">
        <v>44805</v>
      </c>
      <c r="Y350" s="98">
        <v>45169</v>
      </c>
      <c r="Z350" s="98"/>
      <c r="AA350" s="98"/>
      <c r="AB350" s="42" t="s">
        <v>1127</v>
      </c>
      <c r="AC350" s="42"/>
      <c r="AD350" s="42" t="s">
        <v>734</v>
      </c>
      <c r="AE350" s="42" t="s">
        <v>734</v>
      </c>
      <c r="AF350" s="42"/>
      <c r="AG350" s="42"/>
      <c r="AH350" s="42"/>
      <c r="AI350" s="42"/>
      <c r="AJ350" s="42"/>
      <c r="AK350" s="42"/>
      <c r="AL350" s="42"/>
      <c r="AM350" s="42"/>
      <c r="AN350" s="42" t="s">
        <v>734</v>
      </c>
      <c r="AO350" s="42"/>
      <c r="AP350" s="42"/>
      <c r="AQ350" s="42"/>
      <c r="AR350" s="42"/>
      <c r="AS350" s="42"/>
      <c r="AT350" s="42"/>
      <c r="AU350" s="42"/>
      <c r="AV350" s="42"/>
      <c r="AW350" s="42"/>
      <c r="AX350" s="68">
        <v>43.05</v>
      </c>
      <c r="AY350" s="37"/>
      <c r="BA350" s="68"/>
      <c r="BB350" s="68"/>
      <c r="BD350" s="67">
        <f t="shared" si="94"/>
        <v>2496.8999999999996</v>
      </c>
      <c r="BE350" s="67"/>
      <c r="BF350" s="37"/>
      <c r="BG350" s="73">
        <v>1</v>
      </c>
      <c r="BH350" s="67">
        <f t="shared" si="108"/>
        <v>0</v>
      </c>
      <c r="BI350" s="67">
        <f t="shared" si="109"/>
        <v>0</v>
      </c>
      <c r="BJ350" s="70">
        <f t="shared" si="110"/>
        <v>0</v>
      </c>
      <c r="BN350" s="37"/>
      <c r="BO350" s="70">
        <f t="shared" si="98"/>
        <v>0</v>
      </c>
      <c r="BP350" s="37">
        <v>4</v>
      </c>
      <c r="BQ350" s="37">
        <v>5</v>
      </c>
      <c r="BR350" s="37">
        <v>5</v>
      </c>
      <c r="BS350" s="37">
        <v>6</v>
      </c>
      <c r="BT350" s="87">
        <f t="shared" si="99"/>
        <v>43.05</v>
      </c>
      <c r="BU350" s="87"/>
      <c r="BV350" s="87"/>
      <c r="BW350" s="87"/>
      <c r="BX350" s="87"/>
      <c r="BY350" s="87"/>
      <c r="BZ350" s="87"/>
      <c r="CA350" s="87"/>
      <c r="CB350" s="87"/>
      <c r="CC350" s="87"/>
      <c r="CD350" s="87"/>
      <c r="CF350" s="67">
        <f t="shared" si="100"/>
        <v>172.2</v>
      </c>
      <c r="CG350" s="67">
        <f t="shared" si="101"/>
        <v>215.25</v>
      </c>
      <c r="CH350" s="67">
        <f t="shared" si="102"/>
        <v>215.25</v>
      </c>
      <c r="CI350" s="67">
        <f t="shared" si="107"/>
        <v>258.29999999999995</v>
      </c>
      <c r="CJ350" s="37">
        <f t="shared" si="103"/>
        <v>44</v>
      </c>
      <c r="CK350" s="37">
        <f t="shared" si="104"/>
        <v>55</v>
      </c>
      <c r="CL350" s="37">
        <f t="shared" si="105"/>
        <v>55</v>
      </c>
      <c r="CM350" s="37">
        <f t="shared" si="106"/>
        <v>66</v>
      </c>
    </row>
    <row r="351" spans="1:91" ht="22.5">
      <c r="B351" s="156">
        <v>345</v>
      </c>
      <c r="C351" s="160">
        <v>206</v>
      </c>
      <c r="D351" s="162">
        <v>113</v>
      </c>
      <c r="E351" s="173">
        <v>0.375</v>
      </c>
      <c r="F351" s="161">
        <v>0.39930555555555558</v>
      </c>
      <c r="G351" s="160" t="s">
        <v>152</v>
      </c>
      <c r="H351" s="160" t="s">
        <v>157</v>
      </c>
      <c r="I351" s="163">
        <v>16</v>
      </c>
      <c r="J351" s="164" t="s">
        <v>93</v>
      </c>
      <c r="K351" s="165">
        <v>58</v>
      </c>
      <c r="L351" s="166">
        <f t="shared" si="93"/>
        <v>928</v>
      </c>
      <c r="M351" s="202" t="s">
        <v>726</v>
      </c>
      <c r="N351" s="154" t="s">
        <v>938</v>
      </c>
      <c r="O351" s="150">
        <v>23</v>
      </c>
      <c r="P351" s="150" t="s">
        <v>942</v>
      </c>
      <c r="Q351" s="150">
        <v>23</v>
      </c>
      <c r="R351" s="150" t="s">
        <v>940</v>
      </c>
      <c r="S351" s="152">
        <v>21</v>
      </c>
      <c r="T351" s="45" t="s">
        <v>1363</v>
      </c>
      <c r="U351" s="45" t="s">
        <v>1364</v>
      </c>
      <c r="V351" s="45">
        <v>1</v>
      </c>
      <c r="W351" s="45" t="s">
        <v>1339</v>
      </c>
      <c r="X351" s="98">
        <v>44805</v>
      </c>
      <c r="Y351" s="98">
        <v>45169</v>
      </c>
      <c r="Z351" s="98"/>
      <c r="AA351" s="98"/>
      <c r="AB351" s="42" t="s">
        <v>1127</v>
      </c>
      <c r="AC351" s="42"/>
      <c r="AD351" s="42" t="s">
        <v>734</v>
      </c>
      <c r="AE351" s="42" t="s">
        <v>734</v>
      </c>
      <c r="AF351" s="42"/>
      <c r="AG351" s="42"/>
      <c r="AH351" s="42"/>
      <c r="AI351" s="42"/>
      <c r="AJ351" s="42"/>
      <c r="AK351" s="42"/>
      <c r="AL351" s="42"/>
      <c r="AM351" s="42"/>
      <c r="AN351" s="42" t="s">
        <v>734</v>
      </c>
      <c r="AO351" s="42"/>
      <c r="AP351" s="42"/>
      <c r="AQ351" s="42"/>
      <c r="AR351" s="42"/>
      <c r="AS351" s="42"/>
      <c r="AT351" s="42"/>
      <c r="AU351" s="42"/>
      <c r="AV351" s="42"/>
      <c r="AW351" s="42"/>
      <c r="AX351" s="68">
        <v>62.48</v>
      </c>
      <c r="AY351" s="37"/>
      <c r="BA351" s="68"/>
      <c r="BB351" s="68"/>
      <c r="BD351" s="67">
        <f t="shared" si="94"/>
        <v>3623.8399999999997</v>
      </c>
      <c r="BE351" s="67"/>
      <c r="BF351" s="37"/>
      <c r="BG351" s="73">
        <v>1</v>
      </c>
      <c r="BH351" s="67">
        <f t="shared" si="108"/>
        <v>0</v>
      </c>
      <c r="BI351" s="67">
        <f t="shared" si="109"/>
        <v>0</v>
      </c>
      <c r="BJ351" s="70">
        <f t="shared" si="110"/>
        <v>0</v>
      </c>
      <c r="BN351" s="37"/>
      <c r="BO351" s="70">
        <f t="shared" si="98"/>
        <v>0</v>
      </c>
      <c r="BP351" s="37">
        <v>4</v>
      </c>
      <c r="BQ351" s="37">
        <v>5</v>
      </c>
      <c r="BR351" s="37">
        <v>5</v>
      </c>
      <c r="BS351" s="37">
        <v>6</v>
      </c>
      <c r="BT351" s="87">
        <f t="shared" si="99"/>
        <v>62.48</v>
      </c>
      <c r="BU351" s="87"/>
      <c r="BV351" s="87"/>
      <c r="BW351" s="87"/>
      <c r="BX351" s="87"/>
      <c r="BY351" s="87"/>
      <c r="BZ351" s="87"/>
      <c r="CA351" s="87"/>
      <c r="CB351" s="87"/>
      <c r="CC351" s="87"/>
      <c r="CD351" s="87"/>
      <c r="CF351" s="67">
        <f t="shared" si="100"/>
        <v>249.92</v>
      </c>
      <c r="CG351" s="67">
        <f t="shared" si="101"/>
        <v>312.39999999999998</v>
      </c>
      <c r="CH351" s="67">
        <f t="shared" si="102"/>
        <v>312.39999999999998</v>
      </c>
      <c r="CI351" s="67">
        <f t="shared" si="107"/>
        <v>374.88</v>
      </c>
      <c r="CJ351" s="37">
        <f t="shared" si="103"/>
        <v>64</v>
      </c>
      <c r="CK351" s="37">
        <f t="shared" si="104"/>
        <v>80</v>
      </c>
      <c r="CL351" s="37">
        <f t="shared" si="105"/>
        <v>80</v>
      </c>
      <c r="CM351" s="37">
        <f t="shared" si="106"/>
        <v>96</v>
      </c>
    </row>
    <row r="352" spans="1:91" ht="25.5">
      <c r="B352" s="156">
        <v>346</v>
      </c>
      <c r="C352" s="160">
        <v>206</v>
      </c>
      <c r="D352" s="162">
        <v>112</v>
      </c>
      <c r="E352" s="161">
        <v>0.4236111111111111</v>
      </c>
      <c r="F352" s="173">
        <v>0.4513888888888889</v>
      </c>
      <c r="G352" s="160" t="s">
        <v>439</v>
      </c>
      <c r="H352" s="160" t="s">
        <v>97</v>
      </c>
      <c r="I352" s="163">
        <v>18</v>
      </c>
      <c r="J352" s="164" t="s">
        <v>188</v>
      </c>
      <c r="K352" s="165">
        <v>208</v>
      </c>
      <c r="L352" s="166">
        <f t="shared" si="93"/>
        <v>3744</v>
      </c>
      <c r="M352" s="177" t="s">
        <v>726</v>
      </c>
      <c r="N352" s="150" t="s">
        <v>938</v>
      </c>
      <c r="O352" s="150">
        <v>23</v>
      </c>
      <c r="P352" s="150" t="s">
        <v>942</v>
      </c>
      <c r="Q352" s="150">
        <v>23</v>
      </c>
      <c r="R352" s="150" t="s">
        <v>941</v>
      </c>
      <c r="S352" s="152">
        <v>24</v>
      </c>
      <c r="T352" s="45">
        <v>1</v>
      </c>
      <c r="U352" s="45" t="s">
        <v>1336</v>
      </c>
      <c r="V352" s="45" t="s">
        <v>1363</v>
      </c>
      <c r="W352" s="45" t="s">
        <v>1364</v>
      </c>
      <c r="X352" s="98">
        <v>44816</v>
      </c>
      <c r="Y352" s="98">
        <v>45086</v>
      </c>
      <c r="Z352" s="98"/>
      <c r="AA352" s="98"/>
      <c r="AB352" s="41" t="s">
        <v>1118</v>
      </c>
      <c r="AC352" s="41"/>
      <c r="AD352" s="44"/>
      <c r="AE352" s="44"/>
      <c r="AF352" s="44"/>
      <c r="AG352" s="42" t="s">
        <v>734</v>
      </c>
      <c r="AH352" s="42" t="s">
        <v>734</v>
      </c>
      <c r="AI352" s="42" t="s">
        <v>734</v>
      </c>
      <c r="AJ352" s="42" t="s">
        <v>734</v>
      </c>
      <c r="AK352" s="42" t="s">
        <v>734</v>
      </c>
      <c r="AL352" s="42" t="s">
        <v>734</v>
      </c>
      <c r="AM352" s="42" t="s">
        <v>734</v>
      </c>
      <c r="AN352" s="44"/>
      <c r="AO352" s="44"/>
      <c r="AP352" s="44"/>
      <c r="AQ352" s="44"/>
      <c r="AR352" s="42"/>
      <c r="AS352" s="42"/>
      <c r="AT352" s="42"/>
      <c r="AU352" s="42"/>
      <c r="AV352" s="42"/>
      <c r="AW352" s="42"/>
      <c r="AX352" s="68">
        <v>31.5</v>
      </c>
      <c r="AY352" s="75"/>
      <c r="AZ352" s="75"/>
      <c r="BA352" s="68"/>
      <c r="BB352" s="68"/>
      <c r="BC352" s="75"/>
      <c r="BD352" s="67">
        <f t="shared" si="94"/>
        <v>6552</v>
      </c>
      <c r="BE352" s="67"/>
      <c r="BF352" s="75"/>
      <c r="BG352" s="73">
        <v>1</v>
      </c>
      <c r="BH352" s="67">
        <f t="shared" si="108"/>
        <v>4.5</v>
      </c>
      <c r="BI352" s="67">
        <f t="shared" si="109"/>
        <v>0</v>
      </c>
      <c r="BJ352" s="67">
        <f t="shared" si="110"/>
        <v>936</v>
      </c>
      <c r="BN352" s="37"/>
      <c r="BO352" s="70">
        <f t="shared" si="98"/>
        <v>0</v>
      </c>
      <c r="BP352" s="37">
        <v>17</v>
      </c>
      <c r="BQ352" s="37">
        <v>25</v>
      </c>
      <c r="BR352" s="37">
        <v>25</v>
      </c>
      <c r="BS352" s="37">
        <v>18</v>
      </c>
      <c r="BT352" s="87">
        <f t="shared" si="99"/>
        <v>36</v>
      </c>
      <c r="BU352" s="87"/>
      <c r="BV352" s="87"/>
      <c r="BW352" s="87"/>
      <c r="BX352" s="87"/>
      <c r="BY352" s="87"/>
      <c r="BZ352" s="87"/>
      <c r="CA352" s="87"/>
      <c r="CB352" s="87"/>
      <c r="CC352" s="87"/>
      <c r="CD352" s="87"/>
      <c r="CF352" s="67">
        <f t="shared" si="100"/>
        <v>612</v>
      </c>
      <c r="CG352" s="67">
        <f t="shared" si="101"/>
        <v>900</v>
      </c>
      <c r="CH352" s="67">
        <f t="shared" si="102"/>
        <v>900</v>
      </c>
      <c r="CI352" s="67">
        <f t="shared" si="107"/>
        <v>648</v>
      </c>
      <c r="CJ352" s="37">
        <f t="shared" si="103"/>
        <v>306</v>
      </c>
      <c r="CK352" s="37">
        <f t="shared" si="104"/>
        <v>450</v>
      </c>
      <c r="CL352" s="37">
        <f t="shared" si="105"/>
        <v>450</v>
      </c>
      <c r="CM352" s="37">
        <f t="shared" si="106"/>
        <v>324</v>
      </c>
    </row>
    <row r="353" spans="2:91" ht="22.5">
      <c r="B353" s="156">
        <v>347</v>
      </c>
      <c r="C353" s="160">
        <v>206</v>
      </c>
      <c r="D353" s="162">
        <v>116</v>
      </c>
      <c r="E353" s="161">
        <v>0.5229166666666667</v>
      </c>
      <c r="F353" s="161">
        <v>0.53819444444444442</v>
      </c>
      <c r="G353" s="160" t="s">
        <v>219</v>
      </c>
      <c r="H353" s="160" t="s">
        <v>157</v>
      </c>
      <c r="I353" s="163">
        <v>11</v>
      </c>
      <c r="J353" s="164" t="s">
        <v>93</v>
      </c>
      <c r="K353" s="165">
        <v>58</v>
      </c>
      <c r="L353" s="166">
        <f t="shared" si="93"/>
        <v>638</v>
      </c>
      <c r="M353" s="177" t="s">
        <v>726</v>
      </c>
      <c r="N353" s="154" t="s">
        <v>938</v>
      </c>
      <c r="O353" s="150">
        <v>23</v>
      </c>
      <c r="P353" s="150" t="s">
        <v>940</v>
      </c>
      <c r="Q353" s="150">
        <v>21</v>
      </c>
      <c r="R353" s="150" t="s">
        <v>942</v>
      </c>
      <c r="S353" s="151">
        <v>23</v>
      </c>
      <c r="T353" s="45">
        <v>2010</v>
      </c>
      <c r="U353" s="45" t="s">
        <v>1509</v>
      </c>
      <c r="V353" s="45" t="s">
        <v>1363</v>
      </c>
      <c r="W353" s="45" t="s">
        <v>1364</v>
      </c>
      <c r="X353" s="98">
        <v>44805</v>
      </c>
      <c r="Y353" s="98">
        <v>45169</v>
      </c>
      <c r="Z353" s="98"/>
      <c r="AA353" s="98"/>
      <c r="AB353" s="42" t="s">
        <v>1127</v>
      </c>
      <c r="AC353" s="42"/>
      <c r="AD353" s="42" t="s">
        <v>734</v>
      </c>
      <c r="AE353" s="42" t="s">
        <v>734</v>
      </c>
      <c r="AF353" s="42"/>
      <c r="AG353" s="42"/>
      <c r="AH353" s="42"/>
      <c r="AI353" s="42"/>
      <c r="AJ353" s="42"/>
      <c r="AK353" s="42"/>
      <c r="AL353" s="42"/>
      <c r="AM353" s="42"/>
      <c r="AN353" s="42" t="s">
        <v>734</v>
      </c>
      <c r="AO353" s="44"/>
      <c r="AP353" s="44"/>
      <c r="AQ353" s="44"/>
      <c r="AR353" s="42"/>
      <c r="AS353" s="42"/>
      <c r="AT353" s="42"/>
      <c r="AU353" s="42"/>
      <c r="AV353" s="42"/>
      <c r="AW353" s="42"/>
      <c r="AX353" s="68">
        <v>50.66</v>
      </c>
      <c r="AY353" s="75"/>
      <c r="AZ353" s="75"/>
      <c r="BA353" s="68"/>
      <c r="BB353" s="68"/>
      <c r="BC353" s="75"/>
      <c r="BD353" s="67">
        <f t="shared" si="94"/>
        <v>2938.2799999999997</v>
      </c>
      <c r="BE353" s="67"/>
      <c r="BF353" s="75"/>
      <c r="BG353" s="73">
        <v>1</v>
      </c>
      <c r="BH353" s="67">
        <f t="shared" si="108"/>
        <v>0</v>
      </c>
      <c r="BI353" s="67">
        <f t="shared" si="109"/>
        <v>0</v>
      </c>
      <c r="BJ353" s="70">
        <f t="shared" si="110"/>
        <v>0</v>
      </c>
      <c r="BN353" s="37"/>
      <c r="BO353" s="70">
        <f t="shared" si="98"/>
        <v>0</v>
      </c>
      <c r="BP353" s="50">
        <v>3</v>
      </c>
      <c r="BQ353" s="37">
        <v>5</v>
      </c>
      <c r="BR353" s="37">
        <v>5</v>
      </c>
      <c r="BS353" s="37">
        <v>6</v>
      </c>
      <c r="BT353" s="87">
        <f t="shared" si="99"/>
        <v>50.66</v>
      </c>
      <c r="BU353" s="87"/>
      <c r="BV353" s="87"/>
      <c r="BW353" s="87"/>
      <c r="BX353" s="87"/>
      <c r="BY353" s="87"/>
      <c r="BZ353" s="87"/>
      <c r="CA353" s="87"/>
      <c r="CB353" s="87"/>
      <c r="CC353" s="87"/>
      <c r="CD353" s="87"/>
      <c r="CF353" s="67">
        <f t="shared" si="100"/>
        <v>151.97999999999999</v>
      </c>
      <c r="CG353" s="67">
        <f t="shared" si="101"/>
        <v>253.29999999999998</v>
      </c>
      <c r="CH353" s="67">
        <f t="shared" si="102"/>
        <v>253.29999999999998</v>
      </c>
      <c r="CI353" s="67">
        <f t="shared" si="107"/>
        <v>303.95999999999998</v>
      </c>
      <c r="CJ353" s="37">
        <f t="shared" si="103"/>
        <v>33</v>
      </c>
      <c r="CK353" s="37">
        <f t="shared" si="104"/>
        <v>55</v>
      </c>
      <c r="CL353" s="37">
        <f t="shared" si="105"/>
        <v>55</v>
      </c>
      <c r="CM353" s="37">
        <f t="shared" si="106"/>
        <v>66</v>
      </c>
    </row>
    <row r="354" spans="2:91" ht="25.5">
      <c r="B354" s="156">
        <v>348</v>
      </c>
      <c r="C354" s="160">
        <v>206</v>
      </c>
      <c r="D354" s="162">
        <v>116</v>
      </c>
      <c r="E354" s="161">
        <v>0.53819444444444442</v>
      </c>
      <c r="F354" s="161">
        <v>0.5395833333333333</v>
      </c>
      <c r="G354" s="160" t="s">
        <v>218</v>
      </c>
      <c r="H354" s="160" t="s">
        <v>550</v>
      </c>
      <c r="I354" s="163">
        <v>2</v>
      </c>
      <c r="J354" s="164" t="s">
        <v>93</v>
      </c>
      <c r="K354" s="165">
        <v>13</v>
      </c>
      <c r="L354" s="166">
        <f t="shared" si="93"/>
        <v>26</v>
      </c>
      <c r="M354" s="177" t="s">
        <v>726</v>
      </c>
      <c r="N354" s="154" t="s">
        <v>938</v>
      </c>
      <c r="O354" s="150">
        <v>23</v>
      </c>
      <c r="P354" s="150" t="s">
        <v>940</v>
      </c>
      <c r="Q354" s="150">
        <v>21</v>
      </c>
      <c r="R354" s="150" t="s">
        <v>942</v>
      </c>
      <c r="S354" s="151">
        <v>23</v>
      </c>
      <c r="T354" s="45" t="s">
        <v>1363</v>
      </c>
      <c r="U354" s="45" t="s">
        <v>1364</v>
      </c>
      <c r="V354" s="45">
        <v>2024</v>
      </c>
      <c r="W354" s="45" t="s">
        <v>1510</v>
      </c>
      <c r="X354" s="99">
        <v>44562</v>
      </c>
      <c r="Y354" s="99">
        <v>44815</v>
      </c>
      <c r="Z354" s="99">
        <v>45101</v>
      </c>
      <c r="AA354" s="99">
        <v>45169</v>
      </c>
      <c r="AB354" s="36" t="s">
        <v>1116</v>
      </c>
      <c r="AC354" s="36"/>
      <c r="AD354" s="44"/>
      <c r="AE354" s="42" t="s">
        <v>734</v>
      </c>
      <c r="AF354" s="42"/>
      <c r="AG354" s="42"/>
      <c r="AH354" s="42"/>
      <c r="AI354" s="42"/>
      <c r="AJ354" s="42"/>
      <c r="AK354" s="42"/>
      <c r="AL354" s="42"/>
      <c r="AM354" s="42"/>
      <c r="AN354" s="42" t="s">
        <v>734</v>
      </c>
      <c r="AO354" s="44"/>
      <c r="AP354" s="44"/>
      <c r="AQ354" s="44"/>
      <c r="AR354" s="42"/>
      <c r="AS354" s="42"/>
      <c r="AT354" s="42"/>
      <c r="AU354" s="42"/>
      <c r="AV354" s="42"/>
      <c r="AW354" s="42"/>
      <c r="AX354" s="68">
        <v>3.6</v>
      </c>
      <c r="AY354" s="75"/>
      <c r="AZ354" s="75"/>
      <c r="BA354" s="68"/>
      <c r="BB354" s="68"/>
      <c r="BC354" s="75"/>
      <c r="BD354" s="67">
        <f t="shared" si="94"/>
        <v>46.800000000000004</v>
      </c>
      <c r="BE354" s="67"/>
      <c r="BF354" s="75"/>
      <c r="BG354" s="73">
        <v>1</v>
      </c>
      <c r="BH354" s="67">
        <f t="shared" si="108"/>
        <v>0.39999999999999991</v>
      </c>
      <c r="BI354" s="67">
        <f t="shared" si="109"/>
        <v>0</v>
      </c>
      <c r="BJ354" s="67">
        <f t="shared" si="110"/>
        <v>5.1999999999999993</v>
      </c>
      <c r="BN354" s="37"/>
      <c r="BO354" s="70">
        <f t="shared" si="98"/>
        <v>0</v>
      </c>
      <c r="BP354" s="37">
        <v>2</v>
      </c>
      <c r="BQ354" s="37">
        <v>0</v>
      </c>
      <c r="BR354" s="37">
        <v>0</v>
      </c>
      <c r="BT354" s="87">
        <f t="shared" si="99"/>
        <v>4</v>
      </c>
      <c r="BU354" s="87"/>
      <c r="BV354" s="87"/>
      <c r="BW354" s="87"/>
      <c r="BX354" s="87"/>
      <c r="BY354" s="87"/>
      <c r="BZ354" s="87"/>
      <c r="CA354" s="87"/>
      <c r="CB354" s="87"/>
      <c r="CC354" s="87"/>
      <c r="CD354" s="87"/>
      <c r="CF354" s="67">
        <f t="shared" si="100"/>
        <v>8</v>
      </c>
      <c r="CG354" s="67">
        <f t="shared" si="101"/>
        <v>0</v>
      </c>
      <c r="CH354" s="67">
        <f t="shared" si="102"/>
        <v>0</v>
      </c>
      <c r="CI354" s="67">
        <f t="shared" si="107"/>
        <v>0</v>
      </c>
      <c r="CJ354" s="37">
        <f t="shared" si="103"/>
        <v>4</v>
      </c>
      <c r="CK354" s="37">
        <f t="shared" si="104"/>
        <v>0</v>
      </c>
      <c r="CL354" s="37">
        <f t="shared" si="105"/>
        <v>0</v>
      </c>
      <c r="CM354" s="37">
        <f t="shared" si="106"/>
        <v>0</v>
      </c>
    </row>
    <row r="355" spans="2:91" ht="25.5">
      <c r="B355" s="156">
        <v>349</v>
      </c>
      <c r="C355" s="160">
        <v>206</v>
      </c>
      <c r="D355" s="162">
        <v>382</v>
      </c>
      <c r="E355" s="161">
        <v>0.54861111111111105</v>
      </c>
      <c r="F355" s="161">
        <v>0.5625</v>
      </c>
      <c r="G355" s="160" t="s">
        <v>217</v>
      </c>
      <c r="H355" s="160" t="s">
        <v>97</v>
      </c>
      <c r="I355" s="163">
        <v>11</v>
      </c>
      <c r="J355" s="164" t="s">
        <v>99</v>
      </c>
      <c r="K355" s="165">
        <v>208</v>
      </c>
      <c r="L355" s="166">
        <f t="shared" si="93"/>
        <v>2288</v>
      </c>
      <c r="M355" s="177" t="s">
        <v>726</v>
      </c>
      <c r="N355" s="154" t="s">
        <v>938</v>
      </c>
      <c r="O355" s="150">
        <v>23</v>
      </c>
      <c r="P355" s="150" t="s">
        <v>940</v>
      </c>
      <c r="Q355" s="150">
        <v>21</v>
      </c>
      <c r="R355" s="150" t="s">
        <v>942</v>
      </c>
      <c r="S355" s="151">
        <v>23</v>
      </c>
      <c r="T355" s="45">
        <v>2020</v>
      </c>
      <c r="U355" s="45" t="s">
        <v>1511</v>
      </c>
      <c r="V355" s="45" t="s">
        <v>1363</v>
      </c>
      <c r="W355" s="45" t="s">
        <v>1364</v>
      </c>
      <c r="X355" s="98">
        <v>44816</v>
      </c>
      <c r="Y355" s="98">
        <v>45086</v>
      </c>
      <c r="Z355" s="98"/>
      <c r="AA355" s="98"/>
      <c r="AB355" s="41" t="s">
        <v>1118</v>
      </c>
      <c r="AC355" s="41"/>
      <c r="AD355" s="44"/>
      <c r="AE355" s="44"/>
      <c r="AF355" s="44"/>
      <c r="AG355" s="42" t="s">
        <v>734</v>
      </c>
      <c r="AH355" s="42" t="s">
        <v>734</v>
      </c>
      <c r="AI355" s="42" t="s">
        <v>734</v>
      </c>
      <c r="AJ355" s="42" t="s">
        <v>734</v>
      </c>
      <c r="AK355" s="42" t="s">
        <v>734</v>
      </c>
      <c r="AL355" s="42" t="s">
        <v>734</v>
      </c>
      <c r="AM355" s="42" t="s">
        <v>734</v>
      </c>
      <c r="AN355" s="44"/>
      <c r="AO355" s="44"/>
      <c r="AP355" s="44"/>
      <c r="AQ355" s="44"/>
      <c r="AR355" s="42"/>
      <c r="AS355" s="42"/>
      <c r="AT355" s="42"/>
      <c r="AU355" s="42"/>
      <c r="AV355" s="42"/>
      <c r="AW355" s="42"/>
      <c r="AX355" s="68">
        <v>38.869999999999997</v>
      </c>
      <c r="AY355" s="75"/>
      <c r="AZ355" s="75"/>
      <c r="BA355" s="68"/>
      <c r="BB355" s="68"/>
      <c r="BC355" s="75"/>
      <c r="BD355" s="67">
        <f t="shared" ref="BD355:BD386" si="111">AX355*K355</f>
        <v>8084.9599999999991</v>
      </c>
      <c r="BE355" s="67"/>
      <c r="BF355" s="75"/>
      <c r="BG355" s="73">
        <v>1</v>
      </c>
      <c r="BH355" s="67">
        <f t="shared" si="108"/>
        <v>0</v>
      </c>
      <c r="BI355" s="67">
        <f t="shared" si="109"/>
        <v>0</v>
      </c>
      <c r="BJ355" s="70">
        <f t="shared" si="110"/>
        <v>0</v>
      </c>
      <c r="BN355" s="37"/>
      <c r="BO355" s="70">
        <f t="shared" ref="BO355:BO386" si="112">BN355*K355</f>
        <v>0</v>
      </c>
      <c r="BP355" s="37">
        <v>17</v>
      </c>
      <c r="BQ355" s="37">
        <v>25</v>
      </c>
      <c r="BR355" s="37">
        <v>25</v>
      </c>
      <c r="BS355" s="37">
        <v>18</v>
      </c>
      <c r="BT355" s="87">
        <f t="shared" ref="BT355:BT386" si="113">SUM(AX355:AZ355)+SUM(BH355:BI355)+SUM(BK355:BL355)+BN355</f>
        <v>38.869999999999997</v>
      </c>
      <c r="BU355" s="87"/>
      <c r="BV355" s="87"/>
      <c r="BW355" s="87"/>
      <c r="BX355" s="87"/>
      <c r="BY355" s="87"/>
      <c r="BZ355" s="87"/>
      <c r="CA355" s="87"/>
      <c r="CB355" s="87"/>
      <c r="CC355" s="87"/>
      <c r="CD355" s="87"/>
      <c r="CF355" s="67">
        <f t="shared" ref="CF355:CF386" si="114">(BT355*BP355)+(BV355*CD355)</f>
        <v>660.79</v>
      </c>
      <c r="CG355" s="67">
        <f t="shared" si="101"/>
        <v>971.74999999999989</v>
      </c>
      <c r="CH355" s="67">
        <f t="shared" si="102"/>
        <v>971.74999999999989</v>
      </c>
      <c r="CI355" s="67">
        <f t="shared" si="107"/>
        <v>699.66</v>
      </c>
      <c r="CJ355" s="37">
        <f t="shared" si="103"/>
        <v>187</v>
      </c>
      <c r="CK355" s="37">
        <f t="shared" si="104"/>
        <v>275</v>
      </c>
      <c r="CL355" s="37">
        <f t="shared" si="105"/>
        <v>275</v>
      </c>
      <c r="CM355" s="37">
        <f t="shared" si="106"/>
        <v>198</v>
      </c>
    </row>
    <row r="356" spans="2:91" ht="22.5">
      <c r="B356" s="156">
        <v>350</v>
      </c>
      <c r="C356" s="160">
        <v>206</v>
      </c>
      <c r="D356" s="162">
        <v>117</v>
      </c>
      <c r="E356" s="161">
        <v>0.5854166666666667</v>
      </c>
      <c r="F356" s="161">
        <v>0.60972222222222217</v>
      </c>
      <c r="G356" s="160" t="s">
        <v>152</v>
      </c>
      <c r="H356" s="160" t="s">
        <v>157</v>
      </c>
      <c r="I356" s="163">
        <v>16</v>
      </c>
      <c r="J356" s="164" t="s">
        <v>93</v>
      </c>
      <c r="K356" s="165">
        <v>58</v>
      </c>
      <c r="L356" s="166">
        <f t="shared" si="93"/>
        <v>928</v>
      </c>
      <c r="M356" s="177" t="s">
        <v>726</v>
      </c>
      <c r="N356" s="154" t="s">
        <v>940</v>
      </c>
      <c r="O356" s="150">
        <v>21</v>
      </c>
      <c r="P356" s="150" t="s">
        <v>938</v>
      </c>
      <c r="Q356" s="150">
        <v>23</v>
      </c>
      <c r="R356" s="150" t="s">
        <v>942</v>
      </c>
      <c r="S356" s="151">
        <v>23</v>
      </c>
      <c r="T356" s="45" t="s">
        <v>1363</v>
      </c>
      <c r="U356" s="45" t="s">
        <v>1364</v>
      </c>
      <c r="V356" s="45">
        <v>1</v>
      </c>
      <c r="W356" s="45" t="s">
        <v>1339</v>
      </c>
      <c r="X356" s="98">
        <v>44805</v>
      </c>
      <c r="Y356" s="98">
        <v>45169</v>
      </c>
      <c r="Z356" s="98"/>
      <c r="AA356" s="98"/>
      <c r="AB356" s="42" t="s">
        <v>1127</v>
      </c>
      <c r="AC356" s="42"/>
      <c r="AD356" s="42" t="s">
        <v>734</v>
      </c>
      <c r="AE356" s="42" t="s">
        <v>734</v>
      </c>
      <c r="AF356" s="42"/>
      <c r="AG356" s="42"/>
      <c r="AH356" s="42"/>
      <c r="AI356" s="42"/>
      <c r="AJ356" s="42"/>
      <c r="AK356" s="42"/>
      <c r="AL356" s="42"/>
      <c r="AM356" s="42"/>
      <c r="AN356" s="42" t="s">
        <v>734</v>
      </c>
      <c r="AO356" s="44"/>
      <c r="AP356" s="44"/>
      <c r="AQ356" s="44"/>
      <c r="AR356" s="42"/>
      <c r="AS356" s="42"/>
      <c r="AT356" s="42"/>
      <c r="AU356" s="42"/>
      <c r="AV356" s="42"/>
      <c r="AW356" s="42"/>
      <c r="AX356" s="68">
        <v>62.48</v>
      </c>
      <c r="AY356" s="75"/>
      <c r="AZ356" s="75"/>
      <c r="BA356" s="68"/>
      <c r="BB356" s="68"/>
      <c r="BC356" s="75"/>
      <c r="BD356" s="67">
        <f t="shared" si="111"/>
        <v>3623.8399999999997</v>
      </c>
      <c r="BE356" s="67"/>
      <c r="BF356" s="75"/>
      <c r="BG356" s="73">
        <v>1</v>
      </c>
      <c r="BH356" s="67">
        <f t="shared" si="108"/>
        <v>0</v>
      </c>
      <c r="BI356" s="67">
        <f t="shared" si="109"/>
        <v>0</v>
      </c>
      <c r="BJ356" s="70">
        <f t="shared" si="110"/>
        <v>0</v>
      </c>
      <c r="BN356" s="37"/>
      <c r="BO356" s="70">
        <f t="shared" si="112"/>
        <v>0</v>
      </c>
      <c r="BP356" s="50">
        <v>3</v>
      </c>
      <c r="BQ356" s="37">
        <v>5</v>
      </c>
      <c r="BR356" s="37">
        <v>5</v>
      </c>
      <c r="BS356" s="37">
        <v>6</v>
      </c>
      <c r="BT356" s="87">
        <f t="shared" si="113"/>
        <v>62.48</v>
      </c>
      <c r="BU356" s="87"/>
      <c r="BV356" s="87"/>
      <c r="BW356" s="87"/>
      <c r="BX356" s="87"/>
      <c r="BY356" s="87"/>
      <c r="BZ356" s="87"/>
      <c r="CA356" s="87"/>
      <c r="CB356" s="87"/>
      <c r="CC356" s="87"/>
      <c r="CD356" s="87"/>
      <c r="CF356" s="67">
        <f t="shared" si="114"/>
        <v>187.44</v>
      </c>
      <c r="CG356" s="67">
        <f t="shared" si="101"/>
        <v>312.39999999999998</v>
      </c>
      <c r="CH356" s="67">
        <f t="shared" si="102"/>
        <v>312.39999999999998</v>
      </c>
      <c r="CI356" s="67">
        <f t="shared" si="107"/>
        <v>374.88</v>
      </c>
      <c r="CJ356" s="37">
        <f t="shared" si="103"/>
        <v>48</v>
      </c>
      <c r="CK356" s="37">
        <f t="shared" si="104"/>
        <v>80</v>
      </c>
      <c r="CL356" s="37">
        <f t="shared" si="105"/>
        <v>80</v>
      </c>
      <c r="CM356" s="37">
        <f t="shared" si="106"/>
        <v>96</v>
      </c>
    </row>
    <row r="357" spans="2:91" ht="22.5">
      <c r="B357" s="156">
        <v>351</v>
      </c>
      <c r="C357" s="160">
        <v>206</v>
      </c>
      <c r="D357" s="162">
        <v>128</v>
      </c>
      <c r="E357" s="161">
        <v>0.70833333333333337</v>
      </c>
      <c r="F357" s="173">
        <v>0.72638888888888886</v>
      </c>
      <c r="G357" s="160" t="s">
        <v>153</v>
      </c>
      <c r="H357" s="160" t="s">
        <v>157</v>
      </c>
      <c r="I357" s="163">
        <v>16</v>
      </c>
      <c r="J357" s="164" t="s">
        <v>93</v>
      </c>
      <c r="K357" s="165">
        <v>58</v>
      </c>
      <c r="L357" s="166">
        <f t="shared" si="93"/>
        <v>928</v>
      </c>
      <c r="M357" s="177" t="s">
        <v>726</v>
      </c>
      <c r="N357" s="154" t="s">
        <v>940</v>
      </c>
      <c r="O357" s="150">
        <v>21</v>
      </c>
      <c r="P357" s="150" t="s">
        <v>938</v>
      </c>
      <c r="Q357" s="150">
        <v>23</v>
      </c>
      <c r="R357" s="150" t="s">
        <v>942</v>
      </c>
      <c r="S357" s="151">
        <v>23</v>
      </c>
      <c r="T357" s="45">
        <v>1</v>
      </c>
      <c r="U357" s="45" t="s">
        <v>1336</v>
      </c>
      <c r="V357" s="45">
        <v>2023</v>
      </c>
      <c r="W357" s="45" t="s">
        <v>1512</v>
      </c>
      <c r="X357" s="98">
        <v>44805</v>
      </c>
      <c r="Y357" s="98">
        <v>45169</v>
      </c>
      <c r="Z357" s="98"/>
      <c r="AA357" s="98"/>
      <c r="AB357" s="42" t="s">
        <v>1127</v>
      </c>
      <c r="AC357" s="42"/>
      <c r="AD357" s="42" t="s">
        <v>734</v>
      </c>
      <c r="AE357" s="42" t="s">
        <v>734</v>
      </c>
      <c r="AF357" s="42"/>
      <c r="AG357" s="42"/>
      <c r="AH357" s="42"/>
      <c r="AI357" s="42"/>
      <c r="AJ357" s="42"/>
      <c r="AK357" s="42"/>
      <c r="AL357" s="42"/>
      <c r="AM357" s="42"/>
      <c r="AN357" s="42" t="s">
        <v>734</v>
      </c>
      <c r="AO357" s="44"/>
      <c r="AP357" s="44"/>
      <c r="AQ357" s="44"/>
      <c r="AR357" s="42"/>
      <c r="AS357" s="42"/>
      <c r="AT357" s="42"/>
      <c r="AU357" s="42"/>
      <c r="AV357" s="42"/>
      <c r="AW357" s="42"/>
      <c r="AX357" s="68">
        <v>62.48</v>
      </c>
      <c r="AY357" s="75"/>
      <c r="AZ357" s="75"/>
      <c r="BA357" s="68"/>
      <c r="BB357" s="68"/>
      <c r="BC357" s="75"/>
      <c r="BD357" s="67">
        <f t="shared" si="111"/>
        <v>3623.8399999999997</v>
      </c>
      <c r="BE357" s="67"/>
      <c r="BF357" s="75"/>
      <c r="BG357" s="73">
        <v>1</v>
      </c>
      <c r="BH357" s="67">
        <f t="shared" si="108"/>
        <v>0</v>
      </c>
      <c r="BI357" s="67">
        <f t="shared" si="109"/>
        <v>0</v>
      </c>
      <c r="BJ357" s="70">
        <f t="shared" si="110"/>
        <v>0</v>
      </c>
      <c r="BN357" s="37"/>
      <c r="BO357" s="70">
        <f t="shared" si="112"/>
        <v>0</v>
      </c>
      <c r="BP357" s="37">
        <v>4</v>
      </c>
      <c r="BQ357" s="37">
        <v>5</v>
      </c>
      <c r="BR357" s="37">
        <v>5</v>
      </c>
      <c r="BS357" s="37">
        <v>6</v>
      </c>
      <c r="BT357" s="87">
        <f t="shared" si="113"/>
        <v>62.48</v>
      </c>
      <c r="BU357" s="87"/>
      <c r="BV357" s="87"/>
      <c r="BW357" s="87"/>
      <c r="BX357" s="87"/>
      <c r="BY357" s="87"/>
      <c r="BZ357" s="87"/>
      <c r="CA357" s="87"/>
      <c r="CB357" s="87"/>
      <c r="CC357" s="87"/>
      <c r="CD357" s="87"/>
      <c r="CF357" s="67">
        <f t="shared" si="114"/>
        <v>249.92</v>
      </c>
      <c r="CG357" s="67">
        <f t="shared" si="101"/>
        <v>312.39999999999998</v>
      </c>
      <c r="CH357" s="67">
        <f t="shared" si="102"/>
        <v>312.39999999999998</v>
      </c>
      <c r="CI357" s="67">
        <f t="shared" si="107"/>
        <v>374.88</v>
      </c>
      <c r="CJ357" s="37">
        <f t="shared" si="103"/>
        <v>64</v>
      </c>
      <c r="CK357" s="37">
        <f t="shared" si="104"/>
        <v>80</v>
      </c>
      <c r="CL357" s="37">
        <f t="shared" si="105"/>
        <v>80</v>
      </c>
      <c r="CM357" s="37">
        <f t="shared" si="106"/>
        <v>96</v>
      </c>
    </row>
    <row r="358" spans="2:91" ht="25.5">
      <c r="B358" s="156">
        <v>352</v>
      </c>
      <c r="C358" s="160">
        <v>206</v>
      </c>
      <c r="D358" s="162">
        <v>580</v>
      </c>
      <c r="E358" s="161">
        <v>0.71180555555555547</v>
      </c>
      <c r="F358" s="161">
        <v>0.71875</v>
      </c>
      <c r="G358" s="160" t="s">
        <v>210</v>
      </c>
      <c r="H358" s="160" t="s">
        <v>155</v>
      </c>
      <c r="I358" s="163">
        <v>6</v>
      </c>
      <c r="J358" s="164" t="s">
        <v>93</v>
      </c>
      <c r="K358" s="165">
        <v>252</v>
      </c>
      <c r="L358" s="166">
        <f t="shared" si="93"/>
        <v>1512</v>
      </c>
      <c r="M358" s="177" t="s">
        <v>726</v>
      </c>
      <c r="N358" s="154" t="s">
        <v>941</v>
      </c>
      <c r="O358" s="150">
        <v>24</v>
      </c>
      <c r="P358" s="150" t="s">
        <v>940</v>
      </c>
      <c r="Q358" s="150">
        <v>21</v>
      </c>
      <c r="R358" s="150" t="s">
        <v>942</v>
      </c>
      <c r="S358" s="151">
        <v>23</v>
      </c>
      <c r="T358" s="45">
        <v>2021</v>
      </c>
      <c r="U358" s="45" t="s">
        <v>1513</v>
      </c>
      <c r="V358" s="45" t="s">
        <v>1363</v>
      </c>
      <c r="W358" s="45" t="s">
        <v>1364</v>
      </c>
      <c r="X358" s="98">
        <v>44805</v>
      </c>
      <c r="Y358" s="98">
        <v>45169</v>
      </c>
      <c r="Z358" s="98"/>
      <c r="AA358" s="98"/>
      <c r="AB358" s="41" t="s">
        <v>1113</v>
      </c>
      <c r="AC358" s="41"/>
      <c r="AD358" s="42" t="s">
        <v>734</v>
      </c>
      <c r="AE358" s="42" t="s">
        <v>734</v>
      </c>
      <c r="AF358" s="42" t="s">
        <v>734</v>
      </c>
      <c r="AG358" s="42"/>
      <c r="AH358" s="42" t="s">
        <v>734</v>
      </c>
      <c r="AI358" s="42" t="s">
        <v>734</v>
      </c>
      <c r="AJ358" s="42" t="s">
        <v>734</v>
      </c>
      <c r="AK358" s="42" t="s">
        <v>734</v>
      </c>
      <c r="AL358" s="42" t="s">
        <v>734</v>
      </c>
      <c r="AM358" s="44"/>
      <c r="AN358" s="44"/>
      <c r="AO358" s="44"/>
      <c r="AP358" s="44"/>
      <c r="AQ358" s="42"/>
      <c r="AR358" s="42"/>
      <c r="AS358" s="42"/>
      <c r="AT358" s="42"/>
      <c r="AU358" s="42"/>
      <c r="AV358" s="42"/>
      <c r="AW358" s="42"/>
      <c r="AX358" s="68">
        <v>10.76</v>
      </c>
      <c r="AY358" s="75"/>
      <c r="AZ358" s="75"/>
      <c r="BA358" s="68"/>
      <c r="BB358" s="68"/>
      <c r="BC358" s="75"/>
      <c r="BD358" s="67">
        <f t="shared" si="111"/>
        <v>2711.52</v>
      </c>
      <c r="BE358" s="67"/>
      <c r="BF358" s="75"/>
      <c r="BG358" s="73">
        <v>1</v>
      </c>
      <c r="BH358" s="67">
        <f t="shared" si="108"/>
        <v>1.2400000000000002</v>
      </c>
      <c r="BI358" s="67">
        <f t="shared" si="109"/>
        <v>0</v>
      </c>
      <c r="BJ358" s="67">
        <f t="shared" si="110"/>
        <v>312.48000000000008</v>
      </c>
      <c r="BN358" s="37"/>
      <c r="BO358" s="70">
        <f t="shared" si="112"/>
        <v>0</v>
      </c>
      <c r="BP358" s="37">
        <v>22</v>
      </c>
      <c r="BQ358" s="37">
        <v>21</v>
      </c>
      <c r="BR358" s="37">
        <v>21</v>
      </c>
      <c r="BS358" s="37">
        <v>20</v>
      </c>
      <c r="BT358" s="87">
        <f t="shared" si="113"/>
        <v>12</v>
      </c>
      <c r="BU358" s="87"/>
      <c r="BV358" s="87"/>
      <c r="BW358" s="87"/>
      <c r="BX358" s="87"/>
      <c r="BY358" s="87"/>
      <c r="BZ358" s="87"/>
      <c r="CA358" s="87"/>
      <c r="CB358" s="87"/>
      <c r="CC358" s="87"/>
      <c r="CD358" s="87"/>
      <c r="CF358" s="67">
        <f t="shared" si="114"/>
        <v>264</v>
      </c>
      <c r="CG358" s="67">
        <f t="shared" si="101"/>
        <v>252</v>
      </c>
      <c r="CH358" s="67">
        <f t="shared" si="102"/>
        <v>252</v>
      </c>
      <c r="CI358" s="67">
        <f t="shared" si="107"/>
        <v>240</v>
      </c>
      <c r="CJ358" s="37">
        <f t="shared" si="103"/>
        <v>132</v>
      </c>
      <c r="CK358" s="37">
        <f t="shared" si="104"/>
        <v>126</v>
      </c>
      <c r="CL358" s="37">
        <f t="shared" si="105"/>
        <v>126</v>
      </c>
      <c r="CM358" s="37">
        <f t="shared" si="106"/>
        <v>120</v>
      </c>
    </row>
    <row r="359" spans="2:91" ht="25.5">
      <c r="B359" s="156">
        <v>353</v>
      </c>
      <c r="C359" s="160">
        <v>206</v>
      </c>
      <c r="D359" s="162">
        <v>372</v>
      </c>
      <c r="E359" s="161">
        <v>0.71875</v>
      </c>
      <c r="F359" s="161">
        <v>0.74652777777777779</v>
      </c>
      <c r="G359" s="160" t="s">
        <v>213</v>
      </c>
      <c r="H359" s="160" t="s">
        <v>479</v>
      </c>
      <c r="I359" s="163">
        <v>18.5</v>
      </c>
      <c r="J359" s="164" t="s">
        <v>188</v>
      </c>
      <c r="K359" s="165">
        <v>240</v>
      </c>
      <c r="L359" s="166">
        <f t="shared" si="93"/>
        <v>4440</v>
      </c>
      <c r="M359" s="177" t="s">
        <v>726</v>
      </c>
      <c r="N359" s="154" t="s">
        <v>939</v>
      </c>
      <c r="O359" s="150">
        <v>37</v>
      </c>
      <c r="P359" s="150" t="s">
        <v>943</v>
      </c>
      <c r="Q359" s="150">
        <v>48</v>
      </c>
      <c r="R359" s="268" t="s">
        <v>2061</v>
      </c>
      <c r="S359" s="269">
        <v>45</v>
      </c>
      <c r="T359" s="45">
        <v>1</v>
      </c>
      <c r="U359" s="45" t="s">
        <v>1336</v>
      </c>
      <c r="V359" s="45" t="s">
        <v>1363</v>
      </c>
      <c r="W359" s="45" t="s">
        <v>1364</v>
      </c>
      <c r="X359" s="99">
        <v>44816</v>
      </c>
      <c r="Y359" s="99">
        <v>45100</v>
      </c>
      <c r="Z359" s="99"/>
      <c r="AA359" s="99"/>
      <c r="AB359" s="45" t="s">
        <v>1124</v>
      </c>
      <c r="AC359" s="45"/>
      <c r="AD359" s="42" t="s">
        <v>734</v>
      </c>
      <c r="AE359" s="42"/>
      <c r="AF359" s="42" t="s">
        <v>734</v>
      </c>
      <c r="AG359" s="42"/>
      <c r="AH359" s="42" t="s">
        <v>734</v>
      </c>
      <c r="AI359" s="42" t="s">
        <v>734</v>
      </c>
      <c r="AJ359" s="42" t="s">
        <v>734</v>
      </c>
      <c r="AK359" s="42" t="s">
        <v>734</v>
      </c>
      <c r="AL359" s="42" t="s">
        <v>734</v>
      </c>
      <c r="AM359" s="42" t="s">
        <v>734</v>
      </c>
      <c r="AN359" s="44"/>
      <c r="AO359" s="44"/>
      <c r="AP359" s="44"/>
      <c r="AQ359" s="44"/>
      <c r="AR359" s="42"/>
      <c r="AS359" s="42"/>
      <c r="AT359" s="42"/>
      <c r="AU359" s="42"/>
      <c r="AV359" s="42"/>
      <c r="AW359" s="42"/>
      <c r="AX359" s="68">
        <v>49.94</v>
      </c>
      <c r="AY359" s="75"/>
      <c r="AZ359" s="75"/>
      <c r="BA359" s="68"/>
      <c r="BB359" s="68"/>
      <c r="BC359" s="75"/>
      <c r="BD359" s="67">
        <f t="shared" si="111"/>
        <v>11985.599999999999</v>
      </c>
      <c r="BE359" s="67"/>
      <c r="BF359" s="75"/>
      <c r="BG359" s="73">
        <v>1</v>
      </c>
      <c r="BH359" s="67">
        <f t="shared" si="108"/>
        <v>0</v>
      </c>
      <c r="BI359" s="67">
        <f t="shared" si="109"/>
        <v>0</v>
      </c>
      <c r="BJ359" s="70">
        <f t="shared" si="110"/>
        <v>0</v>
      </c>
      <c r="BN359" s="37"/>
      <c r="BO359" s="70">
        <f t="shared" si="112"/>
        <v>0</v>
      </c>
      <c r="BP359" s="37">
        <v>17</v>
      </c>
      <c r="BQ359" s="37">
        <v>26</v>
      </c>
      <c r="BR359" s="37">
        <v>25</v>
      </c>
      <c r="BS359" s="37">
        <v>25</v>
      </c>
      <c r="BT359" s="87">
        <f t="shared" si="113"/>
        <v>49.94</v>
      </c>
      <c r="BU359" s="87"/>
      <c r="BV359" s="87"/>
      <c r="BW359" s="87"/>
      <c r="BX359" s="87"/>
      <c r="BY359" s="87"/>
      <c r="BZ359" s="87"/>
      <c r="CA359" s="87"/>
      <c r="CB359" s="87"/>
      <c r="CC359" s="87"/>
      <c r="CD359" s="87"/>
      <c r="CF359" s="67">
        <f t="shared" si="114"/>
        <v>848.98</v>
      </c>
      <c r="CG359" s="67">
        <f t="shared" si="101"/>
        <v>1298.44</v>
      </c>
      <c r="CH359" s="67">
        <f t="shared" si="102"/>
        <v>1248.5</v>
      </c>
      <c r="CI359" s="67">
        <f t="shared" si="107"/>
        <v>1248.5</v>
      </c>
      <c r="CJ359" s="37">
        <f t="shared" si="103"/>
        <v>314.5</v>
      </c>
      <c r="CK359" s="37">
        <f t="shared" si="104"/>
        <v>481</v>
      </c>
      <c r="CL359" s="37">
        <f t="shared" si="105"/>
        <v>462.5</v>
      </c>
      <c r="CM359" s="37">
        <f t="shared" si="106"/>
        <v>462.5</v>
      </c>
    </row>
    <row r="360" spans="2:91" ht="33.75">
      <c r="B360" s="156">
        <v>354</v>
      </c>
      <c r="C360" s="160">
        <v>206</v>
      </c>
      <c r="D360" s="162">
        <v>128</v>
      </c>
      <c r="E360" s="161">
        <v>0.72222222222222221</v>
      </c>
      <c r="F360" s="173">
        <v>0.75069444444444444</v>
      </c>
      <c r="G360" s="160" t="s">
        <v>446</v>
      </c>
      <c r="H360" s="160" t="s">
        <v>447</v>
      </c>
      <c r="I360" s="163">
        <v>15.5</v>
      </c>
      <c r="J360" s="164" t="s">
        <v>188</v>
      </c>
      <c r="K360" s="165">
        <v>47</v>
      </c>
      <c r="L360" s="166">
        <f t="shared" si="93"/>
        <v>728.5</v>
      </c>
      <c r="M360" s="177" t="s">
        <v>726</v>
      </c>
      <c r="N360" s="154" t="s">
        <v>939</v>
      </c>
      <c r="O360" s="150">
        <v>37</v>
      </c>
      <c r="P360" s="150" t="s">
        <v>938</v>
      </c>
      <c r="Q360" s="150">
        <v>23</v>
      </c>
      <c r="R360" s="150" t="s">
        <v>941</v>
      </c>
      <c r="S360" s="152">
        <v>24</v>
      </c>
      <c r="T360" s="45">
        <v>2023</v>
      </c>
      <c r="U360" s="45" t="s">
        <v>1512</v>
      </c>
      <c r="V360" s="45">
        <v>2054</v>
      </c>
      <c r="W360" s="45" t="s">
        <v>1359</v>
      </c>
      <c r="X360" s="99">
        <v>44816</v>
      </c>
      <c r="Y360" s="99">
        <v>45100</v>
      </c>
      <c r="Z360" s="99"/>
      <c r="AA360" s="99"/>
      <c r="AB360" s="46" t="s">
        <v>1115</v>
      </c>
      <c r="AC360" s="46"/>
      <c r="AD360" s="42" t="s">
        <v>734</v>
      </c>
      <c r="AE360" s="42"/>
      <c r="AF360" s="42"/>
      <c r="AG360" s="42"/>
      <c r="AH360" s="42"/>
      <c r="AI360" s="42"/>
      <c r="AJ360" s="42"/>
      <c r="AK360" s="42"/>
      <c r="AL360" s="42"/>
      <c r="AM360" s="42"/>
      <c r="AN360" s="42" t="s">
        <v>734</v>
      </c>
      <c r="AO360" s="44"/>
      <c r="AP360" s="44"/>
      <c r="AQ360" s="44"/>
      <c r="AR360" s="42"/>
      <c r="AS360" s="42"/>
      <c r="AT360" s="42"/>
      <c r="AU360" s="42"/>
      <c r="AV360" s="42"/>
      <c r="AW360" s="42"/>
      <c r="AX360" s="68">
        <v>62.48</v>
      </c>
      <c r="AY360" s="75"/>
      <c r="AZ360" s="75"/>
      <c r="BA360" s="68"/>
      <c r="BB360" s="68"/>
      <c r="BC360" s="75"/>
      <c r="BD360" s="67">
        <f t="shared" si="111"/>
        <v>2936.56</v>
      </c>
      <c r="BE360" s="67"/>
      <c r="BF360" s="75"/>
      <c r="BG360" s="73">
        <v>1</v>
      </c>
      <c r="BH360" s="67">
        <f t="shared" si="108"/>
        <v>0</v>
      </c>
      <c r="BI360" s="67">
        <f t="shared" si="109"/>
        <v>0</v>
      </c>
      <c r="BJ360" s="70">
        <f t="shared" si="110"/>
        <v>0</v>
      </c>
      <c r="BN360" s="37"/>
      <c r="BO360" s="70">
        <f t="shared" si="112"/>
        <v>0</v>
      </c>
      <c r="BP360" s="37">
        <v>2</v>
      </c>
      <c r="BQ360" s="37">
        <v>5</v>
      </c>
      <c r="BR360" s="37">
        <v>5</v>
      </c>
      <c r="BS360" s="37">
        <v>6</v>
      </c>
      <c r="BT360" s="87">
        <f t="shared" si="113"/>
        <v>62.48</v>
      </c>
      <c r="BU360" s="87"/>
      <c r="BV360" s="87"/>
      <c r="BW360" s="87"/>
      <c r="BX360" s="87"/>
      <c r="BY360" s="87"/>
      <c r="BZ360" s="87"/>
      <c r="CA360" s="87"/>
      <c r="CB360" s="87"/>
      <c r="CC360" s="87"/>
      <c r="CD360" s="87"/>
      <c r="CF360" s="67">
        <f t="shared" si="114"/>
        <v>124.96</v>
      </c>
      <c r="CG360" s="67">
        <f t="shared" si="101"/>
        <v>312.39999999999998</v>
      </c>
      <c r="CH360" s="67">
        <f t="shared" si="102"/>
        <v>312.39999999999998</v>
      </c>
      <c r="CI360" s="67">
        <f t="shared" si="107"/>
        <v>374.88</v>
      </c>
      <c r="CJ360" s="37">
        <f t="shared" si="103"/>
        <v>31</v>
      </c>
      <c r="CK360" s="37">
        <f t="shared" si="104"/>
        <v>77.5</v>
      </c>
      <c r="CL360" s="37">
        <f t="shared" si="105"/>
        <v>77.5</v>
      </c>
      <c r="CM360" s="37">
        <f t="shared" si="106"/>
        <v>93</v>
      </c>
    </row>
    <row r="361" spans="2:91" ht="25.5">
      <c r="B361" s="156">
        <v>355</v>
      </c>
      <c r="C361" s="160">
        <v>206</v>
      </c>
      <c r="D361" s="162">
        <v>121</v>
      </c>
      <c r="E361" s="173">
        <v>0.74513888888888891</v>
      </c>
      <c r="F361" s="173">
        <v>0.74652777777777779</v>
      </c>
      <c r="G361" s="160" t="s">
        <v>216</v>
      </c>
      <c r="H361" s="160" t="s">
        <v>550</v>
      </c>
      <c r="I361" s="163">
        <v>2</v>
      </c>
      <c r="J361" s="164" t="s">
        <v>93</v>
      </c>
      <c r="K361" s="165">
        <v>13</v>
      </c>
      <c r="L361" s="166">
        <f t="shared" si="93"/>
        <v>26</v>
      </c>
      <c r="M361" s="177" t="s">
        <v>726</v>
      </c>
      <c r="N361" s="154" t="s">
        <v>941</v>
      </c>
      <c r="O361" s="154">
        <v>24</v>
      </c>
      <c r="P361" s="154" t="s">
        <v>942</v>
      </c>
      <c r="Q361" s="154">
        <v>23</v>
      </c>
      <c r="R361" s="182"/>
      <c r="S361" s="154"/>
      <c r="T361" s="45">
        <v>2024</v>
      </c>
      <c r="U361" s="45" t="s">
        <v>1510</v>
      </c>
      <c r="V361" s="45" t="s">
        <v>1363</v>
      </c>
      <c r="W361" s="45" t="s">
        <v>1364</v>
      </c>
      <c r="X361" s="99">
        <v>44562</v>
      </c>
      <c r="Y361" s="99">
        <v>44815</v>
      </c>
      <c r="Z361" s="99">
        <v>45101</v>
      </c>
      <c r="AA361" s="99">
        <v>45169</v>
      </c>
      <c r="AB361" s="36" t="s">
        <v>1116</v>
      </c>
      <c r="AC361" s="36"/>
      <c r="AD361" s="44"/>
      <c r="AE361" s="42" t="s">
        <v>734</v>
      </c>
      <c r="AF361" s="42"/>
      <c r="AG361" s="42"/>
      <c r="AH361" s="42"/>
      <c r="AI361" s="42"/>
      <c r="AJ361" s="42"/>
      <c r="AK361" s="42"/>
      <c r="AL361" s="42"/>
      <c r="AM361" s="42"/>
      <c r="AN361" s="42" t="s">
        <v>734</v>
      </c>
      <c r="AO361" s="44"/>
      <c r="AP361" s="44"/>
      <c r="AQ361" s="44"/>
      <c r="AR361" s="42"/>
      <c r="AS361" s="42"/>
      <c r="AT361" s="42"/>
      <c r="AU361" s="42"/>
      <c r="AV361" s="42"/>
      <c r="AW361" s="42"/>
      <c r="AX361" s="68">
        <v>3.6</v>
      </c>
      <c r="AY361" s="75"/>
      <c r="AZ361" s="75"/>
      <c r="BA361" s="68"/>
      <c r="BB361" s="68"/>
      <c r="BC361" s="75"/>
      <c r="BD361" s="67">
        <f t="shared" si="111"/>
        <v>46.800000000000004</v>
      </c>
      <c r="BE361" s="67"/>
      <c r="BF361" s="75"/>
      <c r="BG361" s="73">
        <v>1</v>
      </c>
      <c r="BH361" s="67">
        <f t="shared" si="108"/>
        <v>0.39999999999999991</v>
      </c>
      <c r="BI361" s="67">
        <f t="shared" si="109"/>
        <v>0</v>
      </c>
      <c r="BJ361" s="67">
        <f t="shared" si="110"/>
        <v>5.1999999999999993</v>
      </c>
      <c r="BN361" s="37"/>
      <c r="BO361" s="70">
        <f t="shared" si="112"/>
        <v>0</v>
      </c>
      <c r="BP361" s="37">
        <v>2</v>
      </c>
      <c r="BQ361" s="37">
        <v>0</v>
      </c>
      <c r="BR361" s="37">
        <v>0</v>
      </c>
      <c r="BT361" s="87">
        <f t="shared" si="113"/>
        <v>4</v>
      </c>
      <c r="BU361" s="87"/>
      <c r="BV361" s="87"/>
      <c r="BW361" s="87"/>
      <c r="BX361" s="87"/>
      <c r="BY361" s="87"/>
      <c r="BZ361" s="87"/>
      <c r="CA361" s="87"/>
      <c r="CB361" s="87"/>
      <c r="CC361" s="87"/>
      <c r="CD361" s="87"/>
      <c r="CF361" s="67">
        <f t="shared" si="114"/>
        <v>8</v>
      </c>
      <c r="CG361" s="67">
        <f t="shared" si="101"/>
        <v>0</v>
      </c>
      <c r="CH361" s="67">
        <f t="shared" si="102"/>
        <v>0</v>
      </c>
      <c r="CI361" s="67">
        <f t="shared" si="107"/>
        <v>0</v>
      </c>
      <c r="CJ361" s="37">
        <f t="shared" si="103"/>
        <v>4</v>
      </c>
      <c r="CK361" s="37">
        <f t="shared" si="104"/>
        <v>0</v>
      </c>
      <c r="CL361" s="37">
        <f t="shared" si="105"/>
        <v>0</v>
      </c>
      <c r="CM361" s="37">
        <f t="shared" si="106"/>
        <v>0</v>
      </c>
    </row>
    <row r="362" spans="2:91" ht="25.5">
      <c r="B362" s="156">
        <v>356</v>
      </c>
      <c r="C362" s="160">
        <v>206</v>
      </c>
      <c r="D362" s="162">
        <v>121</v>
      </c>
      <c r="E362" s="173">
        <v>0.74652777777777779</v>
      </c>
      <c r="F362" s="173">
        <v>0.77083333333333337</v>
      </c>
      <c r="G362" s="160" t="s">
        <v>214</v>
      </c>
      <c r="H362" s="160" t="s">
        <v>550</v>
      </c>
      <c r="I362" s="163">
        <v>16</v>
      </c>
      <c r="J362" s="164" t="s">
        <v>188</v>
      </c>
      <c r="K362" s="165">
        <v>13</v>
      </c>
      <c r="L362" s="166">
        <f t="shared" si="93"/>
        <v>208</v>
      </c>
      <c r="M362" s="177" t="s">
        <v>726</v>
      </c>
      <c r="N362" s="154" t="s">
        <v>941</v>
      </c>
      <c r="O362" s="154">
        <v>24</v>
      </c>
      <c r="P362" s="154" t="s">
        <v>942</v>
      </c>
      <c r="Q362" s="154">
        <v>23</v>
      </c>
      <c r="R362" s="182"/>
      <c r="S362" s="154"/>
      <c r="T362" s="45" t="s">
        <v>1363</v>
      </c>
      <c r="U362" s="45" t="s">
        <v>1364</v>
      </c>
      <c r="V362" s="45">
        <v>1</v>
      </c>
      <c r="W362" s="45" t="s">
        <v>1339</v>
      </c>
      <c r="X362" s="99">
        <v>44562</v>
      </c>
      <c r="Y362" s="99">
        <v>44815</v>
      </c>
      <c r="Z362" s="99">
        <v>45101</v>
      </c>
      <c r="AA362" s="99">
        <v>45169</v>
      </c>
      <c r="AB362" s="36" t="s">
        <v>1116</v>
      </c>
      <c r="AC362" s="36"/>
      <c r="AD362" s="44"/>
      <c r="AE362" s="42" t="s">
        <v>734</v>
      </c>
      <c r="AF362" s="42"/>
      <c r="AG362" s="42"/>
      <c r="AH362" s="42"/>
      <c r="AI362" s="42"/>
      <c r="AJ362" s="42"/>
      <c r="AK362" s="42"/>
      <c r="AL362" s="42"/>
      <c r="AM362" s="42"/>
      <c r="AN362" s="42" t="s">
        <v>734</v>
      </c>
      <c r="AO362" s="44"/>
      <c r="AP362" s="44"/>
      <c r="AQ362" s="44"/>
      <c r="AR362" s="42"/>
      <c r="AS362" s="42"/>
      <c r="AT362" s="42"/>
      <c r="AU362" s="42"/>
      <c r="AV362" s="42"/>
      <c r="AW362" s="42"/>
      <c r="AX362" s="68">
        <v>62.48</v>
      </c>
      <c r="AY362" s="75"/>
      <c r="AZ362" s="75"/>
      <c r="BA362" s="68"/>
      <c r="BB362" s="68"/>
      <c r="BC362" s="75"/>
      <c r="BD362" s="67">
        <f t="shared" si="111"/>
        <v>812.24</v>
      </c>
      <c r="BE362" s="67"/>
      <c r="BF362" s="75"/>
      <c r="BG362" s="73">
        <v>1</v>
      </c>
      <c r="BH362" s="67">
        <f t="shared" si="108"/>
        <v>0</v>
      </c>
      <c r="BI362" s="67">
        <f t="shared" si="109"/>
        <v>0</v>
      </c>
      <c r="BJ362" s="70">
        <f t="shared" si="110"/>
        <v>0</v>
      </c>
      <c r="BN362" s="37"/>
      <c r="BO362" s="70">
        <f t="shared" si="112"/>
        <v>0</v>
      </c>
      <c r="BP362" s="37">
        <v>2</v>
      </c>
      <c r="BQ362" s="37">
        <v>0</v>
      </c>
      <c r="BR362" s="37">
        <v>0</v>
      </c>
      <c r="BT362" s="87">
        <f t="shared" si="113"/>
        <v>62.48</v>
      </c>
      <c r="BU362" s="87"/>
      <c r="BV362" s="87"/>
      <c r="BW362" s="87"/>
      <c r="BX362" s="87"/>
      <c r="BY362" s="87"/>
      <c r="BZ362" s="87"/>
      <c r="CA362" s="87"/>
      <c r="CB362" s="87"/>
      <c r="CC362" s="87"/>
      <c r="CD362" s="87"/>
      <c r="CF362" s="67">
        <f t="shared" si="114"/>
        <v>124.96</v>
      </c>
      <c r="CG362" s="67">
        <f t="shared" si="101"/>
        <v>0</v>
      </c>
      <c r="CH362" s="67">
        <f t="shared" si="102"/>
        <v>0</v>
      </c>
      <c r="CI362" s="67">
        <f t="shared" si="107"/>
        <v>0</v>
      </c>
      <c r="CJ362" s="37">
        <f t="shared" si="103"/>
        <v>32</v>
      </c>
      <c r="CK362" s="37">
        <f t="shared" si="104"/>
        <v>0</v>
      </c>
      <c r="CL362" s="37">
        <f t="shared" si="105"/>
        <v>0</v>
      </c>
      <c r="CM362" s="37">
        <f t="shared" si="106"/>
        <v>0</v>
      </c>
    </row>
    <row r="363" spans="2:91" ht="25.5">
      <c r="B363" s="156">
        <v>357</v>
      </c>
      <c r="C363" s="160">
        <v>206</v>
      </c>
      <c r="D363" s="162">
        <v>121</v>
      </c>
      <c r="E363" s="161">
        <v>0.74652777777777779</v>
      </c>
      <c r="F363" s="161">
        <v>0.77083333333333337</v>
      </c>
      <c r="G363" s="160" t="s">
        <v>215</v>
      </c>
      <c r="H363" s="160" t="s">
        <v>479</v>
      </c>
      <c r="I363" s="163">
        <v>16</v>
      </c>
      <c r="J363" s="164" t="s">
        <v>99</v>
      </c>
      <c r="K363" s="165">
        <v>240</v>
      </c>
      <c r="L363" s="166">
        <f t="shared" si="93"/>
        <v>3840</v>
      </c>
      <c r="M363" s="167" t="s">
        <v>726</v>
      </c>
      <c r="N363" s="150" t="s">
        <v>938</v>
      </c>
      <c r="O363" s="150">
        <v>23</v>
      </c>
      <c r="P363" s="150" t="s">
        <v>942</v>
      </c>
      <c r="Q363" s="150">
        <v>23</v>
      </c>
      <c r="R363" s="150" t="s">
        <v>940</v>
      </c>
      <c r="S363" s="152">
        <v>21</v>
      </c>
      <c r="T363" s="45" t="s">
        <v>1363</v>
      </c>
      <c r="U363" s="45" t="s">
        <v>1364</v>
      </c>
      <c r="V363" s="45">
        <v>1</v>
      </c>
      <c r="W363" s="45" t="s">
        <v>1339</v>
      </c>
      <c r="X363" s="99">
        <v>44816</v>
      </c>
      <c r="Y363" s="99">
        <v>45100</v>
      </c>
      <c r="Z363" s="99"/>
      <c r="AA363" s="99"/>
      <c r="AB363" s="45" t="s">
        <v>1124</v>
      </c>
      <c r="AC363" s="45"/>
      <c r="AD363" s="42" t="s">
        <v>734</v>
      </c>
      <c r="AE363" s="42"/>
      <c r="AF363" s="42" t="s">
        <v>734</v>
      </c>
      <c r="AG363" s="42"/>
      <c r="AH363" s="42" t="s">
        <v>734</v>
      </c>
      <c r="AI363" s="42" t="s">
        <v>734</v>
      </c>
      <c r="AJ363" s="42" t="s">
        <v>734</v>
      </c>
      <c r="AK363" s="42" t="s">
        <v>734</v>
      </c>
      <c r="AL363" s="42" t="s">
        <v>734</v>
      </c>
      <c r="AM363" s="42" t="s">
        <v>734</v>
      </c>
      <c r="AN363" s="44"/>
      <c r="AO363" s="44"/>
      <c r="AP363" s="44"/>
      <c r="AQ363" s="44"/>
      <c r="AR363" s="42"/>
      <c r="AS363" s="42"/>
      <c r="AT363" s="42"/>
      <c r="AU363" s="42"/>
      <c r="AV363" s="42"/>
      <c r="AW363" s="42"/>
      <c r="AX363" s="68">
        <v>43.11</v>
      </c>
      <c r="AY363" s="75"/>
      <c r="AZ363" s="75"/>
      <c r="BA363" s="68"/>
      <c r="BB363" s="68"/>
      <c r="BC363" s="75"/>
      <c r="BD363" s="67">
        <f t="shared" si="111"/>
        <v>10346.4</v>
      </c>
      <c r="BE363" s="67"/>
      <c r="BF363" s="75"/>
      <c r="BG363" s="73">
        <v>1</v>
      </c>
      <c r="BH363" s="67">
        <f t="shared" si="108"/>
        <v>0</v>
      </c>
      <c r="BI363" s="67">
        <f t="shared" si="109"/>
        <v>0</v>
      </c>
      <c r="BJ363" s="70">
        <f t="shared" si="110"/>
        <v>0</v>
      </c>
      <c r="BN363" s="37"/>
      <c r="BO363" s="70">
        <f t="shared" si="112"/>
        <v>0</v>
      </c>
      <c r="BP363" s="37">
        <v>17</v>
      </c>
      <c r="BQ363" s="37">
        <v>26</v>
      </c>
      <c r="BR363" s="37">
        <v>25</v>
      </c>
      <c r="BS363" s="37">
        <v>25</v>
      </c>
      <c r="BT363" s="87">
        <f t="shared" si="113"/>
        <v>43.11</v>
      </c>
      <c r="BU363" s="87"/>
      <c r="BV363" s="87"/>
      <c r="BW363" s="87"/>
      <c r="BX363" s="87"/>
      <c r="BY363" s="87"/>
      <c r="BZ363" s="87"/>
      <c r="CA363" s="87"/>
      <c r="CB363" s="87"/>
      <c r="CC363" s="87"/>
      <c r="CD363" s="87"/>
      <c r="CF363" s="67">
        <f t="shared" si="114"/>
        <v>732.87</v>
      </c>
      <c r="CG363" s="67">
        <f t="shared" si="101"/>
        <v>1120.8599999999999</v>
      </c>
      <c r="CH363" s="67">
        <f t="shared" si="102"/>
        <v>1077.75</v>
      </c>
      <c r="CI363" s="67">
        <f t="shared" si="107"/>
        <v>1077.75</v>
      </c>
      <c r="CJ363" s="37">
        <f t="shared" si="103"/>
        <v>272</v>
      </c>
      <c r="CK363" s="37">
        <f t="shared" si="104"/>
        <v>416</v>
      </c>
      <c r="CL363" s="37">
        <f t="shared" si="105"/>
        <v>400</v>
      </c>
      <c r="CM363" s="37">
        <f t="shared" si="106"/>
        <v>400</v>
      </c>
    </row>
    <row r="364" spans="2:91" ht="25.5">
      <c r="B364" s="156">
        <v>358</v>
      </c>
      <c r="C364" s="160">
        <v>206</v>
      </c>
      <c r="D364" s="160">
        <v>130</v>
      </c>
      <c r="E364" s="161">
        <v>0.76041666666666663</v>
      </c>
      <c r="F364" s="161">
        <v>0.78472222222222221</v>
      </c>
      <c r="G364" s="160" t="s">
        <v>153</v>
      </c>
      <c r="H364" s="160" t="s">
        <v>425</v>
      </c>
      <c r="I364" s="163">
        <v>15</v>
      </c>
      <c r="J364" s="164" t="s">
        <v>93</v>
      </c>
      <c r="K364" s="165">
        <v>55</v>
      </c>
      <c r="L364" s="166">
        <f t="shared" si="93"/>
        <v>825</v>
      </c>
      <c r="M364" s="308" t="s">
        <v>2088</v>
      </c>
      <c r="N364" s="271" t="s">
        <v>2087</v>
      </c>
      <c r="O364" s="271">
        <v>23</v>
      </c>
      <c r="P364" s="150" t="s">
        <v>2085</v>
      </c>
      <c r="Q364" s="150">
        <v>24</v>
      </c>
      <c r="R364" s="150" t="s">
        <v>2086</v>
      </c>
      <c r="S364" s="150">
        <v>23</v>
      </c>
      <c r="T364" s="45">
        <v>1</v>
      </c>
      <c r="U364" s="45" t="s">
        <v>1336</v>
      </c>
      <c r="V364" s="45" t="s">
        <v>1363</v>
      </c>
      <c r="W364" s="45" t="s">
        <v>1364</v>
      </c>
      <c r="X364" s="99">
        <v>44562</v>
      </c>
      <c r="Y364" s="99">
        <v>44815</v>
      </c>
      <c r="Z364" s="99">
        <v>45101</v>
      </c>
      <c r="AA364" s="99">
        <v>45169</v>
      </c>
      <c r="AB364" s="41" t="s">
        <v>1121</v>
      </c>
      <c r="AC364" s="41"/>
      <c r="AD364" s="44"/>
      <c r="AE364" s="42" t="s">
        <v>734</v>
      </c>
      <c r="AF364" s="42" t="s">
        <v>734</v>
      </c>
      <c r="AG364" s="42"/>
      <c r="AH364" s="42" t="s">
        <v>734</v>
      </c>
      <c r="AI364" s="42" t="s">
        <v>734</v>
      </c>
      <c r="AJ364" s="42" t="s">
        <v>734</v>
      </c>
      <c r="AK364" s="42" t="s">
        <v>734</v>
      </c>
      <c r="AL364" s="42" t="s">
        <v>734</v>
      </c>
      <c r="AM364" s="44"/>
      <c r="AN364" s="44"/>
      <c r="AO364" s="44"/>
      <c r="AP364" s="44"/>
      <c r="AQ364" s="42"/>
      <c r="AR364" s="42"/>
      <c r="AS364" s="42"/>
      <c r="AT364" s="42"/>
      <c r="AU364" s="42"/>
      <c r="AV364" s="42"/>
      <c r="AW364" s="42"/>
      <c r="AX364" s="68">
        <v>37.5</v>
      </c>
      <c r="AY364" s="75"/>
      <c r="AZ364" s="75"/>
      <c r="BA364" s="68"/>
      <c r="BB364" s="68"/>
      <c r="BC364" s="75"/>
      <c r="BD364" s="67">
        <f t="shared" si="111"/>
        <v>2062.5</v>
      </c>
      <c r="BE364" s="67"/>
      <c r="BF364" s="75"/>
      <c r="BG364" s="73">
        <v>1</v>
      </c>
      <c r="BH364" s="67">
        <f t="shared" si="108"/>
        <v>0</v>
      </c>
      <c r="BI364" s="67">
        <f t="shared" si="109"/>
        <v>0</v>
      </c>
      <c r="BJ364" s="70">
        <f t="shared" si="110"/>
        <v>0</v>
      </c>
      <c r="BN364" s="37"/>
      <c r="BO364" s="70">
        <f t="shared" si="112"/>
        <v>0</v>
      </c>
      <c r="BP364" s="37">
        <v>7</v>
      </c>
      <c r="BQ364" s="37">
        <v>0</v>
      </c>
      <c r="BR364" s="37">
        <v>0</v>
      </c>
      <c r="BT364" s="87">
        <f t="shared" si="113"/>
        <v>37.5</v>
      </c>
      <c r="BU364" s="87"/>
      <c r="BV364" s="87"/>
      <c r="BW364" s="87"/>
      <c r="BX364" s="87"/>
      <c r="BY364" s="87"/>
      <c r="BZ364" s="87"/>
      <c r="CA364" s="87"/>
      <c r="CB364" s="87"/>
      <c r="CC364" s="87"/>
      <c r="CD364" s="87"/>
      <c r="CF364" s="67">
        <f t="shared" si="114"/>
        <v>262.5</v>
      </c>
      <c r="CG364" s="67">
        <f t="shared" si="101"/>
        <v>0</v>
      </c>
      <c r="CH364" s="67">
        <f t="shared" si="102"/>
        <v>0</v>
      </c>
      <c r="CI364" s="67">
        <f t="shared" si="107"/>
        <v>0</v>
      </c>
      <c r="CJ364" s="37">
        <f t="shared" si="103"/>
        <v>105</v>
      </c>
      <c r="CK364" s="37">
        <f t="shared" si="104"/>
        <v>0</v>
      </c>
      <c r="CL364" s="37">
        <f t="shared" si="105"/>
        <v>0</v>
      </c>
      <c r="CM364" s="37">
        <f t="shared" si="106"/>
        <v>0</v>
      </c>
    </row>
    <row r="365" spans="2:91" ht="25.5">
      <c r="B365" s="156">
        <v>359</v>
      </c>
      <c r="C365" s="160">
        <v>206</v>
      </c>
      <c r="D365" s="160">
        <v>130</v>
      </c>
      <c r="E365" s="161">
        <v>0.76041666666666663</v>
      </c>
      <c r="F365" s="161">
        <v>0.78472222222222221</v>
      </c>
      <c r="G365" s="160" t="s">
        <v>163</v>
      </c>
      <c r="H365" s="160" t="s">
        <v>103</v>
      </c>
      <c r="I365" s="163">
        <v>16</v>
      </c>
      <c r="J365" s="164" t="s">
        <v>93</v>
      </c>
      <c r="K365" s="165">
        <v>174</v>
      </c>
      <c r="L365" s="166">
        <f t="shared" si="93"/>
        <v>2784</v>
      </c>
      <c r="M365" s="308" t="s">
        <v>2088</v>
      </c>
      <c r="N365" s="271" t="s">
        <v>2087</v>
      </c>
      <c r="O365" s="271">
        <v>23</v>
      </c>
      <c r="P365" s="150" t="s">
        <v>2085</v>
      </c>
      <c r="Q365" s="150">
        <v>24</v>
      </c>
      <c r="R365" s="150" t="s">
        <v>2086</v>
      </c>
      <c r="S365" s="150">
        <v>23</v>
      </c>
      <c r="T365" s="45">
        <v>1</v>
      </c>
      <c r="U365" s="45" t="s">
        <v>1336</v>
      </c>
      <c r="V365" s="45" t="s">
        <v>1363</v>
      </c>
      <c r="W365" s="45" t="s">
        <v>1364</v>
      </c>
      <c r="X365" s="98">
        <v>44816</v>
      </c>
      <c r="Y365" s="98">
        <v>45086</v>
      </c>
      <c r="Z365" s="98"/>
      <c r="AA365" s="98"/>
      <c r="AB365" s="41" t="s">
        <v>1114</v>
      </c>
      <c r="AC365" s="41"/>
      <c r="AD365" s="44"/>
      <c r="AE365" s="44"/>
      <c r="AF365" s="44"/>
      <c r="AG365" s="42" t="s">
        <v>734</v>
      </c>
      <c r="AH365" s="42" t="s">
        <v>734</v>
      </c>
      <c r="AI365" s="42" t="s">
        <v>734</v>
      </c>
      <c r="AJ365" s="42" t="s">
        <v>734</v>
      </c>
      <c r="AK365" s="42" t="s">
        <v>734</v>
      </c>
      <c r="AL365" s="42" t="s">
        <v>734</v>
      </c>
      <c r="AM365" s="44"/>
      <c r="AN365" s="44"/>
      <c r="AO365" s="44"/>
      <c r="AP365" s="44"/>
      <c r="AQ365" s="44"/>
      <c r="AR365" s="42"/>
      <c r="AS365" s="42"/>
      <c r="AT365" s="42"/>
      <c r="AU365" s="42"/>
      <c r="AV365" s="42"/>
      <c r="AW365" s="44"/>
      <c r="AX365" s="68">
        <v>39.46</v>
      </c>
      <c r="AY365" s="75"/>
      <c r="AZ365" s="75"/>
      <c r="BA365" s="68"/>
      <c r="BB365" s="68"/>
      <c r="BC365" s="75"/>
      <c r="BD365" s="67">
        <f t="shared" si="111"/>
        <v>6866.04</v>
      </c>
      <c r="BE365" s="67"/>
      <c r="BF365" s="75"/>
      <c r="BG365" s="73">
        <v>1</v>
      </c>
      <c r="BH365" s="67">
        <f t="shared" si="108"/>
        <v>0</v>
      </c>
      <c r="BI365" s="67">
        <f t="shared" si="109"/>
        <v>0</v>
      </c>
      <c r="BJ365" s="70">
        <f t="shared" si="110"/>
        <v>0</v>
      </c>
      <c r="BN365" s="37"/>
      <c r="BO365" s="70">
        <f t="shared" si="112"/>
        <v>0</v>
      </c>
      <c r="BP365" s="37">
        <v>15</v>
      </c>
      <c r="BQ365" s="37">
        <v>20</v>
      </c>
      <c r="BR365" s="37">
        <v>21</v>
      </c>
      <c r="BS365" s="37">
        <v>15</v>
      </c>
      <c r="BT365" s="87">
        <f t="shared" si="113"/>
        <v>39.46</v>
      </c>
      <c r="BU365" s="87"/>
      <c r="BV365" s="87"/>
      <c r="BW365" s="87"/>
      <c r="BX365" s="87"/>
      <c r="BY365" s="87"/>
      <c r="BZ365" s="87"/>
      <c r="CA365" s="87"/>
      <c r="CB365" s="87"/>
      <c r="CC365" s="87"/>
      <c r="CD365" s="87"/>
      <c r="CF365" s="67">
        <f t="shared" si="114"/>
        <v>591.9</v>
      </c>
      <c r="CG365" s="67">
        <f t="shared" si="101"/>
        <v>789.2</v>
      </c>
      <c r="CH365" s="67">
        <f t="shared" si="102"/>
        <v>828.66</v>
      </c>
      <c r="CI365" s="67">
        <f t="shared" si="107"/>
        <v>591.9</v>
      </c>
      <c r="CJ365" s="37">
        <f t="shared" si="103"/>
        <v>240</v>
      </c>
      <c r="CK365" s="37">
        <f t="shared" si="104"/>
        <v>320</v>
      </c>
      <c r="CL365" s="37">
        <f t="shared" si="105"/>
        <v>336</v>
      </c>
      <c r="CM365" s="37">
        <f t="shared" si="106"/>
        <v>240</v>
      </c>
    </row>
    <row r="366" spans="2:91" ht="25.5">
      <c r="B366" s="156">
        <v>360</v>
      </c>
      <c r="C366" s="160">
        <v>206</v>
      </c>
      <c r="D366" s="162">
        <v>132</v>
      </c>
      <c r="E366" s="161">
        <v>0.77430555555555547</v>
      </c>
      <c r="F366" s="161">
        <v>0.80208333333333337</v>
      </c>
      <c r="G366" s="160" t="s">
        <v>688</v>
      </c>
      <c r="H366" s="160" t="s">
        <v>18</v>
      </c>
      <c r="I366" s="163">
        <v>16</v>
      </c>
      <c r="J366" s="164" t="s">
        <v>99</v>
      </c>
      <c r="K366" s="165">
        <v>304</v>
      </c>
      <c r="L366" s="166">
        <f t="shared" si="93"/>
        <v>4864</v>
      </c>
      <c r="M366" s="167" t="s">
        <v>726</v>
      </c>
      <c r="N366" s="150" t="s">
        <v>938</v>
      </c>
      <c r="O366" s="150">
        <v>23</v>
      </c>
      <c r="P366" s="150" t="s">
        <v>942</v>
      </c>
      <c r="Q366" s="150">
        <v>23</v>
      </c>
      <c r="R366" s="150" t="s">
        <v>943</v>
      </c>
      <c r="S366" s="152">
        <v>48</v>
      </c>
      <c r="T366" s="45">
        <v>1</v>
      </c>
      <c r="U366" s="45" t="s">
        <v>1336</v>
      </c>
      <c r="V366" s="45" t="s">
        <v>1363</v>
      </c>
      <c r="W366" s="45" t="s">
        <v>1364</v>
      </c>
      <c r="X366" s="98">
        <v>44805</v>
      </c>
      <c r="Y366" s="98">
        <v>45169</v>
      </c>
      <c r="Z366" s="98"/>
      <c r="AA366" s="98"/>
      <c r="AB366" s="42" t="s">
        <v>1125</v>
      </c>
      <c r="AC366" s="42"/>
      <c r="AD366" s="42" t="s">
        <v>734</v>
      </c>
      <c r="AE366" s="42" t="s">
        <v>734</v>
      </c>
      <c r="AF366" s="42" t="s">
        <v>734</v>
      </c>
      <c r="AG366" s="42"/>
      <c r="AH366" s="42" t="s">
        <v>734</v>
      </c>
      <c r="AI366" s="42" t="s">
        <v>734</v>
      </c>
      <c r="AJ366" s="42" t="s">
        <v>734</v>
      </c>
      <c r="AK366" s="42" t="s">
        <v>734</v>
      </c>
      <c r="AL366" s="42" t="s">
        <v>734</v>
      </c>
      <c r="AM366" s="42" t="s">
        <v>734</v>
      </c>
      <c r="AN366" s="44"/>
      <c r="AO366" s="44"/>
      <c r="AP366" s="44"/>
      <c r="AQ366" s="42"/>
      <c r="AR366" s="42"/>
      <c r="AS366" s="42"/>
      <c r="AT366" s="42"/>
      <c r="AU366" s="42"/>
      <c r="AV366" s="42"/>
      <c r="AW366" s="42"/>
      <c r="AX366" s="68">
        <v>47.34</v>
      </c>
      <c r="AY366" s="75"/>
      <c r="AZ366" s="75"/>
      <c r="BA366" s="68"/>
      <c r="BB366" s="68"/>
      <c r="BC366" s="75"/>
      <c r="BD366" s="67">
        <f t="shared" si="111"/>
        <v>14391.36</v>
      </c>
      <c r="BE366" s="67"/>
      <c r="BF366" s="75"/>
      <c r="BG366" s="73">
        <v>1</v>
      </c>
      <c r="BH366" s="67">
        <f t="shared" si="108"/>
        <v>0</v>
      </c>
      <c r="BI366" s="67">
        <f t="shared" si="109"/>
        <v>0</v>
      </c>
      <c r="BJ366" s="70">
        <f t="shared" si="110"/>
        <v>0</v>
      </c>
      <c r="BN366" s="37"/>
      <c r="BO366" s="70">
        <f t="shared" si="112"/>
        <v>0</v>
      </c>
      <c r="BP366" s="37">
        <v>26</v>
      </c>
      <c r="BQ366" s="37">
        <v>26</v>
      </c>
      <c r="BR366" s="37">
        <v>25</v>
      </c>
      <c r="BS366" s="37">
        <v>25</v>
      </c>
      <c r="BT366" s="87">
        <f t="shared" si="113"/>
        <v>47.34</v>
      </c>
      <c r="BU366" s="87"/>
      <c r="BV366" s="87"/>
      <c r="BW366" s="87"/>
      <c r="BX366" s="87"/>
      <c r="BY366" s="87"/>
      <c r="BZ366" s="87"/>
      <c r="CA366" s="87"/>
      <c r="CB366" s="87"/>
      <c r="CC366" s="87"/>
      <c r="CD366" s="87"/>
      <c r="CF366" s="67">
        <f t="shared" si="114"/>
        <v>1230.8400000000001</v>
      </c>
      <c r="CG366" s="67">
        <f t="shared" si="101"/>
        <v>1230.8400000000001</v>
      </c>
      <c r="CH366" s="67">
        <f t="shared" si="102"/>
        <v>1183.5</v>
      </c>
      <c r="CI366" s="67">
        <f t="shared" si="107"/>
        <v>1183.5</v>
      </c>
      <c r="CJ366" s="37">
        <f t="shared" si="103"/>
        <v>416</v>
      </c>
      <c r="CK366" s="37">
        <f t="shared" si="104"/>
        <v>416</v>
      </c>
      <c r="CL366" s="37">
        <f t="shared" si="105"/>
        <v>400</v>
      </c>
      <c r="CM366" s="37">
        <f t="shared" si="106"/>
        <v>400</v>
      </c>
    </row>
    <row r="367" spans="2:91" ht="25.5">
      <c r="B367" s="156">
        <v>361</v>
      </c>
      <c r="C367" s="160">
        <v>206</v>
      </c>
      <c r="D367" s="160">
        <v>123</v>
      </c>
      <c r="E367" s="161">
        <v>0.78472222222222221</v>
      </c>
      <c r="F367" s="161">
        <v>0.80902777777777779</v>
      </c>
      <c r="G367" s="174" t="s">
        <v>1046</v>
      </c>
      <c r="H367" s="160" t="s">
        <v>103</v>
      </c>
      <c r="I367" s="163">
        <v>16</v>
      </c>
      <c r="J367" s="164" t="s">
        <v>93</v>
      </c>
      <c r="K367" s="165">
        <v>174</v>
      </c>
      <c r="L367" s="166">
        <f t="shared" si="93"/>
        <v>2784</v>
      </c>
      <c r="M367" s="308" t="s">
        <v>2088</v>
      </c>
      <c r="N367" s="271" t="s">
        <v>2087</v>
      </c>
      <c r="O367" s="271">
        <v>23</v>
      </c>
      <c r="P367" s="150" t="s">
        <v>2085</v>
      </c>
      <c r="Q367" s="150">
        <v>24</v>
      </c>
      <c r="R367" s="150" t="s">
        <v>2086</v>
      </c>
      <c r="S367" s="150">
        <v>23</v>
      </c>
      <c r="T367" s="45" t="s">
        <v>1363</v>
      </c>
      <c r="U367" s="45" t="s">
        <v>1364</v>
      </c>
      <c r="V367" s="45">
        <v>1</v>
      </c>
      <c r="W367" s="45" t="s">
        <v>1339</v>
      </c>
      <c r="X367" s="98">
        <v>44816</v>
      </c>
      <c r="Y367" s="98">
        <v>45086</v>
      </c>
      <c r="Z367" s="98"/>
      <c r="AA367" s="98"/>
      <c r="AB367" s="41" t="s">
        <v>1114</v>
      </c>
      <c r="AC367" s="41"/>
      <c r="AD367" s="42"/>
      <c r="AE367" s="42"/>
      <c r="AF367" s="42"/>
      <c r="AG367" s="42" t="s">
        <v>734</v>
      </c>
      <c r="AH367" s="42" t="s">
        <v>734</v>
      </c>
      <c r="AI367" s="42" t="s">
        <v>734</v>
      </c>
      <c r="AJ367" s="42" t="s">
        <v>734</v>
      </c>
      <c r="AK367" s="42" t="s">
        <v>734</v>
      </c>
      <c r="AL367" s="42" t="s">
        <v>734</v>
      </c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68">
        <v>39.46</v>
      </c>
      <c r="AY367" s="37"/>
      <c r="BA367" s="68"/>
      <c r="BB367" s="68"/>
      <c r="BD367" s="67">
        <f t="shared" si="111"/>
        <v>6866.04</v>
      </c>
      <c r="BE367" s="67"/>
      <c r="BF367" s="37"/>
      <c r="BG367" s="73">
        <v>1</v>
      </c>
      <c r="BH367" s="67">
        <f t="shared" si="108"/>
        <v>0</v>
      </c>
      <c r="BI367" s="67">
        <f t="shared" si="109"/>
        <v>0</v>
      </c>
      <c r="BJ367" s="70">
        <f t="shared" si="110"/>
        <v>0</v>
      </c>
      <c r="BN367" s="37"/>
      <c r="BO367" s="70">
        <f t="shared" si="112"/>
        <v>0</v>
      </c>
      <c r="BP367" s="37">
        <v>15</v>
      </c>
      <c r="BQ367" s="37">
        <v>20</v>
      </c>
      <c r="BR367" s="37">
        <v>21</v>
      </c>
      <c r="BS367" s="37">
        <v>15</v>
      </c>
      <c r="BT367" s="87">
        <f t="shared" si="113"/>
        <v>39.46</v>
      </c>
      <c r="BU367" s="87"/>
      <c r="BV367" s="87"/>
      <c r="BW367" s="87"/>
      <c r="BX367" s="87"/>
      <c r="BY367" s="87"/>
      <c r="BZ367" s="87"/>
      <c r="CA367" s="87"/>
      <c r="CB367" s="87"/>
      <c r="CC367" s="87"/>
      <c r="CD367" s="87"/>
      <c r="CF367" s="67">
        <f t="shared" si="114"/>
        <v>591.9</v>
      </c>
      <c r="CG367" s="67">
        <f t="shared" si="101"/>
        <v>789.2</v>
      </c>
      <c r="CH367" s="67">
        <f t="shared" si="102"/>
        <v>828.66</v>
      </c>
      <c r="CI367" s="67">
        <f t="shared" si="107"/>
        <v>591.9</v>
      </c>
      <c r="CJ367" s="37">
        <f t="shared" si="103"/>
        <v>240</v>
      </c>
      <c r="CK367" s="37">
        <f t="shared" si="104"/>
        <v>320</v>
      </c>
      <c r="CL367" s="37">
        <f t="shared" si="105"/>
        <v>336</v>
      </c>
      <c r="CM367" s="37">
        <f t="shared" si="106"/>
        <v>240</v>
      </c>
    </row>
    <row r="368" spans="2:91" ht="25.5">
      <c r="B368" s="156">
        <v>362</v>
      </c>
      <c r="C368" s="160">
        <v>206</v>
      </c>
      <c r="D368" s="160">
        <v>123</v>
      </c>
      <c r="E368" s="161">
        <v>0.78472222222222221</v>
      </c>
      <c r="F368" s="161">
        <v>0.80902777777777779</v>
      </c>
      <c r="G368" s="160" t="s">
        <v>152</v>
      </c>
      <c r="H368" s="160" t="s">
        <v>425</v>
      </c>
      <c r="I368" s="163">
        <v>15</v>
      </c>
      <c r="J368" s="164" t="s">
        <v>93</v>
      </c>
      <c r="K368" s="165">
        <v>55</v>
      </c>
      <c r="L368" s="166">
        <f t="shared" si="93"/>
        <v>825</v>
      </c>
      <c r="M368" s="308" t="s">
        <v>2088</v>
      </c>
      <c r="N368" s="271" t="s">
        <v>2087</v>
      </c>
      <c r="O368" s="271">
        <v>23</v>
      </c>
      <c r="P368" s="150" t="s">
        <v>2085</v>
      </c>
      <c r="Q368" s="150">
        <v>24</v>
      </c>
      <c r="R368" s="150" t="s">
        <v>2086</v>
      </c>
      <c r="S368" s="150">
        <v>23</v>
      </c>
      <c r="T368" s="45" t="s">
        <v>1363</v>
      </c>
      <c r="U368" s="45" t="s">
        <v>1364</v>
      </c>
      <c r="V368" s="45">
        <v>1</v>
      </c>
      <c r="W368" s="45" t="s">
        <v>1339</v>
      </c>
      <c r="X368" s="99">
        <v>44562</v>
      </c>
      <c r="Y368" s="99">
        <v>44815</v>
      </c>
      <c r="Z368" s="99">
        <v>45101</v>
      </c>
      <c r="AA368" s="99">
        <v>45169</v>
      </c>
      <c r="AB368" s="41" t="s">
        <v>1121</v>
      </c>
      <c r="AC368" s="41"/>
      <c r="AD368" s="42"/>
      <c r="AE368" s="42" t="s">
        <v>734</v>
      </c>
      <c r="AF368" s="42" t="s">
        <v>734</v>
      </c>
      <c r="AG368" s="42"/>
      <c r="AH368" s="42" t="s">
        <v>734</v>
      </c>
      <c r="AI368" s="42" t="s">
        <v>734</v>
      </c>
      <c r="AJ368" s="42" t="s">
        <v>734</v>
      </c>
      <c r="AK368" s="42" t="s">
        <v>734</v>
      </c>
      <c r="AL368" s="42" t="s">
        <v>734</v>
      </c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68">
        <v>37.5</v>
      </c>
      <c r="AY368" s="37"/>
      <c r="BA368" s="68"/>
      <c r="BB368" s="68"/>
      <c r="BD368" s="67">
        <f t="shared" si="111"/>
        <v>2062.5</v>
      </c>
      <c r="BE368" s="67"/>
      <c r="BF368" s="37"/>
      <c r="BG368" s="73">
        <v>1</v>
      </c>
      <c r="BH368" s="67">
        <f t="shared" si="108"/>
        <v>0</v>
      </c>
      <c r="BI368" s="67">
        <f t="shared" si="109"/>
        <v>0</v>
      </c>
      <c r="BJ368" s="70">
        <f t="shared" si="110"/>
        <v>0</v>
      </c>
      <c r="BN368" s="37"/>
      <c r="BO368" s="70">
        <f t="shared" si="112"/>
        <v>0</v>
      </c>
      <c r="BP368" s="37">
        <v>7</v>
      </c>
      <c r="BQ368" s="37">
        <v>0</v>
      </c>
      <c r="BR368" s="37">
        <v>0</v>
      </c>
      <c r="BT368" s="87">
        <f t="shared" si="113"/>
        <v>37.5</v>
      </c>
      <c r="BU368" s="87"/>
      <c r="BV368" s="87"/>
      <c r="BW368" s="87"/>
      <c r="BX368" s="87"/>
      <c r="BY368" s="87"/>
      <c r="BZ368" s="87"/>
      <c r="CA368" s="87"/>
      <c r="CB368" s="87"/>
      <c r="CC368" s="87"/>
      <c r="CD368" s="87"/>
      <c r="CF368" s="67">
        <f t="shared" si="114"/>
        <v>262.5</v>
      </c>
      <c r="CG368" s="67">
        <f t="shared" si="101"/>
        <v>0</v>
      </c>
      <c r="CH368" s="67">
        <f t="shared" si="102"/>
        <v>0</v>
      </c>
      <c r="CI368" s="67">
        <f t="shared" si="107"/>
        <v>0</v>
      </c>
      <c r="CJ368" s="37">
        <f t="shared" si="103"/>
        <v>105</v>
      </c>
      <c r="CK368" s="37">
        <f t="shared" si="104"/>
        <v>0</v>
      </c>
      <c r="CL368" s="37">
        <f t="shared" si="105"/>
        <v>0</v>
      </c>
      <c r="CM368" s="37">
        <f t="shared" si="106"/>
        <v>0</v>
      </c>
    </row>
    <row r="369" spans="1:91" ht="25.5">
      <c r="B369" s="156">
        <v>363</v>
      </c>
      <c r="C369" s="160">
        <v>206</v>
      </c>
      <c r="D369" s="160">
        <v>134</v>
      </c>
      <c r="E369" s="161">
        <v>0.8125</v>
      </c>
      <c r="F369" s="161">
        <v>0.83680555555555547</v>
      </c>
      <c r="G369" s="160" t="s">
        <v>163</v>
      </c>
      <c r="H369" s="160" t="s">
        <v>103</v>
      </c>
      <c r="I369" s="163">
        <v>16</v>
      </c>
      <c r="J369" s="164" t="s">
        <v>93</v>
      </c>
      <c r="K369" s="165">
        <v>174</v>
      </c>
      <c r="L369" s="166">
        <f t="shared" si="93"/>
        <v>2784</v>
      </c>
      <c r="M369" s="308" t="s">
        <v>2088</v>
      </c>
      <c r="N369" s="271" t="s">
        <v>2087</v>
      </c>
      <c r="O369" s="271">
        <v>23</v>
      </c>
      <c r="P369" s="150" t="s">
        <v>2085</v>
      </c>
      <c r="Q369" s="150">
        <v>24</v>
      </c>
      <c r="R369" s="150" t="s">
        <v>2086</v>
      </c>
      <c r="S369" s="150">
        <v>23</v>
      </c>
      <c r="T369" s="45">
        <v>1</v>
      </c>
      <c r="U369" s="45" t="s">
        <v>1336</v>
      </c>
      <c r="V369" s="45" t="s">
        <v>1363</v>
      </c>
      <c r="W369" s="45" t="s">
        <v>1364</v>
      </c>
      <c r="X369" s="98">
        <v>44816</v>
      </c>
      <c r="Y369" s="98">
        <v>45086</v>
      </c>
      <c r="Z369" s="98"/>
      <c r="AA369" s="98"/>
      <c r="AB369" s="41" t="s">
        <v>1114</v>
      </c>
      <c r="AC369" s="41"/>
      <c r="AD369" s="42"/>
      <c r="AE369" s="42"/>
      <c r="AF369" s="42"/>
      <c r="AG369" s="42" t="s">
        <v>734</v>
      </c>
      <c r="AH369" s="42" t="s">
        <v>734</v>
      </c>
      <c r="AI369" s="42" t="s">
        <v>734</v>
      </c>
      <c r="AJ369" s="42" t="s">
        <v>734</v>
      </c>
      <c r="AK369" s="42" t="s">
        <v>734</v>
      </c>
      <c r="AL369" s="42" t="s">
        <v>734</v>
      </c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68">
        <v>39.46</v>
      </c>
      <c r="AY369" s="37"/>
      <c r="BA369" s="68"/>
      <c r="BB369" s="68"/>
      <c r="BD369" s="67">
        <f t="shared" si="111"/>
        <v>6866.04</v>
      </c>
      <c r="BE369" s="67"/>
      <c r="BF369" s="37"/>
      <c r="BG369" s="73">
        <v>1</v>
      </c>
      <c r="BH369" s="67">
        <f t="shared" ref="BH369:BH390" si="115">IF(AND((AX369/I369)&lt;2,BG369=1),(I369*2)-AX369,0)</f>
        <v>0</v>
      </c>
      <c r="BI369" s="67">
        <f t="shared" ref="BI369:BI390" si="116">IF(AND((AX369/I369)&lt;3,BG369=2),(I369*3)-AX369,0)</f>
        <v>0</v>
      </c>
      <c r="BJ369" s="70">
        <f t="shared" ref="BJ369:BJ390" si="117">(BH369+BI369)*K369</f>
        <v>0</v>
      </c>
      <c r="BN369" s="37"/>
      <c r="BO369" s="70">
        <f t="shared" si="112"/>
        <v>0</v>
      </c>
      <c r="BP369" s="37">
        <v>15</v>
      </c>
      <c r="BQ369" s="37">
        <v>20</v>
      </c>
      <c r="BR369" s="37">
        <v>21</v>
      </c>
      <c r="BS369" s="37">
        <v>15</v>
      </c>
      <c r="BT369" s="87">
        <f t="shared" si="113"/>
        <v>39.46</v>
      </c>
      <c r="BU369" s="87"/>
      <c r="BV369" s="87"/>
      <c r="BW369" s="87"/>
      <c r="BX369" s="87"/>
      <c r="BY369" s="87"/>
      <c r="BZ369" s="87"/>
      <c r="CA369" s="87"/>
      <c r="CB369" s="87"/>
      <c r="CC369" s="87"/>
      <c r="CD369" s="87"/>
      <c r="CF369" s="67">
        <f t="shared" si="114"/>
        <v>591.9</v>
      </c>
      <c r="CG369" s="67">
        <f t="shared" si="101"/>
        <v>789.2</v>
      </c>
      <c r="CH369" s="67">
        <f t="shared" si="102"/>
        <v>828.66</v>
      </c>
      <c r="CI369" s="67">
        <f t="shared" si="107"/>
        <v>591.9</v>
      </c>
      <c r="CJ369" s="37">
        <f t="shared" si="103"/>
        <v>240</v>
      </c>
      <c r="CK369" s="37">
        <f t="shared" si="104"/>
        <v>320</v>
      </c>
      <c r="CL369" s="37">
        <f t="shared" si="105"/>
        <v>336</v>
      </c>
      <c r="CM369" s="37">
        <f t="shared" si="106"/>
        <v>240</v>
      </c>
    </row>
    <row r="370" spans="1:91" ht="25.5">
      <c r="B370" s="156">
        <v>364</v>
      </c>
      <c r="C370" s="160">
        <v>206</v>
      </c>
      <c r="D370" s="160">
        <v>134</v>
      </c>
      <c r="E370" s="161">
        <v>0.8125</v>
      </c>
      <c r="F370" s="161">
        <v>0.83680555555555547</v>
      </c>
      <c r="G370" s="160" t="s">
        <v>163</v>
      </c>
      <c r="H370" s="160" t="s">
        <v>161</v>
      </c>
      <c r="I370" s="163">
        <v>16</v>
      </c>
      <c r="J370" s="164" t="s">
        <v>93</v>
      </c>
      <c r="K370" s="165">
        <v>38</v>
      </c>
      <c r="L370" s="166">
        <f t="shared" si="93"/>
        <v>608</v>
      </c>
      <c r="M370" s="308" t="s">
        <v>2088</v>
      </c>
      <c r="N370" s="271" t="s">
        <v>2087</v>
      </c>
      <c r="O370" s="271">
        <v>23</v>
      </c>
      <c r="P370" s="150" t="s">
        <v>2085</v>
      </c>
      <c r="Q370" s="150">
        <v>24</v>
      </c>
      <c r="R370" s="150" t="s">
        <v>2086</v>
      </c>
      <c r="S370" s="150">
        <v>23</v>
      </c>
      <c r="T370" s="45">
        <v>1</v>
      </c>
      <c r="U370" s="45" t="s">
        <v>1336</v>
      </c>
      <c r="V370" s="45" t="s">
        <v>1363</v>
      </c>
      <c r="W370" s="45" t="s">
        <v>1364</v>
      </c>
      <c r="X370" s="99">
        <v>44816</v>
      </c>
      <c r="Y370" s="99">
        <v>45100</v>
      </c>
      <c r="Z370" s="99"/>
      <c r="AA370" s="99"/>
      <c r="AB370" s="41" t="s">
        <v>1140</v>
      </c>
      <c r="AC370" s="41"/>
      <c r="AD370" s="42" t="s">
        <v>734</v>
      </c>
      <c r="AE370" s="42"/>
      <c r="AF370" s="42" t="s">
        <v>734</v>
      </c>
      <c r="AG370" s="42"/>
      <c r="AH370" s="42"/>
      <c r="AI370" s="42"/>
      <c r="AJ370" s="42"/>
      <c r="AK370" s="42"/>
      <c r="AL370" s="42"/>
      <c r="AM370" s="42" t="s">
        <v>734</v>
      </c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68">
        <v>75.33</v>
      </c>
      <c r="AY370" s="37"/>
      <c r="BA370" s="68"/>
      <c r="BB370" s="68"/>
      <c r="BD370" s="67">
        <f t="shared" si="111"/>
        <v>2862.54</v>
      </c>
      <c r="BE370" s="67"/>
      <c r="BF370" s="37"/>
      <c r="BG370" s="73">
        <v>1</v>
      </c>
      <c r="BH370" s="67">
        <f t="shared" si="115"/>
        <v>0</v>
      </c>
      <c r="BI370" s="67">
        <f t="shared" si="116"/>
        <v>0</v>
      </c>
      <c r="BJ370" s="70">
        <f t="shared" si="117"/>
        <v>0</v>
      </c>
      <c r="BN370" s="37"/>
      <c r="BO370" s="70">
        <f t="shared" si="112"/>
        <v>0</v>
      </c>
      <c r="BP370" s="37">
        <v>2</v>
      </c>
      <c r="BQ370" s="37">
        <v>5</v>
      </c>
      <c r="BR370" s="37">
        <v>4</v>
      </c>
      <c r="BS370" s="37">
        <v>5</v>
      </c>
      <c r="BT370" s="87">
        <f t="shared" si="113"/>
        <v>75.33</v>
      </c>
      <c r="BU370" s="87"/>
      <c r="BV370" s="87"/>
      <c r="BW370" s="87"/>
      <c r="BX370" s="87"/>
      <c r="BY370" s="87"/>
      <c r="BZ370" s="87"/>
      <c r="CA370" s="87"/>
      <c r="CB370" s="87"/>
      <c r="CC370" s="87"/>
      <c r="CD370" s="87"/>
      <c r="CF370" s="67">
        <f t="shared" si="114"/>
        <v>150.66</v>
      </c>
      <c r="CG370" s="67">
        <f t="shared" si="101"/>
        <v>376.65</v>
      </c>
      <c r="CH370" s="67">
        <f t="shared" si="102"/>
        <v>301.32</v>
      </c>
      <c r="CI370" s="67">
        <f t="shared" si="107"/>
        <v>376.65</v>
      </c>
      <c r="CJ370" s="37">
        <f t="shared" si="103"/>
        <v>32</v>
      </c>
      <c r="CK370" s="37">
        <f t="shared" si="104"/>
        <v>80</v>
      </c>
      <c r="CL370" s="37">
        <f t="shared" si="105"/>
        <v>64</v>
      </c>
      <c r="CM370" s="37">
        <f t="shared" si="106"/>
        <v>80</v>
      </c>
    </row>
    <row r="371" spans="1:91" ht="25.5">
      <c r="B371" s="156">
        <v>365</v>
      </c>
      <c r="C371" s="160">
        <v>208</v>
      </c>
      <c r="D371" s="164">
        <v>551</v>
      </c>
      <c r="E371" s="173">
        <v>0.25694444444444448</v>
      </c>
      <c r="F371" s="173">
        <v>0.27291666666666664</v>
      </c>
      <c r="G371" s="160" t="s">
        <v>281</v>
      </c>
      <c r="H371" s="160" t="s">
        <v>103</v>
      </c>
      <c r="I371" s="163">
        <v>11.5</v>
      </c>
      <c r="J371" s="164" t="s">
        <v>269</v>
      </c>
      <c r="K371" s="165">
        <v>174</v>
      </c>
      <c r="L371" s="166">
        <f t="shared" si="93"/>
        <v>2001</v>
      </c>
      <c r="M371" s="177" t="s">
        <v>744</v>
      </c>
      <c r="N371" s="150" t="s">
        <v>979</v>
      </c>
      <c r="O371" s="150">
        <v>25</v>
      </c>
      <c r="P371" s="150" t="s">
        <v>802</v>
      </c>
      <c r="Q371" s="150">
        <v>29</v>
      </c>
      <c r="R371" s="154" t="s">
        <v>1266</v>
      </c>
      <c r="S371" s="150">
        <v>37</v>
      </c>
      <c r="T371" s="45" t="s">
        <v>1514</v>
      </c>
      <c r="U371" s="45" t="s">
        <v>1515</v>
      </c>
      <c r="V371" s="45">
        <v>2180</v>
      </c>
      <c r="W371" s="45" t="s">
        <v>1483</v>
      </c>
      <c r="X371" s="98">
        <v>44816</v>
      </c>
      <c r="Y371" s="98">
        <v>45086</v>
      </c>
      <c r="Z371" s="98"/>
      <c r="AA371" s="98"/>
      <c r="AB371" s="41" t="s">
        <v>1114</v>
      </c>
      <c r="AC371" s="41"/>
      <c r="AD371" s="42"/>
      <c r="AE371" s="42"/>
      <c r="AF371" s="42"/>
      <c r="AG371" s="42" t="s">
        <v>734</v>
      </c>
      <c r="AH371" s="42" t="s">
        <v>734</v>
      </c>
      <c r="AI371" s="42" t="s">
        <v>734</v>
      </c>
      <c r="AJ371" s="42" t="s">
        <v>734</v>
      </c>
      <c r="AK371" s="42" t="s">
        <v>734</v>
      </c>
      <c r="AL371" s="42" t="s">
        <v>734</v>
      </c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68">
        <v>28.75</v>
      </c>
      <c r="AY371" s="37"/>
      <c r="BA371" s="68"/>
      <c r="BB371" s="68"/>
      <c r="BD371" s="67">
        <f t="shared" si="111"/>
        <v>5002.5</v>
      </c>
      <c r="BE371" s="67"/>
      <c r="BF371" s="37"/>
      <c r="BG371" s="73">
        <v>1</v>
      </c>
      <c r="BH371" s="67">
        <f t="shared" si="115"/>
        <v>0</v>
      </c>
      <c r="BI371" s="67">
        <f t="shared" si="116"/>
        <v>0</v>
      </c>
      <c r="BJ371" s="70">
        <f t="shared" si="117"/>
        <v>0</v>
      </c>
      <c r="BN371" s="67">
        <f>IF((AX371+AY371+AZ371)&lt;20,(20-(AX371+AY371+AZ371)),0)</f>
        <v>0</v>
      </c>
      <c r="BO371" s="70">
        <f t="shared" si="112"/>
        <v>0</v>
      </c>
      <c r="BP371" s="37">
        <v>15</v>
      </c>
      <c r="BQ371" s="37">
        <v>20</v>
      </c>
      <c r="BR371" s="37">
        <v>21</v>
      </c>
      <c r="BS371" s="37">
        <v>15</v>
      </c>
      <c r="BT371" s="87">
        <f t="shared" si="113"/>
        <v>28.75</v>
      </c>
      <c r="BU371" s="87"/>
      <c r="BV371" s="87"/>
      <c r="BW371" s="87"/>
      <c r="BX371" s="87"/>
      <c r="BY371" s="87"/>
      <c r="BZ371" s="87"/>
      <c r="CA371" s="87"/>
      <c r="CB371" s="87"/>
      <c r="CC371" s="87"/>
      <c r="CD371" s="87"/>
      <c r="CF371" s="67">
        <f t="shared" si="114"/>
        <v>431.25</v>
      </c>
      <c r="CG371" s="67">
        <f t="shared" si="101"/>
        <v>575</v>
      </c>
      <c r="CH371" s="67">
        <f t="shared" si="102"/>
        <v>603.75</v>
      </c>
      <c r="CI371" s="67">
        <f t="shared" si="107"/>
        <v>431.25</v>
      </c>
      <c r="CJ371" s="37">
        <f t="shared" si="103"/>
        <v>172.5</v>
      </c>
      <c r="CK371" s="37">
        <f t="shared" si="104"/>
        <v>230</v>
      </c>
      <c r="CL371" s="37">
        <f t="shared" si="105"/>
        <v>241.5</v>
      </c>
      <c r="CM371" s="37">
        <f t="shared" si="106"/>
        <v>172.5</v>
      </c>
    </row>
    <row r="372" spans="1:91" ht="25.5">
      <c r="A372" s="178" t="s">
        <v>1179</v>
      </c>
      <c r="B372" s="156">
        <v>366</v>
      </c>
      <c r="C372" s="160">
        <v>208</v>
      </c>
      <c r="D372" s="162">
        <v>444</v>
      </c>
      <c r="E372" s="161">
        <v>0.2673611111111111</v>
      </c>
      <c r="F372" s="161">
        <v>0.27777777777777779</v>
      </c>
      <c r="G372" s="160" t="s">
        <v>201</v>
      </c>
      <c r="H372" s="174" t="s">
        <v>103</v>
      </c>
      <c r="I372" s="163">
        <v>10.5</v>
      </c>
      <c r="J372" s="164" t="s">
        <v>116</v>
      </c>
      <c r="K372" s="165">
        <v>174</v>
      </c>
      <c r="L372" s="166">
        <f t="shared" si="93"/>
        <v>1827</v>
      </c>
      <c r="M372" s="167" t="s">
        <v>749</v>
      </c>
      <c r="N372" s="154" t="s">
        <v>947</v>
      </c>
      <c r="O372" s="154">
        <v>9</v>
      </c>
      <c r="P372" s="154" t="s">
        <v>948</v>
      </c>
      <c r="Q372" s="154">
        <v>9</v>
      </c>
      <c r="S372" s="154"/>
      <c r="T372" s="45">
        <v>2219</v>
      </c>
      <c r="U372" s="45" t="s">
        <v>1516</v>
      </c>
      <c r="V372" s="45">
        <v>956</v>
      </c>
      <c r="W372" s="45" t="s">
        <v>1517</v>
      </c>
      <c r="X372" s="98">
        <v>44816</v>
      </c>
      <c r="Y372" s="98">
        <v>45086</v>
      </c>
      <c r="Z372" s="98"/>
      <c r="AA372" s="98"/>
      <c r="AB372" s="41" t="s">
        <v>1114</v>
      </c>
      <c r="AC372" s="41"/>
      <c r="AD372" s="42"/>
      <c r="AE372" s="42"/>
      <c r="AF372" s="42"/>
      <c r="AG372" s="42" t="s">
        <v>734</v>
      </c>
      <c r="AH372" s="42" t="s">
        <v>734</v>
      </c>
      <c r="AI372" s="42" t="s">
        <v>734</v>
      </c>
      <c r="AJ372" s="42" t="s">
        <v>734</v>
      </c>
      <c r="AK372" s="42" t="s">
        <v>734</v>
      </c>
      <c r="AL372" s="42" t="s">
        <v>734</v>
      </c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68">
        <v>49.61</v>
      </c>
      <c r="AY372" s="37"/>
      <c r="BA372" s="68"/>
      <c r="BB372" s="68"/>
      <c r="BD372" s="67">
        <f t="shared" si="111"/>
        <v>8632.14</v>
      </c>
      <c r="BE372" s="67"/>
      <c r="BF372" s="37"/>
      <c r="BG372" s="73">
        <v>1</v>
      </c>
      <c r="BH372" s="67">
        <f t="shared" si="115"/>
        <v>0</v>
      </c>
      <c r="BI372" s="67">
        <f t="shared" si="116"/>
        <v>0</v>
      </c>
      <c r="BJ372" s="70">
        <f t="shared" si="117"/>
        <v>0</v>
      </c>
      <c r="BN372" s="67">
        <f>IF((AX372+AY372+AZ372)&lt;20,(20-(AX372+AY372+AZ372)),0)</f>
        <v>0</v>
      </c>
      <c r="BO372" s="70">
        <f t="shared" si="112"/>
        <v>0</v>
      </c>
      <c r="BP372" s="37">
        <v>15</v>
      </c>
      <c r="BQ372" s="37">
        <v>20</v>
      </c>
      <c r="BR372" s="37">
        <v>21</v>
      </c>
      <c r="BS372" s="37">
        <v>15</v>
      </c>
      <c r="BT372" s="87">
        <f t="shared" si="113"/>
        <v>49.61</v>
      </c>
      <c r="BU372" s="87"/>
      <c r="BV372" s="87"/>
      <c r="BW372" s="87"/>
      <c r="BX372" s="87"/>
      <c r="BY372" s="87"/>
      <c r="BZ372" s="87"/>
      <c r="CA372" s="87"/>
      <c r="CB372" s="87"/>
      <c r="CC372" s="87"/>
      <c r="CD372" s="87"/>
      <c r="CF372" s="67">
        <f t="shared" si="114"/>
        <v>744.15</v>
      </c>
      <c r="CG372" s="67">
        <f t="shared" si="101"/>
        <v>992.2</v>
      </c>
      <c r="CH372" s="67">
        <f t="shared" si="102"/>
        <v>1041.81</v>
      </c>
      <c r="CI372" s="67">
        <f t="shared" si="107"/>
        <v>744.15</v>
      </c>
      <c r="CJ372" s="37">
        <f t="shared" si="103"/>
        <v>157.5</v>
      </c>
      <c r="CK372" s="37">
        <f t="shared" si="104"/>
        <v>210</v>
      </c>
      <c r="CL372" s="37">
        <f t="shared" si="105"/>
        <v>220.5</v>
      </c>
      <c r="CM372" s="37">
        <f t="shared" si="106"/>
        <v>157.5</v>
      </c>
    </row>
    <row r="373" spans="1:91" ht="25.5">
      <c r="B373" s="156">
        <v>367</v>
      </c>
      <c r="C373" s="160">
        <v>208</v>
      </c>
      <c r="D373" s="162">
        <v>449</v>
      </c>
      <c r="E373" s="161">
        <v>0.28472222222222221</v>
      </c>
      <c r="F373" s="161">
        <v>0.2986111111111111</v>
      </c>
      <c r="G373" s="160" t="s">
        <v>198</v>
      </c>
      <c r="H373" s="160" t="s">
        <v>689</v>
      </c>
      <c r="I373" s="163">
        <v>4.3</v>
      </c>
      <c r="J373" s="164" t="s">
        <v>116</v>
      </c>
      <c r="K373" s="165">
        <f>67+29</f>
        <v>96</v>
      </c>
      <c r="L373" s="166">
        <f t="shared" si="93"/>
        <v>412.79999999999995</v>
      </c>
      <c r="M373" s="177" t="s">
        <v>749</v>
      </c>
      <c r="N373" s="154" t="s">
        <v>947</v>
      </c>
      <c r="O373" s="154">
        <v>9</v>
      </c>
      <c r="P373" s="154" t="s">
        <v>948</v>
      </c>
      <c r="Q373" s="154">
        <v>9</v>
      </c>
      <c r="R373" s="154" t="s">
        <v>1267</v>
      </c>
      <c r="S373" s="151">
        <v>24</v>
      </c>
      <c r="T373" s="45" t="s">
        <v>1518</v>
      </c>
      <c r="U373" s="45" t="s">
        <v>1519</v>
      </c>
      <c r="V373" s="45">
        <v>2217</v>
      </c>
      <c r="W373" s="45" t="s">
        <v>1520</v>
      </c>
      <c r="X373" s="99">
        <v>44562</v>
      </c>
      <c r="Y373" s="99">
        <v>44815</v>
      </c>
      <c r="Z373" s="99">
        <v>45101</v>
      </c>
      <c r="AA373" s="99">
        <v>45169</v>
      </c>
      <c r="AB373" s="43" t="s">
        <v>1143</v>
      </c>
      <c r="AC373" s="43"/>
      <c r="AD373" s="42"/>
      <c r="AE373" s="42" t="s">
        <v>734</v>
      </c>
      <c r="AF373" s="42" t="s">
        <v>734</v>
      </c>
      <c r="AG373" s="42"/>
      <c r="AH373" s="42" t="s">
        <v>734</v>
      </c>
      <c r="AI373" s="42" t="s">
        <v>734</v>
      </c>
      <c r="AJ373" s="42" t="s">
        <v>734</v>
      </c>
      <c r="AK373" s="42" t="s">
        <v>734</v>
      </c>
      <c r="AL373" s="42" t="s">
        <v>734</v>
      </c>
      <c r="AM373" s="42" t="s">
        <v>734</v>
      </c>
      <c r="AN373" s="42"/>
      <c r="AO373" s="42"/>
      <c r="AP373" s="42"/>
      <c r="AQ373" s="42"/>
      <c r="AR373" s="42" t="s">
        <v>734</v>
      </c>
      <c r="AS373" s="42" t="s">
        <v>734</v>
      </c>
      <c r="AT373" s="42" t="s">
        <v>734</v>
      </c>
      <c r="AU373" s="42" t="s">
        <v>734</v>
      </c>
      <c r="AV373" s="42" t="s">
        <v>734</v>
      </c>
      <c r="AW373" s="42" t="s">
        <v>734</v>
      </c>
      <c r="AX373" s="68">
        <v>8.9</v>
      </c>
      <c r="AY373" s="37"/>
      <c r="BA373" s="68"/>
      <c r="BB373" s="68"/>
      <c r="BD373" s="67">
        <f t="shared" si="111"/>
        <v>854.40000000000009</v>
      </c>
      <c r="BE373" s="67"/>
      <c r="BF373" s="37"/>
      <c r="BG373" s="73">
        <v>1</v>
      </c>
      <c r="BH373" s="67">
        <f t="shared" si="115"/>
        <v>0</v>
      </c>
      <c r="BI373" s="67">
        <f t="shared" si="116"/>
        <v>0</v>
      </c>
      <c r="BJ373" s="70">
        <f t="shared" si="117"/>
        <v>0</v>
      </c>
      <c r="BN373" s="67">
        <f>IF((AX373+AY373+AZ373)&lt;20,(20-(AX373+AY373+AZ373)),0)</f>
        <v>11.1</v>
      </c>
      <c r="BO373" s="70">
        <f t="shared" si="112"/>
        <v>1065.5999999999999</v>
      </c>
      <c r="BP373" s="37">
        <v>9</v>
      </c>
      <c r="BQ373" s="37">
        <v>1</v>
      </c>
      <c r="BR373" s="37">
        <v>0</v>
      </c>
      <c r="BS373" s="37">
        <v>7</v>
      </c>
      <c r="BT373" s="87">
        <f t="shared" si="113"/>
        <v>20</v>
      </c>
      <c r="BU373" s="87"/>
      <c r="BV373" s="87"/>
      <c r="BW373" s="87"/>
      <c r="BX373" s="87"/>
      <c r="BY373" s="87"/>
      <c r="BZ373" s="87"/>
      <c r="CA373" s="87"/>
      <c r="CB373" s="87"/>
      <c r="CC373" s="87"/>
      <c r="CD373" s="87"/>
      <c r="CF373" s="67">
        <f t="shared" si="114"/>
        <v>180</v>
      </c>
      <c r="CG373" s="67">
        <f t="shared" si="101"/>
        <v>20</v>
      </c>
      <c r="CH373" s="67">
        <f t="shared" si="102"/>
        <v>0</v>
      </c>
      <c r="CI373" s="67">
        <f t="shared" si="107"/>
        <v>140</v>
      </c>
      <c r="CJ373" s="37">
        <f t="shared" si="103"/>
        <v>38.699999999999996</v>
      </c>
      <c r="CK373" s="37">
        <f t="shared" si="104"/>
        <v>4.3</v>
      </c>
      <c r="CL373" s="37">
        <f t="shared" si="105"/>
        <v>0</v>
      </c>
      <c r="CM373" s="37">
        <f t="shared" si="106"/>
        <v>30.099999999999998</v>
      </c>
    </row>
    <row r="374" spans="1:91" ht="25.5">
      <c r="B374" s="156">
        <v>368</v>
      </c>
      <c r="C374" s="160">
        <v>208</v>
      </c>
      <c r="D374" s="162">
        <v>449</v>
      </c>
      <c r="E374" s="161">
        <v>0.28819444444444448</v>
      </c>
      <c r="F374" s="161">
        <v>0.30555555555555552</v>
      </c>
      <c r="G374" s="160" t="s">
        <v>197</v>
      </c>
      <c r="H374" s="160" t="s">
        <v>689</v>
      </c>
      <c r="I374" s="163">
        <v>4.4000000000000004</v>
      </c>
      <c r="J374" s="164" t="s">
        <v>116</v>
      </c>
      <c r="K374" s="165">
        <v>96</v>
      </c>
      <c r="L374" s="166">
        <f t="shared" si="93"/>
        <v>422.40000000000003</v>
      </c>
      <c r="M374" s="177" t="s">
        <v>749</v>
      </c>
      <c r="N374" s="154" t="s">
        <v>947</v>
      </c>
      <c r="O374" s="154">
        <v>9</v>
      </c>
      <c r="P374" s="154" t="s">
        <v>948</v>
      </c>
      <c r="Q374" s="154">
        <v>9</v>
      </c>
      <c r="R374" s="154" t="s">
        <v>1267</v>
      </c>
      <c r="S374" s="151">
        <v>24</v>
      </c>
      <c r="T374" s="45">
        <v>2217</v>
      </c>
      <c r="U374" s="45" t="s">
        <v>1520</v>
      </c>
      <c r="V374" s="45" t="s">
        <v>1518</v>
      </c>
      <c r="W374" s="45" t="s">
        <v>1519</v>
      </c>
      <c r="X374" s="99">
        <v>44562</v>
      </c>
      <c r="Y374" s="99">
        <v>44815</v>
      </c>
      <c r="Z374" s="99">
        <v>45101</v>
      </c>
      <c r="AA374" s="99">
        <v>45169</v>
      </c>
      <c r="AB374" s="43" t="s">
        <v>1143</v>
      </c>
      <c r="AC374" s="43"/>
      <c r="AD374" s="42"/>
      <c r="AE374" s="42" t="s">
        <v>734</v>
      </c>
      <c r="AF374" s="42" t="s">
        <v>734</v>
      </c>
      <c r="AG374" s="42"/>
      <c r="AH374" s="42" t="s">
        <v>734</v>
      </c>
      <c r="AI374" s="42" t="s">
        <v>734</v>
      </c>
      <c r="AJ374" s="42" t="s">
        <v>734</v>
      </c>
      <c r="AK374" s="42" t="s">
        <v>734</v>
      </c>
      <c r="AL374" s="42" t="s">
        <v>734</v>
      </c>
      <c r="AM374" s="42" t="s">
        <v>734</v>
      </c>
      <c r="AN374" s="42"/>
      <c r="AO374" s="42"/>
      <c r="AP374" s="42"/>
      <c r="AQ374" s="42"/>
      <c r="AR374" s="42" t="s">
        <v>734</v>
      </c>
      <c r="AS374" s="42" t="s">
        <v>734</v>
      </c>
      <c r="AT374" s="42" t="s">
        <v>734</v>
      </c>
      <c r="AU374" s="42" t="s">
        <v>734</v>
      </c>
      <c r="AV374" s="42" t="s">
        <v>734</v>
      </c>
      <c r="AW374" s="42" t="s">
        <v>734</v>
      </c>
      <c r="AX374" s="68">
        <v>8.9</v>
      </c>
      <c r="AY374" s="37"/>
      <c r="BA374" s="68"/>
      <c r="BB374" s="68"/>
      <c r="BD374" s="67">
        <f t="shared" si="111"/>
        <v>854.40000000000009</v>
      </c>
      <c r="BE374" s="67"/>
      <c r="BF374" s="37"/>
      <c r="BG374" s="73">
        <v>1</v>
      </c>
      <c r="BH374" s="67">
        <f t="shared" si="115"/>
        <v>0</v>
      </c>
      <c r="BI374" s="67">
        <f t="shared" si="116"/>
        <v>0</v>
      </c>
      <c r="BJ374" s="70">
        <f t="shared" si="117"/>
        <v>0</v>
      </c>
      <c r="BN374" s="67">
        <f>IF((AX374+AY374+AZ374)&lt;20,(20-(AX374+AY374+AZ374)),0)</f>
        <v>11.1</v>
      </c>
      <c r="BO374" s="70">
        <f t="shared" si="112"/>
        <v>1065.5999999999999</v>
      </c>
      <c r="BP374" s="37">
        <v>9</v>
      </c>
      <c r="BQ374" s="37">
        <v>1</v>
      </c>
      <c r="BR374" s="37">
        <v>0</v>
      </c>
      <c r="BS374" s="37">
        <v>7</v>
      </c>
      <c r="BT374" s="87">
        <f t="shared" si="113"/>
        <v>20</v>
      </c>
      <c r="BU374" s="87"/>
      <c r="BV374" s="87"/>
      <c r="BW374" s="87"/>
      <c r="BX374" s="87"/>
      <c r="BY374" s="87"/>
      <c r="BZ374" s="87"/>
      <c r="CA374" s="87"/>
      <c r="CB374" s="87"/>
      <c r="CC374" s="87"/>
      <c r="CD374" s="87"/>
      <c r="CF374" s="67">
        <f t="shared" si="114"/>
        <v>180</v>
      </c>
      <c r="CG374" s="67">
        <f t="shared" si="101"/>
        <v>20</v>
      </c>
      <c r="CH374" s="67">
        <f t="shared" si="102"/>
        <v>0</v>
      </c>
      <c r="CI374" s="67">
        <f t="shared" si="107"/>
        <v>140</v>
      </c>
      <c r="CJ374" s="37">
        <f t="shared" si="103"/>
        <v>39.6</v>
      </c>
      <c r="CK374" s="37">
        <f t="shared" si="104"/>
        <v>4.4000000000000004</v>
      </c>
      <c r="CL374" s="37">
        <f t="shared" si="105"/>
        <v>0</v>
      </c>
      <c r="CM374" s="37">
        <f t="shared" si="106"/>
        <v>30.800000000000004</v>
      </c>
    </row>
    <row r="375" spans="1:91" ht="25.5">
      <c r="B375" s="156">
        <v>369</v>
      </c>
      <c r="C375" s="160">
        <v>208</v>
      </c>
      <c r="D375" s="162">
        <v>449</v>
      </c>
      <c r="E375" s="161">
        <v>0.2951388888888889</v>
      </c>
      <c r="F375" s="161">
        <v>0.2986111111111111</v>
      </c>
      <c r="G375" s="160" t="s">
        <v>198</v>
      </c>
      <c r="H375" s="160" t="s">
        <v>97</v>
      </c>
      <c r="I375" s="163">
        <v>4.3</v>
      </c>
      <c r="J375" s="164" t="s">
        <v>116</v>
      </c>
      <c r="K375" s="165">
        <v>208</v>
      </c>
      <c r="L375" s="166">
        <f t="shared" si="93"/>
        <v>894.4</v>
      </c>
      <c r="M375" s="177" t="s">
        <v>749</v>
      </c>
      <c r="N375" s="154" t="s">
        <v>947</v>
      </c>
      <c r="O375" s="154">
        <v>9</v>
      </c>
      <c r="P375" s="154" t="s">
        <v>948</v>
      </c>
      <c r="Q375" s="154">
        <v>9</v>
      </c>
      <c r="S375" s="154"/>
      <c r="T375" s="45" t="s">
        <v>1518</v>
      </c>
      <c r="U375" s="45" t="s">
        <v>1519</v>
      </c>
      <c r="V375" s="45">
        <v>2217</v>
      </c>
      <c r="W375" s="45" t="s">
        <v>1520</v>
      </c>
      <c r="X375" s="98">
        <v>44816</v>
      </c>
      <c r="Y375" s="98">
        <v>45086</v>
      </c>
      <c r="Z375" s="98"/>
      <c r="AA375" s="98"/>
      <c r="AB375" s="41" t="s">
        <v>1118</v>
      </c>
      <c r="AC375" s="41"/>
      <c r="AD375" s="42"/>
      <c r="AE375" s="42"/>
      <c r="AF375" s="42"/>
      <c r="AG375" s="42" t="s">
        <v>734</v>
      </c>
      <c r="AH375" s="42" t="s">
        <v>734</v>
      </c>
      <c r="AI375" s="42" t="s">
        <v>734</v>
      </c>
      <c r="AJ375" s="42" t="s">
        <v>734</v>
      </c>
      <c r="AK375" s="42" t="s">
        <v>734</v>
      </c>
      <c r="AL375" s="42" t="s">
        <v>734</v>
      </c>
      <c r="AM375" s="42" t="s">
        <v>734</v>
      </c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68">
        <v>8.9</v>
      </c>
      <c r="AY375" s="37"/>
      <c r="BA375" s="68"/>
      <c r="BB375" s="68"/>
      <c r="BD375" s="67">
        <f t="shared" si="111"/>
        <v>1851.2</v>
      </c>
      <c r="BE375" s="67"/>
      <c r="BF375" s="37"/>
      <c r="BG375" s="73">
        <v>1</v>
      </c>
      <c r="BH375" s="67">
        <f t="shared" si="115"/>
        <v>0</v>
      </c>
      <c r="BI375" s="67">
        <f t="shared" si="116"/>
        <v>0</v>
      </c>
      <c r="BJ375" s="70">
        <f t="shared" si="117"/>
        <v>0</v>
      </c>
      <c r="BN375" s="37"/>
      <c r="BO375" s="70">
        <f t="shared" si="112"/>
        <v>0</v>
      </c>
      <c r="BP375" s="37">
        <v>17</v>
      </c>
      <c r="BQ375" s="37">
        <v>25</v>
      </c>
      <c r="BR375" s="37">
        <v>25</v>
      </c>
      <c r="BS375" s="37">
        <v>18</v>
      </c>
      <c r="BT375" s="87">
        <f t="shared" si="113"/>
        <v>8.9</v>
      </c>
      <c r="BU375" s="87"/>
      <c r="BV375" s="87"/>
      <c r="BW375" s="87"/>
      <c r="BX375" s="87"/>
      <c r="BY375" s="87"/>
      <c r="BZ375" s="87"/>
      <c r="CA375" s="87"/>
      <c r="CB375" s="87"/>
      <c r="CC375" s="87"/>
      <c r="CD375" s="87"/>
      <c r="CF375" s="67">
        <f t="shared" si="114"/>
        <v>151.30000000000001</v>
      </c>
      <c r="CG375" s="67">
        <f t="shared" si="101"/>
        <v>222.5</v>
      </c>
      <c r="CH375" s="67">
        <f t="shared" si="102"/>
        <v>222.5</v>
      </c>
      <c r="CI375" s="67">
        <f t="shared" si="107"/>
        <v>160.20000000000002</v>
      </c>
      <c r="CJ375" s="37">
        <f t="shared" si="103"/>
        <v>73.099999999999994</v>
      </c>
      <c r="CK375" s="37">
        <f t="shared" si="104"/>
        <v>107.5</v>
      </c>
      <c r="CL375" s="37">
        <f t="shared" si="105"/>
        <v>107.5</v>
      </c>
      <c r="CM375" s="37">
        <f t="shared" si="106"/>
        <v>77.399999999999991</v>
      </c>
    </row>
    <row r="376" spans="1:91" ht="25.5">
      <c r="B376" s="156">
        <v>370</v>
      </c>
      <c r="C376" s="160">
        <v>208</v>
      </c>
      <c r="D376" s="162">
        <v>449</v>
      </c>
      <c r="E376" s="161">
        <v>0.2986111111111111</v>
      </c>
      <c r="F376" s="161">
        <v>0.30555555555555552</v>
      </c>
      <c r="G376" s="160" t="s">
        <v>197</v>
      </c>
      <c r="H376" s="160" t="s">
        <v>97</v>
      </c>
      <c r="I376" s="163">
        <v>4.4000000000000004</v>
      </c>
      <c r="J376" s="164" t="s">
        <v>116</v>
      </c>
      <c r="K376" s="165">
        <v>208</v>
      </c>
      <c r="L376" s="166">
        <f t="shared" si="93"/>
        <v>915.2</v>
      </c>
      <c r="M376" s="177" t="s">
        <v>749</v>
      </c>
      <c r="N376" s="154" t="s">
        <v>947</v>
      </c>
      <c r="O376" s="154">
        <v>9</v>
      </c>
      <c r="P376" s="154" t="s">
        <v>948</v>
      </c>
      <c r="Q376" s="154">
        <v>9</v>
      </c>
      <c r="S376" s="154"/>
      <c r="T376" s="45">
        <v>2217</v>
      </c>
      <c r="U376" s="45" t="s">
        <v>1520</v>
      </c>
      <c r="V376" s="45" t="s">
        <v>1518</v>
      </c>
      <c r="W376" s="45" t="s">
        <v>1519</v>
      </c>
      <c r="X376" s="98">
        <v>44816</v>
      </c>
      <c r="Y376" s="98">
        <v>45086</v>
      </c>
      <c r="Z376" s="98"/>
      <c r="AA376" s="98"/>
      <c r="AB376" s="41" t="s">
        <v>1118</v>
      </c>
      <c r="AC376" s="41"/>
      <c r="AD376" s="42"/>
      <c r="AE376" s="42"/>
      <c r="AF376" s="42"/>
      <c r="AG376" s="42" t="s">
        <v>734</v>
      </c>
      <c r="AH376" s="42" t="s">
        <v>734</v>
      </c>
      <c r="AI376" s="42" t="s">
        <v>734</v>
      </c>
      <c r="AJ376" s="42" t="s">
        <v>734</v>
      </c>
      <c r="AK376" s="42" t="s">
        <v>734</v>
      </c>
      <c r="AL376" s="42" t="s">
        <v>734</v>
      </c>
      <c r="AM376" s="42" t="s">
        <v>734</v>
      </c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68">
        <v>8.9</v>
      </c>
      <c r="AY376" s="37"/>
      <c r="BA376" s="68"/>
      <c r="BB376" s="68"/>
      <c r="BD376" s="67">
        <f t="shared" si="111"/>
        <v>1851.2</v>
      </c>
      <c r="BE376" s="67"/>
      <c r="BF376" s="37"/>
      <c r="BG376" s="73">
        <v>1</v>
      </c>
      <c r="BH376" s="67">
        <f t="shared" si="115"/>
        <v>0</v>
      </c>
      <c r="BI376" s="67">
        <f t="shared" si="116"/>
        <v>0</v>
      </c>
      <c r="BJ376" s="70">
        <f t="shared" si="117"/>
        <v>0</v>
      </c>
      <c r="BN376" s="37"/>
      <c r="BO376" s="70">
        <f t="shared" si="112"/>
        <v>0</v>
      </c>
      <c r="BP376" s="37">
        <v>17</v>
      </c>
      <c r="BQ376" s="37">
        <v>25</v>
      </c>
      <c r="BR376" s="37">
        <v>25</v>
      </c>
      <c r="BS376" s="37">
        <v>18</v>
      </c>
      <c r="BT376" s="87">
        <f t="shared" si="113"/>
        <v>8.9</v>
      </c>
      <c r="BU376" s="87"/>
      <c r="BV376" s="87"/>
      <c r="BW376" s="87"/>
      <c r="BX376" s="87"/>
      <c r="BY376" s="87"/>
      <c r="BZ376" s="87"/>
      <c r="CA376" s="87"/>
      <c r="CB376" s="87"/>
      <c r="CC376" s="87"/>
      <c r="CD376" s="87"/>
      <c r="CF376" s="67">
        <f t="shared" si="114"/>
        <v>151.30000000000001</v>
      </c>
      <c r="CG376" s="67">
        <f t="shared" si="101"/>
        <v>222.5</v>
      </c>
      <c r="CH376" s="67">
        <f t="shared" si="102"/>
        <v>222.5</v>
      </c>
      <c r="CI376" s="67">
        <f t="shared" si="107"/>
        <v>160.20000000000002</v>
      </c>
      <c r="CJ376" s="37">
        <f t="shared" si="103"/>
        <v>74.800000000000011</v>
      </c>
      <c r="CK376" s="37">
        <f t="shared" si="104"/>
        <v>110.00000000000001</v>
      </c>
      <c r="CL376" s="37">
        <f t="shared" si="105"/>
        <v>110.00000000000001</v>
      </c>
      <c r="CM376" s="37">
        <f t="shared" si="106"/>
        <v>79.2</v>
      </c>
    </row>
    <row r="377" spans="1:91" ht="25.5">
      <c r="B377" s="156">
        <v>371</v>
      </c>
      <c r="C377" s="160">
        <v>208</v>
      </c>
      <c r="D377" s="162">
        <v>552</v>
      </c>
      <c r="E377" s="161">
        <v>0.40277777777777773</v>
      </c>
      <c r="F377" s="161">
        <v>0.42708333333333331</v>
      </c>
      <c r="G377" s="160" t="s">
        <v>200</v>
      </c>
      <c r="H377" s="160" t="s">
        <v>493</v>
      </c>
      <c r="I377" s="163">
        <v>17</v>
      </c>
      <c r="J377" s="164" t="s">
        <v>116</v>
      </c>
      <c r="K377" s="165">
        <v>240</v>
      </c>
      <c r="L377" s="166">
        <f t="shared" si="93"/>
        <v>4080</v>
      </c>
      <c r="M377" s="177" t="s">
        <v>749</v>
      </c>
      <c r="N377" s="154" t="s">
        <v>947</v>
      </c>
      <c r="O377" s="154">
        <v>9</v>
      </c>
      <c r="P377" s="154" t="s">
        <v>948</v>
      </c>
      <c r="Q377" s="154">
        <v>9</v>
      </c>
      <c r="R377" s="154" t="s">
        <v>1267</v>
      </c>
      <c r="S377" s="151">
        <v>24</v>
      </c>
      <c r="T377" s="45" t="s">
        <v>1518</v>
      </c>
      <c r="U377" s="45" t="s">
        <v>1519</v>
      </c>
      <c r="V377" s="45">
        <v>2180</v>
      </c>
      <c r="W377" s="45" t="s">
        <v>1483</v>
      </c>
      <c r="X377" s="99">
        <v>44816</v>
      </c>
      <c r="Y377" s="99">
        <v>45100</v>
      </c>
      <c r="Z377" s="99"/>
      <c r="AA377" s="99"/>
      <c r="AB377" s="43" t="s">
        <v>1124</v>
      </c>
      <c r="AC377" s="43"/>
      <c r="AD377" s="42" t="s">
        <v>734</v>
      </c>
      <c r="AE377" s="42"/>
      <c r="AF377" s="42" t="s">
        <v>734</v>
      </c>
      <c r="AG377" s="42"/>
      <c r="AH377" s="42" t="s">
        <v>734</v>
      </c>
      <c r="AI377" s="42" t="s">
        <v>734</v>
      </c>
      <c r="AJ377" s="42" t="s">
        <v>734</v>
      </c>
      <c r="AK377" s="42" t="s">
        <v>734</v>
      </c>
      <c r="AL377" s="42" t="s">
        <v>734</v>
      </c>
      <c r="AM377" s="42" t="s">
        <v>734</v>
      </c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68">
        <v>30.6</v>
      </c>
      <c r="AY377" s="37"/>
      <c r="BA377" s="68"/>
      <c r="BB377" s="68"/>
      <c r="BD377" s="67">
        <f t="shared" si="111"/>
        <v>7344</v>
      </c>
      <c r="BE377" s="67"/>
      <c r="BF377" s="37"/>
      <c r="BG377" s="73">
        <v>1</v>
      </c>
      <c r="BH377" s="67">
        <f t="shared" si="115"/>
        <v>3.3999999999999986</v>
      </c>
      <c r="BI377" s="67">
        <f t="shared" si="116"/>
        <v>0</v>
      </c>
      <c r="BJ377" s="67">
        <f t="shared" si="117"/>
        <v>815.99999999999966</v>
      </c>
      <c r="BN377" s="37"/>
      <c r="BO377" s="70">
        <f t="shared" si="112"/>
        <v>0</v>
      </c>
      <c r="BP377" s="37">
        <v>17</v>
      </c>
      <c r="BQ377" s="37">
        <v>26</v>
      </c>
      <c r="BR377" s="37">
        <v>25</v>
      </c>
      <c r="BS377" s="37">
        <v>25</v>
      </c>
      <c r="BT377" s="87">
        <f t="shared" si="113"/>
        <v>34</v>
      </c>
      <c r="BU377" s="87"/>
      <c r="BV377" s="87"/>
      <c r="BW377" s="87"/>
      <c r="BX377" s="87"/>
      <c r="BY377" s="87"/>
      <c r="BZ377" s="87"/>
      <c r="CA377" s="87"/>
      <c r="CB377" s="87"/>
      <c r="CC377" s="87"/>
      <c r="CD377" s="87"/>
      <c r="CF377" s="67">
        <f t="shared" si="114"/>
        <v>578</v>
      </c>
      <c r="CG377" s="67">
        <f t="shared" si="101"/>
        <v>884</v>
      </c>
      <c r="CH377" s="67">
        <f t="shared" si="102"/>
        <v>850</v>
      </c>
      <c r="CI377" s="67">
        <f t="shared" si="107"/>
        <v>850</v>
      </c>
      <c r="CJ377" s="37">
        <f t="shared" si="103"/>
        <v>289</v>
      </c>
      <c r="CK377" s="37">
        <f t="shared" si="104"/>
        <v>442</v>
      </c>
      <c r="CL377" s="37">
        <f t="shared" si="105"/>
        <v>425</v>
      </c>
      <c r="CM377" s="37">
        <f t="shared" si="106"/>
        <v>425</v>
      </c>
    </row>
    <row r="378" spans="1:91" ht="25.5">
      <c r="B378" s="156">
        <v>372</v>
      </c>
      <c r="C378" s="160">
        <v>208</v>
      </c>
      <c r="D378" s="162">
        <v>550</v>
      </c>
      <c r="E378" s="161">
        <v>0.50694444444444442</v>
      </c>
      <c r="F378" s="161">
        <v>0.53125</v>
      </c>
      <c r="G378" s="160" t="s">
        <v>199</v>
      </c>
      <c r="H378" s="160" t="s">
        <v>493</v>
      </c>
      <c r="I378" s="163">
        <v>17</v>
      </c>
      <c r="J378" s="164" t="s">
        <v>116</v>
      </c>
      <c r="K378" s="165">
        <v>240</v>
      </c>
      <c r="L378" s="166">
        <f t="shared" si="93"/>
        <v>4080</v>
      </c>
      <c r="M378" s="177" t="s">
        <v>749</v>
      </c>
      <c r="N378" s="154" t="s">
        <v>947</v>
      </c>
      <c r="O378" s="154">
        <v>9</v>
      </c>
      <c r="P378" s="154" t="s">
        <v>948</v>
      </c>
      <c r="Q378" s="154">
        <v>9</v>
      </c>
      <c r="R378" s="154" t="s">
        <v>1267</v>
      </c>
      <c r="S378" s="151">
        <v>24</v>
      </c>
      <c r="T378" s="45">
        <v>2180</v>
      </c>
      <c r="U378" s="45" t="s">
        <v>1483</v>
      </c>
      <c r="V378" s="45" t="s">
        <v>1518</v>
      </c>
      <c r="W378" s="45" t="s">
        <v>1519</v>
      </c>
      <c r="X378" s="99">
        <v>44816</v>
      </c>
      <c r="Y378" s="99">
        <v>45100</v>
      </c>
      <c r="Z378" s="99"/>
      <c r="AA378" s="99"/>
      <c r="AB378" s="43" t="s">
        <v>1124</v>
      </c>
      <c r="AC378" s="43"/>
      <c r="AD378" s="42" t="s">
        <v>734</v>
      </c>
      <c r="AE378" s="42"/>
      <c r="AF378" s="42" t="s">
        <v>734</v>
      </c>
      <c r="AG378" s="42"/>
      <c r="AH378" s="42" t="s">
        <v>734</v>
      </c>
      <c r="AI378" s="42" t="s">
        <v>734</v>
      </c>
      <c r="AJ378" s="42" t="s">
        <v>734</v>
      </c>
      <c r="AK378" s="42" t="s">
        <v>734</v>
      </c>
      <c r="AL378" s="42" t="s">
        <v>734</v>
      </c>
      <c r="AM378" s="42" t="s">
        <v>734</v>
      </c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68">
        <v>30.6</v>
      </c>
      <c r="AY378" s="37"/>
      <c r="BA378" s="68"/>
      <c r="BB378" s="68"/>
      <c r="BD378" s="67">
        <f t="shared" si="111"/>
        <v>7344</v>
      </c>
      <c r="BE378" s="67"/>
      <c r="BF378" s="37"/>
      <c r="BG378" s="73">
        <v>1</v>
      </c>
      <c r="BH378" s="67">
        <f t="shared" si="115"/>
        <v>3.3999999999999986</v>
      </c>
      <c r="BI378" s="67">
        <f t="shared" si="116"/>
        <v>0</v>
      </c>
      <c r="BJ378" s="67">
        <f t="shared" si="117"/>
        <v>815.99999999999966</v>
      </c>
      <c r="BN378" s="37"/>
      <c r="BO378" s="70">
        <f t="shared" si="112"/>
        <v>0</v>
      </c>
      <c r="BP378" s="37">
        <v>17</v>
      </c>
      <c r="BQ378" s="37">
        <v>26</v>
      </c>
      <c r="BR378" s="37">
        <v>25</v>
      </c>
      <c r="BS378" s="37">
        <v>25</v>
      </c>
      <c r="BT378" s="87">
        <f t="shared" si="113"/>
        <v>34</v>
      </c>
      <c r="BU378" s="87"/>
      <c r="BV378" s="87"/>
      <c r="BW378" s="87"/>
      <c r="BX378" s="87"/>
      <c r="BY378" s="87"/>
      <c r="BZ378" s="87"/>
      <c r="CA378" s="87"/>
      <c r="CB378" s="87"/>
      <c r="CC378" s="87"/>
      <c r="CD378" s="87"/>
      <c r="CF378" s="67">
        <f t="shared" si="114"/>
        <v>578</v>
      </c>
      <c r="CG378" s="67">
        <f t="shared" si="101"/>
        <v>884</v>
      </c>
      <c r="CH378" s="67">
        <f t="shared" si="102"/>
        <v>850</v>
      </c>
      <c r="CI378" s="67">
        <f t="shared" si="107"/>
        <v>850</v>
      </c>
      <c r="CJ378" s="37">
        <f t="shared" si="103"/>
        <v>289</v>
      </c>
      <c r="CK378" s="37">
        <f t="shared" si="104"/>
        <v>442</v>
      </c>
      <c r="CL378" s="37">
        <f t="shared" si="105"/>
        <v>425</v>
      </c>
      <c r="CM378" s="37">
        <f t="shared" si="106"/>
        <v>425</v>
      </c>
    </row>
    <row r="379" spans="1:91" ht="22.5">
      <c r="B379" s="156">
        <v>373</v>
      </c>
      <c r="C379" s="160">
        <v>208</v>
      </c>
      <c r="D379" s="162">
        <v>451</v>
      </c>
      <c r="E379" s="173">
        <v>0.54305555555555551</v>
      </c>
      <c r="F379" s="173">
        <v>0.54861111111111105</v>
      </c>
      <c r="G379" s="160" t="s">
        <v>680</v>
      </c>
      <c r="H379" s="160" t="s">
        <v>18</v>
      </c>
      <c r="I379" s="163">
        <v>4.3</v>
      </c>
      <c r="J379" s="164" t="s">
        <v>116</v>
      </c>
      <c r="K379" s="165">
        <v>304</v>
      </c>
      <c r="L379" s="166">
        <f t="shared" si="93"/>
        <v>1307.2</v>
      </c>
      <c r="M379" s="177" t="s">
        <v>749</v>
      </c>
      <c r="N379" s="154" t="s">
        <v>947</v>
      </c>
      <c r="O379" s="154">
        <v>9</v>
      </c>
      <c r="P379" s="154" t="s">
        <v>948</v>
      </c>
      <c r="Q379" s="154">
        <v>9</v>
      </c>
      <c r="S379" s="154"/>
      <c r="T379" s="45" t="s">
        <v>1518</v>
      </c>
      <c r="U379" s="45" t="s">
        <v>1519</v>
      </c>
      <c r="V379" s="45" t="s">
        <v>1521</v>
      </c>
      <c r="W379" s="45" t="s">
        <v>1522</v>
      </c>
      <c r="X379" s="98">
        <v>44805</v>
      </c>
      <c r="Y379" s="98">
        <v>45169</v>
      </c>
      <c r="Z379" s="98"/>
      <c r="AA379" s="98"/>
      <c r="AB379" s="42" t="s">
        <v>1125</v>
      </c>
      <c r="AC379" s="42"/>
      <c r="AD379" s="42" t="s">
        <v>734</v>
      </c>
      <c r="AE379" s="42" t="s">
        <v>734</v>
      </c>
      <c r="AF379" s="42" t="s">
        <v>734</v>
      </c>
      <c r="AG379" s="42"/>
      <c r="AH379" s="42" t="s">
        <v>734</v>
      </c>
      <c r="AI379" s="42" t="s">
        <v>734</v>
      </c>
      <c r="AJ379" s="42" t="s">
        <v>734</v>
      </c>
      <c r="AK379" s="42" t="s">
        <v>734</v>
      </c>
      <c r="AL379" s="42" t="s">
        <v>734</v>
      </c>
      <c r="AM379" s="42" t="s">
        <v>734</v>
      </c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68">
        <v>8.9</v>
      </c>
      <c r="AY379" s="37"/>
      <c r="BA379" s="68"/>
      <c r="BB379" s="68"/>
      <c r="BD379" s="67">
        <f t="shared" si="111"/>
        <v>2705.6</v>
      </c>
      <c r="BE379" s="67"/>
      <c r="BF379" s="37"/>
      <c r="BG379" s="73">
        <v>1</v>
      </c>
      <c r="BH379" s="67">
        <f t="shared" si="115"/>
        <v>0</v>
      </c>
      <c r="BI379" s="67">
        <f t="shared" si="116"/>
        <v>0</v>
      </c>
      <c r="BJ379" s="70">
        <f t="shared" si="117"/>
        <v>0</v>
      </c>
      <c r="BN379" s="37"/>
      <c r="BO379" s="70">
        <f t="shared" si="112"/>
        <v>0</v>
      </c>
      <c r="BP379" s="37">
        <v>26</v>
      </c>
      <c r="BQ379" s="37">
        <v>26</v>
      </c>
      <c r="BR379" s="37">
        <v>25</v>
      </c>
      <c r="BS379" s="37">
        <v>25</v>
      </c>
      <c r="BT379" s="87">
        <f t="shared" si="113"/>
        <v>8.9</v>
      </c>
      <c r="BU379" s="87"/>
      <c r="BV379" s="87"/>
      <c r="BW379" s="87"/>
      <c r="BX379" s="87"/>
      <c r="BY379" s="87"/>
      <c r="BZ379" s="87"/>
      <c r="CA379" s="87"/>
      <c r="CB379" s="87"/>
      <c r="CC379" s="87"/>
      <c r="CD379" s="87"/>
      <c r="CF379" s="67">
        <f t="shared" si="114"/>
        <v>231.4</v>
      </c>
      <c r="CG379" s="67">
        <f t="shared" si="101"/>
        <v>231.4</v>
      </c>
      <c r="CH379" s="67">
        <f t="shared" si="102"/>
        <v>222.5</v>
      </c>
      <c r="CI379" s="67">
        <f t="shared" si="107"/>
        <v>222.5</v>
      </c>
      <c r="CJ379" s="37">
        <f t="shared" si="103"/>
        <v>111.8</v>
      </c>
      <c r="CK379" s="37">
        <f t="shared" si="104"/>
        <v>111.8</v>
      </c>
      <c r="CL379" s="37">
        <f t="shared" si="105"/>
        <v>107.5</v>
      </c>
      <c r="CM379" s="37">
        <f t="shared" si="106"/>
        <v>107.5</v>
      </c>
    </row>
    <row r="380" spans="1:91" ht="25.5">
      <c r="B380" s="156">
        <v>374</v>
      </c>
      <c r="C380" s="160">
        <v>208</v>
      </c>
      <c r="D380" s="162">
        <v>451</v>
      </c>
      <c r="E380" s="161">
        <v>0.54861111111111105</v>
      </c>
      <c r="F380" s="161">
        <v>0.5541666666666667</v>
      </c>
      <c r="G380" s="160" t="s">
        <v>679</v>
      </c>
      <c r="H380" s="160" t="s">
        <v>18</v>
      </c>
      <c r="I380" s="163">
        <v>8.6999999999999993</v>
      </c>
      <c r="J380" s="164" t="s">
        <v>116</v>
      </c>
      <c r="K380" s="165">
        <v>304</v>
      </c>
      <c r="L380" s="166">
        <f t="shared" si="93"/>
        <v>2644.7999999999997</v>
      </c>
      <c r="M380" s="177" t="s">
        <v>749</v>
      </c>
      <c r="N380" s="154" t="s">
        <v>947</v>
      </c>
      <c r="O380" s="154">
        <v>9</v>
      </c>
      <c r="P380" s="154" t="s">
        <v>948</v>
      </c>
      <c r="Q380" s="154">
        <v>9</v>
      </c>
      <c r="R380" s="154" t="s">
        <v>1267</v>
      </c>
      <c r="S380" s="151">
        <v>24</v>
      </c>
      <c r="T380" s="45" t="s">
        <v>1523</v>
      </c>
      <c r="U380" s="45" t="s">
        <v>1524</v>
      </c>
      <c r="V380" s="45" t="s">
        <v>1518</v>
      </c>
      <c r="W380" s="45" t="s">
        <v>1519</v>
      </c>
      <c r="X380" s="98">
        <v>44805</v>
      </c>
      <c r="Y380" s="98">
        <v>45169</v>
      </c>
      <c r="Z380" s="98"/>
      <c r="AA380" s="98"/>
      <c r="AB380" s="42" t="s">
        <v>1125</v>
      </c>
      <c r="AC380" s="42"/>
      <c r="AD380" s="42" t="s">
        <v>734</v>
      </c>
      <c r="AE380" s="42" t="s">
        <v>734</v>
      </c>
      <c r="AF380" s="42" t="s">
        <v>734</v>
      </c>
      <c r="AG380" s="42"/>
      <c r="AH380" s="42" t="s">
        <v>734</v>
      </c>
      <c r="AI380" s="42" t="s">
        <v>734</v>
      </c>
      <c r="AJ380" s="42" t="s">
        <v>734</v>
      </c>
      <c r="AK380" s="42" t="s">
        <v>734</v>
      </c>
      <c r="AL380" s="42" t="s">
        <v>734</v>
      </c>
      <c r="AM380" s="42" t="s">
        <v>734</v>
      </c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68">
        <v>8.9</v>
      </c>
      <c r="AY380" s="37"/>
      <c r="BA380" s="68"/>
      <c r="BB380" s="68"/>
      <c r="BD380" s="67">
        <f t="shared" si="111"/>
        <v>2705.6</v>
      </c>
      <c r="BE380" s="67"/>
      <c r="BF380" s="37"/>
      <c r="BG380" s="73">
        <v>1</v>
      </c>
      <c r="BH380" s="67">
        <f t="shared" si="115"/>
        <v>8.4999999999999982</v>
      </c>
      <c r="BI380" s="67">
        <f t="shared" si="116"/>
        <v>0</v>
      </c>
      <c r="BJ380" s="67">
        <f t="shared" si="117"/>
        <v>2583.9999999999995</v>
      </c>
      <c r="BN380" s="37"/>
      <c r="BO380" s="70">
        <f t="shared" si="112"/>
        <v>0</v>
      </c>
      <c r="BP380" s="37">
        <v>26</v>
      </c>
      <c r="BQ380" s="37">
        <v>26</v>
      </c>
      <c r="BR380" s="37">
        <v>25</v>
      </c>
      <c r="BS380" s="37">
        <v>25</v>
      </c>
      <c r="BT380" s="87">
        <f t="shared" si="113"/>
        <v>17.399999999999999</v>
      </c>
      <c r="BU380" s="87"/>
      <c r="BV380" s="87"/>
      <c r="BW380" s="87"/>
      <c r="BX380" s="87"/>
      <c r="BY380" s="87"/>
      <c r="BZ380" s="87"/>
      <c r="CA380" s="87"/>
      <c r="CB380" s="87"/>
      <c r="CC380" s="87"/>
      <c r="CD380" s="87"/>
      <c r="CF380" s="67">
        <f t="shared" si="114"/>
        <v>452.4</v>
      </c>
      <c r="CG380" s="67">
        <f t="shared" si="101"/>
        <v>452.4</v>
      </c>
      <c r="CH380" s="67">
        <f t="shared" si="102"/>
        <v>434.99999999999994</v>
      </c>
      <c r="CI380" s="67">
        <f t="shared" si="107"/>
        <v>434.99999999999994</v>
      </c>
      <c r="CJ380" s="37">
        <f t="shared" si="103"/>
        <v>226.2</v>
      </c>
      <c r="CK380" s="37">
        <f t="shared" si="104"/>
        <v>226.2</v>
      </c>
      <c r="CL380" s="37">
        <f t="shared" si="105"/>
        <v>217.49999999999997</v>
      </c>
      <c r="CM380" s="37">
        <f t="shared" si="106"/>
        <v>217.49999999999997</v>
      </c>
    </row>
    <row r="381" spans="1:91" ht="25.5">
      <c r="B381" s="156">
        <v>375</v>
      </c>
      <c r="C381" s="160">
        <v>208</v>
      </c>
      <c r="D381" s="162">
        <v>384</v>
      </c>
      <c r="E381" s="161">
        <v>0.5541666666666667</v>
      </c>
      <c r="F381" s="161">
        <v>0.56666666666666665</v>
      </c>
      <c r="G381" s="160" t="s">
        <v>196</v>
      </c>
      <c r="H381" s="160" t="s">
        <v>103</v>
      </c>
      <c r="I381" s="163">
        <v>10.5</v>
      </c>
      <c r="J381" s="164" t="s">
        <v>116</v>
      </c>
      <c r="K381" s="165">
        <v>174</v>
      </c>
      <c r="L381" s="166">
        <f t="shared" si="93"/>
        <v>1827</v>
      </c>
      <c r="M381" s="177" t="s">
        <v>749</v>
      </c>
      <c r="N381" s="154" t="s">
        <v>948</v>
      </c>
      <c r="O381" s="154">
        <v>9</v>
      </c>
      <c r="P381" s="154" t="s">
        <v>947</v>
      </c>
      <c r="Q381" s="154">
        <v>9</v>
      </c>
      <c r="S381" s="154"/>
      <c r="T381" s="45">
        <v>2219</v>
      </c>
      <c r="U381" s="45" t="s">
        <v>1516</v>
      </c>
      <c r="V381" s="45" t="s">
        <v>1525</v>
      </c>
      <c r="W381" s="45" t="s">
        <v>1526</v>
      </c>
      <c r="X381" s="98">
        <v>44816</v>
      </c>
      <c r="Y381" s="98">
        <v>45086</v>
      </c>
      <c r="Z381" s="98"/>
      <c r="AA381" s="98"/>
      <c r="AB381" s="41" t="s">
        <v>1114</v>
      </c>
      <c r="AC381" s="41"/>
      <c r="AD381" s="42"/>
      <c r="AE381" s="42"/>
      <c r="AF381" s="42"/>
      <c r="AG381" s="42" t="s">
        <v>734</v>
      </c>
      <c r="AH381" s="42" t="s">
        <v>734</v>
      </c>
      <c r="AI381" s="42" t="s">
        <v>734</v>
      </c>
      <c r="AJ381" s="42" t="s">
        <v>734</v>
      </c>
      <c r="AK381" s="42" t="s">
        <v>734</v>
      </c>
      <c r="AL381" s="42" t="s">
        <v>734</v>
      </c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68">
        <v>18.899999999999999</v>
      </c>
      <c r="AY381" s="37"/>
      <c r="BA381" s="68"/>
      <c r="BB381" s="68"/>
      <c r="BD381" s="67">
        <f t="shared" si="111"/>
        <v>3288.6</v>
      </c>
      <c r="BE381" s="67"/>
      <c r="BF381" s="37"/>
      <c r="BG381" s="73">
        <v>1</v>
      </c>
      <c r="BH381" s="67">
        <f t="shared" si="115"/>
        <v>2.1000000000000014</v>
      </c>
      <c r="BI381" s="67">
        <f t="shared" si="116"/>
        <v>0</v>
      </c>
      <c r="BJ381" s="67">
        <f t="shared" si="117"/>
        <v>365.40000000000026</v>
      </c>
      <c r="BN381" s="37"/>
      <c r="BO381" s="70">
        <f t="shared" si="112"/>
        <v>0</v>
      </c>
      <c r="BP381" s="37">
        <v>15</v>
      </c>
      <c r="BQ381" s="37">
        <v>20</v>
      </c>
      <c r="BR381" s="37">
        <v>21</v>
      </c>
      <c r="BS381" s="37">
        <v>15</v>
      </c>
      <c r="BT381" s="87">
        <f t="shared" si="113"/>
        <v>21</v>
      </c>
      <c r="BU381" s="87"/>
      <c r="BV381" s="87"/>
      <c r="BW381" s="87"/>
      <c r="BX381" s="87"/>
      <c r="BY381" s="87"/>
      <c r="BZ381" s="87"/>
      <c r="CA381" s="87"/>
      <c r="CB381" s="87"/>
      <c r="CC381" s="87"/>
      <c r="CD381" s="87"/>
      <c r="CF381" s="67">
        <f t="shared" si="114"/>
        <v>315</v>
      </c>
      <c r="CG381" s="67">
        <f t="shared" si="101"/>
        <v>420</v>
      </c>
      <c r="CH381" s="67">
        <f t="shared" si="102"/>
        <v>441</v>
      </c>
      <c r="CI381" s="67">
        <f t="shared" si="107"/>
        <v>315</v>
      </c>
      <c r="CJ381" s="37">
        <f t="shared" si="103"/>
        <v>157.5</v>
      </c>
      <c r="CK381" s="37">
        <f t="shared" si="104"/>
        <v>210</v>
      </c>
      <c r="CL381" s="37">
        <f t="shared" si="105"/>
        <v>220.5</v>
      </c>
      <c r="CM381" s="37">
        <f t="shared" si="106"/>
        <v>157.5</v>
      </c>
    </row>
    <row r="382" spans="1:91" ht="25.5">
      <c r="B382" s="156">
        <v>376</v>
      </c>
      <c r="C382" s="160">
        <v>208</v>
      </c>
      <c r="D382" s="160">
        <v>221</v>
      </c>
      <c r="E382" s="161">
        <v>0.55625000000000002</v>
      </c>
      <c r="F382" s="161">
        <v>0.57013888888888886</v>
      </c>
      <c r="G382" s="174" t="s">
        <v>1047</v>
      </c>
      <c r="H382" s="162" t="s">
        <v>123</v>
      </c>
      <c r="I382" s="163">
        <v>9</v>
      </c>
      <c r="J382" s="164" t="s">
        <v>116</v>
      </c>
      <c r="K382" s="165">
        <v>34</v>
      </c>
      <c r="L382" s="166">
        <f t="shared" si="93"/>
        <v>306</v>
      </c>
      <c r="M382" s="177" t="s">
        <v>749</v>
      </c>
      <c r="N382" s="154" t="s">
        <v>948</v>
      </c>
      <c r="O382" s="154">
        <v>9</v>
      </c>
      <c r="P382" s="154" t="s">
        <v>947</v>
      </c>
      <c r="Q382" s="154">
        <v>9</v>
      </c>
      <c r="S382" s="154"/>
      <c r="T382" s="45" t="s">
        <v>1518</v>
      </c>
      <c r="U382" s="45" t="s">
        <v>1519</v>
      </c>
      <c r="V382" s="45">
        <v>2180</v>
      </c>
      <c r="W382" s="45" t="s">
        <v>1483</v>
      </c>
      <c r="X382" s="98">
        <v>44816</v>
      </c>
      <c r="Y382" s="98">
        <v>45086</v>
      </c>
      <c r="Z382" s="98"/>
      <c r="AA382" s="98"/>
      <c r="AB382" s="41" t="s">
        <v>1123</v>
      </c>
      <c r="AC382" s="41"/>
      <c r="AD382" s="42"/>
      <c r="AE382" s="42"/>
      <c r="AF382" s="42"/>
      <c r="AG382" s="42" t="s">
        <v>734</v>
      </c>
      <c r="AH382" s="42"/>
      <c r="AI382" s="42"/>
      <c r="AJ382" s="42"/>
      <c r="AK382" s="42"/>
      <c r="AL382" s="42"/>
      <c r="AM382" s="42" t="s">
        <v>734</v>
      </c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68">
        <v>18.899999999999999</v>
      </c>
      <c r="AY382" s="37"/>
      <c r="BA382" s="68"/>
      <c r="BB382" s="68"/>
      <c r="BD382" s="67">
        <f t="shared" si="111"/>
        <v>642.59999999999991</v>
      </c>
      <c r="BE382" s="67"/>
      <c r="BF382" s="37"/>
      <c r="BG382" s="73">
        <v>1</v>
      </c>
      <c r="BH382" s="67">
        <f t="shared" si="115"/>
        <v>0</v>
      </c>
      <c r="BI382" s="67">
        <f t="shared" si="116"/>
        <v>0</v>
      </c>
      <c r="BJ382" s="70">
        <f t="shared" si="117"/>
        <v>0</v>
      </c>
      <c r="BN382" s="37"/>
      <c r="BO382" s="70">
        <f t="shared" si="112"/>
        <v>0</v>
      </c>
      <c r="BP382" s="37">
        <v>2</v>
      </c>
      <c r="BQ382" s="37">
        <v>5</v>
      </c>
      <c r="BR382" s="37">
        <v>4</v>
      </c>
      <c r="BS382" s="37">
        <v>3</v>
      </c>
      <c r="BT382" s="87">
        <f t="shared" si="113"/>
        <v>18.899999999999999</v>
      </c>
      <c r="BU382" s="87"/>
      <c r="BV382" s="87"/>
      <c r="BW382" s="87"/>
      <c r="BX382" s="87"/>
      <c r="BY382" s="87"/>
      <c r="BZ382" s="87"/>
      <c r="CA382" s="87"/>
      <c r="CB382" s="87"/>
      <c r="CC382" s="87"/>
      <c r="CD382" s="87"/>
      <c r="CF382" s="67">
        <f t="shared" si="114"/>
        <v>37.799999999999997</v>
      </c>
      <c r="CG382" s="67">
        <f t="shared" si="101"/>
        <v>94.5</v>
      </c>
      <c r="CH382" s="67">
        <f t="shared" si="102"/>
        <v>75.599999999999994</v>
      </c>
      <c r="CI382" s="67">
        <f t="shared" si="107"/>
        <v>56.699999999999996</v>
      </c>
      <c r="CJ382" s="37">
        <f t="shared" si="103"/>
        <v>18</v>
      </c>
      <c r="CK382" s="37">
        <f t="shared" si="104"/>
        <v>45</v>
      </c>
      <c r="CL382" s="37">
        <f t="shared" si="105"/>
        <v>36</v>
      </c>
      <c r="CM382" s="37">
        <f t="shared" si="106"/>
        <v>27</v>
      </c>
    </row>
    <row r="383" spans="1:91" ht="25.5">
      <c r="B383" s="156">
        <v>377</v>
      </c>
      <c r="C383" s="160">
        <v>208</v>
      </c>
      <c r="D383" s="164">
        <v>498</v>
      </c>
      <c r="E383" s="173">
        <v>0.5756944444444444</v>
      </c>
      <c r="F383" s="173">
        <v>0.59166666666666667</v>
      </c>
      <c r="G383" s="160" t="s">
        <v>280</v>
      </c>
      <c r="H383" s="160" t="s">
        <v>103</v>
      </c>
      <c r="I383" s="163">
        <v>10.5</v>
      </c>
      <c r="J383" s="164" t="s">
        <v>269</v>
      </c>
      <c r="K383" s="165">
        <v>174</v>
      </c>
      <c r="L383" s="166">
        <f t="shared" si="93"/>
        <v>1827</v>
      </c>
      <c r="M383" s="177" t="s">
        <v>744</v>
      </c>
      <c r="N383" s="154" t="s">
        <v>800</v>
      </c>
      <c r="O383" s="154">
        <v>37</v>
      </c>
      <c r="P383" s="154" t="s">
        <v>802</v>
      </c>
      <c r="Q383" s="154">
        <v>29</v>
      </c>
      <c r="R383" s="154" t="s">
        <v>976</v>
      </c>
      <c r="S383" s="152">
        <v>29</v>
      </c>
      <c r="T383" s="45">
        <v>2180</v>
      </c>
      <c r="U383" s="45" t="s">
        <v>1483</v>
      </c>
      <c r="V383" s="45" t="s">
        <v>1514</v>
      </c>
      <c r="W383" s="45" t="s">
        <v>1515</v>
      </c>
      <c r="X383" s="98">
        <v>44816</v>
      </c>
      <c r="Y383" s="98">
        <v>45086</v>
      </c>
      <c r="Z383" s="98"/>
      <c r="AA383" s="98"/>
      <c r="AB383" s="41" t="s">
        <v>1114</v>
      </c>
      <c r="AC383" s="41"/>
      <c r="AD383" s="42"/>
      <c r="AE383" s="42"/>
      <c r="AF383" s="42"/>
      <c r="AG383" s="42" t="s">
        <v>734</v>
      </c>
      <c r="AH383" s="42" t="s">
        <v>734</v>
      </c>
      <c r="AI383" s="42" t="s">
        <v>734</v>
      </c>
      <c r="AJ383" s="42" t="s">
        <v>734</v>
      </c>
      <c r="AK383" s="42" t="s">
        <v>734</v>
      </c>
      <c r="AL383" s="42" t="s">
        <v>734</v>
      </c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68">
        <v>18.899999999999999</v>
      </c>
      <c r="AY383" s="37"/>
      <c r="BA383" s="68"/>
      <c r="BB383" s="68"/>
      <c r="BD383" s="67">
        <f t="shared" si="111"/>
        <v>3288.6</v>
      </c>
      <c r="BE383" s="67"/>
      <c r="BF383" s="37"/>
      <c r="BG383" s="73">
        <v>1</v>
      </c>
      <c r="BH383" s="67">
        <f t="shared" si="115"/>
        <v>2.1000000000000014</v>
      </c>
      <c r="BI383" s="67">
        <f t="shared" si="116"/>
        <v>0</v>
      </c>
      <c r="BJ383" s="67">
        <f t="shared" si="117"/>
        <v>365.40000000000026</v>
      </c>
      <c r="BN383" s="37"/>
      <c r="BO383" s="70">
        <f t="shared" si="112"/>
        <v>0</v>
      </c>
      <c r="BP383" s="37">
        <v>15</v>
      </c>
      <c r="BQ383" s="37">
        <v>20</v>
      </c>
      <c r="BR383" s="37">
        <v>21</v>
      </c>
      <c r="BS383" s="37">
        <v>15</v>
      </c>
      <c r="BT383" s="87">
        <f t="shared" si="113"/>
        <v>21</v>
      </c>
      <c r="BU383" s="87"/>
      <c r="BV383" s="87"/>
      <c r="BW383" s="87"/>
      <c r="BX383" s="87"/>
      <c r="BY383" s="87"/>
      <c r="BZ383" s="87"/>
      <c r="CA383" s="87"/>
      <c r="CB383" s="87"/>
      <c r="CC383" s="87"/>
      <c r="CD383" s="87"/>
      <c r="CF383" s="67">
        <f t="shared" si="114"/>
        <v>315</v>
      </c>
      <c r="CG383" s="67">
        <f t="shared" si="101"/>
        <v>420</v>
      </c>
      <c r="CH383" s="67">
        <f t="shared" si="102"/>
        <v>441</v>
      </c>
      <c r="CI383" s="67">
        <f t="shared" si="107"/>
        <v>315</v>
      </c>
      <c r="CJ383" s="37">
        <f t="shared" si="103"/>
        <v>157.5</v>
      </c>
      <c r="CK383" s="37">
        <f t="shared" si="104"/>
        <v>210</v>
      </c>
      <c r="CL383" s="37">
        <f t="shared" si="105"/>
        <v>220.5</v>
      </c>
      <c r="CM383" s="37">
        <f t="shared" si="106"/>
        <v>157.5</v>
      </c>
    </row>
    <row r="384" spans="1:91" ht="25.5">
      <c r="B384" s="156">
        <v>378</v>
      </c>
      <c r="C384" s="160">
        <v>208</v>
      </c>
      <c r="D384" s="160">
        <v>223</v>
      </c>
      <c r="E384" s="161">
        <v>0.58472222222222225</v>
      </c>
      <c r="F384" s="161">
        <v>0.60138888888888886</v>
      </c>
      <c r="G384" s="160" t="s">
        <v>524</v>
      </c>
      <c r="H384" s="160" t="s">
        <v>103</v>
      </c>
      <c r="I384" s="163">
        <v>11.6</v>
      </c>
      <c r="J384" s="164" t="s">
        <v>523</v>
      </c>
      <c r="K384" s="165">
        <v>174</v>
      </c>
      <c r="L384" s="166">
        <f t="shared" si="93"/>
        <v>2018.3999999999999</v>
      </c>
      <c r="M384" s="177" t="s">
        <v>750</v>
      </c>
      <c r="N384" s="154" t="s">
        <v>864</v>
      </c>
      <c r="O384" s="154">
        <v>55</v>
      </c>
      <c r="P384" s="154" t="s">
        <v>1268</v>
      </c>
      <c r="Q384" s="154">
        <v>57</v>
      </c>
      <c r="R384" s="154" t="s">
        <v>1269</v>
      </c>
      <c r="S384" s="154">
        <v>37</v>
      </c>
      <c r="T384" s="45" t="s">
        <v>1525</v>
      </c>
      <c r="U384" s="45" t="s">
        <v>1526</v>
      </c>
      <c r="V384" s="45">
        <v>2218</v>
      </c>
      <c r="W384" s="45" t="s">
        <v>1527</v>
      </c>
      <c r="X384" s="98">
        <v>44816</v>
      </c>
      <c r="Y384" s="98">
        <v>45086</v>
      </c>
      <c r="Z384" s="98"/>
      <c r="AA384" s="98"/>
      <c r="AB384" s="41" t="s">
        <v>1114</v>
      </c>
      <c r="AC384" s="41"/>
      <c r="AD384" s="42"/>
      <c r="AE384" s="42"/>
      <c r="AF384" s="42"/>
      <c r="AG384" s="42" t="s">
        <v>734</v>
      </c>
      <c r="AH384" s="42" t="s">
        <v>734</v>
      </c>
      <c r="AI384" s="42" t="s">
        <v>734</v>
      </c>
      <c r="AJ384" s="42" t="s">
        <v>734</v>
      </c>
      <c r="AK384" s="42" t="s">
        <v>734</v>
      </c>
      <c r="AL384" s="42" t="s">
        <v>734</v>
      </c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68">
        <v>34.799999999999997</v>
      </c>
      <c r="AY384" s="37"/>
      <c r="BA384" s="68"/>
      <c r="BB384" s="68"/>
      <c r="BD384" s="67">
        <f t="shared" si="111"/>
        <v>6055.2</v>
      </c>
      <c r="BE384" s="67"/>
      <c r="BF384" s="37"/>
      <c r="BG384" s="69">
        <v>2</v>
      </c>
      <c r="BH384" s="67">
        <f t="shared" si="115"/>
        <v>0</v>
      </c>
      <c r="BI384" s="67">
        <f t="shared" si="116"/>
        <v>0</v>
      </c>
      <c r="BJ384" s="70">
        <f t="shared" si="117"/>
        <v>0</v>
      </c>
      <c r="BN384" s="37"/>
      <c r="BO384" s="70">
        <f t="shared" si="112"/>
        <v>0</v>
      </c>
      <c r="BP384" s="37">
        <v>15</v>
      </c>
      <c r="BQ384" s="37">
        <v>20</v>
      </c>
      <c r="BR384" s="37">
        <v>21</v>
      </c>
      <c r="BS384" s="37">
        <v>15</v>
      </c>
      <c r="BT384" s="87">
        <f t="shared" si="113"/>
        <v>34.799999999999997</v>
      </c>
      <c r="BU384" s="87"/>
      <c r="BV384" s="87"/>
      <c r="BW384" s="87"/>
      <c r="BX384" s="87"/>
      <c r="BY384" s="87"/>
      <c r="BZ384" s="87"/>
      <c r="CA384" s="87"/>
      <c r="CB384" s="87"/>
      <c r="CC384" s="87"/>
      <c r="CD384" s="87"/>
      <c r="CF384" s="67">
        <f t="shared" si="114"/>
        <v>522</v>
      </c>
      <c r="CG384" s="67">
        <f t="shared" si="101"/>
        <v>696</v>
      </c>
      <c r="CH384" s="67">
        <f t="shared" si="102"/>
        <v>730.8</v>
      </c>
      <c r="CI384" s="67">
        <f t="shared" si="107"/>
        <v>522</v>
      </c>
      <c r="CJ384" s="37">
        <f t="shared" si="103"/>
        <v>174</v>
      </c>
      <c r="CK384" s="37">
        <f t="shared" si="104"/>
        <v>232</v>
      </c>
      <c r="CL384" s="37">
        <f t="shared" si="105"/>
        <v>243.6</v>
      </c>
      <c r="CM384" s="37">
        <f t="shared" si="106"/>
        <v>174</v>
      </c>
    </row>
    <row r="385" spans="1:91" ht="25.5">
      <c r="B385" s="156">
        <v>379</v>
      </c>
      <c r="C385" s="160">
        <v>208</v>
      </c>
      <c r="D385" s="162">
        <v>420</v>
      </c>
      <c r="E385" s="173">
        <v>0.6875</v>
      </c>
      <c r="F385" s="173">
        <v>0.72152777777777777</v>
      </c>
      <c r="G385" s="162" t="s">
        <v>271</v>
      </c>
      <c r="H385" s="160" t="s">
        <v>194</v>
      </c>
      <c r="I385" s="163">
        <v>27.5</v>
      </c>
      <c r="J385" s="164">
        <v>50</v>
      </c>
      <c r="K385" s="165">
        <f>34+34+36+33</f>
        <v>137</v>
      </c>
      <c r="L385" s="166">
        <f t="shared" ref="L385:L448" si="118">+K385*I385</f>
        <v>3767.5</v>
      </c>
      <c r="M385" s="177" t="s">
        <v>744</v>
      </c>
      <c r="N385" s="154" t="s">
        <v>801</v>
      </c>
      <c r="O385" s="154">
        <v>45</v>
      </c>
      <c r="P385" s="154" t="s">
        <v>802</v>
      </c>
      <c r="Q385" s="154">
        <v>29</v>
      </c>
      <c r="R385" s="154" t="s">
        <v>800</v>
      </c>
      <c r="S385" s="150">
        <v>37</v>
      </c>
      <c r="T385" s="45">
        <v>2180</v>
      </c>
      <c r="U385" s="45" t="s">
        <v>1483</v>
      </c>
      <c r="V385" s="45" t="s">
        <v>1525</v>
      </c>
      <c r="W385" s="45" t="s">
        <v>1526</v>
      </c>
      <c r="X385" s="98">
        <v>44816</v>
      </c>
      <c r="Y385" s="98">
        <v>45086</v>
      </c>
      <c r="Z385" s="98"/>
      <c r="AA385" s="98"/>
      <c r="AB385" s="43" t="s">
        <v>1117</v>
      </c>
      <c r="AC385" s="43"/>
      <c r="AD385" s="42"/>
      <c r="AE385" s="42"/>
      <c r="AF385" s="42"/>
      <c r="AG385" s="42" t="s">
        <v>734</v>
      </c>
      <c r="AH385" s="42" t="s">
        <v>734</v>
      </c>
      <c r="AI385" s="42" t="s">
        <v>734</v>
      </c>
      <c r="AJ385" s="42" t="s">
        <v>734</v>
      </c>
      <c r="AK385" s="42" t="s">
        <v>734</v>
      </c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68">
        <v>81.36</v>
      </c>
      <c r="AY385" s="37"/>
      <c r="BA385" s="68"/>
      <c r="BB385" s="68"/>
      <c r="BD385" s="67">
        <f t="shared" si="111"/>
        <v>11146.32</v>
      </c>
      <c r="BE385" s="67"/>
      <c r="BF385" s="37"/>
      <c r="BG385" s="69">
        <v>2</v>
      </c>
      <c r="BH385" s="67">
        <f t="shared" si="115"/>
        <v>0</v>
      </c>
      <c r="BI385" s="67">
        <f t="shared" si="116"/>
        <v>1.1400000000000006</v>
      </c>
      <c r="BJ385" s="70">
        <f t="shared" si="117"/>
        <v>156.18000000000006</v>
      </c>
      <c r="BN385" s="37"/>
      <c r="BO385" s="70">
        <f t="shared" si="112"/>
        <v>0</v>
      </c>
      <c r="BP385" s="37">
        <v>12</v>
      </c>
      <c r="BQ385" s="37">
        <v>16</v>
      </c>
      <c r="BR385" s="37">
        <v>17</v>
      </c>
      <c r="BS385" s="37">
        <v>12</v>
      </c>
      <c r="BT385" s="87">
        <f t="shared" si="113"/>
        <v>82.5</v>
      </c>
      <c r="BU385" s="87"/>
      <c r="BV385" s="87"/>
      <c r="BW385" s="87"/>
      <c r="BX385" s="87"/>
      <c r="BY385" s="87"/>
      <c r="BZ385" s="87"/>
      <c r="CA385" s="87"/>
      <c r="CB385" s="87"/>
      <c r="CC385" s="87"/>
      <c r="CD385" s="87"/>
      <c r="CF385" s="67">
        <f t="shared" si="114"/>
        <v>990</v>
      </c>
      <c r="CG385" s="67">
        <f t="shared" si="101"/>
        <v>1320</v>
      </c>
      <c r="CH385" s="67">
        <f t="shared" si="102"/>
        <v>1402.5</v>
      </c>
      <c r="CI385" s="67">
        <f t="shared" si="107"/>
        <v>990</v>
      </c>
      <c r="CJ385" s="37">
        <f t="shared" si="103"/>
        <v>330</v>
      </c>
      <c r="CK385" s="37">
        <f t="shared" si="104"/>
        <v>440</v>
      </c>
      <c r="CL385" s="37">
        <f t="shared" si="105"/>
        <v>467.5</v>
      </c>
      <c r="CM385" s="37">
        <f t="shared" si="106"/>
        <v>330</v>
      </c>
    </row>
    <row r="386" spans="1:91" ht="25.5">
      <c r="B386" s="156">
        <v>380</v>
      </c>
      <c r="C386" s="160">
        <v>208</v>
      </c>
      <c r="D386" s="164">
        <v>374</v>
      </c>
      <c r="E386" s="173">
        <v>0.72430555555555554</v>
      </c>
      <c r="F386" s="173">
        <v>0.74861111111111101</v>
      </c>
      <c r="G386" s="160" t="s">
        <v>279</v>
      </c>
      <c r="H386" s="160" t="s">
        <v>103</v>
      </c>
      <c r="I386" s="163">
        <v>17</v>
      </c>
      <c r="J386" s="164">
        <v>44</v>
      </c>
      <c r="K386" s="165">
        <v>174</v>
      </c>
      <c r="L386" s="166">
        <f t="shared" si="118"/>
        <v>2958</v>
      </c>
      <c r="M386" s="177" t="s">
        <v>744</v>
      </c>
      <c r="N386" s="154" t="s">
        <v>976</v>
      </c>
      <c r="O386" s="154">
        <v>29</v>
      </c>
      <c r="P386" s="154" t="s">
        <v>802</v>
      </c>
      <c r="Q386" s="154">
        <v>29</v>
      </c>
      <c r="R386" s="154" t="s">
        <v>979</v>
      </c>
      <c r="S386" s="152">
        <v>25</v>
      </c>
      <c r="T386" s="45">
        <v>2180</v>
      </c>
      <c r="U386" s="45" t="s">
        <v>1483</v>
      </c>
      <c r="V386" s="45" t="s">
        <v>1518</v>
      </c>
      <c r="W386" s="45" t="s">
        <v>1519</v>
      </c>
      <c r="X386" s="98">
        <v>44816</v>
      </c>
      <c r="Y386" s="98">
        <v>45086</v>
      </c>
      <c r="Z386" s="98"/>
      <c r="AA386" s="98"/>
      <c r="AB386" s="41" t="s">
        <v>1114</v>
      </c>
      <c r="AC386" s="41"/>
      <c r="AD386" s="42"/>
      <c r="AE386" s="42"/>
      <c r="AF386" s="42"/>
      <c r="AG386" s="42" t="s">
        <v>734</v>
      </c>
      <c r="AH386" s="42" t="s">
        <v>734</v>
      </c>
      <c r="AI386" s="42" t="s">
        <v>734</v>
      </c>
      <c r="AJ386" s="42" t="s">
        <v>734</v>
      </c>
      <c r="AK386" s="42" t="s">
        <v>734</v>
      </c>
      <c r="AL386" s="42" t="s">
        <v>734</v>
      </c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68">
        <v>69.38</v>
      </c>
      <c r="AY386" s="37"/>
      <c r="BA386" s="68"/>
      <c r="BB386" s="68"/>
      <c r="BD386" s="67">
        <f t="shared" si="111"/>
        <v>12072.119999999999</v>
      </c>
      <c r="BE386" s="67"/>
      <c r="BF386" s="37"/>
      <c r="BG386" s="69">
        <v>2</v>
      </c>
      <c r="BH386" s="67">
        <f t="shared" si="115"/>
        <v>0</v>
      </c>
      <c r="BI386" s="67">
        <f t="shared" si="116"/>
        <v>0</v>
      </c>
      <c r="BJ386" s="70">
        <f t="shared" si="117"/>
        <v>0</v>
      </c>
      <c r="BN386" s="37"/>
      <c r="BO386" s="70">
        <f t="shared" si="112"/>
        <v>0</v>
      </c>
      <c r="BP386" s="37">
        <v>15</v>
      </c>
      <c r="BQ386" s="37">
        <v>20</v>
      </c>
      <c r="BR386" s="37">
        <v>21</v>
      </c>
      <c r="BS386" s="37">
        <v>15</v>
      </c>
      <c r="BT386" s="87">
        <f t="shared" si="113"/>
        <v>69.38</v>
      </c>
      <c r="BU386" s="87"/>
      <c r="BV386" s="87"/>
      <c r="BW386" s="87"/>
      <c r="BX386" s="87"/>
      <c r="BY386" s="87"/>
      <c r="BZ386" s="87"/>
      <c r="CA386" s="87"/>
      <c r="CB386" s="87"/>
      <c r="CC386" s="87"/>
      <c r="CD386" s="87"/>
      <c r="CF386" s="67">
        <f t="shared" si="114"/>
        <v>1040.6999999999998</v>
      </c>
      <c r="CG386" s="67">
        <f t="shared" si="101"/>
        <v>1387.6</v>
      </c>
      <c r="CH386" s="67">
        <f t="shared" si="102"/>
        <v>1456.98</v>
      </c>
      <c r="CI386" s="67">
        <f t="shared" si="107"/>
        <v>1040.6999999999998</v>
      </c>
      <c r="CJ386" s="37">
        <f t="shared" si="103"/>
        <v>255</v>
      </c>
      <c r="CK386" s="37">
        <f t="shared" si="104"/>
        <v>340</v>
      </c>
      <c r="CL386" s="37">
        <f t="shared" si="105"/>
        <v>357</v>
      </c>
      <c r="CM386" s="37">
        <f t="shared" si="106"/>
        <v>255</v>
      </c>
    </row>
    <row r="387" spans="1:91" ht="25.5">
      <c r="B387" s="156">
        <v>381</v>
      </c>
      <c r="C387" s="160">
        <v>208</v>
      </c>
      <c r="D387" s="160">
        <v>54</v>
      </c>
      <c r="E387" s="161">
        <v>0.74305555555555547</v>
      </c>
      <c r="F387" s="161">
        <v>0.76736111111111116</v>
      </c>
      <c r="G387" s="160" t="s">
        <v>199</v>
      </c>
      <c r="H387" s="160" t="s">
        <v>103</v>
      </c>
      <c r="I387" s="163">
        <v>17</v>
      </c>
      <c r="J387" s="164">
        <v>22</v>
      </c>
      <c r="K387" s="165">
        <v>174</v>
      </c>
      <c r="L387" s="166">
        <f t="shared" si="118"/>
        <v>2958</v>
      </c>
      <c r="M387" s="177" t="s">
        <v>751</v>
      </c>
      <c r="N387" s="150" t="s">
        <v>794</v>
      </c>
      <c r="O387" s="154">
        <v>23</v>
      </c>
      <c r="P387" s="154" t="s">
        <v>793</v>
      </c>
      <c r="Q387" s="154">
        <v>23</v>
      </c>
      <c r="R387" s="154" t="s">
        <v>835</v>
      </c>
      <c r="S387" s="150">
        <v>17</v>
      </c>
      <c r="T387" s="45">
        <v>2180</v>
      </c>
      <c r="U387" s="45" t="s">
        <v>1483</v>
      </c>
      <c r="V387" s="45" t="s">
        <v>1518</v>
      </c>
      <c r="W387" s="45" t="s">
        <v>1519</v>
      </c>
      <c r="X387" s="98">
        <v>44816</v>
      </c>
      <c r="Y387" s="98">
        <v>45086</v>
      </c>
      <c r="Z387" s="98"/>
      <c r="AA387" s="98"/>
      <c r="AB387" s="41" t="s">
        <v>1114</v>
      </c>
      <c r="AC387" s="41"/>
      <c r="AD387" s="42"/>
      <c r="AE387" s="42"/>
      <c r="AF387" s="42"/>
      <c r="AG387" s="42" t="s">
        <v>734</v>
      </c>
      <c r="AH387" s="42" t="s">
        <v>734</v>
      </c>
      <c r="AI387" s="42" t="s">
        <v>734</v>
      </c>
      <c r="AJ387" s="42" t="s">
        <v>734</v>
      </c>
      <c r="AK387" s="42" t="s">
        <v>734</v>
      </c>
      <c r="AL387" s="42" t="s">
        <v>734</v>
      </c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68">
        <v>42.5</v>
      </c>
      <c r="AY387" s="37"/>
      <c r="BA387" s="68"/>
      <c r="BB387" s="68"/>
      <c r="BD387" s="67">
        <f t="shared" ref="BD387:BD402" si="119">AX387*K387</f>
        <v>7395</v>
      </c>
      <c r="BE387" s="67"/>
      <c r="BF387" s="37"/>
      <c r="BG387" s="73">
        <v>1</v>
      </c>
      <c r="BH387" s="67">
        <f t="shared" si="115"/>
        <v>0</v>
      </c>
      <c r="BI387" s="67">
        <f t="shared" si="116"/>
        <v>0</v>
      </c>
      <c r="BJ387" s="70">
        <f t="shared" si="117"/>
        <v>0</v>
      </c>
      <c r="BN387" s="37"/>
      <c r="BO387" s="70">
        <f t="shared" ref="BO387:BO418" si="120">BN387*K387</f>
        <v>0</v>
      </c>
      <c r="BP387" s="37">
        <v>15</v>
      </c>
      <c r="BQ387" s="37">
        <v>20</v>
      </c>
      <c r="BR387" s="37">
        <v>21</v>
      </c>
      <c r="BS387" s="37">
        <v>15</v>
      </c>
      <c r="BT387" s="87">
        <f t="shared" ref="BT387:BT418" si="121">SUM(AX387:AZ387)+SUM(BH387:BI387)+SUM(BK387:BL387)+BN387</f>
        <v>42.5</v>
      </c>
      <c r="BU387" s="87"/>
      <c r="BV387" s="87"/>
      <c r="BW387" s="87"/>
      <c r="BX387" s="87"/>
      <c r="BY387" s="87"/>
      <c r="BZ387" s="87"/>
      <c r="CA387" s="87"/>
      <c r="CB387" s="87"/>
      <c r="CC387" s="87"/>
      <c r="CD387" s="87"/>
      <c r="CF387" s="67">
        <f t="shared" ref="CF387:CF418" si="122">(BT387*BP387)+(BV387*CD387)</f>
        <v>637.5</v>
      </c>
      <c r="CG387" s="67">
        <f t="shared" ref="CG387:CG450" si="123">(BT387*BQ387)+(BX387*CD387)</f>
        <v>850</v>
      </c>
      <c r="CH387" s="67">
        <f t="shared" ref="CH387:CH450" si="124">(BR387*BT387)+(BZ387*CD387)</f>
        <v>892.5</v>
      </c>
      <c r="CI387" s="67">
        <f t="shared" si="107"/>
        <v>637.5</v>
      </c>
      <c r="CJ387" s="37">
        <f t="shared" ref="CJ387:CJ450" si="125">BP387*I387</f>
        <v>255</v>
      </c>
      <c r="CK387" s="37">
        <f t="shared" ref="CK387:CK450" si="126">BQ387*I387</f>
        <v>340</v>
      </c>
      <c r="CL387" s="37">
        <f t="shared" ref="CL387:CL450" si="127">BR387*I387</f>
        <v>357</v>
      </c>
      <c r="CM387" s="37">
        <f t="shared" ref="CM387:CM450" si="128">BS387*I387</f>
        <v>255</v>
      </c>
    </row>
    <row r="388" spans="1:91" ht="25.5">
      <c r="A388" s="3" t="s">
        <v>803</v>
      </c>
      <c r="B388" s="156">
        <v>382</v>
      </c>
      <c r="C388" s="192">
        <v>208</v>
      </c>
      <c r="D388" s="192">
        <v>226</v>
      </c>
      <c r="E388" s="198">
        <v>0.81597222222222221</v>
      </c>
      <c r="F388" s="198">
        <v>0.84027777777777779</v>
      </c>
      <c r="G388" s="194" t="s">
        <v>546</v>
      </c>
      <c r="H388" s="160" t="s">
        <v>424</v>
      </c>
      <c r="I388" s="192">
        <v>17</v>
      </c>
      <c r="J388" s="195">
        <v>50</v>
      </c>
      <c r="K388" s="165">
        <v>67</v>
      </c>
      <c r="L388" s="166">
        <f t="shared" si="118"/>
        <v>1139</v>
      </c>
      <c r="M388" s="167" t="s">
        <v>751</v>
      </c>
      <c r="N388" s="150" t="s">
        <v>793</v>
      </c>
      <c r="O388" s="154">
        <v>23</v>
      </c>
      <c r="P388" s="154" t="s">
        <v>794</v>
      </c>
      <c r="Q388" s="154">
        <v>23</v>
      </c>
      <c r="S388" s="154"/>
      <c r="T388" s="45">
        <v>2180</v>
      </c>
      <c r="U388" s="45" t="s">
        <v>1483</v>
      </c>
      <c r="V388" s="45">
        <v>2219</v>
      </c>
      <c r="W388" s="45" t="s">
        <v>1516</v>
      </c>
      <c r="X388" s="99">
        <v>44562</v>
      </c>
      <c r="Y388" s="99">
        <v>44815</v>
      </c>
      <c r="Z388" s="99">
        <v>45101</v>
      </c>
      <c r="AA388" s="99">
        <v>45169</v>
      </c>
      <c r="AB388" s="42" t="s">
        <v>1119</v>
      </c>
      <c r="AC388" s="42"/>
      <c r="AD388" s="42"/>
      <c r="AE388" s="42" t="s">
        <v>734</v>
      </c>
      <c r="AF388" s="42" t="s">
        <v>734</v>
      </c>
      <c r="AG388" s="42"/>
      <c r="AH388" s="42" t="s">
        <v>734</v>
      </c>
      <c r="AI388" s="42" t="s">
        <v>734</v>
      </c>
      <c r="AJ388" s="42" t="s">
        <v>734</v>
      </c>
      <c r="AK388" s="42" t="s">
        <v>734</v>
      </c>
      <c r="AL388" s="42" t="s">
        <v>734</v>
      </c>
      <c r="AM388" s="42" t="s">
        <v>734</v>
      </c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68">
        <v>40.799999999999997</v>
      </c>
      <c r="AY388" s="37"/>
      <c r="BA388" s="68"/>
      <c r="BB388" s="68"/>
      <c r="BD388" s="67">
        <f t="shared" si="119"/>
        <v>2733.6</v>
      </c>
      <c r="BE388" s="67"/>
      <c r="BF388" s="37"/>
      <c r="BG388" s="69">
        <v>2</v>
      </c>
      <c r="BH388" s="67">
        <f t="shared" si="115"/>
        <v>0</v>
      </c>
      <c r="BI388" s="67">
        <f t="shared" si="116"/>
        <v>10.200000000000003</v>
      </c>
      <c r="BJ388" s="83">
        <f t="shared" si="117"/>
        <v>683.4000000000002</v>
      </c>
      <c r="BN388" s="37"/>
      <c r="BO388" s="70">
        <f t="shared" si="120"/>
        <v>0</v>
      </c>
      <c r="BP388" s="37">
        <v>9</v>
      </c>
      <c r="BQ388" s="37">
        <v>0</v>
      </c>
      <c r="BR388" s="37">
        <v>0</v>
      </c>
      <c r="BS388" s="37">
        <v>0</v>
      </c>
      <c r="BT388" s="87">
        <f t="shared" si="121"/>
        <v>51</v>
      </c>
      <c r="BU388" s="87"/>
      <c r="BV388" s="87"/>
      <c r="BW388" s="87"/>
      <c r="BX388" s="87"/>
      <c r="BY388" s="87"/>
      <c r="BZ388" s="87"/>
      <c r="CA388" s="87"/>
      <c r="CB388" s="87"/>
      <c r="CC388" s="87"/>
      <c r="CD388" s="87"/>
      <c r="CF388" s="67">
        <f t="shared" si="122"/>
        <v>459</v>
      </c>
      <c r="CG388" s="67">
        <f t="shared" si="123"/>
        <v>0</v>
      </c>
      <c r="CH388" s="67">
        <f t="shared" si="124"/>
        <v>0</v>
      </c>
      <c r="CI388" s="67">
        <f t="shared" ref="CI388:CI451" si="129">(BS388*BT388)+(CB388*CD388)</f>
        <v>0</v>
      </c>
      <c r="CJ388" s="37">
        <f t="shared" si="125"/>
        <v>153</v>
      </c>
      <c r="CK388" s="37">
        <f t="shared" si="126"/>
        <v>0</v>
      </c>
      <c r="CL388" s="37">
        <f t="shared" si="127"/>
        <v>0</v>
      </c>
      <c r="CM388" s="37">
        <f t="shared" si="128"/>
        <v>0</v>
      </c>
    </row>
    <row r="389" spans="1:91" ht="25.5">
      <c r="B389" s="156">
        <v>383</v>
      </c>
      <c r="C389" s="160">
        <v>209</v>
      </c>
      <c r="D389" s="162">
        <v>9</v>
      </c>
      <c r="E389" s="161">
        <v>0.26041666666666669</v>
      </c>
      <c r="F389" s="161">
        <v>0.27361111111111108</v>
      </c>
      <c r="G389" s="162" t="s">
        <v>394</v>
      </c>
      <c r="H389" s="160" t="s">
        <v>97</v>
      </c>
      <c r="I389" s="163">
        <v>10.3</v>
      </c>
      <c r="J389" s="164">
        <v>22</v>
      </c>
      <c r="K389" s="199">
        <v>208</v>
      </c>
      <c r="L389" s="166">
        <f t="shared" si="118"/>
        <v>2142.4</v>
      </c>
      <c r="M389" s="177" t="s">
        <v>751</v>
      </c>
      <c r="N389" s="150" t="s">
        <v>794</v>
      </c>
      <c r="O389" s="154">
        <v>23</v>
      </c>
      <c r="P389" s="154" t="s">
        <v>793</v>
      </c>
      <c r="Q389" s="154" t="s">
        <v>269</v>
      </c>
      <c r="R389" s="154" t="s">
        <v>835</v>
      </c>
      <c r="S389" s="150">
        <v>17</v>
      </c>
      <c r="T389" s="45">
        <v>2174</v>
      </c>
      <c r="U389" s="45" t="s">
        <v>1528</v>
      </c>
      <c r="V389" s="45">
        <v>2180</v>
      </c>
      <c r="W389" s="45" t="s">
        <v>1483</v>
      </c>
      <c r="X389" s="98">
        <v>44816</v>
      </c>
      <c r="Y389" s="98">
        <v>45086</v>
      </c>
      <c r="Z389" s="98"/>
      <c r="AA389" s="98"/>
      <c r="AB389" s="41" t="s">
        <v>1118</v>
      </c>
      <c r="AC389" s="41"/>
      <c r="AD389" s="42"/>
      <c r="AE389" s="42"/>
      <c r="AF389" s="42"/>
      <c r="AG389" s="42" t="s">
        <v>734</v>
      </c>
      <c r="AH389" s="42" t="s">
        <v>734</v>
      </c>
      <c r="AI389" s="42" t="s">
        <v>734</v>
      </c>
      <c r="AJ389" s="42" t="s">
        <v>734</v>
      </c>
      <c r="AK389" s="42" t="s">
        <v>734</v>
      </c>
      <c r="AL389" s="42" t="s">
        <v>734</v>
      </c>
      <c r="AM389" s="42" t="s">
        <v>734</v>
      </c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68">
        <v>25.71</v>
      </c>
      <c r="AY389" s="37"/>
      <c r="BA389" s="68"/>
      <c r="BB389" s="68"/>
      <c r="BD389" s="67">
        <f t="shared" si="119"/>
        <v>5347.68</v>
      </c>
      <c r="BE389" s="67"/>
      <c r="BF389" s="37"/>
      <c r="BG389" s="73">
        <v>1</v>
      </c>
      <c r="BH389" s="67">
        <f t="shared" si="115"/>
        <v>0</v>
      </c>
      <c r="BI389" s="67">
        <f t="shared" si="116"/>
        <v>0</v>
      </c>
      <c r="BJ389" s="70">
        <f t="shared" si="117"/>
        <v>0</v>
      </c>
      <c r="BN389" s="67">
        <f>IF((AX389+AY389+AZ389)&lt;20,(20-(AX389+AY389+AZ389)),0)</f>
        <v>0</v>
      </c>
      <c r="BO389" s="70">
        <f t="shared" si="120"/>
        <v>0</v>
      </c>
      <c r="BP389" s="37">
        <v>17</v>
      </c>
      <c r="BQ389" s="37">
        <v>25</v>
      </c>
      <c r="BR389" s="37">
        <v>25</v>
      </c>
      <c r="BS389" s="37">
        <v>18</v>
      </c>
      <c r="BT389" s="87">
        <f t="shared" si="121"/>
        <v>25.71</v>
      </c>
      <c r="BU389" s="87"/>
      <c r="BV389" s="87"/>
      <c r="BW389" s="87"/>
      <c r="BX389" s="87"/>
      <c r="BY389" s="87"/>
      <c r="BZ389" s="87"/>
      <c r="CA389" s="87"/>
      <c r="CB389" s="87"/>
      <c r="CC389" s="87"/>
      <c r="CD389" s="87"/>
      <c r="CF389" s="67">
        <f t="shared" si="122"/>
        <v>437.07</v>
      </c>
      <c r="CG389" s="67">
        <f t="shared" si="123"/>
        <v>642.75</v>
      </c>
      <c r="CH389" s="67">
        <f t="shared" si="124"/>
        <v>642.75</v>
      </c>
      <c r="CI389" s="67">
        <f t="shared" si="129"/>
        <v>462.78000000000003</v>
      </c>
      <c r="CJ389" s="37">
        <f t="shared" si="125"/>
        <v>175.10000000000002</v>
      </c>
      <c r="CK389" s="37">
        <f t="shared" si="126"/>
        <v>257.5</v>
      </c>
      <c r="CL389" s="37">
        <f t="shared" si="127"/>
        <v>257.5</v>
      </c>
      <c r="CM389" s="37">
        <f t="shared" si="128"/>
        <v>185.4</v>
      </c>
    </row>
    <row r="390" spans="1:91" ht="25.5">
      <c r="B390" s="156">
        <v>384</v>
      </c>
      <c r="C390" s="160">
        <v>209</v>
      </c>
      <c r="D390" s="162">
        <v>11</v>
      </c>
      <c r="E390" s="161">
        <v>0.28819444444444448</v>
      </c>
      <c r="F390" s="161">
        <v>0.30208333333333331</v>
      </c>
      <c r="G390" s="162" t="s">
        <v>394</v>
      </c>
      <c r="H390" s="160" t="s">
        <v>97</v>
      </c>
      <c r="I390" s="163">
        <v>10</v>
      </c>
      <c r="J390" s="164">
        <v>22</v>
      </c>
      <c r="K390" s="165">
        <v>208</v>
      </c>
      <c r="L390" s="166">
        <f t="shared" si="118"/>
        <v>2080</v>
      </c>
      <c r="M390" s="177" t="s">
        <v>751</v>
      </c>
      <c r="N390" s="150" t="s">
        <v>794</v>
      </c>
      <c r="O390" s="154">
        <v>23</v>
      </c>
      <c r="P390" s="154" t="s">
        <v>793</v>
      </c>
      <c r="Q390" s="154">
        <v>23</v>
      </c>
      <c r="R390" s="154" t="s">
        <v>835</v>
      </c>
      <c r="S390" s="150">
        <v>17</v>
      </c>
      <c r="T390" s="45">
        <v>2174</v>
      </c>
      <c r="U390" s="45" t="s">
        <v>1528</v>
      </c>
      <c r="V390" s="45">
        <v>2180</v>
      </c>
      <c r="W390" s="45" t="s">
        <v>1483</v>
      </c>
      <c r="X390" s="98">
        <v>44816</v>
      </c>
      <c r="Y390" s="98">
        <v>45086</v>
      </c>
      <c r="Z390" s="98"/>
      <c r="AA390" s="98"/>
      <c r="AB390" s="41" t="s">
        <v>1118</v>
      </c>
      <c r="AC390" s="41"/>
      <c r="AD390" s="42"/>
      <c r="AE390" s="42"/>
      <c r="AF390" s="42"/>
      <c r="AG390" s="42" t="s">
        <v>734</v>
      </c>
      <c r="AH390" s="42" t="s">
        <v>734</v>
      </c>
      <c r="AI390" s="42" t="s">
        <v>734</v>
      </c>
      <c r="AJ390" s="42" t="s">
        <v>734</v>
      </c>
      <c r="AK390" s="42" t="s">
        <v>734</v>
      </c>
      <c r="AL390" s="42" t="s">
        <v>734</v>
      </c>
      <c r="AM390" s="42" t="s">
        <v>734</v>
      </c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68">
        <v>26.33</v>
      </c>
      <c r="AY390" s="37"/>
      <c r="BA390" s="68"/>
      <c r="BB390" s="68"/>
      <c r="BD390" s="67">
        <f t="shared" si="119"/>
        <v>5476.6399999999994</v>
      </c>
      <c r="BE390" s="67"/>
      <c r="BF390" s="37"/>
      <c r="BG390" s="73">
        <v>1</v>
      </c>
      <c r="BH390" s="67">
        <f t="shared" si="115"/>
        <v>0</v>
      </c>
      <c r="BI390" s="67">
        <f t="shared" si="116"/>
        <v>0</v>
      </c>
      <c r="BJ390" s="70">
        <f t="shared" si="117"/>
        <v>0</v>
      </c>
      <c r="BN390" s="67">
        <f>IF((AX390+AY390+AZ390)&lt;20,(20-(AX390+AY390+AZ390)),0)</f>
        <v>0</v>
      </c>
      <c r="BO390" s="70">
        <f t="shared" si="120"/>
        <v>0</v>
      </c>
      <c r="BP390" s="37">
        <v>17</v>
      </c>
      <c r="BQ390" s="37">
        <v>25</v>
      </c>
      <c r="BR390" s="37">
        <v>25</v>
      </c>
      <c r="BS390" s="37">
        <v>18</v>
      </c>
      <c r="BT390" s="87">
        <f t="shared" si="121"/>
        <v>26.33</v>
      </c>
      <c r="BU390" s="87"/>
      <c r="BV390" s="87"/>
      <c r="BW390" s="87"/>
      <c r="BX390" s="87"/>
      <c r="BY390" s="87"/>
      <c r="BZ390" s="87"/>
      <c r="CA390" s="87"/>
      <c r="CB390" s="87"/>
      <c r="CC390" s="87"/>
      <c r="CD390" s="87"/>
      <c r="CF390" s="67">
        <f t="shared" si="122"/>
        <v>447.60999999999996</v>
      </c>
      <c r="CG390" s="67">
        <f t="shared" si="123"/>
        <v>658.25</v>
      </c>
      <c r="CH390" s="67">
        <f t="shared" si="124"/>
        <v>658.25</v>
      </c>
      <c r="CI390" s="67">
        <f t="shared" si="129"/>
        <v>473.93999999999994</v>
      </c>
      <c r="CJ390" s="37">
        <f t="shared" si="125"/>
        <v>170</v>
      </c>
      <c r="CK390" s="37">
        <f t="shared" si="126"/>
        <v>250</v>
      </c>
      <c r="CL390" s="37">
        <f t="shared" si="127"/>
        <v>250</v>
      </c>
      <c r="CM390" s="37">
        <f t="shared" si="128"/>
        <v>180</v>
      </c>
    </row>
    <row r="391" spans="1:91" ht="25.5">
      <c r="A391" s="3" t="s">
        <v>803</v>
      </c>
      <c r="B391" s="156">
        <v>385</v>
      </c>
      <c r="C391" s="192">
        <v>209</v>
      </c>
      <c r="D391" s="192">
        <v>11</v>
      </c>
      <c r="E391" s="198">
        <v>0.2986111111111111</v>
      </c>
      <c r="F391" s="198">
        <v>0.3125</v>
      </c>
      <c r="G391" s="194" t="s">
        <v>542</v>
      </c>
      <c r="H391" s="160" t="s">
        <v>425</v>
      </c>
      <c r="I391" s="192">
        <v>9</v>
      </c>
      <c r="J391" s="195">
        <v>50</v>
      </c>
      <c r="K391" s="165">
        <v>55</v>
      </c>
      <c r="L391" s="166">
        <f t="shared" si="118"/>
        <v>495</v>
      </c>
      <c r="M391" s="167" t="s">
        <v>744</v>
      </c>
      <c r="N391" s="154" t="s">
        <v>977</v>
      </c>
      <c r="O391" s="154">
        <v>54</v>
      </c>
      <c r="P391" s="154" t="s">
        <v>801</v>
      </c>
      <c r="Q391" s="154">
        <v>45</v>
      </c>
      <c r="R391" s="154" t="s">
        <v>802</v>
      </c>
      <c r="S391" s="152">
        <v>28</v>
      </c>
      <c r="T391" s="45">
        <v>2174</v>
      </c>
      <c r="U391" s="45" t="s">
        <v>1528</v>
      </c>
      <c r="V391" s="45">
        <v>2180</v>
      </c>
      <c r="W391" s="45" t="s">
        <v>1483</v>
      </c>
      <c r="X391" s="99">
        <v>44562</v>
      </c>
      <c r="Y391" s="99">
        <v>44815</v>
      </c>
      <c r="Z391" s="99">
        <v>45101</v>
      </c>
      <c r="AA391" s="99">
        <v>45169</v>
      </c>
      <c r="AB391" s="41" t="s">
        <v>1121</v>
      </c>
      <c r="AC391" s="41"/>
      <c r="AD391" s="42"/>
      <c r="AE391" s="42" t="s">
        <v>734</v>
      </c>
      <c r="AF391" s="42" t="s">
        <v>734</v>
      </c>
      <c r="AG391" s="42"/>
      <c r="AH391" s="42" t="s">
        <v>734</v>
      </c>
      <c r="AI391" s="42" t="s">
        <v>734</v>
      </c>
      <c r="AJ391" s="42" t="s">
        <v>734</v>
      </c>
      <c r="AK391" s="42" t="s">
        <v>734</v>
      </c>
      <c r="AL391" s="42" t="s">
        <v>734</v>
      </c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68"/>
      <c r="AY391" s="37"/>
      <c r="BA391" s="37"/>
      <c r="BB391" s="80" t="s">
        <v>744</v>
      </c>
      <c r="BD391" s="67">
        <f t="shared" si="119"/>
        <v>0</v>
      </c>
      <c r="BF391" s="37"/>
      <c r="BG391" s="69">
        <v>2</v>
      </c>
      <c r="BI391" s="67"/>
      <c r="BJ391" s="37"/>
      <c r="BN391" s="37"/>
      <c r="BO391" s="70">
        <f t="shared" si="120"/>
        <v>0</v>
      </c>
      <c r="BP391" s="37">
        <v>7</v>
      </c>
      <c r="BQ391" s="37">
        <v>0</v>
      </c>
      <c r="BR391" s="37">
        <v>0</v>
      </c>
      <c r="BT391" s="87">
        <f t="shared" si="121"/>
        <v>0</v>
      </c>
      <c r="BU391" s="87"/>
      <c r="BV391" s="87"/>
      <c r="BW391" s="87"/>
      <c r="BX391" s="87"/>
      <c r="BY391" s="87"/>
      <c r="BZ391" s="87"/>
      <c r="CA391" s="87"/>
      <c r="CB391" s="87"/>
      <c r="CC391" s="87"/>
      <c r="CD391" s="87"/>
      <c r="CF391" s="67">
        <f t="shared" si="122"/>
        <v>0</v>
      </c>
      <c r="CG391" s="67">
        <f t="shared" si="123"/>
        <v>0</v>
      </c>
      <c r="CH391" s="67">
        <f t="shared" si="124"/>
        <v>0</v>
      </c>
      <c r="CI391" s="67">
        <f t="shared" si="129"/>
        <v>0</v>
      </c>
      <c r="CJ391" s="37">
        <f t="shared" si="125"/>
        <v>63</v>
      </c>
      <c r="CK391" s="37">
        <f t="shared" si="126"/>
        <v>0</v>
      </c>
      <c r="CL391" s="37">
        <f t="shared" si="127"/>
        <v>0</v>
      </c>
      <c r="CM391" s="37">
        <f t="shared" si="128"/>
        <v>0</v>
      </c>
    </row>
    <row r="392" spans="1:91" ht="25.5">
      <c r="B392" s="156">
        <v>386</v>
      </c>
      <c r="C392" s="160">
        <v>209</v>
      </c>
      <c r="D392" s="191">
        <v>22</v>
      </c>
      <c r="E392" s="173">
        <v>0.60277777777777775</v>
      </c>
      <c r="F392" s="173">
        <v>0.6166666666666667</v>
      </c>
      <c r="G392" s="162" t="s">
        <v>393</v>
      </c>
      <c r="H392" s="160" t="s">
        <v>103</v>
      </c>
      <c r="I392" s="163">
        <v>10</v>
      </c>
      <c r="J392" s="164">
        <v>22</v>
      </c>
      <c r="K392" s="199">
        <v>174</v>
      </c>
      <c r="L392" s="166">
        <f t="shared" si="118"/>
        <v>1740</v>
      </c>
      <c r="M392" s="177" t="s">
        <v>751</v>
      </c>
      <c r="N392" s="150" t="s">
        <v>794</v>
      </c>
      <c r="O392" s="154">
        <v>23</v>
      </c>
      <c r="P392" s="154" t="s">
        <v>793</v>
      </c>
      <c r="Q392" s="154">
        <v>23</v>
      </c>
      <c r="R392" s="154" t="s">
        <v>835</v>
      </c>
      <c r="S392" s="150">
        <v>17</v>
      </c>
      <c r="T392" s="45">
        <v>2180</v>
      </c>
      <c r="U392" s="45" t="s">
        <v>1483</v>
      </c>
      <c r="V392" s="45">
        <v>2174</v>
      </c>
      <c r="W392" s="45" t="s">
        <v>1528</v>
      </c>
      <c r="X392" s="98">
        <v>44816</v>
      </c>
      <c r="Y392" s="98">
        <v>45086</v>
      </c>
      <c r="Z392" s="98"/>
      <c r="AA392" s="98"/>
      <c r="AB392" s="41" t="s">
        <v>1114</v>
      </c>
      <c r="AC392" s="41"/>
      <c r="AD392" s="42"/>
      <c r="AE392" s="42"/>
      <c r="AF392" s="42"/>
      <c r="AG392" s="42" t="s">
        <v>734</v>
      </c>
      <c r="AH392" s="42" t="s">
        <v>734</v>
      </c>
      <c r="AI392" s="42" t="s">
        <v>734</v>
      </c>
      <c r="AJ392" s="42" t="s">
        <v>734</v>
      </c>
      <c r="AK392" s="42" t="s">
        <v>734</v>
      </c>
      <c r="AL392" s="42" t="s">
        <v>734</v>
      </c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68">
        <v>27.51</v>
      </c>
      <c r="AY392" s="37"/>
      <c r="BA392" s="68"/>
      <c r="BB392" s="68"/>
      <c r="BD392" s="67">
        <f t="shared" si="119"/>
        <v>4786.7400000000007</v>
      </c>
      <c r="BE392" s="67"/>
      <c r="BF392" s="37"/>
      <c r="BG392" s="73">
        <v>1</v>
      </c>
      <c r="BH392" s="67">
        <f>IF(AND((AX392/I392)&lt;2,BG392=1),(I392*2)-AX392,0)</f>
        <v>0</v>
      </c>
      <c r="BI392" s="67">
        <f>IF(AND((AX392/I392)&lt;3,BG392=2),(I392*3)-AX392,0)</f>
        <v>0</v>
      </c>
      <c r="BJ392" s="70">
        <f>(BH392+BI392)*K392</f>
        <v>0</v>
      </c>
      <c r="BN392" s="37"/>
      <c r="BO392" s="70">
        <f t="shared" si="120"/>
        <v>0</v>
      </c>
      <c r="BP392" s="37">
        <v>15</v>
      </c>
      <c r="BQ392" s="37">
        <v>20</v>
      </c>
      <c r="BR392" s="37">
        <v>21</v>
      </c>
      <c r="BS392" s="37">
        <v>15</v>
      </c>
      <c r="BT392" s="87">
        <f t="shared" si="121"/>
        <v>27.51</v>
      </c>
      <c r="BU392" s="87"/>
      <c r="BV392" s="87"/>
      <c r="BW392" s="87"/>
      <c r="BX392" s="87"/>
      <c r="BY392" s="87"/>
      <c r="BZ392" s="87"/>
      <c r="CA392" s="87"/>
      <c r="CB392" s="87"/>
      <c r="CC392" s="87"/>
      <c r="CD392" s="87"/>
      <c r="CF392" s="67">
        <f t="shared" si="122"/>
        <v>412.65000000000003</v>
      </c>
      <c r="CG392" s="67">
        <f t="shared" si="123"/>
        <v>550.20000000000005</v>
      </c>
      <c r="CH392" s="67">
        <f t="shared" si="124"/>
        <v>577.71</v>
      </c>
      <c r="CI392" s="67">
        <f t="shared" si="129"/>
        <v>412.65000000000003</v>
      </c>
      <c r="CJ392" s="37">
        <f t="shared" si="125"/>
        <v>150</v>
      </c>
      <c r="CK392" s="37">
        <f t="shared" si="126"/>
        <v>200</v>
      </c>
      <c r="CL392" s="37">
        <f t="shared" si="127"/>
        <v>210</v>
      </c>
      <c r="CM392" s="37">
        <f t="shared" si="128"/>
        <v>150</v>
      </c>
    </row>
    <row r="393" spans="1:91" ht="25.5">
      <c r="A393" s="3" t="s">
        <v>803</v>
      </c>
      <c r="B393" s="156">
        <v>387</v>
      </c>
      <c r="C393" s="192">
        <v>209</v>
      </c>
      <c r="D393" s="192">
        <v>14</v>
      </c>
      <c r="E393" s="198">
        <v>0.77777777777777779</v>
      </c>
      <c r="F393" s="198">
        <v>0.79166666666666663</v>
      </c>
      <c r="G393" s="194" t="s">
        <v>545</v>
      </c>
      <c r="H393" s="160" t="s">
        <v>424</v>
      </c>
      <c r="I393" s="192">
        <v>9</v>
      </c>
      <c r="J393" s="195">
        <v>22</v>
      </c>
      <c r="K393" s="165">
        <v>67</v>
      </c>
      <c r="L393" s="166">
        <f t="shared" si="118"/>
        <v>603</v>
      </c>
      <c r="M393" s="167" t="s">
        <v>751</v>
      </c>
      <c r="N393" s="150" t="s">
        <v>793</v>
      </c>
      <c r="O393" s="154">
        <v>23</v>
      </c>
      <c r="P393" s="154" t="s">
        <v>794</v>
      </c>
      <c r="Q393" s="154">
        <v>23</v>
      </c>
      <c r="R393" s="154"/>
      <c r="S393" s="154"/>
      <c r="T393" s="45">
        <v>2180</v>
      </c>
      <c r="U393" s="45" t="s">
        <v>1483</v>
      </c>
      <c r="V393" s="45">
        <v>2174</v>
      </c>
      <c r="W393" s="45" t="s">
        <v>1528</v>
      </c>
      <c r="X393" s="99">
        <v>44562</v>
      </c>
      <c r="Y393" s="99">
        <v>44815</v>
      </c>
      <c r="Z393" s="99">
        <v>45101</v>
      </c>
      <c r="AA393" s="99">
        <v>45169</v>
      </c>
      <c r="AB393" s="42" t="s">
        <v>1119</v>
      </c>
      <c r="AC393" s="42"/>
      <c r="AD393" s="42"/>
      <c r="AE393" s="42" t="s">
        <v>734</v>
      </c>
      <c r="AF393" s="42" t="s">
        <v>734</v>
      </c>
      <c r="AG393" s="42"/>
      <c r="AH393" s="42" t="s">
        <v>734</v>
      </c>
      <c r="AI393" s="42" t="s">
        <v>734</v>
      </c>
      <c r="AJ393" s="42" t="s">
        <v>734</v>
      </c>
      <c r="AK393" s="42" t="s">
        <v>734</v>
      </c>
      <c r="AL393" s="42" t="s">
        <v>734</v>
      </c>
      <c r="AM393" s="42" t="s">
        <v>734</v>
      </c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68">
        <v>21.6</v>
      </c>
      <c r="AY393" s="37"/>
      <c r="BA393" s="68"/>
      <c r="BB393" s="68"/>
      <c r="BD393" s="67">
        <f t="shared" si="119"/>
        <v>1447.2</v>
      </c>
      <c r="BE393" s="67"/>
      <c r="BF393" s="37"/>
      <c r="BG393" s="73">
        <v>1</v>
      </c>
      <c r="BH393" s="67">
        <f>IF(AND((AX393/I393)&lt;2,BG393=1),(I393*2)-AX393,0)</f>
        <v>0</v>
      </c>
      <c r="BI393" s="67">
        <f>IF(AND((AX393/I393)&lt;3,BG393=2),(I393*3)-AX393,0)</f>
        <v>0</v>
      </c>
      <c r="BJ393" s="70">
        <f>(BH393+BI393)*K393</f>
        <v>0</v>
      </c>
      <c r="BN393" s="37"/>
      <c r="BO393" s="70">
        <f t="shared" si="120"/>
        <v>0</v>
      </c>
      <c r="BP393" s="37">
        <v>9</v>
      </c>
      <c r="BQ393" s="37">
        <v>0</v>
      </c>
      <c r="BR393" s="37">
        <v>0</v>
      </c>
      <c r="BS393" s="37">
        <v>0</v>
      </c>
      <c r="BT393" s="87">
        <f t="shared" si="121"/>
        <v>21.6</v>
      </c>
      <c r="BU393" s="87"/>
      <c r="BV393" s="87"/>
      <c r="BW393" s="87"/>
      <c r="BX393" s="87"/>
      <c r="BY393" s="87"/>
      <c r="BZ393" s="87"/>
      <c r="CA393" s="87"/>
      <c r="CB393" s="87"/>
      <c r="CC393" s="87"/>
      <c r="CD393" s="87"/>
      <c r="CF393" s="67">
        <f t="shared" si="122"/>
        <v>194.4</v>
      </c>
      <c r="CG393" s="67">
        <f t="shared" si="123"/>
        <v>0</v>
      </c>
      <c r="CH393" s="67">
        <f t="shared" si="124"/>
        <v>0</v>
      </c>
      <c r="CI393" s="67">
        <f t="shared" si="129"/>
        <v>0</v>
      </c>
      <c r="CJ393" s="37">
        <f t="shared" si="125"/>
        <v>81</v>
      </c>
      <c r="CK393" s="37">
        <f t="shared" si="126"/>
        <v>0</v>
      </c>
      <c r="CL393" s="37">
        <f t="shared" si="127"/>
        <v>0</v>
      </c>
      <c r="CM393" s="37">
        <f t="shared" si="128"/>
        <v>0</v>
      </c>
    </row>
    <row r="394" spans="1:91" ht="25.5">
      <c r="A394" s="3" t="s">
        <v>803</v>
      </c>
      <c r="B394" s="156">
        <v>388</v>
      </c>
      <c r="C394" s="192">
        <v>210</v>
      </c>
      <c r="D394" s="192">
        <v>55</v>
      </c>
      <c r="E394" s="198">
        <v>0.2902777777777778</v>
      </c>
      <c r="F394" s="198">
        <v>0.31180555555555556</v>
      </c>
      <c r="G394" s="194" t="s">
        <v>579</v>
      </c>
      <c r="H394" s="160" t="s">
        <v>509</v>
      </c>
      <c r="I394" s="192">
        <v>11</v>
      </c>
      <c r="J394" s="195">
        <v>50</v>
      </c>
      <c r="K394" s="199">
        <v>12</v>
      </c>
      <c r="L394" s="166">
        <f t="shared" si="118"/>
        <v>132</v>
      </c>
      <c r="M394" s="167" t="s">
        <v>744</v>
      </c>
      <c r="N394" s="154" t="s">
        <v>977</v>
      </c>
      <c r="O394" s="154">
        <v>54</v>
      </c>
      <c r="P394" s="154" t="s">
        <v>801</v>
      </c>
      <c r="Q394" s="154">
        <v>45</v>
      </c>
      <c r="R394" s="154" t="s">
        <v>802</v>
      </c>
      <c r="S394" s="152">
        <v>28</v>
      </c>
      <c r="T394" s="45">
        <v>2208</v>
      </c>
      <c r="U394" s="45" t="s">
        <v>1529</v>
      </c>
      <c r="V394" s="45">
        <v>2180</v>
      </c>
      <c r="W394" s="45" t="s">
        <v>1483</v>
      </c>
      <c r="X394" s="99">
        <v>44562</v>
      </c>
      <c r="Y394" s="99">
        <v>44815</v>
      </c>
      <c r="Z394" s="99">
        <v>45101</v>
      </c>
      <c r="AA394" s="99">
        <v>45169</v>
      </c>
      <c r="AB394" s="41" t="s">
        <v>1131</v>
      </c>
      <c r="AC394" s="41"/>
      <c r="AD394" s="42"/>
      <c r="AE394" s="42" t="s">
        <v>734</v>
      </c>
      <c r="AF394" s="42" t="s">
        <v>734</v>
      </c>
      <c r="AG394" s="42"/>
      <c r="AH394" s="42"/>
      <c r="AI394" s="42"/>
      <c r="AJ394" s="42"/>
      <c r="AK394" s="42"/>
      <c r="AL394" s="42"/>
      <c r="AM394" s="42" t="s">
        <v>734</v>
      </c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68"/>
      <c r="AY394" s="37"/>
      <c r="BA394" s="37"/>
      <c r="BB394" s="80" t="s">
        <v>744</v>
      </c>
      <c r="BD394" s="67">
        <f t="shared" si="119"/>
        <v>0</v>
      </c>
      <c r="BF394" s="37"/>
      <c r="BG394" s="69">
        <v>2</v>
      </c>
      <c r="BI394" s="67"/>
      <c r="BJ394" s="37"/>
      <c r="BO394" s="70">
        <f t="shared" si="120"/>
        <v>0</v>
      </c>
      <c r="BP394" s="37">
        <v>2</v>
      </c>
      <c r="BQ394" s="37">
        <v>0</v>
      </c>
      <c r="BR394" s="37">
        <v>0</v>
      </c>
      <c r="BT394" s="87">
        <f t="shared" si="121"/>
        <v>0</v>
      </c>
      <c r="BU394" s="87"/>
      <c r="BV394" s="87"/>
      <c r="BW394" s="87"/>
      <c r="BX394" s="87"/>
      <c r="BY394" s="87"/>
      <c r="BZ394" s="87"/>
      <c r="CA394" s="87"/>
      <c r="CB394" s="87"/>
      <c r="CC394" s="87"/>
      <c r="CD394" s="87"/>
      <c r="CF394" s="67">
        <f t="shared" si="122"/>
        <v>0</v>
      </c>
      <c r="CG394" s="67">
        <f t="shared" si="123"/>
        <v>0</v>
      </c>
      <c r="CH394" s="67">
        <f t="shared" si="124"/>
        <v>0</v>
      </c>
      <c r="CI394" s="67">
        <f t="shared" si="129"/>
        <v>0</v>
      </c>
      <c r="CJ394" s="37">
        <f t="shared" si="125"/>
        <v>22</v>
      </c>
      <c r="CK394" s="37">
        <f t="shared" si="126"/>
        <v>0</v>
      </c>
      <c r="CL394" s="37">
        <f t="shared" si="127"/>
        <v>0</v>
      </c>
      <c r="CM394" s="37">
        <f t="shared" si="128"/>
        <v>0</v>
      </c>
    </row>
    <row r="395" spans="1:91" ht="25.5">
      <c r="B395" s="156">
        <v>389</v>
      </c>
      <c r="C395" s="160">
        <v>210</v>
      </c>
      <c r="D395" s="162">
        <v>55</v>
      </c>
      <c r="E395" s="161">
        <v>0.30486111111111108</v>
      </c>
      <c r="F395" s="161">
        <v>0.3263888888888889</v>
      </c>
      <c r="G395" s="162" t="s">
        <v>392</v>
      </c>
      <c r="H395" s="160" t="s">
        <v>103</v>
      </c>
      <c r="I395" s="163">
        <v>19</v>
      </c>
      <c r="J395" s="164">
        <v>50</v>
      </c>
      <c r="K395" s="199">
        <v>174</v>
      </c>
      <c r="L395" s="166">
        <f t="shared" si="118"/>
        <v>3306</v>
      </c>
      <c r="M395" s="177" t="s">
        <v>751</v>
      </c>
      <c r="N395" s="150" t="s">
        <v>837</v>
      </c>
      <c r="O395" s="150">
        <v>57</v>
      </c>
      <c r="P395" s="271" t="s">
        <v>2078</v>
      </c>
      <c r="Q395" s="271">
        <v>58</v>
      </c>
      <c r="R395" s="221" t="s">
        <v>2079</v>
      </c>
      <c r="S395" s="221">
        <v>37</v>
      </c>
      <c r="T395" s="45">
        <v>2197</v>
      </c>
      <c r="U395" s="45" t="s">
        <v>1530</v>
      </c>
      <c r="V395" s="45">
        <v>2290</v>
      </c>
      <c r="W395" s="45" t="s">
        <v>1484</v>
      </c>
      <c r="X395" s="98">
        <v>44816</v>
      </c>
      <c r="Y395" s="98">
        <v>45086</v>
      </c>
      <c r="Z395" s="98"/>
      <c r="AA395" s="98"/>
      <c r="AB395" s="41" t="s">
        <v>1114</v>
      </c>
      <c r="AC395" s="41"/>
      <c r="AD395" s="42"/>
      <c r="AE395" s="42"/>
      <c r="AF395" s="42"/>
      <c r="AG395" s="42" t="s">
        <v>734</v>
      </c>
      <c r="AH395" s="42" t="s">
        <v>734</v>
      </c>
      <c r="AI395" s="42" t="s">
        <v>734</v>
      </c>
      <c r="AJ395" s="42" t="s">
        <v>734</v>
      </c>
      <c r="AK395" s="42" t="s">
        <v>734</v>
      </c>
      <c r="AL395" s="42" t="s">
        <v>734</v>
      </c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68">
        <v>162.84</v>
      </c>
      <c r="AY395" s="37"/>
      <c r="BA395" s="68"/>
      <c r="BB395" s="68"/>
      <c r="BD395" s="67">
        <f t="shared" si="119"/>
        <v>28334.16</v>
      </c>
      <c r="BE395" s="67"/>
      <c r="BF395" s="37"/>
      <c r="BG395" s="69">
        <v>2</v>
      </c>
      <c r="BH395" s="67">
        <f>IF(AND((AX395/I395)&lt;2,BG395=1),(I395*2)-AX395,0)</f>
        <v>0</v>
      </c>
      <c r="BI395" s="67">
        <f>IF(AND((AX395/I395)&lt;3,BG395=2),(I395*3)-AX395,0)</f>
        <v>0</v>
      </c>
      <c r="BJ395" s="70">
        <f>(BH395+BI395)*K395</f>
        <v>0</v>
      </c>
      <c r="BN395" s="37"/>
      <c r="BO395" s="70">
        <f t="shared" si="120"/>
        <v>0</v>
      </c>
      <c r="BP395" s="37">
        <v>15</v>
      </c>
      <c r="BQ395" s="37">
        <v>20</v>
      </c>
      <c r="BR395" s="37">
        <v>21</v>
      </c>
      <c r="BS395" s="37">
        <v>15</v>
      </c>
      <c r="BT395" s="87">
        <f t="shared" si="121"/>
        <v>162.84</v>
      </c>
      <c r="BU395" s="87"/>
      <c r="BV395" s="87"/>
      <c r="BW395" s="87"/>
      <c r="BX395" s="87"/>
      <c r="BY395" s="87"/>
      <c r="BZ395" s="87"/>
      <c r="CA395" s="87"/>
      <c r="CB395" s="87"/>
      <c r="CC395" s="87"/>
      <c r="CD395" s="87"/>
      <c r="CF395" s="67">
        <f t="shared" si="122"/>
        <v>2442.6</v>
      </c>
      <c r="CG395" s="67">
        <f t="shared" si="123"/>
        <v>3256.8</v>
      </c>
      <c r="CH395" s="67">
        <f t="shared" si="124"/>
        <v>3419.64</v>
      </c>
      <c r="CI395" s="67">
        <f t="shared" si="129"/>
        <v>2442.6</v>
      </c>
      <c r="CJ395" s="37">
        <f t="shared" si="125"/>
        <v>285</v>
      </c>
      <c r="CK395" s="37">
        <f t="shared" si="126"/>
        <v>380</v>
      </c>
      <c r="CL395" s="37">
        <f t="shared" si="127"/>
        <v>399</v>
      </c>
      <c r="CM395" s="37">
        <f t="shared" si="128"/>
        <v>285</v>
      </c>
    </row>
    <row r="396" spans="1:91" ht="25.5">
      <c r="B396" s="156">
        <v>390</v>
      </c>
      <c r="C396" s="160">
        <v>210</v>
      </c>
      <c r="D396" s="162">
        <v>245</v>
      </c>
      <c r="E396" s="173">
        <v>0.30902777777777779</v>
      </c>
      <c r="F396" s="173">
        <v>0.31666666666666665</v>
      </c>
      <c r="G396" s="162" t="s">
        <v>391</v>
      </c>
      <c r="H396" s="160" t="s">
        <v>103</v>
      </c>
      <c r="I396" s="163">
        <v>5</v>
      </c>
      <c r="J396" s="164">
        <v>22</v>
      </c>
      <c r="K396" s="165">
        <v>174</v>
      </c>
      <c r="L396" s="166">
        <f t="shared" si="118"/>
        <v>870</v>
      </c>
      <c r="M396" s="177" t="s">
        <v>751</v>
      </c>
      <c r="N396" s="150" t="s">
        <v>794</v>
      </c>
      <c r="O396" s="154">
        <v>23</v>
      </c>
      <c r="P396" s="154" t="s">
        <v>793</v>
      </c>
      <c r="Q396" s="154" t="s">
        <v>269</v>
      </c>
      <c r="R396" s="154" t="s">
        <v>835</v>
      </c>
      <c r="S396" s="150">
        <v>17</v>
      </c>
      <c r="T396" s="45">
        <v>2198</v>
      </c>
      <c r="U396" s="45" t="s">
        <v>1531</v>
      </c>
      <c r="V396" s="45">
        <v>2180</v>
      </c>
      <c r="W396" s="45" t="s">
        <v>1483</v>
      </c>
      <c r="X396" s="98">
        <v>44816</v>
      </c>
      <c r="Y396" s="98">
        <v>45086</v>
      </c>
      <c r="Z396" s="98"/>
      <c r="AA396" s="98"/>
      <c r="AB396" s="41" t="s">
        <v>1114</v>
      </c>
      <c r="AC396" s="41"/>
      <c r="AD396" s="42"/>
      <c r="AE396" s="42"/>
      <c r="AF396" s="42"/>
      <c r="AG396" s="42" t="s">
        <v>734</v>
      </c>
      <c r="AH396" s="42" t="s">
        <v>734</v>
      </c>
      <c r="AI396" s="42" t="s">
        <v>734</v>
      </c>
      <c r="AJ396" s="42" t="s">
        <v>734</v>
      </c>
      <c r="AK396" s="42" t="s">
        <v>734</v>
      </c>
      <c r="AL396" s="42" t="s">
        <v>734</v>
      </c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68">
        <v>35.479999999999997</v>
      </c>
      <c r="AY396" s="37"/>
      <c r="BA396" s="68"/>
      <c r="BB396" s="68"/>
      <c r="BD396" s="67">
        <f t="shared" si="119"/>
        <v>6173.5199999999995</v>
      </c>
      <c r="BE396" s="67"/>
      <c r="BF396" s="37"/>
      <c r="BG396" s="73">
        <v>1</v>
      </c>
      <c r="BH396" s="67">
        <f>IF(AND((AX396/I396)&lt;2,BG396=1),(I396*2)-AX396,0)</f>
        <v>0</v>
      </c>
      <c r="BI396" s="67">
        <f>IF(AND((AX396/I396)&lt;3,BG396=2),(I396*3)-AX396,0)</f>
        <v>0</v>
      </c>
      <c r="BJ396" s="70">
        <f>(BH396+BI396)*K396</f>
        <v>0</v>
      </c>
      <c r="BN396" s="37"/>
      <c r="BO396" s="70">
        <f t="shared" si="120"/>
        <v>0</v>
      </c>
      <c r="BP396" s="37">
        <v>15</v>
      </c>
      <c r="BQ396" s="37">
        <v>20</v>
      </c>
      <c r="BR396" s="37">
        <v>21</v>
      </c>
      <c r="BS396" s="37">
        <v>15</v>
      </c>
      <c r="BT396" s="87">
        <f t="shared" si="121"/>
        <v>35.479999999999997</v>
      </c>
      <c r="BU396" s="87"/>
      <c r="BV396" s="87"/>
      <c r="BW396" s="87"/>
      <c r="BX396" s="87"/>
      <c r="BY396" s="87"/>
      <c r="BZ396" s="87"/>
      <c r="CA396" s="87"/>
      <c r="CB396" s="87"/>
      <c r="CC396" s="87"/>
      <c r="CD396" s="87"/>
      <c r="CF396" s="67">
        <f t="shared" si="122"/>
        <v>532.19999999999993</v>
      </c>
      <c r="CG396" s="67">
        <f t="shared" si="123"/>
        <v>709.59999999999991</v>
      </c>
      <c r="CH396" s="67">
        <f t="shared" si="124"/>
        <v>745.07999999999993</v>
      </c>
      <c r="CI396" s="67">
        <f t="shared" si="129"/>
        <v>532.19999999999993</v>
      </c>
      <c r="CJ396" s="37">
        <f t="shared" si="125"/>
        <v>75</v>
      </c>
      <c r="CK396" s="37">
        <f t="shared" si="126"/>
        <v>100</v>
      </c>
      <c r="CL396" s="37">
        <f t="shared" si="127"/>
        <v>105</v>
      </c>
      <c r="CM396" s="37">
        <f t="shared" si="128"/>
        <v>75</v>
      </c>
    </row>
    <row r="397" spans="1:91" ht="45">
      <c r="B397" s="156">
        <v>391</v>
      </c>
      <c r="C397" s="160">
        <v>210</v>
      </c>
      <c r="D397" s="160">
        <v>66</v>
      </c>
      <c r="E397" s="161">
        <v>0.63541666666666663</v>
      </c>
      <c r="F397" s="161">
        <v>0.64027777777777783</v>
      </c>
      <c r="G397" s="160" t="s">
        <v>681</v>
      </c>
      <c r="H397" s="160" t="s">
        <v>103</v>
      </c>
      <c r="I397" s="160">
        <v>5</v>
      </c>
      <c r="J397" s="164" t="s">
        <v>99</v>
      </c>
      <c r="K397" s="165">
        <v>174</v>
      </c>
      <c r="L397" s="166">
        <f t="shared" si="118"/>
        <v>870</v>
      </c>
      <c r="M397" s="177" t="s">
        <v>752</v>
      </c>
      <c r="N397" s="154" t="s">
        <v>874</v>
      </c>
      <c r="O397" s="154">
        <v>25</v>
      </c>
      <c r="P397" s="154" t="s">
        <v>875</v>
      </c>
      <c r="Q397" s="154">
        <v>23</v>
      </c>
      <c r="S397" s="154"/>
      <c r="T397" s="45">
        <v>2180</v>
      </c>
      <c r="U397" s="45" t="s">
        <v>1483</v>
      </c>
      <c r="V397" s="45">
        <v>2225</v>
      </c>
      <c r="W397" s="45" t="s">
        <v>1532</v>
      </c>
      <c r="X397" s="98">
        <v>44816</v>
      </c>
      <c r="Y397" s="98">
        <v>45086</v>
      </c>
      <c r="Z397" s="98"/>
      <c r="AA397" s="98"/>
      <c r="AB397" s="41" t="s">
        <v>1114</v>
      </c>
      <c r="AC397" s="41"/>
      <c r="AD397" s="42"/>
      <c r="AE397" s="42"/>
      <c r="AF397" s="42"/>
      <c r="AG397" s="42" t="s">
        <v>734</v>
      </c>
      <c r="AH397" s="42" t="s">
        <v>734</v>
      </c>
      <c r="AI397" s="42" t="s">
        <v>734</v>
      </c>
      <c r="AJ397" s="42" t="s">
        <v>734</v>
      </c>
      <c r="AK397" s="42" t="s">
        <v>734</v>
      </c>
      <c r="AL397" s="42" t="s">
        <v>734</v>
      </c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68">
        <f>9.6+5.4</f>
        <v>15</v>
      </c>
      <c r="AY397" s="37"/>
      <c r="BA397" s="68"/>
      <c r="BB397" s="68"/>
      <c r="BD397" s="67">
        <f t="shared" si="119"/>
        <v>2610</v>
      </c>
      <c r="BE397" s="67"/>
      <c r="BF397" s="37"/>
      <c r="BG397" s="73">
        <v>1</v>
      </c>
      <c r="BH397" s="67">
        <f>IF(AND((AX397/I397)&lt;2,BG397=1),(I397*2)-AX397,0)</f>
        <v>0</v>
      </c>
      <c r="BI397" s="67">
        <f>IF(AND((AX397/I397)&lt;3,BG397=2),(I397*3)-AX397,0)</f>
        <v>0</v>
      </c>
      <c r="BJ397" s="70">
        <f>(BH397+BI397)*K397</f>
        <v>0</v>
      </c>
      <c r="BN397" s="37"/>
      <c r="BO397" s="70">
        <f t="shared" si="120"/>
        <v>0</v>
      </c>
      <c r="BP397" s="37">
        <v>15</v>
      </c>
      <c r="BQ397" s="37">
        <v>20</v>
      </c>
      <c r="BR397" s="37">
        <v>21</v>
      </c>
      <c r="BS397" s="37">
        <v>15</v>
      </c>
      <c r="BT397" s="87">
        <f t="shared" si="121"/>
        <v>15</v>
      </c>
      <c r="BU397" s="87"/>
      <c r="BV397" s="87"/>
      <c r="BW397" s="87"/>
      <c r="BX397" s="87"/>
      <c r="BY397" s="87"/>
      <c r="BZ397" s="87"/>
      <c r="CA397" s="87"/>
      <c r="CB397" s="87"/>
      <c r="CC397" s="87"/>
      <c r="CD397" s="87"/>
      <c r="CF397" s="67">
        <f t="shared" si="122"/>
        <v>225</v>
      </c>
      <c r="CG397" s="67">
        <f t="shared" si="123"/>
        <v>300</v>
      </c>
      <c r="CH397" s="67">
        <f t="shared" si="124"/>
        <v>315</v>
      </c>
      <c r="CI397" s="67">
        <f t="shared" si="129"/>
        <v>225</v>
      </c>
      <c r="CJ397" s="37">
        <f t="shared" si="125"/>
        <v>75</v>
      </c>
      <c r="CK397" s="37">
        <f t="shared" si="126"/>
        <v>100</v>
      </c>
      <c r="CL397" s="37">
        <f t="shared" si="127"/>
        <v>105</v>
      </c>
      <c r="CM397" s="37">
        <f t="shared" si="128"/>
        <v>75</v>
      </c>
    </row>
    <row r="398" spans="1:91" ht="25.5">
      <c r="B398" s="156">
        <v>392</v>
      </c>
      <c r="C398" s="160">
        <v>210</v>
      </c>
      <c r="D398" s="162">
        <v>430</v>
      </c>
      <c r="E398" s="161">
        <v>0.64930555555555558</v>
      </c>
      <c r="F398" s="161">
        <v>0.65694444444444444</v>
      </c>
      <c r="G398" s="160" t="s">
        <v>557</v>
      </c>
      <c r="H398" s="162" t="s">
        <v>558</v>
      </c>
      <c r="I398" s="163">
        <v>5</v>
      </c>
      <c r="J398" s="164">
        <v>22</v>
      </c>
      <c r="K398" s="165">
        <f>33+36+36</f>
        <v>105</v>
      </c>
      <c r="L398" s="166">
        <f t="shared" si="118"/>
        <v>525</v>
      </c>
      <c r="M398" s="177" t="s">
        <v>751</v>
      </c>
      <c r="N398" s="150" t="s">
        <v>835</v>
      </c>
      <c r="O398" s="154">
        <v>17</v>
      </c>
      <c r="P398" s="154" t="s">
        <v>794</v>
      </c>
      <c r="Q398" s="154">
        <v>23</v>
      </c>
      <c r="R398" s="154" t="s">
        <v>793</v>
      </c>
      <c r="S398" s="150" t="s">
        <v>269</v>
      </c>
      <c r="T398" s="45">
        <v>2180</v>
      </c>
      <c r="U398" s="45" t="s">
        <v>1483</v>
      </c>
      <c r="V398" s="45">
        <v>2198</v>
      </c>
      <c r="W398" s="45" t="s">
        <v>1531</v>
      </c>
      <c r="X398" s="98">
        <v>44816</v>
      </c>
      <c r="Y398" s="98">
        <v>45086</v>
      </c>
      <c r="Z398" s="98"/>
      <c r="AA398" s="98"/>
      <c r="AB398" s="45" t="s">
        <v>1144</v>
      </c>
      <c r="AC398" s="45"/>
      <c r="AD398" s="42"/>
      <c r="AE398" s="42"/>
      <c r="AF398" s="42"/>
      <c r="AG398" s="42" t="s">
        <v>734</v>
      </c>
      <c r="AH398" s="42" t="s">
        <v>734</v>
      </c>
      <c r="AI398" s="42"/>
      <c r="AJ398" s="42" t="s">
        <v>734</v>
      </c>
      <c r="AK398" s="42"/>
      <c r="AL398" s="42" t="s">
        <v>734</v>
      </c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68">
        <v>35.479999999999997</v>
      </c>
      <c r="AY398" s="37"/>
      <c r="BA398" s="68"/>
      <c r="BB398" s="68"/>
      <c r="BD398" s="67">
        <f t="shared" si="119"/>
        <v>3725.3999999999996</v>
      </c>
      <c r="BE398" s="67"/>
      <c r="BF398" s="37"/>
      <c r="BG398" s="73">
        <v>1</v>
      </c>
      <c r="BH398" s="67">
        <f>IF(AND((AX398/I398)&lt;2,BG398=1),(I398*2)-AX398,0)</f>
        <v>0</v>
      </c>
      <c r="BI398" s="67">
        <f>IF(AND((AX398/I398)&lt;3,BG398=2),(I398*3)-AX398,0)</f>
        <v>0</v>
      </c>
      <c r="BJ398" s="70">
        <f>(BH398+BI398)*K398</f>
        <v>0</v>
      </c>
      <c r="BN398" s="37"/>
      <c r="BO398" s="70">
        <f t="shared" si="120"/>
        <v>0</v>
      </c>
      <c r="BP398" s="37">
        <v>9</v>
      </c>
      <c r="BQ398" s="37">
        <v>12</v>
      </c>
      <c r="BR398" s="37">
        <v>13</v>
      </c>
      <c r="BS398" s="37">
        <v>9</v>
      </c>
      <c r="BT398" s="87">
        <f t="shared" si="121"/>
        <v>35.479999999999997</v>
      </c>
      <c r="BU398" s="87"/>
      <c r="BV398" s="87"/>
      <c r="BW398" s="87"/>
      <c r="BX398" s="87"/>
      <c r="BY398" s="87"/>
      <c r="BZ398" s="87"/>
      <c r="CA398" s="87"/>
      <c r="CB398" s="87"/>
      <c r="CC398" s="87"/>
      <c r="CD398" s="87"/>
      <c r="CF398" s="67">
        <f t="shared" si="122"/>
        <v>319.32</v>
      </c>
      <c r="CG398" s="67">
        <f t="shared" si="123"/>
        <v>425.76</v>
      </c>
      <c r="CH398" s="67">
        <f t="shared" si="124"/>
        <v>461.23999999999995</v>
      </c>
      <c r="CI398" s="67">
        <f t="shared" si="129"/>
        <v>319.32</v>
      </c>
      <c r="CJ398" s="37">
        <f t="shared" si="125"/>
        <v>45</v>
      </c>
      <c r="CK398" s="37">
        <f t="shared" si="126"/>
        <v>60</v>
      </c>
      <c r="CL398" s="37">
        <f t="shared" si="127"/>
        <v>65</v>
      </c>
      <c r="CM398" s="37">
        <f t="shared" si="128"/>
        <v>45</v>
      </c>
    </row>
    <row r="399" spans="1:91" ht="25.5">
      <c r="B399" s="156">
        <v>393</v>
      </c>
      <c r="C399" s="160">
        <v>210</v>
      </c>
      <c r="D399" s="164">
        <v>458</v>
      </c>
      <c r="E399" s="173">
        <v>0.6875</v>
      </c>
      <c r="F399" s="173">
        <v>0.70763888888888893</v>
      </c>
      <c r="G399" s="160" t="s">
        <v>277</v>
      </c>
      <c r="H399" s="160" t="s">
        <v>422</v>
      </c>
      <c r="I399" s="163">
        <v>11</v>
      </c>
      <c r="J399" s="164">
        <v>44</v>
      </c>
      <c r="K399" s="165">
        <f>33+34+34</f>
        <v>101</v>
      </c>
      <c r="L399" s="166">
        <f t="shared" si="118"/>
        <v>1111</v>
      </c>
      <c r="M399" s="177" t="s">
        <v>744</v>
      </c>
      <c r="N399" s="154" t="s">
        <v>976</v>
      </c>
      <c r="O399" s="154">
        <v>29</v>
      </c>
      <c r="P399" s="154" t="s">
        <v>802</v>
      </c>
      <c r="Q399" s="154">
        <v>29</v>
      </c>
      <c r="R399" s="154" t="s">
        <v>979</v>
      </c>
      <c r="S399" s="152">
        <v>25</v>
      </c>
      <c r="T399" s="45">
        <v>2180</v>
      </c>
      <c r="U399" s="45" t="s">
        <v>1483</v>
      </c>
      <c r="V399" s="45">
        <v>2208</v>
      </c>
      <c r="W399" s="45" t="s">
        <v>1529</v>
      </c>
      <c r="X399" s="98">
        <v>44816</v>
      </c>
      <c r="Y399" s="98">
        <v>45086</v>
      </c>
      <c r="Z399" s="98"/>
      <c r="AA399" s="98"/>
      <c r="AB399" s="354" t="s">
        <v>2143</v>
      </c>
      <c r="AC399" s="43"/>
      <c r="AD399" s="42"/>
      <c r="AE399" s="42"/>
      <c r="AF399" s="42"/>
      <c r="AG399" s="42" t="s">
        <v>734</v>
      </c>
      <c r="AH399" s="42" t="s">
        <v>734</v>
      </c>
      <c r="AI399" s="42" t="s">
        <v>734</v>
      </c>
      <c r="AJ399" s="42"/>
      <c r="AK399" s="42" t="s">
        <v>734</v>
      </c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68">
        <v>64.67</v>
      </c>
      <c r="AY399" s="37"/>
      <c r="BA399" s="68"/>
      <c r="BB399" s="68"/>
      <c r="BD399" s="67">
        <f t="shared" si="119"/>
        <v>6531.67</v>
      </c>
      <c r="BE399" s="67"/>
      <c r="BF399" s="37"/>
      <c r="BG399" s="69">
        <v>2</v>
      </c>
      <c r="BH399" s="67">
        <f>IF(AND((AX399/I399)&lt;2,BG399=1),(I399*2)-AX399,0)</f>
        <v>0</v>
      </c>
      <c r="BI399" s="67">
        <f>IF(AND((AX399/I399)&lt;3,BG399=2),(I399*3)-AX399,0)</f>
        <v>0</v>
      </c>
      <c r="BJ399" s="70">
        <f>(BH399+BI399)*K399</f>
        <v>0</v>
      </c>
      <c r="BN399" s="37"/>
      <c r="BO399" s="70">
        <f t="shared" si="120"/>
        <v>0</v>
      </c>
      <c r="BP399" s="37">
        <v>12</v>
      </c>
      <c r="BQ399" s="37">
        <v>16</v>
      </c>
      <c r="BR399" s="37">
        <v>17</v>
      </c>
      <c r="BS399" s="37">
        <v>12</v>
      </c>
      <c r="BT399" s="87">
        <f t="shared" si="121"/>
        <v>64.67</v>
      </c>
      <c r="BU399" s="87"/>
      <c r="BV399" s="87"/>
      <c r="BW399" s="87"/>
      <c r="BX399" s="87"/>
      <c r="BY399" s="87"/>
      <c r="BZ399" s="87"/>
      <c r="CA399" s="87"/>
      <c r="CB399" s="87"/>
      <c r="CC399" s="87"/>
      <c r="CD399" s="87"/>
      <c r="CF399" s="67">
        <f t="shared" si="122"/>
        <v>776.04</v>
      </c>
      <c r="CG399" s="67">
        <f t="shared" si="123"/>
        <v>1034.72</v>
      </c>
      <c r="CH399" s="67">
        <f t="shared" si="124"/>
        <v>1099.3900000000001</v>
      </c>
      <c r="CI399" s="67">
        <f t="shared" si="129"/>
        <v>776.04</v>
      </c>
      <c r="CJ399" s="37">
        <f t="shared" si="125"/>
        <v>132</v>
      </c>
      <c r="CK399" s="37">
        <f t="shared" si="126"/>
        <v>176</v>
      </c>
      <c r="CL399" s="37">
        <f t="shared" si="127"/>
        <v>187</v>
      </c>
      <c r="CM399" s="37">
        <f t="shared" si="128"/>
        <v>132</v>
      </c>
    </row>
    <row r="400" spans="1:91" ht="25.5">
      <c r="A400" s="3" t="s">
        <v>803</v>
      </c>
      <c r="B400" s="156">
        <v>394</v>
      </c>
      <c r="C400" s="192">
        <v>211</v>
      </c>
      <c r="D400" s="192">
        <v>16</v>
      </c>
      <c r="E400" s="198">
        <v>0.26111111111111113</v>
      </c>
      <c r="F400" s="198">
        <v>0.27291666666666664</v>
      </c>
      <c r="G400" s="194" t="s">
        <v>541</v>
      </c>
      <c r="H400" s="160" t="s">
        <v>424</v>
      </c>
      <c r="I400" s="192">
        <v>7.5</v>
      </c>
      <c r="J400" s="195">
        <v>50</v>
      </c>
      <c r="K400" s="165">
        <v>67</v>
      </c>
      <c r="L400" s="166">
        <f t="shared" si="118"/>
        <v>502.5</v>
      </c>
      <c r="M400" s="167" t="s">
        <v>744</v>
      </c>
      <c r="N400" s="154" t="s">
        <v>977</v>
      </c>
      <c r="O400" s="154">
        <v>54</v>
      </c>
      <c r="P400" s="154" t="s">
        <v>801</v>
      </c>
      <c r="Q400" s="154">
        <v>45</v>
      </c>
      <c r="R400" s="154" t="s">
        <v>802</v>
      </c>
      <c r="S400" s="152">
        <v>28</v>
      </c>
      <c r="T400" s="45" t="s">
        <v>1533</v>
      </c>
      <c r="U400" s="45" t="s">
        <v>1534</v>
      </c>
      <c r="V400" s="45">
        <v>2180</v>
      </c>
      <c r="W400" s="45" t="s">
        <v>1483</v>
      </c>
      <c r="X400" s="99">
        <v>44562</v>
      </c>
      <c r="Y400" s="99">
        <v>44815</v>
      </c>
      <c r="Z400" s="99">
        <v>45101</v>
      </c>
      <c r="AA400" s="99">
        <v>45169</v>
      </c>
      <c r="AB400" s="42" t="s">
        <v>1119</v>
      </c>
      <c r="AC400" s="42"/>
      <c r="AD400" s="42"/>
      <c r="AE400" s="42" t="s">
        <v>734</v>
      </c>
      <c r="AF400" s="42" t="s">
        <v>734</v>
      </c>
      <c r="AG400" s="42"/>
      <c r="AH400" s="42" t="s">
        <v>734</v>
      </c>
      <c r="AI400" s="42" t="s">
        <v>734</v>
      </c>
      <c r="AJ400" s="42" t="s">
        <v>734</v>
      </c>
      <c r="AK400" s="42" t="s">
        <v>734</v>
      </c>
      <c r="AL400" s="42" t="s">
        <v>734</v>
      </c>
      <c r="AM400" s="42" t="s">
        <v>734</v>
      </c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68"/>
      <c r="AY400" s="37"/>
      <c r="BB400" s="80" t="s">
        <v>744</v>
      </c>
      <c r="BD400" s="67">
        <f t="shared" si="119"/>
        <v>0</v>
      </c>
      <c r="BF400" s="37"/>
      <c r="BG400" s="69">
        <v>2</v>
      </c>
      <c r="BI400" s="67"/>
      <c r="BJ400" s="37"/>
      <c r="BO400" s="70">
        <f t="shared" si="120"/>
        <v>0</v>
      </c>
      <c r="BP400" s="37">
        <v>9</v>
      </c>
      <c r="BQ400" s="37">
        <v>0</v>
      </c>
      <c r="BR400" s="37">
        <v>0</v>
      </c>
      <c r="BS400" s="37">
        <v>0</v>
      </c>
      <c r="BT400" s="87">
        <f t="shared" si="121"/>
        <v>0</v>
      </c>
      <c r="BU400" s="87"/>
      <c r="BV400" s="87"/>
      <c r="BW400" s="87"/>
      <c r="BX400" s="87"/>
      <c r="BY400" s="87"/>
      <c r="BZ400" s="87"/>
      <c r="CA400" s="87"/>
      <c r="CB400" s="87"/>
      <c r="CC400" s="87"/>
      <c r="CD400" s="87"/>
      <c r="CF400" s="67">
        <f t="shared" si="122"/>
        <v>0</v>
      </c>
      <c r="CG400" s="67">
        <f t="shared" si="123"/>
        <v>0</v>
      </c>
      <c r="CH400" s="67">
        <f t="shared" si="124"/>
        <v>0</v>
      </c>
      <c r="CI400" s="67">
        <f t="shared" si="129"/>
        <v>0</v>
      </c>
      <c r="CJ400" s="37">
        <f t="shared" si="125"/>
        <v>67.5</v>
      </c>
      <c r="CK400" s="37">
        <f t="shared" si="126"/>
        <v>0</v>
      </c>
      <c r="CL400" s="37">
        <f t="shared" si="127"/>
        <v>0</v>
      </c>
      <c r="CM400" s="37">
        <f t="shared" si="128"/>
        <v>0</v>
      </c>
    </row>
    <row r="401" spans="1:91" ht="45">
      <c r="B401" s="156">
        <v>395</v>
      </c>
      <c r="C401" s="160">
        <v>211</v>
      </c>
      <c r="D401" s="160">
        <v>8</v>
      </c>
      <c r="E401" s="173">
        <v>0.26111111111111113</v>
      </c>
      <c r="F401" s="173">
        <v>0.27847222222222223</v>
      </c>
      <c r="G401" s="174" t="s">
        <v>1902</v>
      </c>
      <c r="H401" s="160" t="s">
        <v>103</v>
      </c>
      <c r="I401" s="160">
        <v>7.7</v>
      </c>
      <c r="J401" s="164" t="s">
        <v>99</v>
      </c>
      <c r="K401" s="199">
        <v>174</v>
      </c>
      <c r="L401" s="166">
        <f t="shared" si="118"/>
        <v>1339.8</v>
      </c>
      <c r="M401" s="177" t="s">
        <v>752</v>
      </c>
      <c r="N401" s="150" t="s">
        <v>875</v>
      </c>
      <c r="O401" s="150">
        <v>23</v>
      </c>
      <c r="P401" s="154" t="s">
        <v>1270</v>
      </c>
      <c r="Q401" s="154">
        <v>9</v>
      </c>
      <c r="S401" s="150"/>
      <c r="T401" s="45">
        <v>2186</v>
      </c>
      <c r="U401" s="45" t="s">
        <v>1899</v>
      </c>
      <c r="V401" s="45" t="s">
        <v>1900</v>
      </c>
      <c r="W401" s="45" t="s">
        <v>1901</v>
      </c>
      <c r="X401" s="98">
        <v>44816</v>
      </c>
      <c r="Y401" s="98">
        <v>45086</v>
      </c>
      <c r="Z401" s="98"/>
      <c r="AA401" s="98"/>
      <c r="AB401" s="41" t="s">
        <v>1114</v>
      </c>
      <c r="AC401" s="41"/>
      <c r="AD401" s="42"/>
      <c r="AE401" s="42"/>
      <c r="AF401" s="42"/>
      <c r="AG401" s="42" t="s">
        <v>734</v>
      </c>
      <c r="AH401" s="42" t="s">
        <v>734</v>
      </c>
      <c r="AI401" s="42" t="s">
        <v>734</v>
      </c>
      <c r="AJ401" s="42" t="s">
        <v>734</v>
      </c>
      <c r="AK401" s="42" t="s">
        <v>734</v>
      </c>
      <c r="AL401" s="42" t="s">
        <v>734</v>
      </c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68">
        <v>20</v>
      </c>
      <c r="AY401" s="37"/>
      <c r="BA401" s="68"/>
      <c r="BB401" s="68"/>
      <c r="BD401" s="67">
        <f t="shared" si="119"/>
        <v>3480</v>
      </c>
      <c r="BE401" s="67"/>
      <c r="BF401" s="37"/>
      <c r="BG401" s="73">
        <v>1</v>
      </c>
      <c r="BH401" s="67">
        <f>IF(AND((AX401/I401)&lt;2,BG401=1),(I401*2)-AX401,0)</f>
        <v>0</v>
      </c>
      <c r="BI401" s="67">
        <f>IF(AND((AX401/I401)&lt;3,BG401=2),(I401*3)-AX401,0)</f>
        <v>0</v>
      </c>
      <c r="BJ401" s="70">
        <f>(BH401+BI401)*K401</f>
        <v>0</v>
      </c>
      <c r="BN401" s="67">
        <f>IF((AX401+AY401+AZ401)&lt;20,(20-(AX401+AY401+AZ401)),0)</f>
        <v>0</v>
      </c>
      <c r="BO401" s="70">
        <f t="shared" si="120"/>
        <v>0</v>
      </c>
      <c r="BP401" s="37">
        <v>15</v>
      </c>
      <c r="BQ401" s="37">
        <v>20</v>
      </c>
      <c r="BR401" s="37">
        <v>21</v>
      </c>
      <c r="BS401" s="37">
        <v>15</v>
      </c>
      <c r="BT401" s="87">
        <f t="shared" si="121"/>
        <v>20</v>
      </c>
      <c r="BU401" s="87"/>
      <c r="BV401" s="87"/>
      <c r="BW401" s="87"/>
      <c r="BX401" s="87"/>
      <c r="BY401" s="87"/>
      <c r="BZ401" s="87"/>
      <c r="CA401" s="87"/>
      <c r="CB401" s="87"/>
      <c r="CC401" s="87"/>
      <c r="CD401" s="87"/>
      <c r="CF401" s="67">
        <f t="shared" si="122"/>
        <v>300</v>
      </c>
      <c r="CG401" s="67">
        <f t="shared" si="123"/>
        <v>400</v>
      </c>
      <c r="CH401" s="67">
        <f t="shared" si="124"/>
        <v>420</v>
      </c>
      <c r="CI401" s="67">
        <f t="shared" si="129"/>
        <v>300</v>
      </c>
      <c r="CJ401" s="37">
        <f t="shared" si="125"/>
        <v>115.5</v>
      </c>
      <c r="CK401" s="37">
        <f t="shared" si="126"/>
        <v>154</v>
      </c>
      <c r="CL401" s="37">
        <f t="shared" si="127"/>
        <v>161.70000000000002</v>
      </c>
      <c r="CM401" s="37">
        <f t="shared" si="128"/>
        <v>115.5</v>
      </c>
    </row>
    <row r="402" spans="1:91" ht="25.5">
      <c r="B402" s="156">
        <v>396</v>
      </c>
      <c r="C402" s="160">
        <v>211</v>
      </c>
      <c r="D402" s="162">
        <v>373</v>
      </c>
      <c r="E402" s="161">
        <v>0.29444444444444445</v>
      </c>
      <c r="F402" s="173">
        <v>0.29791666666666666</v>
      </c>
      <c r="G402" s="162" t="s">
        <v>369</v>
      </c>
      <c r="H402" s="162" t="s">
        <v>123</v>
      </c>
      <c r="I402" s="163">
        <v>1.5</v>
      </c>
      <c r="J402" s="164">
        <v>8</v>
      </c>
      <c r="K402" s="165">
        <v>34</v>
      </c>
      <c r="L402" s="166">
        <f t="shared" si="118"/>
        <v>51</v>
      </c>
      <c r="M402" s="177" t="s">
        <v>753</v>
      </c>
      <c r="N402" s="154" t="s">
        <v>842</v>
      </c>
      <c r="O402" s="154">
        <v>9</v>
      </c>
      <c r="P402" s="154" t="s">
        <v>843</v>
      </c>
      <c r="Q402" s="154">
        <v>23</v>
      </c>
      <c r="R402" s="154" t="s">
        <v>1249</v>
      </c>
      <c r="S402" s="154">
        <v>7</v>
      </c>
      <c r="T402" s="45">
        <v>2221</v>
      </c>
      <c r="U402" s="45" t="s">
        <v>1539</v>
      </c>
      <c r="V402" s="45">
        <v>2210</v>
      </c>
      <c r="W402" s="45" t="s">
        <v>1540</v>
      </c>
      <c r="X402" s="98">
        <v>44816</v>
      </c>
      <c r="Y402" s="98">
        <v>45086</v>
      </c>
      <c r="Z402" s="98"/>
      <c r="AA402" s="98"/>
      <c r="AB402" s="41" t="s">
        <v>1123</v>
      </c>
      <c r="AC402" s="41"/>
      <c r="AD402" s="42"/>
      <c r="AE402" s="42"/>
      <c r="AF402" s="42"/>
      <c r="AG402" s="42" t="s">
        <v>734</v>
      </c>
      <c r="AH402" s="42"/>
      <c r="AI402" s="42"/>
      <c r="AJ402" s="42"/>
      <c r="AK402" s="42"/>
      <c r="AL402" s="42"/>
      <c r="AM402" s="42" t="s">
        <v>734</v>
      </c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68">
        <v>34.69</v>
      </c>
      <c r="AY402" s="37"/>
      <c r="BA402" s="68"/>
      <c r="BB402" s="68"/>
      <c r="BD402" s="67">
        <f t="shared" si="119"/>
        <v>1179.46</v>
      </c>
      <c r="BE402" s="67"/>
      <c r="BF402" s="37"/>
      <c r="BG402" s="73">
        <v>1</v>
      </c>
      <c r="BH402" s="67">
        <f>IF(AND((AX402/I402)&lt;2,BG402=1),(I402*2)-AX402,0)</f>
        <v>0</v>
      </c>
      <c r="BI402" s="67">
        <f>IF(AND((AX402/I402)&lt;3,BG402=2),(I402*3)-AX402,0)</f>
        <v>0</v>
      </c>
      <c r="BJ402" s="70">
        <f>(BH402+BI402)*K402</f>
        <v>0</v>
      </c>
      <c r="BN402" s="37"/>
      <c r="BO402" s="70">
        <f t="shared" si="120"/>
        <v>0</v>
      </c>
      <c r="BP402" s="37">
        <v>2</v>
      </c>
      <c r="BQ402" s="37">
        <v>5</v>
      </c>
      <c r="BR402" s="37">
        <v>4</v>
      </c>
      <c r="BS402" s="37">
        <v>3</v>
      </c>
      <c r="BT402" s="87">
        <f t="shared" si="121"/>
        <v>34.69</v>
      </c>
      <c r="BU402" s="87"/>
      <c r="BV402" s="87"/>
      <c r="BW402" s="87"/>
      <c r="BX402" s="87"/>
      <c r="BY402" s="87"/>
      <c r="BZ402" s="87"/>
      <c r="CA402" s="87"/>
      <c r="CB402" s="87"/>
      <c r="CC402" s="87"/>
      <c r="CD402" s="87"/>
      <c r="CF402" s="67">
        <f t="shared" si="122"/>
        <v>69.38</v>
      </c>
      <c r="CG402" s="67">
        <f t="shared" si="123"/>
        <v>173.45</v>
      </c>
      <c r="CH402" s="67">
        <f t="shared" si="124"/>
        <v>138.76</v>
      </c>
      <c r="CI402" s="67">
        <f t="shared" si="129"/>
        <v>104.07</v>
      </c>
      <c r="CJ402" s="37">
        <f t="shared" si="125"/>
        <v>3</v>
      </c>
      <c r="CK402" s="37">
        <f t="shared" si="126"/>
        <v>7.5</v>
      </c>
      <c r="CL402" s="37">
        <f t="shared" si="127"/>
        <v>6</v>
      </c>
      <c r="CM402" s="37">
        <f t="shared" si="128"/>
        <v>4.5</v>
      </c>
    </row>
    <row r="403" spans="1:91" ht="25.5">
      <c r="A403" s="3" t="s">
        <v>804</v>
      </c>
      <c r="B403" s="156">
        <v>397</v>
      </c>
      <c r="C403" s="160">
        <v>211</v>
      </c>
      <c r="D403" s="162"/>
      <c r="E403" s="161">
        <v>0.3611111111111111</v>
      </c>
      <c r="F403" s="161">
        <v>0.40208333333333335</v>
      </c>
      <c r="G403" s="162" t="s">
        <v>614</v>
      </c>
      <c r="H403" s="160" t="s">
        <v>424</v>
      </c>
      <c r="I403" s="163">
        <v>29</v>
      </c>
      <c r="J403" s="164" t="s">
        <v>101</v>
      </c>
      <c r="K403" s="165">
        <v>67</v>
      </c>
      <c r="L403" s="166">
        <f t="shared" si="118"/>
        <v>1943</v>
      </c>
      <c r="M403" s="177" t="s">
        <v>751</v>
      </c>
      <c r="N403" s="150" t="s">
        <v>837</v>
      </c>
      <c r="O403" s="150">
        <v>57</v>
      </c>
      <c r="P403" s="150" t="s">
        <v>836</v>
      </c>
      <c r="Q403" s="150">
        <v>57</v>
      </c>
      <c r="S403" s="150"/>
      <c r="T403" s="45">
        <v>2180</v>
      </c>
      <c r="U403" s="45" t="s">
        <v>1483</v>
      </c>
      <c r="V403" s="45">
        <v>960</v>
      </c>
      <c r="W403" s="45" t="s">
        <v>1354</v>
      </c>
      <c r="X403" s="99">
        <v>44562</v>
      </c>
      <c r="Y403" s="99">
        <v>44815</v>
      </c>
      <c r="Z403" s="99">
        <v>45101</v>
      </c>
      <c r="AA403" s="99">
        <v>45169</v>
      </c>
      <c r="AB403" s="42" t="s">
        <v>1119</v>
      </c>
      <c r="AC403" s="42"/>
      <c r="AD403" s="42"/>
      <c r="AE403" s="42" t="s">
        <v>734</v>
      </c>
      <c r="AF403" s="42" t="s">
        <v>734</v>
      </c>
      <c r="AG403" s="42"/>
      <c r="AH403" s="42" t="s">
        <v>734</v>
      </c>
      <c r="AI403" s="42" t="s">
        <v>734</v>
      </c>
      <c r="AJ403" s="42" t="s">
        <v>734</v>
      </c>
      <c r="AK403" s="42" t="s">
        <v>734</v>
      </c>
      <c r="AL403" s="42" t="s">
        <v>734</v>
      </c>
      <c r="AM403" s="42" t="s">
        <v>734</v>
      </c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68"/>
      <c r="AY403" s="37"/>
      <c r="AZ403" s="67">
        <f>3*I403</f>
        <v>87</v>
      </c>
      <c r="BA403" s="68"/>
      <c r="BB403" s="68"/>
      <c r="BF403" s="67">
        <f>AZ403*K403</f>
        <v>5829</v>
      </c>
      <c r="BG403" s="69">
        <v>2</v>
      </c>
      <c r="BH403" s="73"/>
      <c r="BI403" s="79"/>
      <c r="BJ403" s="73"/>
      <c r="BK403" s="73"/>
      <c r="BL403" s="73"/>
      <c r="BM403" s="73"/>
      <c r="BN403" s="37"/>
      <c r="BO403" s="70">
        <f t="shared" si="120"/>
        <v>0</v>
      </c>
      <c r="BP403" s="37">
        <v>9</v>
      </c>
      <c r="BQ403" s="37">
        <v>0</v>
      </c>
      <c r="BR403" s="37">
        <v>0</v>
      </c>
      <c r="BS403" s="37">
        <v>0</v>
      </c>
      <c r="BT403" s="87">
        <f t="shared" si="121"/>
        <v>87</v>
      </c>
      <c r="BU403" s="87"/>
      <c r="BV403" s="87"/>
      <c r="BW403" s="87"/>
      <c r="BX403" s="87"/>
      <c r="BY403" s="87"/>
      <c r="BZ403" s="87"/>
      <c r="CA403" s="87"/>
      <c r="CB403" s="87"/>
      <c r="CC403" s="87"/>
      <c r="CD403" s="87"/>
      <c r="CF403" s="67">
        <f t="shared" si="122"/>
        <v>783</v>
      </c>
      <c r="CG403" s="67">
        <f t="shared" si="123"/>
        <v>0</v>
      </c>
      <c r="CH403" s="67">
        <f t="shared" si="124"/>
        <v>0</v>
      </c>
      <c r="CI403" s="67">
        <f t="shared" si="129"/>
        <v>0</v>
      </c>
      <c r="CJ403" s="37">
        <f t="shared" si="125"/>
        <v>261</v>
      </c>
      <c r="CK403" s="37">
        <f t="shared" si="126"/>
        <v>0</v>
      </c>
      <c r="CL403" s="37">
        <f t="shared" si="127"/>
        <v>0</v>
      </c>
      <c r="CM403" s="37">
        <f t="shared" si="128"/>
        <v>0</v>
      </c>
    </row>
    <row r="404" spans="1:91" ht="25.5">
      <c r="A404" s="3" t="s">
        <v>804</v>
      </c>
      <c r="B404" s="156">
        <v>398</v>
      </c>
      <c r="C404" s="160">
        <v>211</v>
      </c>
      <c r="D404" s="162"/>
      <c r="E404" s="161">
        <v>0.40625</v>
      </c>
      <c r="F404" s="161">
        <v>0.4465277777777778</v>
      </c>
      <c r="G404" s="162" t="s">
        <v>613</v>
      </c>
      <c r="H404" s="160" t="s">
        <v>424</v>
      </c>
      <c r="I404" s="163">
        <v>29</v>
      </c>
      <c r="J404" s="164" t="s">
        <v>101</v>
      </c>
      <c r="K404" s="199">
        <v>67</v>
      </c>
      <c r="L404" s="166">
        <f t="shared" si="118"/>
        <v>1943</v>
      </c>
      <c r="M404" s="177" t="s">
        <v>751</v>
      </c>
      <c r="N404" s="150" t="s">
        <v>837</v>
      </c>
      <c r="O404" s="150">
        <v>57</v>
      </c>
      <c r="P404" s="150" t="s">
        <v>836</v>
      </c>
      <c r="Q404" s="150">
        <v>57</v>
      </c>
      <c r="S404" s="150"/>
      <c r="T404" s="45">
        <v>960</v>
      </c>
      <c r="U404" s="45" t="s">
        <v>1354</v>
      </c>
      <c r="V404" s="45">
        <v>2180</v>
      </c>
      <c r="W404" s="45" t="s">
        <v>1483</v>
      </c>
      <c r="X404" s="99">
        <v>44562</v>
      </c>
      <c r="Y404" s="99">
        <v>44815</v>
      </c>
      <c r="Z404" s="99">
        <v>45101</v>
      </c>
      <c r="AA404" s="99">
        <v>45169</v>
      </c>
      <c r="AB404" s="42" t="s">
        <v>1119</v>
      </c>
      <c r="AC404" s="42"/>
      <c r="AD404" s="42"/>
      <c r="AE404" s="42" t="s">
        <v>734</v>
      </c>
      <c r="AF404" s="42" t="s">
        <v>734</v>
      </c>
      <c r="AG404" s="42"/>
      <c r="AH404" s="42" t="s">
        <v>734</v>
      </c>
      <c r="AI404" s="42" t="s">
        <v>734</v>
      </c>
      <c r="AJ404" s="42" t="s">
        <v>734</v>
      </c>
      <c r="AK404" s="42" t="s">
        <v>734</v>
      </c>
      <c r="AL404" s="42" t="s">
        <v>734</v>
      </c>
      <c r="AM404" s="42" t="s">
        <v>734</v>
      </c>
      <c r="AN404" s="42"/>
      <c r="AO404" s="42"/>
      <c r="AP404" s="42"/>
      <c r="AQ404" s="42"/>
      <c r="AR404" s="42"/>
      <c r="AS404" s="42"/>
      <c r="AT404" s="42"/>
      <c r="AU404" s="42"/>
      <c r="AV404" s="42"/>
      <c r="AW404" s="42"/>
      <c r="AX404" s="68"/>
      <c r="AY404" s="37"/>
      <c r="AZ404" s="67">
        <f>3*I404</f>
        <v>87</v>
      </c>
      <c r="BA404" s="68"/>
      <c r="BB404" s="68"/>
      <c r="BF404" s="67">
        <f>AZ404*K404</f>
        <v>5829</v>
      </c>
      <c r="BG404" s="69">
        <v>2</v>
      </c>
      <c r="BH404" s="73"/>
      <c r="BI404" s="79"/>
      <c r="BJ404" s="73"/>
      <c r="BK404" s="73"/>
      <c r="BL404" s="73"/>
      <c r="BM404" s="73"/>
      <c r="BN404" s="37"/>
      <c r="BO404" s="70">
        <f t="shared" si="120"/>
        <v>0</v>
      </c>
      <c r="BP404" s="37">
        <v>9</v>
      </c>
      <c r="BQ404" s="37">
        <v>0</v>
      </c>
      <c r="BR404" s="37">
        <v>0</v>
      </c>
      <c r="BS404" s="37">
        <v>0</v>
      </c>
      <c r="BT404" s="87">
        <f t="shared" si="121"/>
        <v>87</v>
      </c>
      <c r="BU404" s="87"/>
      <c r="BV404" s="87"/>
      <c r="BW404" s="87"/>
      <c r="BX404" s="87"/>
      <c r="BY404" s="87"/>
      <c r="BZ404" s="87"/>
      <c r="CA404" s="87"/>
      <c r="CB404" s="87"/>
      <c r="CC404" s="87"/>
      <c r="CD404" s="87"/>
      <c r="CF404" s="67">
        <f t="shared" si="122"/>
        <v>783</v>
      </c>
      <c r="CG404" s="67">
        <f t="shared" si="123"/>
        <v>0</v>
      </c>
      <c r="CH404" s="67">
        <f t="shared" si="124"/>
        <v>0</v>
      </c>
      <c r="CI404" s="67">
        <f t="shared" si="129"/>
        <v>0</v>
      </c>
      <c r="CJ404" s="37">
        <f t="shared" si="125"/>
        <v>261</v>
      </c>
      <c r="CK404" s="37">
        <f t="shared" si="126"/>
        <v>0</v>
      </c>
      <c r="CL404" s="37">
        <f t="shared" si="127"/>
        <v>0</v>
      </c>
      <c r="CM404" s="37">
        <f t="shared" si="128"/>
        <v>0</v>
      </c>
    </row>
    <row r="405" spans="1:91" ht="25.5">
      <c r="B405" s="156">
        <v>399</v>
      </c>
      <c r="C405" s="160">
        <v>211</v>
      </c>
      <c r="D405" s="162">
        <v>376</v>
      </c>
      <c r="E405" s="161">
        <v>0.54652777777777783</v>
      </c>
      <c r="F405" s="161">
        <v>0.55000000000000004</v>
      </c>
      <c r="G405" s="162" t="s">
        <v>390</v>
      </c>
      <c r="H405" s="160" t="s">
        <v>97</v>
      </c>
      <c r="I405" s="163">
        <v>1.5</v>
      </c>
      <c r="J405" s="164">
        <v>22</v>
      </c>
      <c r="K405" s="165">
        <v>208</v>
      </c>
      <c r="L405" s="166">
        <f t="shared" si="118"/>
        <v>312</v>
      </c>
      <c r="M405" s="177" t="s">
        <v>751</v>
      </c>
      <c r="N405" s="150" t="s">
        <v>794</v>
      </c>
      <c r="O405" s="154">
        <v>23</v>
      </c>
      <c r="P405" s="154" t="s">
        <v>793</v>
      </c>
      <c r="Q405" s="154">
        <v>23</v>
      </c>
      <c r="R405" s="154" t="s">
        <v>835</v>
      </c>
      <c r="S405" s="150">
        <v>17</v>
      </c>
      <c r="T405" s="45">
        <v>2210</v>
      </c>
      <c r="U405" s="45" t="s">
        <v>1540</v>
      </c>
      <c r="V405" s="45">
        <v>2221</v>
      </c>
      <c r="W405" s="45" t="s">
        <v>1539</v>
      </c>
      <c r="X405" s="98">
        <v>44816</v>
      </c>
      <c r="Y405" s="98">
        <v>45086</v>
      </c>
      <c r="Z405" s="98"/>
      <c r="AA405" s="98"/>
      <c r="AB405" s="41" t="s">
        <v>1118</v>
      </c>
      <c r="AC405" s="41"/>
      <c r="AD405" s="42"/>
      <c r="AE405" s="42"/>
      <c r="AF405" s="42"/>
      <c r="AG405" s="42" t="s">
        <v>734</v>
      </c>
      <c r="AH405" s="42" t="s">
        <v>734</v>
      </c>
      <c r="AI405" s="42" t="s">
        <v>734</v>
      </c>
      <c r="AJ405" s="42" t="s">
        <v>734</v>
      </c>
      <c r="AK405" s="42" t="s">
        <v>734</v>
      </c>
      <c r="AL405" s="42" t="s">
        <v>734</v>
      </c>
      <c r="AM405" s="42" t="s">
        <v>734</v>
      </c>
      <c r="AN405" s="42"/>
      <c r="AO405" s="42"/>
      <c r="AP405" s="42"/>
      <c r="AQ405" s="42"/>
      <c r="AR405" s="42"/>
      <c r="AS405" s="42"/>
      <c r="AT405" s="42"/>
      <c r="AU405" s="42"/>
      <c r="AV405" s="42"/>
      <c r="AW405" s="42"/>
      <c r="AX405" s="67">
        <v>4.5</v>
      </c>
      <c r="AY405" s="37"/>
      <c r="BA405" s="37"/>
      <c r="BB405" s="37"/>
      <c r="BD405" s="67">
        <f>AX405*K405</f>
        <v>936</v>
      </c>
      <c r="BE405" s="67"/>
      <c r="BF405" s="37"/>
      <c r="BG405" s="73">
        <v>1</v>
      </c>
      <c r="BH405" s="67">
        <f>IF(AND((AX405/I405)&lt;2,BG405=1),(I405*2)-AX405,0)</f>
        <v>0</v>
      </c>
      <c r="BI405" s="67">
        <f>IF(AND((AX405/I405)&lt;3,BG405=2),(I405*3)-AX405,0)</f>
        <v>0</v>
      </c>
      <c r="BJ405" s="70">
        <f>(BH405+BI405)*K405</f>
        <v>0</v>
      </c>
      <c r="BN405" s="37"/>
      <c r="BO405" s="70">
        <f t="shared" si="120"/>
        <v>0</v>
      </c>
      <c r="BP405" s="37">
        <v>17</v>
      </c>
      <c r="BQ405" s="37">
        <v>25</v>
      </c>
      <c r="BR405" s="37">
        <v>25</v>
      </c>
      <c r="BS405" s="37">
        <v>18</v>
      </c>
      <c r="BT405" s="87">
        <f t="shared" si="121"/>
        <v>4.5</v>
      </c>
      <c r="BU405" s="87"/>
      <c r="BV405" s="87"/>
      <c r="BW405" s="87"/>
      <c r="BX405" s="87"/>
      <c r="BY405" s="87"/>
      <c r="BZ405" s="87"/>
      <c r="CA405" s="87"/>
      <c r="CB405" s="87"/>
      <c r="CC405" s="87"/>
      <c r="CD405" s="87"/>
      <c r="CF405" s="67">
        <f t="shared" si="122"/>
        <v>76.5</v>
      </c>
      <c r="CG405" s="67">
        <f t="shared" si="123"/>
        <v>112.5</v>
      </c>
      <c r="CH405" s="67">
        <f t="shared" si="124"/>
        <v>112.5</v>
      </c>
      <c r="CI405" s="67">
        <f t="shared" si="129"/>
        <v>81</v>
      </c>
      <c r="CJ405" s="37">
        <f t="shared" si="125"/>
        <v>25.5</v>
      </c>
      <c r="CK405" s="37">
        <f t="shared" si="126"/>
        <v>37.5</v>
      </c>
      <c r="CL405" s="37">
        <f t="shared" si="127"/>
        <v>37.5</v>
      </c>
      <c r="CM405" s="37">
        <f t="shared" si="128"/>
        <v>27</v>
      </c>
    </row>
    <row r="406" spans="1:91" ht="25.5">
      <c r="B406" s="156">
        <v>400</v>
      </c>
      <c r="C406" s="160">
        <v>211</v>
      </c>
      <c r="D406" s="162">
        <v>492</v>
      </c>
      <c r="E406" s="161">
        <v>0.56388888888888888</v>
      </c>
      <c r="F406" s="161">
        <v>0.56736111111111109</v>
      </c>
      <c r="G406" s="162" t="s">
        <v>390</v>
      </c>
      <c r="H406" s="162" t="s">
        <v>389</v>
      </c>
      <c r="I406" s="163">
        <v>1.5</v>
      </c>
      <c r="J406" s="164">
        <v>22</v>
      </c>
      <c r="K406" s="165">
        <f>174-34</f>
        <v>140</v>
      </c>
      <c r="L406" s="166">
        <f t="shared" si="118"/>
        <v>210</v>
      </c>
      <c r="M406" s="177" t="s">
        <v>751</v>
      </c>
      <c r="N406" s="150" t="s">
        <v>794</v>
      </c>
      <c r="O406" s="154">
        <v>23</v>
      </c>
      <c r="P406" s="154" t="s">
        <v>793</v>
      </c>
      <c r="Q406" s="154">
        <v>23</v>
      </c>
      <c r="R406" s="154" t="s">
        <v>835</v>
      </c>
      <c r="S406" s="150">
        <v>17</v>
      </c>
      <c r="T406" s="45">
        <v>2210</v>
      </c>
      <c r="U406" s="45" t="s">
        <v>1540</v>
      </c>
      <c r="V406" s="45">
        <v>2221</v>
      </c>
      <c r="W406" s="45" t="s">
        <v>1539</v>
      </c>
      <c r="X406" s="98">
        <v>44816</v>
      </c>
      <c r="Y406" s="98">
        <v>45086</v>
      </c>
      <c r="Z406" s="98"/>
      <c r="AA406" s="98"/>
      <c r="AB406" s="45" t="s">
        <v>1145</v>
      </c>
      <c r="AC406" s="45"/>
      <c r="AD406" s="42"/>
      <c r="AE406" s="42"/>
      <c r="AF406" s="42"/>
      <c r="AG406" s="42" t="s">
        <v>734</v>
      </c>
      <c r="AH406" s="42" t="s">
        <v>734</v>
      </c>
      <c r="AI406" s="42" t="s">
        <v>734</v>
      </c>
      <c r="AJ406" s="42" t="s">
        <v>734</v>
      </c>
      <c r="AK406" s="42"/>
      <c r="AL406" s="42" t="s">
        <v>734</v>
      </c>
      <c r="AM406" s="42"/>
      <c r="AN406" s="42"/>
      <c r="AO406" s="42"/>
      <c r="AP406" s="42"/>
      <c r="AQ406" s="42"/>
      <c r="AR406" s="42"/>
      <c r="AS406" s="42"/>
      <c r="AT406" s="42"/>
      <c r="AU406" s="42"/>
      <c r="AV406" s="42"/>
      <c r="AW406" s="42"/>
      <c r="AX406" s="68">
        <v>3.96</v>
      </c>
      <c r="AY406" s="37"/>
      <c r="BA406" s="68"/>
      <c r="BB406" s="68"/>
      <c r="BD406" s="67">
        <f>AX406*K406</f>
        <v>554.4</v>
      </c>
      <c r="BE406" s="67"/>
      <c r="BF406" s="37"/>
      <c r="BG406" s="73">
        <v>1</v>
      </c>
      <c r="BH406" s="67">
        <f>IF(AND((AX406/I406)&lt;2,BG406=1),(I406*2)-AX406,0)</f>
        <v>0</v>
      </c>
      <c r="BI406" s="67">
        <f>IF(AND((AX406/I406)&lt;3,BG406=2),(I406*3)-AX406,0)</f>
        <v>0</v>
      </c>
      <c r="BJ406" s="70">
        <f>(BH406+BI406)*K406</f>
        <v>0</v>
      </c>
      <c r="BN406" s="37"/>
      <c r="BO406" s="70">
        <f t="shared" si="120"/>
        <v>0</v>
      </c>
      <c r="BP406" s="37">
        <v>12</v>
      </c>
      <c r="BQ406" s="37">
        <v>16</v>
      </c>
      <c r="BR406" s="37">
        <v>17</v>
      </c>
      <c r="BS406" s="37">
        <v>12</v>
      </c>
      <c r="BT406" s="87">
        <f t="shared" si="121"/>
        <v>3.96</v>
      </c>
      <c r="BU406" s="87"/>
      <c r="BV406" s="87"/>
      <c r="BW406" s="87"/>
      <c r="BX406" s="87"/>
      <c r="BY406" s="87"/>
      <c r="BZ406" s="87"/>
      <c r="CA406" s="87"/>
      <c r="CB406" s="87"/>
      <c r="CC406" s="87"/>
      <c r="CD406" s="87"/>
      <c r="CF406" s="67">
        <f t="shared" si="122"/>
        <v>47.519999999999996</v>
      </c>
      <c r="CG406" s="67">
        <f t="shared" si="123"/>
        <v>63.36</v>
      </c>
      <c r="CH406" s="67">
        <f t="shared" si="124"/>
        <v>67.319999999999993</v>
      </c>
      <c r="CI406" s="67">
        <f t="shared" si="129"/>
        <v>47.519999999999996</v>
      </c>
      <c r="CJ406" s="37">
        <f t="shared" si="125"/>
        <v>18</v>
      </c>
      <c r="CK406" s="37">
        <f t="shared" si="126"/>
        <v>24</v>
      </c>
      <c r="CL406" s="37">
        <f t="shared" si="127"/>
        <v>25.5</v>
      </c>
      <c r="CM406" s="37">
        <f t="shared" si="128"/>
        <v>18</v>
      </c>
    </row>
    <row r="407" spans="1:91" ht="25.5">
      <c r="B407" s="156">
        <v>401</v>
      </c>
      <c r="C407" s="160">
        <v>211</v>
      </c>
      <c r="D407" s="162">
        <v>22</v>
      </c>
      <c r="E407" s="161">
        <v>0.58472222222222225</v>
      </c>
      <c r="F407" s="161">
        <v>0.60069444444444442</v>
      </c>
      <c r="G407" s="162" t="s">
        <v>388</v>
      </c>
      <c r="H407" s="160" t="s">
        <v>97</v>
      </c>
      <c r="I407" s="163">
        <v>18</v>
      </c>
      <c r="J407" s="164">
        <v>22</v>
      </c>
      <c r="K407" s="165">
        <v>208</v>
      </c>
      <c r="L407" s="166">
        <f t="shared" si="118"/>
        <v>3744</v>
      </c>
      <c r="M407" s="177" t="s">
        <v>751</v>
      </c>
      <c r="N407" s="150" t="s">
        <v>794</v>
      </c>
      <c r="O407" s="154">
        <v>23</v>
      </c>
      <c r="P407" s="154" t="s">
        <v>793</v>
      </c>
      <c r="Q407" s="154">
        <v>23</v>
      </c>
      <c r="R407" s="154" t="s">
        <v>835</v>
      </c>
      <c r="S407" s="150">
        <v>17</v>
      </c>
      <c r="T407" s="45">
        <v>2210</v>
      </c>
      <c r="U407" s="45" t="s">
        <v>1540</v>
      </c>
      <c r="V407" s="45">
        <v>2180</v>
      </c>
      <c r="W407" s="45" t="s">
        <v>1483</v>
      </c>
      <c r="X407" s="98">
        <v>44816</v>
      </c>
      <c r="Y407" s="98">
        <v>45086</v>
      </c>
      <c r="Z407" s="98"/>
      <c r="AA407" s="98"/>
      <c r="AB407" s="41" t="s">
        <v>1118</v>
      </c>
      <c r="AC407" s="41"/>
      <c r="AD407" s="42"/>
      <c r="AE407" s="42"/>
      <c r="AF407" s="42"/>
      <c r="AG407" s="42" t="s">
        <v>734</v>
      </c>
      <c r="AH407" s="42" t="s">
        <v>734</v>
      </c>
      <c r="AI407" s="42" t="s">
        <v>734</v>
      </c>
      <c r="AJ407" s="42" t="s">
        <v>734</v>
      </c>
      <c r="AK407" s="42" t="s">
        <v>734</v>
      </c>
      <c r="AL407" s="42" t="s">
        <v>734</v>
      </c>
      <c r="AM407" s="42" t="s">
        <v>734</v>
      </c>
      <c r="AN407" s="42"/>
      <c r="AO407" s="42"/>
      <c r="AP407" s="42"/>
      <c r="AQ407" s="42"/>
      <c r="AR407" s="42"/>
      <c r="AS407" s="42"/>
      <c r="AT407" s="42"/>
      <c r="AU407" s="42"/>
      <c r="AV407" s="42"/>
      <c r="AW407" s="42"/>
      <c r="AX407" s="68">
        <v>47.52</v>
      </c>
      <c r="AY407" s="37"/>
      <c r="BA407" s="68"/>
      <c r="BB407" s="68"/>
      <c r="BD407" s="67">
        <f>AX407*K407</f>
        <v>9884.16</v>
      </c>
      <c r="BE407" s="67"/>
      <c r="BF407" s="37"/>
      <c r="BG407" s="73">
        <v>1</v>
      </c>
      <c r="BH407" s="67">
        <f>IF(AND((AX407/I407)&lt;2,BG407=1),(I407*2)-AX407,0)</f>
        <v>0</v>
      </c>
      <c r="BI407" s="67">
        <f>IF(AND((AX407/I407)&lt;3,BG407=2),(I407*3)-AX407,0)</f>
        <v>0</v>
      </c>
      <c r="BJ407" s="70">
        <f>(BH407+BI407)*K407</f>
        <v>0</v>
      </c>
      <c r="BN407" s="37"/>
      <c r="BO407" s="70">
        <f t="shared" si="120"/>
        <v>0</v>
      </c>
      <c r="BP407" s="37">
        <v>17</v>
      </c>
      <c r="BQ407" s="37">
        <v>25</v>
      </c>
      <c r="BR407" s="37">
        <v>25</v>
      </c>
      <c r="BS407" s="37">
        <v>18</v>
      </c>
      <c r="BT407" s="87">
        <f t="shared" si="121"/>
        <v>47.52</v>
      </c>
      <c r="BU407" s="87"/>
      <c r="BV407" s="87"/>
      <c r="BW407" s="87"/>
      <c r="BX407" s="87"/>
      <c r="BY407" s="87"/>
      <c r="BZ407" s="87"/>
      <c r="CA407" s="87"/>
      <c r="CB407" s="87"/>
      <c r="CC407" s="87"/>
      <c r="CD407" s="87"/>
      <c r="CF407" s="67">
        <f t="shared" si="122"/>
        <v>807.84</v>
      </c>
      <c r="CG407" s="67">
        <f t="shared" si="123"/>
        <v>1188</v>
      </c>
      <c r="CH407" s="67">
        <f t="shared" si="124"/>
        <v>1188</v>
      </c>
      <c r="CI407" s="67">
        <f t="shared" si="129"/>
        <v>855.36</v>
      </c>
      <c r="CJ407" s="37">
        <f t="shared" si="125"/>
        <v>306</v>
      </c>
      <c r="CK407" s="37">
        <f t="shared" si="126"/>
        <v>450</v>
      </c>
      <c r="CL407" s="37">
        <f t="shared" si="127"/>
        <v>450</v>
      </c>
      <c r="CM407" s="37">
        <f t="shared" si="128"/>
        <v>324</v>
      </c>
    </row>
    <row r="408" spans="1:91" ht="25.5">
      <c r="A408" s="3" t="s">
        <v>804</v>
      </c>
      <c r="B408" s="156">
        <v>402</v>
      </c>
      <c r="C408" s="160">
        <v>211</v>
      </c>
      <c r="D408" s="162"/>
      <c r="E408" s="161">
        <v>0.61111111111111105</v>
      </c>
      <c r="F408" s="161">
        <v>0.65208333333333335</v>
      </c>
      <c r="G408" s="162" t="s">
        <v>614</v>
      </c>
      <c r="H408" s="160" t="s">
        <v>424</v>
      </c>
      <c r="I408" s="163">
        <v>29</v>
      </c>
      <c r="J408" s="164" t="s">
        <v>101</v>
      </c>
      <c r="K408" s="165">
        <v>67</v>
      </c>
      <c r="L408" s="166">
        <f t="shared" si="118"/>
        <v>1943</v>
      </c>
      <c r="M408" s="177" t="s">
        <v>753</v>
      </c>
      <c r="N408" s="150" t="s">
        <v>844</v>
      </c>
      <c r="O408" s="150">
        <v>57</v>
      </c>
      <c r="P408" s="150" t="s">
        <v>1927</v>
      </c>
      <c r="Q408" s="150">
        <v>56</v>
      </c>
      <c r="R408" s="150" t="s">
        <v>1271</v>
      </c>
      <c r="S408" s="150">
        <v>45</v>
      </c>
      <c r="T408" s="45">
        <v>2180</v>
      </c>
      <c r="U408" s="45" t="s">
        <v>1483</v>
      </c>
      <c r="V408" s="45">
        <v>960</v>
      </c>
      <c r="W408" s="45" t="s">
        <v>1354</v>
      </c>
      <c r="X408" s="99">
        <v>44562</v>
      </c>
      <c r="Y408" s="99">
        <v>44815</v>
      </c>
      <c r="Z408" s="99">
        <v>45101</v>
      </c>
      <c r="AA408" s="99">
        <v>45169</v>
      </c>
      <c r="AB408" s="42" t="s">
        <v>1119</v>
      </c>
      <c r="AC408" s="42"/>
      <c r="AD408" s="42"/>
      <c r="AE408" s="42" t="s">
        <v>734</v>
      </c>
      <c r="AF408" s="42" t="s">
        <v>734</v>
      </c>
      <c r="AG408" s="42"/>
      <c r="AH408" s="42" t="s">
        <v>734</v>
      </c>
      <c r="AI408" s="42" t="s">
        <v>734</v>
      </c>
      <c r="AJ408" s="42" t="s">
        <v>734</v>
      </c>
      <c r="AK408" s="42" t="s">
        <v>734</v>
      </c>
      <c r="AL408" s="42" t="s">
        <v>734</v>
      </c>
      <c r="AM408" s="42" t="s">
        <v>734</v>
      </c>
      <c r="AN408" s="42"/>
      <c r="AO408" s="42"/>
      <c r="AP408" s="42"/>
      <c r="AQ408" s="42"/>
      <c r="AR408" s="42"/>
      <c r="AS408" s="42"/>
      <c r="AT408" s="42"/>
      <c r="AU408" s="42"/>
      <c r="AV408" s="42"/>
      <c r="AW408" s="42"/>
      <c r="AX408" s="68"/>
      <c r="AY408" s="37"/>
      <c r="AZ408" s="67">
        <f>3*I408</f>
        <v>87</v>
      </c>
      <c r="BA408" s="68"/>
      <c r="BB408" s="68"/>
      <c r="BF408" s="67">
        <f>AZ408*K408</f>
        <v>5829</v>
      </c>
      <c r="BG408" s="69">
        <v>2</v>
      </c>
      <c r="BH408" s="73"/>
      <c r="BI408" s="79"/>
      <c r="BJ408" s="73"/>
      <c r="BK408" s="73"/>
      <c r="BL408" s="73"/>
      <c r="BM408" s="73"/>
      <c r="BN408" s="37"/>
      <c r="BO408" s="70">
        <f t="shared" si="120"/>
        <v>0</v>
      </c>
      <c r="BP408" s="37">
        <v>9</v>
      </c>
      <c r="BQ408" s="37">
        <v>0</v>
      </c>
      <c r="BR408" s="37">
        <v>0</v>
      </c>
      <c r="BS408" s="37">
        <v>0</v>
      </c>
      <c r="BT408" s="87">
        <f t="shared" si="121"/>
        <v>87</v>
      </c>
      <c r="BU408" s="87"/>
      <c r="BV408" s="87"/>
      <c r="BW408" s="87"/>
      <c r="BX408" s="87"/>
      <c r="BY408" s="87"/>
      <c r="BZ408" s="87"/>
      <c r="CA408" s="87"/>
      <c r="CB408" s="87"/>
      <c r="CC408" s="87"/>
      <c r="CD408" s="87"/>
      <c r="CF408" s="67">
        <f t="shared" si="122"/>
        <v>783</v>
      </c>
      <c r="CG408" s="67">
        <f t="shared" si="123"/>
        <v>0</v>
      </c>
      <c r="CH408" s="67">
        <f t="shared" si="124"/>
        <v>0</v>
      </c>
      <c r="CI408" s="67">
        <f t="shared" si="129"/>
        <v>0</v>
      </c>
      <c r="CJ408" s="37">
        <f t="shared" si="125"/>
        <v>261</v>
      </c>
      <c r="CK408" s="37">
        <f t="shared" si="126"/>
        <v>0</v>
      </c>
      <c r="CL408" s="37">
        <f t="shared" si="127"/>
        <v>0</v>
      </c>
      <c r="CM408" s="37">
        <f t="shared" si="128"/>
        <v>0</v>
      </c>
    </row>
    <row r="409" spans="1:91" ht="45">
      <c r="B409" s="156">
        <v>403</v>
      </c>
      <c r="C409" s="160">
        <v>211</v>
      </c>
      <c r="D409" s="160">
        <v>86</v>
      </c>
      <c r="E409" s="161">
        <v>0.61249999999999993</v>
      </c>
      <c r="F409" s="161">
        <v>0.63472222222222219</v>
      </c>
      <c r="G409" s="160" t="s">
        <v>471</v>
      </c>
      <c r="H409" s="160" t="s">
        <v>103</v>
      </c>
      <c r="I409" s="160">
        <v>17.399999999999999</v>
      </c>
      <c r="J409" s="164" t="s">
        <v>99</v>
      </c>
      <c r="K409" s="165">
        <v>174</v>
      </c>
      <c r="L409" s="166">
        <f t="shared" si="118"/>
        <v>3027.6</v>
      </c>
      <c r="M409" s="177" t="s">
        <v>752</v>
      </c>
      <c r="N409" s="154" t="s">
        <v>874</v>
      </c>
      <c r="O409" s="154">
        <v>25</v>
      </c>
      <c r="P409" s="154" t="s">
        <v>875</v>
      </c>
      <c r="Q409" s="154">
        <v>23</v>
      </c>
      <c r="S409" s="154"/>
      <c r="T409" s="45" t="s">
        <v>1541</v>
      </c>
      <c r="U409" s="45" t="s">
        <v>1542</v>
      </c>
      <c r="V409" s="45">
        <v>2180</v>
      </c>
      <c r="W409" s="45" t="s">
        <v>1483</v>
      </c>
      <c r="X409" s="98">
        <v>44816</v>
      </c>
      <c r="Y409" s="98">
        <v>45086</v>
      </c>
      <c r="Z409" s="98"/>
      <c r="AA409" s="98"/>
      <c r="AB409" s="41" t="s">
        <v>1114</v>
      </c>
      <c r="AC409" s="41"/>
      <c r="AD409" s="42"/>
      <c r="AE409" s="42"/>
      <c r="AF409" s="42"/>
      <c r="AG409" s="42" t="s">
        <v>734</v>
      </c>
      <c r="AH409" s="42" t="s">
        <v>734</v>
      </c>
      <c r="AI409" s="42" t="s">
        <v>734</v>
      </c>
      <c r="AJ409" s="42" t="s">
        <v>734</v>
      </c>
      <c r="AK409" s="42" t="s">
        <v>734</v>
      </c>
      <c r="AL409" s="42" t="s">
        <v>734</v>
      </c>
      <c r="AM409" s="42"/>
      <c r="AN409" s="42"/>
      <c r="AO409" s="42"/>
      <c r="AP409" s="42"/>
      <c r="AQ409" s="42"/>
      <c r="AR409" s="42"/>
      <c r="AS409" s="42"/>
      <c r="AT409" s="42"/>
      <c r="AU409" s="42"/>
      <c r="AV409" s="42"/>
      <c r="AW409" s="42"/>
      <c r="AX409" s="68">
        <v>52.2</v>
      </c>
      <c r="AY409" s="37"/>
      <c r="BA409" s="68"/>
      <c r="BB409" s="68"/>
      <c r="BD409" s="67">
        <f>AX409*K409</f>
        <v>9082.8000000000011</v>
      </c>
      <c r="BE409" s="67"/>
      <c r="BF409" s="37"/>
      <c r="BG409" s="73">
        <v>1</v>
      </c>
      <c r="BH409" s="67">
        <f>IF(AND((AX409/I409)&lt;2,BG409=1),(I409*2)-AX409,0)</f>
        <v>0</v>
      </c>
      <c r="BI409" s="67">
        <f>IF(AND((AX409/I409)&lt;3,BG409=2),(I409*3)-AX409,0)</f>
        <v>0</v>
      </c>
      <c r="BJ409" s="70">
        <f>(BH409+BI409)*K409</f>
        <v>0</v>
      </c>
      <c r="BN409" s="37"/>
      <c r="BO409" s="70">
        <f t="shared" si="120"/>
        <v>0</v>
      </c>
      <c r="BP409" s="37">
        <v>15</v>
      </c>
      <c r="BQ409" s="37">
        <v>20</v>
      </c>
      <c r="BR409" s="37">
        <v>21</v>
      </c>
      <c r="BS409" s="37">
        <v>15</v>
      </c>
      <c r="BT409" s="87">
        <f t="shared" si="121"/>
        <v>52.2</v>
      </c>
      <c r="BU409" s="87"/>
      <c r="BV409" s="87"/>
      <c r="BW409" s="87"/>
      <c r="BX409" s="87"/>
      <c r="BY409" s="87"/>
      <c r="BZ409" s="87"/>
      <c r="CA409" s="87"/>
      <c r="CB409" s="87"/>
      <c r="CC409" s="87"/>
      <c r="CD409" s="87"/>
      <c r="CF409" s="67">
        <f t="shared" si="122"/>
        <v>783</v>
      </c>
      <c r="CG409" s="67">
        <f t="shared" si="123"/>
        <v>1044</v>
      </c>
      <c r="CH409" s="67">
        <f t="shared" si="124"/>
        <v>1096.2</v>
      </c>
      <c r="CI409" s="67">
        <f t="shared" si="129"/>
        <v>783</v>
      </c>
      <c r="CJ409" s="37">
        <f t="shared" si="125"/>
        <v>261</v>
      </c>
      <c r="CK409" s="37">
        <f t="shared" si="126"/>
        <v>348</v>
      </c>
      <c r="CL409" s="37">
        <f t="shared" si="127"/>
        <v>365.4</v>
      </c>
      <c r="CM409" s="37">
        <f t="shared" si="128"/>
        <v>261</v>
      </c>
    </row>
    <row r="410" spans="1:91" ht="38.25">
      <c r="B410" s="156">
        <v>404</v>
      </c>
      <c r="C410" s="160">
        <v>211</v>
      </c>
      <c r="D410" s="164">
        <v>574</v>
      </c>
      <c r="E410" s="173">
        <v>0.6875</v>
      </c>
      <c r="F410" s="173">
        <v>0.69791666666666663</v>
      </c>
      <c r="G410" s="160" t="s">
        <v>278</v>
      </c>
      <c r="H410" s="160" t="s">
        <v>682</v>
      </c>
      <c r="I410" s="163">
        <v>21</v>
      </c>
      <c r="J410" s="164" t="s">
        <v>93</v>
      </c>
      <c r="K410" s="165">
        <f>33+34+34</f>
        <v>101</v>
      </c>
      <c r="L410" s="166">
        <f t="shared" si="118"/>
        <v>2121</v>
      </c>
      <c r="M410" s="177" t="s">
        <v>744</v>
      </c>
      <c r="N410" s="154" t="s">
        <v>976</v>
      </c>
      <c r="O410" s="154">
        <v>29</v>
      </c>
      <c r="P410" s="154" t="s">
        <v>802</v>
      </c>
      <c r="Q410" s="154">
        <v>29</v>
      </c>
      <c r="R410" s="154" t="s">
        <v>979</v>
      </c>
      <c r="S410" s="152">
        <v>25</v>
      </c>
      <c r="T410" s="45">
        <v>2180</v>
      </c>
      <c r="U410" s="45" t="s">
        <v>1483</v>
      </c>
      <c r="V410" s="45" t="s">
        <v>1543</v>
      </c>
      <c r="W410" s="45" t="s">
        <v>1544</v>
      </c>
      <c r="X410" s="98">
        <v>44816</v>
      </c>
      <c r="Y410" s="98">
        <v>45086</v>
      </c>
      <c r="Z410" s="98"/>
      <c r="AA410" s="98"/>
      <c r="AB410" s="354" t="s">
        <v>2143</v>
      </c>
      <c r="AC410" s="43"/>
      <c r="AD410" s="42"/>
      <c r="AE410" s="42"/>
      <c r="AF410" s="42"/>
      <c r="AG410" s="42" t="s">
        <v>734</v>
      </c>
      <c r="AH410" s="42" t="s">
        <v>734</v>
      </c>
      <c r="AI410" s="42" t="s">
        <v>734</v>
      </c>
      <c r="AJ410" s="42"/>
      <c r="AK410" s="42" t="s">
        <v>734</v>
      </c>
      <c r="AL410" s="42"/>
      <c r="AM410" s="42"/>
      <c r="AN410" s="42"/>
      <c r="AO410" s="42"/>
      <c r="AP410" s="42"/>
      <c r="AQ410" s="42"/>
      <c r="AR410" s="42"/>
      <c r="AS410" s="42"/>
      <c r="AT410" s="42"/>
      <c r="AU410" s="42"/>
      <c r="AV410" s="42"/>
      <c r="AW410" s="42"/>
      <c r="AX410" s="67">
        <f>((37.8*33)+(80.71*68))/101</f>
        <v>66.689900990099005</v>
      </c>
      <c r="AY410" s="37"/>
      <c r="BA410" s="68"/>
      <c r="BB410" s="68"/>
      <c r="BD410" s="67">
        <f>AX410*K410</f>
        <v>6735.6799999999994</v>
      </c>
      <c r="BE410" s="67"/>
      <c r="BF410" s="37"/>
      <c r="BG410" s="73">
        <v>1</v>
      </c>
      <c r="BH410" s="67">
        <f>IF(AND((AX410/I410)&lt;2,BG410=1),(I410*2)-AX410,0)</f>
        <v>0</v>
      </c>
      <c r="BI410" s="67">
        <f>IF(AND((AX410/I410)&lt;3,BG410=2),(I410*3)-AX410,0)</f>
        <v>0</v>
      </c>
      <c r="BJ410" s="70">
        <f>(BH410+BI410)*K410</f>
        <v>0</v>
      </c>
      <c r="BN410" s="37"/>
      <c r="BO410" s="70">
        <f t="shared" si="120"/>
        <v>0</v>
      </c>
      <c r="BP410" s="37">
        <v>12</v>
      </c>
      <c r="BQ410" s="37">
        <v>16</v>
      </c>
      <c r="BR410" s="37">
        <v>17</v>
      </c>
      <c r="BS410" s="37">
        <v>12</v>
      </c>
      <c r="BT410" s="87">
        <f t="shared" si="121"/>
        <v>66.689900990099005</v>
      </c>
      <c r="BU410" s="87"/>
      <c r="BV410" s="87"/>
      <c r="BW410" s="87"/>
      <c r="BX410" s="87"/>
      <c r="BY410" s="87"/>
      <c r="BZ410" s="87"/>
      <c r="CA410" s="87"/>
      <c r="CB410" s="87"/>
      <c r="CC410" s="87"/>
      <c r="CD410" s="87"/>
      <c r="CF410" s="67">
        <f t="shared" si="122"/>
        <v>800.27881188118806</v>
      </c>
      <c r="CG410" s="67">
        <f t="shared" si="123"/>
        <v>1067.0384158415841</v>
      </c>
      <c r="CH410" s="67">
        <f t="shared" si="124"/>
        <v>1133.7283168316831</v>
      </c>
      <c r="CI410" s="67">
        <f t="shared" si="129"/>
        <v>800.27881188118806</v>
      </c>
      <c r="CJ410" s="37">
        <f t="shared" si="125"/>
        <v>252</v>
      </c>
      <c r="CK410" s="37">
        <f t="shared" si="126"/>
        <v>336</v>
      </c>
      <c r="CL410" s="37">
        <f t="shared" si="127"/>
        <v>357</v>
      </c>
      <c r="CM410" s="37">
        <f t="shared" si="128"/>
        <v>252</v>
      </c>
    </row>
    <row r="411" spans="1:91" ht="25.5">
      <c r="A411" s="3" t="s">
        <v>804</v>
      </c>
      <c r="B411" s="156">
        <v>405</v>
      </c>
      <c r="C411" s="192">
        <v>211</v>
      </c>
      <c r="D411" s="192">
        <v>8</v>
      </c>
      <c r="E411" s="198">
        <v>0.69791666666666663</v>
      </c>
      <c r="F411" s="198">
        <v>0.73819444444444438</v>
      </c>
      <c r="G411" s="194" t="s">
        <v>710</v>
      </c>
      <c r="H411" s="160" t="s">
        <v>424</v>
      </c>
      <c r="I411" s="192">
        <v>29</v>
      </c>
      <c r="J411" s="195">
        <v>50</v>
      </c>
      <c r="K411" s="165">
        <v>67</v>
      </c>
      <c r="L411" s="166">
        <f t="shared" si="118"/>
        <v>1943</v>
      </c>
      <c r="M411" s="177" t="s">
        <v>753</v>
      </c>
      <c r="N411" s="150" t="s">
        <v>844</v>
      </c>
      <c r="O411" s="150">
        <v>57</v>
      </c>
      <c r="P411" s="150" t="s">
        <v>1927</v>
      </c>
      <c r="Q411" s="150">
        <v>56</v>
      </c>
      <c r="R411" s="150" t="s">
        <v>1271</v>
      </c>
      <c r="S411" s="150">
        <v>45</v>
      </c>
      <c r="T411" s="45">
        <v>960</v>
      </c>
      <c r="U411" s="45" t="s">
        <v>1354</v>
      </c>
      <c r="V411" s="45">
        <v>2180</v>
      </c>
      <c r="W411" s="45" t="s">
        <v>1483</v>
      </c>
      <c r="X411" s="99">
        <v>44562</v>
      </c>
      <c r="Y411" s="99">
        <v>44815</v>
      </c>
      <c r="Z411" s="99">
        <v>45101</v>
      </c>
      <c r="AA411" s="99">
        <v>45169</v>
      </c>
      <c r="AB411" s="42" t="s">
        <v>1119</v>
      </c>
      <c r="AC411" s="42"/>
      <c r="AD411" s="42"/>
      <c r="AE411" s="42" t="s">
        <v>734</v>
      </c>
      <c r="AF411" s="42" t="s">
        <v>734</v>
      </c>
      <c r="AG411" s="42"/>
      <c r="AH411" s="42" t="s">
        <v>734</v>
      </c>
      <c r="AI411" s="42" t="s">
        <v>734</v>
      </c>
      <c r="AJ411" s="42" t="s">
        <v>734</v>
      </c>
      <c r="AK411" s="42" t="s">
        <v>734</v>
      </c>
      <c r="AL411" s="42" t="s">
        <v>734</v>
      </c>
      <c r="AM411" s="42" t="s">
        <v>734</v>
      </c>
      <c r="AN411" s="42"/>
      <c r="AO411" s="42"/>
      <c r="AP411" s="42"/>
      <c r="AQ411" s="42"/>
      <c r="AR411" s="42"/>
      <c r="AS411" s="42"/>
      <c r="AT411" s="42"/>
      <c r="AU411" s="42"/>
      <c r="AV411" s="42"/>
      <c r="AW411" s="42"/>
      <c r="AX411" s="68"/>
      <c r="AY411" s="37"/>
      <c r="AZ411" s="67">
        <f>3*I411</f>
        <v>87</v>
      </c>
      <c r="BA411" s="68"/>
      <c r="BB411" s="68"/>
      <c r="BF411" s="67">
        <f>AZ411*K411</f>
        <v>5829</v>
      </c>
      <c r="BG411" s="69">
        <v>2</v>
      </c>
      <c r="BH411" s="73"/>
      <c r="BI411" s="79"/>
      <c r="BJ411" s="73"/>
      <c r="BK411" s="73"/>
      <c r="BL411" s="73"/>
      <c r="BM411" s="73"/>
      <c r="BN411" s="37"/>
      <c r="BO411" s="70">
        <f t="shared" si="120"/>
        <v>0</v>
      </c>
      <c r="BP411" s="37">
        <v>9</v>
      </c>
      <c r="BQ411" s="37">
        <v>0</v>
      </c>
      <c r="BR411" s="37">
        <v>0</v>
      </c>
      <c r="BS411" s="37">
        <v>0</v>
      </c>
      <c r="BT411" s="87">
        <f t="shared" si="121"/>
        <v>87</v>
      </c>
      <c r="BU411" s="87"/>
      <c r="BV411" s="87"/>
      <c r="BW411" s="87"/>
      <c r="BX411" s="87"/>
      <c r="BY411" s="87"/>
      <c r="BZ411" s="87"/>
      <c r="CA411" s="87"/>
      <c r="CB411" s="87"/>
      <c r="CC411" s="87"/>
      <c r="CD411" s="87"/>
      <c r="CF411" s="67">
        <f t="shared" si="122"/>
        <v>783</v>
      </c>
      <c r="CG411" s="67">
        <f t="shared" si="123"/>
        <v>0</v>
      </c>
      <c r="CH411" s="67">
        <f t="shared" si="124"/>
        <v>0</v>
      </c>
      <c r="CI411" s="67">
        <f t="shared" si="129"/>
        <v>0</v>
      </c>
      <c r="CJ411" s="37">
        <f t="shared" si="125"/>
        <v>261</v>
      </c>
      <c r="CK411" s="37">
        <f t="shared" si="126"/>
        <v>0</v>
      </c>
      <c r="CL411" s="37">
        <f t="shared" si="127"/>
        <v>0</v>
      </c>
      <c r="CM411" s="37">
        <f t="shared" si="128"/>
        <v>0</v>
      </c>
    </row>
    <row r="412" spans="1:91" ht="25.5">
      <c r="B412" s="156">
        <v>406</v>
      </c>
      <c r="C412" s="160">
        <v>211</v>
      </c>
      <c r="D412" s="160">
        <v>584</v>
      </c>
      <c r="E412" s="161">
        <v>0.69097222222222221</v>
      </c>
      <c r="F412" s="161">
        <v>0.72152777777777777</v>
      </c>
      <c r="G412" s="160" t="s">
        <v>373</v>
      </c>
      <c r="H412" s="160" t="s">
        <v>103</v>
      </c>
      <c r="I412" s="163">
        <v>23</v>
      </c>
      <c r="J412" s="164">
        <v>16</v>
      </c>
      <c r="K412" s="165">
        <v>174</v>
      </c>
      <c r="L412" s="166">
        <f t="shared" si="118"/>
        <v>4002</v>
      </c>
      <c r="M412" s="177" t="s">
        <v>753</v>
      </c>
      <c r="N412" s="154" t="s">
        <v>845</v>
      </c>
      <c r="O412" s="154">
        <v>29</v>
      </c>
      <c r="P412" s="154" t="s">
        <v>843</v>
      </c>
      <c r="Q412" s="154">
        <v>23</v>
      </c>
      <c r="S412" s="154"/>
      <c r="T412" s="45">
        <v>960</v>
      </c>
      <c r="U412" s="45" t="s">
        <v>1354</v>
      </c>
      <c r="V412" s="45" t="s">
        <v>1545</v>
      </c>
      <c r="W412" s="45" t="s">
        <v>1546</v>
      </c>
      <c r="X412" s="98">
        <v>44816</v>
      </c>
      <c r="Y412" s="98">
        <v>45086</v>
      </c>
      <c r="Z412" s="98"/>
      <c r="AA412" s="98"/>
      <c r="AB412" s="41" t="s">
        <v>1114</v>
      </c>
      <c r="AC412" s="41"/>
      <c r="AD412" s="42"/>
      <c r="AE412" s="42"/>
      <c r="AF412" s="42"/>
      <c r="AG412" s="42" t="s">
        <v>734</v>
      </c>
      <c r="AH412" s="42" t="s">
        <v>734</v>
      </c>
      <c r="AI412" s="42" t="s">
        <v>734</v>
      </c>
      <c r="AJ412" s="42" t="s">
        <v>734</v>
      </c>
      <c r="AK412" s="42" t="s">
        <v>734</v>
      </c>
      <c r="AL412" s="42" t="s">
        <v>734</v>
      </c>
      <c r="AM412" s="42"/>
      <c r="AN412" s="42"/>
      <c r="AO412" s="42"/>
      <c r="AP412" s="42"/>
      <c r="AQ412" s="42"/>
      <c r="AR412" s="42"/>
      <c r="AS412" s="42"/>
      <c r="AT412" s="42"/>
      <c r="AU412" s="42"/>
      <c r="AV412" s="42"/>
      <c r="AW412" s="42"/>
      <c r="AX412" s="68">
        <v>53.21</v>
      </c>
      <c r="AY412" s="37"/>
      <c r="BA412" s="68"/>
      <c r="BB412" s="68"/>
      <c r="BD412" s="67">
        <f>AX412*K412</f>
        <v>9258.5400000000009</v>
      </c>
      <c r="BE412" s="67"/>
      <c r="BF412" s="37"/>
      <c r="BG412" s="73">
        <v>1</v>
      </c>
      <c r="BH412" s="67">
        <f>IF(AND((AX412/I412)&lt;2,BG412=1),(I412*2)-AX412,0)</f>
        <v>0</v>
      </c>
      <c r="BI412" s="67">
        <f>IF(AND((AX412/I412)&lt;3,BG412=2),(I412*3)-AX412,0)</f>
        <v>0</v>
      </c>
      <c r="BJ412" s="70">
        <f>(BH412+BI412)*K412</f>
        <v>0</v>
      </c>
      <c r="BN412" s="37"/>
      <c r="BO412" s="70">
        <f t="shared" si="120"/>
        <v>0</v>
      </c>
      <c r="BP412" s="37">
        <v>15</v>
      </c>
      <c r="BQ412" s="37">
        <v>20</v>
      </c>
      <c r="BR412" s="37">
        <v>21</v>
      </c>
      <c r="BS412" s="37">
        <v>15</v>
      </c>
      <c r="BT412" s="87">
        <f t="shared" si="121"/>
        <v>53.21</v>
      </c>
      <c r="BU412" s="87"/>
      <c r="BV412" s="87"/>
      <c r="BW412" s="87"/>
      <c r="BX412" s="87"/>
      <c r="BY412" s="87"/>
      <c r="BZ412" s="87"/>
      <c r="CA412" s="87"/>
      <c r="CB412" s="87"/>
      <c r="CC412" s="87"/>
      <c r="CD412" s="87"/>
      <c r="CF412" s="67">
        <f t="shared" si="122"/>
        <v>798.15</v>
      </c>
      <c r="CG412" s="67">
        <f t="shared" si="123"/>
        <v>1064.2</v>
      </c>
      <c r="CH412" s="67">
        <f t="shared" si="124"/>
        <v>1117.4100000000001</v>
      </c>
      <c r="CI412" s="67">
        <f t="shared" si="129"/>
        <v>798.15</v>
      </c>
      <c r="CJ412" s="37">
        <f t="shared" si="125"/>
        <v>345</v>
      </c>
      <c r="CK412" s="37">
        <f t="shared" si="126"/>
        <v>460</v>
      </c>
      <c r="CL412" s="37">
        <f t="shared" si="127"/>
        <v>483</v>
      </c>
      <c r="CM412" s="37">
        <f t="shared" si="128"/>
        <v>345</v>
      </c>
    </row>
    <row r="413" spans="1:91" ht="38.25">
      <c r="B413" s="156">
        <v>407</v>
      </c>
      <c r="C413" s="160">
        <v>211</v>
      </c>
      <c r="D413" s="160">
        <v>584</v>
      </c>
      <c r="E413" s="161">
        <v>0.72152777777777777</v>
      </c>
      <c r="F413" s="173">
        <v>0.7319444444444444</v>
      </c>
      <c r="G413" s="160" t="s">
        <v>371</v>
      </c>
      <c r="H413" s="162" t="s">
        <v>370</v>
      </c>
      <c r="I413" s="163">
        <v>7</v>
      </c>
      <c r="J413" s="164" t="s">
        <v>99</v>
      </c>
      <c r="K413" s="165">
        <f>34+34+36+33</f>
        <v>137</v>
      </c>
      <c r="L413" s="166">
        <f t="shared" si="118"/>
        <v>959</v>
      </c>
      <c r="M413" s="177" t="s">
        <v>753</v>
      </c>
      <c r="N413" s="154" t="s">
        <v>843</v>
      </c>
      <c r="O413" s="154">
        <v>23</v>
      </c>
      <c r="P413" s="154" t="s">
        <v>846</v>
      </c>
      <c r="Q413" s="154">
        <v>29</v>
      </c>
      <c r="S413" s="154"/>
      <c r="T413" s="45" t="s">
        <v>1545</v>
      </c>
      <c r="U413" s="45" t="s">
        <v>1546</v>
      </c>
      <c r="V413" s="45">
        <v>2180</v>
      </c>
      <c r="W413" s="45" t="s">
        <v>1483</v>
      </c>
      <c r="X413" s="98">
        <v>44816</v>
      </c>
      <c r="Y413" s="98">
        <v>45086</v>
      </c>
      <c r="Z413" s="98"/>
      <c r="AA413" s="98"/>
      <c r="AB413" s="43" t="s">
        <v>1117</v>
      </c>
      <c r="AC413" s="43"/>
      <c r="AD413" s="42"/>
      <c r="AE413" s="42"/>
      <c r="AF413" s="42"/>
      <c r="AG413" s="42" t="s">
        <v>734</v>
      </c>
      <c r="AH413" s="42" t="s">
        <v>734</v>
      </c>
      <c r="AI413" s="42" t="s">
        <v>734</v>
      </c>
      <c r="AJ413" s="42" t="s">
        <v>734</v>
      </c>
      <c r="AK413" s="42" t="s">
        <v>734</v>
      </c>
      <c r="AL413" s="42"/>
      <c r="AM413" s="42"/>
      <c r="AN413" s="42"/>
      <c r="AO413" s="42"/>
      <c r="AP413" s="42"/>
      <c r="AQ413" s="42"/>
      <c r="AR413" s="42"/>
      <c r="AS413" s="42"/>
      <c r="AT413" s="42"/>
      <c r="AU413" s="42"/>
      <c r="AV413" s="42"/>
      <c r="AW413" s="42"/>
      <c r="AX413" s="68">
        <v>17.5</v>
      </c>
      <c r="BA413" s="68"/>
      <c r="BB413" s="68"/>
      <c r="BD413" s="67">
        <f>AX413*K413</f>
        <v>2397.5</v>
      </c>
      <c r="BE413" s="67"/>
      <c r="BF413" s="37"/>
      <c r="BG413" s="73">
        <v>1</v>
      </c>
      <c r="BH413" s="67">
        <f>IF(AND((AX413/I413)&lt;2,BG413=1),(I413*2)-AX413,0)</f>
        <v>0</v>
      </c>
      <c r="BI413" s="67">
        <f>IF(AND((AX413/I413)&lt;3,BG413=2),(I413*3)-AX413,0)</f>
        <v>0</v>
      </c>
      <c r="BJ413" s="70">
        <f>(BH413+BI413)*K413</f>
        <v>0</v>
      </c>
      <c r="BN413" s="37"/>
      <c r="BO413" s="70">
        <f t="shared" si="120"/>
        <v>0</v>
      </c>
      <c r="BP413" s="37">
        <v>12</v>
      </c>
      <c r="BQ413" s="37">
        <v>16</v>
      </c>
      <c r="BR413" s="37">
        <v>17</v>
      </c>
      <c r="BS413" s="37">
        <v>12</v>
      </c>
      <c r="BT413" s="87">
        <f t="shared" si="121"/>
        <v>17.5</v>
      </c>
      <c r="BU413" s="87"/>
      <c r="BV413" s="87"/>
      <c r="BW413" s="87"/>
      <c r="BX413" s="87"/>
      <c r="BY413" s="87"/>
      <c r="BZ413" s="87"/>
      <c r="CA413" s="87"/>
      <c r="CB413" s="87"/>
      <c r="CC413" s="87"/>
      <c r="CD413" s="87"/>
      <c r="CF413" s="67">
        <f t="shared" si="122"/>
        <v>210</v>
      </c>
      <c r="CG413" s="67">
        <f t="shared" si="123"/>
        <v>280</v>
      </c>
      <c r="CH413" s="67">
        <f t="shared" si="124"/>
        <v>297.5</v>
      </c>
      <c r="CI413" s="67">
        <f t="shared" si="129"/>
        <v>210</v>
      </c>
      <c r="CJ413" s="37">
        <f t="shared" si="125"/>
        <v>84</v>
      </c>
      <c r="CK413" s="37">
        <f t="shared" si="126"/>
        <v>112</v>
      </c>
      <c r="CL413" s="37">
        <f t="shared" si="127"/>
        <v>119</v>
      </c>
      <c r="CM413" s="37">
        <f t="shared" si="128"/>
        <v>84</v>
      </c>
    </row>
    <row r="414" spans="1:91" ht="25.5">
      <c r="A414" s="3" t="s">
        <v>804</v>
      </c>
      <c r="B414" s="156">
        <v>408</v>
      </c>
      <c r="C414" s="192">
        <v>211</v>
      </c>
      <c r="D414" s="192">
        <v>7</v>
      </c>
      <c r="E414" s="198">
        <v>0.74652777777777779</v>
      </c>
      <c r="F414" s="198">
        <v>0.78749999999999998</v>
      </c>
      <c r="G414" s="194" t="s">
        <v>615</v>
      </c>
      <c r="H414" s="160" t="s">
        <v>424</v>
      </c>
      <c r="I414" s="192">
        <v>29</v>
      </c>
      <c r="J414" s="195">
        <v>50</v>
      </c>
      <c r="K414" s="199">
        <v>67</v>
      </c>
      <c r="L414" s="166">
        <f t="shared" si="118"/>
        <v>1943</v>
      </c>
      <c r="M414" s="177" t="s">
        <v>753</v>
      </c>
      <c r="N414" s="150" t="s">
        <v>844</v>
      </c>
      <c r="O414" s="150">
        <v>57</v>
      </c>
      <c r="P414" s="150" t="s">
        <v>1927</v>
      </c>
      <c r="Q414" s="150">
        <v>56</v>
      </c>
      <c r="R414" s="150" t="s">
        <v>1271</v>
      </c>
      <c r="S414" s="150">
        <v>45</v>
      </c>
      <c r="T414" s="45">
        <v>2180</v>
      </c>
      <c r="U414" s="45" t="s">
        <v>1483</v>
      </c>
      <c r="V414" s="45">
        <v>960</v>
      </c>
      <c r="W414" s="45" t="s">
        <v>1354</v>
      </c>
      <c r="X414" s="99">
        <v>44562</v>
      </c>
      <c r="Y414" s="99">
        <v>44815</v>
      </c>
      <c r="Z414" s="99">
        <v>45101</v>
      </c>
      <c r="AA414" s="99">
        <v>45169</v>
      </c>
      <c r="AB414" s="42" t="s">
        <v>1119</v>
      </c>
      <c r="AC414" s="42"/>
      <c r="AD414" s="42"/>
      <c r="AE414" s="42" t="s">
        <v>734</v>
      </c>
      <c r="AF414" s="42" t="s">
        <v>734</v>
      </c>
      <c r="AG414" s="42"/>
      <c r="AH414" s="42" t="s">
        <v>734</v>
      </c>
      <c r="AI414" s="42" t="s">
        <v>734</v>
      </c>
      <c r="AJ414" s="42" t="s">
        <v>734</v>
      </c>
      <c r="AK414" s="42" t="s">
        <v>734</v>
      </c>
      <c r="AL414" s="42" t="s">
        <v>734</v>
      </c>
      <c r="AM414" s="42" t="s">
        <v>734</v>
      </c>
      <c r="AN414" s="42"/>
      <c r="AO414" s="42"/>
      <c r="AP414" s="42"/>
      <c r="AQ414" s="42"/>
      <c r="AR414" s="42"/>
      <c r="AS414" s="42"/>
      <c r="AT414" s="42"/>
      <c r="AU414" s="42"/>
      <c r="AV414" s="42"/>
      <c r="AW414" s="42"/>
      <c r="AX414" s="68"/>
      <c r="AZ414" s="67">
        <f>3*I414</f>
        <v>87</v>
      </c>
      <c r="BA414" s="68"/>
      <c r="BB414" s="68"/>
      <c r="BF414" s="67">
        <f>AZ414*K414</f>
        <v>5829</v>
      </c>
      <c r="BG414" s="69">
        <v>2</v>
      </c>
      <c r="BH414" s="73"/>
      <c r="BI414" s="79"/>
      <c r="BJ414" s="73"/>
      <c r="BK414" s="73"/>
      <c r="BL414" s="73"/>
      <c r="BM414" s="73"/>
      <c r="BN414" s="37"/>
      <c r="BO414" s="70">
        <f t="shared" si="120"/>
        <v>0</v>
      </c>
      <c r="BP414" s="37">
        <v>9</v>
      </c>
      <c r="BQ414" s="37">
        <v>0</v>
      </c>
      <c r="BR414" s="37">
        <v>0</v>
      </c>
      <c r="BS414" s="37">
        <v>0</v>
      </c>
      <c r="BT414" s="87">
        <f t="shared" si="121"/>
        <v>87</v>
      </c>
      <c r="BU414" s="87"/>
      <c r="BV414" s="87"/>
      <c r="BW414" s="87"/>
      <c r="BX414" s="87"/>
      <c r="BY414" s="87"/>
      <c r="BZ414" s="87"/>
      <c r="CA414" s="87"/>
      <c r="CB414" s="87"/>
      <c r="CC414" s="87"/>
      <c r="CD414" s="87"/>
      <c r="CF414" s="67">
        <f t="shared" si="122"/>
        <v>783</v>
      </c>
      <c r="CG414" s="67">
        <f t="shared" si="123"/>
        <v>0</v>
      </c>
      <c r="CH414" s="67">
        <f t="shared" si="124"/>
        <v>0</v>
      </c>
      <c r="CI414" s="67">
        <f t="shared" si="129"/>
        <v>0</v>
      </c>
      <c r="CJ414" s="37">
        <f t="shared" si="125"/>
        <v>261</v>
      </c>
      <c r="CK414" s="37">
        <f t="shared" si="126"/>
        <v>0</v>
      </c>
      <c r="CL414" s="37">
        <f t="shared" si="127"/>
        <v>0</v>
      </c>
      <c r="CM414" s="37">
        <f t="shared" si="128"/>
        <v>0</v>
      </c>
    </row>
    <row r="415" spans="1:91" ht="25.5">
      <c r="A415" s="150"/>
      <c r="B415" s="156">
        <v>409</v>
      </c>
      <c r="C415" s="160">
        <v>212</v>
      </c>
      <c r="D415" s="164">
        <v>318</v>
      </c>
      <c r="E415" s="161">
        <v>0.53888888888888886</v>
      </c>
      <c r="F415" s="161">
        <v>0.5493055555555556</v>
      </c>
      <c r="G415" s="160" t="s">
        <v>104</v>
      </c>
      <c r="H415" s="160" t="s">
        <v>103</v>
      </c>
      <c r="I415" s="163">
        <v>4</v>
      </c>
      <c r="J415" s="164" t="s">
        <v>99</v>
      </c>
      <c r="K415" s="199">
        <v>174</v>
      </c>
      <c r="L415" s="166">
        <f t="shared" si="118"/>
        <v>696</v>
      </c>
      <c r="M415" s="177" t="s">
        <v>754</v>
      </c>
      <c r="N415" s="150" t="s">
        <v>892</v>
      </c>
      <c r="O415" s="150">
        <v>21</v>
      </c>
      <c r="P415" s="150" t="s">
        <v>895</v>
      </c>
      <c r="Q415" s="150">
        <v>29</v>
      </c>
      <c r="R415" s="150" t="s">
        <v>1263</v>
      </c>
      <c r="S415" s="150">
        <v>38</v>
      </c>
      <c r="T415" s="45" t="s">
        <v>1547</v>
      </c>
      <c r="U415" s="45" t="s">
        <v>1548</v>
      </c>
      <c r="V415" s="45">
        <v>2300</v>
      </c>
      <c r="W415" s="45" t="s">
        <v>1549</v>
      </c>
      <c r="X415" s="98">
        <v>44816</v>
      </c>
      <c r="Y415" s="98">
        <v>45086</v>
      </c>
      <c r="Z415" s="98"/>
      <c r="AA415" s="98"/>
      <c r="AB415" s="41" t="s">
        <v>1114</v>
      </c>
      <c r="AC415" s="41"/>
      <c r="AD415" s="42"/>
      <c r="AE415" s="42"/>
      <c r="AF415" s="42"/>
      <c r="AG415" s="42" t="s">
        <v>734</v>
      </c>
      <c r="AH415" s="42" t="s">
        <v>734</v>
      </c>
      <c r="AI415" s="42" t="s">
        <v>734</v>
      </c>
      <c r="AJ415" s="42" t="s">
        <v>734</v>
      </c>
      <c r="AK415" s="42" t="s">
        <v>734</v>
      </c>
      <c r="AL415" s="42" t="s">
        <v>734</v>
      </c>
      <c r="AM415" s="42"/>
      <c r="AN415" s="42"/>
      <c r="AO415" s="42"/>
      <c r="AP415" s="42"/>
      <c r="AQ415" s="42"/>
      <c r="AR415" s="42"/>
      <c r="AS415" s="42"/>
      <c r="AT415" s="42"/>
      <c r="AU415" s="42"/>
      <c r="AV415" s="42"/>
      <c r="AW415" s="42"/>
      <c r="AX415" s="68">
        <v>55</v>
      </c>
      <c r="BA415" s="68"/>
      <c r="BB415" s="68"/>
      <c r="BD415" s="67">
        <f t="shared" ref="BD415:BD453" si="130">AX415*K415</f>
        <v>9570</v>
      </c>
      <c r="BE415" s="67"/>
      <c r="BF415" s="37"/>
      <c r="BG415" s="73">
        <v>1</v>
      </c>
      <c r="BH415" s="67">
        <f>IF(AND((AX415/I415)&lt;2,BG415=1),(I415*2)-AX415,0)</f>
        <v>0</v>
      </c>
      <c r="BI415" s="67">
        <f>IF(AND((AX415/I415)&lt;3,BG415=2),(I415*3)-AX415,0)</f>
        <v>0</v>
      </c>
      <c r="BJ415" s="70">
        <f>(BH415+BI415)*K415</f>
        <v>0</v>
      </c>
      <c r="BN415" s="37"/>
      <c r="BO415" s="70">
        <f t="shared" si="120"/>
        <v>0</v>
      </c>
      <c r="BP415" s="37">
        <v>15</v>
      </c>
      <c r="BQ415" s="37">
        <v>20</v>
      </c>
      <c r="BR415" s="37">
        <v>21</v>
      </c>
      <c r="BS415" s="37">
        <v>15</v>
      </c>
      <c r="BT415" s="87">
        <f t="shared" si="121"/>
        <v>55</v>
      </c>
      <c r="BU415" s="87"/>
      <c r="BV415" s="87"/>
      <c r="BW415" s="87"/>
      <c r="BX415" s="87"/>
      <c r="BY415" s="87"/>
      <c r="BZ415" s="87"/>
      <c r="CA415" s="87"/>
      <c r="CB415" s="87"/>
      <c r="CC415" s="87"/>
      <c r="CD415" s="87"/>
      <c r="CF415" s="67">
        <f t="shared" si="122"/>
        <v>825</v>
      </c>
      <c r="CG415" s="67">
        <f t="shared" si="123"/>
        <v>1100</v>
      </c>
      <c r="CH415" s="67">
        <f t="shared" si="124"/>
        <v>1155</v>
      </c>
      <c r="CI415" s="67">
        <f t="shared" si="129"/>
        <v>825</v>
      </c>
      <c r="CJ415" s="37">
        <f t="shared" si="125"/>
        <v>60</v>
      </c>
      <c r="CK415" s="37">
        <f t="shared" si="126"/>
        <v>80</v>
      </c>
      <c r="CL415" s="37">
        <f t="shared" si="127"/>
        <v>84</v>
      </c>
      <c r="CM415" s="37">
        <f t="shared" si="128"/>
        <v>60</v>
      </c>
    </row>
    <row r="416" spans="1:91" ht="25.5">
      <c r="B416" s="156">
        <v>410</v>
      </c>
      <c r="C416" s="160">
        <v>212</v>
      </c>
      <c r="D416" s="164">
        <v>308</v>
      </c>
      <c r="E416" s="161">
        <v>0.6875</v>
      </c>
      <c r="F416" s="161">
        <v>0.6958333333333333</v>
      </c>
      <c r="G416" s="160" t="s">
        <v>104</v>
      </c>
      <c r="H416" s="160" t="s">
        <v>103</v>
      </c>
      <c r="I416" s="163">
        <v>4</v>
      </c>
      <c r="J416" s="164" t="s">
        <v>99</v>
      </c>
      <c r="K416" s="165">
        <v>174</v>
      </c>
      <c r="L416" s="166">
        <f t="shared" si="118"/>
        <v>696</v>
      </c>
      <c r="M416" s="177" t="s">
        <v>754</v>
      </c>
      <c r="N416" s="150" t="s">
        <v>892</v>
      </c>
      <c r="O416" s="150">
        <v>21</v>
      </c>
      <c r="P416" s="150" t="s">
        <v>893</v>
      </c>
      <c r="Q416" s="150">
        <v>9</v>
      </c>
      <c r="R416" s="150" t="s">
        <v>894</v>
      </c>
      <c r="S416" s="151">
        <v>9</v>
      </c>
      <c r="T416" s="45" t="s">
        <v>1547</v>
      </c>
      <c r="U416" s="45" t="s">
        <v>1548</v>
      </c>
      <c r="V416" s="45">
        <v>2300</v>
      </c>
      <c r="W416" s="45" t="s">
        <v>1549</v>
      </c>
      <c r="X416" s="98">
        <v>44816</v>
      </c>
      <c r="Y416" s="98">
        <v>45086</v>
      </c>
      <c r="Z416" s="98"/>
      <c r="AA416" s="98"/>
      <c r="AB416" s="41" t="s">
        <v>1114</v>
      </c>
      <c r="AC416" s="41"/>
      <c r="AD416" s="42"/>
      <c r="AE416" s="42"/>
      <c r="AF416" s="42"/>
      <c r="AG416" s="42" t="s">
        <v>734</v>
      </c>
      <c r="AH416" s="42" t="s">
        <v>734</v>
      </c>
      <c r="AI416" s="42" t="s">
        <v>734</v>
      </c>
      <c r="AJ416" s="42" t="s">
        <v>734</v>
      </c>
      <c r="AK416" s="42" t="s">
        <v>734</v>
      </c>
      <c r="AL416" s="42" t="s">
        <v>734</v>
      </c>
      <c r="AM416" s="42"/>
      <c r="AN416" s="42"/>
      <c r="AO416" s="42"/>
      <c r="AP416" s="42"/>
      <c r="AQ416" s="42"/>
      <c r="AR416" s="42"/>
      <c r="AS416" s="42"/>
      <c r="AT416" s="42"/>
      <c r="AU416" s="42"/>
      <c r="AV416" s="42"/>
      <c r="AW416" s="42"/>
      <c r="AX416" s="68">
        <v>20</v>
      </c>
      <c r="BA416" s="68"/>
      <c r="BB416" s="68"/>
      <c r="BD416" s="67">
        <f t="shared" si="130"/>
        <v>3480</v>
      </c>
      <c r="BE416" s="67"/>
      <c r="BF416" s="37"/>
      <c r="BG416" s="73">
        <v>1</v>
      </c>
      <c r="BH416" s="67">
        <f>IF(AND((AX416/I416)&lt;2,BG416=1),(I416*2)-AX416,0)</f>
        <v>0</v>
      </c>
      <c r="BI416" s="67">
        <f>IF(AND((AX416/I416)&lt;3,BG416=2),(I416*3)-AX416,0)</f>
        <v>0</v>
      </c>
      <c r="BJ416" s="70">
        <f>(BH416+BI416)*K416</f>
        <v>0</v>
      </c>
      <c r="BN416" s="37"/>
      <c r="BO416" s="70">
        <f t="shared" si="120"/>
        <v>0</v>
      </c>
      <c r="BP416" s="37">
        <v>15</v>
      </c>
      <c r="BQ416" s="37">
        <v>20</v>
      </c>
      <c r="BR416" s="37">
        <v>21</v>
      </c>
      <c r="BS416" s="37">
        <v>15</v>
      </c>
      <c r="BT416" s="87">
        <f t="shared" si="121"/>
        <v>20</v>
      </c>
      <c r="BU416" s="87"/>
      <c r="BV416" s="87"/>
      <c r="BW416" s="87"/>
      <c r="BX416" s="87"/>
      <c r="BY416" s="87"/>
      <c r="BZ416" s="87"/>
      <c r="CA416" s="87"/>
      <c r="CB416" s="87"/>
      <c r="CC416" s="87"/>
      <c r="CD416" s="87"/>
      <c r="CF416" s="67">
        <f t="shared" si="122"/>
        <v>300</v>
      </c>
      <c r="CG416" s="67">
        <f t="shared" si="123"/>
        <v>400</v>
      </c>
      <c r="CH416" s="67">
        <f t="shared" si="124"/>
        <v>420</v>
      </c>
      <c r="CI416" s="67">
        <f t="shared" si="129"/>
        <v>300</v>
      </c>
      <c r="CJ416" s="37">
        <f t="shared" si="125"/>
        <v>60</v>
      </c>
      <c r="CK416" s="37">
        <f t="shared" si="126"/>
        <v>80</v>
      </c>
      <c r="CL416" s="37">
        <f t="shared" si="127"/>
        <v>84</v>
      </c>
      <c r="CM416" s="37">
        <f t="shared" si="128"/>
        <v>60</v>
      </c>
    </row>
    <row r="417" spans="1:91" ht="25.5">
      <c r="B417" s="156">
        <v>411</v>
      </c>
      <c r="C417" s="160">
        <v>213</v>
      </c>
      <c r="D417" s="160">
        <v>413</v>
      </c>
      <c r="E417" s="161">
        <v>0.29166666666666669</v>
      </c>
      <c r="F417" s="161">
        <v>0.2951388888888889</v>
      </c>
      <c r="G417" s="160" t="s">
        <v>286</v>
      </c>
      <c r="H417" s="160" t="s">
        <v>97</v>
      </c>
      <c r="I417" s="163">
        <v>3.2</v>
      </c>
      <c r="J417" s="164" t="s">
        <v>116</v>
      </c>
      <c r="K417" s="165">
        <v>208</v>
      </c>
      <c r="L417" s="166">
        <f t="shared" si="118"/>
        <v>665.6</v>
      </c>
      <c r="M417" s="177" t="s">
        <v>754</v>
      </c>
      <c r="N417" s="150" t="s">
        <v>893</v>
      </c>
      <c r="O417" s="150">
        <v>9</v>
      </c>
      <c r="P417" s="150" t="s">
        <v>894</v>
      </c>
      <c r="Q417" s="150">
        <v>9</v>
      </c>
      <c r="R417" s="150"/>
      <c r="S417" s="150"/>
      <c r="T417" s="45">
        <v>2308</v>
      </c>
      <c r="U417" s="45" t="s">
        <v>1550</v>
      </c>
      <c r="V417" s="45" t="s">
        <v>1551</v>
      </c>
      <c r="W417" s="45" t="s">
        <v>1552</v>
      </c>
      <c r="X417" s="98">
        <v>44816</v>
      </c>
      <c r="Y417" s="98">
        <v>45086</v>
      </c>
      <c r="Z417" s="98"/>
      <c r="AA417" s="98"/>
      <c r="AB417" s="41" t="s">
        <v>1118</v>
      </c>
      <c r="AC417" s="41"/>
      <c r="AD417" s="42"/>
      <c r="AE417" s="42"/>
      <c r="AF417" s="42"/>
      <c r="AG417" s="42" t="s">
        <v>734</v>
      </c>
      <c r="AH417" s="42" t="s">
        <v>734</v>
      </c>
      <c r="AI417" s="42" t="s">
        <v>734</v>
      </c>
      <c r="AJ417" s="42" t="s">
        <v>734</v>
      </c>
      <c r="AK417" s="42" t="s">
        <v>734</v>
      </c>
      <c r="AL417" s="42" t="s">
        <v>734</v>
      </c>
      <c r="AM417" s="42" t="s">
        <v>734</v>
      </c>
      <c r="AN417" s="42"/>
      <c r="AO417" s="42"/>
      <c r="AP417" s="42"/>
      <c r="AQ417" s="42"/>
      <c r="AR417" s="42"/>
      <c r="AS417" s="42"/>
      <c r="AT417" s="42"/>
      <c r="AU417" s="42"/>
      <c r="AV417" s="42"/>
      <c r="AW417" s="42"/>
      <c r="AX417" s="68">
        <v>13.79</v>
      </c>
      <c r="BA417" s="68"/>
      <c r="BB417" s="68"/>
      <c r="BD417" s="67">
        <f t="shared" si="130"/>
        <v>2868.3199999999997</v>
      </c>
      <c r="BE417" s="67"/>
      <c r="BF417" s="37"/>
      <c r="BG417" s="73">
        <v>1</v>
      </c>
      <c r="BH417" s="67">
        <f>IF(AND((AX417/I417)&lt;2,BG417=1),(I417*2)-AX417,0)</f>
        <v>0</v>
      </c>
      <c r="BI417" s="67">
        <f>IF(AND((AX417/I417)&lt;3,BG417=2),(I417*3)-AX417,0)</f>
        <v>0</v>
      </c>
      <c r="BJ417" s="70">
        <f>(BH417+BI417)*K417</f>
        <v>0</v>
      </c>
      <c r="BN417" s="37"/>
      <c r="BO417" s="70">
        <f t="shared" si="120"/>
        <v>0</v>
      </c>
      <c r="BP417" s="37">
        <v>17</v>
      </c>
      <c r="BQ417" s="37">
        <v>25</v>
      </c>
      <c r="BR417" s="37">
        <v>25</v>
      </c>
      <c r="BS417" s="37">
        <v>18</v>
      </c>
      <c r="BT417" s="87">
        <f t="shared" si="121"/>
        <v>13.79</v>
      </c>
      <c r="BU417" s="87"/>
      <c r="BV417" s="87"/>
      <c r="BW417" s="87"/>
      <c r="BX417" s="87"/>
      <c r="BY417" s="87"/>
      <c r="BZ417" s="87"/>
      <c r="CA417" s="87"/>
      <c r="CB417" s="87"/>
      <c r="CC417" s="87"/>
      <c r="CD417" s="87"/>
      <c r="CF417" s="67">
        <f t="shared" si="122"/>
        <v>234.42999999999998</v>
      </c>
      <c r="CG417" s="67">
        <f t="shared" si="123"/>
        <v>344.75</v>
      </c>
      <c r="CH417" s="67">
        <f t="shared" si="124"/>
        <v>344.75</v>
      </c>
      <c r="CI417" s="67">
        <f t="shared" si="129"/>
        <v>248.21999999999997</v>
      </c>
      <c r="CJ417" s="37">
        <f t="shared" si="125"/>
        <v>54.400000000000006</v>
      </c>
      <c r="CK417" s="37">
        <f t="shared" si="126"/>
        <v>80</v>
      </c>
      <c r="CL417" s="37">
        <f t="shared" si="127"/>
        <v>80</v>
      </c>
      <c r="CM417" s="37">
        <f t="shared" si="128"/>
        <v>57.6</v>
      </c>
    </row>
    <row r="418" spans="1:91" ht="25.5">
      <c r="B418" s="156">
        <v>412</v>
      </c>
      <c r="C418" s="160">
        <v>213</v>
      </c>
      <c r="D418" s="160">
        <v>968</v>
      </c>
      <c r="E418" s="161">
        <v>0.55208333333333337</v>
      </c>
      <c r="F418" s="161">
        <v>0.55902777777777779</v>
      </c>
      <c r="G418" s="160" t="s">
        <v>483</v>
      </c>
      <c r="H418" s="160" t="s">
        <v>253</v>
      </c>
      <c r="I418" s="163">
        <v>4.5999999999999996</v>
      </c>
      <c r="J418" s="164" t="s">
        <v>234</v>
      </c>
      <c r="K418" s="165">
        <v>34</v>
      </c>
      <c r="L418" s="166">
        <f t="shared" si="118"/>
        <v>156.39999999999998</v>
      </c>
      <c r="M418" s="177" t="s">
        <v>754</v>
      </c>
      <c r="N418" s="150" t="s">
        <v>894</v>
      </c>
      <c r="O418" s="150">
        <v>9</v>
      </c>
      <c r="P418" s="150" t="s">
        <v>893</v>
      </c>
      <c r="Q418" s="150">
        <v>9</v>
      </c>
      <c r="S418" s="150"/>
      <c r="T418" s="45">
        <v>2326</v>
      </c>
      <c r="U418" s="45" t="s">
        <v>1553</v>
      </c>
      <c r="V418" s="45">
        <v>2324</v>
      </c>
      <c r="W418" s="45" t="s">
        <v>1365</v>
      </c>
      <c r="X418" s="98">
        <v>44816</v>
      </c>
      <c r="Y418" s="98">
        <v>45086</v>
      </c>
      <c r="Z418" s="98"/>
      <c r="AA418" s="98"/>
      <c r="AB418" s="42" t="s">
        <v>1123</v>
      </c>
      <c r="AC418" s="42"/>
      <c r="AD418" s="42"/>
      <c r="AE418" s="42"/>
      <c r="AF418" s="42"/>
      <c r="AG418" s="42" t="s">
        <v>734</v>
      </c>
      <c r="AH418" s="42"/>
      <c r="AI418" s="42"/>
      <c r="AJ418" s="42"/>
      <c r="AK418" s="42"/>
      <c r="AL418" s="42"/>
      <c r="AM418" s="42" t="s">
        <v>734</v>
      </c>
      <c r="AN418" s="42"/>
      <c r="AO418" s="42"/>
      <c r="AP418" s="42"/>
      <c r="AQ418" s="42"/>
      <c r="AR418" s="42"/>
      <c r="AS418" s="42"/>
      <c r="AT418" s="42"/>
      <c r="AU418" s="42"/>
      <c r="AV418" s="42"/>
      <c r="AW418" s="42"/>
      <c r="AX418" s="68">
        <v>13.8</v>
      </c>
      <c r="BA418" s="68"/>
      <c r="BB418" s="68"/>
      <c r="BD418" s="67">
        <f t="shared" si="130"/>
        <v>469.20000000000005</v>
      </c>
      <c r="BE418" s="67"/>
      <c r="BF418" s="37"/>
      <c r="BG418" s="73">
        <v>1</v>
      </c>
      <c r="BH418" s="67">
        <f>IF(AND((AX418/I418)&lt;2,BG418=1),(I418*2)-AX418,0)</f>
        <v>0</v>
      </c>
      <c r="BI418" s="67">
        <f>IF(AND((AX418/I418)&lt;3,BG418=2),(I418*3)-AX418,0)</f>
        <v>0</v>
      </c>
      <c r="BJ418" s="70">
        <f>(BH418+BI418)*K418</f>
        <v>0</v>
      </c>
      <c r="BN418" s="37"/>
      <c r="BO418" s="70">
        <f t="shared" si="120"/>
        <v>0</v>
      </c>
      <c r="BP418" s="37">
        <v>2</v>
      </c>
      <c r="BQ418" s="37">
        <v>5</v>
      </c>
      <c r="BR418" s="37">
        <v>4</v>
      </c>
      <c r="BS418" s="37">
        <v>3</v>
      </c>
      <c r="BT418" s="87">
        <f t="shared" si="121"/>
        <v>13.8</v>
      </c>
      <c r="BU418" s="87"/>
      <c r="BV418" s="87"/>
      <c r="BW418" s="87"/>
      <c r="BX418" s="87"/>
      <c r="BY418" s="87"/>
      <c r="BZ418" s="87"/>
      <c r="CA418" s="87"/>
      <c r="CB418" s="87"/>
      <c r="CC418" s="87"/>
      <c r="CD418" s="87"/>
      <c r="CF418" s="67">
        <f t="shared" si="122"/>
        <v>27.6</v>
      </c>
      <c r="CG418" s="67">
        <f t="shared" si="123"/>
        <v>69</v>
      </c>
      <c r="CH418" s="67">
        <f t="shared" si="124"/>
        <v>55.2</v>
      </c>
      <c r="CI418" s="67">
        <f t="shared" si="129"/>
        <v>41.400000000000006</v>
      </c>
      <c r="CJ418" s="37">
        <f t="shared" si="125"/>
        <v>9.1999999999999993</v>
      </c>
      <c r="CK418" s="37">
        <f t="shared" si="126"/>
        <v>23</v>
      </c>
      <c r="CL418" s="37">
        <f t="shared" si="127"/>
        <v>18.399999999999999</v>
      </c>
      <c r="CM418" s="37">
        <f t="shared" si="128"/>
        <v>13.799999999999999</v>
      </c>
    </row>
    <row r="419" spans="1:91" ht="25.5">
      <c r="A419" s="150"/>
      <c r="B419" s="156">
        <v>413</v>
      </c>
      <c r="C419" s="160">
        <v>213</v>
      </c>
      <c r="D419" s="160">
        <v>6</v>
      </c>
      <c r="E419" s="161">
        <v>0.59375</v>
      </c>
      <c r="F419" s="161">
        <v>0.60416666666666663</v>
      </c>
      <c r="G419" s="160" t="s">
        <v>431</v>
      </c>
      <c r="H419" s="160" t="s">
        <v>103</v>
      </c>
      <c r="I419" s="163">
        <v>7</v>
      </c>
      <c r="J419" s="164" t="s">
        <v>167</v>
      </c>
      <c r="K419" s="165">
        <v>174</v>
      </c>
      <c r="L419" s="166">
        <f t="shared" si="118"/>
        <v>1218</v>
      </c>
      <c r="M419" s="177" t="s">
        <v>754</v>
      </c>
      <c r="N419" s="150" t="s">
        <v>893</v>
      </c>
      <c r="O419" s="150">
        <v>9</v>
      </c>
      <c r="P419" s="150" t="s">
        <v>894</v>
      </c>
      <c r="Q419" s="150">
        <v>9</v>
      </c>
      <c r="R419" s="150" t="s">
        <v>892</v>
      </c>
      <c r="S419" s="151">
        <v>21</v>
      </c>
      <c r="T419" s="45" t="s">
        <v>1554</v>
      </c>
      <c r="U419" s="45" t="s">
        <v>1555</v>
      </c>
      <c r="V419" s="45">
        <v>2324</v>
      </c>
      <c r="W419" s="45" t="s">
        <v>1365</v>
      </c>
      <c r="X419" s="98">
        <v>44816</v>
      </c>
      <c r="Y419" s="98">
        <v>45086</v>
      </c>
      <c r="Z419" s="98"/>
      <c r="AA419" s="98"/>
      <c r="AB419" s="41" t="s">
        <v>1114</v>
      </c>
      <c r="AC419" s="41"/>
      <c r="AD419" s="42"/>
      <c r="AE419" s="42"/>
      <c r="AF419" s="42"/>
      <c r="AG419" s="42" t="s">
        <v>734</v>
      </c>
      <c r="AH419" s="42" t="s">
        <v>734</v>
      </c>
      <c r="AI419" s="42" t="s">
        <v>734</v>
      </c>
      <c r="AJ419" s="42" t="s">
        <v>734</v>
      </c>
      <c r="AK419" s="42" t="s">
        <v>734</v>
      </c>
      <c r="AL419" s="42" t="s">
        <v>734</v>
      </c>
      <c r="AM419" s="42"/>
      <c r="AN419" s="42"/>
      <c r="AO419" s="42"/>
      <c r="AP419" s="42"/>
      <c r="AQ419" s="42"/>
      <c r="AR419" s="42"/>
      <c r="AS419" s="42"/>
      <c r="AT419" s="42"/>
      <c r="AU419" s="42"/>
      <c r="AV419" s="42"/>
      <c r="AW419" s="42"/>
      <c r="AX419" s="67">
        <f>((24*137)+(12.6*37))/174</f>
        <v>21.575862068965517</v>
      </c>
      <c r="BA419" s="68"/>
      <c r="BB419" s="68"/>
      <c r="BD419" s="67">
        <f t="shared" si="130"/>
        <v>3754.2</v>
      </c>
      <c r="BE419" s="67"/>
      <c r="BF419" s="37"/>
      <c r="BG419" s="73">
        <v>1</v>
      </c>
      <c r="BH419" s="67">
        <f>IF(AND((AX419/I419)&lt;2,BG419=1),(I419*2)-AX419,0)</f>
        <v>0</v>
      </c>
      <c r="BI419" s="67">
        <f>IF(AND((AX419/I419)&lt;3,BG419=2),(I419*3)-AX419,0)</f>
        <v>0</v>
      </c>
      <c r="BJ419" s="70">
        <f>(BH419+BI419)*K419</f>
        <v>0</v>
      </c>
      <c r="BN419" s="37"/>
      <c r="BO419" s="70">
        <f t="shared" ref="BO419:BO450" si="131">BN419*K419</f>
        <v>0</v>
      </c>
      <c r="BP419" s="37">
        <v>15</v>
      </c>
      <c r="BQ419" s="37">
        <v>20</v>
      </c>
      <c r="BR419" s="37">
        <v>21</v>
      </c>
      <c r="BS419" s="37">
        <v>15</v>
      </c>
      <c r="BT419" s="87">
        <f t="shared" ref="BT419:BT450" si="132">SUM(AX419:AZ419)+SUM(BH419:BI419)+SUM(BK419:BL419)+BN419</f>
        <v>21.575862068965517</v>
      </c>
      <c r="BU419" s="87"/>
      <c r="BV419" s="87"/>
      <c r="BW419" s="87"/>
      <c r="BX419" s="87"/>
      <c r="BY419" s="87"/>
      <c r="BZ419" s="87"/>
      <c r="CA419" s="87"/>
      <c r="CB419" s="87"/>
      <c r="CC419" s="87"/>
      <c r="CD419" s="87"/>
      <c r="CF419" s="67">
        <f t="shared" ref="CF419:CF450" si="133">(BT419*BP419)+(BV419*CD419)</f>
        <v>323.63793103448273</v>
      </c>
      <c r="CG419" s="67">
        <f t="shared" si="123"/>
        <v>431.51724137931035</v>
      </c>
      <c r="CH419" s="67">
        <f t="shared" si="124"/>
        <v>453.09310344827583</v>
      </c>
      <c r="CI419" s="67">
        <f t="shared" si="129"/>
        <v>323.63793103448273</v>
      </c>
      <c r="CJ419" s="37">
        <f t="shared" si="125"/>
        <v>105</v>
      </c>
      <c r="CK419" s="37">
        <f t="shared" si="126"/>
        <v>140</v>
      </c>
      <c r="CL419" s="37">
        <f t="shared" si="127"/>
        <v>147</v>
      </c>
      <c r="CM419" s="37">
        <f t="shared" si="128"/>
        <v>105</v>
      </c>
    </row>
    <row r="420" spans="1:91" ht="22.5">
      <c r="B420" s="156">
        <v>414</v>
      </c>
      <c r="C420" s="169">
        <v>214</v>
      </c>
      <c r="D420" s="169">
        <v>27</v>
      </c>
      <c r="E420" s="170">
        <v>0.24652777777777779</v>
      </c>
      <c r="F420" s="170">
        <v>0.30624999999999997</v>
      </c>
      <c r="G420" s="171" t="s">
        <v>612</v>
      </c>
      <c r="H420" s="171" t="s">
        <v>1</v>
      </c>
      <c r="I420" s="169">
        <v>54</v>
      </c>
      <c r="J420" s="172">
        <v>50</v>
      </c>
      <c r="K420" s="165">
        <v>67</v>
      </c>
      <c r="L420" s="166">
        <f t="shared" si="118"/>
        <v>3618</v>
      </c>
      <c r="M420" s="177" t="s">
        <v>745</v>
      </c>
      <c r="N420" s="3" t="s">
        <v>1262</v>
      </c>
      <c r="O420" s="151">
        <v>58</v>
      </c>
      <c r="P420" s="154"/>
      <c r="Q420" s="154"/>
      <c r="T420" s="45">
        <v>2323</v>
      </c>
      <c r="U420" s="45" t="s">
        <v>1556</v>
      </c>
      <c r="V420" s="45">
        <v>960</v>
      </c>
      <c r="W420" s="45" t="s">
        <v>1354</v>
      </c>
      <c r="X420" s="99">
        <v>44562</v>
      </c>
      <c r="Y420" s="99">
        <v>44815</v>
      </c>
      <c r="Z420" s="99">
        <v>45101</v>
      </c>
      <c r="AA420" s="99">
        <v>45169</v>
      </c>
      <c r="AB420" s="42" t="s">
        <v>1119</v>
      </c>
      <c r="AC420" s="42"/>
      <c r="AD420" s="42"/>
      <c r="AE420" s="42" t="s">
        <v>734</v>
      </c>
      <c r="AF420" s="42" t="s">
        <v>734</v>
      </c>
      <c r="AG420" s="42"/>
      <c r="AH420" s="42" t="s">
        <v>734</v>
      </c>
      <c r="AI420" s="42" t="s">
        <v>734</v>
      </c>
      <c r="AJ420" s="42" t="s">
        <v>734</v>
      </c>
      <c r="AK420" s="42" t="s">
        <v>734</v>
      </c>
      <c r="AL420" s="42" t="s">
        <v>734</v>
      </c>
      <c r="AM420" s="42" t="s">
        <v>734</v>
      </c>
      <c r="AN420" s="42"/>
      <c r="AO420" s="42"/>
      <c r="AP420" s="42"/>
      <c r="AQ420" s="42"/>
      <c r="AR420" s="42"/>
      <c r="AS420" s="42"/>
      <c r="AT420" s="42"/>
      <c r="AU420" s="42"/>
      <c r="AV420" s="42"/>
      <c r="AW420" s="42"/>
      <c r="AY420" s="67">
        <v>220</v>
      </c>
      <c r="BA420" s="38"/>
      <c r="BB420" s="38"/>
      <c r="BD420" s="67">
        <f t="shared" si="130"/>
        <v>0</v>
      </c>
      <c r="BE420" s="67">
        <f>AY420*K420</f>
        <v>14740</v>
      </c>
      <c r="BF420" s="37"/>
      <c r="BG420" s="69">
        <v>2</v>
      </c>
      <c r="BI420" s="67"/>
      <c r="BJ420" s="37"/>
      <c r="BK420" s="67">
        <f>IF(AND((AY420/I420)&lt;2,BG420=1),(I420*2)-AY420,0)</f>
        <v>0</v>
      </c>
      <c r="BL420" s="67">
        <f>IF(AND((AY420/I420)&lt;3,BG420=2),(I420*3)-AY420,0)</f>
        <v>0</v>
      </c>
      <c r="BM420" s="70">
        <f>(BK420+BL420)*K420</f>
        <v>0</v>
      </c>
      <c r="BN420" s="67">
        <f>IF((AX420+AY420+AZ420)&lt;20,(20-(AX420+AY420+AZ420)),0)</f>
        <v>0</v>
      </c>
      <c r="BO420" s="70">
        <f t="shared" si="131"/>
        <v>0</v>
      </c>
      <c r="BP420" s="37">
        <v>9</v>
      </c>
      <c r="BQ420" s="37">
        <v>0</v>
      </c>
      <c r="BR420" s="37">
        <v>0</v>
      </c>
      <c r="BS420" s="37">
        <v>0</v>
      </c>
      <c r="BT420" s="87">
        <f t="shared" si="132"/>
        <v>220</v>
      </c>
      <c r="BU420" s="87"/>
      <c r="BV420" s="87"/>
      <c r="BW420" s="87"/>
      <c r="BX420" s="87"/>
      <c r="BY420" s="87"/>
      <c r="BZ420" s="87"/>
      <c r="CA420" s="87"/>
      <c r="CB420" s="87"/>
      <c r="CC420" s="87"/>
      <c r="CD420" s="87"/>
      <c r="CF420" s="67">
        <f t="shared" si="133"/>
        <v>1980</v>
      </c>
      <c r="CG420" s="67">
        <f t="shared" si="123"/>
        <v>0</v>
      </c>
      <c r="CH420" s="67">
        <f t="shared" si="124"/>
        <v>0</v>
      </c>
      <c r="CI420" s="67">
        <f t="shared" si="129"/>
        <v>0</v>
      </c>
      <c r="CJ420" s="37">
        <f t="shared" si="125"/>
        <v>486</v>
      </c>
      <c r="CK420" s="37">
        <f t="shared" si="126"/>
        <v>0</v>
      </c>
      <c r="CL420" s="37">
        <f t="shared" si="127"/>
        <v>0</v>
      </c>
      <c r="CM420" s="37">
        <f t="shared" si="128"/>
        <v>0</v>
      </c>
    </row>
    <row r="421" spans="1:91" ht="25.5">
      <c r="B421" s="156">
        <v>415</v>
      </c>
      <c r="C421" s="169">
        <v>214</v>
      </c>
      <c r="D421" s="169">
        <v>27</v>
      </c>
      <c r="E421" s="170">
        <v>0.25347222222222221</v>
      </c>
      <c r="F421" s="176">
        <v>0.31805555555555554</v>
      </c>
      <c r="G421" s="171" t="s">
        <v>612</v>
      </c>
      <c r="H421" s="171" t="s">
        <v>39</v>
      </c>
      <c r="I421" s="169">
        <f>50+4</f>
        <v>54</v>
      </c>
      <c r="J421" s="172">
        <v>50</v>
      </c>
      <c r="K421" s="165">
        <v>29</v>
      </c>
      <c r="L421" s="166">
        <f t="shared" si="118"/>
        <v>1566</v>
      </c>
      <c r="M421" s="177" t="s">
        <v>745</v>
      </c>
      <c r="N421" s="3" t="s">
        <v>1262</v>
      </c>
      <c r="O421" s="151">
        <v>58</v>
      </c>
      <c r="P421" s="154" t="s">
        <v>1921</v>
      </c>
      <c r="Q421" s="154">
        <v>56</v>
      </c>
      <c r="T421" s="45">
        <v>2323</v>
      </c>
      <c r="U421" s="45" t="s">
        <v>1556</v>
      </c>
      <c r="V421" s="45">
        <v>960</v>
      </c>
      <c r="W421" s="45" t="s">
        <v>1354</v>
      </c>
      <c r="X421" s="99">
        <v>44816</v>
      </c>
      <c r="Y421" s="99">
        <v>45100</v>
      </c>
      <c r="Z421" s="99"/>
      <c r="AA421" s="99"/>
      <c r="AB421" s="41" t="s">
        <v>1122</v>
      </c>
      <c r="AC421" s="41"/>
      <c r="AD421" s="42" t="s">
        <v>734</v>
      </c>
      <c r="AE421" s="42"/>
      <c r="AF421" s="42" t="s">
        <v>734</v>
      </c>
      <c r="AG421" s="42"/>
      <c r="AH421" s="42"/>
      <c r="AI421" s="42"/>
      <c r="AJ421" s="42"/>
      <c r="AK421" s="42"/>
      <c r="AL421" s="42"/>
      <c r="AM421" s="42"/>
      <c r="AN421" s="42"/>
      <c r="AO421" s="42"/>
      <c r="AP421" s="42"/>
      <c r="AQ421" s="42"/>
      <c r="AR421" s="42" t="s">
        <v>734</v>
      </c>
      <c r="AS421" s="42" t="s">
        <v>734</v>
      </c>
      <c r="AT421" s="42" t="s">
        <v>734</v>
      </c>
      <c r="AU421" s="42" t="s">
        <v>734</v>
      </c>
      <c r="AV421" s="42" t="s">
        <v>734</v>
      </c>
      <c r="AW421" s="42" t="s">
        <v>734</v>
      </c>
      <c r="BA421" s="38" t="s">
        <v>1019</v>
      </c>
      <c r="BB421" s="38"/>
      <c r="BD421" s="67">
        <f t="shared" si="130"/>
        <v>0</v>
      </c>
      <c r="BF421" s="37"/>
      <c r="BG421" s="69">
        <v>2</v>
      </c>
      <c r="BI421" s="67"/>
      <c r="BJ421" s="37"/>
      <c r="BO421" s="70">
        <f t="shared" si="131"/>
        <v>0</v>
      </c>
      <c r="BP421" s="37">
        <v>0</v>
      </c>
      <c r="BQ421" s="37">
        <v>1</v>
      </c>
      <c r="BR421" s="37">
        <v>0</v>
      </c>
      <c r="BS421" s="37">
        <v>7</v>
      </c>
      <c r="BT421" s="87">
        <f t="shared" si="132"/>
        <v>0</v>
      </c>
      <c r="BU421" s="87" t="s">
        <v>1124</v>
      </c>
      <c r="BV421" s="127">
        <v>17</v>
      </c>
      <c r="BW421" s="127"/>
      <c r="BX421" s="127">
        <v>26</v>
      </c>
      <c r="BY421" s="127"/>
      <c r="BZ421" s="127">
        <v>25</v>
      </c>
      <c r="CA421" s="127"/>
      <c r="CB421" s="127">
        <v>25</v>
      </c>
      <c r="CC421" s="127"/>
      <c r="CD421" s="87">
        <v>220</v>
      </c>
      <c r="CF421" s="67">
        <f t="shared" si="133"/>
        <v>3740</v>
      </c>
      <c r="CG421" s="67">
        <f t="shared" si="123"/>
        <v>5720</v>
      </c>
      <c r="CH421" s="67">
        <f t="shared" si="124"/>
        <v>5500</v>
      </c>
      <c r="CI421" s="67">
        <f t="shared" si="129"/>
        <v>5500</v>
      </c>
      <c r="CJ421" s="37">
        <f t="shared" si="125"/>
        <v>0</v>
      </c>
      <c r="CK421" s="37">
        <f t="shared" si="126"/>
        <v>54</v>
      </c>
      <c r="CL421" s="37">
        <f t="shared" si="127"/>
        <v>0</v>
      </c>
      <c r="CM421" s="37">
        <f t="shared" si="128"/>
        <v>378</v>
      </c>
    </row>
    <row r="422" spans="1:91" ht="25.5">
      <c r="B422" s="156">
        <v>416</v>
      </c>
      <c r="C422" s="169">
        <v>214</v>
      </c>
      <c r="D422" s="169">
        <v>582</v>
      </c>
      <c r="E422" s="170">
        <v>0.25833333333333336</v>
      </c>
      <c r="F422" s="170">
        <v>0.31805555555555554</v>
      </c>
      <c r="G422" s="171" t="s">
        <v>690</v>
      </c>
      <c r="H422" s="160" t="s">
        <v>97</v>
      </c>
      <c r="I422" s="169">
        <v>61</v>
      </c>
      <c r="J422" s="172">
        <v>55</v>
      </c>
      <c r="K422" s="165">
        <v>208</v>
      </c>
      <c r="L422" s="166">
        <f t="shared" si="118"/>
        <v>12688</v>
      </c>
      <c r="M422" s="167" t="s">
        <v>745</v>
      </c>
      <c r="N422" s="3" t="s">
        <v>1262</v>
      </c>
      <c r="O422" s="152">
        <v>58</v>
      </c>
      <c r="P422" s="150" t="s">
        <v>1921</v>
      </c>
      <c r="Q422" s="150">
        <v>56</v>
      </c>
      <c r="T422" s="41">
        <v>2305</v>
      </c>
      <c r="U422" s="41" t="s">
        <v>1557</v>
      </c>
      <c r="V422" s="41">
        <v>960</v>
      </c>
      <c r="W422" s="41" t="s">
        <v>1354</v>
      </c>
      <c r="X422" s="98">
        <v>44816</v>
      </c>
      <c r="Y422" s="98">
        <v>45086</v>
      </c>
      <c r="Z422" s="98"/>
      <c r="AA422" s="98"/>
      <c r="AB422" s="41" t="s">
        <v>1118</v>
      </c>
      <c r="AC422" s="41"/>
      <c r="AD422" s="42"/>
      <c r="AE422" s="42"/>
      <c r="AF422" s="42"/>
      <c r="AG422" s="42" t="s">
        <v>734</v>
      </c>
      <c r="AH422" s="42" t="s">
        <v>734</v>
      </c>
      <c r="AI422" s="42" t="s">
        <v>734</v>
      </c>
      <c r="AJ422" s="42" t="s">
        <v>734</v>
      </c>
      <c r="AK422" s="42" t="s">
        <v>734</v>
      </c>
      <c r="AL422" s="42" t="s">
        <v>734</v>
      </c>
      <c r="AM422" s="42" t="s">
        <v>734</v>
      </c>
      <c r="AN422" s="42"/>
      <c r="AO422" s="42"/>
      <c r="AP422" s="42"/>
      <c r="AQ422" s="42"/>
      <c r="AR422" s="42"/>
      <c r="AS422" s="42"/>
      <c r="AT422" s="42"/>
      <c r="AU422" s="42"/>
      <c r="AV422" s="42"/>
      <c r="AW422" s="42"/>
      <c r="BA422" s="38" t="s">
        <v>1019</v>
      </c>
      <c r="BB422" s="38"/>
      <c r="BC422" s="37">
        <v>44</v>
      </c>
      <c r="BD422" s="67">
        <f t="shared" si="130"/>
        <v>0</v>
      </c>
      <c r="BF422" s="37"/>
      <c r="BG422" s="37">
        <v>2</v>
      </c>
      <c r="BI422" s="67"/>
      <c r="BJ422" s="37"/>
      <c r="BO422" s="70">
        <f t="shared" si="131"/>
        <v>0</v>
      </c>
      <c r="BP422" s="37">
        <v>17</v>
      </c>
      <c r="BQ422" s="37">
        <v>25</v>
      </c>
      <c r="BR422" s="37">
        <v>25</v>
      </c>
      <c r="BS422" s="37">
        <v>18</v>
      </c>
      <c r="BT422" s="87">
        <f t="shared" si="132"/>
        <v>0</v>
      </c>
      <c r="BU422" s="87" t="s">
        <v>1118</v>
      </c>
      <c r="BV422" s="127">
        <v>17</v>
      </c>
      <c r="BW422" s="127"/>
      <c r="BX422" s="127">
        <v>25</v>
      </c>
      <c r="BY422" s="127"/>
      <c r="BZ422" s="127">
        <v>25</v>
      </c>
      <c r="CA422" s="127"/>
      <c r="CB422" s="127">
        <v>18</v>
      </c>
      <c r="CC422" s="127"/>
      <c r="CD422" s="67">
        <v>18.2</v>
      </c>
      <c r="CF422" s="67">
        <f t="shared" si="133"/>
        <v>309.39999999999998</v>
      </c>
      <c r="CG422" s="67">
        <f t="shared" si="123"/>
        <v>455</v>
      </c>
      <c r="CH422" s="67">
        <f t="shared" si="124"/>
        <v>455</v>
      </c>
      <c r="CI422" s="67">
        <f t="shared" si="129"/>
        <v>327.59999999999997</v>
      </c>
      <c r="CJ422" s="37">
        <f t="shared" si="125"/>
        <v>1037</v>
      </c>
      <c r="CK422" s="37">
        <f t="shared" si="126"/>
        <v>1525</v>
      </c>
      <c r="CL422" s="37">
        <f t="shared" si="127"/>
        <v>1525</v>
      </c>
      <c r="CM422" s="37">
        <f t="shared" si="128"/>
        <v>1098</v>
      </c>
    </row>
    <row r="423" spans="1:91" ht="25.5">
      <c r="A423" s="225" t="s">
        <v>2033</v>
      </c>
      <c r="B423" s="226">
        <v>417</v>
      </c>
      <c r="C423" s="227">
        <v>214</v>
      </c>
      <c r="D423" s="231">
        <v>582</v>
      </c>
      <c r="E423" s="229">
        <v>0.28472222222222221</v>
      </c>
      <c r="F423" s="229">
        <v>0.31805555555555554</v>
      </c>
      <c r="G423" s="227" t="s">
        <v>692</v>
      </c>
      <c r="H423" s="227" t="s">
        <v>102</v>
      </c>
      <c r="I423" s="230">
        <v>24</v>
      </c>
      <c r="J423" s="231" t="s">
        <v>101</v>
      </c>
      <c r="K423" s="239">
        <v>33</v>
      </c>
      <c r="L423" s="233">
        <f t="shared" si="118"/>
        <v>792</v>
      </c>
      <c r="M423" s="234" t="s">
        <v>2126</v>
      </c>
      <c r="N423" s="249" t="s">
        <v>950</v>
      </c>
      <c r="O423" s="249">
        <v>51</v>
      </c>
      <c r="P423" s="249" t="s">
        <v>951</v>
      </c>
      <c r="Q423" s="249">
        <v>55</v>
      </c>
      <c r="R423" s="249" t="s">
        <v>1245</v>
      </c>
      <c r="S423" s="249">
        <v>54</v>
      </c>
      <c r="T423" s="240" t="s">
        <v>1558</v>
      </c>
      <c r="U423" s="240" t="s">
        <v>1559</v>
      </c>
      <c r="V423" s="240">
        <v>960</v>
      </c>
      <c r="W423" s="240" t="s">
        <v>1354</v>
      </c>
      <c r="X423" s="251">
        <v>44816</v>
      </c>
      <c r="Y423" s="251">
        <v>44878</v>
      </c>
      <c r="Z423" s="251"/>
      <c r="AA423" s="251"/>
      <c r="AB423" s="240" t="s">
        <v>1132</v>
      </c>
      <c r="AC423" s="240"/>
      <c r="AD423" s="252"/>
      <c r="AE423" s="252"/>
      <c r="AF423" s="252"/>
      <c r="AG423" s="252" t="s">
        <v>734</v>
      </c>
      <c r="AH423" s="252" t="s">
        <v>734</v>
      </c>
      <c r="AI423" s="252"/>
      <c r="AJ423" s="252"/>
      <c r="AK423" s="252"/>
      <c r="AL423" s="252"/>
      <c r="AM423" s="252"/>
      <c r="AN423" s="252"/>
      <c r="AO423" s="252"/>
      <c r="AP423" s="252"/>
      <c r="AQ423" s="252"/>
      <c r="AR423" s="252"/>
      <c r="AS423" s="252"/>
      <c r="AT423" s="252"/>
      <c r="AU423" s="252"/>
      <c r="AV423" s="252"/>
      <c r="AW423" s="252"/>
      <c r="AX423" s="238">
        <f>15+150</f>
        <v>165</v>
      </c>
      <c r="AY423" s="238"/>
      <c r="AZ423" s="236"/>
      <c r="BA423" s="238"/>
      <c r="BB423" s="238"/>
      <c r="BC423" s="236"/>
      <c r="BD423" s="238">
        <f t="shared" si="130"/>
        <v>5445</v>
      </c>
      <c r="BE423" s="238"/>
      <c r="BF423" s="236"/>
      <c r="BG423" s="236">
        <v>2</v>
      </c>
      <c r="BH423" s="238">
        <f t="shared" ref="BH423:BH447" si="134">IF(AND((AX423/I423)&lt;2,BG423=1),(I423*2)-AX423,0)</f>
        <v>0</v>
      </c>
      <c r="BI423" s="238">
        <f t="shared" ref="BI423:BI447" si="135">IF(AND((AX423/I423)&lt;3,BG423=2),(I423*3)-AX423,0)</f>
        <v>0</v>
      </c>
      <c r="BJ423" s="250">
        <f t="shared" ref="BJ423:BJ447" si="136">(BH423+BI423)*K423</f>
        <v>0</v>
      </c>
      <c r="BK423" s="236"/>
      <c r="BL423" s="236"/>
      <c r="BM423" s="236"/>
      <c r="BN423" s="238">
        <f>IF((AX423+AY423+AZ423)&lt;20,(20-(AX423+AY423+AZ423)),0)</f>
        <v>0</v>
      </c>
      <c r="BO423" s="250">
        <f t="shared" si="131"/>
        <v>0</v>
      </c>
      <c r="BP423" s="236">
        <v>3</v>
      </c>
      <c r="BQ423" s="236">
        <v>4</v>
      </c>
      <c r="BR423" s="236">
        <v>2</v>
      </c>
      <c r="BS423" s="236">
        <v>0</v>
      </c>
      <c r="BT423" s="237">
        <f t="shared" si="132"/>
        <v>165</v>
      </c>
      <c r="BU423" s="237"/>
      <c r="BV423" s="237"/>
      <c r="BW423" s="237"/>
      <c r="BX423" s="237"/>
      <c r="BY423" s="237"/>
      <c r="BZ423" s="237"/>
      <c r="CA423" s="237"/>
      <c r="CB423" s="237"/>
      <c r="CC423" s="237"/>
      <c r="CD423" s="237"/>
      <c r="CE423" s="236"/>
      <c r="CF423" s="238">
        <f t="shared" si="133"/>
        <v>495</v>
      </c>
      <c r="CG423" s="238">
        <f t="shared" si="123"/>
        <v>660</v>
      </c>
      <c r="CH423" s="238">
        <f t="shared" si="124"/>
        <v>330</v>
      </c>
      <c r="CI423" s="67">
        <f t="shared" si="129"/>
        <v>0</v>
      </c>
      <c r="CJ423" s="37">
        <f t="shared" si="125"/>
        <v>72</v>
      </c>
      <c r="CK423" s="37">
        <f t="shared" si="126"/>
        <v>96</v>
      </c>
      <c r="CL423" s="37">
        <f t="shared" si="127"/>
        <v>48</v>
      </c>
      <c r="CM423" s="37">
        <f t="shared" si="128"/>
        <v>0</v>
      </c>
    </row>
    <row r="424" spans="1:91" ht="25.5">
      <c r="B424" s="156">
        <v>418</v>
      </c>
      <c r="C424" s="160">
        <v>214</v>
      </c>
      <c r="D424" s="160">
        <v>450</v>
      </c>
      <c r="E424" s="161">
        <v>0.34027777777777773</v>
      </c>
      <c r="F424" s="161">
        <v>0.35416666666666669</v>
      </c>
      <c r="G424" s="160" t="s">
        <v>372</v>
      </c>
      <c r="H424" s="160" t="s">
        <v>108</v>
      </c>
      <c r="I424" s="163">
        <v>11.5</v>
      </c>
      <c r="J424" s="164">
        <v>8</v>
      </c>
      <c r="K424" s="165">
        <v>52</v>
      </c>
      <c r="L424" s="166">
        <f t="shared" si="118"/>
        <v>598</v>
      </c>
      <c r="M424" s="177" t="s">
        <v>753</v>
      </c>
      <c r="N424" s="154" t="s">
        <v>843</v>
      </c>
      <c r="O424" s="154">
        <v>23</v>
      </c>
      <c r="P424" s="154" t="s">
        <v>842</v>
      </c>
      <c r="Q424" s="154">
        <v>9</v>
      </c>
      <c r="S424" s="154"/>
      <c r="T424" s="45">
        <v>960</v>
      </c>
      <c r="U424" s="45" t="s">
        <v>1354</v>
      </c>
      <c r="V424" s="45">
        <v>2160</v>
      </c>
      <c r="W424" s="45" t="s">
        <v>1367</v>
      </c>
      <c r="X424" s="98">
        <v>44805</v>
      </c>
      <c r="Y424" s="98">
        <v>45169</v>
      </c>
      <c r="Z424" s="98"/>
      <c r="AA424" s="98"/>
      <c r="AB424" s="42" t="s">
        <v>1138</v>
      </c>
      <c r="AC424" s="42"/>
      <c r="AD424" s="42" t="s">
        <v>734</v>
      </c>
      <c r="AE424" s="42" t="s">
        <v>734</v>
      </c>
      <c r="AF424" s="42" t="s">
        <v>734</v>
      </c>
      <c r="AG424" s="42"/>
      <c r="AH424" s="42"/>
      <c r="AI424" s="42"/>
      <c r="AJ424" s="42" t="s">
        <v>734</v>
      </c>
      <c r="AK424" s="42"/>
      <c r="AL424" s="42"/>
      <c r="AM424" s="42"/>
      <c r="AN424" s="42"/>
      <c r="AO424" s="42"/>
      <c r="AP424" s="42"/>
      <c r="AQ424" s="42"/>
      <c r="AR424" s="42"/>
      <c r="AS424" s="42"/>
      <c r="AT424" s="42"/>
      <c r="AU424" s="42"/>
      <c r="AV424" s="42"/>
      <c r="AW424" s="42"/>
      <c r="AX424" s="68">
        <v>26.39</v>
      </c>
      <c r="BA424" s="68"/>
      <c r="BB424" s="68"/>
      <c r="BD424" s="67">
        <f t="shared" si="130"/>
        <v>1372.28</v>
      </c>
      <c r="BE424" s="67"/>
      <c r="BF424" s="37"/>
      <c r="BG424" s="73">
        <v>1</v>
      </c>
      <c r="BH424" s="67">
        <f t="shared" si="134"/>
        <v>0</v>
      </c>
      <c r="BI424" s="67">
        <f t="shared" si="135"/>
        <v>0</v>
      </c>
      <c r="BJ424" s="70">
        <f t="shared" si="136"/>
        <v>0</v>
      </c>
      <c r="BN424" s="37"/>
      <c r="BO424" s="70">
        <f t="shared" si="131"/>
        <v>0</v>
      </c>
      <c r="BP424" s="37">
        <v>4</v>
      </c>
      <c r="BQ424" s="37">
        <v>4</v>
      </c>
      <c r="BR424" s="37">
        <v>5</v>
      </c>
      <c r="BS424" s="37">
        <v>4</v>
      </c>
      <c r="BT424" s="87">
        <f t="shared" si="132"/>
        <v>26.39</v>
      </c>
      <c r="BU424" s="87"/>
      <c r="BV424" s="87"/>
      <c r="BW424" s="87"/>
      <c r="BX424" s="87"/>
      <c r="BY424" s="87"/>
      <c r="BZ424" s="87"/>
      <c r="CA424" s="87"/>
      <c r="CB424" s="87"/>
      <c r="CC424" s="87"/>
      <c r="CD424" s="87"/>
      <c r="CF424" s="67">
        <f t="shared" si="133"/>
        <v>105.56</v>
      </c>
      <c r="CG424" s="67">
        <f t="shared" si="123"/>
        <v>105.56</v>
      </c>
      <c r="CH424" s="67">
        <f t="shared" si="124"/>
        <v>131.94999999999999</v>
      </c>
      <c r="CI424" s="67">
        <f t="shared" si="129"/>
        <v>105.56</v>
      </c>
      <c r="CJ424" s="37">
        <f t="shared" si="125"/>
        <v>46</v>
      </c>
      <c r="CK424" s="37">
        <f t="shared" si="126"/>
        <v>46</v>
      </c>
      <c r="CL424" s="37">
        <f t="shared" si="127"/>
        <v>57.5</v>
      </c>
      <c r="CM424" s="37">
        <f t="shared" si="128"/>
        <v>46</v>
      </c>
    </row>
    <row r="425" spans="1:91" ht="25.5">
      <c r="B425" s="156">
        <v>419</v>
      </c>
      <c r="C425" s="160">
        <v>214</v>
      </c>
      <c r="D425" s="160">
        <v>29</v>
      </c>
      <c r="E425" s="161">
        <v>0.35416666666666669</v>
      </c>
      <c r="F425" s="173">
        <v>0.36874999999999997</v>
      </c>
      <c r="G425" s="160" t="s">
        <v>327</v>
      </c>
      <c r="H425" s="160" t="s">
        <v>108</v>
      </c>
      <c r="I425" s="163">
        <v>11.5</v>
      </c>
      <c r="J425" s="164">
        <v>8</v>
      </c>
      <c r="K425" s="165">
        <v>52</v>
      </c>
      <c r="L425" s="166">
        <f t="shared" si="118"/>
        <v>598</v>
      </c>
      <c r="M425" s="177" t="s">
        <v>753</v>
      </c>
      <c r="N425" s="154" t="s">
        <v>843</v>
      </c>
      <c r="O425" s="154">
        <v>23</v>
      </c>
      <c r="P425" s="154" t="s">
        <v>842</v>
      </c>
      <c r="Q425" s="154">
        <v>9</v>
      </c>
      <c r="S425" s="154"/>
      <c r="T425" s="45">
        <v>2160</v>
      </c>
      <c r="U425" s="45" t="s">
        <v>1367</v>
      </c>
      <c r="V425" s="45">
        <v>960</v>
      </c>
      <c r="W425" s="45" t="s">
        <v>1354</v>
      </c>
      <c r="X425" s="98">
        <v>44805</v>
      </c>
      <c r="Y425" s="98">
        <v>45169</v>
      </c>
      <c r="Z425" s="98"/>
      <c r="AA425" s="98"/>
      <c r="AB425" s="42" t="s">
        <v>1138</v>
      </c>
      <c r="AC425" s="42"/>
      <c r="AD425" s="42" t="s">
        <v>734</v>
      </c>
      <c r="AE425" s="42" t="s">
        <v>734</v>
      </c>
      <c r="AF425" s="42" t="s">
        <v>734</v>
      </c>
      <c r="AG425" s="42"/>
      <c r="AH425" s="42"/>
      <c r="AI425" s="42"/>
      <c r="AJ425" s="42" t="s">
        <v>734</v>
      </c>
      <c r="AK425" s="42"/>
      <c r="AL425" s="42"/>
      <c r="AM425" s="42"/>
      <c r="AN425" s="42"/>
      <c r="AO425" s="42"/>
      <c r="AP425" s="42"/>
      <c r="AQ425" s="42"/>
      <c r="AR425" s="42"/>
      <c r="AS425" s="42"/>
      <c r="AT425" s="42"/>
      <c r="AU425" s="42"/>
      <c r="AV425" s="42"/>
      <c r="AW425" s="42"/>
      <c r="AX425" s="68">
        <v>26.39</v>
      </c>
      <c r="BA425" s="68"/>
      <c r="BB425" s="68"/>
      <c r="BD425" s="67">
        <f t="shared" si="130"/>
        <v>1372.28</v>
      </c>
      <c r="BE425" s="67"/>
      <c r="BF425" s="37"/>
      <c r="BG425" s="73">
        <v>1</v>
      </c>
      <c r="BH425" s="67">
        <f t="shared" si="134"/>
        <v>0</v>
      </c>
      <c r="BI425" s="67">
        <f t="shared" si="135"/>
        <v>0</v>
      </c>
      <c r="BJ425" s="70">
        <f t="shared" si="136"/>
        <v>0</v>
      </c>
      <c r="BN425" s="37"/>
      <c r="BO425" s="70">
        <f t="shared" si="131"/>
        <v>0</v>
      </c>
      <c r="BP425" s="37">
        <v>4</v>
      </c>
      <c r="BQ425" s="37">
        <v>4</v>
      </c>
      <c r="BR425" s="37">
        <v>5</v>
      </c>
      <c r="BS425" s="37">
        <v>4</v>
      </c>
      <c r="BT425" s="87">
        <f t="shared" si="132"/>
        <v>26.39</v>
      </c>
      <c r="BU425" s="87"/>
      <c r="BV425" s="87"/>
      <c r="BW425" s="87"/>
      <c r="BX425" s="87"/>
      <c r="BY425" s="87"/>
      <c r="BZ425" s="87"/>
      <c r="CA425" s="87"/>
      <c r="CB425" s="87"/>
      <c r="CC425" s="87"/>
      <c r="CD425" s="87"/>
      <c r="CF425" s="67">
        <f t="shared" si="133"/>
        <v>105.56</v>
      </c>
      <c r="CG425" s="67">
        <f t="shared" si="123"/>
        <v>105.56</v>
      </c>
      <c r="CH425" s="67">
        <f t="shared" si="124"/>
        <v>131.94999999999999</v>
      </c>
      <c r="CI425" s="67">
        <f t="shared" si="129"/>
        <v>105.56</v>
      </c>
      <c r="CJ425" s="37">
        <f t="shared" si="125"/>
        <v>46</v>
      </c>
      <c r="CK425" s="37">
        <f t="shared" si="126"/>
        <v>46</v>
      </c>
      <c r="CL425" s="37">
        <f t="shared" si="127"/>
        <v>57.5</v>
      </c>
      <c r="CM425" s="37">
        <f t="shared" si="128"/>
        <v>46</v>
      </c>
    </row>
    <row r="426" spans="1:91" ht="38.25">
      <c r="B426" s="156">
        <v>420</v>
      </c>
      <c r="C426" s="160">
        <v>214</v>
      </c>
      <c r="D426" s="160">
        <v>615</v>
      </c>
      <c r="E426" s="161">
        <v>0.41666666666666669</v>
      </c>
      <c r="F426" s="161">
        <v>0.4291666666666667</v>
      </c>
      <c r="G426" s="160" t="s">
        <v>456</v>
      </c>
      <c r="H426" s="174" t="s">
        <v>1206</v>
      </c>
      <c r="I426" s="163">
        <v>12.5</v>
      </c>
      <c r="J426" s="164" t="s">
        <v>93</v>
      </c>
      <c r="K426" s="179">
        <v>34</v>
      </c>
      <c r="L426" s="166">
        <f t="shared" si="118"/>
        <v>425</v>
      </c>
      <c r="M426" s="177" t="s">
        <v>745</v>
      </c>
      <c r="N426" s="154" t="s">
        <v>956</v>
      </c>
      <c r="O426" s="154">
        <v>20</v>
      </c>
      <c r="P426" s="154" t="s">
        <v>1928</v>
      </c>
      <c r="Q426" s="154">
        <v>27</v>
      </c>
      <c r="S426" s="154"/>
      <c r="T426" s="45">
        <v>2314</v>
      </c>
      <c r="U426" s="45" t="s">
        <v>1560</v>
      </c>
      <c r="V426" s="45" t="s">
        <v>1561</v>
      </c>
      <c r="W426" s="45" t="s">
        <v>1562</v>
      </c>
      <c r="X426" s="99">
        <v>44562</v>
      </c>
      <c r="Y426" s="99">
        <v>44815</v>
      </c>
      <c r="Z426" s="99">
        <v>45108</v>
      </c>
      <c r="AA426" s="99">
        <v>45138</v>
      </c>
      <c r="AB426" s="42" t="s">
        <v>1855</v>
      </c>
      <c r="AC426" s="42" t="s">
        <v>1135</v>
      </c>
      <c r="AD426" s="42"/>
      <c r="AE426" s="42" t="s">
        <v>734</v>
      </c>
      <c r="AF426" s="42" t="s">
        <v>734</v>
      </c>
      <c r="AG426" s="42"/>
      <c r="AH426" s="42" t="s">
        <v>734</v>
      </c>
      <c r="AI426" s="42" t="s">
        <v>734</v>
      </c>
      <c r="AJ426" s="42" t="s">
        <v>734</v>
      </c>
      <c r="AK426" s="42" t="s">
        <v>734</v>
      </c>
      <c r="AL426" s="42" t="s">
        <v>734</v>
      </c>
      <c r="AM426" s="42" t="s">
        <v>734</v>
      </c>
      <c r="AN426" s="42"/>
      <c r="AO426" s="42"/>
      <c r="AP426" s="42"/>
      <c r="AQ426" s="42"/>
      <c r="AR426" s="42"/>
      <c r="AS426" s="42"/>
      <c r="AT426" s="42"/>
      <c r="AU426" s="42"/>
      <c r="AV426" s="42"/>
      <c r="AW426" s="42"/>
      <c r="AX426" s="68">
        <v>37.5</v>
      </c>
      <c r="BA426" s="68"/>
      <c r="BB426" s="68"/>
      <c r="BD426" s="67">
        <f t="shared" si="130"/>
        <v>1275</v>
      </c>
      <c r="BE426" s="67"/>
      <c r="BF426" s="37"/>
      <c r="BG426" s="73">
        <v>1</v>
      </c>
      <c r="BH426" s="67">
        <f t="shared" si="134"/>
        <v>0</v>
      </c>
      <c r="BI426" s="67">
        <f t="shared" si="135"/>
        <v>0</v>
      </c>
      <c r="BJ426" s="70">
        <f t="shared" si="136"/>
        <v>0</v>
      </c>
      <c r="BN426" s="37"/>
      <c r="BO426" s="70">
        <f t="shared" si="131"/>
        <v>0</v>
      </c>
      <c r="BP426" s="37">
        <v>9</v>
      </c>
      <c r="BQ426" s="37">
        <v>0</v>
      </c>
      <c r="BR426" s="37">
        <v>0</v>
      </c>
      <c r="BS426" s="37">
        <v>0</v>
      </c>
      <c r="BT426" s="87">
        <f t="shared" si="132"/>
        <v>37.5</v>
      </c>
      <c r="BU426" s="87"/>
      <c r="BV426" s="87"/>
      <c r="BW426" s="87"/>
      <c r="BX426" s="87"/>
      <c r="BY426" s="87"/>
      <c r="BZ426" s="87"/>
      <c r="CA426" s="87"/>
      <c r="CB426" s="87"/>
      <c r="CC426" s="87"/>
      <c r="CD426" s="87"/>
      <c r="CF426" s="67">
        <f t="shared" si="133"/>
        <v>337.5</v>
      </c>
      <c r="CG426" s="67">
        <f t="shared" si="123"/>
        <v>0</v>
      </c>
      <c r="CH426" s="67">
        <f t="shared" si="124"/>
        <v>0</v>
      </c>
      <c r="CI426" s="67">
        <f t="shared" si="129"/>
        <v>0</v>
      </c>
      <c r="CJ426" s="37">
        <f t="shared" si="125"/>
        <v>112.5</v>
      </c>
      <c r="CK426" s="37">
        <f t="shared" si="126"/>
        <v>0</v>
      </c>
      <c r="CL426" s="37">
        <f t="shared" si="127"/>
        <v>0</v>
      </c>
      <c r="CM426" s="37">
        <f t="shared" si="128"/>
        <v>0</v>
      </c>
    </row>
    <row r="427" spans="1:91" ht="45">
      <c r="B427" s="181" t="s">
        <v>1207</v>
      </c>
      <c r="C427" s="160">
        <v>214</v>
      </c>
      <c r="D427" s="160">
        <v>615</v>
      </c>
      <c r="E427" s="161">
        <v>0.41666666666666669</v>
      </c>
      <c r="F427" s="161">
        <v>0.4291666666666667</v>
      </c>
      <c r="G427" s="160" t="s">
        <v>456</v>
      </c>
      <c r="H427" s="174" t="s">
        <v>1206</v>
      </c>
      <c r="I427" s="163">
        <v>12.5</v>
      </c>
      <c r="J427" s="164" t="s">
        <v>93</v>
      </c>
      <c r="K427" s="179">
        <v>33</v>
      </c>
      <c r="L427" s="166">
        <f t="shared" si="118"/>
        <v>412.5</v>
      </c>
      <c r="M427" s="177" t="s">
        <v>756</v>
      </c>
      <c r="N427" s="154" t="s">
        <v>969</v>
      </c>
      <c r="O427" s="154">
        <v>18</v>
      </c>
      <c r="P427" s="154" t="s">
        <v>957</v>
      </c>
      <c r="Q427" s="154">
        <v>17</v>
      </c>
      <c r="S427" s="154"/>
      <c r="T427" s="45">
        <v>2314</v>
      </c>
      <c r="U427" s="45" t="s">
        <v>1560</v>
      </c>
      <c r="V427" s="45" t="s">
        <v>1561</v>
      </c>
      <c r="W427" s="45" t="s">
        <v>1562</v>
      </c>
      <c r="X427" s="99">
        <v>45101</v>
      </c>
      <c r="Y427" s="99">
        <v>45107</v>
      </c>
      <c r="Z427" s="99">
        <v>45139</v>
      </c>
      <c r="AA427" s="99">
        <v>45169</v>
      </c>
      <c r="AB427" s="42" t="s">
        <v>1854</v>
      </c>
      <c r="AC427" s="42" t="s">
        <v>1135</v>
      </c>
      <c r="AD427" s="42"/>
      <c r="AE427" s="42" t="s">
        <v>734</v>
      </c>
      <c r="AF427" s="42" t="s">
        <v>734</v>
      </c>
      <c r="AG427" s="42"/>
      <c r="AH427" s="42" t="s">
        <v>734</v>
      </c>
      <c r="AI427" s="42" t="s">
        <v>734</v>
      </c>
      <c r="AJ427" s="42" t="s">
        <v>734</v>
      </c>
      <c r="AK427" s="42" t="s">
        <v>734</v>
      </c>
      <c r="AL427" s="42" t="s">
        <v>734</v>
      </c>
      <c r="AM427" s="42" t="s">
        <v>734</v>
      </c>
      <c r="AN427" s="42"/>
      <c r="AO427" s="42"/>
      <c r="AP427" s="42"/>
      <c r="AQ427" s="42"/>
      <c r="AR427" s="42"/>
      <c r="AS427" s="42"/>
      <c r="AT427" s="42"/>
      <c r="AU427" s="42"/>
      <c r="AV427" s="42"/>
      <c r="AW427" s="42"/>
      <c r="AX427" s="68">
        <v>37.5</v>
      </c>
      <c r="BA427" s="68"/>
      <c r="BB427" s="68"/>
      <c r="BD427" s="67">
        <f t="shared" si="130"/>
        <v>1237.5</v>
      </c>
      <c r="BE427" s="67"/>
      <c r="BF427" s="37"/>
      <c r="BG427" s="73">
        <v>1</v>
      </c>
      <c r="BH427" s="67">
        <f t="shared" si="134"/>
        <v>0</v>
      </c>
      <c r="BI427" s="67">
        <f t="shared" si="135"/>
        <v>0</v>
      </c>
      <c r="BJ427" s="70">
        <f t="shared" si="136"/>
        <v>0</v>
      </c>
      <c r="BN427" s="37"/>
      <c r="BO427" s="70">
        <f t="shared" si="131"/>
        <v>0</v>
      </c>
      <c r="BP427" s="37">
        <v>0</v>
      </c>
      <c r="BQ427" s="37">
        <v>0</v>
      </c>
      <c r="BR427" s="37">
        <v>0</v>
      </c>
      <c r="BS427" s="37">
        <v>0</v>
      </c>
      <c r="BT427" s="87">
        <f t="shared" si="132"/>
        <v>37.5</v>
      </c>
      <c r="BU427" s="87"/>
      <c r="BV427" s="87"/>
      <c r="BW427" s="87"/>
      <c r="BX427" s="87"/>
      <c r="BY427" s="87"/>
      <c r="BZ427" s="87"/>
      <c r="CA427" s="87"/>
      <c r="CB427" s="87"/>
      <c r="CC427" s="87"/>
      <c r="CD427" s="87"/>
      <c r="CF427" s="67">
        <f t="shared" si="133"/>
        <v>0</v>
      </c>
      <c r="CG427" s="67">
        <f t="shared" si="123"/>
        <v>0</v>
      </c>
      <c r="CH427" s="67">
        <f t="shared" si="124"/>
        <v>0</v>
      </c>
      <c r="CI427" s="67">
        <f t="shared" si="129"/>
        <v>0</v>
      </c>
      <c r="CJ427" s="37">
        <f t="shared" si="125"/>
        <v>0</v>
      </c>
      <c r="CK427" s="37">
        <f t="shared" si="126"/>
        <v>0</v>
      </c>
      <c r="CL427" s="37">
        <f t="shared" si="127"/>
        <v>0</v>
      </c>
      <c r="CM427" s="37">
        <f t="shared" si="128"/>
        <v>0</v>
      </c>
    </row>
    <row r="428" spans="1:91" ht="25.5">
      <c r="A428" s="150"/>
      <c r="B428" s="156">
        <v>421</v>
      </c>
      <c r="C428" s="160">
        <v>214</v>
      </c>
      <c r="D428" s="160">
        <v>18</v>
      </c>
      <c r="E428" s="161">
        <v>0.4236111111111111</v>
      </c>
      <c r="F428" s="161">
        <v>0.46597222222222223</v>
      </c>
      <c r="G428" s="160" t="s">
        <v>451</v>
      </c>
      <c r="H428" s="160" t="s">
        <v>550</v>
      </c>
      <c r="I428" s="163">
        <v>28</v>
      </c>
      <c r="J428" s="164" t="s">
        <v>101</v>
      </c>
      <c r="K428" s="165">
        <v>13</v>
      </c>
      <c r="L428" s="166">
        <f t="shared" si="118"/>
        <v>364</v>
      </c>
      <c r="M428" s="177" t="s">
        <v>753</v>
      </c>
      <c r="N428" s="150" t="s">
        <v>844</v>
      </c>
      <c r="O428" s="150">
        <v>57</v>
      </c>
      <c r="P428" s="150" t="s">
        <v>1927</v>
      </c>
      <c r="Q428" s="150">
        <v>56</v>
      </c>
      <c r="S428" s="150"/>
      <c r="T428" s="45">
        <v>960</v>
      </c>
      <c r="U428" s="45" t="s">
        <v>1354</v>
      </c>
      <c r="V428" s="45">
        <v>2156</v>
      </c>
      <c r="W428" s="45" t="s">
        <v>1562</v>
      </c>
      <c r="X428" s="99">
        <v>44562</v>
      </c>
      <c r="Y428" s="99">
        <v>44815</v>
      </c>
      <c r="Z428" s="99">
        <v>45101</v>
      </c>
      <c r="AA428" s="99">
        <v>45169</v>
      </c>
      <c r="AB428" s="36" t="s">
        <v>1116</v>
      </c>
      <c r="AC428" s="36"/>
      <c r="AD428" s="42"/>
      <c r="AE428" s="42" t="s">
        <v>734</v>
      </c>
      <c r="AF428" s="42"/>
      <c r="AG428" s="42"/>
      <c r="AH428" s="42"/>
      <c r="AI428" s="42"/>
      <c r="AJ428" s="42"/>
      <c r="AK428" s="42"/>
      <c r="AL428" s="42"/>
      <c r="AM428" s="42"/>
      <c r="AN428" s="42" t="s">
        <v>734</v>
      </c>
      <c r="AO428" s="42"/>
      <c r="AP428" s="42"/>
      <c r="AQ428" s="42"/>
      <c r="AR428" s="42"/>
      <c r="AS428" s="42"/>
      <c r="AT428" s="42"/>
      <c r="AU428" s="42"/>
      <c r="AV428" s="42"/>
      <c r="AW428" s="42"/>
      <c r="AX428" s="68">
        <v>84</v>
      </c>
      <c r="BA428" s="68"/>
      <c r="BB428" s="68"/>
      <c r="BD428" s="67">
        <f t="shared" si="130"/>
        <v>1092</v>
      </c>
      <c r="BE428" s="67"/>
      <c r="BF428" s="37"/>
      <c r="BG428" s="69">
        <v>2</v>
      </c>
      <c r="BH428" s="67">
        <f t="shared" si="134"/>
        <v>0</v>
      </c>
      <c r="BI428" s="67">
        <f t="shared" si="135"/>
        <v>0</v>
      </c>
      <c r="BJ428" s="70">
        <f t="shared" si="136"/>
        <v>0</v>
      </c>
      <c r="BN428" s="37"/>
      <c r="BO428" s="70">
        <f t="shared" si="131"/>
        <v>0</v>
      </c>
      <c r="BP428" s="37">
        <v>2</v>
      </c>
      <c r="BQ428" s="37">
        <v>0</v>
      </c>
      <c r="BR428" s="37">
        <v>0</v>
      </c>
      <c r="BT428" s="87">
        <f t="shared" si="132"/>
        <v>84</v>
      </c>
      <c r="BU428" s="87"/>
      <c r="BV428" s="87"/>
      <c r="BW428" s="87"/>
      <c r="BX428" s="87"/>
      <c r="BY428" s="87"/>
      <c r="BZ428" s="87"/>
      <c r="CA428" s="87"/>
      <c r="CB428" s="87"/>
      <c r="CC428" s="87"/>
      <c r="CD428" s="87"/>
      <c r="CF428" s="67">
        <f t="shared" si="133"/>
        <v>168</v>
      </c>
      <c r="CG428" s="67">
        <f t="shared" si="123"/>
        <v>0</v>
      </c>
      <c r="CH428" s="67">
        <f t="shared" si="124"/>
        <v>0</v>
      </c>
      <c r="CI428" s="67">
        <f t="shared" si="129"/>
        <v>0</v>
      </c>
      <c r="CJ428" s="37">
        <f t="shared" si="125"/>
        <v>56</v>
      </c>
      <c r="CK428" s="37">
        <f t="shared" si="126"/>
        <v>0</v>
      </c>
      <c r="CL428" s="37">
        <f t="shared" si="127"/>
        <v>0</v>
      </c>
      <c r="CM428" s="37">
        <f t="shared" si="128"/>
        <v>0</v>
      </c>
    </row>
    <row r="429" spans="1:91" ht="25.5">
      <c r="B429" s="156">
        <v>422</v>
      </c>
      <c r="C429" s="160">
        <v>214</v>
      </c>
      <c r="D429" s="160">
        <v>639</v>
      </c>
      <c r="E429" s="161">
        <v>0.45833333333333331</v>
      </c>
      <c r="F429" s="161">
        <v>0.47083333333333338</v>
      </c>
      <c r="G429" s="160" t="s">
        <v>456</v>
      </c>
      <c r="H429" s="160" t="s">
        <v>550</v>
      </c>
      <c r="I429" s="163">
        <v>12.5</v>
      </c>
      <c r="J429" s="164" t="s">
        <v>93</v>
      </c>
      <c r="K429" s="165">
        <v>13</v>
      </c>
      <c r="L429" s="166">
        <f t="shared" si="118"/>
        <v>162.5</v>
      </c>
      <c r="M429" s="177" t="s">
        <v>745</v>
      </c>
      <c r="N429" s="154" t="s">
        <v>956</v>
      </c>
      <c r="O429" s="154">
        <v>20</v>
      </c>
      <c r="P429" s="154" t="s">
        <v>1928</v>
      </c>
      <c r="Q429" s="154">
        <v>27</v>
      </c>
      <c r="S429" s="154"/>
      <c r="T429" s="45">
        <v>2314</v>
      </c>
      <c r="U429" s="45" t="s">
        <v>1560</v>
      </c>
      <c r="V429" s="45" t="s">
        <v>1561</v>
      </c>
      <c r="W429" s="45" t="s">
        <v>1562</v>
      </c>
      <c r="X429" s="99">
        <v>44562</v>
      </c>
      <c r="Y429" s="99">
        <v>44815</v>
      </c>
      <c r="Z429" s="99">
        <v>45101</v>
      </c>
      <c r="AA429" s="99">
        <v>45169</v>
      </c>
      <c r="AB429" s="36" t="s">
        <v>1116</v>
      </c>
      <c r="AC429" s="36"/>
      <c r="AD429" s="42"/>
      <c r="AE429" s="42" t="s">
        <v>734</v>
      </c>
      <c r="AF429" s="42"/>
      <c r="AG429" s="42"/>
      <c r="AH429" s="42"/>
      <c r="AI429" s="42"/>
      <c r="AJ429" s="42"/>
      <c r="AK429" s="42"/>
      <c r="AL429" s="42"/>
      <c r="AM429" s="42"/>
      <c r="AN429" s="42" t="s">
        <v>734</v>
      </c>
      <c r="AO429" s="42"/>
      <c r="AP429" s="42"/>
      <c r="AQ429" s="42"/>
      <c r="AR429" s="42"/>
      <c r="AS429" s="42"/>
      <c r="AT429" s="42"/>
      <c r="AU429" s="42"/>
      <c r="AV429" s="42"/>
      <c r="AW429" s="42"/>
      <c r="AX429" s="68">
        <v>37.5</v>
      </c>
      <c r="BA429" s="68"/>
      <c r="BB429" s="68"/>
      <c r="BD429" s="67">
        <f t="shared" si="130"/>
        <v>487.5</v>
      </c>
      <c r="BE429" s="67"/>
      <c r="BF429" s="37"/>
      <c r="BG429" s="73">
        <v>1</v>
      </c>
      <c r="BH429" s="67">
        <f t="shared" si="134"/>
        <v>0</v>
      </c>
      <c r="BI429" s="67">
        <f t="shared" si="135"/>
        <v>0</v>
      </c>
      <c r="BJ429" s="70">
        <f t="shared" si="136"/>
        <v>0</v>
      </c>
      <c r="BN429" s="37"/>
      <c r="BO429" s="70">
        <f t="shared" si="131"/>
        <v>0</v>
      </c>
      <c r="BP429" s="37">
        <v>2</v>
      </c>
      <c r="BQ429" s="37">
        <v>0</v>
      </c>
      <c r="BR429" s="37">
        <v>0</v>
      </c>
      <c r="BT429" s="87">
        <f t="shared" si="132"/>
        <v>37.5</v>
      </c>
      <c r="BU429" s="87"/>
      <c r="BV429" s="87"/>
      <c r="BW429" s="87"/>
      <c r="BX429" s="87"/>
      <c r="BY429" s="87"/>
      <c r="BZ429" s="87"/>
      <c r="CA429" s="87"/>
      <c r="CB429" s="87"/>
      <c r="CC429" s="87"/>
      <c r="CD429" s="87"/>
      <c r="CF429" s="67">
        <f t="shared" si="133"/>
        <v>75</v>
      </c>
      <c r="CG429" s="67">
        <f t="shared" si="123"/>
        <v>0</v>
      </c>
      <c r="CH429" s="67">
        <f t="shared" si="124"/>
        <v>0</v>
      </c>
      <c r="CI429" s="67">
        <f t="shared" si="129"/>
        <v>0</v>
      </c>
      <c r="CJ429" s="37">
        <f t="shared" si="125"/>
        <v>25</v>
      </c>
      <c r="CK429" s="37">
        <f t="shared" si="126"/>
        <v>0</v>
      </c>
      <c r="CL429" s="37">
        <f t="shared" si="127"/>
        <v>0</v>
      </c>
      <c r="CM429" s="37">
        <f t="shared" si="128"/>
        <v>0</v>
      </c>
    </row>
    <row r="430" spans="1:91" ht="38.25">
      <c r="B430" s="156">
        <v>423</v>
      </c>
      <c r="C430" s="160">
        <v>214</v>
      </c>
      <c r="D430" s="160">
        <v>36</v>
      </c>
      <c r="E430" s="161">
        <v>0.46666666666666662</v>
      </c>
      <c r="F430" s="161">
        <v>0.47916666666666669</v>
      </c>
      <c r="G430" s="160" t="s">
        <v>691</v>
      </c>
      <c r="H430" s="174" t="s">
        <v>1206</v>
      </c>
      <c r="I430" s="163">
        <v>12.5</v>
      </c>
      <c r="J430" s="164" t="s">
        <v>93</v>
      </c>
      <c r="K430" s="179">
        <v>34</v>
      </c>
      <c r="L430" s="166">
        <f t="shared" si="118"/>
        <v>425</v>
      </c>
      <c r="M430" s="177" t="s">
        <v>745</v>
      </c>
      <c r="N430" s="154" t="s">
        <v>956</v>
      </c>
      <c r="O430" s="154">
        <v>20</v>
      </c>
      <c r="P430" s="154" t="s">
        <v>1928</v>
      </c>
      <c r="Q430" s="154">
        <v>27</v>
      </c>
      <c r="S430" s="154"/>
      <c r="T430" s="45" t="s">
        <v>1561</v>
      </c>
      <c r="U430" s="45" t="s">
        <v>1562</v>
      </c>
      <c r="V430" s="45">
        <v>2314</v>
      </c>
      <c r="W430" s="45" t="s">
        <v>1560</v>
      </c>
      <c r="X430" s="99">
        <v>44562</v>
      </c>
      <c r="Y430" s="99">
        <v>44815</v>
      </c>
      <c r="Z430" s="99">
        <v>45108</v>
      </c>
      <c r="AA430" s="99">
        <v>45138</v>
      </c>
      <c r="AB430" s="42" t="s">
        <v>1855</v>
      </c>
      <c r="AC430" s="42" t="s">
        <v>1135</v>
      </c>
      <c r="AD430" s="42"/>
      <c r="AE430" s="42" t="s">
        <v>734</v>
      </c>
      <c r="AF430" s="42" t="s">
        <v>734</v>
      </c>
      <c r="AG430" s="42"/>
      <c r="AH430" s="42" t="s">
        <v>734</v>
      </c>
      <c r="AI430" s="42" t="s">
        <v>734</v>
      </c>
      <c r="AJ430" s="42" t="s">
        <v>734</v>
      </c>
      <c r="AK430" s="42" t="s">
        <v>734</v>
      </c>
      <c r="AL430" s="42" t="s">
        <v>734</v>
      </c>
      <c r="AM430" s="42" t="s">
        <v>734</v>
      </c>
      <c r="AN430" s="42"/>
      <c r="AO430" s="42"/>
      <c r="AP430" s="42"/>
      <c r="AQ430" s="42"/>
      <c r="AR430" s="42"/>
      <c r="AS430" s="42"/>
      <c r="AT430" s="42"/>
      <c r="AU430" s="42"/>
      <c r="AV430" s="42"/>
      <c r="AW430" s="42"/>
      <c r="AX430" s="68">
        <v>37.5</v>
      </c>
      <c r="BA430" s="68"/>
      <c r="BB430" s="68"/>
      <c r="BD430" s="67">
        <f t="shared" si="130"/>
        <v>1275</v>
      </c>
      <c r="BE430" s="67"/>
      <c r="BF430" s="37"/>
      <c r="BG430" s="73">
        <v>1</v>
      </c>
      <c r="BH430" s="67">
        <f t="shared" si="134"/>
        <v>0</v>
      </c>
      <c r="BI430" s="67">
        <f t="shared" si="135"/>
        <v>0</v>
      </c>
      <c r="BJ430" s="70">
        <f t="shared" si="136"/>
        <v>0</v>
      </c>
      <c r="BN430" s="37"/>
      <c r="BO430" s="70">
        <f t="shared" si="131"/>
        <v>0</v>
      </c>
      <c r="BP430" s="37">
        <v>9</v>
      </c>
      <c r="BQ430" s="37">
        <v>0</v>
      </c>
      <c r="BR430" s="37">
        <v>0</v>
      </c>
      <c r="BS430" s="37">
        <v>0</v>
      </c>
      <c r="BT430" s="87">
        <f t="shared" si="132"/>
        <v>37.5</v>
      </c>
      <c r="BU430" s="87"/>
      <c r="BV430" s="87"/>
      <c r="BW430" s="87"/>
      <c r="BX430" s="87"/>
      <c r="BY430" s="87"/>
      <c r="BZ430" s="87"/>
      <c r="CA430" s="87"/>
      <c r="CB430" s="87"/>
      <c r="CC430" s="87"/>
      <c r="CD430" s="87"/>
      <c r="CF430" s="67">
        <f t="shared" si="133"/>
        <v>337.5</v>
      </c>
      <c r="CG430" s="67">
        <f t="shared" si="123"/>
        <v>0</v>
      </c>
      <c r="CH430" s="67">
        <f t="shared" si="124"/>
        <v>0</v>
      </c>
      <c r="CI430" s="67">
        <f t="shared" si="129"/>
        <v>0</v>
      </c>
      <c r="CJ430" s="37">
        <f t="shared" si="125"/>
        <v>112.5</v>
      </c>
      <c r="CK430" s="37">
        <f t="shared" si="126"/>
        <v>0</v>
      </c>
      <c r="CL430" s="37">
        <f t="shared" si="127"/>
        <v>0</v>
      </c>
      <c r="CM430" s="37">
        <f t="shared" si="128"/>
        <v>0</v>
      </c>
    </row>
    <row r="431" spans="1:91" ht="45">
      <c r="B431" s="181" t="s">
        <v>1208</v>
      </c>
      <c r="C431" s="160">
        <v>214</v>
      </c>
      <c r="D431" s="160">
        <v>36</v>
      </c>
      <c r="E431" s="161">
        <v>0.46666666666666662</v>
      </c>
      <c r="F431" s="161">
        <v>0.47916666666666669</v>
      </c>
      <c r="G431" s="160" t="s">
        <v>691</v>
      </c>
      <c r="H431" s="174" t="s">
        <v>1206</v>
      </c>
      <c r="I431" s="163">
        <v>12.5</v>
      </c>
      <c r="J431" s="164" t="s">
        <v>93</v>
      </c>
      <c r="K431" s="179">
        <v>33</v>
      </c>
      <c r="L431" s="166">
        <f t="shared" si="118"/>
        <v>412.5</v>
      </c>
      <c r="M431" s="177" t="s">
        <v>756</v>
      </c>
      <c r="N431" s="154" t="s">
        <v>969</v>
      </c>
      <c r="O431" s="154">
        <v>18</v>
      </c>
      <c r="P431" s="154" t="s">
        <v>957</v>
      </c>
      <c r="Q431" s="154">
        <v>17</v>
      </c>
      <c r="S431" s="154"/>
      <c r="T431" s="45" t="s">
        <v>1561</v>
      </c>
      <c r="U431" s="45" t="s">
        <v>1562</v>
      </c>
      <c r="V431" s="45">
        <v>2314</v>
      </c>
      <c r="W431" s="45" t="s">
        <v>1560</v>
      </c>
      <c r="X431" s="99">
        <v>45101</v>
      </c>
      <c r="Y431" s="99">
        <v>45107</v>
      </c>
      <c r="Z431" s="99">
        <v>45139</v>
      </c>
      <c r="AA431" s="99">
        <v>45169</v>
      </c>
      <c r="AB431" s="42" t="s">
        <v>1854</v>
      </c>
      <c r="AC431" s="42" t="s">
        <v>1135</v>
      </c>
      <c r="AD431" s="42"/>
      <c r="AE431" s="42" t="s">
        <v>734</v>
      </c>
      <c r="AF431" s="42" t="s">
        <v>734</v>
      </c>
      <c r="AG431" s="42"/>
      <c r="AH431" s="42" t="s">
        <v>734</v>
      </c>
      <c r="AI431" s="42" t="s">
        <v>734</v>
      </c>
      <c r="AJ431" s="42" t="s">
        <v>734</v>
      </c>
      <c r="AK431" s="42" t="s">
        <v>734</v>
      </c>
      <c r="AL431" s="42" t="s">
        <v>734</v>
      </c>
      <c r="AM431" s="42" t="s">
        <v>734</v>
      </c>
      <c r="AN431" s="42"/>
      <c r="AO431" s="42"/>
      <c r="AP431" s="42"/>
      <c r="AQ431" s="42"/>
      <c r="AR431" s="42"/>
      <c r="AS431" s="42"/>
      <c r="AT431" s="42"/>
      <c r="AU431" s="42"/>
      <c r="AV431" s="42"/>
      <c r="AW431" s="42"/>
      <c r="AX431" s="68">
        <v>37.5</v>
      </c>
      <c r="BA431" s="68"/>
      <c r="BB431" s="68"/>
      <c r="BD431" s="67">
        <f t="shared" si="130"/>
        <v>1237.5</v>
      </c>
      <c r="BE431" s="67"/>
      <c r="BF431" s="37"/>
      <c r="BG431" s="73">
        <v>1</v>
      </c>
      <c r="BH431" s="67">
        <f t="shared" si="134"/>
        <v>0</v>
      </c>
      <c r="BI431" s="67">
        <f t="shared" si="135"/>
        <v>0</v>
      </c>
      <c r="BJ431" s="70">
        <f t="shared" si="136"/>
        <v>0</v>
      </c>
      <c r="BN431" s="37"/>
      <c r="BO431" s="70">
        <f t="shared" si="131"/>
        <v>0</v>
      </c>
      <c r="BP431" s="37">
        <v>0</v>
      </c>
      <c r="BQ431" s="37">
        <v>0</v>
      </c>
      <c r="BR431" s="37">
        <v>0</v>
      </c>
      <c r="BS431" s="37">
        <v>0</v>
      </c>
      <c r="BT431" s="87">
        <f t="shared" si="132"/>
        <v>37.5</v>
      </c>
      <c r="BU431" s="87"/>
      <c r="BV431" s="87"/>
      <c r="BW431" s="87"/>
      <c r="BX431" s="87"/>
      <c r="BY431" s="87"/>
      <c r="BZ431" s="87"/>
      <c r="CA431" s="87"/>
      <c r="CB431" s="87"/>
      <c r="CC431" s="87"/>
      <c r="CD431" s="87"/>
      <c r="CF431" s="67">
        <f t="shared" si="133"/>
        <v>0</v>
      </c>
      <c r="CG431" s="67">
        <f t="shared" si="123"/>
        <v>0</v>
      </c>
      <c r="CH431" s="67">
        <f t="shared" si="124"/>
        <v>0</v>
      </c>
      <c r="CI431" s="67">
        <f t="shared" si="129"/>
        <v>0</v>
      </c>
      <c r="CJ431" s="37">
        <f t="shared" si="125"/>
        <v>0</v>
      </c>
      <c r="CK431" s="37">
        <f t="shared" si="126"/>
        <v>0</v>
      </c>
      <c r="CL431" s="37">
        <f t="shared" si="127"/>
        <v>0</v>
      </c>
      <c r="CM431" s="37">
        <f t="shared" si="128"/>
        <v>0</v>
      </c>
    </row>
    <row r="432" spans="1:91" ht="25.5">
      <c r="A432" s="150"/>
      <c r="B432" s="156">
        <v>424</v>
      </c>
      <c r="C432" s="160">
        <v>214</v>
      </c>
      <c r="D432" s="160">
        <v>741</v>
      </c>
      <c r="E432" s="161">
        <v>0.47222222222222227</v>
      </c>
      <c r="F432" s="161">
        <v>0.51527777777777783</v>
      </c>
      <c r="G432" s="160" t="s">
        <v>453</v>
      </c>
      <c r="H432" s="160" t="s">
        <v>550</v>
      </c>
      <c r="I432" s="163">
        <v>28</v>
      </c>
      <c r="J432" s="164" t="s">
        <v>101</v>
      </c>
      <c r="K432" s="165">
        <v>13</v>
      </c>
      <c r="L432" s="166">
        <f t="shared" si="118"/>
        <v>364</v>
      </c>
      <c r="M432" s="177" t="s">
        <v>753</v>
      </c>
      <c r="N432" s="150" t="s">
        <v>844</v>
      </c>
      <c r="O432" s="150">
        <v>57</v>
      </c>
      <c r="P432" s="150" t="s">
        <v>1927</v>
      </c>
      <c r="Q432" s="150">
        <v>56</v>
      </c>
      <c r="S432" s="150"/>
      <c r="T432" s="45">
        <v>2156</v>
      </c>
      <c r="U432" s="45" t="s">
        <v>1562</v>
      </c>
      <c r="V432" s="45">
        <v>960</v>
      </c>
      <c r="W432" s="45" t="s">
        <v>1354</v>
      </c>
      <c r="X432" s="99">
        <v>44562</v>
      </c>
      <c r="Y432" s="99">
        <v>44815</v>
      </c>
      <c r="Z432" s="99">
        <v>45101</v>
      </c>
      <c r="AA432" s="99">
        <v>45169</v>
      </c>
      <c r="AB432" s="36" t="s">
        <v>1116</v>
      </c>
      <c r="AC432" s="36"/>
      <c r="AD432" s="42"/>
      <c r="AE432" s="42" t="s">
        <v>734</v>
      </c>
      <c r="AF432" s="42"/>
      <c r="AG432" s="42"/>
      <c r="AH432" s="42"/>
      <c r="AI432" s="42"/>
      <c r="AJ432" s="42"/>
      <c r="AK432" s="42"/>
      <c r="AL432" s="42"/>
      <c r="AM432" s="42"/>
      <c r="AN432" s="42" t="s">
        <v>734</v>
      </c>
      <c r="AO432" s="42"/>
      <c r="AP432" s="42"/>
      <c r="AQ432" s="42"/>
      <c r="AR432" s="42"/>
      <c r="AS432" s="42"/>
      <c r="AT432" s="42"/>
      <c r="AU432" s="42"/>
      <c r="AV432" s="42"/>
      <c r="AW432" s="42"/>
      <c r="AX432" s="68">
        <v>84</v>
      </c>
      <c r="BA432" s="68"/>
      <c r="BB432" s="68"/>
      <c r="BD432" s="67">
        <f t="shared" si="130"/>
        <v>1092</v>
      </c>
      <c r="BE432" s="67"/>
      <c r="BF432" s="37"/>
      <c r="BG432" s="69">
        <v>2</v>
      </c>
      <c r="BH432" s="67">
        <f t="shared" si="134"/>
        <v>0</v>
      </c>
      <c r="BI432" s="67">
        <f t="shared" si="135"/>
        <v>0</v>
      </c>
      <c r="BJ432" s="70">
        <f t="shared" si="136"/>
        <v>0</v>
      </c>
      <c r="BN432" s="37"/>
      <c r="BO432" s="70">
        <f t="shared" si="131"/>
        <v>0</v>
      </c>
      <c r="BP432" s="37">
        <v>2</v>
      </c>
      <c r="BQ432" s="37">
        <v>0</v>
      </c>
      <c r="BR432" s="37">
        <v>0</v>
      </c>
      <c r="BT432" s="87">
        <f t="shared" si="132"/>
        <v>84</v>
      </c>
      <c r="BU432" s="87"/>
      <c r="BV432" s="87"/>
      <c r="BW432" s="87"/>
      <c r="BX432" s="87"/>
      <c r="BY432" s="87"/>
      <c r="BZ432" s="87"/>
      <c r="CA432" s="87"/>
      <c r="CB432" s="87"/>
      <c r="CC432" s="87"/>
      <c r="CD432" s="87"/>
      <c r="CF432" s="67">
        <f t="shared" si="133"/>
        <v>168</v>
      </c>
      <c r="CG432" s="67">
        <f t="shared" si="123"/>
        <v>0</v>
      </c>
      <c r="CH432" s="67">
        <f t="shared" si="124"/>
        <v>0</v>
      </c>
      <c r="CI432" s="67">
        <f t="shared" si="129"/>
        <v>0</v>
      </c>
      <c r="CJ432" s="37">
        <f t="shared" si="125"/>
        <v>56</v>
      </c>
      <c r="CK432" s="37">
        <f t="shared" si="126"/>
        <v>0</v>
      </c>
      <c r="CL432" s="37">
        <f t="shared" si="127"/>
        <v>0</v>
      </c>
      <c r="CM432" s="37">
        <f t="shared" si="128"/>
        <v>0</v>
      </c>
    </row>
    <row r="433" spans="1:91" ht="25.5">
      <c r="B433" s="156">
        <v>425</v>
      </c>
      <c r="C433" s="160">
        <v>214</v>
      </c>
      <c r="D433" s="160">
        <v>36</v>
      </c>
      <c r="E433" s="161">
        <v>0.47222222222222227</v>
      </c>
      <c r="F433" s="161">
        <v>0.48472222222222222</v>
      </c>
      <c r="G433" s="160" t="s">
        <v>457</v>
      </c>
      <c r="H433" s="160" t="s">
        <v>550</v>
      </c>
      <c r="I433" s="163">
        <v>12.5</v>
      </c>
      <c r="J433" s="164" t="s">
        <v>93</v>
      </c>
      <c r="K433" s="165">
        <v>13</v>
      </c>
      <c r="L433" s="166">
        <f t="shared" si="118"/>
        <v>162.5</v>
      </c>
      <c r="M433" s="177" t="s">
        <v>745</v>
      </c>
      <c r="N433" s="154" t="s">
        <v>956</v>
      </c>
      <c r="O433" s="154">
        <v>20</v>
      </c>
      <c r="P433" s="154" t="s">
        <v>1928</v>
      </c>
      <c r="Q433" s="154">
        <v>27</v>
      </c>
      <c r="S433" s="154"/>
      <c r="T433" s="45" t="s">
        <v>1561</v>
      </c>
      <c r="U433" s="45" t="s">
        <v>1562</v>
      </c>
      <c r="V433" s="45">
        <v>2314</v>
      </c>
      <c r="W433" s="45" t="s">
        <v>1560</v>
      </c>
      <c r="X433" s="99">
        <v>44562</v>
      </c>
      <c r="Y433" s="99">
        <v>44815</v>
      </c>
      <c r="Z433" s="99">
        <v>45101</v>
      </c>
      <c r="AA433" s="99">
        <v>45169</v>
      </c>
      <c r="AB433" s="36" t="s">
        <v>1116</v>
      </c>
      <c r="AC433" s="36"/>
      <c r="AD433" s="42"/>
      <c r="AE433" s="42" t="s">
        <v>734</v>
      </c>
      <c r="AF433" s="42"/>
      <c r="AG433" s="42"/>
      <c r="AH433" s="42"/>
      <c r="AI433" s="42"/>
      <c r="AJ433" s="42"/>
      <c r="AK433" s="42"/>
      <c r="AL433" s="42"/>
      <c r="AM433" s="42"/>
      <c r="AN433" s="42" t="s">
        <v>734</v>
      </c>
      <c r="AO433" s="42"/>
      <c r="AP433" s="42"/>
      <c r="AQ433" s="42"/>
      <c r="AR433" s="42"/>
      <c r="AS433" s="42"/>
      <c r="AT433" s="42"/>
      <c r="AU433" s="42"/>
      <c r="AV433" s="42"/>
      <c r="AW433" s="42"/>
      <c r="AX433" s="68">
        <v>37.5</v>
      </c>
      <c r="BA433" s="68"/>
      <c r="BB433" s="68"/>
      <c r="BD433" s="67">
        <f t="shared" si="130"/>
        <v>487.5</v>
      </c>
      <c r="BE433" s="67"/>
      <c r="BF433" s="37"/>
      <c r="BG433" s="73">
        <v>1</v>
      </c>
      <c r="BH433" s="67">
        <f t="shared" si="134"/>
        <v>0</v>
      </c>
      <c r="BI433" s="67">
        <f t="shared" si="135"/>
        <v>0</v>
      </c>
      <c r="BJ433" s="70">
        <f t="shared" si="136"/>
        <v>0</v>
      </c>
      <c r="BN433" s="37"/>
      <c r="BO433" s="70">
        <f t="shared" si="131"/>
        <v>0</v>
      </c>
      <c r="BP433" s="37">
        <v>2</v>
      </c>
      <c r="BQ433" s="37">
        <v>0</v>
      </c>
      <c r="BR433" s="37">
        <v>0</v>
      </c>
      <c r="BT433" s="87">
        <f t="shared" si="132"/>
        <v>37.5</v>
      </c>
      <c r="BU433" s="87"/>
      <c r="BV433" s="87"/>
      <c r="BW433" s="87"/>
      <c r="BX433" s="87"/>
      <c r="BY433" s="87"/>
      <c r="BZ433" s="87"/>
      <c r="CA433" s="87"/>
      <c r="CB433" s="87"/>
      <c r="CC433" s="87"/>
      <c r="CD433" s="87"/>
      <c r="CF433" s="67">
        <f t="shared" si="133"/>
        <v>75</v>
      </c>
      <c r="CG433" s="67">
        <f t="shared" si="123"/>
        <v>0</v>
      </c>
      <c r="CH433" s="67">
        <f t="shared" si="124"/>
        <v>0</v>
      </c>
      <c r="CI433" s="67">
        <f t="shared" si="129"/>
        <v>0</v>
      </c>
      <c r="CJ433" s="37">
        <f t="shared" si="125"/>
        <v>25</v>
      </c>
      <c r="CK433" s="37">
        <f t="shared" si="126"/>
        <v>0</v>
      </c>
      <c r="CL433" s="37">
        <f t="shared" si="127"/>
        <v>0</v>
      </c>
      <c r="CM433" s="37">
        <f t="shared" si="128"/>
        <v>0</v>
      </c>
    </row>
    <row r="434" spans="1:91" ht="45">
      <c r="B434" s="156">
        <v>426</v>
      </c>
      <c r="C434" s="160">
        <v>214</v>
      </c>
      <c r="D434" s="160">
        <v>38</v>
      </c>
      <c r="E434" s="161">
        <v>0.57361111111111118</v>
      </c>
      <c r="F434" s="161">
        <v>0.58472222222222225</v>
      </c>
      <c r="G434" s="160" t="s">
        <v>375</v>
      </c>
      <c r="H434" s="160" t="s">
        <v>374</v>
      </c>
      <c r="I434" s="163">
        <v>13</v>
      </c>
      <c r="J434" s="164" t="s">
        <v>125</v>
      </c>
      <c r="K434" s="165">
        <f>174-36</f>
        <v>138</v>
      </c>
      <c r="L434" s="166">
        <f t="shared" si="118"/>
        <v>1794</v>
      </c>
      <c r="M434" s="177" t="s">
        <v>756</v>
      </c>
      <c r="N434" s="154" t="s">
        <v>969</v>
      </c>
      <c r="O434" s="154">
        <v>18</v>
      </c>
      <c r="P434" s="154" t="s">
        <v>967</v>
      </c>
      <c r="Q434" s="154">
        <v>17</v>
      </c>
      <c r="R434" s="154" t="s">
        <v>970</v>
      </c>
      <c r="S434" s="151">
        <v>24</v>
      </c>
      <c r="T434" s="45">
        <v>2156</v>
      </c>
      <c r="U434" s="45" t="s">
        <v>1562</v>
      </c>
      <c r="V434" s="45" t="s">
        <v>1563</v>
      </c>
      <c r="W434" s="45" t="s">
        <v>1560</v>
      </c>
      <c r="X434" s="98">
        <v>44816</v>
      </c>
      <c r="Y434" s="98">
        <v>45086</v>
      </c>
      <c r="Z434" s="98"/>
      <c r="AA434" s="98"/>
      <c r="AB434" s="45" t="s">
        <v>1146</v>
      </c>
      <c r="AC434" s="45"/>
      <c r="AD434" s="42"/>
      <c r="AE434" s="42"/>
      <c r="AF434" s="42"/>
      <c r="AG434" s="42" t="s">
        <v>734</v>
      </c>
      <c r="AH434" s="42" t="s">
        <v>734</v>
      </c>
      <c r="AI434" s="42" t="s">
        <v>734</v>
      </c>
      <c r="AJ434" s="42"/>
      <c r="AK434" s="42" t="s">
        <v>734</v>
      </c>
      <c r="AL434" s="42" t="s">
        <v>734</v>
      </c>
      <c r="AM434" s="42"/>
      <c r="AN434" s="42"/>
      <c r="AO434" s="42"/>
      <c r="AP434" s="42"/>
      <c r="AQ434" s="42"/>
      <c r="AR434" s="42"/>
      <c r="AS434" s="42"/>
      <c r="AT434" s="42"/>
      <c r="AU434" s="42"/>
      <c r="AV434" s="42"/>
      <c r="AW434" s="42"/>
      <c r="AX434" s="68">
        <v>40.79</v>
      </c>
      <c r="BA434" s="68"/>
      <c r="BB434" s="68"/>
      <c r="BD434" s="67">
        <f t="shared" si="130"/>
        <v>5629.0199999999995</v>
      </c>
      <c r="BE434" s="67"/>
      <c r="BF434" s="37"/>
      <c r="BG434" s="73">
        <v>1</v>
      </c>
      <c r="BH434" s="67">
        <f t="shared" si="134"/>
        <v>0</v>
      </c>
      <c r="BI434" s="67">
        <f t="shared" si="135"/>
        <v>0</v>
      </c>
      <c r="BJ434" s="70">
        <f t="shared" si="136"/>
        <v>0</v>
      </c>
      <c r="BN434" s="37"/>
      <c r="BO434" s="70">
        <f t="shared" si="131"/>
        <v>0</v>
      </c>
      <c r="BP434" s="37">
        <v>12</v>
      </c>
      <c r="BQ434" s="37">
        <v>16</v>
      </c>
      <c r="BR434" s="37">
        <v>16</v>
      </c>
      <c r="BS434" s="37">
        <v>12</v>
      </c>
      <c r="BT434" s="87">
        <f t="shared" si="132"/>
        <v>40.79</v>
      </c>
      <c r="BU434" s="87"/>
      <c r="BV434" s="87"/>
      <c r="BW434" s="87"/>
      <c r="BX434" s="87"/>
      <c r="BY434" s="87"/>
      <c r="BZ434" s="87"/>
      <c r="CA434" s="87"/>
      <c r="CB434" s="87"/>
      <c r="CC434" s="87"/>
      <c r="CD434" s="87"/>
      <c r="CF434" s="67">
        <f t="shared" si="133"/>
        <v>489.48</v>
      </c>
      <c r="CG434" s="67">
        <f t="shared" si="123"/>
        <v>652.64</v>
      </c>
      <c r="CH434" s="67">
        <f t="shared" si="124"/>
        <v>652.64</v>
      </c>
      <c r="CI434" s="67">
        <f t="shared" si="129"/>
        <v>489.48</v>
      </c>
      <c r="CJ434" s="37">
        <f t="shared" si="125"/>
        <v>156</v>
      </c>
      <c r="CK434" s="37">
        <f t="shared" si="126"/>
        <v>208</v>
      </c>
      <c r="CL434" s="37">
        <f t="shared" si="127"/>
        <v>208</v>
      </c>
      <c r="CM434" s="37">
        <f t="shared" si="128"/>
        <v>156</v>
      </c>
    </row>
    <row r="435" spans="1:91" ht="25.5">
      <c r="A435" s="150"/>
      <c r="B435" s="156">
        <v>427</v>
      </c>
      <c r="C435" s="160">
        <v>214</v>
      </c>
      <c r="D435" s="160">
        <v>66</v>
      </c>
      <c r="E435" s="161">
        <v>0.59027777777777779</v>
      </c>
      <c r="F435" s="161">
        <v>0.63263888888888886</v>
      </c>
      <c r="G435" s="160" t="s">
        <v>451</v>
      </c>
      <c r="H435" s="160" t="s">
        <v>550</v>
      </c>
      <c r="I435" s="163">
        <v>28</v>
      </c>
      <c r="J435" s="164" t="s">
        <v>188</v>
      </c>
      <c r="K435" s="165">
        <v>13</v>
      </c>
      <c r="L435" s="166">
        <f t="shared" si="118"/>
        <v>364</v>
      </c>
      <c r="M435" s="177" t="s">
        <v>753</v>
      </c>
      <c r="N435" s="150" t="s">
        <v>844</v>
      </c>
      <c r="O435" s="150">
        <v>57</v>
      </c>
      <c r="P435" s="150" t="s">
        <v>1927</v>
      </c>
      <c r="Q435" s="150">
        <v>56</v>
      </c>
      <c r="S435" s="150"/>
      <c r="T435" s="45">
        <v>960</v>
      </c>
      <c r="U435" s="45" t="s">
        <v>1354</v>
      </c>
      <c r="V435" s="45">
        <v>2156</v>
      </c>
      <c r="W435" s="45" t="s">
        <v>1562</v>
      </c>
      <c r="X435" s="99">
        <v>44562</v>
      </c>
      <c r="Y435" s="99">
        <v>44815</v>
      </c>
      <c r="Z435" s="99">
        <v>45101</v>
      </c>
      <c r="AA435" s="99">
        <v>45169</v>
      </c>
      <c r="AB435" s="36" t="s">
        <v>1116</v>
      </c>
      <c r="AC435" s="36"/>
      <c r="AD435" s="42"/>
      <c r="AE435" s="42" t="s">
        <v>734</v>
      </c>
      <c r="AF435" s="42"/>
      <c r="AG435" s="42"/>
      <c r="AH435" s="42"/>
      <c r="AI435" s="42"/>
      <c r="AJ435" s="42"/>
      <c r="AK435" s="42"/>
      <c r="AL435" s="42"/>
      <c r="AM435" s="42"/>
      <c r="AN435" s="42" t="s">
        <v>734</v>
      </c>
      <c r="AO435" s="42"/>
      <c r="AP435" s="42"/>
      <c r="AQ435" s="42"/>
      <c r="AR435" s="42"/>
      <c r="AS435" s="42"/>
      <c r="AT435" s="42"/>
      <c r="AU435" s="42"/>
      <c r="AV435" s="42"/>
      <c r="AW435" s="42"/>
      <c r="AX435" s="68">
        <v>84</v>
      </c>
      <c r="BA435" s="68"/>
      <c r="BB435" s="68"/>
      <c r="BD435" s="67">
        <f t="shared" si="130"/>
        <v>1092</v>
      </c>
      <c r="BE435" s="67"/>
      <c r="BF435" s="37"/>
      <c r="BG435" s="73">
        <v>1</v>
      </c>
      <c r="BH435" s="67">
        <f t="shared" si="134"/>
        <v>0</v>
      </c>
      <c r="BI435" s="67">
        <f t="shared" si="135"/>
        <v>0</v>
      </c>
      <c r="BJ435" s="70">
        <f t="shared" si="136"/>
        <v>0</v>
      </c>
      <c r="BN435" s="37"/>
      <c r="BO435" s="70">
        <f t="shared" si="131"/>
        <v>0</v>
      </c>
      <c r="BP435" s="37">
        <v>2</v>
      </c>
      <c r="BQ435" s="37">
        <v>0</v>
      </c>
      <c r="BR435" s="37">
        <v>0</v>
      </c>
      <c r="BT435" s="87">
        <f t="shared" si="132"/>
        <v>84</v>
      </c>
      <c r="BU435" s="87"/>
      <c r="BV435" s="87"/>
      <c r="BW435" s="87"/>
      <c r="BX435" s="87"/>
      <c r="BY435" s="87"/>
      <c r="BZ435" s="87"/>
      <c r="CA435" s="87"/>
      <c r="CB435" s="87"/>
      <c r="CC435" s="87"/>
      <c r="CD435" s="87"/>
      <c r="CF435" s="67">
        <f t="shared" si="133"/>
        <v>168</v>
      </c>
      <c r="CG435" s="67">
        <f t="shared" si="123"/>
        <v>0</v>
      </c>
      <c r="CH435" s="67">
        <f t="shared" si="124"/>
        <v>0</v>
      </c>
      <c r="CI435" s="67">
        <f t="shared" si="129"/>
        <v>0</v>
      </c>
      <c r="CJ435" s="37">
        <f t="shared" si="125"/>
        <v>56</v>
      </c>
      <c r="CK435" s="37">
        <f t="shared" si="126"/>
        <v>0</v>
      </c>
      <c r="CL435" s="37">
        <f t="shared" si="127"/>
        <v>0</v>
      </c>
      <c r="CM435" s="37">
        <f t="shared" si="128"/>
        <v>0</v>
      </c>
    </row>
    <row r="436" spans="1:91" ht="25.5">
      <c r="B436" s="156">
        <v>428</v>
      </c>
      <c r="C436" s="160">
        <v>214</v>
      </c>
      <c r="D436" s="160">
        <v>641</v>
      </c>
      <c r="E436" s="161">
        <v>0.625</v>
      </c>
      <c r="F436" s="161">
        <v>0.63750000000000007</v>
      </c>
      <c r="G436" s="160" t="s">
        <v>456</v>
      </c>
      <c r="H436" s="160" t="s">
        <v>550</v>
      </c>
      <c r="I436" s="163">
        <v>12.5</v>
      </c>
      <c r="J436" s="164" t="s">
        <v>93</v>
      </c>
      <c r="K436" s="165">
        <v>13</v>
      </c>
      <c r="L436" s="166">
        <f t="shared" si="118"/>
        <v>162.5</v>
      </c>
      <c r="M436" s="177" t="s">
        <v>745</v>
      </c>
      <c r="N436" s="154" t="s">
        <v>956</v>
      </c>
      <c r="O436" s="154">
        <v>20</v>
      </c>
      <c r="P436" s="154" t="s">
        <v>1928</v>
      </c>
      <c r="Q436" s="154">
        <v>27</v>
      </c>
      <c r="S436" s="154"/>
      <c r="T436" s="45">
        <v>2314</v>
      </c>
      <c r="U436" s="45" t="s">
        <v>1560</v>
      </c>
      <c r="V436" s="45" t="s">
        <v>1561</v>
      </c>
      <c r="W436" s="45" t="s">
        <v>1562</v>
      </c>
      <c r="X436" s="99">
        <v>44562</v>
      </c>
      <c r="Y436" s="99">
        <v>44815</v>
      </c>
      <c r="Z436" s="99">
        <v>45101</v>
      </c>
      <c r="AA436" s="99">
        <v>45169</v>
      </c>
      <c r="AB436" s="36" t="s">
        <v>1116</v>
      </c>
      <c r="AC436" s="36"/>
      <c r="AD436" s="42"/>
      <c r="AE436" s="42" t="s">
        <v>734</v>
      </c>
      <c r="AF436" s="42"/>
      <c r="AG436" s="42"/>
      <c r="AH436" s="42"/>
      <c r="AI436" s="42"/>
      <c r="AJ436" s="42"/>
      <c r="AK436" s="42"/>
      <c r="AL436" s="42"/>
      <c r="AM436" s="42"/>
      <c r="AN436" s="42" t="s">
        <v>734</v>
      </c>
      <c r="AO436" s="42"/>
      <c r="AP436" s="42"/>
      <c r="AQ436" s="42"/>
      <c r="AR436" s="42"/>
      <c r="AS436" s="42"/>
      <c r="AT436" s="42"/>
      <c r="AU436" s="42"/>
      <c r="AV436" s="42"/>
      <c r="AW436" s="42"/>
      <c r="AX436" s="68">
        <v>37.5</v>
      </c>
      <c r="BA436" s="68"/>
      <c r="BB436" s="68"/>
      <c r="BD436" s="67">
        <f t="shared" si="130"/>
        <v>487.5</v>
      </c>
      <c r="BE436" s="67"/>
      <c r="BF436" s="37"/>
      <c r="BG436" s="73">
        <v>1</v>
      </c>
      <c r="BH436" s="67">
        <f t="shared" si="134"/>
        <v>0</v>
      </c>
      <c r="BI436" s="67">
        <f t="shared" si="135"/>
        <v>0</v>
      </c>
      <c r="BJ436" s="70">
        <f t="shared" si="136"/>
        <v>0</v>
      </c>
      <c r="BN436" s="37"/>
      <c r="BO436" s="70">
        <f t="shared" si="131"/>
        <v>0</v>
      </c>
      <c r="BP436" s="37">
        <v>2</v>
      </c>
      <c r="BQ436" s="37">
        <v>0</v>
      </c>
      <c r="BR436" s="37">
        <v>0</v>
      </c>
      <c r="BT436" s="87">
        <f t="shared" si="132"/>
        <v>37.5</v>
      </c>
      <c r="BU436" s="87"/>
      <c r="BV436" s="87"/>
      <c r="BW436" s="87"/>
      <c r="BX436" s="87"/>
      <c r="BY436" s="87"/>
      <c r="BZ436" s="87"/>
      <c r="CA436" s="87"/>
      <c r="CB436" s="87"/>
      <c r="CC436" s="87"/>
      <c r="CD436" s="87"/>
      <c r="CF436" s="67">
        <f t="shared" si="133"/>
        <v>75</v>
      </c>
      <c r="CG436" s="67">
        <f t="shared" si="123"/>
        <v>0</v>
      </c>
      <c r="CH436" s="67">
        <f t="shared" si="124"/>
        <v>0</v>
      </c>
      <c r="CI436" s="67">
        <f t="shared" si="129"/>
        <v>0</v>
      </c>
      <c r="CJ436" s="37">
        <f t="shared" si="125"/>
        <v>25</v>
      </c>
      <c r="CK436" s="37">
        <f t="shared" si="126"/>
        <v>0</v>
      </c>
      <c r="CL436" s="37">
        <f t="shared" si="127"/>
        <v>0</v>
      </c>
      <c r="CM436" s="37">
        <f t="shared" si="128"/>
        <v>0</v>
      </c>
    </row>
    <row r="437" spans="1:91" ht="45">
      <c r="B437" s="156">
        <v>429</v>
      </c>
      <c r="C437" s="160">
        <v>214</v>
      </c>
      <c r="D437" s="160">
        <v>42</v>
      </c>
      <c r="E437" s="161">
        <v>0.62638888888888888</v>
      </c>
      <c r="F437" s="173">
        <v>0.66180555555555554</v>
      </c>
      <c r="G437" s="160" t="s">
        <v>482</v>
      </c>
      <c r="H437" s="160" t="s">
        <v>103</v>
      </c>
      <c r="I437" s="163">
        <v>36</v>
      </c>
      <c r="J437" s="164" t="s">
        <v>269</v>
      </c>
      <c r="K437" s="165">
        <v>174</v>
      </c>
      <c r="L437" s="166">
        <f t="shared" si="118"/>
        <v>6264</v>
      </c>
      <c r="M437" s="177" t="s">
        <v>756</v>
      </c>
      <c r="N437" s="154" t="s">
        <v>969</v>
      </c>
      <c r="O437" s="154">
        <v>18</v>
      </c>
      <c r="P437" s="154" t="s">
        <v>967</v>
      </c>
      <c r="Q437" s="154">
        <v>17</v>
      </c>
      <c r="R437" s="3" t="s">
        <v>970</v>
      </c>
      <c r="S437" s="151">
        <v>24</v>
      </c>
      <c r="T437" s="45">
        <v>2156</v>
      </c>
      <c r="U437" s="45" t="s">
        <v>1562</v>
      </c>
      <c r="V437" s="45">
        <v>2305</v>
      </c>
      <c r="W437" s="45" t="s">
        <v>1557</v>
      </c>
      <c r="X437" s="98">
        <v>44816</v>
      </c>
      <c r="Y437" s="98">
        <v>45086</v>
      </c>
      <c r="Z437" s="98"/>
      <c r="AA437" s="98"/>
      <c r="AB437" s="41" t="s">
        <v>1114</v>
      </c>
      <c r="AC437" s="41"/>
      <c r="AD437" s="42"/>
      <c r="AE437" s="42"/>
      <c r="AF437" s="42"/>
      <c r="AG437" s="42" t="s">
        <v>734</v>
      </c>
      <c r="AH437" s="42" t="s">
        <v>734</v>
      </c>
      <c r="AI437" s="42" t="s">
        <v>734</v>
      </c>
      <c r="AJ437" s="42" t="s">
        <v>734</v>
      </c>
      <c r="AK437" s="42" t="s">
        <v>734</v>
      </c>
      <c r="AL437" s="42" t="s">
        <v>734</v>
      </c>
      <c r="AM437" s="42"/>
      <c r="AN437" s="42"/>
      <c r="AO437" s="42"/>
      <c r="AP437" s="42"/>
      <c r="AQ437" s="42"/>
      <c r="AR437" s="42"/>
      <c r="AS437" s="42"/>
      <c r="AT437" s="42"/>
      <c r="AU437" s="42"/>
      <c r="AV437" s="42"/>
      <c r="AW437" s="42"/>
      <c r="AX437" s="67">
        <f>((108*138)+(102.59*36))/K437</f>
        <v>106.88068965517242</v>
      </c>
      <c r="BA437" s="68"/>
      <c r="BB437" s="68"/>
      <c r="BD437" s="67">
        <f t="shared" si="130"/>
        <v>18597.240000000002</v>
      </c>
      <c r="BE437" s="67"/>
      <c r="BF437" s="37"/>
      <c r="BG437" s="73">
        <v>1</v>
      </c>
      <c r="BH437" s="67">
        <f t="shared" si="134"/>
        <v>0</v>
      </c>
      <c r="BI437" s="67">
        <f t="shared" si="135"/>
        <v>0</v>
      </c>
      <c r="BJ437" s="70">
        <f t="shared" si="136"/>
        <v>0</v>
      </c>
      <c r="BN437" s="37"/>
      <c r="BO437" s="70">
        <f t="shared" si="131"/>
        <v>0</v>
      </c>
      <c r="BP437" s="37">
        <v>15</v>
      </c>
      <c r="BQ437" s="37">
        <v>20</v>
      </c>
      <c r="BR437" s="37">
        <v>21</v>
      </c>
      <c r="BS437" s="37">
        <v>15</v>
      </c>
      <c r="BT437" s="87">
        <f t="shared" si="132"/>
        <v>106.88068965517242</v>
      </c>
      <c r="BU437" s="87"/>
      <c r="BV437" s="87"/>
      <c r="BW437" s="87"/>
      <c r="BX437" s="87"/>
      <c r="BY437" s="87"/>
      <c r="BZ437" s="87"/>
      <c r="CA437" s="87"/>
      <c r="CB437" s="87"/>
      <c r="CC437" s="87"/>
      <c r="CD437" s="87"/>
      <c r="CF437" s="67">
        <f t="shared" si="133"/>
        <v>1603.2103448275864</v>
      </c>
      <c r="CG437" s="67">
        <f t="shared" si="123"/>
        <v>2137.6137931034482</v>
      </c>
      <c r="CH437" s="67">
        <f t="shared" si="124"/>
        <v>2244.494482758621</v>
      </c>
      <c r="CI437" s="67">
        <f t="shared" si="129"/>
        <v>1603.2103448275864</v>
      </c>
      <c r="CJ437" s="37">
        <f t="shared" si="125"/>
        <v>540</v>
      </c>
      <c r="CK437" s="37">
        <f t="shared" si="126"/>
        <v>720</v>
      </c>
      <c r="CL437" s="37">
        <f t="shared" si="127"/>
        <v>756</v>
      </c>
      <c r="CM437" s="37">
        <f t="shared" si="128"/>
        <v>540</v>
      </c>
    </row>
    <row r="438" spans="1:91" ht="25.5">
      <c r="B438" s="156">
        <v>430</v>
      </c>
      <c r="C438" s="160">
        <v>214</v>
      </c>
      <c r="D438" s="162">
        <v>42</v>
      </c>
      <c r="E438" s="161">
        <v>0.63472222222222219</v>
      </c>
      <c r="F438" s="161">
        <v>0.67013888888888884</v>
      </c>
      <c r="G438" s="160" t="s">
        <v>190</v>
      </c>
      <c r="H438" s="162" t="s">
        <v>123</v>
      </c>
      <c r="I438" s="163">
        <v>36</v>
      </c>
      <c r="J438" s="164" t="s">
        <v>116</v>
      </c>
      <c r="K438" s="165">
        <v>34</v>
      </c>
      <c r="L438" s="166">
        <f t="shared" si="118"/>
        <v>1224</v>
      </c>
      <c r="M438" s="177" t="s">
        <v>743</v>
      </c>
      <c r="N438" s="154" t="s">
        <v>954</v>
      </c>
      <c r="O438" s="154">
        <v>17</v>
      </c>
      <c r="P438" s="154" t="s">
        <v>1929</v>
      </c>
      <c r="Q438" s="154">
        <v>9</v>
      </c>
      <c r="R438" s="150"/>
      <c r="S438" s="154"/>
      <c r="T438" s="45">
        <v>2156</v>
      </c>
      <c r="U438" s="45" t="s">
        <v>1562</v>
      </c>
      <c r="V438" s="45">
        <v>2305</v>
      </c>
      <c r="W438" s="45" t="s">
        <v>1557</v>
      </c>
      <c r="X438" s="98">
        <v>44816</v>
      </c>
      <c r="Y438" s="98">
        <v>45086</v>
      </c>
      <c r="Z438" s="98"/>
      <c r="AA438" s="98"/>
      <c r="AB438" s="41" t="s">
        <v>1123</v>
      </c>
      <c r="AC438" s="41"/>
      <c r="AD438" s="42"/>
      <c r="AE438" s="42"/>
      <c r="AF438" s="42"/>
      <c r="AG438" s="42" t="s">
        <v>734</v>
      </c>
      <c r="AH438" s="42"/>
      <c r="AI438" s="42"/>
      <c r="AJ438" s="42"/>
      <c r="AK438" s="42"/>
      <c r="AL438" s="42"/>
      <c r="AM438" s="42" t="s">
        <v>734</v>
      </c>
      <c r="AN438" s="42"/>
      <c r="AO438" s="42"/>
      <c r="AP438" s="42"/>
      <c r="AQ438" s="42"/>
      <c r="AR438" s="42"/>
      <c r="AS438" s="42"/>
      <c r="AT438" s="42"/>
      <c r="AU438" s="42"/>
      <c r="AV438" s="42"/>
      <c r="AW438" s="42"/>
      <c r="AX438" s="68">
        <v>106.44</v>
      </c>
      <c r="BA438" s="68"/>
      <c r="BB438" s="68"/>
      <c r="BD438" s="67">
        <f t="shared" si="130"/>
        <v>3618.96</v>
      </c>
      <c r="BE438" s="67"/>
      <c r="BF438" s="37"/>
      <c r="BG438" s="73">
        <v>1</v>
      </c>
      <c r="BH438" s="67">
        <f t="shared" si="134"/>
        <v>0</v>
      </c>
      <c r="BI438" s="67">
        <f t="shared" si="135"/>
        <v>0</v>
      </c>
      <c r="BJ438" s="70">
        <f t="shared" si="136"/>
        <v>0</v>
      </c>
      <c r="BN438" s="37"/>
      <c r="BO438" s="70">
        <f t="shared" si="131"/>
        <v>0</v>
      </c>
      <c r="BP438" s="37">
        <v>2</v>
      </c>
      <c r="BQ438" s="37">
        <v>5</v>
      </c>
      <c r="BR438" s="37">
        <v>4</v>
      </c>
      <c r="BS438" s="37">
        <v>3</v>
      </c>
      <c r="BT438" s="87">
        <f t="shared" si="132"/>
        <v>106.44</v>
      </c>
      <c r="BU438" s="87"/>
      <c r="BV438" s="87"/>
      <c r="BW438" s="87"/>
      <c r="BX438" s="87"/>
      <c r="BY438" s="87"/>
      <c r="BZ438" s="87"/>
      <c r="CA438" s="87"/>
      <c r="CB438" s="87"/>
      <c r="CC438" s="87"/>
      <c r="CD438" s="87"/>
      <c r="CF438" s="67">
        <f t="shared" si="133"/>
        <v>212.88</v>
      </c>
      <c r="CG438" s="67">
        <f t="shared" si="123"/>
        <v>532.20000000000005</v>
      </c>
      <c r="CH438" s="67">
        <f t="shared" si="124"/>
        <v>425.76</v>
      </c>
      <c r="CI438" s="67">
        <f t="shared" si="129"/>
        <v>319.32</v>
      </c>
      <c r="CJ438" s="37">
        <f t="shared" si="125"/>
        <v>72</v>
      </c>
      <c r="CK438" s="37">
        <f t="shared" si="126"/>
        <v>180</v>
      </c>
      <c r="CL438" s="37">
        <f t="shared" si="127"/>
        <v>144</v>
      </c>
      <c r="CM438" s="37">
        <f t="shared" si="128"/>
        <v>108</v>
      </c>
    </row>
    <row r="439" spans="1:91" ht="25.5">
      <c r="A439" s="150"/>
      <c r="B439" s="156">
        <v>431</v>
      </c>
      <c r="C439" s="160">
        <v>214</v>
      </c>
      <c r="D439" s="160">
        <v>745</v>
      </c>
      <c r="E439" s="161">
        <v>0.63888888888888895</v>
      </c>
      <c r="F439" s="161">
        <v>0.68194444444444446</v>
      </c>
      <c r="G439" s="160" t="s">
        <v>453</v>
      </c>
      <c r="H439" s="160" t="s">
        <v>550</v>
      </c>
      <c r="I439" s="163">
        <v>28</v>
      </c>
      <c r="J439" s="164" t="s">
        <v>101</v>
      </c>
      <c r="K439" s="165">
        <v>13</v>
      </c>
      <c r="L439" s="166">
        <f t="shared" si="118"/>
        <v>364</v>
      </c>
      <c r="M439" s="177" t="s">
        <v>753</v>
      </c>
      <c r="N439" s="150" t="s">
        <v>844</v>
      </c>
      <c r="O439" s="150">
        <v>57</v>
      </c>
      <c r="P439" s="150" t="s">
        <v>1927</v>
      </c>
      <c r="Q439" s="150">
        <v>56</v>
      </c>
      <c r="S439" s="150"/>
      <c r="T439" s="45">
        <v>2156</v>
      </c>
      <c r="U439" s="45" t="s">
        <v>1562</v>
      </c>
      <c r="V439" s="45">
        <v>960</v>
      </c>
      <c r="W439" s="45" t="s">
        <v>1354</v>
      </c>
      <c r="X439" s="99">
        <v>44562</v>
      </c>
      <c r="Y439" s="99">
        <v>44815</v>
      </c>
      <c r="Z439" s="99">
        <v>45101</v>
      </c>
      <c r="AA439" s="99">
        <v>45169</v>
      </c>
      <c r="AB439" s="36" t="s">
        <v>1116</v>
      </c>
      <c r="AC439" s="36"/>
      <c r="AD439" s="42"/>
      <c r="AE439" s="42" t="s">
        <v>734</v>
      </c>
      <c r="AF439" s="42"/>
      <c r="AG439" s="42"/>
      <c r="AH439" s="42"/>
      <c r="AI439" s="42"/>
      <c r="AJ439" s="42"/>
      <c r="AK439" s="42"/>
      <c r="AL439" s="42"/>
      <c r="AM439" s="42"/>
      <c r="AN439" s="42" t="s">
        <v>734</v>
      </c>
      <c r="AO439" s="42"/>
      <c r="AP439" s="42"/>
      <c r="AQ439" s="42"/>
      <c r="AR439" s="42"/>
      <c r="AS439" s="42"/>
      <c r="AT439" s="42"/>
      <c r="AU439" s="42"/>
      <c r="AV439" s="42"/>
      <c r="AW439" s="42"/>
      <c r="AX439" s="68">
        <v>84</v>
      </c>
      <c r="BA439" s="68"/>
      <c r="BB439" s="68"/>
      <c r="BD439" s="67">
        <f t="shared" si="130"/>
        <v>1092</v>
      </c>
      <c r="BE439" s="67"/>
      <c r="BF439" s="37"/>
      <c r="BG439" s="69">
        <v>2</v>
      </c>
      <c r="BH439" s="67">
        <f t="shared" si="134"/>
        <v>0</v>
      </c>
      <c r="BI439" s="67">
        <f t="shared" si="135"/>
        <v>0</v>
      </c>
      <c r="BJ439" s="70">
        <f t="shared" si="136"/>
        <v>0</v>
      </c>
      <c r="BN439" s="37"/>
      <c r="BO439" s="70">
        <f t="shared" si="131"/>
        <v>0</v>
      </c>
      <c r="BP439" s="37">
        <v>2</v>
      </c>
      <c r="BQ439" s="37">
        <v>0</v>
      </c>
      <c r="BR439" s="37">
        <v>0</v>
      </c>
      <c r="BT439" s="87">
        <f t="shared" si="132"/>
        <v>84</v>
      </c>
      <c r="BU439" s="87"/>
      <c r="BV439" s="87"/>
      <c r="BW439" s="87"/>
      <c r="BX439" s="87"/>
      <c r="BY439" s="87"/>
      <c r="BZ439" s="87"/>
      <c r="CA439" s="87"/>
      <c r="CB439" s="87"/>
      <c r="CC439" s="87"/>
      <c r="CD439" s="87"/>
      <c r="CF439" s="67">
        <f t="shared" si="133"/>
        <v>168</v>
      </c>
      <c r="CG439" s="67">
        <f t="shared" si="123"/>
        <v>0</v>
      </c>
      <c r="CH439" s="67">
        <f t="shared" si="124"/>
        <v>0</v>
      </c>
      <c r="CI439" s="67">
        <f t="shared" si="129"/>
        <v>0</v>
      </c>
      <c r="CJ439" s="37">
        <f t="shared" si="125"/>
        <v>56</v>
      </c>
      <c r="CK439" s="37">
        <f t="shared" si="126"/>
        <v>0</v>
      </c>
      <c r="CL439" s="37">
        <f t="shared" si="127"/>
        <v>0</v>
      </c>
      <c r="CM439" s="37">
        <f t="shared" si="128"/>
        <v>0</v>
      </c>
    </row>
    <row r="440" spans="1:91" ht="38.25">
      <c r="B440" s="156">
        <v>432</v>
      </c>
      <c r="C440" s="160">
        <v>214</v>
      </c>
      <c r="D440" s="160">
        <v>457</v>
      </c>
      <c r="E440" s="161">
        <v>0.66666666666666663</v>
      </c>
      <c r="F440" s="161">
        <v>0.6791666666666667</v>
      </c>
      <c r="G440" s="160" t="s">
        <v>456</v>
      </c>
      <c r="H440" s="174" t="s">
        <v>1206</v>
      </c>
      <c r="I440" s="163">
        <v>12.5</v>
      </c>
      <c r="J440" s="164" t="s">
        <v>93</v>
      </c>
      <c r="K440" s="179">
        <v>34</v>
      </c>
      <c r="L440" s="166">
        <f t="shared" si="118"/>
        <v>425</v>
      </c>
      <c r="M440" s="177" t="s">
        <v>745</v>
      </c>
      <c r="N440" s="154" t="s">
        <v>956</v>
      </c>
      <c r="O440" s="154">
        <v>20</v>
      </c>
      <c r="P440" s="154" t="s">
        <v>1928</v>
      </c>
      <c r="Q440" s="154">
        <v>27</v>
      </c>
      <c r="S440" s="154"/>
      <c r="T440" s="45">
        <v>2314</v>
      </c>
      <c r="U440" s="45" t="s">
        <v>1560</v>
      </c>
      <c r="V440" s="45" t="s">
        <v>1561</v>
      </c>
      <c r="W440" s="45" t="s">
        <v>1562</v>
      </c>
      <c r="X440" s="99">
        <v>44562</v>
      </c>
      <c r="Y440" s="99">
        <v>44815</v>
      </c>
      <c r="Z440" s="99">
        <v>45108</v>
      </c>
      <c r="AA440" s="99">
        <v>45138</v>
      </c>
      <c r="AB440" s="42" t="s">
        <v>1855</v>
      </c>
      <c r="AC440" s="42" t="s">
        <v>1135</v>
      </c>
      <c r="AD440" s="42"/>
      <c r="AE440" s="42" t="s">
        <v>734</v>
      </c>
      <c r="AF440" s="42" t="s">
        <v>734</v>
      </c>
      <c r="AG440" s="42"/>
      <c r="AH440" s="42" t="s">
        <v>734</v>
      </c>
      <c r="AI440" s="42" t="s">
        <v>734</v>
      </c>
      <c r="AJ440" s="42" t="s">
        <v>734</v>
      </c>
      <c r="AK440" s="42" t="s">
        <v>734</v>
      </c>
      <c r="AL440" s="42" t="s">
        <v>734</v>
      </c>
      <c r="AM440" s="42" t="s">
        <v>734</v>
      </c>
      <c r="AN440" s="42"/>
      <c r="AO440" s="42"/>
      <c r="AP440" s="42"/>
      <c r="AQ440" s="42"/>
      <c r="AR440" s="42"/>
      <c r="AS440" s="42"/>
      <c r="AT440" s="42"/>
      <c r="AU440" s="42"/>
      <c r="AV440" s="42"/>
      <c r="AW440" s="42"/>
      <c r="AX440" s="68">
        <v>37.5</v>
      </c>
      <c r="BA440" s="68"/>
      <c r="BB440" s="68"/>
      <c r="BD440" s="67">
        <f t="shared" si="130"/>
        <v>1275</v>
      </c>
      <c r="BE440" s="67"/>
      <c r="BF440" s="37"/>
      <c r="BG440" s="73">
        <v>1</v>
      </c>
      <c r="BH440" s="67">
        <f t="shared" si="134"/>
        <v>0</v>
      </c>
      <c r="BI440" s="67">
        <f t="shared" si="135"/>
        <v>0</v>
      </c>
      <c r="BJ440" s="70">
        <f t="shared" si="136"/>
        <v>0</v>
      </c>
      <c r="BN440" s="37"/>
      <c r="BO440" s="70">
        <f t="shared" si="131"/>
        <v>0</v>
      </c>
      <c r="BP440" s="37">
        <v>9</v>
      </c>
      <c r="BQ440" s="37">
        <v>0</v>
      </c>
      <c r="BR440" s="37">
        <v>0</v>
      </c>
      <c r="BS440" s="37">
        <v>0</v>
      </c>
      <c r="BT440" s="87">
        <f t="shared" si="132"/>
        <v>37.5</v>
      </c>
      <c r="BU440" s="87"/>
      <c r="BV440" s="87"/>
      <c r="BW440" s="87"/>
      <c r="BX440" s="87"/>
      <c r="BY440" s="87"/>
      <c r="BZ440" s="87"/>
      <c r="CA440" s="87"/>
      <c r="CB440" s="87"/>
      <c r="CC440" s="87"/>
      <c r="CD440" s="87"/>
      <c r="CF440" s="67">
        <f t="shared" si="133"/>
        <v>337.5</v>
      </c>
      <c r="CG440" s="67">
        <f t="shared" si="123"/>
        <v>0</v>
      </c>
      <c r="CH440" s="67">
        <f t="shared" si="124"/>
        <v>0</v>
      </c>
      <c r="CI440" s="67">
        <f t="shared" si="129"/>
        <v>0</v>
      </c>
      <c r="CJ440" s="37">
        <f t="shared" si="125"/>
        <v>112.5</v>
      </c>
      <c r="CK440" s="37">
        <f t="shared" si="126"/>
        <v>0</v>
      </c>
      <c r="CL440" s="37">
        <f t="shared" si="127"/>
        <v>0</v>
      </c>
      <c r="CM440" s="37">
        <f t="shared" si="128"/>
        <v>0</v>
      </c>
    </row>
    <row r="441" spans="1:91" ht="45">
      <c r="B441" s="181" t="s">
        <v>1209</v>
      </c>
      <c r="C441" s="160">
        <v>214</v>
      </c>
      <c r="D441" s="160">
        <v>457</v>
      </c>
      <c r="E441" s="161">
        <v>0.66666666666666663</v>
      </c>
      <c r="F441" s="161">
        <v>0.6791666666666667</v>
      </c>
      <c r="G441" s="160" t="s">
        <v>456</v>
      </c>
      <c r="H441" s="174" t="s">
        <v>1206</v>
      </c>
      <c r="I441" s="163">
        <v>12.5</v>
      </c>
      <c r="J441" s="164" t="s">
        <v>93</v>
      </c>
      <c r="K441" s="179">
        <v>33</v>
      </c>
      <c r="L441" s="166">
        <f t="shared" si="118"/>
        <v>412.5</v>
      </c>
      <c r="M441" s="177" t="s">
        <v>756</v>
      </c>
      <c r="N441" s="154" t="s">
        <v>969</v>
      </c>
      <c r="O441" s="154">
        <v>18</v>
      </c>
      <c r="P441" s="154" t="s">
        <v>957</v>
      </c>
      <c r="Q441" s="154">
        <v>17</v>
      </c>
      <c r="S441" s="154"/>
      <c r="T441" s="45">
        <v>2314</v>
      </c>
      <c r="U441" s="45" t="s">
        <v>1560</v>
      </c>
      <c r="V441" s="45" t="s">
        <v>1561</v>
      </c>
      <c r="W441" s="45" t="s">
        <v>1562</v>
      </c>
      <c r="X441" s="99">
        <v>45101</v>
      </c>
      <c r="Y441" s="99">
        <v>45107</v>
      </c>
      <c r="Z441" s="99">
        <v>45139</v>
      </c>
      <c r="AA441" s="99">
        <v>45169</v>
      </c>
      <c r="AB441" s="42" t="s">
        <v>1854</v>
      </c>
      <c r="AC441" s="42" t="s">
        <v>1135</v>
      </c>
      <c r="AD441" s="42"/>
      <c r="AE441" s="42" t="s">
        <v>734</v>
      </c>
      <c r="AF441" s="42" t="s">
        <v>734</v>
      </c>
      <c r="AG441" s="42"/>
      <c r="AH441" s="42" t="s">
        <v>734</v>
      </c>
      <c r="AI441" s="42" t="s">
        <v>734</v>
      </c>
      <c r="AJ441" s="42" t="s">
        <v>734</v>
      </c>
      <c r="AK441" s="42" t="s">
        <v>734</v>
      </c>
      <c r="AL441" s="42" t="s">
        <v>734</v>
      </c>
      <c r="AM441" s="42" t="s">
        <v>734</v>
      </c>
      <c r="AN441" s="42"/>
      <c r="AO441" s="42"/>
      <c r="AP441" s="42"/>
      <c r="AQ441" s="42"/>
      <c r="AR441" s="42"/>
      <c r="AS441" s="42"/>
      <c r="AT441" s="42"/>
      <c r="AU441" s="42"/>
      <c r="AV441" s="42"/>
      <c r="AW441" s="42"/>
      <c r="AX441" s="68">
        <v>37.5</v>
      </c>
      <c r="BA441" s="68"/>
      <c r="BB441" s="68"/>
      <c r="BD441" s="67">
        <f t="shared" si="130"/>
        <v>1237.5</v>
      </c>
      <c r="BE441" s="67"/>
      <c r="BF441" s="37"/>
      <c r="BG441" s="73">
        <v>1</v>
      </c>
      <c r="BH441" s="67">
        <f t="shared" si="134"/>
        <v>0</v>
      </c>
      <c r="BI441" s="67">
        <f t="shared" si="135"/>
        <v>0</v>
      </c>
      <c r="BJ441" s="70">
        <f t="shared" si="136"/>
        <v>0</v>
      </c>
      <c r="BN441" s="37"/>
      <c r="BO441" s="70">
        <f t="shared" si="131"/>
        <v>0</v>
      </c>
      <c r="BP441" s="37">
        <v>0</v>
      </c>
      <c r="BQ441" s="37">
        <v>0</v>
      </c>
      <c r="BR441" s="37">
        <v>0</v>
      </c>
      <c r="BS441" s="37">
        <v>0</v>
      </c>
      <c r="BT441" s="87">
        <f t="shared" si="132"/>
        <v>37.5</v>
      </c>
      <c r="BU441" s="87"/>
      <c r="BV441" s="87"/>
      <c r="BW441" s="87"/>
      <c r="BX441" s="87"/>
      <c r="BY441" s="87"/>
      <c r="BZ441" s="87"/>
      <c r="CA441" s="87"/>
      <c r="CB441" s="87"/>
      <c r="CC441" s="87"/>
      <c r="CD441" s="87"/>
      <c r="CF441" s="67">
        <f t="shared" si="133"/>
        <v>0</v>
      </c>
      <c r="CG441" s="67">
        <f t="shared" si="123"/>
        <v>0</v>
      </c>
      <c r="CH441" s="67">
        <f t="shared" si="124"/>
        <v>0</v>
      </c>
      <c r="CI441" s="67">
        <f t="shared" si="129"/>
        <v>0</v>
      </c>
      <c r="CJ441" s="37">
        <f t="shared" si="125"/>
        <v>0</v>
      </c>
      <c r="CK441" s="37">
        <f t="shared" si="126"/>
        <v>0</v>
      </c>
      <c r="CL441" s="37">
        <f t="shared" si="127"/>
        <v>0</v>
      </c>
      <c r="CM441" s="37">
        <f t="shared" si="128"/>
        <v>0</v>
      </c>
    </row>
    <row r="442" spans="1:91" ht="25.5">
      <c r="A442" s="150"/>
      <c r="B442" s="156">
        <v>433</v>
      </c>
      <c r="C442" s="160">
        <v>214</v>
      </c>
      <c r="D442" s="160">
        <v>334</v>
      </c>
      <c r="E442" s="161">
        <v>0.6875</v>
      </c>
      <c r="F442" s="161">
        <v>0.72986111111111107</v>
      </c>
      <c r="G442" s="160" t="s">
        <v>451</v>
      </c>
      <c r="H442" s="160" t="s">
        <v>550</v>
      </c>
      <c r="I442" s="163">
        <v>28</v>
      </c>
      <c r="J442" s="164" t="s">
        <v>101</v>
      </c>
      <c r="K442" s="165">
        <v>13</v>
      </c>
      <c r="L442" s="166">
        <f t="shared" si="118"/>
        <v>364</v>
      </c>
      <c r="M442" s="177" t="s">
        <v>753</v>
      </c>
      <c r="N442" s="150" t="s">
        <v>844</v>
      </c>
      <c r="O442" s="150">
        <v>57</v>
      </c>
      <c r="P442" s="150" t="s">
        <v>1927</v>
      </c>
      <c r="Q442" s="150">
        <v>56</v>
      </c>
      <c r="S442" s="150"/>
      <c r="T442" s="45">
        <v>960</v>
      </c>
      <c r="U442" s="45" t="s">
        <v>1354</v>
      </c>
      <c r="V442" s="45">
        <v>2156</v>
      </c>
      <c r="W442" s="45" t="s">
        <v>1562</v>
      </c>
      <c r="X442" s="99">
        <v>44562</v>
      </c>
      <c r="Y442" s="99">
        <v>44815</v>
      </c>
      <c r="Z442" s="99">
        <v>45101</v>
      </c>
      <c r="AA442" s="99">
        <v>45169</v>
      </c>
      <c r="AB442" s="36" t="s">
        <v>1116</v>
      </c>
      <c r="AC442" s="36"/>
      <c r="AD442" s="42"/>
      <c r="AE442" s="42" t="s">
        <v>734</v>
      </c>
      <c r="AF442" s="42"/>
      <c r="AG442" s="42"/>
      <c r="AH442" s="42"/>
      <c r="AI442" s="42"/>
      <c r="AJ442" s="42"/>
      <c r="AK442" s="42"/>
      <c r="AL442" s="42"/>
      <c r="AM442" s="42"/>
      <c r="AN442" s="42" t="s">
        <v>734</v>
      </c>
      <c r="AO442" s="42"/>
      <c r="AP442" s="42"/>
      <c r="AQ442" s="42"/>
      <c r="AR442" s="42"/>
      <c r="AS442" s="42"/>
      <c r="AT442" s="42"/>
      <c r="AU442" s="42"/>
      <c r="AV442" s="42"/>
      <c r="AW442" s="42"/>
      <c r="AX442" s="68">
        <v>84</v>
      </c>
      <c r="BA442" s="68"/>
      <c r="BB442" s="68"/>
      <c r="BD442" s="67">
        <f t="shared" si="130"/>
        <v>1092</v>
      </c>
      <c r="BE442" s="67"/>
      <c r="BF442" s="37"/>
      <c r="BG442" s="69">
        <v>2</v>
      </c>
      <c r="BH442" s="67">
        <f t="shared" si="134"/>
        <v>0</v>
      </c>
      <c r="BI442" s="67">
        <f t="shared" si="135"/>
        <v>0</v>
      </c>
      <c r="BJ442" s="70">
        <f t="shared" si="136"/>
        <v>0</v>
      </c>
      <c r="BN442" s="37"/>
      <c r="BO442" s="70">
        <f t="shared" si="131"/>
        <v>0</v>
      </c>
      <c r="BP442" s="37">
        <v>2</v>
      </c>
      <c r="BQ442" s="37">
        <v>0</v>
      </c>
      <c r="BR442" s="37">
        <v>0</v>
      </c>
      <c r="BT442" s="87">
        <f t="shared" si="132"/>
        <v>84</v>
      </c>
      <c r="BU442" s="87"/>
      <c r="BV442" s="87"/>
      <c r="BW442" s="87"/>
      <c r="BX442" s="87"/>
      <c r="BY442" s="87"/>
      <c r="BZ442" s="87"/>
      <c r="CA442" s="87"/>
      <c r="CB442" s="87"/>
      <c r="CC442" s="87"/>
      <c r="CD442" s="87"/>
      <c r="CF442" s="67">
        <f t="shared" si="133"/>
        <v>168</v>
      </c>
      <c r="CG442" s="67">
        <f t="shared" si="123"/>
        <v>0</v>
      </c>
      <c r="CH442" s="67">
        <f t="shared" si="124"/>
        <v>0</v>
      </c>
      <c r="CI442" s="67">
        <f t="shared" si="129"/>
        <v>0</v>
      </c>
      <c r="CJ442" s="37">
        <f t="shared" si="125"/>
        <v>56</v>
      </c>
      <c r="CK442" s="37">
        <f t="shared" si="126"/>
        <v>0</v>
      </c>
      <c r="CL442" s="37">
        <f t="shared" si="127"/>
        <v>0</v>
      </c>
      <c r="CM442" s="37">
        <f t="shared" si="128"/>
        <v>0</v>
      </c>
    </row>
    <row r="443" spans="1:91" ht="25.5">
      <c r="B443" s="156">
        <v>434</v>
      </c>
      <c r="C443" s="160">
        <v>214</v>
      </c>
      <c r="D443" s="160">
        <v>570</v>
      </c>
      <c r="E443" s="161">
        <v>0.6875</v>
      </c>
      <c r="F443" s="161">
        <v>0.72986111111111107</v>
      </c>
      <c r="G443" s="160" t="s">
        <v>451</v>
      </c>
      <c r="H443" s="160" t="s">
        <v>452</v>
      </c>
      <c r="I443" s="163">
        <v>28</v>
      </c>
      <c r="J443" s="164" t="s">
        <v>269</v>
      </c>
      <c r="K443" s="165">
        <v>26</v>
      </c>
      <c r="L443" s="166">
        <f t="shared" si="118"/>
        <v>728</v>
      </c>
      <c r="M443" s="177" t="s">
        <v>753</v>
      </c>
      <c r="N443" s="154" t="s">
        <v>846</v>
      </c>
      <c r="O443" s="154">
        <v>29</v>
      </c>
      <c r="P443" s="154" t="s">
        <v>843</v>
      </c>
      <c r="Q443" s="154">
        <v>23</v>
      </c>
      <c r="S443" s="154"/>
      <c r="T443" s="45">
        <v>960</v>
      </c>
      <c r="U443" s="45" t="s">
        <v>1354</v>
      </c>
      <c r="V443" s="45">
        <v>2156</v>
      </c>
      <c r="W443" s="45" t="s">
        <v>1562</v>
      </c>
      <c r="X443" s="99">
        <v>44816</v>
      </c>
      <c r="Y443" s="99">
        <v>45100</v>
      </c>
      <c r="Z443" s="99"/>
      <c r="AA443" s="99"/>
      <c r="AB443" s="41" t="s">
        <v>1147</v>
      </c>
      <c r="AC443" s="41"/>
      <c r="AD443" s="42" t="s">
        <v>734</v>
      </c>
      <c r="AE443" s="42"/>
      <c r="AF443" s="42" t="s">
        <v>734</v>
      </c>
      <c r="AG443" s="42"/>
      <c r="AH443" s="42"/>
      <c r="AI443" s="42"/>
      <c r="AJ443" s="42"/>
      <c r="AK443" s="42"/>
      <c r="AL443" s="42"/>
      <c r="AM443" s="42"/>
      <c r="AN443" s="42"/>
      <c r="AO443" s="42"/>
      <c r="AP443" s="42"/>
      <c r="AQ443" s="42"/>
      <c r="AR443" s="42" t="s">
        <v>734</v>
      </c>
      <c r="AS443" s="42" t="s">
        <v>734</v>
      </c>
      <c r="AT443" s="42" t="s">
        <v>734</v>
      </c>
      <c r="AU443" s="42" t="s">
        <v>734</v>
      </c>
      <c r="AV443" s="42" t="s">
        <v>734</v>
      </c>
      <c r="AW443" s="42"/>
      <c r="AX443" s="68">
        <v>84</v>
      </c>
      <c r="BA443" s="68"/>
      <c r="BB443" s="68"/>
      <c r="BD443" s="67">
        <f t="shared" si="130"/>
        <v>2184</v>
      </c>
      <c r="BE443" s="67"/>
      <c r="BF443" s="37"/>
      <c r="BG443" s="73">
        <v>1</v>
      </c>
      <c r="BH443" s="67">
        <f t="shared" si="134"/>
        <v>0</v>
      </c>
      <c r="BI443" s="67">
        <f t="shared" si="135"/>
        <v>0</v>
      </c>
      <c r="BJ443" s="70">
        <f t="shared" si="136"/>
        <v>0</v>
      </c>
      <c r="BN443" s="37"/>
      <c r="BO443" s="70">
        <f t="shared" si="131"/>
        <v>0</v>
      </c>
      <c r="BP443" s="37">
        <v>0</v>
      </c>
      <c r="BQ443" s="37">
        <v>1</v>
      </c>
      <c r="BR443" s="37">
        <v>0</v>
      </c>
      <c r="BS443" s="37">
        <v>5</v>
      </c>
      <c r="BT443" s="87">
        <f t="shared" si="132"/>
        <v>84</v>
      </c>
      <c r="BU443" s="87"/>
      <c r="BV443" s="87"/>
      <c r="BW443" s="87"/>
      <c r="BX443" s="87"/>
      <c r="BY443" s="87"/>
      <c r="BZ443" s="87"/>
      <c r="CA443" s="87"/>
      <c r="CB443" s="87"/>
      <c r="CC443" s="87"/>
      <c r="CD443" s="87"/>
      <c r="CF443" s="67">
        <f t="shared" si="133"/>
        <v>0</v>
      </c>
      <c r="CG443" s="67">
        <f t="shared" si="123"/>
        <v>84</v>
      </c>
      <c r="CH443" s="67">
        <f t="shared" si="124"/>
        <v>0</v>
      </c>
      <c r="CI443" s="67">
        <f t="shared" si="129"/>
        <v>420</v>
      </c>
      <c r="CJ443" s="37">
        <f t="shared" si="125"/>
        <v>0</v>
      </c>
      <c r="CK443" s="37">
        <f t="shared" si="126"/>
        <v>28</v>
      </c>
      <c r="CL443" s="37">
        <f t="shared" si="127"/>
        <v>0</v>
      </c>
      <c r="CM443" s="37">
        <f t="shared" si="128"/>
        <v>140</v>
      </c>
    </row>
    <row r="444" spans="1:91" ht="38.25">
      <c r="B444" s="156">
        <v>435</v>
      </c>
      <c r="C444" s="160">
        <v>214</v>
      </c>
      <c r="D444" s="174">
        <v>74</v>
      </c>
      <c r="E444" s="161">
        <v>0.72013888888888899</v>
      </c>
      <c r="F444" s="161">
        <v>0.73263888888888884</v>
      </c>
      <c r="G444" s="160" t="s">
        <v>457</v>
      </c>
      <c r="H444" s="174" t="s">
        <v>1206</v>
      </c>
      <c r="I444" s="163">
        <v>12.5</v>
      </c>
      <c r="J444" s="164" t="s">
        <v>93</v>
      </c>
      <c r="K444" s="179">
        <v>34</v>
      </c>
      <c r="L444" s="166">
        <f t="shared" si="118"/>
        <v>425</v>
      </c>
      <c r="M444" s="177" t="s">
        <v>745</v>
      </c>
      <c r="N444" s="154" t="s">
        <v>956</v>
      </c>
      <c r="O444" s="154">
        <v>20</v>
      </c>
      <c r="P444" s="154" t="s">
        <v>1928</v>
      </c>
      <c r="Q444" s="154">
        <v>27</v>
      </c>
      <c r="S444" s="154"/>
      <c r="T444" s="45" t="s">
        <v>1561</v>
      </c>
      <c r="U444" s="45" t="s">
        <v>1562</v>
      </c>
      <c r="V444" s="45">
        <v>2314</v>
      </c>
      <c r="W444" s="45" t="s">
        <v>1560</v>
      </c>
      <c r="X444" s="99">
        <v>44562</v>
      </c>
      <c r="Y444" s="99">
        <v>44815</v>
      </c>
      <c r="Z444" s="99">
        <v>45108</v>
      </c>
      <c r="AA444" s="99">
        <v>45138</v>
      </c>
      <c r="AB444" s="42" t="s">
        <v>1855</v>
      </c>
      <c r="AC444" s="42" t="s">
        <v>1135</v>
      </c>
      <c r="AD444" s="42"/>
      <c r="AE444" s="42" t="s">
        <v>734</v>
      </c>
      <c r="AF444" s="42" t="s">
        <v>734</v>
      </c>
      <c r="AG444" s="42"/>
      <c r="AH444" s="42" t="s">
        <v>734</v>
      </c>
      <c r="AI444" s="42" t="s">
        <v>734</v>
      </c>
      <c r="AJ444" s="42" t="s">
        <v>734</v>
      </c>
      <c r="AK444" s="42" t="s">
        <v>734</v>
      </c>
      <c r="AL444" s="42" t="s">
        <v>734</v>
      </c>
      <c r="AM444" s="42" t="s">
        <v>734</v>
      </c>
      <c r="AN444" s="42"/>
      <c r="AO444" s="42"/>
      <c r="AP444" s="42"/>
      <c r="AQ444" s="42"/>
      <c r="AR444" s="42"/>
      <c r="AS444" s="42"/>
      <c r="AT444" s="42"/>
      <c r="AU444" s="42"/>
      <c r="AV444" s="42"/>
      <c r="AW444" s="42"/>
      <c r="AX444" s="68">
        <v>37.5</v>
      </c>
      <c r="BA444" s="68"/>
      <c r="BB444" s="68"/>
      <c r="BD444" s="67">
        <f t="shared" si="130"/>
        <v>1275</v>
      </c>
      <c r="BE444" s="67"/>
      <c r="BF444" s="37"/>
      <c r="BG444" s="73">
        <v>1</v>
      </c>
      <c r="BH444" s="67">
        <f t="shared" si="134"/>
        <v>0</v>
      </c>
      <c r="BI444" s="67">
        <f t="shared" si="135"/>
        <v>0</v>
      </c>
      <c r="BJ444" s="70">
        <f t="shared" si="136"/>
        <v>0</v>
      </c>
      <c r="BN444" s="37"/>
      <c r="BO444" s="70">
        <f t="shared" si="131"/>
        <v>0</v>
      </c>
      <c r="BP444" s="37">
        <v>9</v>
      </c>
      <c r="BQ444" s="37">
        <v>0</v>
      </c>
      <c r="BR444" s="37">
        <v>0</v>
      </c>
      <c r="BS444" s="37">
        <v>0</v>
      </c>
      <c r="BT444" s="87">
        <f t="shared" si="132"/>
        <v>37.5</v>
      </c>
      <c r="BU444" s="87"/>
      <c r="BV444" s="87"/>
      <c r="BW444" s="87"/>
      <c r="BX444" s="87"/>
      <c r="BY444" s="87"/>
      <c r="BZ444" s="87"/>
      <c r="CA444" s="87"/>
      <c r="CB444" s="87"/>
      <c r="CC444" s="87"/>
      <c r="CD444" s="87"/>
      <c r="CF444" s="67">
        <f t="shared" si="133"/>
        <v>337.5</v>
      </c>
      <c r="CG444" s="67">
        <f t="shared" si="123"/>
        <v>0</v>
      </c>
      <c r="CH444" s="67">
        <f t="shared" si="124"/>
        <v>0</v>
      </c>
      <c r="CI444" s="67">
        <f t="shared" si="129"/>
        <v>0</v>
      </c>
      <c r="CJ444" s="37">
        <f t="shared" si="125"/>
        <v>112.5</v>
      </c>
      <c r="CK444" s="37">
        <f t="shared" si="126"/>
        <v>0</v>
      </c>
      <c r="CL444" s="37">
        <f t="shared" si="127"/>
        <v>0</v>
      </c>
      <c r="CM444" s="37">
        <f t="shared" si="128"/>
        <v>0</v>
      </c>
    </row>
    <row r="445" spans="1:91" ht="45">
      <c r="B445" s="181" t="s">
        <v>1210</v>
      </c>
      <c r="C445" s="160">
        <v>214</v>
      </c>
      <c r="D445" s="174">
        <v>74</v>
      </c>
      <c r="E445" s="161">
        <v>0.72013888888888899</v>
      </c>
      <c r="F445" s="161">
        <v>0.73263888888888884</v>
      </c>
      <c r="G445" s="160" t="s">
        <v>457</v>
      </c>
      <c r="H445" s="174" t="s">
        <v>1206</v>
      </c>
      <c r="I445" s="163">
        <v>12.5</v>
      </c>
      <c r="J445" s="164" t="s">
        <v>93</v>
      </c>
      <c r="K445" s="179">
        <v>33</v>
      </c>
      <c r="L445" s="166">
        <f t="shared" si="118"/>
        <v>412.5</v>
      </c>
      <c r="M445" s="177" t="s">
        <v>756</v>
      </c>
      <c r="N445" s="154" t="s">
        <v>969</v>
      </c>
      <c r="O445" s="154">
        <v>18</v>
      </c>
      <c r="P445" s="154" t="s">
        <v>957</v>
      </c>
      <c r="Q445" s="154">
        <v>17</v>
      </c>
      <c r="R445" s="154"/>
      <c r="S445" s="154"/>
      <c r="T445" s="45" t="s">
        <v>1561</v>
      </c>
      <c r="U445" s="45" t="s">
        <v>1562</v>
      </c>
      <c r="V445" s="45">
        <v>2314</v>
      </c>
      <c r="W445" s="45" t="s">
        <v>1560</v>
      </c>
      <c r="X445" s="99">
        <v>45101</v>
      </c>
      <c r="Y445" s="99">
        <v>45107</v>
      </c>
      <c r="Z445" s="99">
        <v>45139</v>
      </c>
      <c r="AA445" s="99">
        <v>45169</v>
      </c>
      <c r="AB445" s="42" t="s">
        <v>1854</v>
      </c>
      <c r="AC445" s="42" t="s">
        <v>1135</v>
      </c>
      <c r="AD445" s="42"/>
      <c r="AE445" s="42" t="s">
        <v>734</v>
      </c>
      <c r="AF445" s="42" t="s">
        <v>734</v>
      </c>
      <c r="AG445" s="42"/>
      <c r="AH445" s="42" t="s">
        <v>734</v>
      </c>
      <c r="AI445" s="42" t="s">
        <v>734</v>
      </c>
      <c r="AJ445" s="42" t="s">
        <v>734</v>
      </c>
      <c r="AK445" s="42" t="s">
        <v>734</v>
      </c>
      <c r="AL445" s="42" t="s">
        <v>734</v>
      </c>
      <c r="AM445" s="42" t="s">
        <v>734</v>
      </c>
      <c r="AN445" s="42"/>
      <c r="AO445" s="42"/>
      <c r="AP445" s="42"/>
      <c r="AQ445" s="42"/>
      <c r="AR445" s="42"/>
      <c r="AS445" s="42"/>
      <c r="AT445" s="42"/>
      <c r="AU445" s="42"/>
      <c r="AV445" s="42"/>
      <c r="AW445" s="42"/>
      <c r="AX445" s="68">
        <v>37.5</v>
      </c>
      <c r="BA445" s="68"/>
      <c r="BB445" s="68"/>
      <c r="BD445" s="67">
        <f t="shared" si="130"/>
        <v>1237.5</v>
      </c>
      <c r="BE445" s="67"/>
      <c r="BF445" s="37"/>
      <c r="BG445" s="73">
        <v>1</v>
      </c>
      <c r="BH445" s="67">
        <f t="shared" si="134"/>
        <v>0</v>
      </c>
      <c r="BI445" s="67">
        <f t="shared" si="135"/>
        <v>0</v>
      </c>
      <c r="BJ445" s="70">
        <f t="shared" si="136"/>
        <v>0</v>
      </c>
      <c r="BN445" s="37"/>
      <c r="BO445" s="70">
        <f t="shared" si="131"/>
        <v>0</v>
      </c>
      <c r="BP445" s="37">
        <v>0</v>
      </c>
      <c r="BQ445" s="37">
        <v>0</v>
      </c>
      <c r="BR445" s="37">
        <v>0</v>
      </c>
      <c r="BS445" s="37">
        <v>0</v>
      </c>
      <c r="BT445" s="87">
        <f t="shared" si="132"/>
        <v>37.5</v>
      </c>
      <c r="BU445" s="87"/>
      <c r="BV445" s="87"/>
      <c r="BW445" s="87"/>
      <c r="BX445" s="87"/>
      <c r="BY445" s="87"/>
      <c r="BZ445" s="87"/>
      <c r="CA445" s="87"/>
      <c r="CB445" s="87"/>
      <c r="CC445" s="87"/>
      <c r="CD445" s="87"/>
      <c r="CF445" s="67">
        <f t="shared" si="133"/>
        <v>0</v>
      </c>
      <c r="CG445" s="67">
        <f t="shared" si="123"/>
        <v>0</v>
      </c>
      <c r="CH445" s="67">
        <f t="shared" si="124"/>
        <v>0</v>
      </c>
      <c r="CI445" s="67">
        <f t="shared" si="129"/>
        <v>0</v>
      </c>
      <c r="CJ445" s="37">
        <f t="shared" si="125"/>
        <v>0</v>
      </c>
      <c r="CK445" s="37">
        <f t="shared" si="126"/>
        <v>0</v>
      </c>
      <c r="CL445" s="37">
        <f t="shared" si="127"/>
        <v>0</v>
      </c>
      <c r="CM445" s="37">
        <f t="shared" si="128"/>
        <v>0</v>
      </c>
    </row>
    <row r="446" spans="1:91" ht="25.5">
      <c r="B446" s="156">
        <v>436</v>
      </c>
      <c r="C446" s="160">
        <v>214</v>
      </c>
      <c r="D446" s="160">
        <v>574</v>
      </c>
      <c r="E446" s="161">
        <v>0.73055555555555562</v>
      </c>
      <c r="F446" s="161">
        <v>0.74305555555555547</v>
      </c>
      <c r="G446" s="160" t="s">
        <v>457</v>
      </c>
      <c r="H446" s="160" t="s">
        <v>550</v>
      </c>
      <c r="I446" s="163">
        <v>12.5</v>
      </c>
      <c r="J446" s="164" t="s">
        <v>93</v>
      </c>
      <c r="K446" s="165">
        <v>13</v>
      </c>
      <c r="L446" s="166">
        <f t="shared" si="118"/>
        <v>162.5</v>
      </c>
      <c r="M446" s="177" t="s">
        <v>745</v>
      </c>
      <c r="N446" s="154" t="s">
        <v>956</v>
      </c>
      <c r="O446" s="154">
        <v>20</v>
      </c>
      <c r="P446" s="154" t="s">
        <v>1928</v>
      </c>
      <c r="Q446" s="154">
        <v>27</v>
      </c>
      <c r="S446" s="154"/>
      <c r="T446" s="45" t="s">
        <v>1561</v>
      </c>
      <c r="U446" s="45" t="s">
        <v>1562</v>
      </c>
      <c r="V446" s="45">
        <v>2314</v>
      </c>
      <c r="W446" s="45" t="s">
        <v>1560</v>
      </c>
      <c r="X446" s="99">
        <v>44562</v>
      </c>
      <c r="Y446" s="99">
        <v>44815</v>
      </c>
      <c r="Z446" s="99">
        <v>45101</v>
      </c>
      <c r="AA446" s="99">
        <v>45169</v>
      </c>
      <c r="AB446" s="36" t="s">
        <v>1116</v>
      </c>
      <c r="AC446" s="36"/>
      <c r="AD446" s="42"/>
      <c r="AE446" s="42" t="s">
        <v>734</v>
      </c>
      <c r="AF446" s="42"/>
      <c r="AG446" s="42"/>
      <c r="AH446" s="42"/>
      <c r="AI446" s="42"/>
      <c r="AJ446" s="42"/>
      <c r="AK446" s="42"/>
      <c r="AL446" s="42"/>
      <c r="AM446" s="42"/>
      <c r="AN446" s="42" t="s">
        <v>734</v>
      </c>
      <c r="AO446" s="42"/>
      <c r="AP446" s="42"/>
      <c r="AQ446" s="42"/>
      <c r="AR446" s="42"/>
      <c r="AS446" s="42"/>
      <c r="AT446" s="42"/>
      <c r="AU446" s="42"/>
      <c r="AV446" s="42"/>
      <c r="AW446" s="42"/>
      <c r="AX446" s="68">
        <v>37.5</v>
      </c>
      <c r="BA446" s="68"/>
      <c r="BB446" s="68"/>
      <c r="BD446" s="67">
        <f t="shared" si="130"/>
        <v>487.5</v>
      </c>
      <c r="BE446" s="67"/>
      <c r="BF446" s="37"/>
      <c r="BG446" s="73">
        <v>1</v>
      </c>
      <c r="BH446" s="67">
        <f t="shared" si="134"/>
        <v>0</v>
      </c>
      <c r="BI446" s="67">
        <f t="shared" si="135"/>
        <v>0</v>
      </c>
      <c r="BJ446" s="70">
        <f t="shared" si="136"/>
        <v>0</v>
      </c>
      <c r="BN446" s="37"/>
      <c r="BO446" s="70">
        <f t="shared" si="131"/>
        <v>0</v>
      </c>
      <c r="BP446" s="37">
        <v>2</v>
      </c>
      <c r="BQ446" s="37">
        <v>0</v>
      </c>
      <c r="BR446" s="37">
        <v>0</v>
      </c>
      <c r="BT446" s="87">
        <f t="shared" si="132"/>
        <v>37.5</v>
      </c>
      <c r="BU446" s="87"/>
      <c r="BV446" s="87"/>
      <c r="BW446" s="87"/>
      <c r="BX446" s="87"/>
      <c r="BY446" s="87"/>
      <c r="BZ446" s="87"/>
      <c r="CA446" s="87"/>
      <c r="CB446" s="87"/>
      <c r="CC446" s="87"/>
      <c r="CD446" s="87"/>
      <c r="CF446" s="67">
        <f t="shared" si="133"/>
        <v>75</v>
      </c>
      <c r="CG446" s="67">
        <f t="shared" si="123"/>
        <v>0</v>
      </c>
      <c r="CH446" s="67">
        <f t="shared" si="124"/>
        <v>0</v>
      </c>
      <c r="CI446" s="67">
        <f t="shared" si="129"/>
        <v>0</v>
      </c>
      <c r="CJ446" s="37">
        <f t="shared" si="125"/>
        <v>25</v>
      </c>
      <c r="CK446" s="37">
        <f t="shared" si="126"/>
        <v>0</v>
      </c>
      <c r="CL446" s="37">
        <f t="shared" si="127"/>
        <v>0</v>
      </c>
      <c r="CM446" s="37">
        <f t="shared" si="128"/>
        <v>0</v>
      </c>
    </row>
    <row r="447" spans="1:91" ht="25.5">
      <c r="A447" s="150"/>
      <c r="B447" s="156">
        <v>437</v>
      </c>
      <c r="C447" s="160">
        <v>214</v>
      </c>
      <c r="D447" s="160">
        <v>41</v>
      </c>
      <c r="E447" s="161">
        <v>0.73263888888888884</v>
      </c>
      <c r="F447" s="161">
        <v>0.77569444444444446</v>
      </c>
      <c r="G447" s="160" t="s">
        <v>453</v>
      </c>
      <c r="H447" s="160" t="s">
        <v>550</v>
      </c>
      <c r="I447" s="163">
        <v>28</v>
      </c>
      <c r="J447" s="164" t="s">
        <v>101</v>
      </c>
      <c r="K447" s="165">
        <v>13</v>
      </c>
      <c r="L447" s="166">
        <f t="shared" si="118"/>
        <v>364</v>
      </c>
      <c r="M447" s="177" t="s">
        <v>753</v>
      </c>
      <c r="N447" s="150" t="s">
        <v>844</v>
      </c>
      <c r="O447" s="150">
        <v>57</v>
      </c>
      <c r="P447" s="150" t="s">
        <v>1927</v>
      </c>
      <c r="Q447" s="150">
        <v>56</v>
      </c>
      <c r="S447" s="150"/>
      <c r="T447" s="45">
        <v>2156</v>
      </c>
      <c r="U447" s="45" t="s">
        <v>1562</v>
      </c>
      <c r="V447" s="45">
        <v>960</v>
      </c>
      <c r="W447" s="45" t="s">
        <v>1354</v>
      </c>
      <c r="X447" s="99">
        <v>44562</v>
      </c>
      <c r="Y447" s="99">
        <v>44815</v>
      </c>
      <c r="Z447" s="99">
        <v>45101</v>
      </c>
      <c r="AA447" s="99">
        <v>45169</v>
      </c>
      <c r="AB447" s="36" t="s">
        <v>1116</v>
      </c>
      <c r="AC447" s="36"/>
      <c r="AD447" s="42"/>
      <c r="AE447" s="42" t="s">
        <v>734</v>
      </c>
      <c r="AF447" s="42"/>
      <c r="AG447" s="42"/>
      <c r="AH447" s="42"/>
      <c r="AI447" s="42"/>
      <c r="AJ447" s="42"/>
      <c r="AK447" s="42"/>
      <c r="AL447" s="42"/>
      <c r="AM447" s="42"/>
      <c r="AN447" s="42" t="s">
        <v>734</v>
      </c>
      <c r="AO447" s="42"/>
      <c r="AP447" s="42"/>
      <c r="AQ447" s="42"/>
      <c r="AR447" s="42"/>
      <c r="AS447" s="42"/>
      <c r="AT447" s="42"/>
      <c r="AU447" s="42"/>
      <c r="AV447" s="42"/>
      <c r="AW447" s="42"/>
      <c r="AX447" s="68">
        <v>84</v>
      </c>
      <c r="BA447" s="68"/>
      <c r="BB447" s="68"/>
      <c r="BD447" s="67">
        <f t="shared" si="130"/>
        <v>1092</v>
      </c>
      <c r="BE447" s="67"/>
      <c r="BF447" s="37"/>
      <c r="BG447" s="69">
        <v>2</v>
      </c>
      <c r="BH447" s="67">
        <f t="shared" si="134"/>
        <v>0</v>
      </c>
      <c r="BI447" s="67">
        <f t="shared" si="135"/>
        <v>0</v>
      </c>
      <c r="BJ447" s="70">
        <f t="shared" si="136"/>
        <v>0</v>
      </c>
      <c r="BN447" s="37"/>
      <c r="BO447" s="70">
        <f t="shared" si="131"/>
        <v>0</v>
      </c>
      <c r="BP447" s="37">
        <v>2</v>
      </c>
      <c r="BQ447" s="37">
        <v>0</v>
      </c>
      <c r="BR447" s="37">
        <v>0</v>
      </c>
      <c r="BT447" s="87">
        <f t="shared" si="132"/>
        <v>84</v>
      </c>
      <c r="BU447" s="87"/>
      <c r="BV447" s="87"/>
      <c r="BW447" s="87"/>
      <c r="BX447" s="87"/>
      <c r="BY447" s="87"/>
      <c r="BZ447" s="87"/>
      <c r="CA447" s="87"/>
      <c r="CB447" s="87"/>
      <c r="CC447" s="87"/>
      <c r="CD447" s="87"/>
      <c r="CF447" s="67">
        <f t="shared" si="133"/>
        <v>168</v>
      </c>
      <c r="CG447" s="67">
        <f t="shared" si="123"/>
        <v>0</v>
      </c>
      <c r="CH447" s="67">
        <f t="shared" si="124"/>
        <v>0</v>
      </c>
      <c r="CI447" s="67">
        <f t="shared" si="129"/>
        <v>0</v>
      </c>
      <c r="CJ447" s="37">
        <f t="shared" si="125"/>
        <v>56</v>
      </c>
      <c r="CK447" s="37">
        <f t="shared" si="126"/>
        <v>0</v>
      </c>
      <c r="CL447" s="37">
        <f t="shared" si="127"/>
        <v>0</v>
      </c>
      <c r="CM447" s="37">
        <f t="shared" si="128"/>
        <v>0</v>
      </c>
    </row>
    <row r="448" spans="1:91" ht="25.5">
      <c r="B448" s="156">
        <v>438</v>
      </c>
      <c r="C448" s="169">
        <v>214</v>
      </c>
      <c r="D448" s="169">
        <v>46</v>
      </c>
      <c r="E448" s="176">
        <v>0.78125</v>
      </c>
      <c r="F448" s="176">
        <v>0.84652777777777777</v>
      </c>
      <c r="G448" s="171" t="s">
        <v>38</v>
      </c>
      <c r="H448" s="160" t="s">
        <v>479</v>
      </c>
      <c r="I448" s="169">
        <v>50</v>
      </c>
      <c r="J448" s="172">
        <v>50</v>
      </c>
      <c r="K448" s="165">
        <v>240</v>
      </c>
      <c r="L448" s="166">
        <f t="shared" si="118"/>
        <v>12000</v>
      </c>
      <c r="M448" s="177" t="s">
        <v>745</v>
      </c>
      <c r="N448" s="3" t="s">
        <v>1262</v>
      </c>
      <c r="O448" s="152">
        <v>58</v>
      </c>
      <c r="P448" s="154" t="s">
        <v>1921</v>
      </c>
      <c r="Q448" s="154">
        <v>56</v>
      </c>
      <c r="S448" s="150"/>
      <c r="T448" s="45">
        <v>960</v>
      </c>
      <c r="U448" s="45" t="s">
        <v>1354</v>
      </c>
      <c r="V448" s="45">
        <v>2323</v>
      </c>
      <c r="W448" s="45" t="s">
        <v>1556</v>
      </c>
      <c r="X448" s="99">
        <v>44816</v>
      </c>
      <c r="Y448" s="99">
        <v>45100</v>
      </c>
      <c r="Z448" s="99"/>
      <c r="AA448" s="99"/>
      <c r="AB448" s="45" t="s">
        <v>1124</v>
      </c>
      <c r="AC448" s="45"/>
      <c r="AD448" s="42" t="s">
        <v>734</v>
      </c>
      <c r="AE448" s="42"/>
      <c r="AF448" s="42" t="s">
        <v>734</v>
      </c>
      <c r="AG448" s="42"/>
      <c r="AH448" s="42" t="s">
        <v>734</v>
      </c>
      <c r="AI448" s="42" t="s">
        <v>734</v>
      </c>
      <c r="AJ448" s="42" t="s">
        <v>734</v>
      </c>
      <c r="AK448" s="42" t="s">
        <v>734</v>
      </c>
      <c r="AL448" s="42" t="s">
        <v>734</v>
      </c>
      <c r="AM448" s="42" t="s">
        <v>734</v>
      </c>
      <c r="AN448" s="42"/>
      <c r="AO448" s="42"/>
      <c r="AP448" s="42"/>
      <c r="AQ448" s="42"/>
      <c r="AR448" s="42"/>
      <c r="AS448" s="42"/>
      <c r="AT448" s="42"/>
      <c r="AU448" s="42"/>
      <c r="AV448" s="42"/>
      <c r="AW448" s="42"/>
      <c r="AY448" s="67">
        <f>2.6*50</f>
        <v>130</v>
      </c>
      <c r="BA448" s="67"/>
      <c r="BB448" s="67"/>
      <c r="BD448" s="67">
        <f t="shared" si="130"/>
        <v>0</v>
      </c>
      <c r="BE448" s="67">
        <f>AY448*K448</f>
        <v>31200</v>
      </c>
      <c r="BF448" s="37"/>
      <c r="BG448" s="69">
        <v>2</v>
      </c>
      <c r="BI448" s="67"/>
      <c r="BJ448" s="37"/>
      <c r="BK448" s="71"/>
      <c r="BL448" s="71"/>
      <c r="BM448" s="72"/>
      <c r="BN448" s="37"/>
      <c r="BO448" s="70">
        <f t="shared" si="131"/>
        <v>0</v>
      </c>
      <c r="BP448" s="37">
        <v>17</v>
      </c>
      <c r="BQ448" s="37">
        <v>26</v>
      </c>
      <c r="BR448" s="37">
        <v>25</v>
      </c>
      <c r="BS448" s="37">
        <v>25</v>
      </c>
      <c r="BT448" s="87">
        <f t="shared" si="132"/>
        <v>130</v>
      </c>
      <c r="BU448" s="87"/>
      <c r="BV448" s="87"/>
      <c r="BW448" s="87"/>
      <c r="BX448" s="87"/>
      <c r="BY448" s="87"/>
      <c r="BZ448" s="87"/>
      <c r="CA448" s="87"/>
      <c r="CB448" s="87"/>
      <c r="CC448" s="87"/>
      <c r="CD448" s="87"/>
      <c r="CF448" s="67">
        <f t="shared" si="133"/>
        <v>2210</v>
      </c>
      <c r="CG448" s="67">
        <f t="shared" si="123"/>
        <v>3380</v>
      </c>
      <c r="CH448" s="67">
        <f t="shared" si="124"/>
        <v>3250</v>
      </c>
      <c r="CI448" s="67">
        <f t="shared" si="129"/>
        <v>3250</v>
      </c>
      <c r="CJ448" s="37">
        <f t="shared" si="125"/>
        <v>850</v>
      </c>
      <c r="CK448" s="37">
        <f t="shared" si="126"/>
        <v>1300</v>
      </c>
      <c r="CL448" s="37">
        <f t="shared" si="127"/>
        <v>1250</v>
      </c>
      <c r="CM448" s="37">
        <f t="shared" si="128"/>
        <v>1250</v>
      </c>
    </row>
    <row r="449" spans="1:91" ht="25.5">
      <c r="B449" s="156">
        <v>439</v>
      </c>
      <c r="C449" s="160">
        <v>214</v>
      </c>
      <c r="D449" s="160">
        <v>385</v>
      </c>
      <c r="E449" s="161">
        <v>0.77777777777777779</v>
      </c>
      <c r="F449" s="161">
        <v>0.81180555555555556</v>
      </c>
      <c r="G449" s="160" t="s">
        <v>453</v>
      </c>
      <c r="H449" s="160" t="s">
        <v>452</v>
      </c>
      <c r="I449" s="163">
        <v>28</v>
      </c>
      <c r="J449" s="164" t="s">
        <v>269</v>
      </c>
      <c r="K449" s="165">
        <v>26</v>
      </c>
      <c r="L449" s="166">
        <f t="shared" ref="L449:L458" si="137">+K449*I449</f>
        <v>728</v>
      </c>
      <c r="M449" s="177" t="s">
        <v>753</v>
      </c>
      <c r="N449" s="154" t="s">
        <v>843</v>
      </c>
      <c r="O449" s="154">
        <v>23</v>
      </c>
      <c r="P449" s="154" t="s">
        <v>846</v>
      </c>
      <c r="Q449" s="154">
        <v>29</v>
      </c>
      <c r="S449" s="154"/>
      <c r="T449" s="45">
        <v>2156</v>
      </c>
      <c r="U449" s="45" t="s">
        <v>1562</v>
      </c>
      <c r="V449" s="45">
        <v>960</v>
      </c>
      <c r="W449" s="45" t="s">
        <v>1354</v>
      </c>
      <c r="X449" s="99">
        <v>44816</v>
      </c>
      <c r="Y449" s="99">
        <v>45100</v>
      </c>
      <c r="Z449" s="99"/>
      <c r="AA449" s="99"/>
      <c r="AB449" s="41" t="s">
        <v>1147</v>
      </c>
      <c r="AC449" s="41"/>
      <c r="AD449" s="42" t="s">
        <v>734</v>
      </c>
      <c r="AE449" s="42"/>
      <c r="AF449" s="42" t="s">
        <v>734</v>
      </c>
      <c r="AG449" s="42"/>
      <c r="AH449" s="42"/>
      <c r="AI449" s="42"/>
      <c r="AJ449" s="42"/>
      <c r="AK449" s="42"/>
      <c r="AL449" s="42"/>
      <c r="AM449" s="42"/>
      <c r="AN449" s="42"/>
      <c r="AO449" s="42"/>
      <c r="AP449" s="42"/>
      <c r="AQ449" s="42"/>
      <c r="AR449" s="42" t="s">
        <v>734</v>
      </c>
      <c r="AS449" s="42" t="s">
        <v>734</v>
      </c>
      <c r="AT449" s="42" t="s">
        <v>734</v>
      </c>
      <c r="AU449" s="42" t="s">
        <v>734</v>
      </c>
      <c r="AV449" s="42" t="s">
        <v>734</v>
      </c>
      <c r="AW449" s="42"/>
      <c r="AX449" s="68">
        <f>69+6</f>
        <v>75</v>
      </c>
      <c r="BA449" s="68"/>
      <c r="BB449" s="68"/>
      <c r="BD449" s="67">
        <f t="shared" si="130"/>
        <v>1950</v>
      </c>
      <c r="BE449" s="67"/>
      <c r="BF449" s="37"/>
      <c r="BG449" s="73">
        <v>1</v>
      </c>
      <c r="BH449" s="67">
        <f>IF(AND((AX449/I449)&lt;2,BG449=1),(I449*2)-AX449,0)</f>
        <v>0</v>
      </c>
      <c r="BI449" s="67">
        <f>IF(AND((AX449/I449)&lt;3,BG449=2),(I449*3)-AX449,0)</f>
        <v>0</v>
      </c>
      <c r="BJ449" s="70">
        <f>(BH449+BI449)*K449</f>
        <v>0</v>
      </c>
      <c r="BN449" s="37"/>
      <c r="BO449" s="70">
        <f t="shared" si="131"/>
        <v>0</v>
      </c>
      <c r="BP449" s="37">
        <v>0</v>
      </c>
      <c r="BQ449" s="37">
        <v>1</v>
      </c>
      <c r="BR449" s="37">
        <v>0</v>
      </c>
      <c r="BS449" s="37">
        <v>5</v>
      </c>
      <c r="BT449" s="87">
        <f t="shared" si="132"/>
        <v>75</v>
      </c>
      <c r="BU449" s="87"/>
      <c r="BV449" s="87"/>
      <c r="BW449" s="87"/>
      <c r="BX449" s="87"/>
      <c r="BY449" s="87"/>
      <c r="BZ449" s="87"/>
      <c r="CA449" s="87"/>
      <c r="CB449" s="87"/>
      <c r="CC449" s="87"/>
      <c r="CD449" s="87"/>
      <c r="CF449" s="67">
        <f t="shared" si="133"/>
        <v>0</v>
      </c>
      <c r="CG449" s="67">
        <f t="shared" si="123"/>
        <v>75</v>
      </c>
      <c r="CH449" s="67">
        <f t="shared" si="124"/>
        <v>0</v>
      </c>
      <c r="CI449" s="67">
        <f t="shared" si="129"/>
        <v>375</v>
      </c>
      <c r="CJ449" s="37">
        <f t="shared" si="125"/>
        <v>0</v>
      </c>
      <c r="CK449" s="37">
        <f t="shared" si="126"/>
        <v>28</v>
      </c>
      <c r="CL449" s="37">
        <f t="shared" si="127"/>
        <v>0</v>
      </c>
      <c r="CM449" s="37">
        <f t="shared" si="128"/>
        <v>140</v>
      </c>
    </row>
    <row r="450" spans="1:91" ht="25.5">
      <c r="A450" s="150"/>
      <c r="B450" s="156">
        <v>440</v>
      </c>
      <c r="C450" s="160">
        <v>214</v>
      </c>
      <c r="D450" s="160">
        <v>46</v>
      </c>
      <c r="E450" s="161">
        <v>0.78125</v>
      </c>
      <c r="F450" s="161">
        <v>0.82291666666666663</v>
      </c>
      <c r="G450" s="160" t="s">
        <v>451</v>
      </c>
      <c r="H450" s="160" t="s">
        <v>550</v>
      </c>
      <c r="I450" s="163">
        <v>28</v>
      </c>
      <c r="J450" s="164" t="s">
        <v>101</v>
      </c>
      <c r="K450" s="165">
        <v>13</v>
      </c>
      <c r="L450" s="166">
        <f t="shared" si="137"/>
        <v>364</v>
      </c>
      <c r="M450" s="177" t="s">
        <v>753</v>
      </c>
      <c r="N450" s="150" t="s">
        <v>844</v>
      </c>
      <c r="O450" s="150">
        <v>57</v>
      </c>
      <c r="P450" s="150" t="s">
        <v>1927</v>
      </c>
      <c r="Q450" s="150">
        <v>56</v>
      </c>
      <c r="S450" s="150"/>
      <c r="T450" s="45">
        <v>960</v>
      </c>
      <c r="U450" s="45" t="s">
        <v>1354</v>
      </c>
      <c r="V450" s="45">
        <v>2156</v>
      </c>
      <c r="W450" s="45" t="s">
        <v>1562</v>
      </c>
      <c r="X450" s="99">
        <v>44562</v>
      </c>
      <c r="Y450" s="99">
        <v>44815</v>
      </c>
      <c r="Z450" s="99">
        <v>45101</v>
      </c>
      <c r="AA450" s="99">
        <v>45169</v>
      </c>
      <c r="AB450" s="36" t="s">
        <v>1116</v>
      </c>
      <c r="AC450" s="36"/>
      <c r="AD450" s="42"/>
      <c r="AE450" s="42" t="s">
        <v>734</v>
      </c>
      <c r="AF450" s="42"/>
      <c r="AG450" s="42"/>
      <c r="AH450" s="42"/>
      <c r="AI450" s="42"/>
      <c r="AJ450" s="42"/>
      <c r="AK450" s="42"/>
      <c r="AL450" s="42"/>
      <c r="AM450" s="42"/>
      <c r="AN450" s="42" t="s">
        <v>734</v>
      </c>
      <c r="AO450" s="42"/>
      <c r="AP450" s="42"/>
      <c r="AQ450" s="42"/>
      <c r="AR450" s="42"/>
      <c r="AS450" s="42"/>
      <c r="AT450" s="42"/>
      <c r="AU450" s="42"/>
      <c r="AV450" s="42"/>
      <c r="AW450" s="42"/>
      <c r="AX450" s="68">
        <v>84</v>
      </c>
      <c r="BA450" s="68"/>
      <c r="BB450" s="68"/>
      <c r="BD450" s="67">
        <f t="shared" si="130"/>
        <v>1092</v>
      </c>
      <c r="BE450" s="67"/>
      <c r="BF450" s="37"/>
      <c r="BG450" s="69">
        <v>2</v>
      </c>
      <c r="BH450" s="67">
        <f>IF(AND((AX450/I450)&lt;2,BG450=1),(I450*2)-AX450,0)</f>
        <v>0</v>
      </c>
      <c r="BI450" s="67">
        <f>IF(AND((AX450/I450)&lt;3,BG450=2),(I450*3)-AX450,0)</f>
        <v>0</v>
      </c>
      <c r="BJ450" s="70">
        <f>(BH450+BI450)*K450</f>
        <v>0</v>
      </c>
      <c r="BN450" s="37"/>
      <c r="BO450" s="70">
        <f t="shared" si="131"/>
        <v>0</v>
      </c>
      <c r="BP450" s="37">
        <v>2</v>
      </c>
      <c r="BQ450" s="37">
        <v>0</v>
      </c>
      <c r="BR450" s="37">
        <v>0</v>
      </c>
      <c r="BT450" s="87">
        <f t="shared" si="132"/>
        <v>84</v>
      </c>
      <c r="BU450" s="87"/>
      <c r="BV450" s="87"/>
      <c r="BW450" s="87"/>
      <c r="BX450" s="87"/>
      <c r="BY450" s="87"/>
      <c r="BZ450" s="87"/>
      <c r="CA450" s="87"/>
      <c r="CB450" s="87"/>
      <c r="CC450" s="87"/>
      <c r="CD450" s="87"/>
      <c r="CF450" s="67">
        <f t="shared" si="133"/>
        <v>168</v>
      </c>
      <c r="CG450" s="67">
        <f t="shared" si="123"/>
        <v>0</v>
      </c>
      <c r="CH450" s="67">
        <f t="shared" si="124"/>
        <v>0</v>
      </c>
      <c r="CI450" s="67">
        <f t="shared" si="129"/>
        <v>0</v>
      </c>
      <c r="CJ450" s="37">
        <f t="shared" si="125"/>
        <v>56</v>
      </c>
      <c r="CK450" s="37">
        <f t="shared" si="126"/>
        <v>0</v>
      </c>
      <c r="CL450" s="37">
        <f t="shared" si="127"/>
        <v>0</v>
      </c>
      <c r="CM450" s="37">
        <f t="shared" si="128"/>
        <v>0</v>
      </c>
    </row>
    <row r="451" spans="1:91" ht="25.5">
      <c r="B451" s="156">
        <v>441</v>
      </c>
      <c r="C451" s="169">
        <v>214</v>
      </c>
      <c r="D451" s="169">
        <v>46</v>
      </c>
      <c r="E451" s="170">
        <v>0.79166666666666663</v>
      </c>
      <c r="F451" s="176">
        <v>0.8569444444444444</v>
      </c>
      <c r="G451" s="171" t="s">
        <v>38</v>
      </c>
      <c r="H451" s="160" t="s">
        <v>424</v>
      </c>
      <c r="I451" s="169">
        <v>50</v>
      </c>
      <c r="J451" s="172">
        <v>50</v>
      </c>
      <c r="K451" s="165">
        <v>67</v>
      </c>
      <c r="L451" s="166">
        <f t="shared" si="137"/>
        <v>3350</v>
      </c>
      <c r="M451" s="177" t="s">
        <v>745</v>
      </c>
      <c r="N451" s="3" t="s">
        <v>1262</v>
      </c>
      <c r="O451" s="152">
        <v>58</v>
      </c>
      <c r="P451" s="154" t="s">
        <v>1921</v>
      </c>
      <c r="Q451" s="154">
        <v>56</v>
      </c>
      <c r="S451" s="150"/>
      <c r="T451" s="45">
        <v>960</v>
      </c>
      <c r="U451" s="45" t="s">
        <v>1354</v>
      </c>
      <c r="V451" s="45">
        <v>2323</v>
      </c>
      <c r="W451" s="45" t="s">
        <v>1556</v>
      </c>
      <c r="X451" s="99">
        <v>44562</v>
      </c>
      <c r="Y451" s="99">
        <v>44815</v>
      </c>
      <c r="Z451" s="99">
        <v>45101</v>
      </c>
      <c r="AA451" s="99">
        <v>45169</v>
      </c>
      <c r="AB451" s="42" t="s">
        <v>1119</v>
      </c>
      <c r="AC451" s="42"/>
      <c r="AD451" s="42"/>
      <c r="AE451" s="42" t="s">
        <v>734</v>
      </c>
      <c r="AF451" s="42" t="s">
        <v>734</v>
      </c>
      <c r="AG451" s="42"/>
      <c r="AH451" s="42" t="s">
        <v>734</v>
      </c>
      <c r="AI451" s="42" t="s">
        <v>734</v>
      </c>
      <c r="AJ451" s="42" t="s">
        <v>734</v>
      </c>
      <c r="AK451" s="42" t="s">
        <v>734</v>
      </c>
      <c r="AL451" s="42" t="s">
        <v>734</v>
      </c>
      <c r="AM451" s="42" t="s">
        <v>734</v>
      </c>
      <c r="AN451" s="42"/>
      <c r="AO451" s="42"/>
      <c r="AP451" s="42"/>
      <c r="AQ451" s="42"/>
      <c r="AR451" s="42"/>
      <c r="AS451" s="42"/>
      <c r="AT451" s="42"/>
      <c r="AU451" s="42"/>
      <c r="AV451" s="42"/>
      <c r="AW451" s="42"/>
      <c r="AY451" s="67">
        <f>2.6*50</f>
        <v>130</v>
      </c>
      <c r="BA451" s="67"/>
      <c r="BB451" s="67"/>
      <c r="BD451" s="67">
        <f t="shared" si="130"/>
        <v>0</v>
      </c>
      <c r="BE451" s="67">
        <f>AY451*K451</f>
        <v>8710</v>
      </c>
      <c r="BF451" s="37"/>
      <c r="BG451" s="69">
        <v>2</v>
      </c>
      <c r="BI451" s="67"/>
      <c r="BJ451" s="37"/>
      <c r="BK451" s="71"/>
      <c r="BL451" s="71"/>
      <c r="BM451" s="72"/>
      <c r="BN451" s="37"/>
      <c r="BO451" s="70">
        <f t="shared" ref="BO451:BO482" si="138">BN451*K451</f>
        <v>0</v>
      </c>
      <c r="BP451" s="37">
        <v>9</v>
      </c>
      <c r="BQ451" s="37">
        <v>0</v>
      </c>
      <c r="BR451" s="37">
        <v>0</v>
      </c>
      <c r="BS451" s="37">
        <v>0</v>
      </c>
      <c r="BT451" s="87">
        <f t="shared" ref="BT451:BT458" si="139">SUM(AX451:AZ451)+SUM(BH451:BI451)+SUM(BK451:BL451)+BN451</f>
        <v>130</v>
      </c>
      <c r="BU451" s="87"/>
      <c r="BV451" s="87"/>
      <c r="BW451" s="87"/>
      <c r="BX451" s="87"/>
      <c r="BY451" s="87"/>
      <c r="BZ451" s="87"/>
      <c r="CA451" s="87"/>
      <c r="CB451" s="87"/>
      <c r="CC451" s="87"/>
      <c r="CD451" s="87"/>
      <c r="CF451" s="67">
        <f t="shared" ref="CF451:CF458" si="140">(BT451*BP451)+(BV451*CD451)</f>
        <v>1170</v>
      </c>
      <c r="CG451" s="67">
        <f t="shared" ref="CG451:CG458" si="141">(BT451*BQ451)+(BX451*CD451)</f>
        <v>0</v>
      </c>
      <c r="CH451" s="67">
        <f t="shared" ref="CH451:CH458" si="142">(BR451*BT451)+(BZ451*CD451)</f>
        <v>0</v>
      </c>
      <c r="CI451" s="67">
        <f t="shared" si="129"/>
        <v>0</v>
      </c>
      <c r="CJ451" s="37">
        <f t="shared" ref="CJ451:CJ514" si="143">BP451*I451</f>
        <v>450</v>
      </c>
      <c r="CK451" s="37">
        <f t="shared" ref="CK451:CK514" si="144">BQ451*I451</f>
        <v>0</v>
      </c>
      <c r="CL451" s="37">
        <f t="shared" ref="CL451:CL514" si="145">BR451*I451</f>
        <v>0</v>
      </c>
      <c r="CM451" s="37">
        <f t="shared" ref="CM451:CM514" si="146">BS451*I451</f>
        <v>0</v>
      </c>
    </row>
    <row r="452" spans="1:91" ht="25.5">
      <c r="A452" s="150"/>
      <c r="B452" s="156">
        <v>442</v>
      </c>
      <c r="C452" s="192">
        <v>215</v>
      </c>
      <c r="D452" s="192">
        <v>135</v>
      </c>
      <c r="E452" s="193">
        <v>0.25555555555555559</v>
      </c>
      <c r="F452" s="193">
        <v>0.29583333333333334</v>
      </c>
      <c r="G452" s="194" t="s">
        <v>25</v>
      </c>
      <c r="H452" s="160" t="s">
        <v>479</v>
      </c>
      <c r="I452" s="192">
        <v>37</v>
      </c>
      <c r="J452" s="195">
        <v>50</v>
      </c>
      <c r="K452" s="165">
        <v>240</v>
      </c>
      <c r="L452" s="166">
        <f t="shared" si="137"/>
        <v>8880</v>
      </c>
      <c r="M452" s="167" t="s">
        <v>754</v>
      </c>
      <c r="N452" s="150" t="s">
        <v>891</v>
      </c>
      <c r="O452" s="150">
        <v>57</v>
      </c>
      <c r="P452" s="150" t="s">
        <v>1922</v>
      </c>
      <c r="Q452" s="150">
        <v>57</v>
      </c>
      <c r="R452" s="150" t="s">
        <v>1263</v>
      </c>
      <c r="S452" s="150">
        <v>38</v>
      </c>
      <c r="T452" s="45">
        <v>2323</v>
      </c>
      <c r="U452" s="45" t="s">
        <v>1556</v>
      </c>
      <c r="V452" s="45">
        <v>2290</v>
      </c>
      <c r="W452" s="45" t="s">
        <v>1484</v>
      </c>
      <c r="X452" s="99">
        <v>44816</v>
      </c>
      <c r="Y452" s="99">
        <v>45100</v>
      </c>
      <c r="Z452" s="99"/>
      <c r="AA452" s="99"/>
      <c r="AB452" s="45" t="s">
        <v>1124</v>
      </c>
      <c r="AC452" s="45"/>
      <c r="AD452" s="42" t="s">
        <v>734</v>
      </c>
      <c r="AE452" s="42"/>
      <c r="AF452" s="42" t="s">
        <v>734</v>
      </c>
      <c r="AG452" s="42"/>
      <c r="AH452" s="42" t="s">
        <v>734</v>
      </c>
      <c r="AI452" s="42" t="s">
        <v>734</v>
      </c>
      <c r="AJ452" s="42" t="s">
        <v>734</v>
      </c>
      <c r="AK452" s="42" t="s">
        <v>734</v>
      </c>
      <c r="AL452" s="42" t="s">
        <v>734</v>
      </c>
      <c r="AM452" s="42" t="s">
        <v>734</v>
      </c>
      <c r="AN452" s="42"/>
      <c r="AO452" s="42"/>
      <c r="AP452" s="42"/>
      <c r="AQ452" s="42"/>
      <c r="AR452" s="42"/>
      <c r="AS452" s="42"/>
      <c r="AT452" s="42"/>
      <c r="AU452" s="42"/>
      <c r="AV452" s="42"/>
      <c r="AW452" s="42"/>
      <c r="AX452" s="68">
        <v>88.8</v>
      </c>
      <c r="BA452" s="68"/>
      <c r="BB452" s="68"/>
      <c r="BD452" s="67">
        <f t="shared" si="130"/>
        <v>21312</v>
      </c>
      <c r="BE452" s="67"/>
      <c r="BF452" s="37"/>
      <c r="BG452" s="69">
        <v>2</v>
      </c>
      <c r="BH452" s="71"/>
      <c r="BI452" s="71"/>
      <c r="BJ452" s="72"/>
      <c r="BN452" s="67">
        <f>IF((AX452+AY452+AZ452)&lt;20,(20-(AX452+AY452+AZ452)),0)</f>
        <v>0</v>
      </c>
      <c r="BO452" s="70">
        <f t="shared" si="138"/>
        <v>0</v>
      </c>
      <c r="BP452" s="37">
        <v>17</v>
      </c>
      <c r="BQ452" s="37">
        <v>26</v>
      </c>
      <c r="BR452" s="37">
        <v>25</v>
      </c>
      <c r="BS452" s="37">
        <v>25</v>
      </c>
      <c r="BT452" s="87">
        <f t="shared" si="139"/>
        <v>88.8</v>
      </c>
      <c r="BU452" s="87"/>
      <c r="BV452" s="87"/>
      <c r="BW452" s="87"/>
      <c r="BX452" s="87"/>
      <c r="BY452" s="87"/>
      <c r="BZ452" s="87"/>
      <c r="CA452" s="87"/>
      <c r="CB452" s="87"/>
      <c r="CC452" s="87"/>
      <c r="CD452" s="87"/>
      <c r="CF452" s="67">
        <f t="shared" si="140"/>
        <v>1509.6</v>
      </c>
      <c r="CG452" s="67">
        <f t="shared" si="141"/>
        <v>2308.7999999999997</v>
      </c>
      <c r="CH452" s="67">
        <f t="shared" si="142"/>
        <v>2220</v>
      </c>
      <c r="CI452" s="67">
        <f t="shared" ref="CI452:CI515" si="147">(BS452*BT452)+(CB452*CD452)</f>
        <v>2220</v>
      </c>
      <c r="CJ452" s="37">
        <f t="shared" si="143"/>
        <v>629</v>
      </c>
      <c r="CK452" s="37">
        <f t="shared" si="144"/>
        <v>962</v>
      </c>
      <c r="CL452" s="37">
        <f t="shared" si="145"/>
        <v>925</v>
      </c>
      <c r="CM452" s="37">
        <f t="shared" si="146"/>
        <v>925</v>
      </c>
    </row>
    <row r="453" spans="1:91" ht="45">
      <c r="B453" s="156">
        <v>443</v>
      </c>
      <c r="C453" s="160">
        <v>215</v>
      </c>
      <c r="D453" s="160">
        <v>585</v>
      </c>
      <c r="E453" s="173">
        <v>0.27430555555555552</v>
      </c>
      <c r="F453" s="173">
        <v>0.27986111111111112</v>
      </c>
      <c r="G453" s="160" t="s">
        <v>381</v>
      </c>
      <c r="H453" s="160" t="s">
        <v>97</v>
      </c>
      <c r="I453" s="163">
        <v>5.2</v>
      </c>
      <c r="J453" s="164">
        <v>19</v>
      </c>
      <c r="K453" s="199">
        <v>208</v>
      </c>
      <c r="L453" s="166">
        <f t="shared" si="137"/>
        <v>1081.6000000000001</v>
      </c>
      <c r="M453" s="167" t="s">
        <v>756</v>
      </c>
      <c r="N453" s="154" t="s">
        <v>957</v>
      </c>
      <c r="O453" s="154">
        <v>17</v>
      </c>
      <c r="P453" s="154" t="s">
        <v>967</v>
      </c>
      <c r="Q453" s="154">
        <v>17</v>
      </c>
      <c r="R453" s="154" t="s">
        <v>968</v>
      </c>
      <c r="S453" s="151">
        <v>9</v>
      </c>
      <c r="T453" s="45">
        <v>2327</v>
      </c>
      <c r="U453" s="45" t="s">
        <v>1564</v>
      </c>
      <c r="V453" s="45">
        <v>2323</v>
      </c>
      <c r="W453" s="45" t="s">
        <v>1556</v>
      </c>
      <c r="X453" s="98">
        <v>44816</v>
      </c>
      <c r="Y453" s="98">
        <v>45086</v>
      </c>
      <c r="Z453" s="98"/>
      <c r="AA453" s="98"/>
      <c r="AB453" s="41" t="s">
        <v>1118</v>
      </c>
      <c r="AC453" s="41"/>
      <c r="AD453" s="42"/>
      <c r="AE453" s="42"/>
      <c r="AF453" s="42"/>
      <c r="AG453" s="42" t="s">
        <v>734</v>
      </c>
      <c r="AH453" s="42" t="s">
        <v>734</v>
      </c>
      <c r="AI453" s="42" t="s">
        <v>734</v>
      </c>
      <c r="AJ453" s="42" t="s">
        <v>734</v>
      </c>
      <c r="AK453" s="42" t="s">
        <v>734</v>
      </c>
      <c r="AL453" s="42" t="s">
        <v>734</v>
      </c>
      <c r="AM453" s="42" t="s">
        <v>734</v>
      </c>
      <c r="AN453" s="42"/>
      <c r="AO453" s="42"/>
      <c r="AP453" s="42"/>
      <c r="AQ453" s="42"/>
      <c r="AR453" s="42"/>
      <c r="AS453" s="42"/>
      <c r="AT453" s="42"/>
      <c r="AU453" s="42"/>
      <c r="AV453" s="42"/>
      <c r="AW453" s="42"/>
      <c r="AX453" s="68">
        <v>16.850000000000001</v>
      </c>
      <c r="BA453" s="68"/>
      <c r="BB453" s="68"/>
      <c r="BD453" s="67">
        <f t="shared" si="130"/>
        <v>3504.8</v>
      </c>
      <c r="BE453" s="67"/>
      <c r="BF453" s="37"/>
      <c r="BG453" s="73">
        <v>1</v>
      </c>
      <c r="BH453" s="67">
        <f>IF(AND((AX453/I453)&lt;2,BG453=1),(I453*2)-AX453,0)</f>
        <v>0</v>
      </c>
      <c r="BI453" s="67">
        <f>IF(AND((AX453/I453)&lt;3,BG453=2),(I453*3)-AX453,0)</f>
        <v>0</v>
      </c>
      <c r="BJ453" s="70">
        <f>(BH453+BI453)*K453</f>
        <v>0</v>
      </c>
      <c r="BN453" s="67">
        <f>IF((AX453+AY453+AZ453)&lt;20,(20-(AX453+AY453+AZ453)),0)</f>
        <v>3.1499999999999986</v>
      </c>
      <c r="BO453" s="70">
        <f t="shared" si="138"/>
        <v>655.1999999999997</v>
      </c>
      <c r="BP453" s="37">
        <v>17</v>
      </c>
      <c r="BQ453" s="37">
        <v>25</v>
      </c>
      <c r="BR453" s="37">
        <v>25</v>
      </c>
      <c r="BS453" s="37">
        <v>18</v>
      </c>
      <c r="BT453" s="87">
        <f t="shared" si="139"/>
        <v>20</v>
      </c>
      <c r="BU453" s="87"/>
      <c r="BV453" s="87"/>
      <c r="BW453" s="87"/>
      <c r="BX453" s="87"/>
      <c r="BY453" s="87"/>
      <c r="BZ453" s="87"/>
      <c r="CA453" s="87"/>
      <c r="CB453" s="87"/>
      <c r="CC453" s="87"/>
      <c r="CD453" s="87"/>
      <c r="CF453" s="67">
        <f t="shared" si="140"/>
        <v>340</v>
      </c>
      <c r="CG453" s="67">
        <f t="shared" si="141"/>
        <v>500</v>
      </c>
      <c r="CH453" s="67">
        <f t="shared" si="142"/>
        <v>500</v>
      </c>
      <c r="CI453" s="67">
        <f t="shared" si="147"/>
        <v>360</v>
      </c>
      <c r="CJ453" s="37">
        <f t="shared" si="143"/>
        <v>88.4</v>
      </c>
      <c r="CK453" s="37">
        <f t="shared" si="144"/>
        <v>130</v>
      </c>
      <c r="CL453" s="37">
        <f t="shared" si="145"/>
        <v>130</v>
      </c>
      <c r="CM453" s="37">
        <f t="shared" si="146"/>
        <v>93.600000000000009</v>
      </c>
    </row>
    <row r="454" spans="1:91" ht="25.5">
      <c r="A454" s="3" t="s">
        <v>804</v>
      </c>
      <c r="B454" s="156">
        <v>444</v>
      </c>
      <c r="C454" s="160">
        <v>215</v>
      </c>
      <c r="D454" s="160"/>
      <c r="E454" s="161">
        <v>0.27430555555555552</v>
      </c>
      <c r="F454" s="161">
        <v>0.28125</v>
      </c>
      <c r="G454" s="160" t="s">
        <v>700</v>
      </c>
      <c r="H454" s="160" t="s">
        <v>97</v>
      </c>
      <c r="I454" s="163">
        <v>6</v>
      </c>
      <c r="J454" s="164" t="s">
        <v>701</v>
      </c>
      <c r="K454" s="165">
        <v>208</v>
      </c>
      <c r="L454" s="166">
        <f t="shared" si="137"/>
        <v>1248</v>
      </c>
      <c r="M454" s="177" t="s">
        <v>745</v>
      </c>
      <c r="N454" s="150" t="s">
        <v>1075</v>
      </c>
      <c r="O454" s="150">
        <v>8</v>
      </c>
      <c r="P454" s="150" t="s">
        <v>1930</v>
      </c>
      <c r="Q454" s="150">
        <v>9</v>
      </c>
      <c r="S454" s="150"/>
      <c r="T454" s="45" t="s">
        <v>1565</v>
      </c>
      <c r="U454" s="45" t="s">
        <v>1566</v>
      </c>
      <c r="V454" s="45" t="s">
        <v>1567</v>
      </c>
      <c r="W454" s="45" t="s">
        <v>1568</v>
      </c>
      <c r="X454" s="98">
        <v>44816</v>
      </c>
      <c r="Y454" s="98">
        <v>45086</v>
      </c>
      <c r="Z454" s="98"/>
      <c r="AA454" s="98"/>
      <c r="AB454" s="41" t="s">
        <v>1118</v>
      </c>
      <c r="AC454" s="41"/>
      <c r="AD454" s="42"/>
      <c r="AE454" s="42"/>
      <c r="AF454" s="42"/>
      <c r="AG454" s="42" t="s">
        <v>734</v>
      </c>
      <c r="AH454" s="42" t="s">
        <v>734</v>
      </c>
      <c r="AI454" s="42" t="s">
        <v>734</v>
      </c>
      <c r="AJ454" s="42" t="s">
        <v>734</v>
      </c>
      <c r="AK454" s="42" t="s">
        <v>734</v>
      </c>
      <c r="AL454" s="42" t="s">
        <v>734</v>
      </c>
      <c r="AM454" s="42" t="s">
        <v>734</v>
      </c>
      <c r="AN454" s="42"/>
      <c r="AO454" s="42"/>
      <c r="AP454" s="42"/>
      <c r="AQ454" s="42"/>
      <c r="AR454" s="42"/>
      <c r="AS454" s="42"/>
      <c r="AT454" s="42"/>
      <c r="AU454" s="42"/>
      <c r="AV454" s="42"/>
      <c r="AW454" s="42"/>
      <c r="AZ454" s="67">
        <f>3*I454</f>
        <v>18</v>
      </c>
      <c r="BA454" s="68"/>
      <c r="BB454" s="68"/>
      <c r="BF454" s="67">
        <f>AZ454*K454</f>
        <v>3744</v>
      </c>
      <c r="BG454" s="73">
        <v>1</v>
      </c>
      <c r="BH454" s="73"/>
      <c r="BI454" s="79"/>
      <c r="BJ454" s="73"/>
      <c r="BK454" s="73"/>
      <c r="BL454" s="73"/>
      <c r="BM454" s="73"/>
      <c r="BN454" s="67">
        <f>IF((AX454+AY454+AZ454)&lt;20,(20-(AX454+AY454+AZ454)),0)</f>
        <v>2</v>
      </c>
      <c r="BO454" s="70">
        <f t="shared" si="138"/>
        <v>416</v>
      </c>
      <c r="BP454" s="37">
        <v>17</v>
      </c>
      <c r="BQ454" s="37">
        <v>25</v>
      </c>
      <c r="BR454" s="37">
        <v>25</v>
      </c>
      <c r="BS454" s="37">
        <v>18</v>
      </c>
      <c r="BT454" s="87">
        <f t="shared" si="139"/>
        <v>20</v>
      </c>
      <c r="BU454" s="87"/>
      <c r="BV454" s="87"/>
      <c r="BW454" s="87"/>
      <c r="BX454" s="87"/>
      <c r="BY454" s="87"/>
      <c r="BZ454" s="87"/>
      <c r="CA454" s="87"/>
      <c r="CB454" s="87"/>
      <c r="CC454" s="87"/>
      <c r="CD454" s="87"/>
      <c r="CF454" s="67">
        <f t="shared" si="140"/>
        <v>340</v>
      </c>
      <c r="CG454" s="67">
        <f t="shared" si="141"/>
        <v>500</v>
      </c>
      <c r="CH454" s="67">
        <f t="shared" si="142"/>
        <v>500</v>
      </c>
      <c r="CI454" s="67">
        <f t="shared" si="147"/>
        <v>360</v>
      </c>
      <c r="CJ454" s="37">
        <f t="shared" si="143"/>
        <v>102</v>
      </c>
      <c r="CK454" s="37">
        <f t="shared" si="144"/>
        <v>150</v>
      </c>
      <c r="CL454" s="37">
        <f t="shared" si="145"/>
        <v>150</v>
      </c>
      <c r="CM454" s="37">
        <f t="shared" si="146"/>
        <v>108</v>
      </c>
    </row>
    <row r="455" spans="1:91" ht="22.5">
      <c r="A455" s="3" t="s">
        <v>803</v>
      </c>
      <c r="B455" s="156">
        <v>445</v>
      </c>
      <c r="C455" s="192">
        <v>215</v>
      </c>
      <c r="D455" s="192">
        <v>127</v>
      </c>
      <c r="E455" s="198">
        <v>0.28125</v>
      </c>
      <c r="F455" s="198">
        <v>0.3215277777777778</v>
      </c>
      <c r="G455" s="194" t="s">
        <v>25</v>
      </c>
      <c r="H455" s="174" t="s">
        <v>1212</v>
      </c>
      <c r="I455" s="192">
        <v>37</v>
      </c>
      <c r="J455" s="195">
        <v>50</v>
      </c>
      <c r="K455" s="203">
        <v>55</v>
      </c>
      <c r="L455" s="166">
        <f t="shared" si="137"/>
        <v>2035</v>
      </c>
      <c r="M455" s="167" t="s">
        <v>745</v>
      </c>
      <c r="N455" s="154" t="s">
        <v>1921</v>
      </c>
      <c r="O455" s="154">
        <v>56</v>
      </c>
      <c r="S455" s="154"/>
      <c r="T455" s="45">
        <v>2323</v>
      </c>
      <c r="U455" s="45" t="s">
        <v>1556</v>
      </c>
      <c r="V455" s="45">
        <v>2290</v>
      </c>
      <c r="W455" s="45" t="s">
        <v>1484</v>
      </c>
      <c r="X455" s="99">
        <v>44562</v>
      </c>
      <c r="Y455" s="99">
        <v>44815</v>
      </c>
      <c r="Z455" s="99">
        <v>45101</v>
      </c>
      <c r="AA455" s="99">
        <v>45169</v>
      </c>
      <c r="AB455" s="65" t="s">
        <v>1121</v>
      </c>
      <c r="AC455" s="42"/>
      <c r="AD455" s="42"/>
      <c r="AE455" s="42" t="s">
        <v>734</v>
      </c>
      <c r="AF455" s="42" t="s">
        <v>734</v>
      </c>
      <c r="AG455" s="42"/>
      <c r="AH455" s="42" t="s">
        <v>734</v>
      </c>
      <c r="AI455" s="42" t="s">
        <v>734</v>
      </c>
      <c r="AJ455" s="42" t="s">
        <v>734</v>
      </c>
      <c r="AK455" s="42" t="s">
        <v>734</v>
      </c>
      <c r="AL455" s="42" t="s">
        <v>734</v>
      </c>
      <c r="AM455" s="42"/>
      <c r="AN455" s="42"/>
      <c r="AO455" s="42"/>
      <c r="AP455" s="42"/>
      <c r="AQ455" s="42"/>
      <c r="AR455" s="42"/>
      <c r="AS455" s="42"/>
      <c r="AT455" s="42"/>
      <c r="AU455" s="42"/>
      <c r="AV455" s="42"/>
      <c r="AW455" s="42"/>
      <c r="AX455" s="68"/>
      <c r="BB455" s="38" t="s">
        <v>1022</v>
      </c>
      <c r="BD455" s="67">
        <f t="shared" ref="BD455:BD461" si="148">AX455*K455</f>
        <v>0</v>
      </c>
      <c r="BF455" s="37"/>
      <c r="BG455" s="69">
        <v>2</v>
      </c>
      <c r="BI455" s="67"/>
      <c r="BJ455" s="37"/>
      <c r="BO455" s="70">
        <f t="shared" si="138"/>
        <v>0</v>
      </c>
      <c r="BP455" s="37">
        <v>7</v>
      </c>
      <c r="BQ455" s="37">
        <v>0</v>
      </c>
      <c r="BR455" s="37">
        <v>0</v>
      </c>
      <c r="BT455" s="87">
        <f t="shared" si="139"/>
        <v>0</v>
      </c>
      <c r="BU455" s="87" t="s">
        <v>1121</v>
      </c>
      <c r="BV455" s="127">
        <v>7</v>
      </c>
      <c r="BW455" s="127"/>
      <c r="BX455" s="127">
        <v>0</v>
      </c>
      <c r="BY455" s="127"/>
      <c r="BZ455" s="127">
        <v>0</v>
      </c>
      <c r="CA455" s="127"/>
      <c r="CB455" s="127">
        <v>0</v>
      </c>
      <c r="CC455" s="127"/>
      <c r="CD455" s="87">
        <v>300</v>
      </c>
      <c r="CF455" s="67">
        <f t="shared" si="140"/>
        <v>2100</v>
      </c>
      <c r="CG455" s="67">
        <f t="shared" si="141"/>
        <v>0</v>
      </c>
      <c r="CH455" s="67">
        <f t="shared" si="142"/>
        <v>0</v>
      </c>
      <c r="CI455" s="67">
        <f t="shared" si="147"/>
        <v>0</v>
      </c>
      <c r="CJ455" s="37">
        <f t="shared" si="143"/>
        <v>259</v>
      </c>
      <c r="CK455" s="37">
        <f t="shared" si="144"/>
        <v>0</v>
      </c>
      <c r="CL455" s="37">
        <f t="shared" si="145"/>
        <v>0</v>
      </c>
      <c r="CM455" s="37">
        <f t="shared" si="146"/>
        <v>0</v>
      </c>
    </row>
    <row r="456" spans="1:91" ht="22.5">
      <c r="A456" s="3" t="s">
        <v>803</v>
      </c>
      <c r="B456" s="181" t="s">
        <v>1211</v>
      </c>
      <c r="C456" s="192">
        <v>215</v>
      </c>
      <c r="D456" s="192">
        <v>127</v>
      </c>
      <c r="E456" s="198">
        <v>0.28125</v>
      </c>
      <c r="F456" s="198">
        <v>0.3215277777777778</v>
      </c>
      <c r="G456" s="194" t="s">
        <v>25</v>
      </c>
      <c r="H456" s="174" t="s">
        <v>1213</v>
      </c>
      <c r="I456" s="192">
        <v>37</v>
      </c>
      <c r="J456" s="195">
        <v>50</v>
      </c>
      <c r="K456" s="203">
        <f>67-K455</f>
        <v>12</v>
      </c>
      <c r="L456" s="166">
        <f t="shared" si="137"/>
        <v>444</v>
      </c>
      <c r="M456" s="167" t="s">
        <v>1214</v>
      </c>
      <c r="N456" s="154" t="s">
        <v>891</v>
      </c>
      <c r="O456" s="154">
        <v>57</v>
      </c>
      <c r="P456" s="154" t="s">
        <v>1922</v>
      </c>
      <c r="Q456" s="154">
        <v>57</v>
      </c>
      <c r="S456" s="154"/>
      <c r="T456" s="45">
        <v>2323</v>
      </c>
      <c r="U456" s="45" t="s">
        <v>1556</v>
      </c>
      <c r="V456" s="45">
        <v>2290</v>
      </c>
      <c r="W456" s="45" t="s">
        <v>1484</v>
      </c>
      <c r="X456" s="99">
        <v>44562</v>
      </c>
      <c r="Y456" s="99">
        <v>44815</v>
      </c>
      <c r="Z456" s="99">
        <v>45101</v>
      </c>
      <c r="AA456" s="99">
        <v>45169</v>
      </c>
      <c r="AB456" s="65" t="s">
        <v>1131</v>
      </c>
      <c r="AC456" s="42"/>
      <c r="AD456" s="42"/>
      <c r="AE456" s="42" t="s">
        <v>734</v>
      </c>
      <c r="AF456" s="42" t="s">
        <v>734</v>
      </c>
      <c r="AG456" s="42"/>
      <c r="AH456" s="42"/>
      <c r="AI456" s="42"/>
      <c r="AJ456" s="42"/>
      <c r="AK456" s="42"/>
      <c r="AL456" s="42"/>
      <c r="AM456" s="42" t="s">
        <v>734</v>
      </c>
      <c r="AN456" s="42"/>
      <c r="AO456" s="42"/>
      <c r="AP456" s="42"/>
      <c r="AQ456" s="42"/>
      <c r="AR456" s="42"/>
      <c r="AS456" s="42"/>
      <c r="AT456" s="42"/>
      <c r="AU456" s="42"/>
      <c r="AV456" s="42"/>
      <c r="AW456" s="42"/>
      <c r="AX456" s="68"/>
      <c r="BB456" s="80" t="s">
        <v>1020</v>
      </c>
      <c r="BD456" s="67">
        <f t="shared" si="148"/>
        <v>0</v>
      </c>
      <c r="BF456" s="37"/>
      <c r="BG456" s="69">
        <v>2</v>
      </c>
      <c r="BI456" s="67"/>
      <c r="BJ456" s="37"/>
      <c r="BO456" s="70">
        <f t="shared" si="138"/>
        <v>0</v>
      </c>
      <c r="BP456" s="37">
        <v>2</v>
      </c>
      <c r="BQ456" s="37">
        <v>0</v>
      </c>
      <c r="BR456" s="37">
        <v>0</v>
      </c>
      <c r="BT456" s="87">
        <f t="shared" si="139"/>
        <v>0</v>
      </c>
      <c r="BU456" s="87"/>
      <c r="BV456" s="87"/>
      <c r="BW456" s="87"/>
      <c r="BX456" s="87"/>
      <c r="BY456" s="87"/>
      <c r="BZ456" s="87"/>
      <c r="CA456" s="87"/>
      <c r="CB456" s="87"/>
      <c r="CC456" s="87"/>
      <c r="CD456" s="87"/>
      <c r="CF456" s="67">
        <f t="shared" si="140"/>
        <v>0</v>
      </c>
      <c r="CG456" s="67">
        <f t="shared" si="141"/>
        <v>0</v>
      </c>
      <c r="CH456" s="67">
        <f t="shared" si="142"/>
        <v>0</v>
      </c>
      <c r="CI456" s="67">
        <f t="shared" si="147"/>
        <v>0</v>
      </c>
      <c r="CJ456" s="37">
        <f t="shared" si="143"/>
        <v>74</v>
      </c>
      <c r="CK456" s="37">
        <f t="shared" si="144"/>
        <v>0</v>
      </c>
      <c r="CL456" s="37">
        <f t="shared" si="145"/>
        <v>0</v>
      </c>
      <c r="CM456" s="37">
        <f t="shared" si="146"/>
        <v>0</v>
      </c>
    </row>
    <row r="457" spans="1:91" ht="45">
      <c r="B457" s="156">
        <v>446</v>
      </c>
      <c r="C457" s="174">
        <v>225</v>
      </c>
      <c r="D457" s="160">
        <v>447</v>
      </c>
      <c r="E457" s="161">
        <v>0.28402777777777777</v>
      </c>
      <c r="F457" s="161">
        <v>0.29444444444444445</v>
      </c>
      <c r="G457" s="160" t="s">
        <v>380</v>
      </c>
      <c r="H457" s="160" t="s">
        <v>97</v>
      </c>
      <c r="I457" s="163">
        <v>6</v>
      </c>
      <c r="J457" s="164" t="s">
        <v>269</v>
      </c>
      <c r="K457" s="165">
        <v>208</v>
      </c>
      <c r="L457" s="166">
        <f t="shared" si="137"/>
        <v>1248</v>
      </c>
      <c r="M457" s="167" t="s">
        <v>756</v>
      </c>
      <c r="N457" s="154" t="s">
        <v>969</v>
      </c>
      <c r="O457" s="154">
        <v>18</v>
      </c>
      <c r="P457" s="154" t="s">
        <v>968</v>
      </c>
      <c r="Q457" s="154">
        <v>9</v>
      </c>
      <c r="R457" s="154"/>
      <c r="S457" s="154"/>
      <c r="T457" s="45">
        <v>2312</v>
      </c>
      <c r="U457" s="45" t="s">
        <v>1569</v>
      </c>
      <c r="V457" s="45">
        <v>2311</v>
      </c>
      <c r="W457" s="45" t="s">
        <v>1570</v>
      </c>
      <c r="X457" s="98">
        <v>44816</v>
      </c>
      <c r="Y457" s="98">
        <v>45086</v>
      </c>
      <c r="Z457" s="98"/>
      <c r="AA457" s="98"/>
      <c r="AB457" s="41" t="s">
        <v>1118</v>
      </c>
      <c r="AC457" s="41"/>
      <c r="AD457" s="42"/>
      <c r="AE457" s="42"/>
      <c r="AF457" s="42"/>
      <c r="AG457" s="42" t="s">
        <v>734</v>
      </c>
      <c r="AH457" s="42" t="s">
        <v>734</v>
      </c>
      <c r="AI457" s="42" t="s">
        <v>734</v>
      </c>
      <c r="AJ457" s="42" t="s">
        <v>734</v>
      </c>
      <c r="AK457" s="42" t="s">
        <v>734</v>
      </c>
      <c r="AL457" s="42" t="s">
        <v>734</v>
      </c>
      <c r="AM457" s="42" t="s">
        <v>734</v>
      </c>
      <c r="AN457" s="42"/>
      <c r="AO457" s="42"/>
      <c r="AP457" s="42"/>
      <c r="AQ457" s="42"/>
      <c r="AR457" s="42"/>
      <c r="AS457" s="42"/>
      <c r="AT457" s="42"/>
      <c r="AU457" s="42"/>
      <c r="AV457" s="42"/>
      <c r="AW457" s="42"/>
      <c r="AX457" s="68">
        <v>31.3</v>
      </c>
      <c r="BA457" s="68"/>
      <c r="BB457" s="68"/>
      <c r="BD457" s="67">
        <f t="shared" si="148"/>
        <v>6510.4000000000005</v>
      </c>
      <c r="BE457" s="67"/>
      <c r="BF457" s="37"/>
      <c r="BG457" s="73">
        <v>1</v>
      </c>
      <c r="BH457" s="67">
        <f>IF(AND((AX457/I457)&lt;2,BG457=1),(I457*2)-AX457,0)</f>
        <v>0</v>
      </c>
      <c r="BI457" s="67">
        <f>IF(AND((AX457/I457)&lt;3,BG457=2),(I457*3)-AX457,0)</f>
        <v>0</v>
      </c>
      <c r="BJ457" s="70">
        <f>(BH457+BI457)*K457</f>
        <v>0</v>
      </c>
      <c r="BN457" s="67">
        <f>IF((AX457+AY457+AZ457)&lt;20,(20-(AX457+AY457+AZ457)),0)</f>
        <v>0</v>
      </c>
      <c r="BO457" s="70">
        <f t="shared" si="138"/>
        <v>0</v>
      </c>
      <c r="BP457" s="37">
        <v>17</v>
      </c>
      <c r="BQ457" s="37">
        <v>25</v>
      </c>
      <c r="BR457" s="37">
        <v>25</v>
      </c>
      <c r="BS457" s="37">
        <v>18</v>
      </c>
      <c r="BT457" s="87">
        <f t="shared" si="139"/>
        <v>31.3</v>
      </c>
      <c r="BU457" s="87"/>
      <c r="BV457" s="87"/>
      <c r="BW457" s="87"/>
      <c r="BX457" s="87"/>
      <c r="BY457" s="87"/>
      <c r="BZ457" s="87"/>
      <c r="CA457" s="87"/>
      <c r="CB457" s="87"/>
      <c r="CC457" s="87"/>
      <c r="CD457" s="87"/>
      <c r="CF457" s="67">
        <f t="shared" si="140"/>
        <v>532.1</v>
      </c>
      <c r="CG457" s="67">
        <f t="shared" si="141"/>
        <v>782.5</v>
      </c>
      <c r="CH457" s="67">
        <f t="shared" si="142"/>
        <v>782.5</v>
      </c>
      <c r="CI457" s="67">
        <f t="shared" si="147"/>
        <v>563.4</v>
      </c>
      <c r="CJ457" s="37">
        <f t="shared" si="143"/>
        <v>102</v>
      </c>
      <c r="CK457" s="37">
        <f t="shared" si="144"/>
        <v>150</v>
      </c>
      <c r="CL457" s="37">
        <f t="shared" si="145"/>
        <v>150</v>
      </c>
      <c r="CM457" s="37">
        <f t="shared" si="146"/>
        <v>108</v>
      </c>
    </row>
    <row r="458" spans="1:91" ht="45">
      <c r="B458" s="156">
        <v>447</v>
      </c>
      <c r="C458" s="160">
        <v>215</v>
      </c>
      <c r="D458" s="160">
        <v>595</v>
      </c>
      <c r="E458" s="204">
        <v>0.29166666666666669</v>
      </c>
      <c r="F458" s="204">
        <v>0.30208333333333331</v>
      </c>
      <c r="G458" s="205" t="s">
        <v>379</v>
      </c>
      <c r="H458" s="160" t="s">
        <v>97</v>
      </c>
      <c r="I458" s="163">
        <v>8.5</v>
      </c>
      <c r="J458" s="164">
        <v>19</v>
      </c>
      <c r="K458" s="165">
        <v>208</v>
      </c>
      <c r="L458" s="166">
        <f t="shared" si="137"/>
        <v>1768</v>
      </c>
      <c r="M458" s="167" t="s">
        <v>756</v>
      </c>
      <c r="N458" s="154" t="s">
        <v>970</v>
      </c>
      <c r="O458" s="154">
        <v>24</v>
      </c>
      <c r="P458" s="154" t="s">
        <v>967</v>
      </c>
      <c r="Q458" s="154">
        <v>17</v>
      </c>
      <c r="R458" s="154" t="s">
        <v>968</v>
      </c>
      <c r="S458" s="151">
        <v>9</v>
      </c>
      <c r="T458" s="45">
        <v>2327</v>
      </c>
      <c r="U458" s="45" t="s">
        <v>1564</v>
      </c>
      <c r="V458" s="45">
        <v>2322</v>
      </c>
      <c r="W458" s="45" t="s">
        <v>1571</v>
      </c>
      <c r="X458" s="98">
        <v>44816</v>
      </c>
      <c r="Y458" s="98">
        <v>45086</v>
      </c>
      <c r="Z458" s="98"/>
      <c r="AA458" s="98"/>
      <c r="AB458" s="41" t="s">
        <v>1118</v>
      </c>
      <c r="AC458" s="41"/>
      <c r="AD458" s="42"/>
      <c r="AE458" s="42"/>
      <c r="AF458" s="42"/>
      <c r="AG458" s="42" t="s">
        <v>734</v>
      </c>
      <c r="AH458" s="42" t="s">
        <v>734</v>
      </c>
      <c r="AI458" s="42" t="s">
        <v>734</v>
      </c>
      <c r="AJ458" s="42" t="s">
        <v>734</v>
      </c>
      <c r="AK458" s="42" t="s">
        <v>734</v>
      </c>
      <c r="AL458" s="42" t="s">
        <v>734</v>
      </c>
      <c r="AM458" s="42" t="s">
        <v>734</v>
      </c>
      <c r="AN458" s="42"/>
      <c r="AO458" s="42"/>
      <c r="AP458" s="42"/>
      <c r="AQ458" s="42"/>
      <c r="AR458" s="42"/>
      <c r="AS458" s="42"/>
      <c r="AT458" s="42"/>
      <c r="AU458" s="42"/>
      <c r="AV458" s="42"/>
      <c r="AW458" s="42"/>
      <c r="AX458" s="68">
        <v>29.12</v>
      </c>
      <c r="BA458" s="68"/>
      <c r="BB458" s="68"/>
      <c r="BD458" s="67">
        <f t="shared" si="148"/>
        <v>6056.96</v>
      </c>
      <c r="BE458" s="67"/>
      <c r="BF458" s="37"/>
      <c r="BG458" s="73">
        <v>1</v>
      </c>
      <c r="BH458" s="67">
        <f>IF(AND((AX458/I458)&lt;2,BG458=1),(I458*2)-AX458,0)</f>
        <v>0</v>
      </c>
      <c r="BI458" s="67">
        <f>IF(AND((AX458/I458)&lt;3,BG458=2),(I458*3)-AX458,0)</f>
        <v>0</v>
      </c>
      <c r="BJ458" s="70">
        <f>(BH458+BI458)*K458</f>
        <v>0</v>
      </c>
      <c r="BN458" s="37"/>
      <c r="BO458" s="70">
        <f t="shared" si="138"/>
        <v>0</v>
      </c>
      <c r="BP458" s="37">
        <v>17</v>
      </c>
      <c r="BQ458" s="37">
        <v>25</v>
      </c>
      <c r="BR458" s="37">
        <v>25</v>
      </c>
      <c r="BS458" s="37">
        <v>18</v>
      </c>
      <c r="BT458" s="87">
        <f t="shared" si="139"/>
        <v>29.12</v>
      </c>
      <c r="BU458" s="87"/>
      <c r="BV458" s="87"/>
      <c r="BW458" s="87"/>
      <c r="BX458" s="87"/>
      <c r="BY458" s="87"/>
      <c r="BZ458" s="87"/>
      <c r="CA458" s="87"/>
      <c r="CB458" s="87"/>
      <c r="CC458" s="87"/>
      <c r="CD458" s="87"/>
      <c r="CF458" s="67">
        <f t="shared" si="140"/>
        <v>495.04</v>
      </c>
      <c r="CG458" s="67">
        <f t="shared" si="141"/>
        <v>728</v>
      </c>
      <c r="CH458" s="67">
        <f t="shared" si="142"/>
        <v>728</v>
      </c>
      <c r="CI458" s="67">
        <f t="shared" si="147"/>
        <v>524.16</v>
      </c>
      <c r="CJ458" s="37">
        <f t="shared" si="143"/>
        <v>144.5</v>
      </c>
      <c r="CK458" s="37">
        <f t="shared" si="144"/>
        <v>212.5</v>
      </c>
      <c r="CL458" s="37">
        <f t="shared" si="145"/>
        <v>212.5</v>
      </c>
      <c r="CM458" s="37">
        <f t="shared" si="146"/>
        <v>153</v>
      </c>
    </row>
    <row r="459" spans="1:91" ht="51">
      <c r="B459" s="156">
        <v>448</v>
      </c>
      <c r="C459" s="160">
        <v>215</v>
      </c>
      <c r="D459" s="160"/>
      <c r="E459" s="161">
        <v>0.29166666666666669</v>
      </c>
      <c r="F459" s="161">
        <v>0.58333333333333337</v>
      </c>
      <c r="G459" s="160" t="s">
        <v>608</v>
      </c>
      <c r="H459" s="207" t="s">
        <v>155</v>
      </c>
      <c r="I459" s="163"/>
      <c r="J459" s="164">
        <v>9</v>
      </c>
      <c r="K459" s="165">
        <v>252</v>
      </c>
      <c r="L459" s="166">
        <v>43200</v>
      </c>
      <c r="M459" s="167" t="s">
        <v>756</v>
      </c>
      <c r="N459" s="150" t="s">
        <v>1089</v>
      </c>
      <c r="O459" s="150">
        <v>9</v>
      </c>
      <c r="P459" s="154" t="s">
        <v>1272</v>
      </c>
      <c r="Q459" s="154">
        <v>9</v>
      </c>
      <c r="R459" s="154" t="s">
        <v>1273</v>
      </c>
      <c r="S459" s="154">
        <v>18</v>
      </c>
      <c r="T459" s="64">
        <v>2327</v>
      </c>
      <c r="U459" s="64" t="s">
        <v>1564</v>
      </c>
      <c r="V459" s="64">
        <v>2290</v>
      </c>
      <c r="W459" s="64" t="s">
        <v>1484</v>
      </c>
      <c r="X459" s="98">
        <v>44805</v>
      </c>
      <c r="Y459" s="98">
        <v>45169</v>
      </c>
      <c r="Z459" s="98"/>
      <c r="AA459" s="98"/>
      <c r="AB459" s="41" t="s">
        <v>1861</v>
      </c>
      <c r="AC459" s="41" t="s">
        <v>1135</v>
      </c>
      <c r="AD459" s="42" t="s">
        <v>734</v>
      </c>
      <c r="AE459" s="42" t="s">
        <v>734</v>
      </c>
      <c r="AF459" s="42" t="s">
        <v>734</v>
      </c>
      <c r="AG459" s="42"/>
      <c r="AH459" s="42" t="s">
        <v>734</v>
      </c>
      <c r="AI459" s="42" t="s">
        <v>734</v>
      </c>
      <c r="AJ459" s="42" t="s">
        <v>734</v>
      </c>
      <c r="AK459" s="42" t="s">
        <v>734</v>
      </c>
      <c r="AL459" s="42" t="s">
        <v>734</v>
      </c>
      <c r="AM459" s="42"/>
      <c r="AN459" s="42"/>
      <c r="AO459" s="42"/>
      <c r="AP459" s="42"/>
      <c r="AQ459" s="42"/>
      <c r="AR459" s="42"/>
      <c r="AS459" s="42"/>
      <c r="AT459" s="42"/>
      <c r="AU459" s="42"/>
      <c r="AV459" s="42"/>
      <c r="AW459" s="42"/>
      <c r="AX459" s="71">
        <f>122.45+(0.55*(43200/252))</f>
        <v>216.73571428571429</v>
      </c>
      <c r="BA459" s="68"/>
      <c r="BB459" s="68"/>
      <c r="BD459" s="67">
        <f t="shared" si="148"/>
        <v>54617.4</v>
      </c>
      <c r="BE459" s="67"/>
      <c r="BF459" s="37"/>
      <c r="BG459" s="73">
        <v>1</v>
      </c>
      <c r="BH459" s="71"/>
      <c r="BI459" s="71"/>
      <c r="BJ459" s="72"/>
      <c r="BN459" s="37"/>
      <c r="BO459" s="70">
        <f t="shared" si="138"/>
        <v>0</v>
      </c>
      <c r="BP459" s="37">
        <v>22</v>
      </c>
      <c r="BQ459" s="37">
        <v>21</v>
      </c>
      <c r="BR459" s="37">
        <v>21</v>
      </c>
      <c r="BS459" s="37">
        <v>20</v>
      </c>
      <c r="BT459" s="129">
        <v>122.45</v>
      </c>
      <c r="BU459" s="87"/>
      <c r="BW459" s="263">
        <v>3492</v>
      </c>
      <c r="BY459" s="263">
        <v>4195.8</v>
      </c>
      <c r="CA459" s="263">
        <v>3509</v>
      </c>
      <c r="CB459" s="263"/>
      <c r="CC459" s="275">
        <v>3397.3</v>
      </c>
      <c r="CD459" s="87"/>
      <c r="CF459" s="71">
        <f>(BT459*BP459)+BW459*0.55</f>
        <v>4614.5</v>
      </c>
      <c r="CG459" s="71">
        <f>(BT459*BQ459)+(BY459*0.55)</f>
        <v>4879.1400000000012</v>
      </c>
      <c r="CH459" s="71">
        <f>(BR459*BT459)+(CA459*0.55)</f>
        <v>4501.4000000000005</v>
      </c>
      <c r="CI459" s="67">
        <f>(BS459*BT459)+(CC459*0.55)</f>
        <v>4317.5150000000003</v>
      </c>
      <c r="CJ459" s="83">
        <f>BW459</f>
        <v>3492</v>
      </c>
      <c r="CK459" s="83">
        <f>BY459</f>
        <v>4195.8</v>
      </c>
      <c r="CL459" s="83">
        <f>CA459</f>
        <v>3509</v>
      </c>
      <c r="CM459" s="83">
        <f>CC459</f>
        <v>3397.3</v>
      </c>
    </row>
    <row r="460" spans="1:91" ht="25.5">
      <c r="A460" s="3" t="s">
        <v>1182</v>
      </c>
      <c r="B460" s="156">
        <v>449</v>
      </c>
      <c r="C460" s="160">
        <v>215</v>
      </c>
      <c r="D460" s="162">
        <v>127</v>
      </c>
      <c r="E460" s="264">
        <v>0.29166666666666669</v>
      </c>
      <c r="F460" s="264">
        <v>0.32361111111111113</v>
      </c>
      <c r="G460" s="265" t="s">
        <v>694</v>
      </c>
      <c r="H460" s="160" t="s">
        <v>103</v>
      </c>
      <c r="I460" s="197">
        <v>26.5</v>
      </c>
      <c r="J460" s="164" t="s">
        <v>101</v>
      </c>
      <c r="K460" s="165">
        <v>174</v>
      </c>
      <c r="L460" s="166">
        <f t="shared" ref="L460:L466" si="149">+K460*I460</f>
        <v>4611</v>
      </c>
      <c r="M460" s="177" t="s">
        <v>751</v>
      </c>
      <c r="N460" s="154" t="s">
        <v>836</v>
      </c>
      <c r="O460" s="154">
        <v>57</v>
      </c>
      <c r="P460" s="154" t="s">
        <v>1979</v>
      </c>
      <c r="Q460" s="154">
        <v>60</v>
      </c>
      <c r="R460" s="150" t="s">
        <v>1986</v>
      </c>
      <c r="S460" s="150">
        <v>57</v>
      </c>
      <c r="T460" s="45" t="s">
        <v>1572</v>
      </c>
      <c r="U460" s="45" t="s">
        <v>1573</v>
      </c>
      <c r="V460" s="45" t="s">
        <v>1574</v>
      </c>
      <c r="W460" s="45" t="s">
        <v>1575</v>
      </c>
      <c r="X460" s="98">
        <v>44816</v>
      </c>
      <c r="Y460" s="98">
        <v>45086</v>
      </c>
      <c r="Z460" s="98"/>
      <c r="AA460" s="98"/>
      <c r="AB460" s="41" t="s">
        <v>1114</v>
      </c>
      <c r="AC460" s="41"/>
      <c r="AD460" s="42"/>
      <c r="AE460" s="42"/>
      <c r="AF460" s="42"/>
      <c r="AG460" s="42" t="s">
        <v>734</v>
      </c>
      <c r="AH460" s="42" t="s">
        <v>734</v>
      </c>
      <c r="AI460" s="42" t="s">
        <v>734</v>
      </c>
      <c r="AJ460" s="42" t="s">
        <v>734</v>
      </c>
      <c r="AK460" s="42" t="s">
        <v>734</v>
      </c>
      <c r="AL460" s="42" t="s">
        <v>734</v>
      </c>
      <c r="AM460" s="42"/>
      <c r="AN460" s="42"/>
      <c r="AO460" s="42"/>
      <c r="AP460" s="42"/>
      <c r="AQ460" s="42"/>
      <c r="AR460" s="42"/>
      <c r="AS460" s="42"/>
      <c r="AT460" s="42"/>
      <c r="AU460" s="42"/>
      <c r="AV460" s="42"/>
      <c r="AW460" s="42"/>
      <c r="AX460" s="68">
        <f>52.5+193.7</f>
        <v>246.2</v>
      </c>
      <c r="BA460" s="68"/>
      <c r="BB460" s="68"/>
      <c r="BD460" s="67">
        <f t="shared" si="148"/>
        <v>42838.799999999996</v>
      </c>
      <c r="BE460" s="67"/>
      <c r="BF460" s="37"/>
      <c r="BG460" s="69">
        <v>2</v>
      </c>
      <c r="BH460" s="67">
        <f>IF(AND((AX460/I460)&lt;2,BG460=1),(I460*2)-AX460,0)</f>
        <v>0</v>
      </c>
      <c r="BI460" s="67">
        <f>IF(AND((AX460/I460)&lt;3,BG460=2),(I460*3)-AX460,0)</f>
        <v>0</v>
      </c>
      <c r="BJ460" s="70">
        <f>(BH460+BI460)*K460</f>
        <v>0</v>
      </c>
      <c r="BN460" s="37"/>
      <c r="BO460" s="70">
        <f t="shared" si="138"/>
        <v>0</v>
      </c>
      <c r="BP460" s="37">
        <v>15</v>
      </c>
      <c r="BQ460" s="37">
        <v>20</v>
      </c>
      <c r="BR460" s="37">
        <v>21</v>
      </c>
      <c r="BS460" s="37">
        <v>15</v>
      </c>
      <c r="BT460" s="87">
        <f t="shared" ref="BT460:BT466" si="150">SUM(AX460:AZ460)+SUM(BH460:BI460)+SUM(BK460:BL460)+BN460</f>
        <v>246.2</v>
      </c>
      <c r="BU460" s="87"/>
      <c r="BV460" s="87"/>
      <c r="BW460" s="87"/>
      <c r="BX460" s="87"/>
      <c r="BY460" s="87"/>
      <c r="BZ460" s="87"/>
      <c r="CA460" s="87"/>
      <c r="CB460" s="87"/>
      <c r="CC460" s="87"/>
      <c r="CD460" s="87"/>
      <c r="CF460" s="67">
        <f t="shared" ref="CF460:CF466" si="151">(BT460*BP460)+(BV460*CD460)</f>
        <v>3693</v>
      </c>
      <c r="CG460" s="67">
        <f t="shared" ref="CG460:CG466" si="152">(BT460*BQ460)+(BX460*CD460)</f>
        <v>4924</v>
      </c>
      <c r="CH460" s="67">
        <f t="shared" ref="CH460:CH466" si="153">(BR460*BT460)+(BZ460*CD460)</f>
        <v>5170.2</v>
      </c>
      <c r="CI460" s="67">
        <f t="shared" si="147"/>
        <v>3693</v>
      </c>
      <c r="CJ460" s="37">
        <f t="shared" si="143"/>
        <v>397.5</v>
      </c>
      <c r="CK460" s="37">
        <f t="shared" si="144"/>
        <v>530</v>
      </c>
      <c r="CL460" s="37">
        <f t="shared" si="145"/>
        <v>556.5</v>
      </c>
      <c r="CM460" s="37">
        <f t="shared" si="146"/>
        <v>397.5</v>
      </c>
    </row>
    <row r="461" spans="1:91" ht="25.5">
      <c r="B461" s="156">
        <v>450</v>
      </c>
      <c r="C461" s="160">
        <v>215</v>
      </c>
      <c r="D461" s="160">
        <v>467</v>
      </c>
      <c r="E461" s="161">
        <v>0.2986111111111111</v>
      </c>
      <c r="F461" s="161">
        <v>0.30208333333333331</v>
      </c>
      <c r="G461" s="160" t="s">
        <v>285</v>
      </c>
      <c r="H461" s="160" t="s">
        <v>97</v>
      </c>
      <c r="I461" s="163">
        <v>3</v>
      </c>
      <c r="J461" s="164" t="s">
        <v>116</v>
      </c>
      <c r="K461" s="165">
        <v>208</v>
      </c>
      <c r="L461" s="166">
        <f t="shared" si="149"/>
        <v>624</v>
      </c>
      <c r="M461" s="167" t="s">
        <v>754</v>
      </c>
      <c r="N461" s="154" t="s">
        <v>893</v>
      </c>
      <c r="O461" s="154">
        <v>9</v>
      </c>
      <c r="P461" s="154" t="s">
        <v>894</v>
      </c>
      <c r="Q461" s="154">
        <v>9</v>
      </c>
      <c r="S461" s="154"/>
      <c r="T461" s="45">
        <v>2307</v>
      </c>
      <c r="U461" s="45" t="s">
        <v>1576</v>
      </c>
      <c r="V461" s="45">
        <v>2305</v>
      </c>
      <c r="W461" s="45" t="s">
        <v>1557</v>
      </c>
      <c r="X461" s="98">
        <v>44816</v>
      </c>
      <c r="Y461" s="98">
        <v>45086</v>
      </c>
      <c r="Z461" s="98"/>
      <c r="AA461" s="98"/>
      <c r="AB461" s="41" t="s">
        <v>1118</v>
      </c>
      <c r="AC461" s="41"/>
      <c r="AD461" s="42"/>
      <c r="AE461" s="42"/>
      <c r="AF461" s="42"/>
      <c r="AG461" s="42" t="s">
        <v>734</v>
      </c>
      <c r="AH461" s="42" t="s">
        <v>734</v>
      </c>
      <c r="AI461" s="42" t="s">
        <v>734</v>
      </c>
      <c r="AJ461" s="42" t="s">
        <v>734</v>
      </c>
      <c r="AK461" s="42" t="s">
        <v>734</v>
      </c>
      <c r="AL461" s="42" t="s">
        <v>734</v>
      </c>
      <c r="AM461" s="42" t="s">
        <v>734</v>
      </c>
      <c r="AN461" s="42"/>
      <c r="AO461" s="42"/>
      <c r="AP461" s="42"/>
      <c r="AQ461" s="42"/>
      <c r="AR461" s="42"/>
      <c r="AS461" s="42"/>
      <c r="AT461" s="42"/>
      <c r="AU461" s="42"/>
      <c r="AV461" s="42"/>
      <c r="AW461" s="42"/>
      <c r="AX461" s="68">
        <v>12.38</v>
      </c>
      <c r="BA461" s="68"/>
      <c r="BB461" s="68"/>
      <c r="BD461" s="67">
        <f t="shared" si="148"/>
        <v>2575.04</v>
      </c>
      <c r="BE461" s="67"/>
      <c r="BF461" s="37"/>
      <c r="BG461" s="73">
        <v>1</v>
      </c>
      <c r="BH461" s="67">
        <f>IF(AND((AX461/I461)&lt;2,BG461=1),(I461*2)-AX461,0)</f>
        <v>0</v>
      </c>
      <c r="BI461" s="67">
        <f>IF(AND((AX461/I461)&lt;3,BG461=2),(I461*3)-AX461,0)</f>
        <v>0</v>
      </c>
      <c r="BJ461" s="70">
        <f>(BH461+BI461)*K461</f>
        <v>0</v>
      </c>
      <c r="BN461" s="37"/>
      <c r="BO461" s="70">
        <f t="shared" si="138"/>
        <v>0</v>
      </c>
      <c r="BP461" s="37">
        <v>17</v>
      </c>
      <c r="BQ461" s="37">
        <v>25</v>
      </c>
      <c r="BR461" s="37">
        <v>25</v>
      </c>
      <c r="BS461" s="37">
        <v>18</v>
      </c>
      <c r="BT461" s="87">
        <f t="shared" si="150"/>
        <v>12.38</v>
      </c>
      <c r="BU461" s="87"/>
      <c r="BV461" s="87"/>
      <c r="BW461" s="87"/>
      <c r="BX461" s="87"/>
      <c r="BY461" s="87"/>
      <c r="BZ461" s="87"/>
      <c r="CA461" s="87"/>
      <c r="CB461" s="87"/>
      <c r="CC461" s="87"/>
      <c r="CD461" s="87"/>
      <c r="CF461" s="67">
        <f t="shared" si="151"/>
        <v>210.46</v>
      </c>
      <c r="CG461" s="67">
        <f t="shared" si="152"/>
        <v>309.5</v>
      </c>
      <c r="CH461" s="67">
        <f t="shared" si="153"/>
        <v>309.5</v>
      </c>
      <c r="CI461" s="67">
        <f t="shared" si="147"/>
        <v>222.84</v>
      </c>
      <c r="CJ461" s="37">
        <f t="shared" si="143"/>
        <v>51</v>
      </c>
      <c r="CK461" s="37">
        <f t="shared" si="144"/>
        <v>75</v>
      </c>
      <c r="CL461" s="37">
        <f t="shared" si="145"/>
        <v>75</v>
      </c>
      <c r="CM461" s="37">
        <f t="shared" si="146"/>
        <v>54</v>
      </c>
    </row>
    <row r="462" spans="1:91" ht="45">
      <c r="A462" s="3" t="s">
        <v>804</v>
      </c>
      <c r="B462" s="156">
        <v>451</v>
      </c>
      <c r="C462" s="160">
        <v>215</v>
      </c>
      <c r="D462" s="174">
        <v>593</v>
      </c>
      <c r="E462" s="173">
        <v>0.33194444444444443</v>
      </c>
      <c r="F462" s="173">
        <v>0.37361111111111112</v>
      </c>
      <c r="G462" s="160" t="s">
        <v>25</v>
      </c>
      <c r="H462" s="160" t="s">
        <v>709</v>
      </c>
      <c r="I462" s="163">
        <v>37</v>
      </c>
      <c r="J462" s="164" t="s">
        <v>101</v>
      </c>
      <c r="K462" s="165">
        <v>38</v>
      </c>
      <c r="L462" s="166">
        <f t="shared" si="149"/>
        <v>1406</v>
      </c>
      <c r="M462" s="167" t="s">
        <v>756</v>
      </c>
      <c r="N462" s="150" t="s">
        <v>799</v>
      </c>
      <c r="O462" s="150">
        <v>60</v>
      </c>
      <c r="P462" s="150" t="s">
        <v>1892</v>
      </c>
      <c r="Q462" s="150">
        <v>57</v>
      </c>
      <c r="S462" s="150"/>
      <c r="T462" s="45">
        <v>2323</v>
      </c>
      <c r="U462" s="45" t="s">
        <v>1577</v>
      </c>
      <c r="V462" s="45">
        <v>2290</v>
      </c>
      <c r="W462" s="45" t="s">
        <v>1578</v>
      </c>
      <c r="X462" s="99">
        <v>44816</v>
      </c>
      <c r="Y462" s="99">
        <v>45100</v>
      </c>
      <c r="Z462" s="99"/>
      <c r="AA462" s="99"/>
      <c r="AB462" s="42" t="s">
        <v>1140</v>
      </c>
      <c r="AC462" s="42"/>
      <c r="AD462" s="42" t="s">
        <v>734</v>
      </c>
      <c r="AE462" s="42"/>
      <c r="AF462" s="42" t="s">
        <v>734</v>
      </c>
      <c r="AG462" s="42"/>
      <c r="AH462" s="42"/>
      <c r="AI462" s="42"/>
      <c r="AJ462" s="42"/>
      <c r="AK462" s="42"/>
      <c r="AL462" s="42"/>
      <c r="AM462" s="42" t="s">
        <v>734</v>
      </c>
      <c r="AN462" s="42"/>
      <c r="AO462" s="42"/>
      <c r="AP462" s="42"/>
      <c r="AQ462" s="42"/>
      <c r="AR462" s="42"/>
      <c r="AS462" s="42"/>
      <c r="AT462" s="42"/>
      <c r="AU462" s="42"/>
      <c r="AV462" s="42"/>
      <c r="AW462" s="42"/>
      <c r="AX462" s="37"/>
      <c r="AY462" s="37"/>
      <c r="AZ462" s="67">
        <f>3*I462</f>
        <v>111</v>
      </c>
      <c r="BA462" s="68"/>
      <c r="BB462" s="68"/>
      <c r="BC462" s="37">
        <v>58</v>
      </c>
      <c r="BF462" s="67">
        <f>AZ462*K462</f>
        <v>4218</v>
      </c>
      <c r="BG462" s="69">
        <v>2</v>
      </c>
      <c r="BH462" s="73"/>
      <c r="BI462" s="79"/>
      <c r="BJ462" s="73"/>
      <c r="BK462" s="73"/>
      <c r="BL462" s="73"/>
      <c r="BM462" s="73"/>
      <c r="BN462" s="37"/>
      <c r="BO462" s="70">
        <f t="shared" si="138"/>
        <v>0</v>
      </c>
      <c r="BP462" s="37">
        <v>2</v>
      </c>
      <c r="BQ462" s="37">
        <v>5</v>
      </c>
      <c r="BR462" s="37">
        <v>4</v>
      </c>
      <c r="BS462" s="37">
        <v>5</v>
      </c>
      <c r="BT462" s="87">
        <f t="shared" si="150"/>
        <v>111</v>
      </c>
      <c r="BU462" s="87" t="s">
        <v>1140</v>
      </c>
      <c r="BV462" s="127">
        <v>2</v>
      </c>
      <c r="BW462" s="127"/>
      <c r="BX462" s="127">
        <v>5</v>
      </c>
      <c r="BY462" s="127"/>
      <c r="BZ462" s="127">
        <v>4</v>
      </c>
      <c r="CA462" s="127"/>
      <c r="CB462" s="127">
        <v>5</v>
      </c>
      <c r="CC462" s="127"/>
      <c r="CD462" s="267">
        <v>180</v>
      </c>
      <c r="CF462" s="67">
        <f t="shared" si="151"/>
        <v>582</v>
      </c>
      <c r="CG462" s="67">
        <f t="shared" si="152"/>
        <v>1455</v>
      </c>
      <c r="CH462" s="67">
        <f t="shared" si="153"/>
        <v>1164</v>
      </c>
      <c r="CI462" s="67">
        <f>(BS462*BT462)+(CB462*CD462)</f>
        <v>1455</v>
      </c>
      <c r="CJ462" s="37">
        <f t="shared" si="143"/>
        <v>74</v>
      </c>
      <c r="CK462" s="37">
        <f t="shared" si="144"/>
        <v>185</v>
      </c>
      <c r="CL462" s="37">
        <f t="shared" si="145"/>
        <v>148</v>
      </c>
      <c r="CM462" s="37">
        <f t="shared" si="146"/>
        <v>185</v>
      </c>
    </row>
    <row r="463" spans="1:91" ht="25.5">
      <c r="A463" s="3" t="s">
        <v>803</v>
      </c>
      <c r="B463" s="156">
        <v>452</v>
      </c>
      <c r="C463" s="192">
        <v>215</v>
      </c>
      <c r="D463" s="192">
        <v>602</v>
      </c>
      <c r="E463" s="198">
        <v>0.33263888888888887</v>
      </c>
      <c r="F463" s="198">
        <v>0.3743055555555555</v>
      </c>
      <c r="G463" s="194" t="s">
        <v>26</v>
      </c>
      <c r="H463" s="160" t="s">
        <v>509</v>
      </c>
      <c r="I463" s="192">
        <v>37</v>
      </c>
      <c r="J463" s="195">
        <v>50</v>
      </c>
      <c r="K463" s="199">
        <v>12</v>
      </c>
      <c r="L463" s="166">
        <f t="shared" si="149"/>
        <v>444</v>
      </c>
      <c r="M463" s="167" t="s">
        <v>754</v>
      </c>
      <c r="N463" s="154" t="s">
        <v>891</v>
      </c>
      <c r="O463" s="154">
        <v>57</v>
      </c>
      <c r="P463" s="150" t="s">
        <v>1922</v>
      </c>
      <c r="Q463" s="150">
        <v>57</v>
      </c>
      <c r="R463" s="154" t="s">
        <v>895</v>
      </c>
      <c r="S463" s="152">
        <v>29</v>
      </c>
      <c r="T463" s="45">
        <v>2290</v>
      </c>
      <c r="U463" s="45" t="s">
        <v>1484</v>
      </c>
      <c r="V463" s="45">
        <v>2323</v>
      </c>
      <c r="W463" s="45" t="s">
        <v>1556</v>
      </c>
      <c r="X463" s="99">
        <v>44562</v>
      </c>
      <c r="Y463" s="99">
        <v>44815</v>
      </c>
      <c r="Z463" s="99">
        <v>45101</v>
      </c>
      <c r="AA463" s="99">
        <v>45169</v>
      </c>
      <c r="AB463" s="41" t="s">
        <v>1131</v>
      </c>
      <c r="AC463" s="41"/>
      <c r="AD463" s="42"/>
      <c r="AE463" s="42" t="s">
        <v>734</v>
      </c>
      <c r="AF463" s="42" t="s">
        <v>734</v>
      </c>
      <c r="AG463" s="42"/>
      <c r="AH463" s="42"/>
      <c r="AI463" s="42"/>
      <c r="AJ463" s="42"/>
      <c r="AK463" s="42"/>
      <c r="AL463" s="42"/>
      <c r="AM463" s="42" t="s">
        <v>734</v>
      </c>
      <c r="AN463" s="42"/>
      <c r="AO463" s="42"/>
      <c r="AP463" s="42"/>
      <c r="AQ463" s="42"/>
      <c r="AR463" s="42"/>
      <c r="AS463" s="42"/>
      <c r="AT463" s="42"/>
      <c r="AU463" s="42"/>
      <c r="AV463" s="42"/>
      <c r="AW463" s="42"/>
      <c r="BB463" s="80" t="s">
        <v>754</v>
      </c>
      <c r="BD463" s="67">
        <f>AX463*K463</f>
        <v>0</v>
      </c>
      <c r="BF463" s="37"/>
      <c r="BG463" s="69">
        <v>2</v>
      </c>
      <c r="BI463" s="67"/>
      <c r="BJ463" s="37"/>
      <c r="BN463" s="37"/>
      <c r="BO463" s="70">
        <f t="shared" si="138"/>
        <v>0</v>
      </c>
      <c r="BP463" s="37">
        <v>2</v>
      </c>
      <c r="BQ463" s="37">
        <v>0</v>
      </c>
      <c r="BR463" s="37">
        <v>0</v>
      </c>
      <c r="BT463" s="87">
        <f t="shared" si="150"/>
        <v>0</v>
      </c>
      <c r="BU463" s="87"/>
      <c r="BV463" s="87"/>
      <c r="BW463" s="87"/>
      <c r="BX463" s="87"/>
      <c r="BY463" s="87"/>
      <c r="BZ463" s="87"/>
      <c r="CA463" s="87"/>
      <c r="CB463" s="87"/>
      <c r="CC463" s="87"/>
      <c r="CD463" s="87"/>
      <c r="CF463" s="67">
        <f t="shared" si="151"/>
        <v>0</v>
      </c>
      <c r="CG463" s="67">
        <f t="shared" si="152"/>
        <v>0</v>
      </c>
      <c r="CH463" s="67">
        <f t="shared" si="153"/>
        <v>0</v>
      </c>
      <c r="CI463" s="67">
        <f t="shared" si="147"/>
        <v>0</v>
      </c>
      <c r="CJ463" s="37">
        <f t="shared" si="143"/>
        <v>74</v>
      </c>
      <c r="CK463" s="37">
        <f t="shared" si="144"/>
        <v>0</v>
      </c>
      <c r="CL463" s="37">
        <f t="shared" si="145"/>
        <v>0</v>
      </c>
      <c r="CM463" s="37">
        <f t="shared" si="146"/>
        <v>0</v>
      </c>
    </row>
    <row r="464" spans="1:91" ht="45">
      <c r="A464" s="3" t="s">
        <v>804</v>
      </c>
      <c r="B464" s="156">
        <v>453</v>
      </c>
      <c r="C464" s="192">
        <v>215</v>
      </c>
      <c r="D464" s="197">
        <v>603</v>
      </c>
      <c r="E464" s="198">
        <v>0.37361111111111112</v>
      </c>
      <c r="F464" s="198">
        <v>0.41388888888888892</v>
      </c>
      <c r="G464" s="194" t="s">
        <v>25</v>
      </c>
      <c r="H464" s="160" t="s">
        <v>479</v>
      </c>
      <c r="I464" s="192">
        <v>37</v>
      </c>
      <c r="J464" s="195">
        <v>50</v>
      </c>
      <c r="K464" s="199">
        <v>240</v>
      </c>
      <c r="L464" s="166">
        <f t="shared" si="149"/>
        <v>8880</v>
      </c>
      <c r="M464" s="167" t="s">
        <v>756</v>
      </c>
      <c r="N464" s="150" t="s">
        <v>988</v>
      </c>
      <c r="O464" s="150">
        <v>57</v>
      </c>
      <c r="P464" s="150" t="s">
        <v>1931</v>
      </c>
      <c r="Q464" s="150">
        <v>60</v>
      </c>
      <c r="R464" s="150" t="s">
        <v>1892</v>
      </c>
      <c r="S464" s="150">
        <v>57</v>
      </c>
      <c r="T464" s="45">
        <v>2323</v>
      </c>
      <c r="U464" s="45" t="s">
        <v>1556</v>
      </c>
      <c r="V464" s="45">
        <v>2290</v>
      </c>
      <c r="W464" s="45" t="s">
        <v>1484</v>
      </c>
      <c r="X464" s="99">
        <v>44816</v>
      </c>
      <c r="Y464" s="99">
        <v>45100</v>
      </c>
      <c r="Z464" s="99"/>
      <c r="AA464" s="99"/>
      <c r="AB464" s="45" t="s">
        <v>1124</v>
      </c>
      <c r="AC464" s="45"/>
      <c r="AD464" s="42" t="s">
        <v>734</v>
      </c>
      <c r="AE464" s="42"/>
      <c r="AF464" s="42" t="s">
        <v>734</v>
      </c>
      <c r="AG464" s="42"/>
      <c r="AH464" s="42" t="s">
        <v>734</v>
      </c>
      <c r="AI464" s="42" t="s">
        <v>734</v>
      </c>
      <c r="AJ464" s="42" t="s">
        <v>734</v>
      </c>
      <c r="AK464" s="42" t="s">
        <v>734</v>
      </c>
      <c r="AL464" s="42" t="s">
        <v>734</v>
      </c>
      <c r="AM464" s="42" t="s">
        <v>734</v>
      </c>
      <c r="AN464" s="42"/>
      <c r="AO464" s="42"/>
      <c r="AP464" s="42"/>
      <c r="AQ464" s="42"/>
      <c r="AR464" s="42"/>
      <c r="AS464" s="42"/>
      <c r="AT464" s="42"/>
      <c r="AU464" s="42"/>
      <c r="AV464" s="42"/>
      <c r="AW464" s="42"/>
      <c r="AZ464" s="67">
        <f>3*I464</f>
        <v>111</v>
      </c>
      <c r="BA464" s="68"/>
      <c r="BB464" s="68"/>
      <c r="BF464" s="67">
        <f>AZ464*K464</f>
        <v>26640</v>
      </c>
      <c r="BG464" s="69">
        <v>2</v>
      </c>
      <c r="BH464" s="73"/>
      <c r="BI464" s="79"/>
      <c r="BJ464" s="73"/>
      <c r="BK464" s="73"/>
      <c r="BL464" s="73"/>
      <c r="BM464" s="73"/>
      <c r="BN464" s="37"/>
      <c r="BO464" s="70">
        <f t="shared" si="138"/>
        <v>0</v>
      </c>
      <c r="BP464" s="37">
        <v>17</v>
      </c>
      <c r="BQ464" s="37">
        <v>26</v>
      </c>
      <c r="BR464" s="37">
        <v>25</v>
      </c>
      <c r="BS464" s="37">
        <v>25</v>
      </c>
      <c r="BT464" s="87">
        <f t="shared" si="150"/>
        <v>111</v>
      </c>
      <c r="BU464" s="87"/>
      <c r="BV464" s="87"/>
      <c r="BW464" s="87"/>
      <c r="BX464" s="87"/>
      <c r="BY464" s="87"/>
      <c r="BZ464" s="87"/>
      <c r="CA464" s="87"/>
      <c r="CB464" s="87"/>
      <c r="CC464" s="87"/>
      <c r="CD464" s="87"/>
      <c r="CF464" s="67">
        <f t="shared" si="151"/>
        <v>1887</v>
      </c>
      <c r="CG464" s="67">
        <f t="shared" si="152"/>
        <v>2886</v>
      </c>
      <c r="CH464" s="67">
        <f t="shared" si="153"/>
        <v>2775</v>
      </c>
      <c r="CI464" s="67">
        <f t="shared" si="147"/>
        <v>2775</v>
      </c>
      <c r="CJ464" s="37">
        <f t="shared" si="143"/>
        <v>629</v>
      </c>
      <c r="CK464" s="37">
        <f t="shared" si="144"/>
        <v>962</v>
      </c>
      <c r="CL464" s="37">
        <f t="shared" si="145"/>
        <v>925</v>
      </c>
      <c r="CM464" s="37">
        <f t="shared" si="146"/>
        <v>925</v>
      </c>
    </row>
    <row r="465" spans="1:91" ht="22.5">
      <c r="A465" s="3" t="s">
        <v>803</v>
      </c>
      <c r="B465" s="156">
        <v>454</v>
      </c>
      <c r="C465" s="192">
        <v>215</v>
      </c>
      <c r="D465" s="192">
        <v>136</v>
      </c>
      <c r="E465" s="198">
        <v>0.375</v>
      </c>
      <c r="F465" s="198">
        <v>0.41666666666666669</v>
      </c>
      <c r="G465" s="194" t="s">
        <v>26</v>
      </c>
      <c r="H465" s="174" t="s">
        <v>1212</v>
      </c>
      <c r="I465" s="192">
        <v>37</v>
      </c>
      <c r="J465" s="195">
        <v>50</v>
      </c>
      <c r="K465" s="203">
        <v>55</v>
      </c>
      <c r="L465" s="166">
        <f t="shared" si="149"/>
        <v>2035</v>
      </c>
      <c r="M465" s="177" t="s">
        <v>745</v>
      </c>
      <c r="N465" s="154" t="s">
        <v>1921</v>
      </c>
      <c r="O465" s="154">
        <v>56</v>
      </c>
      <c r="R465" s="150"/>
      <c r="S465" s="150"/>
      <c r="T465" s="45">
        <v>2290</v>
      </c>
      <c r="U465" s="45" t="s">
        <v>1484</v>
      </c>
      <c r="V465" s="45">
        <v>2323</v>
      </c>
      <c r="W465" s="45" t="s">
        <v>1556</v>
      </c>
      <c r="X465" s="99">
        <v>44562</v>
      </c>
      <c r="Y465" s="99">
        <v>44815</v>
      </c>
      <c r="Z465" s="99">
        <v>45101</v>
      </c>
      <c r="AA465" s="99">
        <v>45169</v>
      </c>
      <c r="AB465" s="65" t="s">
        <v>1121</v>
      </c>
      <c r="AC465" s="42"/>
      <c r="AD465" s="42"/>
      <c r="AE465" s="42" t="s">
        <v>734</v>
      </c>
      <c r="AF465" s="42" t="s">
        <v>734</v>
      </c>
      <c r="AG465" s="42"/>
      <c r="AH465" s="42" t="s">
        <v>734</v>
      </c>
      <c r="AI465" s="42" t="s">
        <v>734</v>
      </c>
      <c r="AJ465" s="42" t="s">
        <v>734</v>
      </c>
      <c r="AK465" s="42" t="s">
        <v>734</v>
      </c>
      <c r="AL465" s="42" t="s">
        <v>734</v>
      </c>
      <c r="AM465" s="42"/>
      <c r="AN465" s="42"/>
      <c r="AO465" s="42"/>
      <c r="AP465" s="42"/>
      <c r="AQ465" s="42"/>
      <c r="AR465" s="42"/>
      <c r="AS465" s="42"/>
      <c r="AT465" s="42"/>
      <c r="AU465" s="42"/>
      <c r="AV465" s="42"/>
      <c r="AW465" s="42"/>
      <c r="AX465" s="68"/>
      <c r="BB465" s="38" t="s">
        <v>1022</v>
      </c>
      <c r="BD465" s="67">
        <f t="shared" ref="BD465:BD470" si="154">AX465*K465</f>
        <v>0</v>
      </c>
      <c r="BF465" s="37"/>
      <c r="BG465" s="69">
        <v>2</v>
      </c>
      <c r="BI465" s="67"/>
      <c r="BJ465" s="37"/>
      <c r="BN465" s="37"/>
      <c r="BO465" s="70">
        <f t="shared" si="138"/>
        <v>0</v>
      </c>
      <c r="BP465" s="37">
        <v>7</v>
      </c>
      <c r="BQ465" s="37">
        <v>0</v>
      </c>
      <c r="BR465" s="37">
        <v>0</v>
      </c>
      <c r="BT465" s="87">
        <f t="shared" si="150"/>
        <v>0</v>
      </c>
      <c r="BU465" s="87"/>
      <c r="BV465" s="87"/>
      <c r="BW465" s="87"/>
      <c r="BX465" s="87"/>
      <c r="BY465" s="87"/>
      <c r="BZ465" s="87"/>
      <c r="CA465" s="87"/>
      <c r="CB465" s="87"/>
      <c r="CC465" s="87"/>
      <c r="CD465" s="87"/>
      <c r="CF465" s="67">
        <f t="shared" si="151"/>
        <v>0</v>
      </c>
      <c r="CG465" s="67">
        <f t="shared" si="152"/>
        <v>0</v>
      </c>
      <c r="CH465" s="67">
        <f t="shared" si="153"/>
        <v>0</v>
      </c>
      <c r="CI465" s="67">
        <f t="shared" si="147"/>
        <v>0</v>
      </c>
      <c r="CJ465" s="37">
        <f t="shared" si="143"/>
        <v>259</v>
      </c>
      <c r="CK465" s="37">
        <f t="shared" si="144"/>
        <v>0</v>
      </c>
      <c r="CL465" s="37">
        <f t="shared" si="145"/>
        <v>0</v>
      </c>
      <c r="CM465" s="37">
        <f t="shared" si="146"/>
        <v>0</v>
      </c>
    </row>
    <row r="466" spans="1:91" ht="22.5">
      <c r="A466" s="3" t="s">
        <v>803</v>
      </c>
      <c r="B466" s="181" t="s">
        <v>1216</v>
      </c>
      <c r="C466" s="192">
        <v>215</v>
      </c>
      <c r="D466" s="192">
        <v>136</v>
      </c>
      <c r="E466" s="198">
        <v>0.375</v>
      </c>
      <c r="F466" s="198">
        <v>0.41666666666666669</v>
      </c>
      <c r="G466" s="194" t="s">
        <v>26</v>
      </c>
      <c r="H466" s="174" t="s">
        <v>1213</v>
      </c>
      <c r="I466" s="192">
        <v>37</v>
      </c>
      <c r="J466" s="195">
        <v>50</v>
      </c>
      <c r="K466" s="203">
        <f>67-K465</f>
        <v>12</v>
      </c>
      <c r="L466" s="166">
        <f t="shared" si="149"/>
        <v>444</v>
      </c>
      <c r="M466" s="177" t="s">
        <v>744</v>
      </c>
      <c r="N466" s="150" t="s">
        <v>977</v>
      </c>
      <c r="O466" s="150">
        <v>54</v>
      </c>
      <c r="P466" s="154" t="s">
        <v>801</v>
      </c>
      <c r="Q466" s="154">
        <v>45</v>
      </c>
      <c r="R466" s="154" t="s">
        <v>802</v>
      </c>
      <c r="S466" s="152">
        <v>28</v>
      </c>
      <c r="T466" s="45">
        <v>2290</v>
      </c>
      <c r="U466" s="45" t="s">
        <v>1484</v>
      </c>
      <c r="V466" s="45">
        <v>2323</v>
      </c>
      <c r="W466" s="45" t="s">
        <v>1556</v>
      </c>
      <c r="X466" s="99">
        <v>44562</v>
      </c>
      <c r="Y466" s="99">
        <v>44815</v>
      </c>
      <c r="Z466" s="99">
        <v>45101</v>
      </c>
      <c r="AA466" s="99">
        <v>45169</v>
      </c>
      <c r="AB466" s="65" t="s">
        <v>1131</v>
      </c>
      <c r="AC466" s="42"/>
      <c r="AD466" s="42"/>
      <c r="AE466" s="42" t="s">
        <v>734</v>
      </c>
      <c r="AF466" s="42" t="s">
        <v>734</v>
      </c>
      <c r="AG466" s="42"/>
      <c r="AH466" s="42"/>
      <c r="AI466" s="42"/>
      <c r="AJ466" s="42"/>
      <c r="AK466" s="42"/>
      <c r="AL466" s="42"/>
      <c r="AM466" s="42" t="s">
        <v>734</v>
      </c>
      <c r="AN466" s="42"/>
      <c r="AO466" s="42"/>
      <c r="AP466" s="42"/>
      <c r="AQ466" s="42"/>
      <c r="AR466" s="42"/>
      <c r="AS466" s="42"/>
      <c r="AT466" s="42"/>
      <c r="AU466" s="42"/>
      <c r="AV466" s="42"/>
      <c r="AW466" s="42"/>
      <c r="AX466" s="68"/>
      <c r="BB466" s="80" t="s">
        <v>1023</v>
      </c>
      <c r="BD466" s="67">
        <f t="shared" si="154"/>
        <v>0</v>
      </c>
      <c r="BF466" s="37"/>
      <c r="BG466" s="69">
        <v>2</v>
      </c>
      <c r="BI466" s="67"/>
      <c r="BJ466" s="37"/>
      <c r="BN466" s="37"/>
      <c r="BO466" s="70">
        <f t="shared" si="138"/>
        <v>0</v>
      </c>
      <c r="BP466" s="37">
        <v>2</v>
      </c>
      <c r="BQ466" s="37">
        <v>0</v>
      </c>
      <c r="BR466" s="37">
        <v>0</v>
      </c>
      <c r="BT466" s="87">
        <f t="shared" si="150"/>
        <v>0</v>
      </c>
      <c r="BU466" s="87"/>
      <c r="BV466" s="87"/>
      <c r="BW466" s="87"/>
      <c r="BX466" s="87"/>
      <c r="BY466" s="87"/>
      <c r="BZ466" s="87"/>
      <c r="CA466" s="87"/>
      <c r="CB466" s="87"/>
      <c r="CC466" s="87"/>
      <c r="CD466" s="87"/>
      <c r="CF466" s="67">
        <f t="shared" si="151"/>
        <v>0</v>
      </c>
      <c r="CG466" s="67">
        <f t="shared" si="152"/>
        <v>0</v>
      </c>
      <c r="CH466" s="67">
        <f t="shared" si="153"/>
        <v>0</v>
      </c>
      <c r="CI466" s="67">
        <f t="shared" si="147"/>
        <v>0</v>
      </c>
      <c r="CJ466" s="37">
        <f t="shared" si="143"/>
        <v>74</v>
      </c>
      <c r="CK466" s="37">
        <f t="shared" si="144"/>
        <v>0</v>
      </c>
      <c r="CL466" s="37">
        <f t="shared" si="145"/>
        <v>0</v>
      </c>
      <c r="CM466" s="37">
        <f t="shared" si="146"/>
        <v>0</v>
      </c>
    </row>
    <row r="467" spans="1:91" ht="51">
      <c r="B467" s="156">
        <v>455</v>
      </c>
      <c r="C467" s="160">
        <v>215</v>
      </c>
      <c r="D467" s="160" t="s">
        <v>92</v>
      </c>
      <c r="E467" s="161">
        <v>0.38541666666666669</v>
      </c>
      <c r="F467" s="161">
        <v>0.77083333333333337</v>
      </c>
      <c r="G467" s="160" t="s">
        <v>609</v>
      </c>
      <c r="H467" s="160" t="s">
        <v>155</v>
      </c>
      <c r="I467" s="163"/>
      <c r="J467" s="164" t="s">
        <v>269</v>
      </c>
      <c r="K467" s="165">
        <v>252</v>
      </c>
      <c r="L467" s="166">
        <v>59300</v>
      </c>
      <c r="M467" s="167" t="s">
        <v>756</v>
      </c>
      <c r="N467" s="150" t="s">
        <v>1890</v>
      </c>
      <c r="O467" s="150">
        <v>7</v>
      </c>
      <c r="P467" s="150" t="s">
        <v>967</v>
      </c>
      <c r="Q467" s="150">
        <v>17</v>
      </c>
      <c r="R467" s="150" t="s">
        <v>968</v>
      </c>
      <c r="S467" s="151">
        <v>9</v>
      </c>
      <c r="T467" s="64">
        <v>2305</v>
      </c>
      <c r="U467" s="64" t="s">
        <v>1557</v>
      </c>
      <c r="V467" s="64">
        <v>2290</v>
      </c>
      <c r="W467" s="64" t="s">
        <v>1484</v>
      </c>
      <c r="X467" s="98">
        <v>44805</v>
      </c>
      <c r="Y467" s="98">
        <v>45169</v>
      </c>
      <c r="Z467" s="98"/>
      <c r="AA467" s="98"/>
      <c r="AB467" s="41" t="s">
        <v>1861</v>
      </c>
      <c r="AC467" s="41" t="s">
        <v>1135</v>
      </c>
      <c r="AD467" s="42" t="s">
        <v>734</v>
      </c>
      <c r="AE467" s="42" t="s">
        <v>734</v>
      </c>
      <c r="AF467" s="42" t="s">
        <v>734</v>
      </c>
      <c r="AG467" s="42"/>
      <c r="AH467" s="42" t="s">
        <v>734</v>
      </c>
      <c r="AI467" s="42" t="s">
        <v>734</v>
      </c>
      <c r="AJ467" s="42" t="s">
        <v>734</v>
      </c>
      <c r="AK467" s="42" t="s">
        <v>734</v>
      </c>
      <c r="AL467" s="42" t="s">
        <v>734</v>
      </c>
      <c r="AM467" s="42"/>
      <c r="AN467" s="42"/>
      <c r="AO467" s="42"/>
      <c r="AP467" s="42"/>
      <c r="AQ467" s="42"/>
      <c r="AR467" s="42"/>
      <c r="AS467" s="42"/>
      <c r="AT467" s="42"/>
      <c r="AU467" s="42"/>
      <c r="AV467" s="42"/>
      <c r="AW467" s="42"/>
      <c r="AX467" s="71">
        <f>122.45+(0.55*(59300/252))</f>
        <v>251.87460317460318</v>
      </c>
      <c r="BA467" s="68"/>
      <c r="BB467" s="68"/>
      <c r="BD467" s="67">
        <f t="shared" si="154"/>
        <v>63472.4</v>
      </c>
      <c r="BE467" s="67"/>
      <c r="BF467" s="37"/>
      <c r="BG467" s="73">
        <v>1</v>
      </c>
      <c r="BH467" s="71"/>
      <c r="BI467" s="71"/>
      <c r="BJ467" s="72"/>
      <c r="BN467" s="37"/>
      <c r="BO467" s="70">
        <f t="shared" si="138"/>
        <v>0</v>
      </c>
      <c r="BP467" s="37">
        <v>22</v>
      </c>
      <c r="BQ467" s="37">
        <v>21</v>
      </c>
      <c r="BR467" s="37">
        <v>21</v>
      </c>
      <c r="BS467" s="37">
        <v>20</v>
      </c>
      <c r="BT467" s="129">
        <v>122.45</v>
      </c>
      <c r="BU467" s="87"/>
      <c r="BW467" s="263">
        <v>4368</v>
      </c>
      <c r="BY467" s="263">
        <v>3109.55</v>
      </c>
      <c r="CA467" s="263">
        <v>3033</v>
      </c>
      <c r="CB467" s="263"/>
      <c r="CC467" s="275">
        <v>3042.9</v>
      </c>
      <c r="CD467" s="87"/>
      <c r="CF467" s="71">
        <f>(BT467*BP467)+BW467*0.55</f>
        <v>5096.3</v>
      </c>
      <c r="CG467" s="71">
        <f>(BT467*BQ467)+(BY467*0.55)</f>
        <v>4281.7025000000003</v>
      </c>
      <c r="CH467" s="71">
        <f>(BR467*BT467)+(CA467*0.55)</f>
        <v>4239.6000000000004</v>
      </c>
      <c r="CI467" s="67">
        <f>(BS467*BT467)+(CC467*0.55)</f>
        <v>4122.5950000000003</v>
      </c>
      <c r="CJ467" s="83">
        <f>BW467</f>
        <v>4368</v>
      </c>
      <c r="CK467" s="83">
        <f>BY467</f>
        <v>3109.55</v>
      </c>
      <c r="CL467" s="83">
        <f>CA467</f>
        <v>3033</v>
      </c>
      <c r="CM467" s="83">
        <f>CC467</f>
        <v>3042.9</v>
      </c>
    </row>
    <row r="468" spans="1:91" ht="25.5">
      <c r="A468" s="150"/>
      <c r="B468" s="156">
        <v>456</v>
      </c>
      <c r="C468" s="192">
        <v>215</v>
      </c>
      <c r="D468" s="197">
        <v>138</v>
      </c>
      <c r="E468" s="193">
        <v>0.41666666666666669</v>
      </c>
      <c r="F468" s="193">
        <v>0.45833333333333331</v>
      </c>
      <c r="G468" s="194" t="s">
        <v>26</v>
      </c>
      <c r="H468" s="160" t="s">
        <v>479</v>
      </c>
      <c r="I468" s="192">
        <v>44</v>
      </c>
      <c r="J468" s="195">
        <v>50</v>
      </c>
      <c r="K468" s="199">
        <v>240</v>
      </c>
      <c r="L468" s="166">
        <f t="shared" ref="L468:L532" si="155">+K468*I468</f>
        <v>10560</v>
      </c>
      <c r="M468" s="167" t="s">
        <v>754</v>
      </c>
      <c r="N468" s="150" t="s">
        <v>891</v>
      </c>
      <c r="O468" s="150">
        <v>57</v>
      </c>
      <c r="P468" s="150" t="s">
        <v>1922</v>
      </c>
      <c r="Q468" s="150">
        <v>57</v>
      </c>
      <c r="R468" s="150" t="s">
        <v>1263</v>
      </c>
      <c r="S468" s="150">
        <v>38</v>
      </c>
      <c r="T468" s="45">
        <v>2290</v>
      </c>
      <c r="U468" s="45" t="s">
        <v>1484</v>
      </c>
      <c r="V468" s="45">
        <v>2323</v>
      </c>
      <c r="W468" s="45" t="s">
        <v>1556</v>
      </c>
      <c r="X468" s="99">
        <v>44816</v>
      </c>
      <c r="Y468" s="99">
        <v>45100</v>
      </c>
      <c r="Z468" s="99"/>
      <c r="AA468" s="99"/>
      <c r="AB468" s="45" t="s">
        <v>1124</v>
      </c>
      <c r="AC468" s="45"/>
      <c r="AD468" s="42" t="s">
        <v>734</v>
      </c>
      <c r="AE468" s="42"/>
      <c r="AF468" s="42" t="s">
        <v>734</v>
      </c>
      <c r="AG468" s="42"/>
      <c r="AH468" s="42" t="s">
        <v>734</v>
      </c>
      <c r="AI468" s="42" t="s">
        <v>734</v>
      </c>
      <c r="AJ468" s="42" t="s">
        <v>734</v>
      </c>
      <c r="AK468" s="42" t="s">
        <v>734</v>
      </c>
      <c r="AL468" s="42" t="s">
        <v>734</v>
      </c>
      <c r="AM468" s="42" t="s">
        <v>734</v>
      </c>
      <c r="AN468" s="42"/>
      <c r="AO468" s="42"/>
      <c r="AP468" s="42"/>
      <c r="AQ468" s="42"/>
      <c r="AR468" s="42"/>
      <c r="AS468" s="42"/>
      <c r="AT468" s="42"/>
      <c r="AU468" s="42"/>
      <c r="AV468" s="42"/>
      <c r="AW468" s="42"/>
      <c r="AX468" s="68">
        <v>88.8</v>
      </c>
      <c r="BA468" s="68"/>
      <c r="BB468" s="68"/>
      <c r="BD468" s="67">
        <f t="shared" si="154"/>
        <v>21312</v>
      </c>
      <c r="BE468" s="67"/>
      <c r="BF468" s="37"/>
      <c r="BG468" s="69">
        <v>2</v>
      </c>
      <c r="BH468" s="71"/>
      <c r="BI468" s="71"/>
      <c r="BJ468" s="72"/>
      <c r="BN468" s="37"/>
      <c r="BO468" s="70">
        <f t="shared" si="138"/>
        <v>0</v>
      </c>
      <c r="BP468" s="37">
        <v>17</v>
      </c>
      <c r="BQ468" s="37">
        <v>26</v>
      </c>
      <c r="BR468" s="37">
        <v>25</v>
      </c>
      <c r="BS468" s="37">
        <v>25</v>
      </c>
      <c r="BT468" s="87">
        <f t="shared" ref="BT468:BT487" si="156">SUM(AX468:AZ468)+SUM(BH468:BI468)+SUM(BK468:BL468)+BN468</f>
        <v>88.8</v>
      </c>
      <c r="BU468" s="87"/>
      <c r="BV468" s="87"/>
      <c r="BW468" s="87"/>
      <c r="BX468" s="87"/>
      <c r="BY468" s="87"/>
      <c r="BZ468" s="87"/>
      <c r="CA468" s="87"/>
      <c r="CB468" s="87"/>
      <c r="CC468" s="87"/>
      <c r="CD468" s="87"/>
      <c r="CF468" s="67">
        <f t="shared" ref="CF468:CF487" si="157">(BT468*BP468)+(BV468*CD468)</f>
        <v>1509.6</v>
      </c>
      <c r="CG468" s="67">
        <f t="shared" ref="CG468:CG487" si="158">(BT468*BQ468)+(BX468*CD468)</f>
        <v>2308.7999999999997</v>
      </c>
      <c r="CH468" s="67">
        <f t="shared" ref="CH468:CH532" si="159">(BR468*BT468)+(BZ468*CD468)</f>
        <v>2220</v>
      </c>
      <c r="CI468" s="67">
        <f t="shared" si="147"/>
        <v>2220</v>
      </c>
      <c r="CJ468" s="37">
        <f t="shared" si="143"/>
        <v>748</v>
      </c>
      <c r="CK468" s="37">
        <f t="shared" si="144"/>
        <v>1144</v>
      </c>
      <c r="CL468" s="37">
        <f t="shared" si="145"/>
        <v>1100</v>
      </c>
      <c r="CM468" s="37">
        <f t="shared" si="146"/>
        <v>1100</v>
      </c>
    </row>
    <row r="469" spans="1:91" ht="45">
      <c r="A469" s="3" t="s">
        <v>803</v>
      </c>
      <c r="B469" s="156">
        <v>457</v>
      </c>
      <c r="C469" s="192">
        <v>215</v>
      </c>
      <c r="D469" s="192">
        <v>595</v>
      </c>
      <c r="E469" s="198">
        <v>0.47916666666666669</v>
      </c>
      <c r="F469" s="198">
        <v>0.54097222222222219</v>
      </c>
      <c r="G469" s="194" t="s">
        <v>25</v>
      </c>
      <c r="H469" s="160" t="s">
        <v>424</v>
      </c>
      <c r="I469" s="192">
        <v>37</v>
      </c>
      <c r="J469" s="195">
        <v>50</v>
      </c>
      <c r="K469" s="199">
        <v>67</v>
      </c>
      <c r="L469" s="166">
        <f t="shared" si="155"/>
        <v>2479</v>
      </c>
      <c r="M469" s="167" t="s">
        <v>756</v>
      </c>
      <c r="N469" s="150" t="s">
        <v>988</v>
      </c>
      <c r="O469" s="150">
        <v>57</v>
      </c>
      <c r="P469" s="150" t="s">
        <v>799</v>
      </c>
      <c r="Q469" s="150">
        <v>60</v>
      </c>
      <c r="R469" s="150" t="s">
        <v>1892</v>
      </c>
      <c r="S469" s="150">
        <v>57</v>
      </c>
      <c r="T469" s="45">
        <v>2323</v>
      </c>
      <c r="U469" s="45" t="s">
        <v>1556</v>
      </c>
      <c r="V469" s="45">
        <v>2290</v>
      </c>
      <c r="W469" s="45" t="s">
        <v>1484</v>
      </c>
      <c r="X469" s="99">
        <v>44562</v>
      </c>
      <c r="Y469" s="99">
        <v>44815</v>
      </c>
      <c r="Z469" s="99">
        <v>45101</v>
      </c>
      <c r="AA469" s="99">
        <v>45169</v>
      </c>
      <c r="AB469" s="42" t="s">
        <v>1119</v>
      </c>
      <c r="AC469" s="42"/>
      <c r="AD469" s="42"/>
      <c r="AE469" s="42" t="s">
        <v>734</v>
      </c>
      <c r="AF469" s="42" t="s">
        <v>734</v>
      </c>
      <c r="AG469" s="42"/>
      <c r="AH469" s="42" t="s">
        <v>734</v>
      </c>
      <c r="AI469" s="42" t="s">
        <v>734</v>
      </c>
      <c r="AJ469" s="42" t="s">
        <v>734</v>
      </c>
      <c r="AK469" s="42" t="s">
        <v>734</v>
      </c>
      <c r="AL469" s="42" t="s">
        <v>734</v>
      </c>
      <c r="AM469" s="42" t="s">
        <v>734</v>
      </c>
      <c r="AN469" s="42"/>
      <c r="AO469" s="42"/>
      <c r="AP469" s="42"/>
      <c r="AQ469" s="42"/>
      <c r="AR469" s="42"/>
      <c r="AS469" s="42"/>
      <c r="AT469" s="42"/>
      <c r="AU469" s="42"/>
      <c r="AV469" s="42"/>
      <c r="AW469" s="42"/>
      <c r="AX469" s="68"/>
      <c r="BB469" s="80" t="s">
        <v>756</v>
      </c>
      <c r="BD469" s="67">
        <f t="shared" si="154"/>
        <v>0</v>
      </c>
      <c r="BF469" s="37"/>
      <c r="BG469" s="69">
        <v>2</v>
      </c>
      <c r="BI469" s="67"/>
      <c r="BJ469" s="37"/>
      <c r="BN469" s="37"/>
      <c r="BO469" s="70">
        <f t="shared" si="138"/>
        <v>0</v>
      </c>
      <c r="BP469" s="37">
        <v>9</v>
      </c>
      <c r="BQ469" s="37">
        <v>0</v>
      </c>
      <c r="BR469" s="37">
        <v>0</v>
      </c>
      <c r="BS469" s="37">
        <v>0</v>
      </c>
      <c r="BT469" s="87">
        <f t="shared" si="156"/>
        <v>0</v>
      </c>
      <c r="BU469" s="87" t="s">
        <v>1119</v>
      </c>
      <c r="BV469" s="127">
        <v>9</v>
      </c>
      <c r="BW469" s="127"/>
      <c r="BX469" s="127">
        <v>0</v>
      </c>
      <c r="BY469" s="127"/>
      <c r="BZ469" s="127">
        <v>0</v>
      </c>
      <c r="CA469" s="127"/>
      <c r="CB469" s="127">
        <v>0</v>
      </c>
      <c r="CC469" s="127"/>
      <c r="CD469" s="87">
        <v>350</v>
      </c>
      <c r="CF469" s="67">
        <f t="shared" si="157"/>
        <v>3150</v>
      </c>
      <c r="CG469" s="67">
        <f t="shared" si="158"/>
        <v>0</v>
      </c>
      <c r="CH469" s="67">
        <f t="shared" si="159"/>
        <v>0</v>
      </c>
      <c r="CI469" s="67">
        <f t="shared" si="147"/>
        <v>0</v>
      </c>
      <c r="CJ469" s="37">
        <f t="shared" si="143"/>
        <v>333</v>
      </c>
      <c r="CK469" s="37">
        <f t="shared" si="144"/>
        <v>0</v>
      </c>
      <c r="CL469" s="37">
        <f t="shared" si="145"/>
        <v>0</v>
      </c>
      <c r="CM469" s="37">
        <f t="shared" si="146"/>
        <v>0</v>
      </c>
    </row>
    <row r="470" spans="1:91" ht="25.5">
      <c r="A470" s="3" t="s">
        <v>803</v>
      </c>
      <c r="B470" s="156">
        <v>458</v>
      </c>
      <c r="C470" s="192">
        <v>215</v>
      </c>
      <c r="D470" s="192">
        <v>606</v>
      </c>
      <c r="E470" s="198">
        <v>0.4993055555555555</v>
      </c>
      <c r="F470" s="198">
        <v>0.54097222222222219</v>
      </c>
      <c r="G470" s="194" t="s">
        <v>26</v>
      </c>
      <c r="H470" s="160" t="s">
        <v>424</v>
      </c>
      <c r="I470" s="192">
        <v>37</v>
      </c>
      <c r="J470" s="195">
        <v>50</v>
      </c>
      <c r="K470" s="199">
        <v>67</v>
      </c>
      <c r="L470" s="166">
        <f t="shared" si="155"/>
        <v>2479</v>
      </c>
      <c r="M470" s="167" t="s">
        <v>754</v>
      </c>
      <c r="N470" s="150" t="s">
        <v>891</v>
      </c>
      <c r="O470" s="150">
        <v>57</v>
      </c>
      <c r="P470" s="150" t="s">
        <v>1922</v>
      </c>
      <c r="Q470" s="150">
        <v>57</v>
      </c>
      <c r="R470" s="150" t="s">
        <v>1274</v>
      </c>
      <c r="S470" s="152">
        <v>29</v>
      </c>
      <c r="T470" s="45">
        <v>2290</v>
      </c>
      <c r="U470" s="45" t="s">
        <v>1484</v>
      </c>
      <c r="V470" s="45">
        <v>2323</v>
      </c>
      <c r="W470" s="45" t="s">
        <v>1556</v>
      </c>
      <c r="X470" s="99">
        <v>44562</v>
      </c>
      <c r="Y470" s="99">
        <v>44815</v>
      </c>
      <c r="Z470" s="99">
        <v>45101</v>
      </c>
      <c r="AA470" s="99">
        <v>45169</v>
      </c>
      <c r="AB470" s="42" t="s">
        <v>1119</v>
      </c>
      <c r="AC470" s="42"/>
      <c r="AD470" s="42"/>
      <c r="AE470" s="42" t="s">
        <v>734</v>
      </c>
      <c r="AF470" s="42" t="s">
        <v>734</v>
      </c>
      <c r="AG470" s="42"/>
      <c r="AH470" s="42" t="s">
        <v>734</v>
      </c>
      <c r="AI470" s="42" t="s">
        <v>734</v>
      </c>
      <c r="AJ470" s="42" t="s">
        <v>734</v>
      </c>
      <c r="AK470" s="42" t="s">
        <v>734</v>
      </c>
      <c r="AL470" s="42" t="s">
        <v>734</v>
      </c>
      <c r="AM470" s="42" t="s">
        <v>734</v>
      </c>
      <c r="AN470" s="42"/>
      <c r="AO470" s="42"/>
      <c r="AP470" s="42"/>
      <c r="AQ470" s="42"/>
      <c r="AR470" s="42"/>
      <c r="AS470" s="42"/>
      <c r="AT470" s="42"/>
      <c r="AU470" s="42"/>
      <c r="AV470" s="42"/>
      <c r="AW470" s="42"/>
      <c r="BB470" s="80" t="s">
        <v>754</v>
      </c>
      <c r="BD470" s="67">
        <f t="shared" si="154"/>
        <v>0</v>
      </c>
      <c r="BF470" s="37"/>
      <c r="BG470" s="69">
        <v>2</v>
      </c>
      <c r="BI470" s="67"/>
      <c r="BJ470" s="37"/>
      <c r="BN470" s="37"/>
      <c r="BO470" s="70">
        <f t="shared" si="138"/>
        <v>0</v>
      </c>
      <c r="BP470" s="37">
        <v>9</v>
      </c>
      <c r="BQ470" s="37">
        <v>0</v>
      </c>
      <c r="BR470" s="37">
        <v>0</v>
      </c>
      <c r="BS470" s="37">
        <v>0</v>
      </c>
      <c r="BT470" s="87">
        <f t="shared" si="156"/>
        <v>0</v>
      </c>
      <c r="BU470" s="87"/>
      <c r="BV470" s="87"/>
      <c r="BW470" s="87"/>
      <c r="BX470" s="87"/>
      <c r="BY470" s="87"/>
      <c r="BZ470" s="87"/>
      <c r="CA470" s="87"/>
      <c r="CB470" s="87"/>
      <c r="CC470" s="87"/>
      <c r="CD470" s="87"/>
      <c r="CF470" s="67">
        <f t="shared" si="157"/>
        <v>0</v>
      </c>
      <c r="CG470" s="67">
        <f t="shared" si="158"/>
        <v>0</v>
      </c>
      <c r="CH470" s="67">
        <f t="shared" si="159"/>
        <v>0</v>
      </c>
      <c r="CI470" s="67">
        <f t="shared" si="147"/>
        <v>0</v>
      </c>
      <c r="CJ470" s="37">
        <f t="shared" si="143"/>
        <v>333</v>
      </c>
      <c r="CK470" s="37">
        <f t="shared" si="144"/>
        <v>0</v>
      </c>
      <c r="CL470" s="37">
        <f t="shared" si="145"/>
        <v>0</v>
      </c>
      <c r="CM470" s="37">
        <f t="shared" si="146"/>
        <v>0</v>
      </c>
    </row>
    <row r="471" spans="1:91" ht="45">
      <c r="A471" s="3" t="s">
        <v>804</v>
      </c>
      <c r="B471" s="156">
        <v>459</v>
      </c>
      <c r="C471" s="192">
        <v>215</v>
      </c>
      <c r="D471" s="197">
        <v>606</v>
      </c>
      <c r="E471" s="198">
        <v>0.4993055555555555</v>
      </c>
      <c r="F471" s="198">
        <v>0.54097222222222219</v>
      </c>
      <c r="G471" s="194" t="s">
        <v>26</v>
      </c>
      <c r="H471" s="160" t="s">
        <v>479</v>
      </c>
      <c r="I471" s="192">
        <v>37</v>
      </c>
      <c r="J471" s="195">
        <v>50</v>
      </c>
      <c r="K471" s="199">
        <v>240</v>
      </c>
      <c r="L471" s="166">
        <f t="shared" si="155"/>
        <v>8880</v>
      </c>
      <c r="M471" s="167" t="s">
        <v>756</v>
      </c>
      <c r="N471" s="150" t="s">
        <v>799</v>
      </c>
      <c r="O471" s="150">
        <v>60</v>
      </c>
      <c r="P471" s="150" t="s">
        <v>1892</v>
      </c>
      <c r="Q471" s="150">
        <v>57</v>
      </c>
      <c r="R471" s="150" t="s">
        <v>1275</v>
      </c>
      <c r="S471" s="150">
        <v>57</v>
      </c>
      <c r="T471" s="45">
        <v>2290</v>
      </c>
      <c r="U471" s="45" t="s">
        <v>1484</v>
      </c>
      <c r="V471" s="45">
        <v>2323</v>
      </c>
      <c r="W471" s="45" t="s">
        <v>1556</v>
      </c>
      <c r="X471" s="99">
        <v>44816</v>
      </c>
      <c r="Y471" s="99">
        <v>45100</v>
      </c>
      <c r="Z471" s="99"/>
      <c r="AA471" s="99"/>
      <c r="AB471" s="45" t="s">
        <v>1124</v>
      </c>
      <c r="AC471" s="45"/>
      <c r="AD471" s="42" t="s">
        <v>734</v>
      </c>
      <c r="AE471" s="42"/>
      <c r="AF471" s="42" t="s">
        <v>734</v>
      </c>
      <c r="AG471" s="42"/>
      <c r="AH471" s="42" t="s">
        <v>734</v>
      </c>
      <c r="AI471" s="42" t="s">
        <v>734</v>
      </c>
      <c r="AJ471" s="42" t="s">
        <v>734</v>
      </c>
      <c r="AK471" s="42" t="s">
        <v>734</v>
      </c>
      <c r="AL471" s="42" t="s">
        <v>734</v>
      </c>
      <c r="AM471" s="42" t="s">
        <v>734</v>
      </c>
      <c r="AN471" s="42"/>
      <c r="AO471" s="42"/>
      <c r="AP471" s="42"/>
      <c r="AQ471" s="42"/>
      <c r="AR471" s="42"/>
      <c r="AS471" s="42"/>
      <c r="AT471" s="42"/>
      <c r="AU471" s="42"/>
      <c r="AV471" s="42"/>
      <c r="AW471" s="42"/>
      <c r="AX471" s="68"/>
      <c r="AZ471" s="67">
        <f>3*I471</f>
        <v>111</v>
      </c>
      <c r="BA471" s="68"/>
      <c r="BB471" s="68"/>
      <c r="BF471" s="67">
        <f>AZ471*K471</f>
        <v>26640</v>
      </c>
      <c r="BG471" s="69">
        <v>2</v>
      </c>
      <c r="BH471" s="73"/>
      <c r="BI471" s="79"/>
      <c r="BJ471" s="73"/>
      <c r="BK471" s="73"/>
      <c r="BL471" s="73"/>
      <c r="BM471" s="73"/>
      <c r="BN471" s="37"/>
      <c r="BO471" s="70">
        <f t="shared" si="138"/>
        <v>0</v>
      </c>
      <c r="BP471" s="37">
        <v>17</v>
      </c>
      <c r="BQ471" s="37">
        <v>26</v>
      </c>
      <c r="BR471" s="37">
        <v>25</v>
      </c>
      <c r="BS471" s="37">
        <v>25</v>
      </c>
      <c r="BT471" s="87">
        <f t="shared" si="156"/>
        <v>111</v>
      </c>
      <c r="BU471" s="87"/>
      <c r="BV471" s="87"/>
      <c r="BW471" s="87"/>
      <c r="BX471" s="87"/>
      <c r="BY471" s="87"/>
      <c r="BZ471" s="87"/>
      <c r="CA471" s="87"/>
      <c r="CB471" s="87"/>
      <c r="CC471" s="87"/>
      <c r="CD471" s="87"/>
      <c r="CF471" s="67">
        <f t="shared" si="157"/>
        <v>1887</v>
      </c>
      <c r="CG471" s="67">
        <f t="shared" si="158"/>
        <v>2886</v>
      </c>
      <c r="CH471" s="67">
        <f t="shared" si="159"/>
        <v>2775</v>
      </c>
      <c r="CI471" s="67">
        <f t="shared" si="147"/>
        <v>2775</v>
      </c>
      <c r="CJ471" s="37">
        <f t="shared" si="143"/>
        <v>629</v>
      </c>
      <c r="CK471" s="37">
        <f t="shared" si="144"/>
        <v>962</v>
      </c>
      <c r="CL471" s="37">
        <f t="shared" si="145"/>
        <v>925</v>
      </c>
      <c r="CM471" s="37">
        <f t="shared" si="146"/>
        <v>925</v>
      </c>
    </row>
    <row r="472" spans="1:91" ht="25.5">
      <c r="A472" s="3" t="s">
        <v>803</v>
      </c>
      <c r="B472" s="156">
        <v>460</v>
      </c>
      <c r="C472" s="192">
        <v>215</v>
      </c>
      <c r="D472" s="192">
        <v>129</v>
      </c>
      <c r="E472" s="198">
        <v>0.51388888888888895</v>
      </c>
      <c r="F472" s="198">
        <v>0.5541666666666667</v>
      </c>
      <c r="G472" s="194" t="s">
        <v>25</v>
      </c>
      <c r="H472" s="160" t="s">
        <v>425</v>
      </c>
      <c r="I472" s="192">
        <v>37</v>
      </c>
      <c r="J472" s="195">
        <v>50</v>
      </c>
      <c r="K472" s="199">
        <v>55</v>
      </c>
      <c r="L472" s="166">
        <f t="shared" si="155"/>
        <v>2035</v>
      </c>
      <c r="M472" s="186" t="s">
        <v>745</v>
      </c>
      <c r="N472" s="3" t="s">
        <v>1262</v>
      </c>
      <c r="O472" s="152">
        <v>58</v>
      </c>
      <c r="P472" s="150" t="s">
        <v>1921</v>
      </c>
      <c r="Q472" s="150">
        <v>56</v>
      </c>
      <c r="R472" s="150"/>
      <c r="S472" s="150"/>
      <c r="T472" s="45">
        <v>2323</v>
      </c>
      <c r="U472" s="45" t="s">
        <v>1556</v>
      </c>
      <c r="V472" s="45">
        <v>2290</v>
      </c>
      <c r="W472" s="45" t="s">
        <v>1484</v>
      </c>
      <c r="X472" s="99">
        <v>44562</v>
      </c>
      <c r="Y472" s="99">
        <v>44815</v>
      </c>
      <c r="Z472" s="99">
        <v>45101</v>
      </c>
      <c r="AA472" s="99">
        <v>45169</v>
      </c>
      <c r="AB472" s="41" t="s">
        <v>1121</v>
      </c>
      <c r="AC472" s="41"/>
      <c r="AD472" s="42"/>
      <c r="AE472" s="42" t="s">
        <v>734</v>
      </c>
      <c r="AF472" s="42" t="s">
        <v>734</v>
      </c>
      <c r="AG472" s="42"/>
      <c r="AH472" s="42" t="s">
        <v>734</v>
      </c>
      <c r="AI472" s="42" t="s">
        <v>734</v>
      </c>
      <c r="AJ472" s="42" t="s">
        <v>734</v>
      </c>
      <c r="AK472" s="42" t="s">
        <v>734</v>
      </c>
      <c r="AL472" s="42" t="s">
        <v>734</v>
      </c>
      <c r="AM472" s="42"/>
      <c r="AN472" s="42"/>
      <c r="AO472" s="42"/>
      <c r="AP472" s="42"/>
      <c r="AQ472" s="42"/>
      <c r="AR472" s="42"/>
      <c r="AS472" s="42"/>
      <c r="AT472" s="42"/>
      <c r="AU472" s="42"/>
      <c r="AV472" s="42"/>
      <c r="AW472" s="42"/>
      <c r="AX472" s="68"/>
      <c r="BB472" s="38" t="s">
        <v>1022</v>
      </c>
      <c r="BD472" s="67">
        <f t="shared" ref="BD472:BD478" si="160">AX472*K472</f>
        <v>0</v>
      </c>
      <c r="BF472" s="37"/>
      <c r="BG472" s="69">
        <v>2</v>
      </c>
      <c r="BI472" s="67"/>
      <c r="BJ472" s="37"/>
      <c r="BN472" s="37"/>
      <c r="BO472" s="70">
        <f t="shared" si="138"/>
        <v>0</v>
      </c>
      <c r="BP472" s="37">
        <v>7</v>
      </c>
      <c r="BQ472" s="37">
        <v>0</v>
      </c>
      <c r="BR472" s="37">
        <v>0</v>
      </c>
      <c r="BT472" s="87">
        <f t="shared" si="156"/>
        <v>0</v>
      </c>
      <c r="BU472" s="87"/>
      <c r="BV472" s="87"/>
      <c r="BW472" s="87"/>
      <c r="BX472" s="87"/>
      <c r="BY472" s="87"/>
      <c r="BZ472" s="87"/>
      <c r="CA472" s="87"/>
      <c r="CB472" s="87"/>
      <c r="CC472" s="87"/>
      <c r="CD472" s="87"/>
      <c r="CF472" s="67">
        <f t="shared" si="157"/>
        <v>0</v>
      </c>
      <c r="CG472" s="67">
        <f t="shared" si="158"/>
        <v>0</v>
      </c>
      <c r="CH472" s="67">
        <f t="shared" si="159"/>
        <v>0</v>
      </c>
      <c r="CI472" s="67">
        <f t="shared" si="147"/>
        <v>0</v>
      </c>
      <c r="CJ472" s="37">
        <f t="shared" si="143"/>
        <v>259</v>
      </c>
      <c r="CK472" s="37">
        <f t="shared" si="144"/>
        <v>0</v>
      </c>
      <c r="CL472" s="37">
        <f t="shared" si="145"/>
        <v>0</v>
      </c>
      <c r="CM472" s="37">
        <f t="shared" si="146"/>
        <v>0</v>
      </c>
    </row>
    <row r="473" spans="1:91" ht="45">
      <c r="A473" s="3" t="s">
        <v>803</v>
      </c>
      <c r="B473" s="156">
        <v>461</v>
      </c>
      <c r="C473" s="192">
        <v>215</v>
      </c>
      <c r="D473" s="192">
        <v>140</v>
      </c>
      <c r="E473" s="198">
        <v>0.52222222222222225</v>
      </c>
      <c r="F473" s="198">
        <v>0.56388888888888888</v>
      </c>
      <c r="G473" s="194" t="s">
        <v>26</v>
      </c>
      <c r="H473" s="160" t="s">
        <v>424</v>
      </c>
      <c r="I473" s="192">
        <v>37</v>
      </c>
      <c r="J473" s="195">
        <v>50</v>
      </c>
      <c r="K473" s="165">
        <v>67</v>
      </c>
      <c r="L473" s="166">
        <f t="shared" si="155"/>
        <v>2479</v>
      </c>
      <c r="M473" s="167" t="s">
        <v>756</v>
      </c>
      <c r="N473" s="150" t="s">
        <v>988</v>
      </c>
      <c r="O473" s="150">
        <v>57</v>
      </c>
      <c r="P473" s="150" t="s">
        <v>799</v>
      </c>
      <c r="Q473" s="150">
        <v>60</v>
      </c>
      <c r="R473" s="150" t="s">
        <v>1892</v>
      </c>
      <c r="S473" s="150">
        <v>57</v>
      </c>
      <c r="T473" s="45">
        <v>2290</v>
      </c>
      <c r="U473" s="45" t="s">
        <v>1484</v>
      </c>
      <c r="V473" s="45">
        <v>2323</v>
      </c>
      <c r="W473" s="45" t="s">
        <v>1556</v>
      </c>
      <c r="X473" s="99">
        <v>44562</v>
      </c>
      <c r="Y473" s="99">
        <v>44815</v>
      </c>
      <c r="Z473" s="99">
        <v>45101</v>
      </c>
      <c r="AA473" s="99">
        <v>45169</v>
      </c>
      <c r="AB473" s="42" t="s">
        <v>1119</v>
      </c>
      <c r="AC473" s="42"/>
      <c r="AD473" s="42"/>
      <c r="AE473" s="42" t="s">
        <v>734</v>
      </c>
      <c r="AF473" s="42" t="s">
        <v>734</v>
      </c>
      <c r="AG473" s="42"/>
      <c r="AH473" s="42" t="s">
        <v>734</v>
      </c>
      <c r="AI473" s="42" t="s">
        <v>734</v>
      </c>
      <c r="AJ473" s="42" t="s">
        <v>734</v>
      </c>
      <c r="AK473" s="42" t="s">
        <v>734</v>
      </c>
      <c r="AL473" s="42" t="s">
        <v>734</v>
      </c>
      <c r="AM473" s="42" t="s">
        <v>734</v>
      </c>
      <c r="AN473" s="42"/>
      <c r="AO473" s="42"/>
      <c r="AP473" s="42"/>
      <c r="AQ473" s="42"/>
      <c r="AR473" s="42"/>
      <c r="AS473" s="42"/>
      <c r="AT473" s="42"/>
      <c r="AU473" s="42"/>
      <c r="AV473" s="42"/>
      <c r="AW473" s="42"/>
      <c r="AX473" s="68"/>
      <c r="BB473" s="80" t="s">
        <v>756</v>
      </c>
      <c r="BD473" s="67">
        <f t="shared" si="160"/>
        <v>0</v>
      </c>
      <c r="BF473" s="37"/>
      <c r="BG473" s="69">
        <v>2</v>
      </c>
      <c r="BI473" s="67"/>
      <c r="BJ473" s="37"/>
      <c r="BN473" s="37"/>
      <c r="BO473" s="70">
        <f t="shared" si="138"/>
        <v>0</v>
      </c>
      <c r="BP473" s="37">
        <v>9</v>
      </c>
      <c r="BQ473" s="37">
        <v>0</v>
      </c>
      <c r="BR473" s="37">
        <v>0</v>
      </c>
      <c r="BS473" s="37">
        <v>0</v>
      </c>
      <c r="BT473" s="87">
        <f t="shared" si="156"/>
        <v>0</v>
      </c>
      <c r="BU473" s="87"/>
      <c r="BV473" s="87"/>
      <c r="BW473" s="87"/>
      <c r="BX473" s="87"/>
      <c r="BY473" s="87"/>
      <c r="BZ473" s="87"/>
      <c r="CA473" s="87"/>
      <c r="CB473" s="87"/>
      <c r="CC473" s="87"/>
      <c r="CD473" s="87"/>
      <c r="CF473" s="67">
        <f t="shared" si="157"/>
        <v>0</v>
      </c>
      <c r="CG473" s="67">
        <f t="shared" si="158"/>
        <v>0</v>
      </c>
      <c r="CH473" s="67">
        <f t="shared" si="159"/>
        <v>0</v>
      </c>
      <c r="CI473" s="67">
        <f t="shared" si="147"/>
        <v>0</v>
      </c>
      <c r="CJ473" s="37">
        <f t="shared" si="143"/>
        <v>333</v>
      </c>
      <c r="CK473" s="37">
        <f t="shared" si="144"/>
        <v>0</v>
      </c>
      <c r="CL473" s="37">
        <f t="shared" si="145"/>
        <v>0</v>
      </c>
      <c r="CM473" s="37">
        <f t="shared" si="146"/>
        <v>0</v>
      </c>
    </row>
    <row r="474" spans="1:91" ht="25.5">
      <c r="B474" s="156">
        <v>462</v>
      </c>
      <c r="C474" s="160">
        <v>215</v>
      </c>
      <c r="D474" s="160">
        <v>140</v>
      </c>
      <c r="E474" s="173">
        <v>0.52222222222222225</v>
      </c>
      <c r="F474" s="173">
        <v>0.56388888888888888</v>
      </c>
      <c r="G474" s="160" t="s">
        <v>276</v>
      </c>
      <c r="H474" s="160" t="s">
        <v>444</v>
      </c>
      <c r="I474" s="163">
        <v>37</v>
      </c>
      <c r="J474" s="164">
        <v>55</v>
      </c>
      <c r="K474" s="199">
        <v>47</v>
      </c>
      <c r="L474" s="166">
        <f t="shared" si="155"/>
        <v>1739</v>
      </c>
      <c r="M474" s="167" t="s">
        <v>744</v>
      </c>
      <c r="N474" s="154" t="s">
        <v>800</v>
      </c>
      <c r="O474" s="154">
        <v>37</v>
      </c>
      <c r="P474" s="154" t="s">
        <v>802</v>
      </c>
      <c r="Q474" s="154">
        <v>29</v>
      </c>
      <c r="R474" s="154" t="s">
        <v>801</v>
      </c>
      <c r="S474" s="150">
        <v>45</v>
      </c>
      <c r="T474" s="45">
        <v>2290</v>
      </c>
      <c r="U474" s="45" t="s">
        <v>1484</v>
      </c>
      <c r="V474" s="45">
        <v>2323</v>
      </c>
      <c r="W474" s="45" t="s">
        <v>1556</v>
      </c>
      <c r="X474" s="99">
        <v>44816</v>
      </c>
      <c r="Y474" s="99">
        <v>45100</v>
      </c>
      <c r="Z474" s="99"/>
      <c r="AA474" s="99"/>
      <c r="AB474" s="46" t="s">
        <v>1115</v>
      </c>
      <c r="AC474" s="46"/>
      <c r="AD474" s="42" t="s">
        <v>734</v>
      </c>
      <c r="AE474" s="42"/>
      <c r="AF474" s="42"/>
      <c r="AG474" s="42"/>
      <c r="AH474" s="42"/>
      <c r="AI474" s="42"/>
      <c r="AJ474" s="42"/>
      <c r="AK474" s="42"/>
      <c r="AL474" s="42"/>
      <c r="AM474" s="42"/>
      <c r="AN474" s="42" t="s">
        <v>734</v>
      </c>
      <c r="AO474" s="42"/>
      <c r="AP474" s="42"/>
      <c r="AQ474" s="42"/>
      <c r="AR474" s="42"/>
      <c r="AS474" s="42"/>
      <c r="AT474" s="42"/>
      <c r="AU474" s="42"/>
      <c r="AV474" s="42"/>
      <c r="AW474" s="42"/>
      <c r="AX474" s="68">
        <v>89</v>
      </c>
      <c r="BA474" s="68"/>
      <c r="BB474" s="68"/>
      <c r="BD474" s="67">
        <f t="shared" si="160"/>
        <v>4183</v>
      </c>
      <c r="BE474" s="67"/>
      <c r="BF474" s="37"/>
      <c r="BG474" s="69">
        <v>2</v>
      </c>
      <c r="BH474" s="67">
        <f>IF(AND((AX474/I474)&lt;2,BG474=1),(I474*2)-AX474,0)</f>
        <v>0</v>
      </c>
      <c r="BI474" s="67">
        <f>IF(AND((AX474/I474)&lt;3,BG474=2),(I474*3)-AX474,0)</f>
        <v>22</v>
      </c>
      <c r="BJ474" s="70">
        <f>(BH474+BI474)*K474</f>
        <v>1034</v>
      </c>
      <c r="BN474" s="37"/>
      <c r="BO474" s="70">
        <f t="shared" si="138"/>
        <v>0</v>
      </c>
      <c r="BP474" s="37">
        <v>2</v>
      </c>
      <c r="BQ474" s="37">
        <v>5</v>
      </c>
      <c r="BR474" s="37">
        <v>5</v>
      </c>
      <c r="BS474" s="37">
        <v>6</v>
      </c>
      <c r="BT474" s="87">
        <f t="shared" si="156"/>
        <v>111</v>
      </c>
      <c r="BU474" s="87"/>
      <c r="BV474" s="87"/>
      <c r="BW474" s="87"/>
      <c r="BX474" s="87"/>
      <c r="BY474" s="87"/>
      <c r="BZ474" s="87"/>
      <c r="CA474" s="87"/>
      <c r="CB474" s="87"/>
      <c r="CC474" s="87"/>
      <c r="CD474" s="87"/>
      <c r="CF474" s="67">
        <f t="shared" si="157"/>
        <v>222</v>
      </c>
      <c r="CG474" s="67">
        <f t="shared" si="158"/>
        <v>555</v>
      </c>
      <c r="CH474" s="67">
        <f t="shared" si="159"/>
        <v>555</v>
      </c>
      <c r="CI474" s="67">
        <f t="shared" si="147"/>
        <v>666</v>
      </c>
      <c r="CJ474" s="37">
        <f t="shared" si="143"/>
        <v>74</v>
      </c>
      <c r="CK474" s="37">
        <f t="shared" si="144"/>
        <v>185</v>
      </c>
      <c r="CL474" s="37">
        <f t="shared" si="145"/>
        <v>185</v>
      </c>
      <c r="CM474" s="37">
        <f t="shared" si="146"/>
        <v>222</v>
      </c>
    </row>
    <row r="475" spans="1:91" ht="45">
      <c r="A475" s="150"/>
      <c r="B475" s="156">
        <v>463</v>
      </c>
      <c r="C475" s="160">
        <v>215</v>
      </c>
      <c r="D475" s="160">
        <v>140</v>
      </c>
      <c r="E475" s="161">
        <v>0.52430555555555558</v>
      </c>
      <c r="F475" s="161">
        <v>0.57361111111111118</v>
      </c>
      <c r="G475" s="160" t="s">
        <v>26</v>
      </c>
      <c r="H475" s="160" t="s">
        <v>103</v>
      </c>
      <c r="I475" s="163">
        <v>37</v>
      </c>
      <c r="J475" s="164">
        <v>55</v>
      </c>
      <c r="K475" s="165">
        <v>174</v>
      </c>
      <c r="L475" s="166">
        <f t="shared" si="155"/>
        <v>6438</v>
      </c>
      <c r="M475" s="167" t="s">
        <v>756</v>
      </c>
      <c r="N475" s="150" t="s">
        <v>988</v>
      </c>
      <c r="O475" s="150">
        <v>57</v>
      </c>
      <c r="P475" s="150" t="s">
        <v>1892</v>
      </c>
      <c r="Q475" s="150">
        <v>57</v>
      </c>
      <c r="S475" s="150"/>
      <c r="T475" s="45" t="s">
        <v>1574</v>
      </c>
      <c r="U475" s="45" t="s">
        <v>1575</v>
      </c>
      <c r="V475" s="45">
        <v>2323</v>
      </c>
      <c r="W475" s="45" t="s">
        <v>1556</v>
      </c>
      <c r="X475" s="98">
        <v>44816</v>
      </c>
      <c r="Y475" s="98">
        <v>45086</v>
      </c>
      <c r="Z475" s="98"/>
      <c r="AA475" s="98"/>
      <c r="AB475" s="41" t="s">
        <v>1114</v>
      </c>
      <c r="AC475" s="41"/>
      <c r="AD475" s="42"/>
      <c r="AE475" s="42"/>
      <c r="AF475" s="42"/>
      <c r="AG475" s="42" t="s">
        <v>734</v>
      </c>
      <c r="AH475" s="42" t="s">
        <v>734</v>
      </c>
      <c r="AI475" s="42" t="s">
        <v>734</v>
      </c>
      <c r="AJ475" s="42" t="s">
        <v>734</v>
      </c>
      <c r="AK475" s="42" t="s">
        <v>734</v>
      </c>
      <c r="AL475" s="42" t="s">
        <v>734</v>
      </c>
      <c r="AM475" s="42"/>
      <c r="AN475" s="42"/>
      <c r="AO475" s="42"/>
      <c r="AP475" s="42"/>
      <c r="AQ475" s="42"/>
      <c r="AR475" s="42"/>
      <c r="AS475" s="42"/>
      <c r="AT475" s="42"/>
      <c r="AU475" s="42"/>
      <c r="AV475" s="42"/>
      <c r="AW475" s="42"/>
      <c r="AX475" s="67">
        <v>111</v>
      </c>
      <c r="BA475" s="68"/>
      <c r="BB475" s="68"/>
      <c r="BD475" s="67">
        <f t="shared" si="160"/>
        <v>19314</v>
      </c>
      <c r="BE475" s="67"/>
      <c r="BF475" s="37"/>
      <c r="BG475" s="69">
        <v>2</v>
      </c>
      <c r="BH475" s="67">
        <f>IF(AND((AX475/I475)&lt;2,BG475=1),(I475*2)-AX475,0)</f>
        <v>0</v>
      </c>
      <c r="BI475" s="67">
        <f>IF(AND((AX475/I475)&lt;3,BG475=2),(I475*3)-AX475,0)</f>
        <v>0</v>
      </c>
      <c r="BJ475" s="70">
        <f>(BH475+BI475)*K475</f>
        <v>0</v>
      </c>
      <c r="BN475" s="37"/>
      <c r="BO475" s="70">
        <f t="shared" si="138"/>
        <v>0</v>
      </c>
      <c r="BP475" s="37">
        <v>15</v>
      </c>
      <c r="BQ475" s="37">
        <v>20</v>
      </c>
      <c r="BR475" s="37">
        <v>21</v>
      </c>
      <c r="BS475" s="37">
        <v>15</v>
      </c>
      <c r="BT475" s="87">
        <f t="shared" si="156"/>
        <v>111</v>
      </c>
      <c r="BU475" s="87"/>
      <c r="BV475" s="87"/>
      <c r="BW475" s="87"/>
      <c r="BX475" s="87"/>
      <c r="BY475" s="87"/>
      <c r="BZ475" s="87"/>
      <c r="CA475" s="87"/>
      <c r="CB475" s="87"/>
      <c r="CC475" s="87"/>
      <c r="CD475" s="87"/>
      <c r="CF475" s="67">
        <f t="shared" si="157"/>
        <v>1665</v>
      </c>
      <c r="CG475" s="67">
        <f t="shared" si="158"/>
        <v>2220</v>
      </c>
      <c r="CH475" s="67">
        <f t="shared" si="159"/>
        <v>2331</v>
      </c>
      <c r="CI475" s="67">
        <f t="shared" si="147"/>
        <v>1665</v>
      </c>
      <c r="CJ475" s="37">
        <f t="shared" si="143"/>
        <v>555</v>
      </c>
      <c r="CK475" s="37">
        <f t="shared" si="144"/>
        <v>740</v>
      </c>
      <c r="CL475" s="37">
        <f t="shared" si="145"/>
        <v>777</v>
      </c>
      <c r="CM475" s="37">
        <f t="shared" si="146"/>
        <v>555</v>
      </c>
    </row>
    <row r="476" spans="1:91" ht="45">
      <c r="B476" s="156">
        <v>464</v>
      </c>
      <c r="C476" s="192">
        <v>215</v>
      </c>
      <c r="D476" s="160">
        <v>349</v>
      </c>
      <c r="E476" s="161">
        <v>0.53819444444444442</v>
      </c>
      <c r="F476" s="161">
        <v>0.54791666666666672</v>
      </c>
      <c r="G476" s="208" t="s">
        <v>562</v>
      </c>
      <c r="H476" s="160" t="s">
        <v>253</v>
      </c>
      <c r="I476" s="163">
        <v>8.6999999999999993</v>
      </c>
      <c r="J476" s="195">
        <v>9</v>
      </c>
      <c r="K476" s="165">
        <v>34</v>
      </c>
      <c r="L476" s="166">
        <f t="shared" si="155"/>
        <v>295.79999999999995</v>
      </c>
      <c r="M476" s="167" t="s">
        <v>756</v>
      </c>
      <c r="N476" s="150" t="s">
        <v>1089</v>
      </c>
      <c r="O476" s="150">
        <v>9</v>
      </c>
      <c r="P476" s="150" t="s">
        <v>967</v>
      </c>
      <c r="Q476" s="150">
        <v>17</v>
      </c>
      <c r="R476" s="150" t="s">
        <v>1272</v>
      </c>
      <c r="S476" s="151">
        <v>9</v>
      </c>
      <c r="T476" s="45" t="s">
        <v>1579</v>
      </c>
      <c r="U476" s="45" t="s">
        <v>1580</v>
      </c>
      <c r="V476" s="45">
        <v>2327</v>
      </c>
      <c r="W476" s="45" t="s">
        <v>1564</v>
      </c>
      <c r="X476" s="98">
        <v>44816</v>
      </c>
      <c r="Y476" s="98">
        <v>45086</v>
      </c>
      <c r="Z476" s="98"/>
      <c r="AA476" s="98"/>
      <c r="AB476" s="42" t="s">
        <v>1123</v>
      </c>
      <c r="AC476" s="42"/>
      <c r="AD476" s="42"/>
      <c r="AE476" s="42"/>
      <c r="AF476" s="42"/>
      <c r="AG476" s="42" t="s">
        <v>734</v>
      </c>
      <c r="AH476" s="42"/>
      <c r="AI476" s="42"/>
      <c r="AJ476" s="42"/>
      <c r="AK476" s="42"/>
      <c r="AL476" s="42"/>
      <c r="AM476" s="42" t="s">
        <v>734</v>
      </c>
      <c r="AN476" s="42"/>
      <c r="AO476" s="42"/>
      <c r="AP476" s="42"/>
      <c r="AQ476" s="42"/>
      <c r="AR476" s="42"/>
      <c r="AS476" s="42"/>
      <c r="AT476" s="42"/>
      <c r="AU476" s="42"/>
      <c r="AV476" s="42"/>
      <c r="AW476" s="42"/>
      <c r="AX476" s="67">
        <f>I476*3</f>
        <v>26.099999999999998</v>
      </c>
      <c r="BA476" s="67"/>
      <c r="BB476" s="67"/>
      <c r="BD476" s="67">
        <f t="shared" si="160"/>
        <v>887.4</v>
      </c>
      <c r="BE476" s="67"/>
      <c r="BF476" s="37"/>
      <c r="BG476" s="73">
        <v>1</v>
      </c>
      <c r="BH476" s="67">
        <f>IF(AND((AX476/I476)&lt;2,BG476=1),(I476*2)-AX476,0)</f>
        <v>0</v>
      </c>
      <c r="BI476" s="67">
        <f>IF(AND((AX476/I476)&lt;3,BG476=2),(I476*3)-AX476,0)</f>
        <v>0</v>
      </c>
      <c r="BJ476" s="70">
        <f>(BH476+BI476)*K476</f>
        <v>0</v>
      </c>
      <c r="BN476" s="37"/>
      <c r="BO476" s="70">
        <f t="shared" si="138"/>
        <v>0</v>
      </c>
      <c r="BP476" s="37">
        <v>2</v>
      </c>
      <c r="BQ476" s="37">
        <v>5</v>
      </c>
      <c r="BR476" s="37">
        <v>4</v>
      </c>
      <c r="BS476" s="37">
        <v>3</v>
      </c>
      <c r="BT476" s="87">
        <f t="shared" si="156"/>
        <v>26.099999999999998</v>
      </c>
      <c r="BU476" s="87"/>
      <c r="BV476" s="87"/>
      <c r="BW476" s="87"/>
      <c r="BX476" s="87"/>
      <c r="BY476" s="87"/>
      <c r="BZ476" s="87"/>
      <c r="CA476" s="87"/>
      <c r="CB476" s="87"/>
      <c r="CC476" s="87"/>
      <c r="CD476" s="87"/>
      <c r="CF476" s="67">
        <f t="shared" si="157"/>
        <v>52.199999999999996</v>
      </c>
      <c r="CG476" s="67">
        <f t="shared" si="158"/>
        <v>130.5</v>
      </c>
      <c r="CH476" s="67">
        <f t="shared" si="159"/>
        <v>104.39999999999999</v>
      </c>
      <c r="CI476" s="67">
        <f t="shared" si="147"/>
        <v>78.3</v>
      </c>
      <c r="CJ476" s="37">
        <f t="shared" si="143"/>
        <v>17.399999999999999</v>
      </c>
      <c r="CK476" s="37">
        <f t="shared" si="144"/>
        <v>43.5</v>
      </c>
      <c r="CL476" s="37">
        <f t="shared" si="145"/>
        <v>34.799999999999997</v>
      </c>
      <c r="CM476" s="37">
        <f t="shared" si="146"/>
        <v>26.099999999999998</v>
      </c>
    </row>
    <row r="477" spans="1:91" ht="25.5">
      <c r="B477" s="156">
        <v>465</v>
      </c>
      <c r="C477" s="169">
        <v>215</v>
      </c>
      <c r="D477" s="169">
        <v>363</v>
      </c>
      <c r="E477" s="170">
        <v>0.54166666666666663</v>
      </c>
      <c r="F477" s="170">
        <v>0.55486111111111114</v>
      </c>
      <c r="G477" s="171" t="s">
        <v>702</v>
      </c>
      <c r="H477" s="160" t="s">
        <v>97</v>
      </c>
      <c r="I477" s="169">
        <v>13</v>
      </c>
      <c r="J477" s="172">
        <v>40</v>
      </c>
      <c r="K477" s="165">
        <v>208</v>
      </c>
      <c r="L477" s="166">
        <f t="shared" si="155"/>
        <v>2704</v>
      </c>
      <c r="M477" s="167" t="s">
        <v>745</v>
      </c>
      <c r="N477" s="150" t="s">
        <v>1921</v>
      </c>
      <c r="O477" s="150">
        <v>56</v>
      </c>
      <c r="R477" s="154"/>
      <c r="S477" s="150"/>
      <c r="T477" s="45">
        <v>2322</v>
      </c>
      <c r="U477" s="45" t="s">
        <v>1581</v>
      </c>
      <c r="V477" s="45">
        <v>2323</v>
      </c>
      <c r="W477" s="45" t="s">
        <v>1556</v>
      </c>
      <c r="X477" s="98">
        <v>44816</v>
      </c>
      <c r="Y477" s="98">
        <v>45086</v>
      </c>
      <c r="Z477" s="98"/>
      <c r="AA477" s="98"/>
      <c r="AB477" s="41" t="s">
        <v>1118</v>
      </c>
      <c r="AC477" s="41"/>
      <c r="AD477" s="42"/>
      <c r="AE477" s="42"/>
      <c r="AF477" s="42"/>
      <c r="AG477" s="42" t="s">
        <v>734</v>
      </c>
      <c r="AH477" s="42" t="s">
        <v>734</v>
      </c>
      <c r="AI477" s="42" t="s">
        <v>734</v>
      </c>
      <c r="AJ477" s="42" t="s">
        <v>734</v>
      </c>
      <c r="AK477" s="42" t="s">
        <v>734</v>
      </c>
      <c r="AL477" s="42" t="s">
        <v>734</v>
      </c>
      <c r="AM477" s="42" t="s">
        <v>734</v>
      </c>
      <c r="AN477" s="42"/>
      <c r="AO477" s="42"/>
      <c r="AP477" s="42"/>
      <c r="AQ477" s="42"/>
      <c r="AR477" s="42"/>
      <c r="AS477" s="42"/>
      <c r="AT477" s="42"/>
      <c r="AU477" s="42"/>
      <c r="AV477" s="42"/>
      <c r="AW477" s="42"/>
      <c r="BA477" s="38" t="s">
        <v>1019</v>
      </c>
      <c r="BB477" s="38"/>
      <c r="BD477" s="67">
        <f t="shared" si="160"/>
        <v>0</v>
      </c>
      <c r="BF477" s="37"/>
      <c r="BG477" s="69">
        <v>2</v>
      </c>
      <c r="BI477" s="67"/>
      <c r="BJ477" s="37"/>
      <c r="BN477" s="37"/>
      <c r="BO477" s="70">
        <f t="shared" si="138"/>
        <v>0</v>
      </c>
      <c r="BP477" s="37">
        <v>17</v>
      </c>
      <c r="BQ477" s="37">
        <v>25</v>
      </c>
      <c r="BR477" s="37">
        <v>25</v>
      </c>
      <c r="BS477" s="37">
        <v>18</v>
      </c>
      <c r="BT477" s="87">
        <f t="shared" si="156"/>
        <v>0</v>
      </c>
      <c r="CF477" s="67">
        <f t="shared" si="157"/>
        <v>0</v>
      </c>
      <c r="CG477" s="67">
        <f t="shared" si="158"/>
        <v>0</v>
      </c>
      <c r="CH477" s="67">
        <f t="shared" si="159"/>
        <v>0</v>
      </c>
      <c r="CI477" s="67">
        <f t="shared" si="147"/>
        <v>0</v>
      </c>
      <c r="CJ477" s="37">
        <f t="shared" si="143"/>
        <v>221</v>
      </c>
      <c r="CK477" s="37">
        <f t="shared" si="144"/>
        <v>325</v>
      </c>
      <c r="CL477" s="37">
        <f t="shared" si="145"/>
        <v>325</v>
      </c>
      <c r="CM477" s="37">
        <f t="shared" si="146"/>
        <v>234</v>
      </c>
    </row>
    <row r="478" spans="1:91" ht="25.5">
      <c r="A478" s="3" t="s">
        <v>803</v>
      </c>
      <c r="B478" s="156">
        <v>466</v>
      </c>
      <c r="C478" s="192">
        <v>215</v>
      </c>
      <c r="D478" s="192">
        <v>611</v>
      </c>
      <c r="E478" s="198">
        <v>0.54513888888888895</v>
      </c>
      <c r="F478" s="198">
        <v>0.5854166666666667</v>
      </c>
      <c r="G478" s="194" t="s">
        <v>25</v>
      </c>
      <c r="H478" s="160" t="s">
        <v>424</v>
      </c>
      <c r="I478" s="192">
        <v>37</v>
      </c>
      <c r="J478" s="195">
        <v>50</v>
      </c>
      <c r="K478" s="165">
        <v>67</v>
      </c>
      <c r="L478" s="166">
        <f t="shared" si="155"/>
        <v>2479</v>
      </c>
      <c r="M478" s="167" t="s">
        <v>754</v>
      </c>
      <c r="N478" s="150" t="s">
        <v>891</v>
      </c>
      <c r="O478" s="150">
        <v>57</v>
      </c>
      <c r="P478" s="150" t="s">
        <v>1922</v>
      </c>
      <c r="Q478" s="150">
        <v>57</v>
      </c>
      <c r="R478" s="154" t="s">
        <v>1274</v>
      </c>
      <c r="S478" s="152">
        <v>29</v>
      </c>
      <c r="T478" s="45">
        <v>2323</v>
      </c>
      <c r="U478" s="45" t="s">
        <v>1556</v>
      </c>
      <c r="V478" s="45">
        <v>2290</v>
      </c>
      <c r="W478" s="45" t="s">
        <v>1484</v>
      </c>
      <c r="X478" s="99">
        <v>44562</v>
      </c>
      <c r="Y478" s="99">
        <v>44815</v>
      </c>
      <c r="Z478" s="99">
        <v>45101</v>
      </c>
      <c r="AA478" s="99">
        <v>45169</v>
      </c>
      <c r="AB478" s="42" t="s">
        <v>1119</v>
      </c>
      <c r="AC478" s="42"/>
      <c r="AD478" s="42"/>
      <c r="AE478" s="42" t="s">
        <v>734</v>
      </c>
      <c r="AF478" s="42" t="s">
        <v>734</v>
      </c>
      <c r="AG478" s="42"/>
      <c r="AH478" s="42" t="s">
        <v>734</v>
      </c>
      <c r="AI478" s="42" t="s">
        <v>734</v>
      </c>
      <c r="AJ478" s="42" t="s">
        <v>734</v>
      </c>
      <c r="AK478" s="42" t="s">
        <v>734</v>
      </c>
      <c r="AL478" s="42" t="s">
        <v>734</v>
      </c>
      <c r="AM478" s="42" t="s">
        <v>734</v>
      </c>
      <c r="AN478" s="42"/>
      <c r="AO478" s="42"/>
      <c r="AP478" s="42"/>
      <c r="AQ478" s="42"/>
      <c r="AR478" s="42"/>
      <c r="AS478" s="42"/>
      <c r="AT478" s="42"/>
      <c r="AU478" s="42"/>
      <c r="AV478" s="42"/>
      <c r="AW478" s="42"/>
      <c r="BB478" s="80" t="s">
        <v>754</v>
      </c>
      <c r="BD478" s="67">
        <f t="shared" si="160"/>
        <v>0</v>
      </c>
      <c r="BF478" s="37"/>
      <c r="BG478" s="69">
        <v>2</v>
      </c>
      <c r="BI478" s="67"/>
      <c r="BJ478" s="37"/>
      <c r="BN478" s="37"/>
      <c r="BO478" s="70">
        <f t="shared" si="138"/>
        <v>0</v>
      </c>
      <c r="BP478" s="37">
        <v>9</v>
      </c>
      <c r="BQ478" s="37">
        <v>0</v>
      </c>
      <c r="BR478" s="37">
        <v>0</v>
      </c>
      <c r="BS478" s="37">
        <v>0</v>
      </c>
      <c r="BT478" s="87">
        <f t="shared" si="156"/>
        <v>0</v>
      </c>
      <c r="BU478" s="87"/>
      <c r="BV478" s="87"/>
      <c r="BW478" s="87"/>
      <c r="BX478" s="87"/>
      <c r="BY478" s="87"/>
      <c r="BZ478" s="87"/>
      <c r="CA478" s="87"/>
      <c r="CB478" s="87"/>
      <c r="CC478" s="87"/>
      <c r="CD478" s="87"/>
      <c r="CF478" s="67">
        <f t="shared" si="157"/>
        <v>0</v>
      </c>
      <c r="CG478" s="67">
        <f t="shared" si="158"/>
        <v>0</v>
      </c>
      <c r="CH478" s="67">
        <f t="shared" si="159"/>
        <v>0</v>
      </c>
      <c r="CI478" s="67">
        <f t="shared" si="147"/>
        <v>0</v>
      </c>
      <c r="CJ478" s="37">
        <f t="shared" si="143"/>
        <v>333</v>
      </c>
      <c r="CK478" s="37">
        <f t="shared" si="144"/>
        <v>0</v>
      </c>
      <c r="CL478" s="37">
        <f t="shared" si="145"/>
        <v>0</v>
      </c>
      <c r="CM478" s="37">
        <f t="shared" si="146"/>
        <v>0</v>
      </c>
    </row>
    <row r="479" spans="1:91" ht="45">
      <c r="A479" s="3" t="s">
        <v>804</v>
      </c>
      <c r="B479" s="156">
        <v>467</v>
      </c>
      <c r="C479" s="192">
        <v>215</v>
      </c>
      <c r="D479" s="197">
        <v>611</v>
      </c>
      <c r="E479" s="198">
        <v>0.54513888888888895</v>
      </c>
      <c r="F479" s="198">
        <v>0.5854166666666667</v>
      </c>
      <c r="G479" s="194" t="s">
        <v>25</v>
      </c>
      <c r="H479" s="160" t="s">
        <v>479</v>
      </c>
      <c r="I479" s="192">
        <v>37</v>
      </c>
      <c r="J479" s="195">
        <v>50</v>
      </c>
      <c r="K479" s="199">
        <v>240</v>
      </c>
      <c r="L479" s="166">
        <f t="shared" si="155"/>
        <v>8880</v>
      </c>
      <c r="M479" s="167" t="s">
        <v>756</v>
      </c>
      <c r="N479" s="150" t="s">
        <v>799</v>
      </c>
      <c r="O479" s="150">
        <v>60</v>
      </c>
      <c r="P479" s="150" t="s">
        <v>1892</v>
      </c>
      <c r="Q479" s="150">
        <v>57</v>
      </c>
      <c r="R479" s="150" t="s">
        <v>1275</v>
      </c>
      <c r="S479" s="150">
        <v>57</v>
      </c>
      <c r="T479" s="45">
        <v>2323</v>
      </c>
      <c r="U479" s="45" t="s">
        <v>1556</v>
      </c>
      <c r="V479" s="45">
        <v>2290</v>
      </c>
      <c r="W479" s="45" t="s">
        <v>1484</v>
      </c>
      <c r="X479" s="99">
        <v>44816</v>
      </c>
      <c r="Y479" s="99">
        <v>45100</v>
      </c>
      <c r="Z479" s="99"/>
      <c r="AA479" s="99"/>
      <c r="AB479" s="45" t="s">
        <v>1124</v>
      </c>
      <c r="AC479" s="45"/>
      <c r="AD479" s="42" t="s">
        <v>734</v>
      </c>
      <c r="AE479" s="42"/>
      <c r="AF479" s="42" t="s">
        <v>734</v>
      </c>
      <c r="AG479" s="42"/>
      <c r="AH479" s="42" t="s">
        <v>734</v>
      </c>
      <c r="AI479" s="42" t="s">
        <v>734</v>
      </c>
      <c r="AJ479" s="42" t="s">
        <v>734</v>
      </c>
      <c r="AK479" s="42" t="s">
        <v>734</v>
      </c>
      <c r="AL479" s="42" t="s">
        <v>734</v>
      </c>
      <c r="AM479" s="42" t="s">
        <v>734</v>
      </c>
      <c r="AN479" s="42"/>
      <c r="AO479" s="42"/>
      <c r="AP479" s="42"/>
      <c r="AQ479" s="42"/>
      <c r="AR479" s="42"/>
      <c r="AS479" s="42"/>
      <c r="AT479" s="42"/>
      <c r="AU479" s="42"/>
      <c r="AV479" s="42"/>
      <c r="AW479" s="42"/>
      <c r="AX479" s="68"/>
      <c r="AZ479" s="67">
        <f>3*I479</f>
        <v>111</v>
      </c>
      <c r="BA479" s="68"/>
      <c r="BB479" s="68"/>
      <c r="BF479" s="67">
        <f>AZ479*K479</f>
        <v>26640</v>
      </c>
      <c r="BG479" s="69">
        <v>2</v>
      </c>
      <c r="BH479" s="73"/>
      <c r="BI479" s="79"/>
      <c r="BJ479" s="73"/>
      <c r="BK479" s="73"/>
      <c r="BL479" s="73"/>
      <c r="BM479" s="73"/>
      <c r="BN479" s="37"/>
      <c r="BO479" s="70">
        <f t="shared" si="138"/>
        <v>0</v>
      </c>
      <c r="BP479" s="37">
        <v>17</v>
      </c>
      <c r="BQ479" s="37">
        <v>26</v>
      </c>
      <c r="BR479" s="37">
        <v>25</v>
      </c>
      <c r="BS479" s="37">
        <v>25</v>
      </c>
      <c r="BT479" s="87">
        <f t="shared" si="156"/>
        <v>111</v>
      </c>
      <c r="BU479" s="87"/>
      <c r="BV479" s="87"/>
      <c r="BW479" s="87"/>
      <c r="BX479" s="87"/>
      <c r="BY479" s="87"/>
      <c r="BZ479" s="87"/>
      <c r="CA479" s="87"/>
      <c r="CB479" s="87"/>
      <c r="CC479" s="87"/>
      <c r="CD479" s="87"/>
      <c r="CF479" s="67">
        <f t="shared" si="157"/>
        <v>1887</v>
      </c>
      <c r="CG479" s="67">
        <f t="shared" si="158"/>
        <v>2886</v>
      </c>
      <c r="CH479" s="67">
        <f t="shared" si="159"/>
        <v>2775</v>
      </c>
      <c r="CI479" s="67">
        <f t="shared" si="147"/>
        <v>2775</v>
      </c>
      <c r="CJ479" s="37">
        <f t="shared" si="143"/>
        <v>629</v>
      </c>
      <c r="CK479" s="37">
        <f t="shared" si="144"/>
        <v>962</v>
      </c>
      <c r="CL479" s="37">
        <f t="shared" si="145"/>
        <v>925</v>
      </c>
      <c r="CM479" s="37">
        <f t="shared" si="146"/>
        <v>925</v>
      </c>
    </row>
    <row r="480" spans="1:91" ht="45">
      <c r="B480" s="156">
        <v>468</v>
      </c>
      <c r="C480" s="174">
        <v>225</v>
      </c>
      <c r="D480" s="160">
        <v>448</v>
      </c>
      <c r="E480" s="161">
        <v>0.55138888888888882</v>
      </c>
      <c r="F480" s="161">
        <v>0.56111111111111112</v>
      </c>
      <c r="G480" s="160" t="s">
        <v>376</v>
      </c>
      <c r="H480" s="160" t="s">
        <v>378</v>
      </c>
      <c r="I480" s="163">
        <v>6</v>
      </c>
      <c r="J480" s="164" t="s">
        <v>269</v>
      </c>
      <c r="K480" s="199">
        <v>70</v>
      </c>
      <c r="L480" s="166">
        <f t="shared" si="155"/>
        <v>420</v>
      </c>
      <c r="M480" s="167" t="s">
        <v>756</v>
      </c>
      <c r="N480" s="150" t="s">
        <v>957</v>
      </c>
      <c r="O480" s="150">
        <v>17</v>
      </c>
      <c r="P480" s="150" t="s">
        <v>967</v>
      </c>
      <c r="Q480" s="150">
        <v>17</v>
      </c>
      <c r="R480" s="154" t="s">
        <v>970</v>
      </c>
      <c r="S480" s="151">
        <v>24</v>
      </c>
      <c r="T480" s="45">
        <v>2311</v>
      </c>
      <c r="U480" s="45" t="s">
        <v>1570</v>
      </c>
      <c r="V480" s="45">
        <v>2312</v>
      </c>
      <c r="W480" s="45" t="s">
        <v>1569</v>
      </c>
      <c r="X480" s="98">
        <v>44816</v>
      </c>
      <c r="Y480" s="98">
        <v>45086</v>
      </c>
      <c r="Z480" s="98"/>
      <c r="AA480" s="98"/>
      <c r="AB480" s="45" t="s">
        <v>1148</v>
      </c>
      <c r="AC480" s="45"/>
      <c r="AD480" s="42"/>
      <c r="AE480" s="42"/>
      <c r="AF480" s="42"/>
      <c r="AG480" s="42" t="s">
        <v>734</v>
      </c>
      <c r="AH480" s="42"/>
      <c r="AI480" s="42"/>
      <c r="AJ480" s="42"/>
      <c r="AK480" s="42"/>
      <c r="AL480" s="42" t="s">
        <v>734</v>
      </c>
      <c r="AM480" s="42" t="s">
        <v>734</v>
      </c>
      <c r="AN480" s="42"/>
      <c r="AO480" s="42"/>
      <c r="AP480" s="42"/>
      <c r="AQ480" s="42"/>
      <c r="AR480" s="42"/>
      <c r="AS480" s="42"/>
      <c r="AT480" s="42"/>
      <c r="AU480" s="42"/>
      <c r="AV480" s="42"/>
      <c r="AW480" s="42"/>
      <c r="AX480" s="68">
        <v>31.3</v>
      </c>
      <c r="BA480" s="68"/>
      <c r="BB480" s="68"/>
      <c r="BD480" s="67">
        <f t="shared" ref="BD480:BD487" si="161">AX480*K480</f>
        <v>2191</v>
      </c>
      <c r="BE480" s="67"/>
      <c r="BF480" s="37"/>
      <c r="BG480" s="73">
        <v>1</v>
      </c>
      <c r="BH480" s="67">
        <f t="shared" ref="BH480:BH487" si="162">IF(AND((AX480/I480)&lt;2,BG480=1),(I480*2)-AX480,0)</f>
        <v>0</v>
      </c>
      <c r="BI480" s="67">
        <f t="shared" ref="BI480:BI487" si="163">IF(AND((AX480/I480)&lt;3,BG480=2),(I480*3)-AX480,0)</f>
        <v>0</v>
      </c>
      <c r="BJ480" s="70">
        <f t="shared" ref="BJ480:BJ487" si="164">(BH480+BI480)*K480</f>
        <v>0</v>
      </c>
      <c r="BN480" s="37"/>
      <c r="BO480" s="70">
        <f t="shared" si="138"/>
        <v>0</v>
      </c>
      <c r="BP480" s="37">
        <v>5</v>
      </c>
      <c r="BQ480" s="37">
        <v>9</v>
      </c>
      <c r="BR480" s="37">
        <v>8</v>
      </c>
      <c r="BS480" s="37">
        <v>6</v>
      </c>
      <c r="BT480" s="87">
        <f t="shared" si="156"/>
        <v>31.3</v>
      </c>
      <c r="BU480" s="87"/>
      <c r="BV480" s="87"/>
      <c r="BW480" s="87"/>
      <c r="BX480" s="87"/>
      <c r="BY480" s="87"/>
      <c r="BZ480" s="87"/>
      <c r="CA480" s="87"/>
      <c r="CB480" s="87"/>
      <c r="CC480" s="87"/>
      <c r="CD480" s="87"/>
      <c r="CF480" s="67">
        <f t="shared" si="157"/>
        <v>156.5</v>
      </c>
      <c r="CG480" s="67">
        <f t="shared" si="158"/>
        <v>281.7</v>
      </c>
      <c r="CH480" s="67">
        <f t="shared" si="159"/>
        <v>250.4</v>
      </c>
      <c r="CI480" s="67">
        <f t="shared" si="147"/>
        <v>187.8</v>
      </c>
      <c r="CJ480" s="37">
        <f t="shared" si="143"/>
        <v>30</v>
      </c>
      <c r="CK480" s="37">
        <f t="shared" si="144"/>
        <v>54</v>
      </c>
      <c r="CL480" s="37">
        <f t="shared" si="145"/>
        <v>48</v>
      </c>
      <c r="CM480" s="37">
        <f t="shared" si="146"/>
        <v>36</v>
      </c>
    </row>
    <row r="481" spans="1:91" ht="45">
      <c r="B481" s="156">
        <v>469</v>
      </c>
      <c r="C481" s="160">
        <v>215</v>
      </c>
      <c r="D481" s="160">
        <v>602</v>
      </c>
      <c r="E481" s="161">
        <v>0.56597222222222221</v>
      </c>
      <c r="F481" s="161">
        <v>0.57152777777777775</v>
      </c>
      <c r="G481" s="160" t="s">
        <v>528</v>
      </c>
      <c r="H481" s="160" t="s">
        <v>533</v>
      </c>
      <c r="I481" s="163">
        <v>5.3</v>
      </c>
      <c r="J481" s="164" t="s">
        <v>167</v>
      </c>
      <c r="K481" s="165">
        <f>34+34+36</f>
        <v>104</v>
      </c>
      <c r="L481" s="166">
        <f t="shared" si="155"/>
        <v>551.19999999999993</v>
      </c>
      <c r="M481" s="167" t="s">
        <v>756</v>
      </c>
      <c r="N481" s="150" t="s">
        <v>968</v>
      </c>
      <c r="O481" s="150">
        <v>9</v>
      </c>
      <c r="P481" s="150" t="s">
        <v>967</v>
      </c>
      <c r="Q481" s="150">
        <v>17</v>
      </c>
      <c r="R481" s="154" t="s">
        <v>1272</v>
      </c>
      <c r="S481" s="151">
        <v>9</v>
      </c>
      <c r="T481" s="45">
        <v>2323</v>
      </c>
      <c r="U481" s="45" t="s">
        <v>1556</v>
      </c>
      <c r="V481" s="45">
        <v>2327</v>
      </c>
      <c r="W481" s="45" t="s">
        <v>1564</v>
      </c>
      <c r="X481" s="98">
        <v>44816</v>
      </c>
      <c r="Y481" s="98">
        <v>45086</v>
      </c>
      <c r="Z481" s="98"/>
      <c r="AA481" s="98"/>
      <c r="AB481" s="45" t="s">
        <v>1149</v>
      </c>
      <c r="AC481" s="45"/>
      <c r="AD481" s="42"/>
      <c r="AE481" s="42"/>
      <c r="AF481" s="42"/>
      <c r="AG481" s="42" t="s">
        <v>734</v>
      </c>
      <c r="AH481" s="42"/>
      <c r="AI481" s="42" t="s">
        <v>734</v>
      </c>
      <c r="AJ481" s="42"/>
      <c r="AK481" s="42" t="s">
        <v>734</v>
      </c>
      <c r="AL481" s="42" t="s">
        <v>734</v>
      </c>
      <c r="AM481" s="42"/>
      <c r="AN481" s="42"/>
      <c r="AO481" s="42"/>
      <c r="AP481" s="42"/>
      <c r="AQ481" s="42"/>
      <c r="AR481" s="42"/>
      <c r="AS481" s="42"/>
      <c r="AT481" s="42"/>
      <c r="AU481" s="42"/>
      <c r="AV481" s="42"/>
      <c r="AW481" s="42"/>
      <c r="AX481" s="68">
        <v>15.9</v>
      </c>
      <c r="BA481" s="68"/>
      <c r="BB481" s="68"/>
      <c r="BD481" s="67">
        <f t="shared" si="161"/>
        <v>1653.6000000000001</v>
      </c>
      <c r="BE481" s="67"/>
      <c r="BF481" s="37"/>
      <c r="BG481" s="73">
        <v>1</v>
      </c>
      <c r="BH481" s="67">
        <f t="shared" si="162"/>
        <v>0</v>
      </c>
      <c r="BI481" s="67">
        <f t="shared" si="163"/>
        <v>0</v>
      </c>
      <c r="BJ481" s="70">
        <f t="shared" si="164"/>
        <v>0</v>
      </c>
      <c r="BN481" s="37"/>
      <c r="BO481" s="70">
        <f t="shared" si="138"/>
        <v>0</v>
      </c>
      <c r="BP481" s="37">
        <v>9</v>
      </c>
      <c r="BQ481" s="37">
        <v>12</v>
      </c>
      <c r="BR481" s="37">
        <v>12</v>
      </c>
      <c r="BS481" s="37">
        <v>9</v>
      </c>
      <c r="BT481" s="87">
        <f t="shared" si="156"/>
        <v>15.9</v>
      </c>
      <c r="BU481" s="87"/>
      <c r="BV481" s="87"/>
      <c r="BW481" s="87"/>
      <c r="BX481" s="87"/>
      <c r="BY481" s="87"/>
      <c r="BZ481" s="87"/>
      <c r="CA481" s="87"/>
      <c r="CB481" s="87"/>
      <c r="CC481" s="87"/>
      <c r="CD481" s="87"/>
      <c r="CF481" s="67">
        <f t="shared" si="157"/>
        <v>143.1</v>
      </c>
      <c r="CG481" s="67">
        <f t="shared" si="158"/>
        <v>190.8</v>
      </c>
      <c r="CH481" s="67">
        <f t="shared" si="159"/>
        <v>190.8</v>
      </c>
      <c r="CI481" s="67">
        <f t="shared" si="147"/>
        <v>143.1</v>
      </c>
      <c r="CJ481" s="37">
        <f t="shared" si="143"/>
        <v>47.699999999999996</v>
      </c>
      <c r="CK481" s="37">
        <f t="shared" si="144"/>
        <v>63.599999999999994</v>
      </c>
      <c r="CL481" s="37">
        <f t="shared" si="145"/>
        <v>63.599999999999994</v>
      </c>
      <c r="CM481" s="37">
        <f t="shared" si="146"/>
        <v>47.699999999999996</v>
      </c>
    </row>
    <row r="482" spans="1:91" ht="45">
      <c r="B482" s="156">
        <v>470</v>
      </c>
      <c r="C482" s="160">
        <v>215</v>
      </c>
      <c r="D482" s="160">
        <v>588</v>
      </c>
      <c r="E482" s="161">
        <v>0.57638888888888895</v>
      </c>
      <c r="F482" s="161">
        <v>0.58194444444444449</v>
      </c>
      <c r="G482" s="160" t="s">
        <v>528</v>
      </c>
      <c r="H482" s="160" t="s">
        <v>529</v>
      </c>
      <c r="I482" s="163">
        <v>5.3</v>
      </c>
      <c r="J482" s="164" t="s">
        <v>167</v>
      </c>
      <c r="K482" s="165">
        <v>34</v>
      </c>
      <c r="L482" s="166">
        <f t="shared" si="155"/>
        <v>180.2</v>
      </c>
      <c r="M482" s="167" t="s">
        <v>756</v>
      </c>
      <c r="N482" s="150" t="s">
        <v>968</v>
      </c>
      <c r="O482" s="150">
        <v>9</v>
      </c>
      <c r="P482" s="150" t="s">
        <v>967</v>
      </c>
      <c r="Q482" s="150">
        <v>17</v>
      </c>
      <c r="R482" s="154" t="s">
        <v>1272</v>
      </c>
      <c r="S482" s="151">
        <v>9</v>
      </c>
      <c r="T482" s="45">
        <v>2323</v>
      </c>
      <c r="U482" s="45" t="s">
        <v>1556</v>
      </c>
      <c r="V482" s="45">
        <v>2327</v>
      </c>
      <c r="W482" s="45" t="s">
        <v>1564</v>
      </c>
      <c r="X482" s="98">
        <v>44816</v>
      </c>
      <c r="Y482" s="98">
        <v>45086</v>
      </c>
      <c r="Z482" s="98"/>
      <c r="AA482" s="98"/>
      <c r="AB482" s="45" t="s">
        <v>1123</v>
      </c>
      <c r="AC482" s="45"/>
      <c r="AD482" s="42"/>
      <c r="AE482" s="42"/>
      <c r="AF482" s="42"/>
      <c r="AG482" s="42" t="s">
        <v>734</v>
      </c>
      <c r="AH482" s="42"/>
      <c r="AI482" s="42"/>
      <c r="AJ482" s="42"/>
      <c r="AK482" s="42"/>
      <c r="AL482" s="42"/>
      <c r="AM482" s="42" t="s">
        <v>734</v>
      </c>
      <c r="AN482" s="42"/>
      <c r="AO482" s="42"/>
      <c r="AP482" s="42"/>
      <c r="AQ482" s="42"/>
      <c r="AR482" s="42"/>
      <c r="AS482" s="42"/>
      <c r="AT482" s="42"/>
      <c r="AU482" s="42"/>
      <c r="AV482" s="42"/>
      <c r="AW482" s="42"/>
      <c r="AX482" s="68">
        <v>15.9</v>
      </c>
      <c r="BA482" s="68"/>
      <c r="BB482" s="68"/>
      <c r="BD482" s="67">
        <f t="shared" si="161"/>
        <v>540.6</v>
      </c>
      <c r="BE482" s="67"/>
      <c r="BF482" s="37"/>
      <c r="BG482" s="73">
        <v>1</v>
      </c>
      <c r="BH482" s="67">
        <f t="shared" si="162"/>
        <v>0</v>
      </c>
      <c r="BI482" s="67">
        <f t="shared" si="163"/>
        <v>0</v>
      </c>
      <c r="BJ482" s="70">
        <f t="shared" si="164"/>
        <v>0</v>
      </c>
      <c r="BN482" s="37"/>
      <c r="BO482" s="70">
        <f t="shared" si="138"/>
        <v>0</v>
      </c>
      <c r="BP482" s="37">
        <v>2</v>
      </c>
      <c r="BQ482" s="37">
        <v>5</v>
      </c>
      <c r="BR482" s="37">
        <v>4</v>
      </c>
      <c r="BS482" s="37">
        <v>3</v>
      </c>
      <c r="BT482" s="87">
        <f t="shared" si="156"/>
        <v>15.9</v>
      </c>
      <c r="BU482" s="87"/>
      <c r="BV482" s="87"/>
      <c r="BW482" s="87"/>
      <c r="BX482" s="87"/>
      <c r="BY482" s="87"/>
      <c r="BZ482" s="87"/>
      <c r="CA482" s="87"/>
      <c r="CB482" s="87"/>
      <c r="CC482" s="87"/>
      <c r="CD482" s="87"/>
      <c r="CF482" s="67">
        <f t="shared" si="157"/>
        <v>31.8</v>
      </c>
      <c r="CG482" s="67">
        <f t="shared" si="158"/>
        <v>79.5</v>
      </c>
      <c r="CH482" s="67">
        <f t="shared" si="159"/>
        <v>63.6</v>
      </c>
      <c r="CI482" s="67">
        <f t="shared" si="147"/>
        <v>47.7</v>
      </c>
      <c r="CJ482" s="37">
        <f t="shared" si="143"/>
        <v>10.6</v>
      </c>
      <c r="CK482" s="37">
        <f t="shared" si="144"/>
        <v>26.5</v>
      </c>
      <c r="CL482" s="37">
        <f t="shared" si="145"/>
        <v>21.2</v>
      </c>
      <c r="CM482" s="37">
        <f t="shared" si="146"/>
        <v>15.899999999999999</v>
      </c>
    </row>
    <row r="483" spans="1:91" ht="22.5">
      <c r="A483" s="178" t="s">
        <v>1179</v>
      </c>
      <c r="B483" s="156">
        <v>471</v>
      </c>
      <c r="C483" s="169">
        <v>215</v>
      </c>
      <c r="D483" s="169">
        <v>131</v>
      </c>
      <c r="E483" s="176">
        <v>0.58194444444444449</v>
      </c>
      <c r="F483" s="176">
        <v>0.6166666666666667</v>
      </c>
      <c r="G483" s="171" t="s">
        <v>25</v>
      </c>
      <c r="H483" s="174" t="s">
        <v>206</v>
      </c>
      <c r="I483" s="169">
        <v>37</v>
      </c>
      <c r="J483" s="169">
        <v>40</v>
      </c>
      <c r="K483" s="165">
        <v>45</v>
      </c>
      <c r="L483" s="166">
        <f t="shared" si="155"/>
        <v>1665</v>
      </c>
      <c r="M483" s="167" t="s">
        <v>744</v>
      </c>
      <c r="N483" s="150" t="s">
        <v>800</v>
      </c>
      <c r="O483" s="150">
        <v>37</v>
      </c>
      <c r="P483" s="150" t="s">
        <v>802</v>
      </c>
      <c r="Q483" s="150">
        <v>29</v>
      </c>
      <c r="R483" s="154" t="s">
        <v>801</v>
      </c>
      <c r="S483" s="150">
        <v>45</v>
      </c>
      <c r="T483" s="45">
        <v>2323</v>
      </c>
      <c r="U483" s="45" t="s">
        <v>1556</v>
      </c>
      <c r="V483" s="45">
        <v>2290</v>
      </c>
      <c r="W483" s="45" t="s">
        <v>1484</v>
      </c>
      <c r="X483" s="99">
        <v>44816</v>
      </c>
      <c r="Y483" s="99">
        <v>45100</v>
      </c>
      <c r="Z483" s="99"/>
      <c r="AA483" s="99"/>
      <c r="AB483" s="45" t="s">
        <v>1115</v>
      </c>
      <c r="AC483" s="45"/>
      <c r="AD483" s="42" t="s">
        <v>734</v>
      </c>
      <c r="AE483" s="42"/>
      <c r="AF483" s="42"/>
      <c r="AG483" s="42"/>
      <c r="AH483" s="42"/>
      <c r="AI483" s="42"/>
      <c r="AJ483" s="42"/>
      <c r="AK483" s="42"/>
      <c r="AL483" s="42"/>
      <c r="AM483" s="42"/>
      <c r="AN483" s="42" t="s">
        <v>734</v>
      </c>
      <c r="AO483" s="42"/>
      <c r="AP483" s="42"/>
      <c r="AQ483" s="42"/>
      <c r="AR483" s="42"/>
      <c r="AS483" s="42"/>
      <c r="AT483" s="42"/>
      <c r="AU483" s="42"/>
      <c r="AV483" s="42"/>
      <c r="AW483" s="42"/>
      <c r="AX483" s="67">
        <v>89</v>
      </c>
      <c r="BA483" s="68"/>
      <c r="BB483" s="68"/>
      <c r="BD483" s="67">
        <f t="shared" si="161"/>
        <v>4005</v>
      </c>
      <c r="BE483" s="67"/>
      <c r="BF483" s="37"/>
      <c r="BG483" s="69">
        <v>2</v>
      </c>
      <c r="BH483" s="67">
        <f t="shared" si="162"/>
        <v>0</v>
      </c>
      <c r="BI483" s="67">
        <f t="shared" si="163"/>
        <v>22</v>
      </c>
      <c r="BJ483" s="70">
        <f t="shared" si="164"/>
        <v>990</v>
      </c>
      <c r="BN483" s="37"/>
      <c r="BO483" s="70">
        <f t="shared" ref="BO483:BO487" si="165">BN483*K483</f>
        <v>0</v>
      </c>
      <c r="BP483" s="37">
        <v>2</v>
      </c>
      <c r="BQ483" s="37">
        <v>5</v>
      </c>
      <c r="BR483" s="37">
        <v>5</v>
      </c>
      <c r="BS483" s="37">
        <v>6</v>
      </c>
      <c r="BT483" s="87">
        <f t="shared" si="156"/>
        <v>111</v>
      </c>
      <c r="BU483" s="87"/>
      <c r="BV483" s="87"/>
      <c r="BW483" s="87"/>
      <c r="BX483" s="87"/>
      <c r="BY483" s="87"/>
      <c r="BZ483" s="87"/>
      <c r="CA483" s="87"/>
      <c r="CB483" s="87"/>
      <c r="CC483" s="87"/>
      <c r="CD483" s="87"/>
      <c r="CF483" s="67">
        <f t="shared" si="157"/>
        <v>222</v>
      </c>
      <c r="CG483" s="67">
        <f t="shared" si="158"/>
        <v>555</v>
      </c>
      <c r="CH483" s="67">
        <f t="shared" si="159"/>
        <v>555</v>
      </c>
      <c r="CI483" s="67">
        <f t="shared" si="147"/>
        <v>666</v>
      </c>
      <c r="CJ483" s="37">
        <f t="shared" si="143"/>
        <v>74</v>
      </c>
      <c r="CK483" s="37">
        <f t="shared" si="144"/>
        <v>185</v>
      </c>
      <c r="CL483" s="37">
        <f t="shared" si="145"/>
        <v>185</v>
      </c>
      <c r="CM483" s="37">
        <f t="shared" si="146"/>
        <v>222</v>
      </c>
    </row>
    <row r="484" spans="1:91" ht="45">
      <c r="B484" s="156">
        <v>472</v>
      </c>
      <c r="C484" s="192">
        <v>215</v>
      </c>
      <c r="D484" s="160">
        <v>349</v>
      </c>
      <c r="E484" s="161">
        <v>0.57986111111111105</v>
      </c>
      <c r="F484" s="161">
        <v>0.58958333333333335</v>
      </c>
      <c r="G484" s="208" t="s">
        <v>562</v>
      </c>
      <c r="H484" s="160" t="s">
        <v>560</v>
      </c>
      <c r="I484" s="163">
        <v>8.6999999999999993</v>
      </c>
      <c r="J484" s="195">
        <v>9</v>
      </c>
      <c r="K484" s="165">
        <v>70</v>
      </c>
      <c r="L484" s="166">
        <f t="shared" si="155"/>
        <v>609</v>
      </c>
      <c r="M484" s="167" t="s">
        <v>756</v>
      </c>
      <c r="N484" s="150" t="s">
        <v>1089</v>
      </c>
      <c r="O484" s="150">
        <v>9</v>
      </c>
      <c r="P484" s="150" t="s">
        <v>967</v>
      </c>
      <c r="Q484" s="150">
        <v>17</v>
      </c>
      <c r="R484" s="150" t="s">
        <v>1272</v>
      </c>
      <c r="S484" s="151">
        <v>9</v>
      </c>
      <c r="T484" s="45" t="s">
        <v>1579</v>
      </c>
      <c r="U484" s="45" t="s">
        <v>1580</v>
      </c>
      <c r="V484" s="45">
        <v>2327</v>
      </c>
      <c r="W484" s="45" t="s">
        <v>1564</v>
      </c>
      <c r="X484" s="98">
        <v>44816</v>
      </c>
      <c r="Y484" s="98">
        <v>45086</v>
      </c>
      <c r="Z484" s="98"/>
      <c r="AA484" s="98"/>
      <c r="AB484" s="46" t="s">
        <v>1150</v>
      </c>
      <c r="AC484" s="46"/>
      <c r="AD484" s="42"/>
      <c r="AE484" s="42"/>
      <c r="AF484" s="42"/>
      <c r="AG484" s="42" t="s">
        <v>734</v>
      </c>
      <c r="AH484" s="42"/>
      <c r="AI484" s="42"/>
      <c r="AJ484" s="42"/>
      <c r="AK484" s="42" t="s">
        <v>734</v>
      </c>
      <c r="AL484" s="42" t="s">
        <v>734</v>
      </c>
      <c r="AM484" s="42"/>
      <c r="AN484" s="42"/>
      <c r="AO484" s="42"/>
      <c r="AP484" s="42"/>
      <c r="AQ484" s="42"/>
      <c r="AR484" s="42"/>
      <c r="AS484" s="42"/>
      <c r="AT484" s="42"/>
      <c r="AU484" s="42"/>
      <c r="AV484" s="42"/>
      <c r="AW484" s="42"/>
      <c r="AX484" s="67">
        <f>I484*3</f>
        <v>26.099999999999998</v>
      </c>
      <c r="BA484" s="67"/>
      <c r="BB484" s="67"/>
      <c r="BD484" s="67">
        <f t="shared" si="161"/>
        <v>1826.9999999999998</v>
      </c>
      <c r="BE484" s="67"/>
      <c r="BF484" s="37"/>
      <c r="BG484" s="73">
        <v>1</v>
      </c>
      <c r="BH484" s="67">
        <f t="shared" si="162"/>
        <v>0</v>
      </c>
      <c r="BI484" s="67">
        <f t="shared" si="163"/>
        <v>0</v>
      </c>
      <c r="BJ484" s="70">
        <f t="shared" si="164"/>
        <v>0</v>
      </c>
      <c r="BN484" s="37"/>
      <c r="BO484" s="70">
        <f t="shared" si="165"/>
        <v>0</v>
      </c>
      <c r="BP484" s="37">
        <v>6</v>
      </c>
      <c r="BQ484" s="37">
        <v>8</v>
      </c>
      <c r="BR484" s="37">
        <v>8</v>
      </c>
      <c r="BS484" s="37">
        <v>6</v>
      </c>
      <c r="BT484" s="87">
        <f t="shared" si="156"/>
        <v>26.099999999999998</v>
      </c>
      <c r="BU484" s="87"/>
      <c r="BV484" s="87"/>
      <c r="BW484" s="87"/>
      <c r="BX484" s="87"/>
      <c r="BY484" s="87"/>
      <c r="BZ484" s="87"/>
      <c r="CA484" s="87"/>
      <c r="CB484" s="87"/>
      <c r="CC484" s="87"/>
      <c r="CD484" s="87"/>
      <c r="CF484" s="67">
        <f t="shared" si="157"/>
        <v>156.6</v>
      </c>
      <c r="CG484" s="67">
        <f t="shared" si="158"/>
        <v>208.79999999999998</v>
      </c>
      <c r="CH484" s="67">
        <f t="shared" si="159"/>
        <v>208.79999999999998</v>
      </c>
      <c r="CI484" s="67">
        <f t="shared" si="147"/>
        <v>156.6</v>
      </c>
      <c r="CJ484" s="37">
        <f t="shared" si="143"/>
        <v>52.199999999999996</v>
      </c>
      <c r="CK484" s="37">
        <f t="shared" si="144"/>
        <v>69.599999999999994</v>
      </c>
      <c r="CL484" s="37">
        <f t="shared" si="145"/>
        <v>69.599999999999994</v>
      </c>
      <c r="CM484" s="37">
        <f t="shared" si="146"/>
        <v>52.199999999999996</v>
      </c>
    </row>
    <row r="485" spans="1:91" ht="45">
      <c r="B485" s="156">
        <v>473</v>
      </c>
      <c r="C485" s="160">
        <v>215</v>
      </c>
      <c r="D485" s="160">
        <v>38</v>
      </c>
      <c r="E485" s="161">
        <v>0.58472222222222225</v>
      </c>
      <c r="F485" s="161">
        <v>0.58888888888888891</v>
      </c>
      <c r="G485" s="160" t="s">
        <v>461</v>
      </c>
      <c r="H485" s="160" t="s">
        <v>374</v>
      </c>
      <c r="I485" s="163">
        <v>6</v>
      </c>
      <c r="J485" s="164" t="s">
        <v>125</v>
      </c>
      <c r="K485" s="165">
        <f>174-36</f>
        <v>138</v>
      </c>
      <c r="L485" s="166">
        <f t="shared" si="155"/>
        <v>828</v>
      </c>
      <c r="M485" s="167" t="s">
        <v>756</v>
      </c>
      <c r="N485" s="154" t="s">
        <v>969</v>
      </c>
      <c r="O485" s="154">
        <v>18</v>
      </c>
      <c r="P485" s="154" t="s">
        <v>967</v>
      </c>
      <c r="Q485" s="154">
        <v>17</v>
      </c>
      <c r="R485" s="154" t="s">
        <v>970</v>
      </c>
      <c r="S485" s="151">
        <v>24</v>
      </c>
      <c r="T485" s="45" t="s">
        <v>1563</v>
      </c>
      <c r="U485" s="45" t="s">
        <v>1560</v>
      </c>
      <c r="V485" s="45">
        <v>2323</v>
      </c>
      <c r="W485" s="45" t="s">
        <v>1556</v>
      </c>
      <c r="X485" s="98">
        <v>44816</v>
      </c>
      <c r="Y485" s="98">
        <v>45086</v>
      </c>
      <c r="Z485" s="98"/>
      <c r="AA485" s="98"/>
      <c r="AB485" s="45" t="s">
        <v>1146</v>
      </c>
      <c r="AC485" s="45"/>
      <c r="AD485" s="42"/>
      <c r="AE485" s="42"/>
      <c r="AF485" s="42"/>
      <c r="AG485" s="42" t="s">
        <v>734</v>
      </c>
      <c r="AH485" s="42" t="s">
        <v>734</v>
      </c>
      <c r="AI485" s="42" t="s">
        <v>734</v>
      </c>
      <c r="AJ485" s="42"/>
      <c r="AK485" s="42" t="s">
        <v>734</v>
      </c>
      <c r="AL485" s="42" t="s">
        <v>734</v>
      </c>
      <c r="AM485" s="42"/>
      <c r="AN485" s="42"/>
      <c r="AO485" s="42"/>
      <c r="AP485" s="42"/>
      <c r="AQ485" s="42"/>
      <c r="AR485" s="42"/>
      <c r="AS485" s="42"/>
      <c r="AT485" s="42"/>
      <c r="AU485" s="42"/>
      <c r="AV485" s="42"/>
      <c r="AW485" s="42"/>
      <c r="AX485" s="68">
        <v>18</v>
      </c>
      <c r="BA485" s="68"/>
      <c r="BB485" s="68"/>
      <c r="BD485" s="67">
        <f t="shared" si="161"/>
        <v>2484</v>
      </c>
      <c r="BE485" s="67"/>
      <c r="BF485" s="37"/>
      <c r="BG485" s="73">
        <v>1</v>
      </c>
      <c r="BH485" s="67">
        <f t="shared" si="162"/>
        <v>0</v>
      </c>
      <c r="BI485" s="67">
        <f t="shared" si="163"/>
        <v>0</v>
      </c>
      <c r="BJ485" s="70">
        <f t="shared" si="164"/>
        <v>0</v>
      </c>
      <c r="BN485" s="37"/>
      <c r="BO485" s="70">
        <f t="shared" si="165"/>
        <v>0</v>
      </c>
      <c r="BP485" s="37">
        <v>12</v>
      </c>
      <c r="BQ485" s="37">
        <v>16</v>
      </c>
      <c r="BR485" s="37">
        <v>16</v>
      </c>
      <c r="BS485" s="37">
        <v>12</v>
      </c>
      <c r="BT485" s="87">
        <f t="shared" si="156"/>
        <v>18</v>
      </c>
      <c r="BU485" s="87"/>
      <c r="BV485" s="87"/>
      <c r="BW485" s="87"/>
      <c r="BX485" s="87"/>
      <c r="BY485" s="87"/>
      <c r="BZ485" s="87"/>
      <c r="CA485" s="87"/>
      <c r="CB485" s="87"/>
      <c r="CC485" s="87"/>
      <c r="CD485" s="87"/>
      <c r="CF485" s="67">
        <f t="shared" si="157"/>
        <v>216</v>
      </c>
      <c r="CG485" s="67">
        <f t="shared" si="158"/>
        <v>288</v>
      </c>
      <c r="CH485" s="67">
        <f t="shared" si="159"/>
        <v>288</v>
      </c>
      <c r="CI485" s="67">
        <f t="shared" si="147"/>
        <v>216</v>
      </c>
      <c r="CJ485" s="37">
        <f t="shared" si="143"/>
        <v>72</v>
      </c>
      <c r="CK485" s="37">
        <f t="shared" si="144"/>
        <v>96</v>
      </c>
      <c r="CL485" s="37">
        <f t="shared" si="145"/>
        <v>96</v>
      </c>
      <c r="CM485" s="37">
        <f t="shared" si="146"/>
        <v>72</v>
      </c>
    </row>
    <row r="486" spans="1:91" ht="25.5">
      <c r="A486" s="150"/>
      <c r="B486" s="156">
        <v>474</v>
      </c>
      <c r="C486" s="160">
        <v>215</v>
      </c>
      <c r="D486" s="164">
        <v>478</v>
      </c>
      <c r="E486" s="161">
        <v>0.58611111111111114</v>
      </c>
      <c r="F486" s="161">
        <v>0.58888888888888891</v>
      </c>
      <c r="G486" s="160" t="s">
        <v>283</v>
      </c>
      <c r="H486" s="160" t="s">
        <v>103</v>
      </c>
      <c r="I486" s="163">
        <v>2.5</v>
      </c>
      <c r="J486" s="164" t="s">
        <v>116</v>
      </c>
      <c r="K486" s="165">
        <v>174</v>
      </c>
      <c r="L486" s="166">
        <f t="shared" si="155"/>
        <v>435</v>
      </c>
      <c r="M486" s="167" t="s">
        <v>754</v>
      </c>
      <c r="N486" s="150" t="s">
        <v>893</v>
      </c>
      <c r="O486" s="150">
        <v>9</v>
      </c>
      <c r="P486" s="150" t="s">
        <v>894</v>
      </c>
      <c r="Q486" s="150">
        <v>9</v>
      </c>
      <c r="R486" s="150" t="s">
        <v>892</v>
      </c>
      <c r="S486" s="151">
        <v>21</v>
      </c>
      <c r="T486" s="45">
        <v>2305</v>
      </c>
      <c r="U486" s="45" t="s">
        <v>1557</v>
      </c>
      <c r="V486" s="45">
        <v>2307</v>
      </c>
      <c r="W486" s="45" t="s">
        <v>1576</v>
      </c>
      <c r="X486" s="98">
        <v>44816</v>
      </c>
      <c r="Y486" s="98">
        <v>45086</v>
      </c>
      <c r="Z486" s="98"/>
      <c r="AA486" s="98"/>
      <c r="AB486" s="41" t="s">
        <v>1114</v>
      </c>
      <c r="AC486" s="41"/>
      <c r="AD486" s="42"/>
      <c r="AE486" s="42"/>
      <c r="AF486" s="42"/>
      <c r="AG486" s="42" t="s">
        <v>734</v>
      </c>
      <c r="AH486" s="42" t="s">
        <v>734</v>
      </c>
      <c r="AI486" s="42" t="s">
        <v>734</v>
      </c>
      <c r="AJ486" s="42" t="s">
        <v>734</v>
      </c>
      <c r="AK486" s="42" t="s">
        <v>734</v>
      </c>
      <c r="AL486" s="42" t="s">
        <v>734</v>
      </c>
      <c r="AM486" s="42"/>
      <c r="AN486" s="42"/>
      <c r="AO486" s="42"/>
      <c r="AP486" s="42"/>
      <c r="AQ486" s="42"/>
      <c r="AR486" s="42"/>
      <c r="AS486" s="42"/>
      <c r="AT486" s="42"/>
      <c r="AU486" s="42"/>
      <c r="AV486" s="42"/>
      <c r="AW486" s="42"/>
      <c r="AX486" s="68">
        <v>4.5</v>
      </c>
      <c r="BA486" s="68"/>
      <c r="BB486" s="68"/>
      <c r="BD486" s="67">
        <f t="shared" si="161"/>
        <v>783</v>
      </c>
      <c r="BE486" s="67"/>
      <c r="BF486" s="37"/>
      <c r="BG486" s="73">
        <v>1</v>
      </c>
      <c r="BH486" s="67">
        <f t="shared" si="162"/>
        <v>0.5</v>
      </c>
      <c r="BI486" s="67">
        <f t="shared" si="163"/>
        <v>0</v>
      </c>
      <c r="BJ486" s="67">
        <f t="shared" si="164"/>
        <v>87</v>
      </c>
      <c r="BN486" s="37"/>
      <c r="BO486" s="70">
        <f t="shared" si="165"/>
        <v>0</v>
      </c>
      <c r="BP486" s="37">
        <v>15</v>
      </c>
      <c r="BQ486" s="37">
        <v>20</v>
      </c>
      <c r="BR486" s="37">
        <v>21</v>
      </c>
      <c r="BS486" s="37">
        <v>15</v>
      </c>
      <c r="BT486" s="87">
        <f t="shared" si="156"/>
        <v>5</v>
      </c>
      <c r="BU486" s="87"/>
      <c r="BV486" s="87"/>
      <c r="BW486" s="87"/>
      <c r="BX486" s="87"/>
      <c r="BY486" s="87"/>
      <c r="BZ486" s="87"/>
      <c r="CA486" s="87"/>
      <c r="CB486" s="87"/>
      <c r="CC486" s="87"/>
      <c r="CD486" s="87"/>
      <c r="CF486" s="67">
        <f t="shared" si="157"/>
        <v>75</v>
      </c>
      <c r="CG486" s="67">
        <f t="shared" si="158"/>
        <v>100</v>
      </c>
      <c r="CH486" s="67">
        <f t="shared" si="159"/>
        <v>105</v>
      </c>
      <c r="CI486" s="67">
        <f t="shared" si="147"/>
        <v>75</v>
      </c>
      <c r="CJ486" s="37">
        <f t="shared" si="143"/>
        <v>37.5</v>
      </c>
      <c r="CK486" s="37">
        <f t="shared" si="144"/>
        <v>50</v>
      </c>
      <c r="CL486" s="37">
        <f t="shared" si="145"/>
        <v>52.5</v>
      </c>
      <c r="CM486" s="37">
        <f t="shared" si="146"/>
        <v>37.5</v>
      </c>
    </row>
    <row r="487" spans="1:91" ht="45">
      <c r="B487" s="156">
        <v>475</v>
      </c>
      <c r="C487" s="160">
        <v>225</v>
      </c>
      <c r="D487" s="160">
        <v>441</v>
      </c>
      <c r="E487" s="161">
        <v>0.59027777777777779</v>
      </c>
      <c r="F487" s="161">
        <v>0.60069444444444442</v>
      </c>
      <c r="G487" s="160" t="s">
        <v>376</v>
      </c>
      <c r="H487" s="160" t="s">
        <v>103</v>
      </c>
      <c r="I487" s="163">
        <v>6</v>
      </c>
      <c r="J487" s="164" t="s">
        <v>269</v>
      </c>
      <c r="K487" s="165">
        <v>174</v>
      </c>
      <c r="L487" s="166">
        <f t="shared" si="155"/>
        <v>1044</v>
      </c>
      <c r="M487" s="167" t="s">
        <v>756</v>
      </c>
      <c r="N487" s="150" t="s">
        <v>957</v>
      </c>
      <c r="O487" s="150">
        <v>17</v>
      </c>
      <c r="P487" s="150" t="s">
        <v>1272</v>
      </c>
      <c r="Q487" s="150">
        <v>9</v>
      </c>
      <c r="R487" s="150" t="s">
        <v>970</v>
      </c>
      <c r="S487" s="152">
        <v>24</v>
      </c>
      <c r="T487" s="41">
        <v>2311</v>
      </c>
      <c r="U487" s="41" t="s">
        <v>1570</v>
      </c>
      <c r="V487" s="41">
        <v>2312</v>
      </c>
      <c r="W487" s="41" t="s">
        <v>1569</v>
      </c>
      <c r="X487" s="98">
        <v>44816</v>
      </c>
      <c r="Y487" s="98">
        <v>45086</v>
      </c>
      <c r="Z487" s="98"/>
      <c r="AA487" s="98"/>
      <c r="AB487" s="41" t="s">
        <v>1114</v>
      </c>
      <c r="AC487" s="41"/>
      <c r="AD487" s="42"/>
      <c r="AE487" s="42"/>
      <c r="AF487" s="42"/>
      <c r="AG487" s="42" t="s">
        <v>734</v>
      </c>
      <c r="AH487" s="42" t="s">
        <v>734</v>
      </c>
      <c r="AI487" s="42" t="s">
        <v>734</v>
      </c>
      <c r="AJ487" s="42" t="s">
        <v>734</v>
      </c>
      <c r="AK487" s="42" t="s">
        <v>734</v>
      </c>
      <c r="AL487" s="42" t="s">
        <v>734</v>
      </c>
      <c r="AM487" s="42"/>
      <c r="AN487" s="42"/>
      <c r="AO487" s="42"/>
      <c r="AP487" s="42"/>
      <c r="AQ487" s="42"/>
      <c r="AR487" s="42"/>
      <c r="AS487" s="42"/>
      <c r="AT487" s="42"/>
      <c r="AU487" s="42"/>
      <c r="AV487" s="42"/>
      <c r="AW487" s="42"/>
      <c r="AX487" s="67">
        <v>31.3</v>
      </c>
      <c r="BA487" s="67"/>
      <c r="BB487" s="67"/>
      <c r="BD487" s="67">
        <f t="shared" si="161"/>
        <v>5446.2</v>
      </c>
      <c r="BE487" s="67"/>
      <c r="BF487" s="37"/>
      <c r="BG487" s="37">
        <v>1</v>
      </c>
      <c r="BH487" s="67">
        <f t="shared" si="162"/>
        <v>0</v>
      </c>
      <c r="BI487" s="67">
        <f t="shared" si="163"/>
        <v>0</v>
      </c>
      <c r="BJ487" s="70">
        <f t="shared" si="164"/>
        <v>0</v>
      </c>
      <c r="BN487" s="37"/>
      <c r="BO487" s="70">
        <f t="shared" si="165"/>
        <v>0</v>
      </c>
      <c r="BP487" s="37">
        <v>15</v>
      </c>
      <c r="BQ487" s="37">
        <v>20</v>
      </c>
      <c r="BR487" s="37">
        <v>21</v>
      </c>
      <c r="BS487" s="37">
        <v>15</v>
      </c>
      <c r="BT487" s="87">
        <f t="shared" si="156"/>
        <v>31.3</v>
      </c>
      <c r="BU487" s="87"/>
      <c r="BV487" s="87"/>
      <c r="BW487" s="87"/>
      <c r="BX487" s="87"/>
      <c r="BY487" s="87"/>
      <c r="BZ487" s="87"/>
      <c r="CA487" s="87"/>
      <c r="CB487" s="87"/>
      <c r="CC487" s="87"/>
      <c r="CD487" s="87"/>
      <c r="CF487" s="67">
        <f t="shared" si="157"/>
        <v>469.5</v>
      </c>
      <c r="CG487" s="67">
        <f t="shared" si="158"/>
        <v>626</v>
      </c>
      <c r="CH487" s="67">
        <f t="shared" si="159"/>
        <v>657.30000000000007</v>
      </c>
      <c r="CI487" s="67">
        <f t="shared" si="147"/>
        <v>469.5</v>
      </c>
      <c r="CJ487" s="37">
        <f t="shared" si="143"/>
        <v>90</v>
      </c>
      <c r="CK487" s="37">
        <f t="shared" si="144"/>
        <v>120</v>
      </c>
      <c r="CL487" s="37">
        <f t="shared" si="145"/>
        <v>126</v>
      </c>
      <c r="CM487" s="37">
        <f t="shared" si="146"/>
        <v>90</v>
      </c>
    </row>
    <row r="488" spans="1:91" ht="38.25">
      <c r="A488" s="225" t="s">
        <v>2037</v>
      </c>
      <c r="B488" s="226">
        <v>476</v>
      </c>
      <c r="C488" s="241">
        <v>215</v>
      </c>
      <c r="D488" s="241">
        <v>142</v>
      </c>
      <c r="E488" s="242">
        <v>0.59930555555555554</v>
      </c>
      <c r="F488" s="242">
        <v>0.64097222222222217</v>
      </c>
      <c r="G488" s="243" t="s">
        <v>26</v>
      </c>
      <c r="H488" s="227" t="s">
        <v>693</v>
      </c>
      <c r="I488" s="241">
        <v>38</v>
      </c>
      <c r="J488" s="244">
        <v>40</v>
      </c>
      <c r="K488" s="239">
        <v>3</v>
      </c>
      <c r="L488" s="233">
        <f t="shared" si="155"/>
        <v>114</v>
      </c>
      <c r="M488" s="234" t="s">
        <v>2129</v>
      </c>
      <c r="N488" s="249"/>
      <c r="O488" s="249"/>
      <c r="P488" s="249"/>
      <c r="Q488" s="249"/>
      <c r="R488" s="249"/>
      <c r="S488" s="249"/>
      <c r="T488" s="240"/>
      <c r="U488" s="240"/>
      <c r="V488" s="240"/>
      <c r="W488" s="240"/>
      <c r="X488" s="235"/>
      <c r="Y488" s="235"/>
      <c r="Z488" s="235"/>
      <c r="AA488" s="235"/>
      <c r="AB488" s="235"/>
      <c r="AC488" s="235"/>
      <c r="AD488" s="240"/>
      <c r="AE488" s="240"/>
      <c r="AF488" s="240"/>
      <c r="AG488" s="240"/>
      <c r="AH488" s="240"/>
      <c r="AI488" s="240"/>
      <c r="AJ488" s="240"/>
      <c r="AK488" s="240"/>
      <c r="AL488" s="240"/>
      <c r="AM488" s="240"/>
      <c r="AN488" s="240"/>
      <c r="AO488" s="240"/>
      <c r="AP488" s="240"/>
      <c r="AQ488" s="240"/>
      <c r="AR488" s="240"/>
      <c r="AS488" s="240"/>
      <c r="AT488" s="240"/>
      <c r="AU488" s="240"/>
      <c r="AV488" s="240"/>
      <c r="AW488" s="240"/>
      <c r="AX488" s="235"/>
      <c r="AY488" s="235"/>
      <c r="AZ488" s="235"/>
      <c r="BA488" s="235"/>
      <c r="BB488" s="235"/>
      <c r="BC488" s="235"/>
      <c r="BD488" s="235"/>
      <c r="BE488" s="235"/>
      <c r="BF488" s="235"/>
      <c r="BG488" s="235"/>
      <c r="BH488" s="235"/>
      <c r="BI488" s="235"/>
      <c r="BJ488" s="235"/>
      <c r="BK488" s="235"/>
      <c r="BL488" s="235"/>
      <c r="BM488" s="235"/>
      <c r="BN488" s="235"/>
      <c r="BO488" s="250"/>
      <c r="BP488" s="236"/>
      <c r="BQ488" s="236"/>
      <c r="BR488" s="236"/>
      <c r="BS488" s="236"/>
      <c r="BT488" s="237"/>
      <c r="BU488" s="237"/>
      <c r="BV488" s="237"/>
      <c r="BW488" s="237"/>
      <c r="BX488" s="237"/>
      <c r="BY488" s="237"/>
      <c r="BZ488" s="237"/>
      <c r="CA488" s="237"/>
      <c r="CB488" s="237"/>
      <c r="CC488" s="237"/>
      <c r="CD488" s="237"/>
      <c r="CE488" s="236"/>
      <c r="CF488" s="238"/>
      <c r="CG488" s="238"/>
      <c r="CH488" s="238">
        <f t="shared" si="159"/>
        <v>0</v>
      </c>
      <c r="CI488" s="67">
        <f t="shared" si="147"/>
        <v>0</v>
      </c>
      <c r="CJ488" s="37">
        <f t="shared" si="143"/>
        <v>0</v>
      </c>
      <c r="CK488" s="37">
        <f t="shared" si="144"/>
        <v>0</v>
      </c>
      <c r="CL488" s="37">
        <f t="shared" si="145"/>
        <v>0</v>
      </c>
      <c r="CM488" s="37">
        <f t="shared" si="146"/>
        <v>0</v>
      </c>
    </row>
    <row r="489" spans="1:91" ht="45">
      <c r="B489" s="156">
        <v>477</v>
      </c>
      <c r="C489" s="160">
        <v>215</v>
      </c>
      <c r="D489" s="160">
        <v>604</v>
      </c>
      <c r="E489" s="161">
        <v>0.60416666666666663</v>
      </c>
      <c r="F489" s="161">
        <v>0.60972222222222217</v>
      </c>
      <c r="G489" s="160" t="s">
        <v>528</v>
      </c>
      <c r="H489" s="160" t="s">
        <v>713</v>
      </c>
      <c r="I489" s="163">
        <v>5.3</v>
      </c>
      <c r="J489" s="164" t="s">
        <v>167</v>
      </c>
      <c r="K489" s="165">
        <f>33+36</f>
        <v>69</v>
      </c>
      <c r="L489" s="166">
        <f t="shared" si="155"/>
        <v>365.7</v>
      </c>
      <c r="M489" s="167" t="s">
        <v>756</v>
      </c>
      <c r="N489" s="154" t="s">
        <v>967</v>
      </c>
      <c r="O489" s="154">
        <v>17</v>
      </c>
      <c r="P489" s="154" t="s">
        <v>968</v>
      </c>
      <c r="Q489" s="154">
        <v>9</v>
      </c>
      <c r="R489" s="154" t="s">
        <v>1272</v>
      </c>
      <c r="S489" s="151">
        <v>9</v>
      </c>
      <c r="T489" s="45">
        <v>2323</v>
      </c>
      <c r="U489" s="45" t="s">
        <v>1556</v>
      </c>
      <c r="V489" s="45">
        <v>2327</v>
      </c>
      <c r="W489" s="45" t="s">
        <v>1564</v>
      </c>
      <c r="X489" s="98">
        <v>44816</v>
      </c>
      <c r="Y489" s="98">
        <v>45086</v>
      </c>
      <c r="Z489" s="98"/>
      <c r="AA489" s="98"/>
      <c r="AB489" s="45" t="s">
        <v>1151</v>
      </c>
      <c r="AC489" s="45"/>
      <c r="AD489" s="42"/>
      <c r="AE489" s="42"/>
      <c r="AF489" s="42"/>
      <c r="AG489" s="42" t="s">
        <v>734</v>
      </c>
      <c r="AH489" s="42" t="s">
        <v>734</v>
      </c>
      <c r="AI489" s="42"/>
      <c r="AJ489" s="42" t="s">
        <v>734</v>
      </c>
      <c r="AK489" s="42"/>
      <c r="AL489" s="42"/>
      <c r="AM489" s="42"/>
      <c r="AN489" s="42"/>
      <c r="AO489" s="42"/>
      <c r="AP489" s="42"/>
      <c r="AQ489" s="42"/>
      <c r="AR489" s="42"/>
      <c r="AS489" s="42"/>
      <c r="AT489" s="42"/>
      <c r="AU489" s="42"/>
      <c r="AV489" s="42"/>
      <c r="AW489" s="42"/>
      <c r="AX489" s="68">
        <v>15.9</v>
      </c>
      <c r="BA489" s="68"/>
      <c r="BB489" s="68"/>
      <c r="BD489" s="67">
        <f t="shared" ref="BD489:BD494" si="166">AX489*K489</f>
        <v>1097.1000000000001</v>
      </c>
      <c r="BE489" s="67"/>
      <c r="BF489" s="37"/>
      <c r="BG489" s="73">
        <v>1</v>
      </c>
      <c r="BH489" s="67">
        <f>IF(AND((AX489/I489)&lt;2,BG489=1),(I489*2)-AX489,0)</f>
        <v>0</v>
      </c>
      <c r="BI489" s="67">
        <f>IF(AND((AX489/I489)&lt;3,BG489=2),(I489*3)-AX489,0)</f>
        <v>0</v>
      </c>
      <c r="BJ489" s="70">
        <f>(BH489+BI489)*K489</f>
        <v>0</v>
      </c>
      <c r="BN489" s="37"/>
      <c r="BO489" s="70">
        <f t="shared" ref="BO489:BO497" si="167">BN489*K489</f>
        <v>0</v>
      </c>
      <c r="BP489" s="37">
        <v>6</v>
      </c>
      <c r="BQ489" s="37">
        <v>8</v>
      </c>
      <c r="BR489" s="37">
        <v>9</v>
      </c>
      <c r="BS489" s="37">
        <v>6</v>
      </c>
      <c r="BT489" s="87">
        <f t="shared" ref="BT489:BT497" si="168">SUM(AX489:AZ489)+SUM(BH489:BI489)+SUM(BK489:BL489)+BN489</f>
        <v>15.9</v>
      </c>
      <c r="BU489" s="87"/>
      <c r="BV489" s="87"/>
      <c r="BW489" s="87"/>
      <c r="BX489" s="87"/>
      <c r="BY489" s="87"/>
      <c r="BZ489" s="87"/>
      <c r="CA489" s="87"/>
      <c r="CB489" s="87"/>
      <c r="CC489" s="87"/>
      <c r="CD489" s="87"/>
      <c r="CF489" s="67">
        <f t="shared" ref="CF489:CF497" si="169">(BT489*BP489)+(BV489*CD489)</f>
        <v>95.4</v>
      </c>
      <c r="CG489" s="67">
        <f t="shared" ref="CG489:CG505" si="170">(BT489*BQ489)+(BX489*CD489)</f>
        <v>127.2</v>
      </c>
      <c r="CH489" s="67">
        <f t="shared" si="159"/>
        <v>143.1</v>
      </c>
      <c r="CI489" s="67">
        <f t="shared" si="147"/>
        <v>95.4</v>
      </c>
      <c r="CJ489" s="37">
        <f t="shared" si="143"/>
        <v>31.799999999999997</v>
      </c>
      <c r="CK489" s="37">
        <f t="shared" si="144"/>
        <v>42.4</v>
      </c>
      <c r="CL489" s="37">
        <f t="shared" si="145"/>
        <v>47.699999999999996</v>
      </c>
      <c r="CM489" s="37">
        <f t="shared" si="146"/>
        <v>31.799999999999997</v>
      </c>
    </row>
    <row r="490" spans="1:91" ht="45">
      <c r="B490" s="156">
        <v>478</v>
      </c>
      <c r="C490" s="174">
        <v>215</v>
      </c>
      <c r="D490" s="160">
        <v>610</v>
      </c>
      <c r="E490" s="161">
        <v>0.60555555555555551</v>
      </c>
      <c r="F490" s="161">
        <v>0.61597222222222225</v>
      </c>
      <c r="G490" s="160" t="s">
        <v>377</v>
      </c>
      <c r="H490" s="160" t="s">
        <v>103</v>
      </c>
      <c r="I490" s="163">
        <v>9</v>
      </c>
      <c r="J490" s="164">
        <v>16</v>
      </c>
      <c r="K490" s="165">
        <v>174</v>
      </c>
      <c r="L490" s="166">
        <f t="shared" si="155"/>
        <v>1566</v>
      </c>
      <c r="M490" s="167" t="s">
        <v>756</v>
      </c>
      <c r="N490" s="150" t="s">
        <v>957</v>
      </c>
      <c r="O490" s="150">
        <v>17</v>
      </c>
      <c r="P490" s="150" t="s">
        <v>967</v>
      </c>
      <c r="Q490" s="150">
        <v>17</v>
      </c>
      <c r="R490" s="154" t="s">
        <v>1272</v>
      </c>
      <c r="S490" s="151">
        <v>9</v>
      </c>
      <c r="T490" s="45" t="s">
        <v>1563</v>
      </c>
      <c r="U490" s="45" t="s">
        <v>1560</v>
      </c>
      <c r="V490" s="45">
        <v>2323</v>
      </c>
      <c r="W490" s="45" t="s">
        <v>1556</v>
      </c>
      <c r="X490" s="98">
        <v>44816</v>
      </c>
      <c r="Y490" s="98">
        <v>45086</v>
      </c>
      <c r="Z490" s="98"/>
      <c r="AA490" s="98"/>
      <c r="AB490" s="41" t="s">
        <v>1114</v>
      </c>
      <c r="AC490" s="41"/>
      <c r="AD490" s="42"/>
      <c r="AE490" s="42"/>
      <c r="AF490" s="42"/>
      <c r="AG490" s="42" t="s">
        <v>734</v>
      </c>
      <c r="AH490" s="42" t="s">
        <v>734</v>
      </c>
      <c r="AI490" s="42" t="s">
        <v>734</v>
      </c>
      <c r="AJ490" s="42" t="s">
        <v>734</v>
      </c>
      <c r="AK490" s="42" t="s">
        <v>734</v>
      </c>
      <c r="AL490" s="42" t="s">
        <v>734</v>
      </c>
      <c r="AM490" s="42"/>
      <c r="AN490" s="42"/>
      <c r="AO490" s="42"/>
      <c r="AP490" s="42"/>
      <c r="AQ490" s="42"/>
      <c r="AR490" s="42"/>
      <c r="AS490" s="42"/>
      <c r="AT490" s="42"/>
      <c r="AU490" s="42"/>
      <c r="AV490" s="42"/>
      <c r="AW490" s="42"/>
      <c r="AX490" s="68">
        <v>16.2</v>
      </c>
      <c r="BA490" s="68"/>
      <c r="BB490" s="68"/>
      <c r="BD490" s="67">
        <f t="shared" si="166"/>
        <v>2818.7999999999997</v>
      </c>
      <c r="BE490" s="67"/>
      <c r="BF490" s="37"/>
      <c r="BG490" s="73">
        <v>1</v>
      </c>
      <c r="BH490" s="67">
        <f>IF(AND((AX490/I490)&lt;2,BG490=1),(I490*2)-AX490,0)</f>
        <v>1.8000000000000007</v>
      </c>
      <c r="BI490" s="67">
        <f>IF(AND((AX490/I490)&lt;3,BG490=2),(I490*3)-AX490,0)</f>
        <v>0</v>
      </c>
      <c r="BJ490" s="67">
        <f>(BH490+BI490)*K490</f>
        <v>313.2000000000001</v>
      </c>
      <c r="BN490" s="37"/>
      <c r="BO490" s="70">
        <f t="shared" si="167"/>
        <v>0</v>
      </c>
      <c r="BP490" s="37">
        <v>15</v>
      </c>
      <c r="BQ490" s="37">
        <v>20</v>
      </c>
      <c r="BR490" s="37">
        <v>21</v>
      </c>
      <c r="BS490" s="37">
        <v>15</v>
      </c>
      <c r="BT490" s="87">
        <f t="shared" si="168"/>
        <v>18</v>
      </c>
      <c r="BU490" s="87"/>
      <c r="BV490" s="87"/>
      <c r="BW490" s="87"/>
      <c r="BX490" s="87"/>
      <c r="BY490" s="87"/>
      <c r="BZ490" s="87"/>
      <c r="CA490" s="87"/>
      <c r="CB490" s="87"/>
      <c r="CC490" s="87"/>
      <c r="CD490" s="87"/>
      <c r="CF490" s="67">
        <f t="shared" si="169"/>
        <v>270</v>
      </c>
      <c r="CG490" s="67">
        <f t="shared" si="170"/>
        <v>360</v>
      </c>
      <c r="CH490" s="67">
        <f t="shared" si="159"/>
        <v>378</v>
      </c>
      <c r="CI490" s="67">
        <f t="shared" si="147"/>
        <v>270</v>
      </c>
      <c r="CJ490" s="37">
        <f t="shared" si="143"/>
        <v>135</v>
      </c>
      <c r="CK490" s="37">
        <f t="shared" si="144"/>
        <v>180</v>
      </c>
      <c r="CL490" s="37">
        <f t="shared" si="145"/>
        <v>189</v>
      </c>
      <c r="CM490" s="37">
        <f t="shared" si="146"/>
        <v>135</v>
      </c>
    </row>
    <row r="491" spans="1:91" ht="25.5">
      <c r="B491" s="156">
        <v>479</v>
      </c>
      <c r="C491" s="160">
        <v>215</v>
      </c>
      <c r="D491" s="164">
        <v>40</v>
      </c>
      <c r="E491" s="161">
        <v>0.6118055555555556</v>
      </c>
      <c r="F491" s="161">
        <v>0.62013888888888891</v>
      </c>
      <c r="G491" s="160" t="s">
        <v>284</v>
      </c>
      <c r="H491" s="160" t="s">
        <v>194</v>
      </c>
      <c r="I491" s="163">
        <v>7.5</v>
      </c>
      <c r="J491" s="164" t="s">
        <v>93</v>
      </c>
      <c r="K491" s="165">
        <f>34+34+36+33</f>
        <v>137</v>
      </c>
      <c r="L491" s="166">
        <f t="shared" si="155"/>
        <v>1027.5</v>
      </c>
      <c r="M491" s="167" t="s">
        <v>754</v>
      </c>
      <c r="N491" s="150" t="s">
        <v>892</v>
      </c>
      <c r="O491" s="150">
        <v>21</v>
      </c>
      <c r="P491" s="150" t="s">
        <v>893</v>
      </c>
      <c r="Q491" s="150">
        <v>9</v>
      </c>
      <c r="R491" s="154" t="s">
        <v>894</v>
      </c>
      <c r="S491" s="151">
        <v>9</v>
      </c>
      <c r="T491" s="45">
        <v>2311</v>
      </c>
      <c r="U491" s="45" t="s">
        <v>1570</v>
      </c>
      <c r="V491" s="45">
        <v>2304</v>
      </c>
      <c r="W491" s="45" t="s">
        <v>1552</v>
      </c>
      <c r="X491" s="98">
        <v>44816</v>
      </c>
      <c r="Y491" s="98">
        <v>45086</v>
      </c>
      <c r="Z491" s="98"/>
      <c r="AA491" s="98"/>
      <c r="AB491" s="43" t="s">
        <v>1117</v>
      </c>
      <c r="AC491" s="43"/>
      <c r="AD491" s="42"/>
      <c r="AE491" s="42"/>
      <c r="AF491" s="42"/>
      <c r="AG491" s="42" t="s">
        <v>734</v>
      </c>
      <c r="AH491" s="42" t="s">
        <v>734</v>
      </c>
      <c r="AI491" s="42" t="s">
        <v>734</v>
      </c>
      <c r="AJ491" s="42" t="s">
        <v>734</v>
      </c>
      <c r="AK491" s="42" t="s">
        <v>734</v>
      </c>
      <c r="AL491" s="42"/>
      <c r="AM491" s="42"/>
      <c r="AN491" s="42"/>
      <c r="AO491" s="42"/>
      <c r="AP491" s="42"/>
      <c r="AQ491" s="42"/>
      <c r="AR491" s="42"/>
      <c r="AS491" s="42"/>
      <c r="AT491" s="42"/>
      <c r="AU491" s="42"/>
      <c r="AV491" s="42"/>
      <c r="AW491" s="42"/>
      <c r="AX491" s="68">
        <v>13.5</v>
      </c>
      <c r="BA491" s="68"/>
      <c r="BB491" s="68"/>
      <c r="BD491" s="67">
        <f t="shared" si="166"/>
        <v>1849.5</v>
      </c>
      <c r="BE491" s="67"/>
      <c r="BF491" s="37"/>
      <c r="BG491" s="73">
        <v>1</v>
      </c>
      <c r="BH491" s="67">
        <f>IF(AND((AX491/I491)&lt;2,BG491=1),(I491*2)-AX491,0)</f>
        <v>1.5</v>
      </c>
      <c r="BI491" s="67">
        <f>IF(AND((AX491/I491)&lt;3,BG491=2),(I491*3)-AX491,0)</f>
        <v>0</v>
      </c>
      <c r="BJ491" s="67">
        <f>(BH491+BI491)*K491</f>
        <v>205.5</v>
      </c>
      <c r="BN491" s="37"/>
      <c r="BO491" s="70">
        <f t="shared" si="167"/>
        <v>0</v>
      </c>
      <c r="BP491" s="37">
        <v>12</v>
      </c>
      <c r="BQ491" s="37">
        <v>16</v>
      </c>
      <c r="BR491" s="37">
        <v>17</v>
      </c>
      <c r="BS491" s="37">
        <v>12</v>
      </c>
      <c r="BT491" s="87">
        <f t="shared" si="168"/>
        <v>15</v>
      </c>
      <c r="BU491" s="87"/>
      <c r="BV491" s="87"/>
      <c r="BW491" s="87"/>
      <c r="BX491" s="87"/>
      <c r="BY491" s="87"/>
      <c r="BZ491" s="87"/>
      <c r="CA491" s="87"/>
      <c r="CB491" s="87"/>
      <c r="CC491" s="87"/>
      <c r="CD491" s="87"/>
      <c r="CF491" s="67">
        <f t="shared" si="169"/>
        <v>180</v>
      </c>
      <c r="CG491" s="67">
        <f t="shared" si="170"/>
        <v>240</v>
      </c>
      <c r="CH491" s="67">
        <f t="shared" si="159"/>
        <v>255</v>
      </c>
      <c r="CI491" s="67">
        <f t="shared" si="147"/>
        <v>180</v>
      </c>
      <c r="CJ491" s="37">
        <f t="shared" si="143"/>
        <v>90</v>
      </c>
      <c r="CK491" s="37">
        <f t="shared" si="144"/>
        <v>120</v>
      </c>
      <c r="CL491" s="37">
        <f t="shared" si="145"/>
        <v>127.5</v>
      </c>
      <c r="CM491" s="37">
        <f t="shared" si="146"/>
        <v>90</v>
      </c>
    </row>
    <row r="492" spans="1:91" ht="45">
      <c r="B492" s="156">
        <v>480</v>
      </c>
      <c r="C492" s="192">
        <v>215</v>
      </c>
      <c r="D492" s="160">
        <v>349</v>
      </c>
      <c r="E492" s="161">
        <v>0.62152777777777779</v>
      </c>
      <c r="F492" s="161">
        <v>0.63124999999999998</v>
      </c>
      <c r="G492" s="208" t="s">
        <v>562</v>
      </c>
      <c r="H492" s="160" t="s">
        <v>561</v>
      </c>
      <c r="I492" s="163">
        <v>8.6999999999999993</v>
      </c>
      <c r="J492" s="195">
        <v>9</v>
      </c>
      <c r="K492" s="165">
        <v>103</v>
      </c>
      <c r="L492" s="166">
        <f t="shared" si="155"/>
        <v>896.09999999999991</v>
      </c>
      <c r="M492" s="167" t="s">
        <v>756</v>
      </c>
      <c r="N492" s="150" t="s">
        <v>1089</v>
      </c>
      <c r="O492" s="150">
        <v>9</v>
      </c>
      <c r="P492" s="150" t="s">
        <v>967</v>
      </c>
      <c r="Q492" s="150">
        <v>17</v>
      </c>
      <c r="R492" s="150" t="s">
        <v>1272</v>
      </c>
      <c r="S492" s="151">
        <v>9</v>
      </c>
      <c r="T492" s="45" t="s">
        <v>1579</v>
      </c>
      <c r="U492" s="45" t="s">
        <v>1580</v>
      </c>
      <c r="V492" s="45">
        <v>2327</v>
      </c>
      <c r="W492" s="45" t="s">
        <v>1564</v>
      </c>
      <c r="X492" s="98">
        <v>44816</v>
      </c>
      <c r="Y492" s="98">
        <v>45086</v>
      </c>
      <c r="Z492" s="98"/>
      <c r="AA492" s="98"/>
      <c r="AB492" s="46" t="s">
        <v>1152</v>
      </c>
      <c r="AC492" s="46"/>
      <c r="AD492" s="42"/>
      <c r="AE492" s="42"/>
      <c r="AF492" s="42"/>
      <c r="AG492" s="42" t="s">
        <v>734</v>
      </c>
      <c r="AH492" s="42" t="s">
        <v>734</v>
      </c>
      <c r="AI492" s="42" t="s">
        <v>734</v>
      </c>
      <c r="AJ492" s="42" t="s">
        <v>734</v>
      </c>
      <c r="AK492" s="42"/>
      <c r="AL492" s="42"/>
      <c r="AM492" s="42"/>
      <c r="AN492" s="42"/>
      <c r="AO492" s="42"/>
      <c r="AP492" s="42"/>
      <c r="AQ492" s="42"/>
      <c r="AR492" s="42"/>
      <c r="AS492" s="42"/>
      <c r="AT492" s="42"/>
      <c r="AU492" s="42"/>
      <c r="AV492" s="42"/>
      <c r="AW492" s="42"/>
      <c r="AX492" s="67">
        <f>I492*3</f>
        <v>26.099999999999998</v>
      </c>
      <c r="BA492" s="67"/>
      <c r="BB492" s="67"/>
      <c r="BD492" s="67">
        <f t="shared" si="166"/>
        <v>2688.2999999999997</v>
      </c>
      <c r="BE492" s="67"/>
      <c r="BF492" s="37"/>
      <c r="BG492" s="73">
        <v>1</v>
      </c>
      <c r="BH492" s="67">
        <f>IF(AND((AX492/I492)&lt;2,BG492=1),(I492*2)-AX492,0)</f>
        <v>0</v>
      </c>
      <c r="BI492" s="67">
        <f>IF(AND((AX492/I492)&lt;3,BG492=2),(I492*3)-AX492,0)</f>
        <v>0</v>
      </c>
      <c r="BJ492" s="70">
        <f>(BH492+BI492)*K492</f>
        <v>0</v>
      </c>
      <c r="BN492" s="37"/>
      <c r="BO492" s="70">
        <f t="shared" si="167"/>
        <v>0</v>
      </c>
      <c r="BP492" s="37">
        <v>9</v>
      </c>
      <c r="BQ492" s="37">
        <v>12</v>
      </c>
      <c r="BR492" s="37">
        <v>13</v>
      </c>
      <c r="BS492" s="37">
        <v>9</v>
      </c>
      <c r="BT492" s="87">
        <f t="shared" si="168"/>
        <v>26.099999999999998</v>
      </c>
      <c r="BU492" s="87"/>
      <c r="BV492" s="87"/>
      <c r="BW492" s="87"/>
      <c r="BX492" s="87"/>
      <c r="BY492" s="87"/>
      <c r="BZ492" s="87"/>
      <c r="CA492" s="87"/>
      <c r="CB492" s="87"/>
      <c r="CC492" s="87"/>
      <c r="CD492" s="87"/>
      <c r="CF492" s="67">
        <f t="shared" si="169"/>
        <v>234.89999999999998</v>
      </c>
      <c r="CG492" s="67">
        <f t="shared" si="170"/>
        <v>313.2</v>
      </c>
      <c r="CH492" s="67">
        <f t="shared" si="159"/>
        <v>339.29999999999995</v>
      </c>
      <c r="CI492" s="67">
        <f t="shared" si="147"/>
        <v>234.89999999999998</v>
      </c>
      <c r="CJ492" s="37">
        <f t="shared" si="143"/>
        <v>78.3</v>
      </c>
      <c r="CK492" s="37">
        <f t="shared" si="144"/>
        <v>104.39999999999999</v>
      </c>
      <c r="CL492" s="37">
        <f t="shared" si="145"/>
        <v>113.1</v>
      </c>
      <c r="CM492" s="37">
        <f t="shared" si="146"/>
        <v>78.3</v>
      </c>
    </row>
    <row r="493" spans="1:91" ht="25.5">
      <c r="A493" s="3" t="s">
        <v>803</v>
      </c>
      <c r="B493" s="156">
        <v>481</v>
      </c>
      <c r="C493" s="192">
        <v>215</v>
      </c>
      <c r="D493" s="192">
        <v>142</v>
      </c>
      <c r="E493" s="198">
        <v>0.625</v>
      </c>
      <c r="F493" s="198">
        <v>0.66666666666666663</v>
      </c>
      <c r="G493" s="194" t="s">
        <v>26</v>
      </c>
      <c r="H493" s="160" t="s">
        <v>424</v>
      </c>
      <c r="I493" s="192">
        <v>37</v>
      </c>
      <c r="J493" s="195">
        <v>50</v>
      </c>
      <c r="K493" s="199">
        <v>67</v>
      </c>
      <c r="L493" s="166">
        <f t="shared" si="155"/>
        <v>2479</v>
      </c>
      <c r="M493" s="167" t="s">
        <v>754</v>
      </c>
      <c r="N493" s="150" t="s">
        <v>891</v>
      </c>
      <c r="O493" s="150">
        <v>57</v>
      </c>
      <c r="P493" s="150" t="s">
        <v>1922</v>
      </c>
      <c r="Q493" s="150">
        <v>57</v>
      </c>
      <c r="R493" s="154" t="s">
        <v>1274</v>
      </c>
      <c r="S493" s="152">
        <v>29</v>
      </c>
      <c r="T493" s="45">
        <v>2290</v>
      </c>
      <c r="U493" s="45" t="s">
        <v>1484</v>
      </c>
      <c r="V493" s="45">
        <v>2323</v>
      </c>
      <c r="W493" s="45" t="s">
        <v>1556</v>
      </c>
      <c r="X493" s="99">
        <v>44562</v>
      </c>
      <c r="Y493" s="99">
        <v>44815</v>
      </c>
      <c r="Z493" s="99">
        <v>45101</v>
      </c>
      <c r="AA493" s="99">
        <v>45169</v>
      </c>
      <c r="AB493" s="42" t="s">
        <v>1119</v>
      </c>
      <c r="AC493" s="42"/>
      <c r="AD493" s="42"/>
      <c r="AE493" s="42" t="s">
        <v>734</v>
      </c>
      <c r="AF493" s="42" t="s">
        <v>734</v>
      </c>
      <c r="AG493" s="42"/>
      <c r="AH493" s="42" t="s">
        <v>734</v>
      </c>
      <c r="AI493" s="42" t="s">
        <v>734</v>
      </c>
      <c r="AJ493" s="42" t="s">
        <v>734</v>
      </c>
      <c r="AK493" s="42" t="s">
        <v>734</v>
      </c>
      <c r="AL493" s="42" t="s">
        <v>734</v>
      </c>
      <c r="AM493" s="42" t="s">
        <v>734</v>
      </c>
      <c r="AN493" s="42"/>
      <c r="AO493" s="42"/>
      <c r="AP493" s="42"/>
      <c r="AQ493" s="42"/>
      <c r="AR493" s="42"/>
      <c r="AS493" s="42"/>
      <c r="AT493" s="42"/>
      <c r="AU493" s="42"/>
      <c r="AV493" s="42"/>
      <c r="AW493" s="42"/>
      <c r="BB493" s="80" t="s">
        <v>754</v>
      </c>
      <c r="BD493" s="67">
        <f t="shared" si="166"/>
        <v>0</v>
      </c>
      <c r="BF493" s="37"/>
      <c r="BG493" s="69">
        <v>2</v>
      </c>
      <c r="BI493" s="67"/>
      <c r="BJ493" s="37"/>
      <c r="BN493" s="37"/>
      <c r="BO493" s="70">
        <f t="shared" si="167"/>
        <v>0</v>
      </c>
      <c r="BP493" s="37">
        <v>9</v>
      </c>
      <c r="BQ493" s="37">
        <v>0</v>
      </c>
      <c r="BR493" s="37">
        <v>0</v>
      </c>
      <c r="BS493" s="37">
        <v>0</v>
      </c>
      <c r="BT493" s="87">
        <f t="shared" si="168"/>
        <v>0</v>
      </c>
      <c r="BU493" s="87"/>
      <c r="BV493" s="87"/>
      <c r="BW493" s="87"/>
      <c r="BX493" s="87"/>
      <c r="BY493" s="87"/>
      <c r="BZ493" s="87"/>
      <c r="CA493" s="87"/>
      <c r="CB493" s="87"/>
      <c r="CC493" s="87"/>
      <c r="CD493" s="87"/>
      <c r="CF493" s="67">
        <f t="shared" si="169"/>
        <v>0</v>
      </c>
      <c r="CG493" s="67">
        <f t="shared" si="170"/>
        <v>0</v>
      </c>
      <c r="CH493" s="67">
        <f t="shared" si="159"/>
        <v>0</v>
      </c>
      <c r="CI493" s="67">
        <f t="shared" si="147"/>
        <v>0</v>
      </c>
      <c r="CJ493" s="37">
        <f t="shared" si="143"/>
        <v>333</v>
      </c>
      <c r="CK493" s="37">
        <f t="shared" si="144"/>
        <v>0</v>
      </c>
      <c r="CL493" s="37">
        <f t="shared" si="145"/>
        <v>0</v>
      </c>
      <c r="CM493" s="37">
        <f t="shared" si="146"/>
        <v>0</v>
      </c>
    </row>
    <row r="494" spans="1:91" ht="25.5">
      <c r="A494" s="3" t="s">
        <v>803</v>
      </c>
      <c r="B494" s="156">
        <v>482</v>
      </c>
      <c r="C494" s="192">
        <v>215</v>
      </c>
      <c r="D494" s="192">
        <v>133</v>
      </c>
      <c r="E494" s="198">
        <v>0.66527777777777775</v>
      </c>
      <c r="F494" s="198">
        <v>0.7055555555555556</v>
      </c>
      <c r="G494" s="194" t="s">
        <v>25</v>
      </c>
      <c r="H494" s="160" t="s">
        <v>424</v>
      </c>
      <c r="I494" s="192">
        <v>37</v>
      </c>
      <c r="J494" s="195">
        <v>50</v>
      </c>
      <c r="K494" s="199">
        <v>67</v>
      </c>
      <c r="L494" s="166">
        <f t="shared" si="155"/>
        <v>2479</v>
      </c>
      <c r="M494" s="167" t="s">
        <v>744</v>
      </c>
      <c r="N494" s="150" t="s">
        <v>977</v>
      </c>
      <c r="O494" s="150">
        <v>54</v>
      </c>
      <c r="P494" s="150" t="s">
        <v>801</v>
      </c>
      <c r="Q494" s="150">
        <v>45</v>
      </c>
      <c r="R494" s="154" t="s">
        <v>802</v>
      </c>
      <c r="S494" s="152">
        <v>28</v>
      </c>
      <c r="T494" s="45">
        <v>2323</v>
      </c>
      <c r="U494" s="45" t="s">
        <v>1556</v>
      </c>
      <c r="V494" s="45">
        <v>2290</v>
      </c>
      <c r="W494" s="45" t="s">
        <v>1484</v>
      </c>
      <c r="X494" s="99">
        <v>44562</v>
      </c>
      <c r="Y494" s="99">
        <v>44815</v>
      </c>
      <c r="Z494" s="99">
        <v>45101</v>
      </c>
      <c r="AA494" s="99">
        <v>45169</v>
      </c>
      <c r="AB494" s="42" t="s">
        <v>1119</v>
      </c>
      <c r="AC494" s="42"/>
      <c r="AD494" s="42"/>
      <c r="AE494" s="42" t="s">
        <v>734</v>
      </c>
      <c r="AF494" s="42" t="s">
        <v>734</v>
      </c>
      <c r="AG494" s="42"/>
      <c r="AH494" s="42" t="s">
        <v>734</v>
      </c>
      <c r="AI494" s="42" t="s">
        <v>734</v>
      </c>
      <c r="AJ494" s="42" t="s">
        <v>734</v>
      </c>
      <c r="AK494" s="42" t="s">
        <v>734</v>
      </c>
      <c r="AL494" s="42" t="s">
        <v>734</v>
      </c>
      <c r="AM494" s="42" t="s">
        <v>734</v>
      </c>
      <c r="AN494" s="42"/>
      <c r="AO494" s="42"/>
      <c r="AP494" s="42"/>
      <c r="AQ494" s="42"/>
      <c r="AR494" s="42"/>
      <c r="AS494" s="42"/>
      <c r="AT494" s="42"/>
      <c r="AU494" s="42"/>
      <c r="AV494" s="42"/>
      <c r="AW494" s="42"/>
      <c r="AX494" s="68"/>
      <c r="BB494" s="80" t="s">
        <v>744</v>
      </c>
      <c r="BD494" s="67">
        <f t="shared" si="166"/>
        <v>0</v>
      </c>
      <c r="BF494" s="37"/>
      <c r="BG494" s="69">
        <v>2</v>
      </c>
      <c r="BI494" s="67"/>
      <c r="BJ494" s="37"/>
      <c r="BN494" s="37"/>
      <c r="BO494" s="70">
        <f t="shared" si="167"/>
        <v>0</v>
      </c>
      <c r="BP494" s="37">
        <v>9</v>
      </c>
      <c r="BQ494" s="37">
        <v>0</v>
      </c>
      <c r="BR494" s="37">
        <v>0</v>
      </c>
      <c r="BS494" s="37">
        <v>0</v>
      </c>
      <c r="BT494" s="87">
        <f t="shared" si="168"/>
        <v>0</v>
      </c>
      <c r="BU494" s="87"/>
      <c r="BV494" s="87"/>
      <c r="BW494" s="87"/>
      <c r="BX494" s="87"/>
      <c r="BY494" s="87"/>
      <c r="BZ494" s="87"/>
      <c r="CA494" s="87"/>
      <c r="CB494" s="87"/>
      <c r="CC494" s="87"/>
      <c r="CD494" s="87"/>
      <c r="CF494" s="67">
        <f t="shared" si="169"/>
        <v>0</v>
      </c>
      <c r="CG494" s="67">
        <f t="shared" si="170"/>
        <v>0</v>
      </c>
      <c r="CH494" s="67">
        <f t="shared" si="159"/>
        <v>0</v>
      </c>
      <c r="CI494" s="67">
        <f t="shared" si="147"/>
        <v>0</v>
      </c>
      <c r="CJ494" s="37">
        <f t="shared" si="143"/>
        <v>333</v>
      </c>
      <c r="CK494" s="37">
        <f t="shared" si="144"/>
        <v>0</v>
      </c>
      <c r="CL494" s="37">
        <f t="shared" si="145"/>
        <v>0</v>
      </c>
      <c r="CM494" s="37">
        <f t="shared" si="146"/>
        <v>0</v>
      </c>
    </row>
    <row r="495" spans="1:91" ht="25.5">
      <c r="A495" s="3" t="s">
        <v>804</v>
      </c>
      <c r="B495" s="156">
        <v>483</v>
      </c>
      <c r="C495" s="192">
        <v>215</v>
      </c>
      <c r="D495" s="197">
        <v>133</v>
      </c>
      <c r="E495" s="198">
        <v>0.66527777777777775</v>
      </c>
      <c r="F495" s="198">
        <v>0.7055555555555556</v>
      </c>
      <c r="G495" s="194" t="s">
        <v>25</v>
      </c>
      <c r="H495" s="160" t="s">
        <v>479</v>
      </c>
      <c r="I495" s="192">
        <v>37</v>
      </c>
      <c r="J495" s="195">
        <v>50</v>
      </c>
      <c r="K495" s="199">
        <v>240</v>
      </c>
      <c r="L495" s="166">
        <f t="shared" si="155"/>
        <v>8880</v>
      </c>
      <c r="M495" s="167" t="s">
        <v>754</v>
      </c>
      <c r="N495" s="150" t="s">
        <v>891</v>
      </c>
      <c r="O495" s="150">
        <v>57</v>
      </c>
      <c r="P495" s="150" t="s">
        <v>1922</v>
      </c>
      <c r="Q495" s="150">
        <v>57</v>
      </c>
      <c r="R495" s="150" t="s">
        <v>1263</v>
      </c>
      <c r="S495" s="150">
        <v>38</v>
      </c>
      <c r="T495" s="45">
        <v>2323</v>
      </c>
      <c r="U495" s="45" t="s">
        <v>1556</v>
      </c>
      <c r="V495" s="45">
        <v>2290</v>
      </c>
      <c r="W495" s="45" t="s">
        <v>1484</v>
      </c>
      <c r="X495" s="99">
        <v>44816</v>
      </c>
      <c r="Y495" s="99">
        <v>45100</v>
      </c>
      <c r="Z495" s="99"/>
      <c r="AA495" s="99"/>
      <c r="AB495" s="45" t="s">
        <v>1124</v>
      </c>
      <c r="AC495" s="45"/>
      <c r="AD495" s="42" t="s">
        <v>734</v>
      </c>
      <c r="AE495" s="42"/>
      <c r="AF495" s="42" t="s">
        <v>734</v>
      </c>
      <c r="AG495" s="42"/>
      <c r="AH495" s="42" t="s">
        <v>734</v>
      </c>
      <c r="AI495" s="42" t="s">
        <v>734</v>
      </c>
      <c r="AJ495" s="42" t="s">
        <v>734</v>
      </c>
      <c r="AK495" s="42" t="s">
        <v>734</v>
      </c>
      <c r="AL495" s="42" t="s">
        <v>734</v>
      </c>
      <c r="AM495" s="42" t="s">
        <v>734</v>
      </c>
      <c r="AN495" s="42"/>
      <c r="AO495" s="42"/>
      <c r="AP495" s="42"/>
      <c r="AQ495" s="42"/>
      <c r="AR495" s="42"/>
      <c r="AS495" s="42"/>
      <c r="AT495" s="42"/>
      <c r="AU495" s="42"/>
      <c r="AV495" s="42"/>
      <c r="AW495" s="42"/>
      <c r="AX495" s="68"/>
      <c r="AZ495" s="67">
        <f>3*I495</f>
        <v>111</v>
      </c>
      <c r="BA495" s="68"/>
      <c r="BB495" s="68"/>
      <c r="BF495" s="67">
        <f>AZ495*K495</f>
        <v>26640</v>
      </c>
      <c r="BG495" s="69">
        <v>2</v>
      </c>
      <c r="BH495" s="73"/>
      <c r="BI495" s="79"/>
      <c r="BJ495" s="73"/>
      <c r="BK495" s="73"/>
      <c r="BL495" s="73"/>
      <c r="BM495" s="73"/>
      <c r="BN495" s="37"/>
      <c r="BO495" s="70">
        <f t="shared" si="167"/>
        <v>0</v>
      </c>
      <c r="BP495" s="37">
        <v>17</v>
      </c>
      <c r="BQ495" s="37">
        <v>26</v>
      </c>
      <c r="BR495" s="37">
        <v>25</v>
      </c>
      <c r="BS495" s="37">
        <v>25</v>
      </c>
      <c r="BT495" s="87">
        <f t="shared" si="168"/>
        <v>111</v>
      </c>
      <c r="BU495" s="87"/>
      <c r="BV495" s="87"/>
      <c r="BW495" s="87"/>
      <c r="BX495" s="87"/>
      <c r="BY495" s="87"/>
      <c r="BZ495" s="87"/>
      <c r="CA495" s="87"/>
      <c r="CB495" s="87"/>
      <c r="CC495" s="87"/>
      <c r="CD495" s="87"/>
      <c r="CF495" s="67">
        <f t="shared" si="169"/>
        <v>1887</v>
      </c>
      <c r="CG495" s="67">
        <f t="shared" si="170"/>
        <v>2886</v>
      </c>
      <c r="CH495" s="67">
        <f t="shared" si="159"/>
        <v>2775</v>
      </c>
      <c r="CI495" s="67">
        <f t="shared" si="147"/>
        <v>2775</v>
      </c>
      <c r="CJ495" s="37">
        <f t="shared" si="143"/>
        <v>629</v>
      </c>
      <c r="CK495" s="37">
        <f t="shared" si="144"/>
        <v>962</v>
      </c>
      <c r="CL495" s="37">
        <f t="shared" si="145"/>
        <v>925</v>
      </c>
      <c r="CM495" s="37">
        <f t="shared" si="146"/>
        <v>925</v>
      </c>
    </row>
    <row r="496" spans="1:91" ht="45">
      <c r="B496" s="156">
        <v>484</v>
      </c>
      <c r="C496" s="174">
        <v>225</v>
      </c>
      <c r="D496" s="160">
        <v>452</v>
      </c>
      <c r="E496" s="161">
        <v>0.70833333333333337</v>
      </c>
      <c r="F496" s="161">
        <v>0.71875</v>
      </c>
      <c r="G496" s="160" t="s">
        <v>376</v>
      </c>
      <c r="H496" s="160" t="s">
        <v>194</v>
      </c>
      <c r="I496" s="163">
        <v>6</v>
      </c>
      <c r="J496" s="164" t="s">
        <v>269</v>
      </c>
      <c r="K496" s="165">
        <f>34+34+36+33</f>
        <v>137</v>
      </c>
      <c r="L496" s="166">
        <f t="shared" si="155"/>
        <v>822</v>
      </c>
      <c r="M496" s="167" t="s">
        <v>756</v>
      </c>
      <c r="N496" s="154" t="s">
        <v>970</v>
      </c>
      <c r="O496" s="154">
        <v>24</v>
      </c>
      <c r="P496" s="154" t="s">
        <v>967</v>
      </c>
      <c r="Q496" s="154">
        <v>17</v>
      </c>
      <c r="R496" s="154" t="s">
        <v>957</v>
      </c>
      <c r="S496" s="151">
        <v>17</v>
      </c>
      <c r="T496" s="45">
        <v>2311</v>
      </c>
      <c r="U496" s="45" t="s">
        <v>1570</v>
      </c>
      <c r="V496" s="45">
        <v>2312</v>
      </c>
      <c r="W496" s="45" t="s">
        <v>1569</v>
      </c>
      <c r="X496" s="98">
        <v>44816</v>
      </c>
      <c r="Y496" s="98">
        <v>45086</v>
      </c>
      <c r="Z496" s="98"/>
      <c r="AA496" s="98"/>
      <c r="AB496" s="43" t="s">
        <v>1117</v>
      </c>
      <c r="AC496" s="43"/>
      <c r="AD496" s="42"/>
      <c r="AE496" s="42"/>
      <c r="AF496" s="42"/>
      <c r="AG496" s="42" t="s">
        <v>734</v>
      </c>
      <c r="AH496" s="42" t="s">
        <v>734</v>
      </c>
      <c r="AI496" s="42" t="s">
        <v>734</v>
      </c>
      <c r="AJ496" s="42" t="s">
        <v>734</v>
      </c>
      <c r="AK496" s="42" t="s">
        <v>734</v>
      </c>
      <c r="AL496" s="42"/>
      <c r="AM496" s="42"/>
      <c r="AN496" s="42"/>
      <c r="AO496" s="42"/>
      <c r="AP496" s="42"/>
      <c r="AQ496" s="42"/>
      <c r="AR496" s="42"/>
      <c r="AS496" s="42"/>
      <c r="AT496" s="42"/>
      <c r="AU496" s="42"/>
      <c r="AV496" s="42"/>
      <c r="AW496" s="42"/>
      <c r="AX496" s="68">
        <v>31.3</v>
      </c>
      <c r="BA496" s="68"/>
      <c r="BB496" s="68"/>
      <c r="BD496" s="67">
        <f>AX496*K496</f>
        <v>4288.1000000000004</v>
      </c>
      <c r="BE496" s="67"/>
      <c r="BF496" s="37"/>
      <c r="BG496" s="73">
        <v>1</v>
      </c>
      <c r="BH496" s="67">
        <f>IF(AND((AX496/I496)&lt;2,BG496=1),(I496*2)-AX496,0)</f>
        <v>0</v>
      </c>
      <c r="BI496" s="67">
        <f>IF(AND((AX496/I496)&lt;3,BG496=2),(I496*3)-AX496,0)</f>
        <v>0</v>
      </c>
      <c r="BJ496" s="70">
        <f>(BH496+BI496)*K496</f>
        <v>0</v>
      </c>
      <c r="BN496" s="37"/>
      <c r="BO496" s="70">
        <f t="shared" si="167"/>
        <v>0</v>
      </c>
      <c r="BP496" s="37">
        <v>12</v>
      </c>
      <c r="BQ496" s="37">
        <v>16</v>
      </c>
      <c r="BR496" s="37">
        <v>17</v>
      </c>
      <c r="BS496" s="37">
        <v>12</v>
      </c>
      <c r="BT496" s="87">
        <f t="shared" si="168"/>
        <v>31.3</v>
      </c>
      <c r="BU496" s="87"/>
      <c r="BV496" s="87"/>
      <c r="BW496" s="87"/>
      <c r="BX496" s="87"/>
      <c r="BY496" s="87"/>
      <c r="BZ496" s="87"/>
      <c r="CA496" s="87"/>
      <c r="CB496" s="87"/>
      <c r="CC496" s="87"/>
      <c r="CD496" s="87"/>
      <c r="CF496" s="67">
        <f t="shared" si="169"/>
        <v>375.6</v>
      </c>
      <c r="CG496" s="67">
        <f t="shared" si="170"/>
        <v>500.8</v>
      </c>
      <c r="CH496" s="67">
        <f t="shared" si="159"/>
        <v>532.1</v>
      </c>
      <c r="CI496" s="67">
        <f t="shared" si="147"/>
        <v>375.6</v>
      </c>
      <c r="CJ496" s="37">
        <f t="shared" si="143"/>
        <v>72</v>
      </c>
      <c r="CK496" s="37">
        <f t="shared" si="144"/>
        <v>96</v>
      </c>
      <c r="CL496" s="37">
        <f t="shared" si="145"/>
        <v>102</v>
      </c>
      <c r="CM496" s="37">
        <f t="shared" si="146"/>
        <v>72</v>
      </c>
    </row>
    <row r="497" spans="1:91" ht="25.5">
      <c r="A497" s="3" t="s">
        <v>803</v>
      </c>
      <c r="B497" s="156">
        <v>485</v>
      </c>
      <c r="C497" s="192">
        <v>215</v>
      </c>
      <c r="D497" s="192">
        <v>146</v>
      </c>
      <c r="E497" s="198">
        <v>0.75763888888888886</v>
      </c>
      <c r="F497" s="198">
        <v>0.7993055555555556</v>
      </c>
      <c r="G497" s="194" t="s">
        <v>26</v>
      </c>
      <c r="H497" s="160" t="s">
        <v>424</v>
      </c>
      <c r="I497" s="192">
        <v>37</v>
      </c>
      <c r="J497" s="195">
        <v>50</v>
      </c>
      <c r="K497" s="199">
        <v>67</v>
      </c>
      <c r="L497" s="166">
        <f t="shared" si="155"/>
        <v>2479</v>
      </c>
      <c r="M497" s="167" t="s">
        <v>744</v>
      </c>
      <c r="N497" s="150" t="s">
        <v>977</v>
      </c>
      <c r="O497" s="150">
        <v>54</v>
      </c>
      <c r="P497" s="150" t="s">
        <v>801</v>
      </c>
      <c r="Q497" s="150">
        <v>45</v>
      </c>
      <c r="R497" s="150" t="s">
        <v>802</v>
      </c>
      <c r="S497" s="152">
        <v>28</v>
      </c>
      <c r="T497" s="41">
        <v>2290</v>
      </c>
      <c r="U497" s="41" t="s">
        <v>1484</v>
      </c>
      <c r="V497" s="41">
        <v>2323</v>
      </c>
      <c r="W497" s="41" t="s">
        <v>1556</v>
      </c>
      <c r="X497" s="99">
        <v>44562</v>
      </c>
      <c r="Y497" s="99">
        <v>44815</v>
      </c>
      <c r="Z497" s="99">
        <v>45101</v>
      </c>
      <c r="AA497" s="99">
        <v>45169</v>
      </c>
      <c r="AB497" s="42" t="s">
        <v>1119</v>
      </c>
      <c r="AC497" s="42"/>
      <c r="AD497" s="42"/>
      <c r="AE497" s="42" t="s">
        <v>734</v>
      </c>
      <c r="AF497" s="42" t="s">
        <v>734</v>
      </c>
      <c r="AG497" s="42"/>
      <c r="AH497" s="42" t="s">
        <v>734</v>
      </c>
      <c r="AI497" s="42" t="s">
        <v>734</v>
      </c>
      <c r="AJ497" s="42" t="s">
        <v>734</v>
      </c>
      <c r="AK497" s="42" t="s">
        <v>734</v>
      </c>
      <c r="AL497" s="42" t="s">
        <v>734</v>
      </c>
      <c r="AM497" s="42" t="s">
        <v>734</v>
      </c>
      <c r="AN497" s="42"/>
      <c r="AO497" s="42"/>
      <c r="AP497" s="42"/>
      <c r="AQ497" s="42"/>
      <c r="AR497" s="42"/>
      <c r="AS497" s="42"/>
      <c r="AT497" s="42"/>
      <c r="AU497" s="42"/>
      <c r="AV497" s="42"/>
      <c r="AW497" s="42"/>
      <c r="BB497" s="38" t="s">
        <v>744</v>
      </c>
      <c r="BD497" s="67">
        <f>AX497*K497</f>
        <v>0</v>
      </c>
      <c r="BF497" s="37"/>
      <c r="BG497" s="37">
        <v>2</v>
      </c>
      <c r="BI497" s="67"/>
      <c r="BJ497" s="37"/>
      <c r="BN497" s="37"/>
      <c r="BO497" s="70">
        <f t="shared" si="167"/>
        <v>0</v>
      </c>
      <c r="BP497" s="37">
        <v>9</v>
      </c>
      <c r="BQ497" s="37">
        <v>0</v>
      </c>
      <c r="BR497" s="37">
        <v>0</v>
      </c>
      <c r="BS497" s="37">
        <v>0</v>
      </c>
      <c r="BT497" s="87">
        <f t="shared" si="168"/>
        <v>0</v>
      </c>
      <c r="BU497" s="87"/>
      <c r="BV497" s="87"/>
      <c r="BW497" s="87"/>
      <c r="BX497" s="87"/>
      <c r="BY497" s="87"/>
      <c r="BZ497" s="87"/>
      <c r="CA497" s="87"/>
      <c r="CB497" s="87"/>
      <c r="CC497" s="87"/>
      <c r="CD497" s="87"/>
      <c r="CF497" s="67">
        <f t="shared" si="169"/>
        <v>0</v>
      </c>
      <c r="CG497" s="67">
        <f t="shared" si="170"/>
        <v>0</v>
      </c>
      <c r="CH497" s="67">
        <f t="shared" si="159"/>
        <v>0</v>
      </c>
      <c r="CI497" s="67">
        <f t="shared" si="147"/>
        <v>0</v>
      </c>
      <c r="CJ497" s="37">
        <f t="shared" si="143"/>
        <v>333</v>
      </c>
      <c r="CK497" s="37">
        <f t="shared" si="144"/>
        <v>0</v>
      </c>
      <c r="CL497" s="37">
        <f t="shared" si="145"/>
        <v>0</v>
      </c>
      <c r="CM497" s="37">
        <f t="shared" si="146"/>
        <v>0</v>
      </c>
    </row>
    <row r="498" spans="1:91" ht="25.5">
      <c r="A498" s="249" t="s">
        <v>2039</v>
      </c>
      <c r="B498" s="226">
        <v>486</v>
      </c>
      <c r="C498" s="245">
        <v>215</v>
      </c>
      <c r="D498" s="245">
        <v>146</v>
      </c>
      <c r="E498" s="246">
        <v>0.75763888888888886</v>
      </c>
      <c r="F498" s="246">
        <v>0.7993055555555556</v>
      </c>
      <c r="G498" s="247" t="s">
        <v>26</v>
      </c>
      <c r="H498" s="227" t="s">
        <v>709</v>
      </c>
      <c r="I498" s="245">
        <v>37</v>
      </c>
      <c r="J498" s="248">
        <v>50</v>
      </c>
      <c r="K498" s="232"/>
      <c r="L498" s="233">
        <f t="shared" si="155"/>
        <v>0</v>
      </c>
      <c r="M498" s="234" t="s">
        <v>2130</v>
      </c>
      <c r="N498" s="249"/>
      <c r="O498" s="249"/>
      <c r="P498" s="249"/>
      <c r="Q498" s="249"/>
      <c r="R498" s="249"/>
      <c r="S498" s="249"/>
      <c r="T498" s="240"/>
      <c r="U498" s="240"/>
      <c r="V498" s="240"/>
      <c r="W498" s="240"/>
      <c r="X498" s="235"/>
      <c r="Y498" s="235"/>
      <c r="Z498" s="235"/>
      <c r="AA498" s="235"/>
      <c r="AB498" s="235"/>
      <c r="AC498" s="235"/>
      <c r="AD498" s="240"/>
      <c r="AE498" s="240"/>
      <c r="AF498" s="240"/>
      <c r="AG498" s="240"/>
      <c r="AH498" s="240"/>
      <c r="AI498" s="240"/>
      <c r="AJ498" s="240"/>
      <c r="AK498" s="240"/>
      <c r="AL498" s="240"/>
      <c r="AM498" s="240"/>
      <c r="AN498" s="240"/>
      <c r="AO498" s="240"/>
      <c r="AP498" s="240"/>
      <c r="AQ498" s="240"/>
      <c r="AR498" s="240"/>
      <c r="AS498" s="240"/>
      <c r="AT498" s="240"/>
      <c r="AU498" s="240"/>
      <c r="AV498" s="240"/>
      <c r="AW498" s="240"/>
      <c r="AX498" s="235"/>
      <c r="AY498" s="235"/>
      <c r="AZ498" s="235"/>
      <c r="BA498" s="235"/>
      <c r="BB498" s="235"/>
      <c r="BC498" s="235"/>
      <c r="BD498" s="235"/>
      <c r="BE498" s="235"/>
      <c r="BF498" s="235"/>
      <c r="BG498" s="235"/>
      <c r="BH498" s="235"/>
      <c r="BI498" s="235"/>
      <c r="BJ498" s="235"/>
      <c r="BK498" s="235"/>
      <c r="BL498" s="235"/>
      <c r="BM498" s="235"/>
      <c r="BN498" s="235"/>
      <c r="BO498" s="250"/>
      <c r="BP498" s="236"/>
      <c r="BQ498" s="236"/>
      <c r="BR498" s="236"/>
      <c r="BS498" s="236"/>
      <c r="BT498" s="237"/>
      <c r="BU498" s="237"/>
      <c r="BV498" s="237"/>
      <c r="BW498" s="237"/>
      <c r="BX498" s="237"/>
      <c r="BY498" s="237"/>
      <c r="BZ498" s="237"/>
      <c r="CA498" s="237"/>
      <c r="CB498" s="237"/>
      <c r="CC498" s="237"/>
      <c r="CD498" s="237"/>
      <c r="CE498" s="236"/>
      <c r="CF498" s="238"/>
      <c r="CG498" s="238">
        <f t="shared" si="170"/>
        <v>0</v>
      </c>
      <c r="CH498" s="238">
        <f t="shared" si="159"/>
        <v>0</v>
      </c>
      <c r="CI498" s="67">
        <f t="shared" si="147"/>
        <v>0</v>
      </c>
      <c r="CJ498" s="37">
        <f t="shared" si="143"/>
        <v>0</v>
      </c>
      <c r="CK498" s="37">
        <f t="shared" si="144"/>
        <v>0</v>
      </c>
      <c r="CL498" s="37">
        <f t="shared" si="145"/>
        <v>0</v>
      </c>
      <c r="CM498" s="37">
        <f t="shared" si="146"/>
        <v>0</v>
      </c>
    </row>
    <row r="499" spans="1:91" ht="45">
      <c r="A499" s="3" t="s">
        <v>803</v>
      </c>
      <c r="B499" s="156">
        <v>487</v>
      </c>
      <c r="C499" s="192">
        <v>215</v>
      </c>
      <c r="D499" s="192">
        <v>633</v>
      </c>
      <c r="E499" s="198">
        <v>0.79027777777777775</v>
      </c>
      <c r="F499" s="198">
        <v>0.8305555555555556</v>
      </c>
      <c r="G499" s="194" t="s">
        <v>25</v>
      </c>
      <c r="H499" s="160" t="s">
        <v>424</v>
      </c>
      <c r="I499" s="192">
        <v>37</v>
      </c>
      <c r="J499" s="195">
        <v>50</v>
      </c>
      <c r="K499" s="199">
        <v>67</v>
      </c>
      <c r="L499" s="166">
        <f t="shared" si="155"/>
        <v>2479</v>
      </c>
      <c r="M499" s="167" t="s">
        <v>756</v>
      </c>
      <c r="N499" s="150" t="s">
        <v>988</v>
      </c>
      <c r="O499" s="150">
        <v>57</v>
      </c>
      <c r="P499" s="150" t="s">
        <v>799</v>
      </c>
      <c r="Q499" s="150">
        <v>60</v>
      </c>
      <c r="R499" s="150" t="s">
        <v>1892</v>
      </c>
      <c r="S499" s="150">
        <v>57</v>
      </c>
      <c r="T499" s="45">
        <v>2323</v>
      </c>
      <c r="U499" s="45" t="s">
        <v>1556</v>
      </c>
      <c r="V499" s="45">
        <v>2290</v>
      </c>
      <c r="W499" s="45" t="s">
        <v>1484</v>
      </c>
      <c r="X499" s="99">
        <v>44562</v>
      </c>
      <c r="Y499" s="99">
        <v>44815</v>
      </c>
      <c r="Z499" s="99">
        <v>45101</v>
      </c>
      <c r="AA499" s="99">
        <v>45169</v>
      </c>
      <c r="AB499" s="42" t="s">
        <v>1119</v>
      </c>
      <c r="AC499" s="42"/>
      <c r="AD499" s="42"/>
      <c r="AE499" s="42" t="s">
        <v>734</v>
      </c>
      <c r="AF499" s="42" t="s">
        <v>734</v>
      </c>
      <c r="AG499" s="42"/>
      <c r="AH499" s="42" t="s">
        <v>734</v>
      </c>
      <c r="AI499" s="42" t="s">
        <v>734</v>
      </c>
      <c r="AJ499" s="42" t="s">
        <v>734</v>
      </c>
      <c r="AK499" s="42" t="s">
        <v>734</v>
      </c>
      <c r="AL499" s="42" t="s">
        <v>734</v>
      </c>
      <c r="AM499" s="42" t="s">
        <v>734</v>
      </c>
      <c r="AN499" s="42"/>
      <c r="AO499" s="42"/>
      <c r="AP499" s="42"/>
      <c r="AQ499" s="42"/>
      <c r="AR499" s="42"/>
      <c r="AS499" s="42"/>
      <c r="AT499" s="42"/>
      <c r="AU499" s="42"/>
      <c r="AV499" s="42"/>
      <c r="AW499" s="42"/>
      <c r="AX499" s="68"/>
      <c r="BB499" s="80" t="s">
        <v>756</v>
      </c>
      <c r="BD499" s="67">
        <f t="shared" ref="BD499:BD505" si="171">AX499*K499</f>
        <v>0</v>
      </c>
      <c r="BF499" s="37"/>
      <c r="BG499" s="69">
        <v>2</v>
      </c>
      <c r="BI499" s="67"/>
      <c r="BJ499" s="37"/>
      <c r="BN499" s="37"/>
      <c r="BO499" s="70">
        <f t="shared" ref="BO499:BO505" si="172">BN499*K499</f>
        <v>0</v>
      </c>
      <c r="BP499" s="37">
        <v>9</v>
      </c>
      <c r="BQ499" s="37">
        <v>0</v>
      </c>
      <c r="BR499" s="37">
        <v>0</v>
      </c>
      <c r="BS499" s="37">
        <v>0</v>
      </c>
      <c r="BT499" s="87">
        <f t="shared" ref="BT499:BT505" si="173">SUM(AX499:AZ499)+SUM(BH499:BI499)+SUM(BK499:BL499)+BN499</f>
        <v>0</v>
      </c>
      <c r="BU499" s="87"/>
      <c r="BV499" s="87"/>
      <c r="BW499" s="87"/>
      <c r="BX499" s="87"/>
      <c r="BY499" s="87"/>
      <c r="BZ499" s="87"/>
      <c r="CA499" s="87"/>
      <c r="CB499" s="87"/>
      <c r="CC499" s="87"/>
      <c r="CD499" s="87"/>
      <c r="CF499" s="67">
        <f t="shared" ref="CF499:CF505" si="174">(BT499*BP499)+(BV499*CD499)</f>
        <v>0</v>
      </c>
      <c r="CG499" s="67">
        <f t="shared" si="170"/>
        <v>0</v>
      </c>
      <c r="CH499" s="67">
        <f t="shared" si="159"/>
        <v>0</v>
      </c>
      <c r="CI499" s="67">
        <f t="shared" si="147"/>
        <v>0</v>
      </c>
      <c r="CJ499" s="37">
        <f t="shared" si="143"/>
        <v>333</v>
      </c>
      <c r="CK499" s="37">
        <f t="shared" si="144"/>
        <v>0</v>
      </c>
      <c r="CL499" s="37">
        <f t="shared" si="145"/>
        <v>0</v>
      </c>
      <c r="CM499" s="37">
        <f t="shared" si="146"/>
        <v>0</v>
      </c>
    </row>
    <row r="500" spans="1:91" ht="25.5">
      <c r="A500" s="178" t="s">
        <v>1179</v>
      </c>
      <c r="B500" s="156">
        <v>488</v>
      </c>
      <c r="C500" s="192">
        <v>215</v>
      </c>
      <c r="D500" s="197">
        <v>424</v>
      </c>
      <c r="E500" s="193">
        <v>0.7909722222222223</v>
      </c>
      <c r="F500" s="198">
        <v>0.83263888888888893</v>
      </c>
      <c r="G500" s="194" t="s">
        <v>26</v>
      </c>
      <c r="H500" s="174" t="s">
        <v>479</v>
      </c>
      <c r="I500" s="192">
        <v>37</v>
      </c>
      <c r="J500" s="195">
        <v>50</v>
      </c>
      <c r="K500" s="199">
        <v>240</v>
      </c>
      <c r="L500" s="166">
        <f t="shared" si="155"/>
        <v>8880</v>
      </c>
      <c r="M500" s="167" t="s">
        <v>744</v>
      </c>
      <c r="N500" s="150" t="s">
        <v>802</v>
      </c>
      <c r="O500" s="150">
        <v>29</v>
      </c>
      <c r="P500" s="150" t="s">
        <v>800</v>
      </c>
      <c r="Q500" s="150">
        <v>37</v>
      </c>
      <c r="R500" s="150" t="s">
        <v>976</v>
      </c>
      <c r="S500" s="152">
        <v>29</v>
      </c>
      <c r="T500" s="45">
        <v>2290</v>
      </c>
      <c r="U500" s="45" t="s">
        <v>1484</v>
      </c>
      <c r="V500" s="45">
        <v>2323</v>
      </c>
      <c r="W500" s="45" t="s">
        <v>1556</v>
      </c>
      <c r="X500" s="99">
        <v>44816</v>
      </c>
      <c r="Y500" s="99">
        <v>45100</v>
      </c>
      <c r="Z500" s="99"/>
      <c r="AA500" s="99"/>
      <c r="AB500" s="45" t="s">
        <v>1124</v>
      </c>
      <c r="AC500" s="45"/>
      <c r="AD500" s="42" t="s">
        <v>734</v>
      </c>
      <c r="AE500" s="42"/>
      <c r="AF500" s="42" t="s">
        <v>734</v>
      </c>
      <c r="AG500" s="42"/>
      <c r="AH500" s="42" t="s">
        <v>734</v>
      </c>
      <c r="AI500" s="42" t="s">
        <v>734</v>
      </c>
      <c r="AJ500" s="42" t="s">
        <v>734</v>
      </c>
      <c r="AK500" s="42" t="s">
        <v>734</v>
      </c>
      <c r="AL500" s="42" t="s">
        <v>734</v>
      </c>
      <c r="AM500" s="42" t="s">
        <v>734</v>
      </c>
      <c r="AN500" s="42"/>
      <c r="AO500" s="42"/>
      <c r="AP500" s="42"/>
      <c r="AQ500" s="42"/>
      <c r="AR500" s="42"/>
      <c r="AS500" s="42"/>
      <c r="AT500" s="42"/>
      <c r="AU500" s="42"/>
      <c r="AV500" s="42"/>
      <c r="AW500" s="42"/>
      <c r="AX500" s="67">
        <v>91.64</v>
      </c>
      <c r="BA500" s="68"/>
      <c r="BB500" s="68"/>
      <c r="BD500" s="67">
        <f t="shared" si="171"/>
        <v>21993.599999999999</v>
      </c>
      <c r="BE500" s="67"/>
      <c r="BF500" s="37"/>
      <c r="BG500" s="69">
        <v>2</v>
      </c>
      <c r="BH500" s="67">
        <f>IF(AND((AX500/I500)&lt;2,BG500=1),(I500*2)-AX500,0)</f>
        <v>0</v>
      </c>
      <c r="BI500" s="67">
        <f>IF(AND((AX500/I500)&lt;3,BG500=2),(I500*3)-AX500,0)</f>
        <v>19.36</v>
      </c>
      <c r="BJ500" s="70">
        <f>(BH500+BI500)*K500</f>
        <v>4646.3999999999996</v>
      </c>
      <c r="BN500" s="37"/>
      <c r="BO500" s="70">
        <f t="shared" si="172"/>
        <v>0</v>
      </c>
      <c r="BP500" s="37">
        <v>17</v>
      </c>
      <c r="BQ500" s="37">
        <v>26</v>
      </c>
      <c r="BR500" s="37">
        <v>25</v>
      </c>
      <c r="BS500" s="37">
        <v>25</v>
      </c>
      <c r="BT500" s="87">
        <f t="shared" si="173"/>
        <v>111</v>
      </c>
      <c r="BU500" s="87"/>
      <c r="BV500" s="87"/>
      <c r="BW500" s="87"/>
      <c r="BX500" s="87"/>
      <c r="BY500" s="87"/>
      <c r="BZ500" s="87"/>
      <c r="CA500" s="87"/>
      <c r="CB500" s="87"/>
      <c r="CC500" s="87"/>
      <c r="CD500" s="87"/>
      <c r="CF500" s="67">
        <f t="shared" si="174"/>
        <v>1887</v>
      </c>
      <c r="CG500" s="67">
        <f t="shared" si="170"/>
        <v>2886</v>
      </c>
      <c r="CH500" s="67">
        <f t="shared" si="159"/>
        <v>2775</v>
      </c>
      <c r="CI500" s="67">
        <f t="shared" si="147"/>
        <v>2775</v>
      </c>
      <c r="CJ500" s="37">
        <f t="shared" si="143"/>
        <v>629</v>
      </c>
      <c r="CK500" s="37">
        <f t="shared" si="144"/>
        <v>962</v>
      </c>
      <c r="CL500" s="37">
        <f t="shared" si="145"/>
        <v>925</v>
      </c>
      <c r="CM500" s="37">
        <f t="shared" si="146"/>
        <v>925</v>
      </c>
    </row>
    <row r="501" spans="1:91" ht="45">
      <c r="A501" s="3" t="s">
        <v>803</v>
      </c>
      <c r="B501" s="156">
        <v>489</v>
      </c>
      <c r="C501" s="192">
        <v>215</v>
      </c>
      <c r="D501" s="192">
        <v>426</v>
      </c>
      <c r="E501" s="198">
        <v>0.83263888888888893</v>
      </c>
      <c r="F501" s="198">
        <v>0.87430555555555556</v>
      </c>
      <c r="G501" s="194" t="s">
        <v>26</v>
      </c>
      <c r="H501" s="160" t="s">
        <v>424</v>
      </c>
      <c r="I501" s="192">
        <v>37</v>
      </c>
      <c r="J501" s="195">
        <v>50</v>
      </c>
      <c r="K501" s="199">
        <v>67</v>
      </c>
      <c r="L501" s="166">
        <f t="shared" si="155"/>
        <v>2479</v>
      </c>
      <c r="M501" s="167" t="s">
        <v>756</v>
      </c>
      <c r="N501" s="150" t="s">
        <v>988</v>
      </c>
      <c r="O501" s="150">
        <v>57</v>
      </c>
      <c r="P501" s="150" t="s">
        <v>799</v>
      </c>
      <c r="Q501" s="150">
        <v>60</v>
      </c>
      <c r="R501" s="150" t="s">
        <v>1892</v>
      </c>
      <c r="S501" s="150">
        <v>57</v>
      </c>
      <c r="T501" s="45">
        <v>2290</v>
      </c>
      <c r="U501" s="45" t="s">
        <v>1484</v>
      </c>
      <c r="V501" s="45">
        <v>2323</v>
      </c>
      <c r="W501" s="45" t="s">
        <v>1556</v>
      </c>
      <c r="X501" s="99">
        <v>44562</v>
      </c>
      <c r="Y501" s="99">
        <v>44815</v>
      </c>
      <c r="Z501" s="99">
        <v>45101</v>
      </c>
      <c r="AA501" s="99">
        <v>45169</v>
      </c>
      <c r="AB501" s="42" t="s">
        <v>1119</v>
      </c>
      <c r="AC501" s="42"/>
      <c r="AD501" s="42"/>
      <c r="AE501" s="42" t="s">
        <v>734</v>
      </c>
      <c r="AF501" s="42" t="s">
        <v>734</v>
      </c>
      <c r="AG501" s="42"/>
      <c r="AH501" s="42" t="s">
        <v>734</v>
      </c>
      <c r="AI501" s="42" t="s">
        <v>734</v>
      </c>
      <c r="AJ501" s="42" t="s">
        <v>734</v>
      </c>
      <c r="AK501" s="42" t="s">
        <v>734</v>
      </c>
      <c r="AL501" s="42" t="s">
        <v>734</v>
      </c>
      <c r="AM501" s="42" t="s">
        <v>734</v>
      </c>
      <c r="AN501" s="42"/>
      <c r="AO501" s="42"/>
      <c r="AP501" s="42"/>
      <c r="AQ501" s="42"/>
      <c r="AR501" s="42"/>
      <c r="AS501" s="42"/>
      <c r="AT501" s="42"/>
      <c r="AU501" s="42"/>
      <c r="AV501" s="42"/>
      <c r="AW501" s="42"/>
      <c r="AX501" s="68"/>
      <c r="BB501" s="80" t="s">
        <v>756</v>
      </c>
      <c r="BD501" s="67">
        <f t="shared" si="171"/>
        <v>0</v>
      </c>
      <c r="BF501" s="37"/>
      <c r="BG501" s="69">
        <v>2</v>
      </c>
      <c r="BI501" s="67"/>
      <c r="BJ501" s="37"/>
      <c r="BN501" s="37"/>
      <c r="BO501" s="70">
        <f t="shared" si="172"/>
        <v>0</v>
      </c>
      <c r="BP501" s="37">
        <v>9</v>
      </c>
      <c r="BQ501" s="37">
        <v>0</v>
      </c>
      <c r="BR501" s="37">
        <v>0</v>
      </c>
      <c r="BS501" s="37">
        <v>0</v>
      </c>
      <c r="BT501" s="87">
        <f t="shared" si="173"/>
        <v>0</v>
      </c>
      <c r="BU501" s="87"/>
      <c r="BV501" s="87"/>
      <c r="BW501" s="87"/>
      <c r="BX501" s="87"/>
      <c r="BY501" s="87"/>
      <c r="BZ501" s="87"/>
      <c r="CA501" s="87"/>
      <c r="CB501" s="87"/>
      <c r="CC501" s="87"/>
      <c r="CD501" s="87"/>
      <c r="CF501" s="67">
        <f t="shared" si="174"/>
        <v>0</v>
      </c>
      <c r="CG501" s="67">
        <f t="shared" si="170"/>
        <v>0</v>
      </c>
      <c r="CH501" s="67">
        <f t="shared" si="159"/>
        <v>0</v>
      </c>
      <c r="CI501" s="67">
        <f t="shared" si="147"/>
        <v>0</v>
      </c>
      <c r="CJ501" s="37">
        <f t="shared" si="143"/>
        <v>333</v>
      </c>
      <c r="CK501" s="37">
        <f t="shared" si="144"/>
        <v>0</v>
      </c>
      <c r="CL501" s="37">
        <f t="shared" si="145"/>
        <v>0</v>
      </c>
      <c r="CM501" s="37">
        <f t="shared" si="146"/>
        <v>0</v>
      </c>
    </row>
    <row r="502" spans="1:91" ht="25.5">
      <c r="A502" s="3" t="s">
        <v>1183</v>
      </c>
      <c r="B502" s="156">
        <v>490</v>
      </c>
      <c r="C502" s="160">
        <v>215</v>
      </c>
      <c r="D502" s="160">
        <v>593</v>
      </c>
      <c r="E502" s="173">
        <v>0.85416666666666663</v>
      </c>
      <c r="F502" s="173">
        <v>0.91249999999999998</v>
      </c>
      <c r="G502" s="174" t="s">
        <v>1077</v>
      </c>
      <c r="H502" s="160" t="s">
        <v>180</v>
      </c>
      <c r="I502" s="188">
        <v>54</v>
      </c>
      <c r="J502" s="164">
        <v>22</v>
      </c>
      <c r="K502" s="165">
        <v>41</v>
      </c>
      <c r="L502" s="166">
        <f t="shared" si="155"/>
        <v>2214</v>
      </c>
      <c r="M502" s="167" t="s">
        <v>745</v>
      </c>
      <c r="N502" s="154" t="s">
        <v>956</v>
      </c>
      <c r="O502" s="154">
        <v>20</v>
      </c>
      <c r="P502" s="154" t="s">
        <v>1928</v>
      </c>
      <c r="Q502" s="154">
        <v>27</v>
      </c>
      <c r="S502" s="154"/>
      <c r="T502" s="45">
        <v>2330</v>
      </c>
      <c r="U502" s="45" t="s">
        <v>1582</v>
      </c>
      <c r="V502" s="97">
        <v>2290</v>
      </c>
      <c r="W502" s="97" t="s">
        <v>1578</v>
      </c>
      <c r="X502" s="99">
        <v>44816</v>
      </c>
      <c r="Y502" s="99">
        <v>45100</v>
      </c>
      <c r="Z502" s="99"/>
      <c r="AA502" s="99"/>
      <c r="AB502" s="42" t="s">
        <v>1153</v>
      </c>
      <c r="AC502" s="42"/>
      <c r="AD502" s="42" t="s">
        <v>734</v>
      </c>
      <c r="AE502" s="42"/>
      <c r="AF502" s="42" t="s">
        <v>734</v>
      </c>
      <c r="AG502" s="42"/>
      <c r="AH502" s="42"/>
      <c r="AI502" s="42"/>
      <c r="AJ502" s="42"/>
      <c r="AK502" s="42"/>
      <c r="AL502" s="42" t="s">
        <v>734</v>
      </c>
      <c r="AM502" s="42"/>
      <c r="AN502" s="42"/>
      <c r="AO502" s="42"/>
      <c r="AP502" s="42"/>
      <c r="AQ502" s="42"/>
      <c r="AR502" s="42"/>
      <c r="AS502" s="42"/>
      <c r="AT502" s="42"/>
      <c r="AU502" s="42"/>
      <c r="AV502" s="42"/>
      <c r="AW502" s="42"/>
      <c r="AX502" s="68">
        <v>124.5</v>
      </c>
      <c r="BA502" s="68"/>
      <c r="BB502" s="68"/>
      <c r="BD502" s="67">
        <f t="shared" si="171"/>
        <v>5104.5</v>
      </c>
      <c r="BE502" s="67"/>
      <c r="BF502" s="37"/>
      <c r="BG502" s="73">
        <v>1</v>
      </c>
      <c r="BH502" s="67">
        <f>IF(AND((AX502/I502)&lt;2,BG502=1),(I502*2)-AX502,0)</f>
        <v>0</v>
      </c>
      <c r="BI502" s="67">
        <f>IF(AND((AX502/I502)&lt;3,BG502=2),(I502*3)-AX502,0)</f>
        <v>0</v>
      </c>
      <c r="BJ502" s="67">
        <f>(BH502+BI502)*K502</f>
        <v>0</v>
      </c>
      <c r="BN502" s="37"/>
      <c r="BO502" s="70">
        <f t="shared" si="172"/>
        <v>0</v>
      </c>
      <c r="BP502" s="37">
        <v>3</v>
      </c>
      <c r="BQ502" s="37">
        <v>4</v>
      </c>
      <c r="BR502" s="37">
        <v>4</v>
      </c>
      <c r="BS502" s="37">
        <v>5</v>
      </c>
      <c r="BT502" s="87">
        <f t="shared" si="173"/>
        <v>124.5</v>
      </c>
      <c r="BU502" s="87"/>
      <c r="BV502" s="87"/>
      <c r="BW502" s="87"/>
      <c r="BX502" s="87"/>
      <c r="BY502" s="87"/>
      <c r="BZ502" s="87"/>
      <c r="CA502" s="87"/>
      <c r="CB502" s="87"/>
      <c r="CC502" s="87"/>
      <c r="CD502" s="87"/>
      <c r="CF502" s="67">
        <f t="shared" si="174"/>
        <v>373.5</v>
      </c>
      <c r="CG502" s="67">
        <f t="shared" si="170"/>
        <v>498</v>
      </c>
      <c r="CH502" s="67">
        <f t="shared" si="159"/>
        <v>498</v>
      </c>
      <c r="CI502" s="67">
        <f t="shared" si="147"/>
        <v>622.5</v>
      </c>
      <c r="CJ502" s="37">
        <f t="shared" si="143"/>
        <v>162</v>
      </c>
      <c r="CK502" s="37">
        <f t="shared" si="144"/>
        <v>216</v>
      </c>
      <c r="CL502" s="37">
        <f t="shared" si="145"/>
        <v>216</v>
      </c>
      <c r="CM502" s="37">
        <f t="shared" si="146"/>
        <v>270</v>
      </c>
    </row>
    <row r="503" spans="1:91" ht="25.5">
      <c r="B503" s="156">
        <v>491</v>
      </c>
      <c r="C503" s="160">
        <v>216</v>
      </c>
      <c r="D503" s="160">
        <v>48</v>
      </c>
      <c r="E503" s="173">
        <v>0.54791666666666672</v>
      </c>
      <c r="F503" s="173">
        <v>0.55763888888888891</v>
      </c>
      <c r="G503" s="160" t="s">
        <v>273</v>
      </c>
      <c r="H503" s="160" t="s">
        <v>103</v>
      </c>
      <c r="I503" s="163">
        <v>5.5</v>
      </c>
      <c r="J503" s="164" t="s">
        <v>93</v>
      </c>
      <c r="K503" s="165">
        <v>174</v>
      </c>
      <c r="L503" s="166">
        <f t="shared" si="155"/>
        <v>957</v>
      </c>
      <c r="M503" s="167" t="s">
        <v>744</v>
      </c>
      <c r="N503" s="154" t="s">
        <v>802</v>
      </c>
      <c r="O503" s="154">
        <v>29</v>
      </c>
      <c r="P503" s="154" t="s">
        <v>976</v>
      </c>
      <c r="Q503" s="154">
        <v>29</v>
      </c>
      <c r="R503" s="154" t="s">
        <v>979</v>
      </c>
      <c r="S503" s="152">
        <v>25</v>
      </c>
      <c r="T503" s="45">
        <v>2251</v>
      </c>
      <c r="U503" s="45" t="s">
        <v>1583</v>
      </c>
      <c r="V503" s="45">
        <v>2280</v>
      </c>
      <c r="W503" s="45" t="s">
        <v>1584</v>
      </c>
      <c r="X503" s="98">
        <v>44816</v>
      </c>
      <c r="Y503" s="98">
        <v>45086</v>
      </c>
      <c r="Z503" s="98"/>
      <c r="AA503" s="98"/>
      <c r="AB503" s="41" t="s">
        <v>1114</v>
      </c>
      <c r="AC503" s="41"/>
      <c r="AD503" s="42"/>
      <c r="AE503" s="42"/>
      <c r="AF503" s="42"/>
      <c r="AG503" s="42" t="s">
        <v>734</v>
      </c>
      <c r="AH503" s="42" t="s">
        <v>734</v>
      </c>
      <c r="AI503" s="42" t="s">
        <v>734</v>
      </c>
      <c r="AJ503" s="42" t="s">
        <v>734</v>
      </c>
      <c r="AK503" s="42" t="s">
        <v>734</v>
      </c>
      <c r="AL503" s="42" t="s">
        <v>734</v>
      </c>
      <c r="AM503" s="42"/>
      <c r="AN503" s="42"/>
      <c r="AO503" s="42"/>
      <c r="AP503" s="42"/>
      <c r="AQ503" s="42"/>
      <c r="AR503" s="42"/>
      <c r="AS503" s="42"/>
      <c r="AT503" s="42"/>
      <c r="AU503" s="42"/>
      <c r="AV503" s="42"/>
      <c r="AW503" s="42"/>
      <c r="AX503" s="67">
        <v>9.9</v>
      </c>
      <c r="BA503" s="68"/>
      <c r="BB503" s="68"/>
      <c r="BD503" s="67">
        <f t="shared" si="171"/>
        <v>1722.6000000000001</v>
      </c>
      <c r="BE503" s="67"/>
      <c r="BF503" s="37"/>
      <c r="BG503" s="73">
        <v>1</v>
      </c>
      <c r="BH503" s="67">
        <f>IF(AND((AX503/I503)&lt;2,BG503=1),(I503*2)-AX503,0)</f>
        <v>1.0999999999999996</v>
      </c>
      <c r="BI503" s="67">
        <f>IF(AND((AX503/I503)&lt;3,BG503=2),(I503*3)-AX503,0)</f>
        <v>0</v>
      </c>
      <c r="BJ503" s="67">
        <f>(BH503+BI503)*K503</f>
        <v>191.39999999999995</v>
      </c>
      <c r="BN503" s="37"/>
      <c r="BO503" s="70">
        <f t="shared" si="172"/>
        <v>0</v>
      </c>
      <c r="BP503" s="37">
        <v>15</v>
      </c>
      <c r="BQ503" s="37">
        <v>20</v>
      </c>
      <c r="BR503" s="37">
        <v>21</v>
      </c>
      <c r="BS503" s="37">
        <v>15</v>
      </c>
      <c r="BT503" s="87">
        <f t="shared" si="173"/>
        <v>11</v>
      </c>
      <c r="BU503" s="87"/>
      <c r="BV503" s="87"/>
      <c r="BW503" s="87"/>
      <c r="BX503" s="87"/>
      <c r="BY503" s="87"/>
      <c r="BZ503" s="87"/>
      <c r="CA503" s="87"/>
      <c r="CB503" s="87"/>
      <c r="CC503" s="87"/>
      <c r="CD503" s="87"/>
      <c r="CF503" s="67">
        <f t="shared" si="174"/>
        <v>165</v>
      </c>
      <c r="CG503" s="67">
        <f t="shared" si="170"/>
        <v>220</v>
      </c>
      <c r="CH503" s="67">
        <f t="shared" si="159"/>
        <v>231</v>
      </c>
      <c r="CI503" s="67">
        <f t="shared" si="147"/>
        <v>165</v>
      </c>
      <c r="CJ503" s="37">
        <f t="shared" si="143"/>
        <v>82.5</v>
      </c>
      <c r="CK503" s="37">
        <f t="shared" si="144"/>
        <v>110</v>
      </c>
      <c r="CL503" s="37">
        <f t="shared" si="145"/>
        <v>115.5</v>
      </c>
      <c r="CM503" s="37">
        <f t="shared" si="146"/>
        <v>82.5</v>
      </c>
    </row>
    <row r="504" spans="1:91" ht="25.5">
      <c r="B504" s="156">
        <v>492</v>
      </c>
      <c r="C504" s="160">
        <v>216</v>
      </c>
      <c r="D504" s="160">
        <v>45</v>
      </c>
      <c r="E504" s="173">
        <v>0.55902777777777779</v>
      </c>
      <c r="F504" s="173">
        <v>0.59027777777777779</v>
      </c>
      <c r="G504" s="160" t="s">
        <v>272</v>
      </c>
      <c r="H504" s="160" t="s">
        <v>103</v>
      </c>
      <c r="I504" s="163">
        <v>20</v>
      </c>
      <c r="J504" s="164" t="s">
        <v>93</v>
      </c>
      <c r="K504" s="165">
        <v>174</v>
      </c>
      <c r="L504" s="166">
        <f t="shared" si="155"/>
        <v>3480</v>
      </c>
      <c r="M504" s="167" t="s">
        <v>744</v>
      </c>
      <c r="N504" s="154" t="s">
        <v>802</v>
      </c>
      <c r="O504" s="154">
        <v>29</v>
      </c>
      <c r="P504" s="154" t="s">
        <v>976</v>
      </c>
      <c r="Q504" s="154">
        <v>29</v>
      </c>
      <c r="R504" s="154" t="s">
        <v>979</v>
      </c>
      <c r="S504" s="152">
        <v>25</v>
      </c>
      <c r="T504" s="45">
        <v>2280</v>
      </c>
      <c r="U504" s="45" t="s">
        <v>1584</v>
      </c>
      <c r="V504" s="45">
        <v>2290</v>
      </c>
      <c r="W504" s="45" t="s">
        <v>1484</v>
      </c>
      <c r="X504" s="98">
        <v>44816</v>
      </c>
      <c r="Y504" s="98">
        <v>45086</v>
      </c>
      <c r="Z504" s="98"/>
      <c r="AA504" s="98"/>
      <c r="AB504" s="41" t="s">
        <v>1114</v>
      </c>
      <c r="AC504" s="41"/>
      <c r="AD504" s="42"/>
      <c r="AE504" s="42"/>
      <c r="AF504" s="42"/>
      <c r="AG504" s="42" t="s">
        <v>734</v>
      </c>
      <c r="AH504" s="42" t="s">
        <v>734</v>
      </c>
      <c r="AI504" s="42" t="s">
        <v>734</v>
      </c>
      <c r="AJ504" s="42" t="s">
        <v>734</v>
      </c>
      <c r="AK504" s="42" t="s">
        <v>734</v>
      </c>
      <c r="AL504" s="42" t="s">
        <v>734</v>
      </c>
      <c r="AM504" s="42"/>
      <c r="AN504" s="42"/>
      <c r="AO504" s="42"/>
      <c r="AP504" s="42"/>
      <c r="AQ504" s="42"/>
      <c r="AR504" s="42"/>
      <c r="AS504" s="42"/>
      <c r="AT504" s="42"/>
      <c r="AU504" s="42"/>
      <c r="AV504" s="42"/>
      <c r="AW504" s="42"/>
      <c r="AX504" s="67">
        <v>36</v>
      </c>
      <c r="BA504" s="68"/>
      <c r="BB504" s="68"/>
      <c r="BD504" s="67">
        <f t="shared" si="171"/>
        <v>6264</v>
      </c>
      <c r="BE504" s="67"/>
      <c r="BF504" s="37"/>
      <c r="BG504" s="73">
        <v>1</v>
      </c>
      <c r="BH504" s="67">
        <f>IF(AND((AX504/I504)&lt;2,BG504=1),(I504*2)-AX504,0)</f>
        <v>4</v>
      </c>
      <c r="BI504" s="67">
        <f>IF(AND((AX504/I504)&lt;3,BG504=2),(I504*3)-AX504,0)</f>
        <v>0</v>
      </c>
      <c r="BJ504" s="67">
        <f>(BH504+BI504)*K504</f>
        <v>696</v>
      </c>
      <c r="BN504" s="37"/>
      <c r="BO504" s="70">
        <f t="shared" si="172"/>
        <v>0</v>
      </c>
      <c r="BP504" s="37">
        <v>15</v>
      </c>
      <c r="BQ504" s="37">
        <v>20</v>
      </c>
      <c r="BR504" s="37">
        <v>21</v>
      </c>
      <c r="BS504" s="37">
        <v>15</v>
      </c>
      <c r="BT504" s="87">
        <f t="shared" si="173"/>
        <v>40</v>
      </c>
      <c r="BU504" s="87"/>
      <c r="BV504" s="87"/>
      <c r="BW504" s="87"/>
      <c r="BX504" s="87"/>
      <c r="BY504" s="87"/>
      <c r="BZ504" s="87"/>
      <c r="CA504" s="87"/>
      <c r="CB504" s="87"/>
      <c r="CC504" s="87"/>
      <c r="CD504" s="87"/>
      <c r="CF504" s="67">
        <f t="shared" si="174"/>
        <v>600</v>
      </c>
      <c r="CG504" s="67">
        <f t="shared" si="170"/>
        <v>800</v>
      </c>
      <c r="CH504" s="67">
        <f t="shared" si="159"/>
        <v>840</v>
      </c>
      <c r="CI504" s="67">
        <f t="shared" si="147"/>
        <v>600</v>
      </c>
      <c r="CJ504" s="37">
        <f t="shared" si="143"/>
        <v>300</v>
      </c>
      <c r="CK504" s="37">
        <f t="shared" si="144"/>
        <v>400</v>
      </c>
      <c r="CL504" s="37">
        <f t="shared" si="145"/>
        <v>420</v>
      </c>
      <c r="CM504" s="37">
        <f t="shared" si="146"/>
        <v>300</v>
      </c>
    </row>
    <row r="505" spans="1:91" ht="25.5">
      <c r="B505" s="156">
        <v>493</v>
      </c>
      <c r="C505" s="160">
        <v>216</v>
      </c>
      <c r="D505" s="164">
        <v>398</v>
      </c>
      <c r="E505" s="161">
        <v>0.67152777777777783</v>
      </c>
      <c r="F505" s="161">
        <v>0.70486111111111116</v>
      </c>
      <c r="G505" s="160" t="s">
        <v>270</v>
      </c>
      <c r="H505" s="160" t="s">
        <v>194</v>
      </c>
      <c r="I505" s="163">
        <v>19</v>
      </c>
      <c r="J505" s="164" t="s">
        <v>269</v>
      </c>
      <c r="K505" s="165">
        <f>34+34+36+33</f>
        <v>137</v>
      </c>
      <c r="L505" s="166">
        <f t="shared" si="155"/>
        <v>2603</v>
      </c>
      <c r="M505" s="167" t="s">
        <v>751</v>
      </c>
      <c r="N505" s="150" t="s">
        <v>792</v>
      </c>
      <c r="O505" s="150">
        <v>21</v>
      </c>
      <c r="P505" s="150" t="s">
        <v>793</v>
      </c>
      <c r="Q505" s="150">
        <v>22</v>
      </c>
      <c r="R505" s="150" t="s">
        <v>794</v>
      </c>
      <c r="S505" s="150">
        <v>23</v>
      </c>
      <c r="T505" s="41" t="s">
        <v>1574</v>
      </c>
      <c r="U505" s="41" t="s">
        <v>1575</v>
      </c>
      <c r="V505" s="41">
        <v>2280</v>
      </c>
      <c r="W505" s="41" t="s">
        <v>1584</v>
      </c>
      <c r="X505" s="98">
        <v>44816</v>
      </c>
      <c r="Y505" s="98">
        <v>45086</v>
      </c>
      <c r="Z505" s="98"/>
      <c r="AA505" s="98"/>
      <c r="AB505" s="46" t="s">
        <v>1117</v>
      </c>
      <c r="AC505" s="46"/>
      <c r="AD505" s="42"/>
      <c r="AE505" s="42"/>
      <c r="AF505" s="42"/>
      <c r="AG505" s="42" t="s">
        <v>734</v>
      </c>
      <c r="AH505" s="42" t="s">
        <v>734</v>
      </c>
      <c r="AI505" s="42" t="s">
        <v>734</v>
      </c>
      <c r="AJ505" s="42" t="s">
        <v>734</v>
      </c>
      <c r="AK505" s="42" t="s">
        <v>734</v>
      </c>
      <c r="AL505" s="42"/>
      <c r="AM505" s="42"/>
      <c r="AN505" s="42"/>
      <c r="AO505" s="42"/>
      <c r="AP505" s="42"/>
      <c r="AQ505" s="42"/>
      <c r="AR505" s="42"/>
      <c r="AS505" s="42"/>
      <c r="AT505" s="42"/>
      <c r="AU505" s="42"/>
      <c r="AV505" s="42"/>
      <c r="AW505" s="42"/>
      <c r="AX505" s="67">
        <v>47.5</v>
      </c>
      <c r="BA505" s="67"/>
      <c r="BB505" s="67"/>
      <c r="BD505" s="67">
        <f t="shared" si="171"/>
        <v>6507.5</v>
      </c>
      <c r="BE505" s="67"/>
      <c r="BF505" s="37"/>
      <c r="BG505" s="37">
        <v>1</v>
      </c>
      <c r="BH505" s="67">
        <f>IF(AND((AX505/I505)&lt;2,BG505=1),(I505*2)-AX505,0)</f>
        <v>0</v>
      </c>
      <c r="BI505" s="67">
        <f>IF(AND((AX505/I505)&lt;3,BG505=2),(I505*3)-AX505,0)</f>
        <v>0</v>
      </c>
      <c r="BJ505" s="70">
        <f>(BH505+BI505)*K505</f>
        <v>0</v>
      </c>
      <c r="BN505" s="37"/>
      <c r="BO505" s="70">
        <f t="shared" si="172"/>
        <v>0</v>
      </c>
      <c r="BP505" s="37">
        <v>12</v>
      </c>
      <c r="BQ505" s="37">
        <v>16</v>
      </c>
      <c r="BR505" s="37">
        <v>17</v>
      </c>
      <c r="BS505" s="37">
        <v>12</v>
      </c>
      <c r="BT505" s="87">
        <f t="shared" si="173"/>
        <v>47.5</v>
      </c>
      <c r="BU505" s="87"/>
      <c r="BV505" s="87"/>
      <c r="BW505" s="87"/>
      <c r="BX505" s="87"/>
      <c r="BY505" s="87"/>
      <c r="BZ505" s="87"/>
      <c r="CA505" s="87"/>
      <c r="CB505" s="87"/>
      <c r="CC505" s="87"/>
      <c r="CD505" s="87"/>
      <c r="CF505" s="67">
        <f t="shared" si="174"/>
        <v>570</v>
      </c>
      <c r="CG505" s="67">
        <f t="shared" si="170"/>
        <v>760</v>
      </c>
      <c r="CH505" s="67">
        <f t="shared" si="159"/>
        <v>807.5</v>
      </c>
      <c r="CI505" s="67">
        <f t="shared" si="147"/>
        <v>570</v>
      </c>
      <c r="CJ505" s="37">
        <f t="shared" si="143"/>
        <v>228</v>
      </c>
      <c r="CK505" s="37">
        <f t="shared" si="144"/>
        <v>304</v>
      </c>
      <c r="CL505" s="37">
        <f t="shared" si="145"/>
        <v>323</v>
      </c>
      <c r="CM505" s="37">
        <f t="shared" si="146"/>
        <v>228</v>
      </c>
    </row>
    <row r="506" spans="1:91" ht="25.5">
      <c r="A506" s="225" t="s">
        <v>2037</v>
      </c>
      <c r="B506" s="226">
        <v>494</v>
      </c>
      <c r="C506" s="245">
        <v>217</v>
      </c>
      <c r="D506" s="245"/>
      <c r="E506" s="246">
        <v>0.58680555555555558</v>
      </c>
      <c r="F506" s="246">
        <v>0.59375</v>
      </c>
      <c r="G506" s="247" t="s">
        <v>586</v>
      </c>
      <c r="H506" s="227" t="s">
        <v>203</v>
      </c>
      <c r="I506" s="245">
        <v>4</v>
      </c>
      <c r="J506" s="248">
        <v>50</v>
      </c>
      <c r="K506" s="232"/>
      <c r="L506" s="233">
        <f t="shared" si="155"/>
        <v>0</v>
      </c>
      <c r="M506" s="234" t="s">
        <v>2129</v>
      </c>
      <c r="N506" s="249"/>
      <c r="O506" s="249"/>
      <c r="P506" s="249"/>
      <c r="Q506" s="249"/>
      <c r="R506" s="249"/>
      <c r="S506" s="249"/>
      <c r="T506" s="240"/>
      <c r="U506" s="240"/>
      <c r="V506" s="240"/>
      <c r="W506" s="240"/>
      <c r="X506" s="235"/>
      <c r="Y506" s="235"/>
      <c r="Z506" s="235"/>
      <c r="AA506" s="235"/>
      <c r="AB506" s="235"/>
      <c r="AC506" s="235"/>
      <c r="AD506" s="240"/>
      <c r="AE506" s="240"/>
      <c r="AF506" s="240"/>
      <c r="AG506" s="240"/>
      <c r="AH506" s="240"/>
      <c r="AI506" s="240"/>
      <c r="AJ506" s="240"/>
      <c r="AK506" s="240"/>
      <c r="AL506" s="240"/>
      <c r="AM506" s="240"/>
      <c r="AN506" s="240"/>
      <c r="AO506" s="240"/>
      <c r="AP506" s="240"/>
      <c r="AQ506" s="240"/>
      <c r="AR506" s="240"/>
      <c r="AS506" s="240"/>
      <c r="AT506" s="240"/>
      <c r="AU506" s="240"/>
      <c r="AV506" s="240"/>
      <c r="AW506" s="240"/>
      <c r="AX506" s="235"/>
      <c r="AY506" s="235"/>
      <c r="AZ506" s="235"/>
      <c r="BA506" s="235"/>
      <c r="BB506" s="235"/>
      <c r="BC506" s="235"/>
      <c r="BD506" s="235"/>
      <c r="BE506" s="235"/>
      <c r="BF506" s="235"/>
      <c r="BG506" s="235"/>
      <c r="BH506" s="235"/>
      <c r="BI506" s="235"/>
      <c r="BJ506" s="235"/>
      <c r="BK506" s="235"/>
      <c r="BL506" s="235"/>
      <c r="BM506" s="235"/>
      <c r="BN506" s="235"/>
      <c r="BO506" s="250"/>
      <c r="BP506" s="236"/>
      <c r="BQ506" s="236"/>
      <c r="BR506" s="236"/>
      <c r="BS506" s="236"/>
      <c r="BT506" s="237"/>
      <c r="BU506" s="237"/>
      <c r="BV506" s="237"/>
      <c r="BW506" s="237"/>
      <c r="BX506" s="237"/>
      <c r="BY506" s="237"/>
      <c r="BZ506" s="237"/>
      <c r="CA506" s="237"/>
      <c r="CB506" s="237"/>
      <c r="CC506" s="237"/>
      <c r="CD506" s="237"/>
      <c r="CE506" s="236"/>
      <c r="CF506" s="238"/>
      <c r="CG506" s="238"/>
      <c r="CH506" s="238">
        <f t="shared" si="159"/>
        <v>0</v>
      </c>
      <c r="CI506" s="67">
        <f t="shared" si="147"/>
        <v>0</v>
      </c>
      <c r="CJ506" s="37">
        <f t="shared" si="143"/>
        <v>0</v>
      </c>
      <c r="CK506" s="37">
        <f t="shared" si="144"/>
        <v>0</v>
      </c>
      <c r="CL506" s="37">
        <f t="shared" si="145"/>
        <v>0</v>
      </c>
      <c r="CM506" s="37">
        <f t="shared" si="146"/>
        <v>0</v>
      </c>
    </row>
    <row r="507" spans="1:91" s="75" customFormat="1" ht="25.5">
      <c r="A507" s="3"/>
      <c r="B507" s="156">
        <v>495</v>
      </c>
      <c r="C507" s="160">
        <v>218</v>
      </c>
      <c r="D507" s="164">
        <v>407</v>
      </c>
      <c r="E507" s="161">
        <v>0.57291666666666663</v>
      </c>
      <c r="F507" s="161">
        <v>0.5756944444444444</v>
      </c>
      <c r="G507" s="160" t="s">
        <v>238</v>
      </c>
      <c r="H507" s="160" t="s">
        <v>97</v>
      </c>
      <c r="I507" s="163">
        <v>4</v>
      </c>
      <c r="J507" s="164" t="s">
        <v>146</v>
      </c>
      <c r="K507" s="165">
        <v>208</v>
      </c>
      <c r="L507" s="166">
        <f t="shared" si="155"/>
        <v>832</v>
      </c>
      <c r="M507" s="201" t="s">
        <v>746</v>
      </c>
      <c r="N507" s="154" t="s">
        <v>920</v>
      </c>
      <c r="O507" s="154">
        <v>17</v>
      </c>
      <c r="P507" s="187" t="s">
        <v>921</v>
      </c>
      <c r="Q507" s="187">
        <v>21</v>
      </c>
      <c r="R507" s="3"/>
      <c r="S507" s="154"/>
      <c r="T507" s="45" t="s">
        <v>1585</v>
      </c>
      <c r="U507" s="45" t="s">
        <v>1586</v>
      </c>
      <c r="V507" s="45">
        <v>2054</v>
      </c>
      <c r="W507" s="45" t="s">
        <v>1359</v>
      </c>
      <c r="X507" s="98">
        <v>44816</v>
      </c>
      <c r="Y507" s="98">
        <v>45086</v>
      </c>
      <c r="Z507" s="98"/>
      <c r="AA507" s="98"/>
      <c r="AB507" s="41" t="s">
        <v>1118</v>
      </c>
      <c r="AC507" s="41"/>
      <c r="AD507" s="42"/>
      <c r="AE507" s="42"/>
      <c r="AF507" s="42"/>
      <c r="AG507" s="42" t="s">
        <v>734</v>
      </c>
      <c r="AH507" s="42" t="s">
        <v>734</v>
      </c>
      <c r="AI507" s="42" t="s">
        <v>734</v>
      </c>
      <c r="AJ507" s="42" t="s">
        <v>734</v>
      </c>
      <c r="AK507" s="42" t="s">
        <v>734</v>
      </c>
      <c r="AL507" s="42" t="s">
        <v>734</v>
      </c>
      <c r="AM507" s="42" t="s">
        <v>734</v>
      </c>
      <c r="AN507" s="42"/>
      <c r="AO507" s="42"/>
      <c r="AP507" s="42"/>
      <c r="AQ507" s="42"/>
      <c r="AR507" s="42"/>
      <c r="AS507" s="42"/>
      <c r="AT507" s="42"/>
      <c r="AU507" s="42"/>
      <c r="AV507" s="42"/>
      <c r="AW507" s="42"/>
      <c r="AX507" s="68">
        <v>12.77</v>
      </c>
      <c r="AY507" s="67"/>
      <c r="AZ507" s="37"/>
      <c r="BA507" s="68"/>
      <c r="BB507" s="68"/>
      <c r="BC507" s="37"/>
      <c r="BD507" s="67">
        <f t="shared" ref="BD507:BD512" si="175">AX507*K507</f>
        <v>2656.16</v>
      </c>
      <c r="BE507" s="67"/>
      <c r="BF507" s="37"/>
      <c r="BG507" s="73">
        <v>1</v>
      </c>
      <c r="BH507" s="67">
        <f t="shared" ref="BH507:BH512" si="176">IF(AND((AX507/I507)&lt;2,BG507=1),(I507*2)-AX507,0)</f>
        <v>0</v>
      </c>
      <c r="BI507" s="67">
        <f t="shared" ref="BI507:BI512" si="177">IF(AND((AX507/I507)&lt;3,BG507=2),(I507*3)-AX507,0)</f>
        <v>0</v>
      </c>
      <c r="BJ507" s="70">
        <f t="shared" ref="BJ507:BJ512" si="178">(BH507+BI507)*K507</f>
        <v>0</v>
      </c>
      <c r="BK507" s="37"/>
      <c r="BL507" s="37"/>
      <c r="BM507" s="37"/>
      <c r="BN507" s="37"/>
      <c r="BO507" s="70">
        <f t="shared" ref="BO507:BO539" si="179">BN507*K507</f>
        <v>0</v>
      </c>
      <c r="BP507" s="37">
        <v>17</v>
      </c>
      <c r="BQ507" s="37">
        <v>25</v>
      </c>
      <c r="BR507" s="37">
        <v>25</v>
      </c>
      <c r="BS507" s="37">
        <v>18</v>
      </c>
      <c r="BT507" s="87">
        <f t="shared" ref="BT507:BT539" si="180">SUM(AX507:AZ507)+SUM(BH507:BI507)+SUM(BK507:BL507)+BN507</f>
        <v>12.77</v>
      </c>
      <c r="BU507" s="87"/>
      <c r="BV507" s="87"/>
      <c r="BW507" s="87"/>
      <c r="BX507" s="87"/>
      <c r="BY507" s="87"/>
      <c r="BZ507" s="87"/>
      <c r="CA507" s="87"/>
      <c r="CB507" s="87"/>
      <c r="CC507" s="87"/>
      <c r="CD507" s="87"/>
      <c r="CE507" s="37"/>
      <c r="CF507" s="67">
        <f t="shared" ref="CF507:CF539" si="181">(BT507*BP507)+(BV507*CD507)</f>
        <v>217.09</v>
      </c>
      <c r="CG507" s="67">
        <f t="shared" ref="CG507:CG571" si="182">(BT507*BQ507)+(BX507*CD507)</f>
        <v>319.25</v>
      </c>
      <c r="CH507" s="67">
        <f t="shared" si="159"/>
        <v>319.25</v>
      </c>
      <c r="CI507" s="67">
        <f t="shared" si="147"/>
        <v>229.85999999999999</v>
      </c>
      <c r="CJ507" s="37">
        <f t="shared" si="143"/>
        <v>68</v>
      </c>
      <c r="CK507" s="37">
        <f t="shared" si="144"/>
        <v>100</v>
      </c>
      <c r="CL507" s="37">
        <f t="shared" si="145"/>
        <v>100</v>
      </c>
      <c r="CM507" s="37">
        <f t="shared" si="146"/>
        <v>72</v>
      </c>
    </row>
    <row r="508" spans="1:91" s="75" customFormat="1" ht="25.5">
      <c r="A508" s="3"/>
      <c r="B508" s="156">
        <v>496</v>
      </c>
      <c r="C508" s="160">
        <v>218</v>
      </c>
      <c r="D508" s="164">
        <v>408</v>
      </c>
      <c r="E508" s="161">
        <v>0.57638888888888895</v>
      </c>
      <c r="F508" s="161">
        <v>0.57986111111111105</v>
      </c>
      <c r="G508" s="160" t="s">
        <v>237</v>
      </c>
      <c r="H508" s="160" t="s">
        <v>97</v>
      </c>
      <c r="I508" s="163">
        <v>4</v>
      </c>
      <c r="J508" s="164" t="s">
        <v>146</v>
      </c>
      <c r="K508" s="165">
        <v>208</v>
      </c>
      <c r="L508" s="166">
        <f t="shared" si="155"/>
        <v>832</v>
      </c>
      <c r="M508" s="201" t="s">
        <v>746</v>
      </c>
      <c r="N508" s="154" t="s">
        <v>920</v>
      </c>
      <c r="O508" s="154">
        <v>17</v>
      </c>
      <c r="P508" s="187" t="s">
        <v>921</v>
      </c>
      <c r="Q508" s="187">
        <v>21</v>
      </c>
      <c r="R508" s="3"/>
      <c r="S508" s="154"/>
      <c r="T508" s="45">
        <v>2054</v>
      </c>
      <c r="U508" s="45" t="s">
        <v>1359</v>
      </c>
      <c r="V508" s="45" t="s">
        <v>1585</v>
      </c>
      <c r="W508" s="45" t="s">
        <v>1586</v>
      </c>
      <c r="X508" s="98">
        <v>44816</v>
      </c>
      <c r="Y508" s="98">
        <v>45086</v>
      </c>
      <c r="Z508" s="98"/>
      <c r="AA508" s="98"/>
      <c r="AB508" s="41" t="s">
        <v>1118</v>
      </c>
      <c r="AC508" s="41"/>
      <c r="AD508" s="42"/>
      <c r="AE508" s="42"/>
      <c r="AF508" s="42"/>
      <c r="AG508" s="42" t="s">
        <v>734</v>
      </c>
      <c r="AH508" s="42" t="s">
        <v>734</v>
      </c>
      <c r="AI508" s="42" t="s">
        <v>734</v>
      </c>
      <c r="AJ508" s="42" t="s">
        <v>734</v>
      </c>
      <c r="AK508" s="42" t="s">
        <v>734</v>
      </c>
      <c r="AL508" s="42" t="s">
        <v>734</v>
      </c>
      <c r="AM508" s="42" t="s">
        <v>734</v>
      </c>
      <c r="AN508" s="42"/>
      <c r="AO508" s="42"/>
      <c r="AP508" s="42"/>
      <c r="AQ508" s="42"/>
      <c r="AR508" s="42"/>
      <c r="AS508" s="42"/>
      <c r="AT508" s="42"/>
      <c r="AU508" s="42"/>
      <c r="AV508" s="42"/>
      <c r="AW508" s="42"/>
      <c r="AX508" s="68">
        <v>12.77</v>
      </c>
      <c r="AY508" s="67"/>
      <c r="AZ508" s="37"/>
      <c r="BA508" s="68"/>
      <c r="BB508" s="68"/>
      <c r="BC508" s="37"/>
      <c r="BD508" s="67">
        <f t="shared" si="175"/>
        <v>2656.16</v>
      </c>
      <c r="BE508" s="67"/>
      <c r="BF508" s="37"/>
      <c r="BG508" s="73">
        <v>1</v>
      </c>
      <c r="BH508" s="67">
        <f t="shared" si="176"/>
        <v>0</v>
      </c>
      <c r="BI508" s="67">
        <f t="shared" si="177"/>
        <v>0</v>
      </c>
      <c r="BJ508" s="70">
        <f t="shared" si="178"/>
        <v>0</v>
      </c>
      <c r="BO508" s="70">
        <f t="shared" si="179"/>
        <v>0</v>
      </c>
      <c r="BP508" s="37">
        <v>17</v>
      </c>
      <c r="BQ508" s="37">
        <v>25</v>
      </c>
      <c r="BR508" s="37">
        <v>25</v>
      </c>
      <c r="BS508" s="37">
        <v>18</v>
      </c>
      <c r="BT508" s="87">
        <f t="shared" si="180"/>
        <v>12.77</v>
      </c>
      <c r="BU508" s="87"/>
      <c r="BV508" s="87"/>
      <c r="BW508" s="87"/>
      <c r="BX508" s="87"/>
      <c r="BY508" s="87"/>
      <c r="BZ508" s="87"/>
      <c r="CA508" s="87"/>
      <c r="CB508" s="87"/>
      <c r="CC508" s="87"/>
      <c r="CD508" s="87"/>
      <c r="CF508" s="67">
        <f t="shared" si="181"/>
        <v>217.09</v>
      </c>
      <c r="CG508" s="67">
        <f t="shared" si="182"/>
        <v>319.25</v>
      </c>
      <c r="CH508" s="67">
        <f t="shared" si="159"/>
        <v>319.25</v>
      </c>
      <c r="CI508" s="67">
        <f t="shared" si="147"/>
        <v>229.85999999999999</v>
      </c>
      <c r="CJ508" s="37">
        <f t="shared" si="143"/>
        <v>68</v>
      </c>
      <c r="CK508" s="37">
        <f t="shared" si="144"/>
        <v>100</v>
      </c>
      <c r="CL508" s="37">
        <f t="shared" si="145"/>
        <v>100</v>
      </c>
      <c r="CM508" s="37">
        <f t="shared" si="146"/>
        <v>72</v>
      </c>
    </row>
    <row r="509" spans="1:91" s="75" customFormat="1" ht="25.5">
      <c r="A509" s="3"/>
      <c r="B509" s="156">
        <v>497</v>
      </c>
      <c r="C509" s="160">
        <v>218</v>
      </c>
      <c r="D509" s="164">
        <v>410</v>
      </c>
      <c r="E509" s="161">
        <v>0.60069444444444442</v>
      </c>
      <c r="F509" s="173">
        <v>0.60833333333333328</v>
      </c>
      <c r="G509" s="160" t="s">
        <v>695</v>
      </c>
      <c r="H509" s="160" t="s">
        <v>97</v>
      </c>
      <c r="I509" s="163">
        <v>7.5</v>
      </c>
      <c r="J509" s="164" t="s">
        <v>146</v>
      </c>
      <c r="K509" s="165">
        <v>208</v>
      </c>
      <c r="L509" s="166">
        <f t="shared" si="155"/>
        <v>1560</v>
      </c>
      <c r="M509" s="201" t="s">
        <v>746</v>
      </c>
      <c r="N509" s="154" t="s">
        <v>920</v>
      </c>
      <c r="O509" s="154">
        <v>17</v>
      </c>
      <c r="P509" s="187" t="s">
        <v>921</v>
      </c>
      <c r="Q509" s="187">
        <v>21</v>
      </c>
      <c r="R509" s="3"/>
      <c r="S509" s="154"/>
      <c r="T509" s="45">
        <v>2054</v>
      </c>
      <c r="U509" s="45" t="s">
        <v>1359</v>
      </c>
      <c r="V509" s="45">
        <v>2057</v>
      </c>
      <c r="W509" s="45" t="s">
        <v>1355</v>
      </c>
      <c r="X509" s="98">
        <v>44816</v>
      </c>
      <c r="Y509" s="98">
        <v>45086</v>
      </c>
      <c r="Z509" s="98"/>
      <c r="AA509" s="98"/>
      <c r="AB509" s="41" t="s">
        <v>1118</v>
      </c>
      <c r="AC509" s="41"/>
      <c r="AD509" s="42"/>
      <c r="AE509" s="42"/>
      <c r="AF509" s="42"/>
      <c r="AG509" s="42" t="s">
        <v>734</v>
      </c>
      <c r="AH509" s="42" t="s">
        <v>734</v>
      </c>
      <c r="AI509" s="42" t="s">
        <v>734</v>
      </c>
      <c r="AJ509" s="42" t="s">
        <v>734</v>
      </c>
      <c r="AK509" s="42" t="s">
        <v>734</v>
      </c>
      <c r="AL509" s="42" t="s">
        <v>734</v>
      </c>
      <c r="AM509" s="42" t="s">
        <v>734</v>
      </c>
      <c r="AN509" s="42"/>
      <c r="AO509" s="42"/>
      <c r="AP509" s="42"/>
      <c r="AQ509" s="42"/>
      <c r="AR509" s="42"/>
      <c r="AS509" s="42"/>
      <c r="AT509" s="42"/>
      <c r="AU509" s="42"/>
      <c r="AV509" s="42"/>
      <c r="AW509" s="42"/>
      <c r="AX509" s="68">
        <f>12.77+6.3</f>
        <v>19.07</v>
      </c>
      <c r="AY509" s="67"/>
      <c r="AZ509" s="37"/>
      <c r="BA509" s="68"/>
      <c r="BB509" s="68"/>
      <c r="BC509" s="37"/>
      <c r="BD509" s="67">
        <f t="shared" si="175"/>
        <v>3966.56</v>
      </c>
      <c r="BE509" s="67"/>
      <c r="BF509" s="37"/>
      <c r="BG509" s="73">
        <v>1</v>
      </c>
      <c r="BH509" s="67">
        <f t="shared" si="176"/>
        <v>0</v>
      </c>
      <c r="BI509" s="67">
        <f t="shared" si="177"/>
        <v>0</v>
      </c>
      <c r="BJ509" s="70">
        <f t="shared" si="178"/>
        <v>0</v>
      </c>
      <c r="BO509" s="70">
        <f t="shared" si="179"/>
        <v>0</v>
      </c>
      <c r="BP509" s="37">
        <v>17</v>
      </c>
      <c r="BQ509" s="37">
        <v>25</v>
      </c>
      <c r="BR509" s="37">
        <v>25</v>
      </c>
      <c r="BS509" s="37">
        <v>18</v>
      </c>
      <c r="BT509" s="87">
        <f t="shared" si="180"/>
        <v>19.07</v>
      </c>
      <c r="BU509" s="87"/>
      <c r="BV509" s="87"/>
      <c r="BW509" s="87"/>
      <c r="BX509" s="87"/>
      <c r="BY509" s="87"/>
      <c r="BZ509" s="87"/>
      <c r="CA509" s="87"/>
      <c r="CB509" s="87"/>
      <c r="CC509" s="87"/>
      <c r="CD509" s="87"/>
      <c r="CF509" s="67">
        <f t="shared" si="181"/>
        <v>324.19</v>
      </c>
      <c r="CG509" s="67">
        <f t="shared" si="182"/>
        <v>476.75</v>
      </c>
      <c r="CH509" s="67">
        <f t="shared" si="159"/>
        <v>476.75</v>
      </c>
      <c r="CI509" s="67">
        <f t="shared" si="147"/>
        <v>343.26</v>
      </c>
      <c r="CJ509" s="37">
        <f t="shared" si="143"/>
        <v>127.5</v>
      </c>
      <c r="CK509" s="37">
        <f t="shared" si="144"/>
        <v>187.5</v>
      </c>
      <c r="CL509" s="37">
        <f t="shared" si="145"/>
        <v>187.5</v>
      </c>
      <c r="CM509" s="37">
        <f t="shared" si="146"/>
        <v>135</v>
      </c>
    </row>
    <row r="510" spans="1:91" s="75" customFormat="1" ht="25.5">
      <c r="A510" s="3"/>
      <c r="B510" s="156">
        <v>498</v>
      </c>
      <c r="C510" s="200">
        <v>224</v>
      </c>
      <c r="D510" s="164">
        <v>149</v>
      </c>
      <c r="E510" s="161">
        <v>0.27430555555555552</v>
      </c>
      <c r="F510" s="161">
        <v>0.28402777777777777</v>
      </c>
      <c r="G510" s="160" t="s">
        <v>469</v>
      </c>
      <c r="H510" s="160" t="s">
        <v>97</v>
      </c>
      <c r="I510" s="163">
        <v>10</v>
      </c>
      <c r="J510" s="164" t="s">
        <v>146</v>
      </c>
      <c r="K510" s="165">
        <v>208</v>
      </c>
      <c r="L510" s="166">
        <f t="shared" si="155"/>
        <v>2080</v>
      </c>
      <c r="M510" s="201" t="s">
        <v>746</v>
      </c>
      <c r="N510" s="154" t="s">
        <v>922</v>
      </c>
      <c r="O510" s="154">
        <v>9</v>
      </c>
      <c r="P510" s="187" t="s">
        <v>1932</v>
      </c>
      <c r="Q510" s="187">
        <v>7</v>
      </c>
      <c r="R510" s="3"/>
      <c r="S510" s="154"/>
      <c r="T510" s="45">
        <v>2670</v>
      </c>
      <c r="U510" s="45" t="s">
        <v>1485</v>
      </c>
      <c r="V510" s="45">
        <v>2049</v>
      </c>
      <c r="W510" s="45" t="s">
        <v>1486</v>
      </c>
      <c r="X510" s="98">
        <v>44816</v>
      </c>
      <c r="Y510" s="98">
        <v>45086</v>
      </c>
      <c r="Z510" s="98"/>
      <c r="AA510" s="98"/>
      <c r="AB510" s="41" t="s">
        <v>1118</v>
      </c>
      <c r="AC510" s="41"/>
      <c r="AD510" s="42"/>
      <c r="AE510" s="42"/>
      <c r="AF510" s="42"/>
      <c r="AG510" s="42" t="s">
        <v>734</v>
      </c>
      <c r="AH510" s="42" t="s">
        <v>734</v>
      </c>
      <c r="AI510" s="42" t="s">
        <v>734</v>
      </c>
      <c r="AJ510" s="42" t="s">
        <v>734</v>
      </c>
      <c r="AK510" s="42" t="s">
        <v>734</v>
      </c>
      <c r="AL510" s="42" t="s">
        <v>734</v>
      </c>
      <c r="AM510" s="42" t="s">
        <v>734</v>
      </c>
      <c r="AN510" s="42"/>
      <c r="AO510" s="42"/>
      <c r="AP510" s="42"/>
      <c r="AQ510" s="42"/>
      <c r="AR510" s="42"/>
      <c r="AS510" s="42"/>
      <c r="AT510" s="42"/>
      <c r="AU510" s="42"/>
      <c r="AV510" s="42"/>
      <c r="AW510" s="42"/>
      <c r="AX510" s="68">
        <v>30</v>
      </c>
      <c r="AY510" s="67"/>
      <c r="AZ510" s="37"/>
      <c r="BA510" s="68"/>
      <c r="BB510" s="68"/>
      <c r="BC510" s="37"/>
      <c r="BD510" s="67">
        <f t="shared" si="175"/>
        <v>6240</v>
      </c>
      <c r="BE510" s="67"/>
      <c r="BF510" s="37"/>
      <c r="BG510" s="73">
        <v>1</v>
      </c>
      <c r="BH510" s="67">
        <f t="shared" si="176"/>
        <v>0</v>
      </c>
      <c r="BI510" s="67">
        <f t="shared" si="177"/>
        <v>0</v>
      </c>
      <c r="BJ510" s="70">
        <f t="shared" si="178"/>
        <v>0</v>
      </c>
      <c r="BN510" s="67">
        <f>IF((AX510+AY510+AZ510)&lt;20,(20-(AX510+AY510+AZ510)),0)</f>
        <v>0</v>
      </c>
      <c r="BO510" s="70">
        <f t="shared" si="179"/>
        <v>0</v>
      </c>
      <c r="BP510" s="37">
        <v>17</v>
      </c>
      <c r="BQ510" s="37">
        <v>25</v>
      </c>
      <c r="BR510" s="37">
        <v>25</v>
      </c>
      <c r="BS510" s="37">
        <v>18</v>
      </c>
      <c r="BT510" s="87">
        <f t="shared" si="180"/>
        <v>30</v>
      </c>
      <c r="BU510" s="87"/>
      <c r="BV510" s="87"/>
      <c r="BW510" s="87"/>
      <c r="BX510" s="87"/>
      <c r="BY510" s="87"/>
      <c r="BZ510" s="87"/>
      <c r="CA510" s="87"/>
      <c r="CB510" s="87"/>
      <c r="CC510" s="87"/>
      <c r="CD510" s="87"/>
      <c r="CF510" s="67">
        <f t="shared" si="181"/>
        <v>510</v>
      </c>
      <c r="CG510" s="67">
        <f t="shared" si="182"/>
        <v>750</v>
      </c>
      <c r="CH510" s="67">
        <f t="shared" si="159"/>
        <v>750</v>
      </c>
      <c r="CI510" s="67">
        <f t="shared" si="147"/>
        <v>540</v>
      </c>
      <c r="CJ510" s="37">
        <f t="shared" si="143"/>
        <v>170</v>
      </c>
      <c r="CK510" s="37">
        <f t="shared" si="144"/>
        <v>250</v>
      </c>
      <c r="CL510" s="37">
        <f t="shared" si="145"/>
        <v>250</v>
      </c>
      <c r="CM510" s="37">
        <f t="shared" si="146"/>
        <v>180</v>
      </c>
    </row>
    <row r="511" spans="1:91" s="75" customFormat="1" ht="25.5">
      <c r="A511" s="150"/>
      <c r="B511" s="156">
        <v>499</v>
      </c>
      <c r="C511" s="160">
        <v>231</v>
      </c>
      <c r="D511" s="160">
        <v>62</v>
      </c>
      <c r="E511" s="173">
        <v>0.27916666666666667</v>
      </c>
      <c r="F511" s="173">
        <v>0.32291666666666669</v>
      </c>
      <c r="G511" s="160" t="s">
        <v>275</v>
      </c>
      <c r="H511" s="160" t="s">
        <v>274</v>
      </c>
      <c r="I511" s="163">
        <v>33</v>
      </c>
      <c r="J511" s="164" t="s">
        <v>101</v>
      </c>
      <c r="K511" s="165">
        <v>287</v>
      </c>
      <c r="L511" s="166">
        <f t="shared" si="155"/>
        <v>9471</v>
      </c>
      <c r="M511" s="167" t="s">
        <v>744</v>
      </c>
      <c r="N511" s="150" t="s">
        <v>977</v>
      </c>
      <c r="O511" s="150">
        <v>54</v>
      </c>
      <c r="P511" s="150" t="s">
        <v>801</v>
      </c>
      <c r="Q511" s="150">
        <v>45</v>
      </c>
      <c r="R511" s="150" t="s">
        <v>800</v>
      </c>
      <c r="S511" s="150">
        <v>37</v>
      </c>
      <c r="T511" s="45">
        <v>2290</v>
      </c>
      <c r="U511" s="45" t="s">
        <v>1484</v>
      </c>
      <c r="V511" s="45">
        <v>958</v>
      </c>
      <c r="W511" s="45" t="s">
        <v>1587</v>
      </c>
      <c r="X511" s="99">
        <v>44816</v>
      </c>
      <c r="Y511" s="99">
        <v>45100</v>
      </c>
      <c r="Z511" s="99"/>
      <c r="AA511" s="99"/>
      <c r="AB511" s="41" t="s">
        <v>274</v>
      </c>
      <c r="AC511" s="41"/>
      <c r="AD511" s="42" t="s">
        <v>734</v>
      </c>
      <c r="AE511" s="42"/>
      <c r="AF511" s="42" t="s">
        <v>734</v>
      </c>
      <c r="AG511" s="42"/>
      <c r="AH511" s="42" t="s">
        <v>734</v>
      </c>
      <c r="AI511" s="42" t="s">
        <v>734</v>
      </c>
      <c r="AJ511" s="42" t="s">
        <v>734</v>
      </c>
      <c r="AK511" s="42" t="s">
        <v>734</v>
      </c>
      <c r="AL511" s="42" t="s">
        <v>734</v>
      </c>
      <c r="AM511" s="42" t="s">
        <v>734</v>
      </c>
      <c r="AN511" s="42" t="s">
        <v>734</v>
      </c>
      <c r="AO511" s="42"/>
      <c r="AP511" s="42"/>
      <c r="AQ511" s="42"/>
      <c r="AR511" s="42"/>
      <c r="AS511" s="42"/>
      <c r="AT511" s="42"/>
      <c r="AU511" s="42"/>
      <c r="AV511" s="42"/>
      <c r="AW511" s="42"/>
      <c r="AX511" s="68">
        <v>118.06</v>
      </c>
      <c r="AY511" s="67"/>
      <c r="AZ511" s="37"/>
      <c r="BA511" s="68"/>
      <c r="BB511" s="68"/>
      <c r="BC511" s="37"/>
      <c r="BD511" s="67">
        <f t="shared" si="175"/>
        <v>33883.22</v>
      </c>
      <c r="BE511" s="67"/>
      <c r="BF511" s="37"/>
      <c r="BG511" s="69">
        <v>2</v>
      </c>
      <c r="BH511" s="67">
        <f t="shared" si="176"/>
        <v>0</v>
      </c>
      <c r="BI511" s="67">
        <f t="shared" si="177"/>
        <v>0</v>
      </c>
      <c r="BJ511" s="70">
        <f t="shared" si="178"/>
        <v>0</v>
      </c>
      <c r="BN511" s="67">
        <f>IF((AX511+AY511+AZ511)&lt;20,(20-(AX511+AY511+AZ511)),0)</f>
        <v>0</v>
      </c>
      <c r="BO511" s="70">
        <f t="shared" si="179"/>
        <v>0</v>
      </c>
      <c r="BP511" s="75">
        <v>19</v>
      </c>
      <c r="BQ511" s="75">
        <v>31</v>
      </c>
      <c r="BR511" s="75">
        <v>30</v>
      </c>
      <c r="BS511" s="75">
        <v>31</v>
      </c>
      <c r="BT511" s="87">
        <f t="shared" si="180"/>
        <v>118.06</v>
      </c>
      <c r="BU511" s="87"/>
      <c r="BV511" s="87"/>
      <c r="BW511" s="87"/>
      <c r="BX511" s="87"/>
      <c r="BY511" s="87"/>
      <c r="BZ511" s="87"/>
      <c r="CA511" s="87"/>
      <c r="CB511" s="87"/>
      <c r="CC511" s="87"/>
      <c r="CD511" s="87"/>
      <c r="CF511" s="67">
        <f t="shared" si="181"/>
        <v>2243.14</v>
      </c>
      <c r="CG511" s="67">
        <f t="shared" si="182"/>
        <v>3659.86</v>
      </c>
      <c r="CH511" s="67">
        <f t="shared" si="159"/>
        <v>3541.8</v>
      </c>
      <c r="CI511" s="67">
        <f t="shared" si="147"/>
        <v>3659.86</v>
      </c>
      <c r="CJ511" s="37">
        <f t="shared" si="143"/>
        <v>627</v>
      </c>
      <c r="CK511" s="37">
        <f t="shared" si="144"/>
        <v>1023</v>
      </c>
      <c r="CL511" s="37">
        <f t="shared" si="145"/>
        <v>990</v>
      </c>
      <c r="CM511" s="37">
        <f t="shared" si="146"/>
        <v>1023</v>
      </c>
    </row>
    <row r="512" spans="1:91" s="75" customFormat="1" ht="45">
      <c r="A512" s="3"/>
      <c r="B512" s="156">
        <v>500</v>
      </c>
      <c r="C512" s="160">
        <v>231</v>
      </c>
      <c r="D512" s="160">
        <v>63</v>
      </c>
      <c r="E512" s="161">
        <v>0.2986111111111111</v>
      </c>
      <c r="F512" s="161">
        <v>0.30208333333333331</v>
      </c>
      <c r="G512" s="160" t="s">
        <v>382</v>
      </c>
      <c r="H512" s="160" t="s">
        <v>103</v>
      </c>
      <c r="I512" s="163">
        <v>2</v>
      </c>
      <c r="J512" s="164" t="s">
        <v>116</v>
      </c>
      <c r="K512" s="165">
        <v>174</v>
      </c>
      <c r="L512" s="166">
        <f t="shared" si="155"/>
        <v>348</v>
      </c>
      <c r="M512" s="167" t="s">
        <v>756</v>
      </c>
      <c r="N512" s="154" t="s">
        <v>957</v>
      </c>
      <c r="O512" s="154">
        <v>17</v>
      </c>
      <c r="P512" s="154" t="s">
        <v>967</v>
      </c>
      <c r="Q512" s="154">
        <v>17</v>
      </c>
      <c r="R512" s="154"/>
      <c r="S512" s="154"/>
      <c r="T512" s="41">
        <v>2439</v>
      </c>
      <c r="U512" s="41" t="s">
        <v>1588</v>
      </c>
      <c r="V512" s="41">
        <v>2440</v>
      </c>
      <c r="W512" s="41" t="s">
        <v>1589</v>
      </c>
      <c r="X512" s="98">
        <v>44816</v>
      </c>
      <c r="Y512" s="98">
        <v>45086</v>
      </c>
      <c r="Z512" s="98"/>
      <c r="AA512" s="98"/>
      <c r="AB512" s="41" t="s">
        <v>1114</v>
      </c>
      <c r="AC512" s="41"/>
      <c r="AD512" s="42"/>
      <c r="AE512" s="42"/>
      <c r="AF512" s="42"/>
      <c r="AG512" s="42" t="s">
        <v>734</v>
      </c>
      <c r="AH512" s="42" t="s">
        <v>734</v>
      </c>
      <c r="AI512" s="42" t="s">
        <v>734</v>
      </c>
      <c r="AJ512" s="42" t="s">
        <v>734</v>
      </c>
      <c r="AK512" s="42" t="s">
        <v>734</v>
      </c>
      <c r="AL512" s="42" t="s">
        <v>734</v>
      </c>
      <c r="AM512" s="42"/>
      <c r="AN512" s="42"/>
      <c r="AO512" s="42"/>
      <c r="AP512" s="42"/>
      <c r="AQ512" s="42"/>
      <c r="AR512" s="42"/>
      <c r="AS512" s="42"/>
      <c r="AT512" s="42"/>
      <c r="AU512" s="42"/>
      <c r="AV512" s="42"/>
      <c r="AW512" s="42"/>
      <c r="AX512" s="67">
        <v>10</v>
      </c>
      <c r="AY512" s="67"/>
      <c r="AZ512" s="37"/>
      <c r="BA512" s="67"/>
      <c r="BB512" s="67"/>
      <c r="BC512" s="37"/>
      <c r="BD512" s="67">
        <f t="shared" si="175"/>
        <v>1740</v>
      </c>
      <c r="BE512" s="67"/>
      <c r="BF512" s="37"/>
      <c r="BG512" s="73">
        <v>1</v>
      </c>
      <c r="BH512" s="67">
        <f t="shared" si="176"/>
        <v>0</v>
      </c>
      <c r="BI512" s="67">
        <f t="shared" si="177"/>
        <v>0</v>
      </c>
      <c r="BJ512" s="70">
        <f t="shared" si="178"/>
        <v>0</v>
      </c>
      <c r="BO512" s="70">
        <f t="shared" si="179"/>
        <v>0</v>
      </c>
      <c r="BP512" s="37">
        <v>15</v>
      </c>
      <c r="BQ512" s="37">
        <v>20</v>
      </c>
      <c r="BR512" s="37">
        <v>21</v>
      </c>
      <c r="BS512" s="37">
        <v>15</v>
      </c>
      <c r="BT512" s="87">
        <f t="shared" si="180"/>
        <v>10</v>
      </c>
      <c r="BU512" s="87"/>
      <c r="BV512" s="87"/>
      <c r="BW512" s="87"/>
      <c r="BX512" s="87"/>
      <c r="BY512" s="87"/>
      <c r="BZ512" s="87"/>
      <c r="CA512" s="87"/>
      <c r="CB512" s="87"/>
      <c r="CC512" s="87"/>
      <c r="CD512" s="87"/>
      <c r="CF512" s="67">
        <f t="shared" si="181"/>
        <v>150</v>
      </c>
      <c r="CG512" s="67">
        <f t="shared" si="182"/>
        <v>200</v>
      </c>
      <c r="CH512" s="67">
        <f t="shared" si="159"/>
        <v>210</v>
      </c>
      <c r="CI512" s="67">
        <f t="shared" si="147"/>
        <v>150</v>
      </c>
      <c r="CJ512" s="37">
        <f t="shared" si="143"/>
        <v>30</v>
      </c>
      <c r="CK512" s="37">
        <f t="shared" si="144"/>
        <v>40</v>
      </c>
      <c r="CL512" s="37">
        <f t="shared" si="145"/>
        <v>42</v>
      </c>
      <c r="CM512" s="37">
        <f t="shared" si="146"/>
        <v>30</v>
      </c>
    </row>
    <row r="513" spans="1:91" s="75" customFormat="1" ht="25.5">
      <c r="A513" s="3" t="s">
        <v>804</v>
      </c>
      <c r="B513" s="156">
        <v>501</v>
      </c>
      <c r="C513" s="192">
        <v>231</v>
      </c>
      <c r="D513" s="197">
        <v>253</v>
      </c>
      <c r="E513" s="193">
        <v>0.32777777777777778</v>
      </c>
      <c r="F513" s="198">
        <v>0.37361111111111112</v>
      </c>
      <c r="G513" s="194" t="s">
        <v>581</v>
      </c>
      <c r="H513" s="160" t="s">
        <v>479</v>
      </c>
      <c r="I513" s="192">
        <v>33</v>
      </c>
      <c r="J513" s="195">
        <v>50</v>
      </c>
      <c r="K513" s="165">
        <v>240</v>
      </c>
      <c r="L513" s="166">
        <f t="shared" si="155"/>
        <v>7920</v>
      </c>
      <c r="M513" s="167" t="s">
        <v>744</v>
      </c>
      <c r="N513" s="150" t="s">
        <v>977</v>
      </c>
      <c r="O513" s="150">
        <v>54</v>
      </c>
      <c r="P513" s="150" t="s">
        <v>801</v>
      </c>
      <c r="Q513" s="150">
        <v>45</v>
      </c>
      <c r="R513" s="150" t="s">
        <v>800</v>
      </c>
      <c r="S513" s="150">
        <v>37</v>
      </c>
      <c r="T513" s="45">
        <v>958</v>
      </c>
      <c r="U513" s="45" t="s">
        <v>1587</v>
      </c>
      <c r="V513" s="45">
        <v>2290</v>
      </c>
      <c r="W513" s="45" t="s">
        <v>1484</v>
      </c>
      <c r="X513" s="99">
        <v>44816</v>
      </c>
      <c r="Y513" s="99">
        <v>45100</v>
      </c>
      <c r="Z513" s="99"/>
      <c r="AA513" s="99"/>
      <c r="AB513" s="45" t="s">
        <v>1124</v>
      </c>
      <c r="AC513" s="45"/>
      <c r="AD513" s="42" t="s">
        <v>734</v>
      </c>
      <c r="AE513" s="42"/>
      <c r="AF513" s="42" t="s">
        <v>734</v>
      </c>
      <c r="AG513" s="42"/>
      <c r="AH513" s="42" t="s">
        <v>734</v>
      </c>
      <c r="AI513" s="42" t="s">
        <v>734</v>
      </c>
      <c r="AJ513" s="42" t="s">
        <v>734</v>
      </c>
      <c r="AK513" s="42" t="s">
        <v>734</v>
      </c>
      <c r="AL513" s="42" t="s">
        <v>734</v>
      </c>
      <c r="AM513" s="42" t="s">
        <v>734</v>
      </c>
      <c r="AN513" s="42"/>
      <c r="AO513" s="42"/>
      <c r="AP513" s="42"/>
      <c r="AQ513" s="42"/>
      <c r="AR513" s="42"/>
      <c r="AS513" s="42"/>
      <c r="AT513" s="42"/>
      <c r="AU513" s="42"/>
      <c r="AV513" s="42"/>
      <c r="AW513" s="42"/>
      <c r="AX513" s="68"/>
      <c r="AY513" s="67"/>
      <c r="AZ513" s="67">
        <f>3*I513</f>
        <v>99</v>
      </c>
      <c r="BA513" s="68"/>
      <c r="BB513" s="68"/>
      <c r="BC513" s="37"/>
      <c r="BD513" s="37"/>
      <c r="BE513" s="37"/>
      <c r="BF513" s="67">
        <f>AZ513*K513</f>
        <v>23760</v>
      </c>
      <c r="BG513" s="69">
        <v>2</v>
      </c>
      <c r="BH513" s="73"/>
      <c r="BI513" s="79"/>
      <c r="BJ513" s="73"/>
      <c r="BK513" s="73"/>
      <c r="BL513" s="73"/>
      <c r="BM513" s="73"/>
      <c r="BO513" s="70">
        <f t="shared" si="179"/>
        <v>0</v>
      </c>
      <c r="BP513" s="37">
        <v>17</v>
      </c>
      <c r="BQ513" s="37">
        <v>26</v>
      </c>
      <c r="BR513" s="37">
        <v>25</v>
      </c>
      <c r="BS513" s="37">
        <v>25</v>
      </c>
      <c r="BT513" s="87">
        <f t="shared" si="180"/>
        <v>99</v>
      </c>
      <c r="BU513" s="87"/>
      <c r="BV513" s="87"/>
      <c r="BW513" s="87"/>
      <c r="BX513" s="87"/>
      <c r="BY513" s="87"/>
      <c r="BZ513" s="87"/>
      <c r="CA513" s="87"/>
      <c r="CB513" s="87"/>
      <c r="CC513" s="87"/>
      <c r="CD513" s="87"/>
      <c r="CF513" s="67">
        <f t="shared" si="181"/>
        <v>1683</v>
      </c>
      <c r="CG513" s="67">
        <f t="shared" si="182"/>
        <v>2574</v>
      </c>
      <c r="CH513" s="67">
        <f t="shared" si="159"/>
        <v>2475</v>
      </c>
      <c r="CI513" s="67">
        <f t="shared" si="147"/>
        <v>2475</v>
      </c>
      <c r="CJ513" s="37">
        <f t="shared" si="143"/>
        <v>561</v>
      </c>
      <c r="CK513" s="37">
        <f t="shared" si="144"/>
        <v>858</v>
      </c>
      <c r="CL513" s="37">
        <f t="shared" si="145"/>
        <v>825</v>
      </c>
      <c r="CM513" s="37">
        <f t="shared" si="146"/>
        <v>825</v>
      </c>
    </row>
    <row r="514" spans="1:91" s="75" customFormat="1" ht="25.5">
      <c r="A514" s="3" t="s">
        <v>803</v>
      </c>
      <c r="B514" s="156">
        <v>502</v>
      </c>
      <c r="C514" s="192">
        <v>231</v>
      </c>
      <c r="D514" s="192">
        <v>932</v>
      </c>
      <c r="E514" s="198">
        <v>0.4694444444444445</v>
      </c>
      <c r="F514" s="198">
        <v>0.5131944444444444</v>
      </c>
      <c r="G514" s="194" t="s">
        <v>580</v>
      </c>
      <c r="H514" s="160" t="s">
        <v>550</v>
      </c>
      <c r="I514" s="192">
        <v>33</v>
      </c>
      <c r="J514" s="195">
        <v>50</v>
      </c>
      <c r="K514" s="199">
        <v>13</v>
      </c>
      <c r="L514" s="166">
        <f t="shared" si="155"/>
        <v>429</v>
      </c>
      <c r="M514" s="186" t="s">
        <v>745</v>
      </c>
      <c r="N514" s="154" t="s">
        <v>1921</v>
      </c>
      <c r="O514" s="154">
        <v>56</v>
      </c>
      <c r="R514" s="154"/>
      <c r="S514" s="150"/>
      <c r="T514" s="45">
        <v>2290</v>
      </c>
      <c r="U514" s="45" t="s">
        <v>1484</v>
      </c>
      <c r="V514" s="45">
        <v>958</v>
      </c>
      <c r="W514" s="45" t="s">
        <v>1587</v>
      </c>
      <c r="X514" s="99">
        <v>44562</v>
      </c>
      <c r="Y514" s="99">
        <v>44815</v>
      </c>
      <c r="Z514" s="99">
        <v>45101</v>
      </c>
      <c r="AA514" s="99">
        <v>45169</v>
      </c>
      <c r="AB514" s="36" t="s">
        <v>1116</v>
      </c>
      <c r="AC514" s="36"/>
      <c r="AD514" s="42"/>
      <c r="AE514" s="42" t="s">
        <v>734</v>
      </c>
      <c r="AF514" s="42"/>
      <c r="AG514" s="42"/>
      <c r="AH514" s="42"/>
      <c r="AI514" s="42"/>
      <c r="AJ514" s="42"/>
      <c r="AK514" s="42"/>
      <c r="AL514" s="42"/>
      <c r="AM514" s="42"/>
      <c r="AN514" s="42" t="s">
        <v>734</v>
      </c>
      <c r="AO514" s="42"/>
      <c r="AP514" s="42"/>
      <c r="AQ514" s="42"/>
      <c r="AR514" s="42"/>
      <c r="AS514" s="42"/>
      <c r="AT514" s="42"/>
      <c r="AU514" s="42"/>
      <c r="AV514" s="42"/>
      <c r="AW514" s="42"/>
      <c r="AX514" s="68"/>
      <c r="AY514" s="67"/>
      <c r="AZ514" s="37"/>
      <c r="BA514" s="76"/>
      <c r="BB514" s="38" t="s">
        <v>1021</v>
      </c>
      <c r="BC514" s="37"/>
      <c r="BD514" s="67">
        <f>AX514*K514</f>
        <v>0</v>
      </c>
      <c r="BE514" s="37"/>
      <c r="BF514" s="37"/>
      <c r="BG514" s="69">
        <v>2</v>
      </c>
      <c r="BI514" s="67"/>
      <c r="BO514" s="70">
        <f t="shared" si="179"/>
        <v>0</v>
      </c>
      <c r="BP514" s="37">
        <v>2</v>
      </c>
      <c r="BQ514" s="37">
        <v>0</v>
      </c>
      <c r="BR514" s="37">
        <v>0</v>
      </c>
      <c r="BT514" s="87">
        <f t="shared" si="180"/>
        <v>0</v>
      </c>
      <c r="BU514" s="87"/>
      <c r="BV514" s="87"/>
      <c r="BW514" s="87"/>
      <c r="BX514" s="87"/>
      <c r="BY514" s="87"/>
      <c r="BZ514" s="87"/>
      <c r="CA514" s="87"/>
      <c r="CB514" s="87"/>
      <c r="CC514" s="87"/>
      <c r="CD514" s="87"/>
      <c r="CF514" s="67">
        <f t="shared" si="181"/>
        <v>0</v>
      </c>
      <c r="CG514" s="67">
        <f t="shared" si="182"/>
        <v>0</v>
      </c>
      <c r="CH514" s="67">
        <f t="shared" si="159"/>
        <v>0</v>
      </c>
      <c r="CI514" s="67">
        <f t="shared" si="147"/>
        <v>0</v>
      </c>
      <c r="CJ514" s="37">
        <f t="shared" si="143"/>
        <v>66</v>
      </c>
      <c r="CK514" s="37">
        <f t="shared" si="144"/>
        <v>0</v>
      </c>
      <c r="CL514" s="37">
        <f t="shared" si="145"/>
        <v>0</v>
      </c>
      <c r="CM514" s="37">
        <f t="shared" si="146"/>
        <v>0</v>
      </c>
    </row>
    <row r="515" spans="1:91" s="75" customFormat="1" ht="25.5">
      <c r="A515" s="3" t="s">
        <v>803</v>
      </c>
      <c r="B515" s="156">
        <v>503</v>
      </c>
      <c r="C515" s="192">
        <v>231</v>
      </c>
      <c r="D515" s="192">
        <v>971</v>
      </c>
      <c r="E515" s="198">
        <v>0.57847222222222217</v>
      </c>
      <c r="F515" s="198">
        <v>0.62361111111111112</v>
      </c>
      <c r="G515" s="194" t="s">
        <v>581</v>
      </c>
      <c r="H515" s="160" t="s">
        <v>550</v>
      </c>
      <c r="I515" s="192">
        <v>33</v>
      </c>
      <c r="J515" s="195">
        <v>50</v>
      </c>
      <c r="K515" s="199">
        <v>13</v>
      </c>
      <c r="L515" s="166">
        <f t="shared" si="155"/>
        <v>429</v>
      </c>
      <c r="M515" s="186" t="s">
        <v>745</v>
      </c>
      <c r="N515" s="154" t="s">
        <v>1921</v>
      </c>
      <c r="O515" s="154">
        <v>56</v>
      </c>
      <c r="R515" s="154"/>
      <c r="S515" s="150"/>
      <c r="T515" s="45">
        <v>958</v>
      </c>
      <c r="U515" s="45" t="s">
        <v>1587</v>
      </c>
      <c r="V515" s="45">
        <v>2290</v>
      </c>
      <c r="W515" s="45" t="s">
        <v>1484</v>
      </c>
      <c r="X515" s="99">
        <v>44562</v>
      </c>
      <c r="Y515" s="99">
        <v>44815</v>
      </c>
      <c r="Z515" s="99">
        <v>45101</v>
      </c>
      <c r="AA515" s="99">
        <v>45169</v>
      </c>
      <c r="AB515" s="36" t="s">
        <v>1116</v>
      </c>
      <c r="AC515" s="36"/>
      <c r="AD515" s="42"/>
      <c r="AE515" s="42" t="s">
        <v>734</v>
      </c>
      <c r="AF515" s="42"/>
      <c r="AG515" s="42"/>
      <c r="AH515" s="42"/>
      <c r="AI515" s="42"/>
      <c r="AJ515" s="42"/>
      <c r="AK515" s="42"/>
      <c r="AL515" s="42"/>
      <c r="AM515" s="42"/>
      <c r="AN515" s="42" t="s">
        <v>734</v>
      </c>
      <c r="AO515" s="42"/>
      <c r="AP515" s="42"/>
      <c r="AQ515" s="42"/>
      <c r="AR515" s="42"/>
      <c r="AS515" s="42"/>
      <c r="AT515" s="42"/>
      <c r="AU515" s="42"/>
      <c r="AV515" s="42"/>
      <c r="AW515" s="42"/>
      <c r="AX515" s="68"/>
      <c r="AY515" s="67"/>
      <c r="AZ515" s="37"/>
      <c r="BA515" s="76"/>
      <c r="BB515" s="38" t="s">
        <v>1021</v>
      </c>
      <c r="BC515" s="37"/>
      <c r="BD515" s="67">
        <f>AX515*K515</f>
        <v>0</v>
      </c>
      <c r="BE515" s="37"/>
      <c r="BF515" s="37"/>
      <c r="BG515" s="69">
        <v>2</v>
      </c>
      <c r="BI515" s="67"/>
      <c r="BO515" s="70">
        <f t="shared" si="179"/>
        <v>0</v>
      </c>
      <c r="BP515" s="37">
        <v>2</v>
      </c>
      <c r="BQ515" s="37">
        <v>0</v>
      </c>
      <c r="BR515" s="37">
        <v>0</v>
      </c>
      <c r="BT515" s="87">
        <f t="shared" si="180"/>
        <v>0</v>
      </c>
      <c r="BU515" s="87"/>
      <c r="BV515" s="87"/>
      <c r="BW515" s="87"/>
      <c r="BX515" s="87"/>
      <c r="BY515" s="87"/>
      <c r="BZ515" s="87"/>
      <c r="CA515" s="87"/>
      <c r="CB515" s="87"/>
      <c r="CC515" s="87"/>
      <c r="CD515" s="87"/>
      <c r="CF515" s="67">
        <f t="shared" si="181"/>
        <v>0</v>
      </c>
      <c r="CG515" s="67">
        <f t="shared" si="182"/>
        <v>0</v>
      </c>
      <c r="CH515" s="67">
        <f t="shared" si="159"/>
        <v>0</v>
      </c>
      <c r="CI515" s="67">
        <f t="shared" si="147"/>
        <v>0</v>
      </c>
      <c r="CJ515" s="37">
        <f t="shared" ref="CJ515:CJ578" si="183">BP515*I515</f>
        <v>66</v>
      </c>
      <c r="CK515" s="37">
        <f t="shared" ref="CK515:CK578" si="184">BQ515*I515</f>
        <v>0</v>
      </c>
      <c r="CL515" s="37">
        <f t="shared" ref="CL515:CL578" si="185">BR515*I515</f>
        <v>0</v>
      </c>
      <c r="CM515" s="37">
        <f t="shared" ref="CM515:CM578" si="186">BS515*I515</f>
        <v>0</v>
      </c>
    </row>
    <row r="516" spans="1:91" s="75" customFormat="1" ht="25.5">
      <c r="A516" s="3" t="s">
        <v>804</v>
      </c>
      <c r="B516" s="156">
        <v>504</v>
      </c>
      <c r="C516" s="192">
        <v>231</v>
      </c>
      <c r="D516" s="197">
        <v>978</v>
      </c>
      <c r="E516" s="198">
        <v>0.67013888888888884</v>
      </c>
      <c r="F516" s="198">
        <v>0.71388888888888891</v>
      </c>
      <c r="G516" s="194" t="s">
        <v>580</v>
      </c>
      <c r="H516" s="160" t="s">
        <v>203</v>
      </c>
      <c r="I516" s="192">
        <v>33</v>
      </c>
      <c r="J516" s="195">
        <v>50</v>
      </c>
      <c r="K516" s="165">
        <v>202</v>
      </c>
      <c r="L516" s="166">
        <f t="shared" si="155"/>
        <v>6666</v>
      </c>
      <c r="M516" s="167" t="s">
        <v>744</v>
      </c>
      <c r="N516" s="150" t="s">
        <v>977</v>
      </c>
      <c r="O516" s="150">
        <v>54</v>
      </c>
      <c r="P516" s="150" t="s">
        <v>800</v>
      </c>
      <c r="Q516" s="150">
        <v>37</v>
      </c>
      <c r="R516" s="150" t="s">
        <v>1276</v>
      </c>
      <c r="S516" s="150">
        <v>45</v>
      </c>
      <c r="T516" s="45">
        <v>2290</v>
      </c>
      <c r="U516" s="45" t="s">
        <v>1484</v>
      </c>
      <c r="V516" s="45">
        <v>958</v>
      </c>
      <c r="W516" s="45" t="s">
        <v>1587</v>
      </c>
      <c r="X516" s="99">
        <v>44816</v>
      </c>
      <c r="Y516" s="99">
        <v>45100</v>
      </c>
      <c r="Z516" s="99"/>
      <c r="AA516" s="99"/>
      <c r="AB516" s="41" t="s">
        <v>1120</v>
      </c>
      <c r="AC516" s="41"/>
      <c r="AD516" s="42" t="s">
        <v>734</v>
      </c>
      <c r="AE516" s="42"/>
      <c r="AF516" s="42" t="s">
        <v>734</v>
      </c>
      <c r="AG516" s="42"/>
      <c r="AH516" s="42" t="s">
        <v>734</v>
      </c>
      <c r="AI516" s="42" t="s">
        <v>734</v>
      </c>
      <c r="AJ516" s="42" t="s">
        <v>734</v>
      </c>
      <c r="AK516" s="42" t="s">
        <v>734</v>
      </c>
      <c r="AL516" s="42" t="s">
        <v>734</v>
      </c>
      <c r="AM516" s="42"/>
      <c r="AN516" s="42"/>
      <c r="AO516" s="42"/>
      <c r="AP516" s="42"/>
      <c r="AQ516" s="42"/>
      <c r="AR516" s="42"/>
      <c r="AS516" s="42"/>
      <c r="AT516" s="42"/>
      <c r="AU516" s="42"/>
      <c r="AV516" s="42"/>
      <c r="AW516" s="42"/>
      <c r="AX516" s="68"/>
      <c r="AY516" s="67"/>
      <c r="AZ516" s="67">
        <f>3*I516</f>
        <v>99</v>
      </c>
      <c r="BA516" s="68"/>
      <c r="BB516" s="68"/>
      <c r="BC516" s="37"/>
      <c r="BD516" s="37"/>
      <c r="BE516" s="37"/>
      <c r="BF516" s="67">
        <f>AZ516*K516</f>
        <v>19998</v>
      </c>
      <c r="BG516" s="69">
        <v>2</v>
      </c>
      <c r="BH516" s="73"/>
      <c r="BI516" s="79"/>
      <c r="BJ516" s="73"/>
      <c r="BK516" s="73"/>
      <c r="BL516" s="73"/>
      <c r="BM516" s="73"/>
      <c r="BO516" s="70">
        <f t="shared" si="179"/>
        <v>0</v>
      </c>
      <c r="BP516" s="37">
        <v>15</v>
      </c>
      <c r="BQ516" s="37">
        <v>21</v>
      </c>
      <c r="BR516" s="37">
        <v>21</v>
      </c>
      <c r="BS516" s="37">
        <v>20</v>
      </c>
      <c r="BT516" s="87">
        <f t="shared" si="180"/>
        <v>99</v>
      </c>
      <c r="BU516" s="87"/>
      <c r="BV516" s="87"/>
      <c r="BW516" s="87"/>
      <c r="BX516" s="87"/>
      <c r="BY516" s="87"/>
      <c r="BZ516" s="87"/>
      <c r="CA516" s="87"/>
      <c r="CB516" s="87"/>
      <c r="CC516" s="87"/>
      <c r="CD516" s="87"/>
      <c r="CF516" s="67">
        <f t="shared" si="181"/>
        <v>1485</v>
      </c>
      <c r="CG516" s="67">
        <f t="shared" si="182"/>
        <v>2079</v>
      </c>
      <c r="CH516" s="67">
        <f t="shared" si="159"/>
        <v>2079</v>
      </c>
      <c r="CI516" s="67">
        <f t="shared" ref="CI516:CI579" si="187">(BS516*BT516)+(CB516*CD516)</f>
        <v>1980</v>
      </c>
      <c r="CJ516" s="37">
        <f t="shared" si="183"/>
        <v>495</v>
      </c>
      <c r="CK516" s="37">
        <f t="shared" si="184"/>
        <v>693</v>
      </c>
      <c r="CL516" s="37">
        <f t="shared" si="185"/>
        <v>693</v>
      </c>
      <c r="CM516" s="37">
        <f t="shared" si="186"/>
        <v>660</v>
      </c>
    </row>
    <row r="517" spans="1:91" s="75" customFormat="1" ht="25.5">
      <c r="A517" s="150" t="s">
        <v>804</v>
      </c>
      <c r="B517" s="156">
        <v>505</v>
      </c>
      <c r="C517" s="192">
        <v>231</v>
      </c>
      <c r="D517" s="192">
        <v>938</v>
      </c>
      <c r="E517" s="198">
        <v>0.7909722222222223</v>
      </c>
      <c r="F517" s="198">
        <v>0.8354166666666667</v>
      </c>
      <c r="G517" s="194" t="s">
        <v>580</v>
      </c>
      <c r="H517" s="160" t="s">
        <v>479</v>
      </c>
      <c r="I517" s="192">
        <v>33</v>
      </c>
      <c r="J517" s="195">
        <v>50</v>
      </c>
      <c r="K517" s="165">
        <v>240</v>
      </c>
      <c r="L517" s="166">
        <f t="shared" si="155"/>
        <v>7920</v>
      </c>
      <c r="M517" s="167" t="s">
        <v>744</v>
      </c>
      <c r="N517" s="150" t="s">
        <v>977</v>
      </c>
      <c r="O517" s="150">
        <v>54</v>
      </c>
      <c r="P517" s="150" t="s">
        <v>800</v>
      </c>
      <c r="Q517" s="150">
        <v>37</v>
      </c>
      <c r="R517" s="150" t="s">
        <v>801</v>
      </c>
      <c r="S517" s="150">
        <v>45</v>
      </c>
      <c r="T517" s="45">
        <v>2290</v>
      </c>
      <c r="U517" s="45" t="s">
        <v>1590</v>
      </c>
      <c r="V517" s="45">
        <v>958</v>
      </c>
      <c r="W517" s="45" t="s">
        <v>1591</v>
      </c>
      <c r="X517" s="99">
        <v>44816</v>
      </c>
      <c r="Y517" s="99">
        <v>45100</v>
      </c>
      <c r="Z517" s="99"/>
      <c r="AA517" s="99"/>
      <c r="AB517" s="41" t="s">
        <v>1124</v>
      </c>
      <c r="AC517" s="41"/>
      <c r="AD517" s="41" t="s">
        <v>734</v>
      </c>
      <c r="AE517" s="41"/>
      <c r="AF517" s="41" t="s">
        <v>734</v>
      </c>
      <c r="AG517" s="41"/>
      <c r="AH517" s="41" t="s">
        <v>734</v>
      </c>
      <c r="AI517" s="41" t="s">
        <v>734</v>
      </c>
      <c r="AJ517" s="41" t="s">
        <v>734</v>
      </c>
      <c r="AK517" s="41" t="s">
        <v>734</v>
      </c>
      <c r="AL517" s="41" t="s">
        <v>734</v>
      </c>
      <c r="AM517" s="41" t="s">
        <v>734</v>
      </c>
      <c r="AN517" s="41"/>
      <c r="AO517" s="41"/>
      <c r="AP517" s="41"/>
      <c r="AQ517" s="41"/>
      <c r="AR517" s="41"/>
      <c r="AS517" s="41"/>
      <c r="AT517" s="41"/>
      <c r="AU517" s="41"/>
      <c r="AV517" s="41"/>
      <c r="AW517" s="41"/>
      <c r="AX517" s="68"/>
      <c r="AY517" s="67"/>
      <c r="AZ517" s="67">
        <f>3*I517</f>
        <v>99</v>
      </c>
      <c r="BA517" s="68"/>
      <c r="BB517" s="68"/>
      <c r="BC517" s="37"/>
      <c r="BD517" s="37"/>
      <c r="BE517" s="37"/>
      <c r="BF517" s="67">
        <f>AZ517*K517</f>
        <v>23760</v>
      </c>
      <c r="BG517" s="69">
        <v>2</v>
      </c>
      <c r="BH517" s="73"/>
      <c r="BI517" s="79"/>
      <c r="BJ517" s="73"/>
      <c r="BK517" s="73"/>
      <c r="BL517" s="73"/>
      <c r="BM517" s="73"/>
      <c r="BO517" s="70">
        <f t="shared" si="179"/>
        <v>0</v>
      </c>
      <c r="BP517" s="37">
        <v>17</v>
      </c>
      <c r="BQ517" s="37">
        <v>26</v>
      </c>
      <c r="BR517" s="37">
        <v>25</v>
      </c>
      <c r="BS517" s="37">
        <v>25</v>
      </c>
      <c r="BT517" s="87">
        <f t="shared" si="180"/>
        <v>99</v>
      </c>
      <c r="BU517" s="87"/>
      <c r="BV517" s="87"/>
      <c r="BW517" s="87"/>
      <c r="BX517" s="87"/>
      <c r="BY517" s="87"/>
      <c r="BZ517" s="87"/>
      <c r="CA517" s="87"/>
      <c r="CB517" s="87"/>
      <c r="CC517" s="87"/>
      <c r="CD517" s="87"/>
      <c r="CF517" s="67">
        <f t="shared" si="181"/>
        <v>1683</v>
      </c>
      <c r="CG517" s="67">
        <f t="shared" si="182"/>
        <v>2574</v>
      </c>
      <c r="CH517" s="67">
        <f t="shared" si="159"/>
        <v>2475</v>
      </c>
      <c r="CI517" s="67">
        <f t="shared" si="187"/>
        <v>2475</v>
      </c>
      <c r="CJ517" s="37">
        <f t="shared" si="183"/>
        <v>561</v>
      </c>
      <c r="CK517" s="37">
        <f t="shared" si="184"/>
        <v>858</v>
      </c>
      <c r="CL517" s="37">
        <f t="shared" si="185"/>
        <v>825</v>
      </c>
      <c r="CM517" s="37">
        <f t="shared" si="186"/>
        <v>825</v>
      </c>
    </row>
    <row r="518" spans="1:91" s="75" customFormat="1" ht="25.5">
      <c r="A518" s="3" t="s">
        <v>804</v>
      </c>
      <c r="B518" s="156">
        <v>506</v>
      </c>
      <c r="C518" s="192">
        <v>231</v>
      </c>
      <c r="D518" s="197">
        <v>261</v>
      </c>
      <c r="E518" s="193">
        <v>0.74444444444444446</v>
      </c>
      <c r="F518" s="198">
        <v>0.78888888888888886</v>
      </c>
      <c r="G518" s="194" t="s">
        <v>581</v>
      </c>
      <c r="H518" s="160" t="s">
        <v>203</v>
      </c>
      <c r="I518" s="192">
        <v>33</v>
      </c>
      <c r="J518" s="195">
        <v>50</v>
      </c>
      <c r="K518" s="165">
        <v>202</v>
      </c>
      <c r="L518" s="166">
        <f t="shared" si="155"/>
        <v>6666</v>
      </c>
      <c r="M518" s="167" t="s">
        <v>744</v>
      </c>
      <c r="N518" s="150" t="s">
        <v>977</v>
      </c>
      <c r="O518" s="150">
        <v>54</v>
      </c>
      <c r="P518" s="150" t="s">
        <v>800</v>
      </c>
      <c r="Q518" s="150">
        <v>37</v>
      </c>
      <c r="R518" s="150" t="s">
        <v>1276</v>
      </c>
      <c r="S518" s="150">
        <v>45</v>
      </c>
      <c r="T518" s="45">
        <v>958</v>
      </c>
      <c r="U518" s="45" t="s">
        <v>1587</v>
      </c>
      <c r="V518" s="45">
        <v>2290</v>
      </c>
      <c r="W518" s="45" t="s">
        <v>1484</v>
      </c>
      <c r="X518" s="99">
        <v>44816</v>
      </c>
      <c r="Y518" s="99">
        <v>45100</v>
      </c>
      <c r="Z518" s="99"/>
      <c r="AA518" s="99"/>
      <c r="AB518" s="41" t="s">
        <v>1120</v>
      </c>
      <c r="AC518" s="41"/>
      <c r="AD518" s="42" t="s">
        <v>734</v>
      </c>
      <c r="AE518" s="42"/>
      <c r="AF518" s="42" t="s">
        <v>734</v>
      </c>
      <c r="AG518" s="42"/>
      <c r="AH518" s="42" t="s">
        <v>734</v>
      </c>
      <c r="AI518" s="42" t="s">
        <v>734</v>
      </c>
      <c r="AJ518" s="42" t="s">
        <v>734</v>
      </c>
      <c r="AK518" s="42" t="s">
        <v>734</v>
      </c>
      <c r="AL518" s="42" t="s">
        <v>734</v>
      </c>
      <c r="AM518" s="42"/>
      <c r="AN518" s="42"/>
      <c r="AO518" s="42"/>
      <c r="AP518" s="42"/>
      <c r="AQ518" s="42"/>
      <c r="AR518" s="42"/>
      <c r="AS518" s="42"/>
      <c r="AT518" s="42"/>
      <c r="AU518" s="42"/>
      <c r="AV518" s="42"/>
      <c r="AW518" s="42"/>
      <c r="AX518" s="68"/>
      <c r="AY518" s="67"/>
      <c r="AZ518" s="67">
        <f>3*I518</f>
        <v>99</v>
      </c>
      <c r="BA518" s="68"/>
      <c r="BB518" s="68"/>
      <c r="BC518" s="37"/>
      <c r="BD518" s="37"/>
      <c r="BE518" s="37"/>
      <c r="BF518" s="67">
        <f>AZ518*K518</f>
        <v>19998</v>
      </c>
      <c r="BG518" s="69">
        <v>2</v>
      </c>
      <c r="BH518" s="73"/>
      <c r="BI518" s="79"/>
      <c r="BJ518" s="73"/>
      <c r="BK518" s="73"/>
      <c r="BL518" s="73"/>
      <c r="BM518" s="73"/>
      <c r="BO518" s="70">
        <f t="shared" si="179"/>
        <v>0</v>
      </c>
      <c r="BP518" s="37">
        <v>15</v>
      </c>
      <c r="BQ518" s="37">
        <v>21</v>
      </c>
      <c r="BR518" s="37">
        <v>21</v>
      </c>
      <c r="BS518" s="37">
        <v>20</v>
      </c>
      <c r="BT518" s="87">
        <f t="shared" si="180"/>
        <v>99</v>
      </c>
      <c r="BU518" s="87"/>
      <c r="BV518" s="87"/>
      <c r="BW518" s="87"/>
      <c r="BX518" s="87"/>
      <c r="BY518" s="87"/>
      <c r="BZ518" s="87"/>
      <c r="CA518" s="87"/>
      <c r="CB518" s="87"/>
      <c r="CC518" s="87"/>
      <c r="CD518" s="87"/>
      <c r="CF518" s="67">
        <f t="shared" si="181"/>
        <v>1485</v>
      </c>
      <c r="CG518" s="67">
        <f t="shared" si="182"/>
        <v>2079</v>
      </c>
      <c r="CH518" s="67">
        <f t="shared" si="159"/>
        <v>2079</v>
      </c>
      <c r="CI518" s="67">
        <f t="shared" si="187"/>
        <v>1980</v>
      </c>
      <c r="CJ518" s="37">
        <f t="shared" si="183"/>
        <v>495</v>
      </c>
      <c r="CK518" s="37">
        <f t="shared" si="184"/>
        <v>693</v>
      </c>
      <c r="CL518" s="37">
        <f t="shared" si="185"/>
        <v>693</v>
      </c>
      <c r="CM518" s="37">
        <f t="shared" si="186"/>
        <v>660</v>
      </c>
    </row>
    <row r="519" spans="1:91" s="75" customFormat="1" ht="22.5">
      <c r="A519" s="178" t="s">
        <v>1179</v>
      </c>
      <c r="B519" s="156">
        <v>507</v>
      </c>
      <c r="C519" s="192">
        <v>231</v>
      </c>
      <c r="D519" s="197">
        <v>293</v>
      </c>
      <c r="E519" s="193">
        <v>0.82777777777777783</v>
      </c>
      <c r="F519" s="198">
        <v>0.87222222222222223</v>
      </c>
      <c r="G519" s="194" t="s">
        <v>581</v>
      </c>
      <c r="H519" s="206" t="s">
        <v>1078</v>
      </c>
      <c r="I519" s="192">
        <v>33</v>
      </c>
      <c r="J519" s="195">
        <v>50</v>
      </c>
      <c r="K519" s="179">
        <v>45</v>
      </c>
      <c r="L519" s="166">
        <f t="shared" si="155"/>
        <v>1485</v>
      </c>
      <c r="M519" s="167" t="s">
        <v>744</v>
      </c>
      <c r="N519" s="154" t="s">
        <v>800</v>
      </c>
      <c r="O519" s="154">
        <v>37</v>
      </c>
      <c r="P519" s="154" t="s">
        <v>977</v>
      </c>
      <c r="Q519" s="154">
        <v>54</v>
      </c>
      <c r="R519" s="154" t="s">
        <v>801</v>
      </c>
      <c r="S519" s="150">
        <v>45</v>
      </c>
      <c r="T519" s="45">
        <v>958</v>
      </c>
      <c r="U519" s="45" t="s">
        <v>1587</v>
      </c>
      <c r="V519" s="45">
        <v>2290</v>
      </c>
      <c r="W519" s="45" t="s">
        <v>1484</v>
      </c>
      <c r="X519" s="99">
        <v>44816</v>
      </c>
      <c r="Y519" s="99">
        <v>45100</v>
      </c>
      <c r="Z519" s="99"/>
      <c r="AA519" s="99"/>
      <c r="AB519" s="45" t="s">
        <v>1115</v>
      </c>
      <c r="AC519" s="45"/>
      <c r="AD519" s="42" t="s">
        <v>734</v>
      </c>
      <c r="AE519" s="42"/>
      <c r="AF519" s="42"/>
      <c r="AG519" s="42"/>
      <c r="AH519" s="42"/>
      <c r="AI519" s="42"/>
      <c r="AJ519" s="42"/>
      <c r="AK519" s="42"/>
      <c r="AL519" s="42"/>
      <c r="AM519" s="42"/>
      <c r="AN519" s="42" t="s">
        <v>734</v>
      </c>
      <c r="AO519" s="42"/>
      <c r="AP519" s="42"/>
      <c r="AQ519" s="42"/>
      <c r="AR519" s="42"/>
      <c r="AS519" s="42"/>
      <c r="AT519" s="42"/>
      <c r="AU519" s="42"/>
      <c r="AV519" s="42"/>
      <c r="AW519" s="42"/>
      <c r="AX519" s="68">
        <v>158.53</v>
      </c>
      <c r="AY519" s="67"/>
      <c r="AZ519" s="37"/>
      <c r="BA519" s="68"/>
      <c r="BB519" s="68"/>
      <c r="BC519" s="37"/>
      <c r="BD519" s="67">
        <f t="shared" ref="BD519:BD564" si="188">AX519*K519</f>
        <v>7133.85</v>
      </c>
      <c r="BE519" s="67"/>
      <c r="BF519" s="37"/>
      <c r="BG519" s="69">
        <v>2</v>
      </c>
      <c r="BH519" s="67">
        <f t="shared" ref="BH519:BH528" si="189">IF(AND((AX519/I519)&lt;2,BG519=1),(I519*2)-AX519,0)</f>
        <v>0</v>
      </c>
      <c r="BI519" s="67">
        <f t="shared" ref="BI519:BI528" si="190">IF(AND((AX519/I519)&lt;3,BG519=2),(I519*3)-AX519,0)</f>
        <v>0</v>
      </c>
      <c r="BJ519" s="70">
        <f t="shared" ref="BJ519:BJ528" si="191">(BH519+BI519)*K519</f>
        <v>0</v>
      </c>
      <c r="BO519" s="70">
        <f t="shared" si="179"/>
        <v>0</v>
      </c>
      <c r="BP519" s="37">
        <v>2</v>
      </c>
      <c r="BQ519" s="37">
        <v>5</v>
      </c>
      <c r="BR519" s="37">
        <v>5</v>
      </c>
      <c r="BS519" s="37">
        <v>6</v>
      </c>
      <c r="BT519" s="87">
        <f t="shared" si="180"/>
        <v>158.53</v>
      </c>
      <c r="BU519" s="87"/>
      <c r="BV519" s="87"/>
      <c r="BW519" s="87"/>
      <c r="BX519" s="87"/>
      <c r="BY519" s="87"/>
      <c r="BZ519" s="87"/>
      <c r="CA519" s="87"/>
      <c r="CB519" s="87"/>
      <c r="CC519" s="87"/>
      <c r="CD519" s="87"/>
      <c r="CF519" s="67">
        <f t="shared" si="181"/>
        <v>317.06</v>
      </c>
      <c r="CG519" s="67">
        <f t="shared" si="182"/>
        <v>792.65</v>
      </c>
      <c r="CH519" s="67">
        <f t="shared" si="159"/>
        <v>792.65</v>
      </c>
      <c r="CI519" s="67">
        <f t="shared" si="187"/>
        <v>951.18000000000006</v>
      </c>
      <c r="CJ519" s="37">
        <f t="shared" si="183"/>
        <v>66</v>
      </c>
      <c r="CK519" s="37">
        <f t="shared" si="184"/>
        <v>165</v>
      </c>
      <c r="CL519" s="37">
        <f t="shared" si="185"/>
        <v>165</v>
      </c>
      <c r="CM519" s="37">
        <f t="shared" si="186"/>
        <v>198</v>
      </c>
    </row>
    <row r="520" spans="1:91" s="75" customFormat="1" ht="25.5">
      <c r="A520" s="3"/>
      <c r="B520" s="156">
        <v>508</v>
      </c>
      <c r="C520" s="174">
        <v>236</v>
      </c>
      <c r="D520" s="162">
        <v>471</v>
      </c>
      <c r="E520" s="161">
        <v>0.38541666666666669</v>
      </c>
      <c r="F520" s="161">
        <v>0.39374999999999999</v>
      </c>
      <c r="G520" s="160" t="s">
        <v>212</v>
      </c>
      <c r="H520" s="160" t="s">
        <v>155</v>
      </c>
      <c r="I520" s="163">
        <v>8.1999999999999993</v>
      </c>
      <c r="J520" s="164" t="s">
        <v>93</v>
      </c>
      <c r="K520" s="165">
        <v>252</v>
      </c>
      <c r="L520" s="166">
        <f t="shared" si="155"/>
        <v>2066.3999999999996</v>
      </c>
      <c r="M520" s="177" t="s">
        <v>726</v>
      </c>
      <c r="N520" s="154" t="s">
        <v>940</v>
      </c>
      <c r="O520" s="154">
        <v>21</v>
      </c>
      <c r="P520" s="154" t="s">
        <v>941</v>
      </c>
      <c r="Q520" s="154">
        <v>24</v>
      </c>
      <c r="R520" s="154" t="s">
        <v>942</v>
      </c>
      <c r="S520" s="151">
        <v>23</v>
      </c>
      <c r="T520" s="45">
        <v>2021</v>
      </c>
      <c r="U520" s="45" t="s">
        <v>1513</v>
      </c>
      <c r="V520" s="45" t="s">
        <v>1592</v>
      </c>
      <c r="W520" s="45" t="s">
        <v>1593</v>
      </c>
      <c r="X520" s="98">
        <v>44805</v>
      </c>
      <c r="Y520" s="98">
        <v>45169</v>
      </c>
      <c r="Z520" s="98"/>
      <c r="AA520" s="98"/>
      <c r="AB520" s="41" t="s">
        <v>1113</v>
      </c>
      <c r="AC520" s="41"/>
      <c r="AD520" s="42" t="s">
        <v>734</v>
      </c>
      <c r="AE520" s="42" t="s">
        <v>734</v>
      </c>
      <c r="AF520" s="42" t="s">
        <v>734</v>
      </c>
      <c r="AG520" s="42"/>
      <c r="AH520" s="42" t="s">
        <v>734</v>
      </c>
      <c r="AI520" s="42" t="s">
        <v>734</v>
      </c>
      <c r="AJ520" s="42" t="s">
        <v>734</v>
      </c>
      <c r="AK520" s="42" t="s">
        <v>734</v>
      </c>
      <c r="AL520" s="42" t="s">
        <v>734</v>
      </c>
      <c r="AM520" s="42"/>
      <c r="AN520" s="42"/>
      <c r="AO520" s="42"/>
      <c r="AP520" s="42"/>
      <c r="AQ520" s="42"/>
      <c r="AR520" s="42"/>
      <c r="AS520" s="42"/>
      <c r="AT520" s="42"/>
      <c r="AU520" s="42"/>
      <c r="AV520" s="42"/>
      <c r="AW520" s="42"/>
      <c r="AX520" s="68">
        <v>11.87</v>
      </c>
      <c r="AY520" s="67"/>
      <c r="AZ520" s="37"/>
      <c r="BA520" s="68"/>
      <c r="BB520" s="68"/>
      <c r="BC520" s="37"/>
      <c r="BD520" s="67">
        <f t="shared" si="188"/>
        <v>2991.24</v>
      </c>
      <c r="BE520" s="67"/>
      <c r="BF520" s="37"/>
      <c r="BG520" s="73">
        <v>1</v>
      </c>
      <c r="BH520" s="67">
        <f t="shared" si="189"/>
        <v>4.5299999999999994</v>
      </c>
      <c r="BI520" s="67">
        <f t="shared" si="190"/>
        <v>0</v>
      </c>
      <c r="BJ520" s="67">
        <f t="shared" si="191"/>
        <v>1141.56</v>
      </c>
      <c r="BO520" s="70">
        <f t="shared" si="179"/>
        <v>0</v>
      </c>
      <c r="BP520" s="37">
        <v>22</v>
      </c>
      <c r="BQ520" s="37">
        <v>21</v>
      </c>
      <c r="BR520" s="37">
        <v>21</v>
      </c>
      <c r="BS520" s="37">
        <v>20</v>
      </c>
      <c r="BT520" s="87">
        <f t="shared" si="180"/>
        <v>16.399999999999999</v>
      </c>
      <c r="BU520" s="87"/>
      <c r="BV520" s="87"/>
      <c r="BW520" s="87"/>
      <c r="BX520" s="87"/>
      <c r="BY520" s="87"/>
      <c r="BZ520" s="87"/>
      <c r="CA520" s="87"/>
      <c r="CB520" s="87"/>
      <c r="CC520" s="87"/>
      <c r="CD520" s="87"/>
      <c r="CF520" s="67">
        <f t="shared" si="181"/>
        <v>360.79999999999995</v>
      </c>
      <c r="CG520" s="67">
        <f t="shared" si="182"/>
        <v>344.4</v>
      </c>
      <c r="CH520" s="67">
        <f t="shared" si="159"/>
        <v>344.4</v>
      </c>
      <c r="CI520" s="67">
        <f t="shared" si="187"/>
        <v>328</v>
      </c>
      <c r="CJ520" s="37">
        <f t="shared" si="183"/>
        <v>180.39999999999998</v>
      </c>
      <c r="CK520" s="37">
        <f t="shared" si="184"/>
        <v>172.2</v>
      </c>
      <c r="CL520" s="37">
        <f t="shared" si="185"/>
        <v>172.2</v>
      </c>
      <c r="CM520" s="37">
        <f t="shared" si="186"/>
        <v>164</v>
      </c>
    </row>
    <row r="521" spans="1:91" s="75" customFormat="1" ht="25.5">
      <c r="A521" s="3"/>
      <c r="B521" s="156">
        <v>509</v>
      </c>
      <c r="C521" s="174">
        <v>236</v>
      </c>
      <c r="D521" s="162">
        <v>470</v>
      </c>
      <c r="E521" s="173">
        <v>0.40972222222222227</v>
      </c>
      <c r="F521" s="173">
        <v>0.42986111111111108</v>
      </c>
      <c r="G521" s="160" t="s">
        <v>211</v>
      </c>
      <c r="H521" s="160" t="s">
        <v>155</v>
      </c>
      <c r="I521" s="163">
        <v>16</v>
      </c>
      <c r="J521" s="164" t="s">
        <v>93</v>
      </c>
      <c r="K521" s="165">
        <v>252</v>
      </c>
      <c r="L521" s="166">
        <f t="shared" si="155"/>
        <v>4032</v>
      </c>
      <c r="M521" s="177" t="s">
        <v>726</v>
      </c>
      <c r="N521" s="154" t="s">
        <v>940</v>
      </c>
      <c r="O521" s="154">
        <v>21</v>
      </c>
      <c r="P521" s="154" t="s">
        <v>941</v>
      </c>
      <c r="Q521" s="154">
        <v>24</v>
      </c>
      <c r="R521" s="3"/>
      <c r="S521" s="154"/>
      <c r="T521" s="45" t="s">
        <v>1592</v>
      </c>
      <c r="U521" s="45" t="s">
        <v>1594</v>
      </c>
      <c r="V521" s="45" t="s">
        <v>1363</v>
      </c>
      <c r="W521" s="45" t="s">
        <v>1364</v>
      </c>
      <c r="X521" s="98">
        <v>44805</v>
      </c>
      <c r="Y521" s="98">
        <v>45169</v>
      </c>
      <c r="Z521" s="98"/>
      <c r="AA521" s="98"/>
      <c r="AB521" s="41" t="s">
        <v>1113</v>
      </c>
      <c r="AC521" s="41"/>
      <c r="AD521" s="42" t="s">
        <v>734</v>
      </c>
      <c r="AE521" s="42" t="s">
        <v>734</v>
      </c>
      <c r="AF521" s="42" t="s">
        <v>734</v>
      </c>
      <c r="AG521" s="42"/>
      <c r="AH521" s="42" t="s">
        <v>734</v>
      </c>
      <c r="AI521" s="42" t="s">
        <v>734</v>
      </c>
      <c r="AJ521" s="42" t="s">
        <v>734</v>
      </c>
      <c r="AK521" s="42" t="s">
        <v>734</v>
      </c>
      <c r="AL521" s="42" t="s">
        <v>734</v>
      </c>
      <c r="AM521" s="42"/>
      <c r="AN521" s="42"/>
      <c r="AO521" s="42"/>
      <c r="AP521" s="42"/>
      <c r="AQ521" s="42"/>
      <c r="AR521" s="42"/>
      <c r="AS521" s="42"/>
      <c r="AT521" s="42"/>
      <c r="AU521" s="42"/>
      <c r="AV521" s="42"/>
      <c r="AW521" s="42"/>
      <c r="AX521" s="68">
        <v>24.27</v>
      </c>
      <c r="AY521" s="67"/>
      <c r="AZ521" s="37"/>
      <c r="BA521" s="68"/>
      <c r="BB521" s="68"/>
      <c r="BC521" s="37"/>
      <c r="BD521" s="67">
        <f t="shared" si="188"/>
        <v>6116.04</v>
      </c>
      <c r="BE521" s="67"/>
      <c r="BF521" s="37"/>
      <c r="BG521" s="73">
        <v>1</v>
      </c>
      <c r="BH521" s="67">
        <f t="shared" si="189"/>
        <v>7.73</v>
      </c>
      <c r="BI521" s="67">
        <f t="shared" si="190"/>
        <v>0</v>
      </c>
      <c r="BJ521" s="67">
        <f t="shared" si="191"/>
        <v>1947.96</v>
      </c>
      <c r="BO521" s="70">
        <f t="shared" si="179"/>
        <v>0</v>
      </c>
      <c r="BP521" s="37">
        <v>22</v>
      </c>
      <c r="BQ521" s="37">
        <v>21</v>
      </c>
      <c r="BR521" s="37">
        <v>21</v>
      </c>
      <c r="BS521" s="37">
        <v>20</v>
      </c>
      <c r="BT521" s="87">
        <f t="shared" si="180"/>
        <v>32</v>
      </c>
      <c r="BU521" s="87"/>
      <c r="BV521" s="87"/>
      <c r="BW521" s="87"/>
      <c r="BX521" s="87"/>
      <c r="BY521" s="87"/>
      <c r="BZ521" s="87"/>
      <c r="CA521" s="87"/>
      <c r="CB521" s="87"/>
      <c r="CC521" s="87"/>
      <c r="CD521" s="87"/>
      <c r="CF521" s="67">
        <f t="shared" si="181"/>
        <v>704</v>
      </c>
      <c r="CG521" s="67">
        <f t="shared" si="182"/>
        <v>672</v>
      </c>
      <c r="CH521" s="67">
        <f t="shared" si="159"/>
        <v>672</v>
      </c>
      <c r="CI521" s="67">
        <f t="shared" si="187"/>
        <v>640</v>
      </c>
      <c r="CJ521" s="37">
        <f t="shared" si="183"/>
        <v>352</v>
      </c>
      <c r="CK521" s="37">
        <f t="shared" si="184"/>
        <v>336</v>
      </c>
      <c r="CL521" s="37">
        <f t="shared" si="185"/>
        <v>336</v>
      </c>
      <c r="CM521" s="37">
        <f t="shared" si="186"/>
        <v>320</v>
      </c>
    </row>
    <row r="522" spans="1:91" s="75" customFormat="1" ht="25.5">
      <c r="A522" s="3"/>
      <c r="B522" s="156">
        <v>510</v>
      </c>
      <c r="C522" s="174">
        <v>236</v>
      </c>
      <c r="D522" s="162">
        <v>473</v>
      </c>
      <c r="E522" s="173">
        <v>0.43402777777777773</v>
      </c>
      <c r="F522" s="173">
        <v>0.45208333333333334</v>
      </c>
      <c r="G522" s="160" t="s">
        <v>209</v>
      </c>
      <c r="H522" s="160" t="s">
        <v>155</v>
      </c>
      <c r="I522" s="163">
        <v>16</v>
      </c>
      <c r="J522" s="164" t="s">
        <v>93</v>
      </c>
      <c r="K522" s="165">
        <v>252</v>
      </c>
      <c r="L522" s="166">
        <f t="shared" si="155"/>
        <v>4032</v>
      </c>
      <c r="M522" s="177" t="s">
        <v>726</v>
      </c>
      <c r="N522" s="154" t="s">
        <v>940</v>
      </c>
      <c r="O522" s="154">
        <v>21</v>
      </c>
      <c r="P522" s="154" t="s">
        <v>939</v>
      </c>
      <c r="Q522" s="154">
        <v>37</v>
      </c>
      <c r="R522" s="154"/>
      <c r="S522" s="154"/>
      <c r="T522" s="45" t="s">
        <v>1363</v>
      </c>
      <c r="U522" s="45" t="s">
        <v>1364</v>
      </c>
      <c r="V522" s="45" t="s">
        <v>1592</v>
      </c>
      <c r="W522" s="45" t="s">
        <v>1593</v>
      </c>
      <c r="X522" s="98">
        <v>44805</v>
      </c>
      <c r="Y522" s="98">
        <v>45169</v>
      </c>
      <c r="Z522" s="98"/>
      <c r="AA522" s="98"/>
      <c r="AB522" s="41" t="s">
        <v>1113</v>
      </c>
      <c r="AC522" s="41"/>
      <c r="AD522" s="42" t="s">
        <v>734</v>
      </c>
      <c r="AE522" s="42" t="s">
        <v>734</v>
      </c>
      <c r="AF522" s="42" t="s">
        <v>734</v>
      </c>
      <c r="AG522" s="42"/>
      <c r="AH522" s="42" t="s">
        <v>734</v>
      </c>
      <c r="AI522" s="42" t="s">
        <v>734</v>
      </c>
      <c r="AJ522" s="42" t="s">
        <v>734</v>
      </c>
      <c r="AK522" s="42" t="s">
        <v>734</v>
      </c>
      <c r="AL522" s="42" t="s">
        <v>734</v>
      </c>
      <c r="AM522" s="42"/>
      <c r="AN522" s="42"/>
      <c r="AO522" s="42"/>
      <c r="AP522" s="42"/>
      <c r="AQ522" s="42"/>
      <c r="AR522" s="42"/>
      <c r="AS522" s="42"/>
      <c r="AT522" s="42"/>
      <c r="AU522" s="42"/>
      <c r="AV522" s="42"/>
      <c r="AW522" s="42"/>
      <c r="AX522" s="68">
        <v>20.85</v>
      </c>
      <c r="AY522" s="67"/>
      <c r="AZ522" s="37"/>
      <c r="BA522" s="68"/>
      <c r="BB522" s="68"/>
      <c r="BC522" s="37"/>
      <c r="BD522" s="67">
        <f t="shared" si="188"/>
        <v>5254.2000000000007</v>
      </c>
      <c r="BE522" s="67"/>
      <c r="BF522" s="37"/>
      <c r="BG522" s="73">
        <v>1</v>
      </c>
      <c r="BH522" s="67">
        <f t="shared" si="189"/>
        <v>11.149999999999999</v>
      </c>
      <c r="BI522" s="67">
        <f t="shared" si="190"/>
        <v>0</v>
      </c>
      <c r="BJ522" s="67">
        <f t="shared" si="191"/>
        <v>2809.7999999999997</v>
      </c>
      <c r="BO522" s="70">
        <f t="shared" si="179"/>
        <v>0</v>
      </c>
      <c r="BP522" s="37">
        <v>22</v>
      </c>
      <c r="BQ522" s="37">
        <v>21</v>
      </c>
      <c r="BR522" s="37">
        <v>21</v>
      </c>
      <c r="BS522" s="37">
        <v>20</v>
      </c>
      <c r="BT522" s="87">
        <f t="shared" si="180"/>
        <v>32</v>
      </c>
      <c r="BU522" s="87"/>
      <c r="BV522" s="87"/>
      <c r="BW522" s="87"/>
      <c r="BX522" s="87"/>
      <c r="BY522" s="87"/>
      <c r="BZ522" s="87"/>
      <c r="CA522" s="87"/>
      <c r="CB522" s="87"/>
      <c r="CC522" s="87"/>
      <c r="CD522" s="87"/>
      <c r="CF522" s="67">
        <f t="shared" si="181"/>
        <v>704</v>
      </c>
      <c r="CG522" s="67">
        <f t="shared" si="182"/>
        <v>672</v>
      </c>
      <c r="CH522" s="67">
        <f t="shared" si="159"/>
        <v>672</v>
      </c>
      <c r="CI522" s="67">
        <f t="shared" si="187"/>
        <v>640</v>
      </c>
      <c r="CJ522" s="37">
        <f t="shared" si="183"/>
        <v>352</v>
      </c>
      <c r="CK522" s="37">
        <f t="shared" si="184"/>
        <v>336</v>
      </c>
      <c r="CL522" s="37">
        <f t="shared" si="185"/>
        <v>336</v>
      </c>
      <c r="CM522" s="37">
        <f t="shared" si="186"/>
        <v>320</v>
      </c>
    </row>
    <row r="523" spans="1:91" ht="25.5">
      <c r="B523" s="156">
        <v>511</v>
      </c>
      <c r="C523" s="174">
        <v>236</v>
      </c>
      <c r="D523" s="162">
        <v>472</v>
      </c>
      <c r="E523" s="173">
        <v>0.46597222222222223</v>
      </c>
      <c r="F523" s="173">
        <v>0.4861111111111111</v>
      </c>
      <c r="G523" s="160" t="s">
        <v>211</v>
      </c>
      <c r="H523" s="160" t="s">
        <v>155</v>
      </c>
      <c r="I523" s="163">
        <v>16</v>
      </c>
      <c r="J523" s="164" t="s">
        <v>93</v>
      </c>
      <c r="K523" s="165">
        <v>252</v>
      </c>
      <c r="L523" s="166">
        <f t="shared" si="155"/>
        <v>4032</v>
      </c>
      <c r="M523" s="177" t="s">
        <v>726</v>
      </c>
      <c r="N523" s="154" t="s">
        <v>940</v>
      </c>
      <c r="O523" s="154">
        <v>21</v>
      </c>
      <c r="P523" s="154" t="s">
        <v>939</v>
      </c>
      <c r="Q523" s="154">
        <v>37</v>
      </c>
      <c r="R523" s="154" t="s">
        <v>1277</v>
      </c>
      <c r="S523" s="152">
        <v>23</v>
      </c>
      <c r="T523" s="45" t="s">
        <v>1592</v>
      </c>
      <c r="U523" s="45" t="s">
        <v>1594</v>
      </c>
      <c r="V523" s="45" t="s">
        <v>1363</v>
      </c>
      <c r="W523" s="45" t="s">
        <v>1364</v>
      </c>
      <c r="X523" s="98">
        <v>44805</v>
      </c>
      <c r="Y523" s="98">
        <v>45169</v>
      </c>
      <c r="Z523" s="98"/>
      <c r="AA523" s="98"/>
      <c r="AB523" s="41" t="s">
        <v>1113</v>
      </c>
      <c r="AC523" s="41"/>
      <c r="AD523" s="42" t="s">
        <v>734</v>
      </c>
      <c r="AE523" s="42" t="s">
        <v>734</v>
      </c>
      <c r="AF523" s="42" t="s">
        <v>734</v>
      </c>
      <c r="AG523" s="42"/>
      <c r="AH523" s="42" t="s">
        <v>734</v>
      </c>
      <c r="AI523" s="42" t="s">
        <v>734</v>
      </c>
      <c r="AJ523" s="42" t="s">
        <v>734</v>
      </c>
      <c r="AK523" s="42" t="s">
        <v>734</v>
      </c>
      <c r="AL523" s="42" t="s">
        <v>734</v>
      </c>
      <c r="AM523" s="42"/>
      <c r="AN523" s="42"/>
      <c r="AO523" s="42"/>
      <c r="AP523" s="42"/>
      <c r="AQ523" s="42"/>
      <c r="AR523" s="42"/>
      <c r="AS523" s="42"/>
      <c r="AT523" s="42"/>
      <c r="AU523" s="42"/>
      <c r="AV523" s="42"/>
      <c r="AW523" s="42"/>
      <c r="AX523" s="68">
        <v>24.27</v>
      </c>
      <c r="BA523" s="68"/>
      <c r="BB523" s="68"/>
      <c r="BD523" s="67">
        <f t="shared" si="188"/>
        <v>6116.04</v>
      </c>
      <c r="BE523" s="67"/>
      <c r="BF523" s="37"/>
      <c r="BG523" s="73">
        <v>1</v>
      </c>
      <c r="BH523" s="67">
        <f t="shared" si="189"/>
        <v>7.73</v>
      </c>
      <c r="BI523" s="67">
        <f t="shared" si="190"/>
        <v>0</v>
      </c>
      <c r="BJ523" s="67">
        <f t="shared" si="191"/>
        <v>1947.96</v>
      </c>
      <c r="BK523" s="75"/>
      <c r="BL523" s="75"/>
      <c r="BM523" s="75"/>
      <c r="BN523" s="75"/>
      <c r="BO523" s="70">
        <f t="shared" si="179"/>
        <v>0</v>
      </c>
      <c r="BP523" s="37">
        <v>22</v>
      </c>
      <c r="BQ523" s="37">
        <v>21</v>
      </c>
      <c r="BR523" s="37">
        <v>21</v>
      </c>
      <c r="BS523" s="37">
        <v>20</v>
      </c>
      <c r="BT523" s="87">
        <f t="shared" si="180"/>
        <v>32</v>
      </c>
      <c r="BU523" s="87"/>
      <c r="BV523" s="87"/>
      <c r="BW523" s="87"/>
      <c r="BX523" s="87"/>
      <c r="BY523" s="87"/>
      <c r="BZ523" s="87"/>
      <c r="CA523" s="87"/>
      <c r="CB523" s="87"/>
      <c r="CC523" s="87"/>
      <c r="CD523" s="87"/>
      <c r="CE523" s="75"/>
      <c r="CF523" s="67">
        <f t="shared" si="181"/>
        <v>704</v>
      </c>
      <c r="CG523" s="67">
        <f t="shared" si="182"/>
        <v>672</v>
      </c>
      <c r="CH523" s="67">
        <f t="shared" si="159"/>
        <v>672</v>
      </c>
      <c r="CI523" s="67">
        <f t="shared" si="187"/>
        <v>640</v>
      </c>
      <c r="CJ523" s="37">
        <f t="shared" si="183"/>
        <v>352</v>
      </c>
      <c r="CK523" s="37">
        <f t="shared" si="184"/>
        <v>336</v>
      </c>
      <c r="CL523" s="37">
        <f t="shared" si="185"/>
        <v>336</v>
      </c>
      <c r="CM523" s="37">
        <f t="shared" si="186"/>
        <v>320</v>
      </c>
    </row>
    <row r="524" spans="1:91" ht="25.5">
      <c r="B524" s="156">
        <v>512</v>
      </c>
      <c r="C524" s="174">
        <v>236</v>
      </c>
      <c r="D524" s="162">
        <v>475</v>
      </c>
      <c r="E524" s="173">
        <v>0.49027777777777781</v>
      </c>
      <c r="F524" s="173">
        <v>0.5083333333333333</v>
      </c>
      <c r="G524" s="160" t="s">
        <v>209</v>
      </c>
      <c r="H524" s="160" t="s">
        <v>155</v>
      </c>
      <c r="I524" s="163">
        <v>16</v>
      </c>
      <c r="J524" s="164" t="s">
        <v>93</v>
      </c>
      <c r="K524" s="165">
        <v>252</v>
      </c>
      <c r="L524" s="166">
        <f t="shared" si="155"/>
        <v>4032</v>
      </c>
      <c r="M524" s="177" t="s">
        <v>726</v>
      </c>
      <c r="N524" s="154" t="s">
        <v>940</v>
      </c>
      <c r="O524" s="154">
        <v>21</v>
      </c>
      <c r="P524" s="154" t="s">
        <v>942</v>
      </c>
      <c r="Q524" s="154">
        <v>23</v>
      </c>
      <c r="R524" s="154" t="s">
        <v>941</v>
      </c>
      <c r="S524" s="152">
        <v>24</v>
      </c>
      <c r="T524" s="45" t="s">
        <v>1363</v>
      </c>
      <c r="U524" s="45" t="s">
        <v>1364</v>
      </c>
      <c r="V524" s="45" t="s">
        <v>1592</v>
      </c>
      <c r="W524" s="45" t="s">
        <v>1593</v>
      </c>
      <c r="X524" s="98">
        <v>44805</v>
      </c>
      <c r="Y524" s="98">
        <v>45169</v>
      </c>
      <c r="Z524" s="98"/>
      <c r="AA524" s="98"/>
      <c r="AB524" s="41" t="s">
        <v>1113</v>
      </c>
      <c r="AC524" s="41"/>
      <c r="AD524" s="42" t="s">
        <v>734</v>
      </c>
      <c r="AE524" s="42" t="s">
        <v>734</v>
      </c>
      <c r="AF524" s="42" t="s">
        <v>734</v>
      </c>
      <c r="AG524" s="42"/>
      <c r="AH524" s="42" t="s">
        <v>734</v>
      </c>
      <c r="AI524" s="42" t="s">
        <v>734</v>
      </c>
      <c r="AJ524" s="42" t="s">
        <v>734</v>
      </c>
      <c r="AK524" s="42" t="s">
        <v>734</v>
      </c>
      <c r="AL524" s="42" t="s">
        <v>734</v>
      </c>
      <c r="AM524" s="42"/>
      <c r="AN524" s="42"/>
      <c r="AO524" s="42"/>
      <c r="AP524" s="42"/>
      <c r="AQ524" s="42"/>
      <c r="AR524" s="42"/>
      <c r="AS524" s="42"/>
      <c r="AT524" s="42"/>
      <c r="AU524" s="42"/>
      <c r="AV524" s="42"/>
      <c r="AW524" s="42"/>
      <c r="AX524" s="68">
        <v>24.27</v>
      </c>
      <c r="BA524" s="68"/>
      <c r="BB524" s="68"/>
      <c r="BD524" s="67">
        <f t="shared" si="188"/>
        <v>6116.04</v>
      </c>
      <c r="BE524" s="67"/>
      <c r="BF524" s="37"/>
      <c r="BG524" s="73">
        <v>1</v>
      </c>
      <c r="BH524" s="67">
        <f t="shared" si="189"/>
        <v>7.73</v>
      </c>
      <c r="BI524" s="67">
        <f t="shared" si="190"/>
        <v>0</v>
      </c>
      <c r="BJ524" s="67">
        <f t="shared" si="191"/>
        <v>1947.96</v>
      </c>
      <c r="BN524" s="37"/>
      <c r="BO524" s="70">
        <f t="shared" si="179"/>
        <v>0</v>
      </c>
      <c r="BP524" s="37">
        <v>22</v>
      </c>
      <c r="BQ524" s="37">
        <v>21</v>
      </c>
      <c r="BR524" s="37">
        <v>21</v>
      </c>
      <c r="BS524" s="37">
        <v>20</v>
      </c>
      <c r="BT524" s="87">
        <f t="shared" si="180"/>
        <v>32</v>
      </c>
      <c r="BU524" s="87"/>
      <c r="BV524" s="87"/>
      <c r="BW524" s="87"/>
      <c r="BX524" s="87"/>
      <c r="BY524" s="87"/>
      <c r="BZ524" s="87"/>
      <c r="CA524" s="87"/>
      <c r="CB524" s="87"/>
      <c r="CC524" s="87"/>
      <c r="CD524" s="87"/>
      <c r="CF524" s="67">
        <f t="shared" si="181"/>
        <v>704</v>
      </c>
      <c r="CG524" s="67">
        <f t="shared" si="182"/>
        <v>672</v>
      </c>
      <c r="CH524" s="67">
        <f t="shared" si="159"/>
        <v>672</v>
      </c>
      <c r="CI524" s="67">
        <f t="shared" si="187"/>
        <v>640</v>
      </c>
      <c r="CJ524" s="37">
        <f t="shared" si="183"/>
        <v>352</v>
      </c>
      <c r="CK524" s="37">
        <f t="shared" si="184"/>
        <v>336</v>
      </c>
      <c r="CL524" s="37">
        <f t="shared" si="185"/>
        <v>336</v>
      </c>
      <c r="CM524" s="37">
        <f t="shared" si="186"/>
        <v>320</v>
      </c>
    </row>
    <row r="525" spans="1:91" ht="25.5">
      <c r="B525" s="156">
        <v>513</v>
      </c>
      <c r="C525" s="174">
        <v>236</v>
      </c>
      <c r="D525" s="162">
        <v>477</v>
      </c>
      <c r="E525" s="173">
        <v>0.61527777777777781</v>
      </c>
      <c r="F525" s="173">
        <v>0.6333333333333333</v>
      </c>
      <c r="G525" s="160" t="s">
        <v>209</v>
      </c>
      <c r="H525" s="160" t="s">
        <v>155</v>
      </c>
      <c r="I525" s="163">
        <v>16</v>
      </c>
      <c r="J525" s="164" t="s">
        <v>93</v>
      </c>
      <c r="K525" s="165">
        <v>252</v>
      </c>
      <c r="L525" s="166">
        <f t="shared" si="155"/>
        <v>4032</v>
      </c>
      <c r="M525" s="177" t="s">
        <v>726</v>
      </c>
      <c r="N525" s="154" t="s">
        <v>941</v>
      </c>
      <c r="O525" s="154">
        <v>24</v>
      </c>
      <c r="P525" s="154" t="s">
        <v>940</v>
      </c>
      <c r="Q525" s="154">
        <v>21</v>
      </c>
      <c r="R525" s="154" t="s">
        <v>942</v>
      </c>
      <c r="S525" s="151">
        <v>23</v>
      </c>
      <c r="T525" s="45" t="s">
        <v>1363</v>
      </c>
      <c r="U525" s="45" t="s">
        <v>1364</v>
      </c>
      <c r="V525" s="45" t="s">
        <v>1592</v>
      </c>
      <c r="W525" s="45" t="s">
        <v>1593</v>
      </c>
      <c r="X525" s="98">
        <v>44805</v>
      </c>
      <c r="Y525" s="98">
        <v>45169</v>
      </c>
      <c r="Z525" s="98"/>
      <c r="AA525" s="98"/>
      <c r="AB525" s="41" t="s">
        <v>1113</v>
      </c>
      <c r="AC525" s="41"/>
      <c r="AD525" s="42" t="s">
        <v>734</v>
      </c>
      <c r="AE525" s="42" t="s">
        <v>734</v>
      </c>
      <c r="AF525" s="42" t="s">
        <v>734</v>
      </c>
      <c r="AG525" s="42"/>
      <c r="AH525" s="42" t="s">
        <v>734</v>
      </c>
      <c r="AI525" s="42" t="s">
        <v>734</v>
      </c>
      <c r="AJ525" s="42" t="s">
        <v>734</v>
      </c>
      <c r="AK525" s="42" t="s">
        <v>734</v>
      </c>
      <c r="AL525" s="42" t="s">
        <v>734</v>
      </c>
      <c r="AM525" s="42"/>
      <c r="AN525" s="42"/>
      <c r="AO525" s="42"/>
      <c r="AP525" s="42"/>
      <c r="AQ525" s="42"/>
      <c r="AR525" s="42"/>
      <c r="AS525" s="42"/>
      <c r="AT525" s="42"/>
      <c r="AU525" s="42"/>
      <c r="AV525" s="42"/>
      <c r="AW525" s="42"/>
      <c r="AX525" s="68">
        <v>24.27</v>
      </c>
      <c r="BA525" s="68"/>
      <c r="BB525" s="68"/>
      <c r="BD525" s="67">
        <f t="shared" si="188"/>
        <v>6116.04</v>
      </c>
      <c r="BE525" s="67"/>
      <c r="BF525" s="37"/>
      <c r="BG525" s="73">
        <v>1</v>
      </c>
      <c r="BH525" s="67">
        <f t="shared" si="189"/>
        <v>7.73</v>
      </c>
      <c r="BI525" s="67">
        <f t="shared" si="190"/>
        <v>0</v>
      </c>
      <c r="BJ525" s="67">
        <f t="shared" si="191"/>
        <v>1947.96</v>
      </c>
      <c r="BN525" s="37"/>
      <c r="BO525" s="70">
        <f t="shared" si="179"/>
        <v>0</v>
      </c>
      <c r="BP525" s="37">
        <v>22</v>
      </c>
      <c r="BQ525" s="37">
        <v>21</v>
      </c>
      <c r="BR525" s="37">
        <v>21</v>
      </c>
      <c r="BS525" s="37">
        <v>20</v>
      </c>
      <c r="BT525" s="87">
        <f t="shared" si="180"/>
        <v>32</v>
      </c>
      <c r="BU525" s="87"/>
      <c r="BV525" s="87"/>
      <c r="BW525" s="87"/>
      <c r="BX525" s="87"/>
      <c r="BY525" s="87"/>
      <c r="BZ525" s="87"/>
      <c r="CA525" s="87"/>
      <c r="CB525" s="87"/>
      <c r="CC525" s="87"/>
      <c r="CD525" s="87"/>
      <c r="CF525" s="67">
        <f t="shared" si="181"/>
        <v>704</v>
      </c>
      <c r="CG525" s="67">
        <f t="shared" si="182"/>
        <v>672</v>
      </c>
      <c r="CH525" s="67">
        <f t="shared" si="159"/>
        <v>672</v>
      </c>
      <c r="CI525" s="67">
        <f t="shared" si="187"/>
        <v>640</v>
      </c>
      <c r="CJ525" s="37">
        <f t="shared" si="183"/>
        <v>352</v>
      </c>
      <c r="CK525" s="37">
        <f t="shared" si="184"/>
        <v>336</v>
      </c>
      <c r="CL525" s="37">
        <f t="shared" si="185"/>
        <v>336</v>
      </c>
      <c r="CM525" s="37">
        <f t="shared" si="186"/>
        <v>320</v>
      </c>
    </row>
    <row r="526" spans="1:91" ht="25.5">
      <c r="B526" s="156">
        <v>514</v>
      </c>
      <c r="C526" s="174">
        <v>236</v>
      </c>
      <c r="D526" s="162">
        <v>474</v>
      </c>
      <c r="E526" s="173">
        <v>0.64930555555555558</v>
      </c>
      <c r="F526" s="173">
        <v>0.6694444444444444</v>
      </c>
      <c r="G526" s="160" t="s">
        <v>211</v>
      </c>
      <c r="H526" s="160" t="s">
        <v>155</v>
      </c>
      <c r="I526" s="163">
        <v>16</v>
      </c>
      <c r="J526" s="164" t="s">
        <v>99</v>
      </c>
      <c r="K526" s="165">
        <v>252</v>
      </c>
      <c r="L526" s="166">
        <f t="shared" si="155"/>
        <v>4032</v>
      </c>
      <c r="M526" s="177" t="s">
        <v>726</v>
      </c>
      <c r="N526" s="154" t="s">
        <v>940</v>
      </c>
      <c r="O526" s="154">
        <v>21</v>
      </c>
      <c r="P526" s="154" t="s">
        <v>941</v>
      </c>
      <c r="Q526" s="154">
        <v>24</v>
      </c>
      <c r="R526" s="154" t="s">
        <v>938</v>
      </c>
      <c r="S526" s="152">
        <v>23</v>
      </c>
      <c r="T526" s="45" t="s">
        <v>1592</v>
      </c>
      <c r="U526" s="45" t="s">
        <v>1594</v>
      </c>
      <c r="V526" s="45" t="s">
        <v>1363</v>
      </c>
      <c r="W526" s="45" t="s">
        <v>1364</v>
      </c>
      <c r="X526" s="98">
        <v>44805</v>
      </c>
      <c r="Y526" s="98">
        <v>45169</v>
      </c>
      <c r="Z526" s="98"/>
      <c r="AA526" s="98"/>
      <c r="AB526" s="41" t="s">
        <v>1113</v>
      </c>
      <c r="AC526" s="41"/>
      <c r="AD526" s="42" t="s">
        <v>734</v>
      </c>
      <c r="AE526" s="42" t="s">
        <v>734</v>
      </c>
      <c r="AF526" s="42" t="s">
        <v>734</v>
      </c>
      <c r="AG526" s="42"/>
      <c r="AH526" s="42" t="s">
        <v>734</v>
      </c>
      <c r="AI526" s="42" t="s">
        <v>734</v>
      </c>
      <c r="AJ526" s="42" t="s">
        <v>734</v>
      </c>
      <c r="AK526" s="42" t="s">
        <v>734</v>
      </c>
      <c r="AL526" s="42" t="s">
        <v>734</v>
      </c>
      <c r="AM526" s="42"/>
      <c r="AN526" s="42"/>
      <c r="AO526" s="42"/>
      <c r="AP526" s="42"/>
      <c r="AQ526" s="42"/>
      <c r="AR526" s="42"/>
      <c r="AS526" s="42"/>
      <c r="AT526" s="42"/>
      <c r="AU526" s="42"/>
      <c r="AV526" s="42"/>
      <c r="AW526" s="42"/>
      <c r="AX526" s="68">
        <v>24.27</v>
      </c>
      <c r="BA526" s="68"/>
      <c r="BB526" s="68"/>
      <c r="BD526" s="67">
        <f t="shared" si="188"/>
        <v>6116.04</v>
      </c>
      <c r="BE526" s="67"/>
      <c r="BF526" s="37"/>
      <c r="BG526" s="73">
        <v>1</v>
      </c>
      <c r="BH526" s="67">
        <f t="shared" si="189"/>
        <v>7.73</v>
      </c>
      <c r="BI526" s="67">
        <f t="shared" si="190"/>
        <v>0</v>
      </c>
      <c r="BJ526" s="67">
        <f t="shared" si="191"/>
        <v>1947.96</v>
      </c>
      <c r="BN526" s="37"/>
      <c r="BO526" s="70">
        <f t="shared" si="179"/>
        <v>0</v>
      </c>
      <c r="BP526" s="37">
        <v>22</v>
      </c>
      <c r="BQ526" s="37">
        <v>21</v>
      </c>
      <c r="BR526" s="37">
        <v>21</v>
      </c>
      <c r="BS526" s="37">
        <v>20</v>
      </c>
      <c r="BT526" s="87">
        <f t="shared" si="180"/>
        <v>32</v>
      </c>
      <c r="BU526" s="87"/>
      <c r="BV526" s="87"/>
      <c r="BW526" s="87"/>
      <c r="BX526" s="87"/>
      <c r="BY526" s="87"/>
      <c r="BZ526" s="87"/>
      <c r="CA526" s="87"/>
      <c r="CB526" s="87"/>
      <c r="CC526" s="87"/>
      <c r="CD526" s="87"/>
      <c r="CF526" s="67">
        <f t="shared" si="181"/>
        <v>704</v>
      </c>
      <c r="CG526" s="67">
        <f t="shared" si="182"/>
        <v>672</v>
      </c>
      <c r="CH526" s="67">
        <f t="shared" si="159"/>
        <v>672</v>
      </c>
      <c r="CI526" s="67">
        <f t="shared" si="187"/>
        <v>640</v>
      </c>
      <c r="CJ526" s="37">
        <f t="shared" si="183"/>
        <v>352</v>
      </c>
      <c r="CK526" s="37">
        <f t="shared" si="184"/>
        <v>336</v>
      </c>
      <c r="CL526" s="37">
        <f t="shared" si="185"/>
        <v>336</v>
      </c>
      <c r="CM526" s="37">
        <f t="shared" si="186"/>
        <v>320</v>
      </c>
    </row>
    <row r="527" spans="1:91" ht="25.5">
      <c r="B527" s="156">
        <v>515</v>
      </c>
      <c r="C527" s="174">
        <v>236</v>
      </c>
      <c r="D527" s="162">
        <v>479</v>
      </c>
      <c r="E527" s="161">
        <v>0.71875</v>
      </c>
      <c r="F527" s="161">
        <v>0.7368055555555556</v>
      </c>
      <c r="G527" s="160" t="s">
        <v>209</v>
      </c>
      <c r="H527" s="160" t="s">
        <v>155</v>
      </c>
      <c r="I527" s="163">
        <v>16</v>
      </c>
      <c r="J527" s="164" t="s">
        <v>93</v>
      </c>
      <c r="K527" s="165">
        <v>252</v>
      </c>
      <c r="L527" s="166">
        <f t="shared" si="155"/>
        <v>4032</v>
      </c>
      <c r="M527" s="177" t="s">
        <v>726</v>
      </c>
      <c r="N527" s="154" t="s">
        <v>941</v>
      </c>
      <c r="O527" s="154">
        <v>24</v>
      </c>
      <c r="P527" s="154" t="s">
        <v>940</v>
      </c>
      <c r="Q527" s="154">
        <v>21</v>
      </c>
      <c r="R527" s="154" t="s">
        <v>942</v>
      </c>
      <c r="S527" s="151">
        <v>23</v>
      </c>
      <c r="T527" s="45" t="s">
        <v>1363</v>
      </c>
      <c r="U527" s="45" t="s">
        <v>1364</v>
      </c>
      <c r="V527" s="45" t="s">
        <v>1592</v>
      </c>
      <c r="W527" s="45" t="s">
        <v>1593</v>
      </c>
      <c r="X527" s="98">
        <v>44805</v>
      </c>
      <c r="Y527" s="98">
        <v>45169</v>
      </c>
      <c r="Z527" s="98"/>
      <c r="AA527" s="98"/>
      <c r="AB527" s="41" t="s">
        <v>1113</v>
      </c>
      <c r="AC527" s="41"/>
      <c r="AD527" s="42" t="s">
        <v>734</v>
      </c>
      <c r="AE527" s="42" t="s">
        <v>734</v>
      </c>
      <c r="AF527" s="42" t="s">
        <v>734</v>
      </c>
      <c r="AG527" s="42"/>
      <c r="AH527" s="42" t="s">
        <v>734</v>
      </c>
      <c r="AI527" s="42" t="s">
        <v>734</v>
      </c>
      <c r="AJ527" s="42" t="s">
        <v>734</v>
      </c>
      <c r="AK527" s="42" t="s">
        <v>734</v>
      </c>
      <c r="AL527" s="42" t="s">
        <v>734</v>
      </c>
      <c r="AM527" s="42"/>
      <c r="AN527" s="42"/>
      <c r="AO527" s="42"/>
      <c r="AP527" s="42"/>
      <c r="AQ527" s="42"/>
      <c r="AR527" s="42"/>
      <c r="AS527" s="42"/>
      <c r="AT527" s="42"/>
      <c r="AU527" s="42"/>
      <c r="AV527" s="42"/>
      <c r="AW527" s="42"/>
      <c r="AX527" s="68">
        <v>20.85</v>
      </c>
      <c r="BA527" s="68"/>
      <c r="BB527" s="68"/>
      <c r="BD527" s="67">
        <f t="shared" si="188"/>
        <v>5254.2000000000007</v>
      </c>
      <c r="BE527" s="67"/>
      <c r="BF527" s="37"/>
      <c r="BG527" s="73">
        <v>1</v>
      </c>
      <c r="BH527" s="67">
        <f t="shared" si="189"/>
        <v>11.149999999999999</v>
      </c>
      <c r="BI527" s="67">
        <f t="shared" si="190"/>
        <v>0</v>
      </c>
      <c r="BJ527" s="67">
        <f t="shared" si="191"/>
        <v>2809.7999999999997</v>
      </c>
      <c r="BN527" s="37"/>
      <c r="BO527" s="70">
        <f t="shared" si="179"/>
        <v>0</v>
      </c>
      <c r="BP527" s="37">
        <v>22</v>
      </c>
      <c r="BQ527" s="37">
        <v>21</v>
      </c>
      <c r="BR527" s="37">
        <v>21</v>
      </c>
      <c r="BS527" s="37">
        <v>20</v>
      </c>
      <c r="BT527" s="87">
        <f t="shared" si="180"/>
        <v>32</v>
      </c>
      <c r="BU527" s="87"/>
      <c r="BV527" s="87"/>
      <c r="BW527" s="87"/>
      <c r="BX527" s="87"/>
      <c r="BY527" s="87"/>
      <c r="BZ527" s="87"/>
      <c r="CA527" s="87"/>
      <c r="CB527" s="87"/>
      <c r="CC527" s="87"/>
      <c r="CD527" s="87"/>
      <c r="CF527" s="67">
        <f t="shared" si="181"/>
        <v>704</v>
      </c>
      <c r="CG527" s="67">
        <f t="shared" si="182"/>
        <v>672</v>
      </c>
      <c r="CH527" s="67">
        <f t="shared" si="159"/>
        <v>672</v>
      </c>
      <c r="CI527" s="67">
        <f t="shared" si="187"/>
        <v>640</v>
      </c>
      <c r="CJ527" s="37">
        <f t="shared" si="183"/>
        <v>352</v>
      </c>
      <c r="CK527" s="37">
        <f t="shared" si="184"/>
        <v>336</v>
      </c>
      <c r="CL527" s="37">
        <f t="shared" si="185"/>
        <v>336</v>
      </c>
      <c r="CM527" s="37">
        <f t="shared" si="186"/>
        <v>320</v>
      </c>
    </row>
    <row r="528" spans="1:91" ht="25.5">
      <c r="B528" s="156">
        <v>516</v>
      </c>
      <c r="C528" s="174">
        <v>236</v>
      </c>
      <c r="D528" s="162">
        <v>476</v>
      </c>
      <c r="E528" s="173">
        <v>0.75138888888888899</v>
      </c>
      <c r="F528" s="173">
        <v>0.7715277777777777</v>
      </c>
      <c r="G528" s="160" t="s">
        <v>208</v>
      </c>
      <c r="H528" s="160" t="s">
        <v>155</v>
      </c>
      <c r="I528" s="163">
        <v>16</v>
      </c>
      <c r="J528" s="164" t="s">
        <v>93</v>
      </c>
      <c r="K528" s="165">
        <v>252</v>
      </c>
      <c r="L528" s="166">
        <f t="shared" si="155"/>
        <v>4032</v>
      </c>
      <c r="M528" s="177" t="s">
        <v>726</v>
      </c>
      <c r="N528" s="154" t="s">
        <v>941</v>
      </c>
      <c r="O528" s="154">
        <v>24</v>
      </c>
      <c r="P528" s="154" t="s">
        <v>940</v>
      </c>
      <c r="Q528" s="154">
        <v>21</v>
      </c>
      <c r="R528" s="154" t="s">
        <v>942</v>
      </c>
      <c r="S528" s="151">
        <v>23</v>
      </c>
      <c r="T528" s="45" t="s">
        <v>1592</v>
      </c>
      <c r="U528" s="45" t="s">
        <v>1594</v>
      </c>
      <c r="V528" s="45" t="s">
        <v>1363</v>
      </c>
      <c r="W528" s="45" t="s">
        <v>1364</v>
      </c>
      <c r="X528" s="98">
        <v>44805</v>
      </c>
      <c r="Y528" s="98">
        <v>45169</v>
      </c>
      <c r="Z528" s="98"/>
      <c r="AA528" s="98"/>
      <c r="AB528" s="41" t="s">
        <v>1113</v>
      </c>
      <c r="AC528" s="41"/>
      <c r="AD528" s="42" t="s">
        <v>734</v>
      </c>
      <c r="AE528" s="42" t="s">
        <v>734</v>
      </c>
      <c r="AF528" s="42" t="s">
        <v>734</v>
      </c>
      <c r="AG528" s="42"/>
      <c r="AH528" s="42" t="s">
        <v>734</v>
      </c>
      <c r="AI528" s="42" t="s">
        <v>734</v>
      </c>
      <c r="AJ528" s="42" t="s">
        <v>734</v>
      </c>
      <c r="AK528" s="42" t="s">
        <v>734</v>
      </c>
      <c r="AL528" s="42" t="s">
        <v>734</v>
      </c>
      <c r="AM528" s="42"/>
      <c r="AN528" s="42"/>
      <c r="AO528" s="42"/>
      <c r="AP528" s="42"/>
      <c r="AQ528" s="42"/>
      <c r="AR528" s="42"/>
      <c r="AS528" s="42"/>
      <c r="AT528" s="42"/>
      <c r="AU528" s="42"/>
      <c r="AV528" s="42"/>
      <c r="AW528" s="42"/>
      <c r="AX528" s="68">
        <v>24.27</v>
      </c>
      <c r="BA528" s="68"/>
      <c r="BB528" s="68"/>
      <c r="BD528" s="67">
        <f t="shared" si="188"/>
        <v>6116.04</v>
      </c>
      <c r="BE528" s="67"/>
      <c r="BF528" s="37"/>
      <c r="BG528" s="73">
        <v>1</v>
      </c>
      <c r="BH528" s="67">
        <f t="shared" si="189"/>
        <v>7.73</v>
      </c>
      <c r="BI528" s="67">
        <f t="shared" si="190"/>
        <v>0</v>
      </c>
      <c r="BJ528" s="67">
        <f t="shared" si="191"/>
        <v>1947.96</v>
      </c>
      <c r="BN528" s="37"/>
      <c r="BO528" s="70">
        <f t="shared" si="179"/>
        <v>0</v>
      </c>
      <c r="BP528" s="37">
        <v>22</v>
      </c>
      <c r="BQ528" s="37">
        <v>21</v>
      </c>
      <c r="BR528" s="37">
        <v>21</v>
      </c>
      <c r="BS528" s="37">
        <v>20</v>
      </c>
      <c r="BT528" s="87">
        <f t="shared" si="180"/>
        <v>32</v>
      </c>
      <c r="BU528" s="87"/>
      <c r="BV528" s="87"/>
      <c r="BW528" s="87"/>
      <c r="BX528" s="87"/>
      <c r="BY528" s="87"/>
      <c r="BZ528" s="87"/>
      <c r="CA528" s="87"/>
      <c r="CB528" s="87"/>
      <c r="CC528" s="87"/>
      <c r="CD528" s="87"/>
      <c r="CF528" s="67">
        <f t="shared" si="181"/>
        <v>704</v>
      </c>
      <c r="CG528" s="67">
        <f t="shared" si="182"/>
        <v>672</v>
      </c>
      <c r="CH528" s="67">
        <f t="shared" si="159"/>
        <v>672</v>
      </c>
      <c r="CI528" s="67">
        <f t="shared" si="187"/>
        <v>640</v>
      </c>
      <c r="CJ528" s="37">
        <f t="shared" si="183"/>
        <v>352</v>
      </c>
      <c r="CK528" s="37">
        <f t="shared" si="184"/>
        <v>336</v>
      </c>
      <c r="CL528" s="37">
        <f t="shared" si="185"/>
        <v>336</v>
      </c>
      <c r="CM528" s="37">
        <f t="shared" si="186"/>
        <v>320</v>
      </c>
    </row>
    <row r="529" spans="1:91" ht="33.75">
      <c r="B529" s="156">
        <v>517</v>
      </c>
      <c r="C529" s="169">
        <v>301</v>
      </c>
      <c r="D529" s="169">
        <v>169</v>
      </c>
      <c r="E529" s="170">
        <v>0.21319444444444444</v>
      </c>
      <c r="F529" s="170">
        <v>0.24513888888888888</v>
      </c>
      <c r="G529" s="171" t="s">
        <v>11</v>
      </c>
      <c r="H529" s="160" t="s">
        <v>103</v>
      </c>
      <c r="I529" s="169">
        <v>28</v>
      </c>
      <c r="J529" s="172">
        <v>30</v>
      </c>
      <c r="K529" s="165">
        <v>174</v>
      </c>
      <c r="L529" s="166">
        <f t="shared" si="155"/>
        <v>4872</v>
      </c>
      <c r="M529" s="167" t="s">
        <v>757</v>
      </c>
      <c r="N529" s="154" t="s">
        <v>848</v>
      </c>
      <c r="O529" s="154">
        <v>31</v>
      </c>
      <c r="P529" s="154" t="s">
        <v>1283</v>
      </c>
      <c r="Q529" s="154">
        <v>29</v>
      </c>
      <c r="R529" s="154"/>
      <c r="S529" s="154"/>
      <c r="T529" s="45" t="s">
        <v>1595</v>
      </c>
      <c r="U529" s="45" t="s">
        <v>1596</v>
      </c>
      <c r="V529" s="45">
        <v>1</v>
      </c>
      <c r="W529" s="45" t="s">
        <v>1339</v>
      </c>
      <c r="X529" s="98">
        <v>44816</v>
      </c>
      <c r="Y529" s="98">
        <v>45086</v>
      </c>
      <c r="Z529" s="98"/>
      <c r="AA529" s="98"/>
      <c r="AB529" s="41" t="s">
        <v>1114</v>
      </c>
      <c r="AC529" s="41"/>
      <c r="AD529" s="42"/>
      <c r="AE529" s="42"/>
      <c r="AF529" s="42"/>
      <c r="AG529" s="42" t="s">
        <v>734</v>
      </c>
      <c r="AH529" s="42" t="s">
        <v>734</v>
      </c>
      <c r="AI529" s="42" t="s">
        <v>734</v>
      </c>
      <c r="AJ529" s="42" t="s">
        <v>734</v>
      </c>
      <c r="AK529" s="42" t="s">
        <v>734</v>
      </c>
      <c r="AL529" s="42" t="s">
        <v>734</v>
      </c>
      <c r="AM529" s="42"/>
      <c r="AN529" s="42"/>
      <c r="AO529" s="42"/>
      <c r="AP529" s="42"/>
      <c r="AQ529" s="42"/>
      <c r="AR529" s="42"/>
      <c r="AS529" s="42"/>
      <c r="AT529" s="42"/>
      <c r="AU529" s="42"/>
      <c r="AV529" s="42"/>
      <c r="AW529" s="42"/>
      <c r="AY529" s="67">
        <f>165/2</f>
        <v>82.5</v>
      </c>
      <c r="BD529" s="67">
        <f t="shared" si="188"/>
        <v>0</v>
      </c>
      <c r="BE529" s="67">
        <f>AY529*K529</f>
        <v>14355</v>
      </c>
      <c r="BF529" s="37"/>
      <c r="BG529" s="73">
        <v>1</v>
      </c>
      <c r="BI529" s="67"/>
      <c r="BJ529" s="37"/>
      <c r="BK529" s="67">
        <f>IF(AND((AY529/I529)&lt;2,BG529=1),(I529*2)-AY529,0)</f>
        <v>0</v>
      </c>
      <c r="BL529" s="67">
        <f>IF(AND((AY529/I529)&lt;3,BG529=2),(I529*3)-AY529,0)</f>
        <v>0</v>
      </c>
      <c r="BM529" s="70">
        <f>(BK529+BL529)*K529</f>
        <v>0</v>
      </c>
      <c r="BN529" s="67">
        <f t="shared" ref="BN529:BN535" si="192">IF((AX529+AY529+AZ529)&lt;20,(20-(AX529+AY529+AZ529)),0)</f>
        <v>0</v>
      </c>
      <c r="BO529" s="70">
        <f t="shared" si="179"/>
        <v>0</v>
      </c>
      <c r="BP529" s="37">
        <v>15</v>
      </c>
      <c r="BQ529" s="37">
        <v>20</v>
      </c>
      <c r="BR529" s="37">
        <v>21</v>
      </c>
      <c r="BS529" s="37">
        <v>15</v>
      </c>
      <c r="BT529" s="87">
        <f t="shared" si="180"/>
        <v>82.5</v>
      </c>
      <c r="BU529" s="87"/>
      <c r="BV529" s="87"/>
      <c r="BW529" s="87"/>
      <c r="BX529" s="87"/>
      <c r="BY529" s="87"/>
      <c r="BZ529" s="87"/>
      <c r="CA529" s="87"/>
      <c r="CB529" s="87"/>
      <c r="CC529" s="87"/>
      <c r="CD529" s="87"/>
      <c r="CF529" s="67">
        <f t="shared" si="181"/>
        <v>1237.5</v>
      </c>
      <c r="CG529" s="67">
        <f t="shared" si="182"/>
        <v>1650</v>
      </c>
      <c r="CH529" s="67">
        <f t="shared" si="159"/>
        <v>1732.5</v>
      </c>
      <c r="CI529" s="67">
        <f t="shared" si="187"/>
        <v>1237.5</v>
      </c>
      <c r="CJ529" s="37">
        <f t="shared" si="183"/>
        <v>420</v>
      </c>
      <c r="CK529" s="37">
        <f t="shared" si="184"/>
        <v>560</v>
      </c>
      <c r="CL529" s="37">
        <f t="shared" si="185"/>
        <v>588</v>
      </c>
      <c r="CM529" s="37">
        <f t="shared" si="186"/>
        <v>420</v>
      </c>
    </row>
    <row r="530" spans="1:91" ht="33.75">
      <c r="B530" s="156">
        <v>518</v>
      </c>
      <c r="C530" s="169">
        <v>301</v>
      </c>
      <c r="D530" s="169">
        <v>354</v>
      </c>
      <c r="E530" s="170">
        <v>0.24791666666666667</v>
      </c>
      <c r="F530" s="170">
        <v>0.27986111111111112</v>
      </c>
      <c r="G530" s="171" t="s">
        <v>10</v>
      </c>
      <c r="H530" s="160" t="s">
        <v>103</v>
      </c>
      <c r="I530" s="169">
        <v>28</v>
      </c>
      <c r="J530" s="172">
        <v>30</v>
      </c>
      <c r="K530" s="165">
        <v>174</v>
      </c>
      <c r="L530" s="166">
        <f t="shared" si="155"/>
        <v>4872</v>
      </c>
      <c r="M530" s="167" t="s">
        <v>757</v>
      </c>
      <c r="N530" s="154" t="s">
        <v>848</v>
      </c>
      <c r="O530" s="154">
        <v>31</v>
      </c>
      <c r="P530" s="154" t="s">
        <v>1283</v>
      </c>
      <c r="Q530" s="154">
        <v>29</v>
      </c>
      <c r="R530" s="154"/>
      <c r="S530" s="154"/>
      <c r="T530" s="45">
        <v>1</v>
      </c>
      <c r="U530" s="45" t="s">
        <v>1336</v>
      </c>
      <c r="V530" s="45" t="s">
        <v>1597</v>
      </c>
      <c r="W530" s="45" t="s">
        <v>1596</v>
      </c>
      <c r="X530" s="98">
        <v>44816</v>
      </c>
      <c r="Y530" s="98">
        <v>45086</v>
      </c>
      <c r="Z530" s="98"/>
      <c r="AA530" s="98"/>
      <c r="AB530" s="41" t="s">
        <v>1114</v>
      </c>
      <c r="AC530" s="41"/>
      <c r="AD530" s="42"/>
      <c r="AE530" s="42"/>
      <c r="AF530" s="42"/>
      <c r="AG530" s="42" t="s">
        <v>734</v>
      </c>
      <c r="AH530" s="42" t="s">
        <v>734</v>
      </c>
      <c r="AI530" s="42" t="s">
        <v>734</v>
      </c>
      <c r="AJ530" s="42" t="s">
        <v>734</v>
      </c>
      <c r="AK530" s="42" t="s">
        <v>734</v>
      </c>
      <c r="AL530" s="42" t="s">
        <v>734</v>
      </c>
      <c r="AM530" s="42"/>
      <c r="AN530" s="42"/>
      <c r="AO530" s="42"/>
      <c r="AP530" s="42"/>
      <c r="AQ530" s="42"/>
      <c r="AR530" s="42"/>
      <c r="AS530" s="42"/>
      <c r="AT530" s="42"/>
      <c r="AU530" s="42"/>
      <c r="AV530" s="42"/>
      <c r="AW530" s="42"/>
      <c r="AY530" s="67">
        <f>165/2</f>
        <v>82.5</v>
      </c>
      <c r="BD530" s="67">
        <f t="shared" si="188"/>
        <v>0</v>
      </c>
      <c r="BE530" s="67">
        <f>AY530*K530</f>
        <v>14355</v>
      </c>
      <c r="BF530" s="37"/>
      <c r="BG530" s="73">
        <v>1</v>
      </c>
      <c r="BI530" s="67"/>
      <c r="BJ530" s="37"/>
      <c r="BK530" s="67">
        <f>IF(AND((AY530/I530)&lt;2,BG530=1),(I530*2)-AY530,0)</f>
        <v>0</v>
      </c>
      <c r="BL530" s="67">
        <f>IF(AND((AY530/I530)&lt;3,BG530=2),(I530*3)-AY530,0)</f>
        <v>0</v>
      </c>
      <c r="BM530" s="70">
        <f>(BK530+BL530)*K530</f>
        <v>0</v>
      </c>
      <c r="BN530" s="67">
        <f t="shared" si="192"/>
        <v>0</v>
      </c>
      <c r="BO530" s="70">
        <f t="shared" si="179"/>
        <v>0</v>
      </c>
      <c r="BP530" s="37">
        <v>15</v>
      </c>
      <c r="BQ530" s="37">
        <v>20</v>
      </c>
      <c r="BR530" s="37">
        <v>21</v>
      </c>
      <c r="BS530" s="37">
        <v>15</v>
      </c>
      <c r="BT530" s="87">
        <f t="shared" si="180"/>
        <v>82.5</v>
      </c>
      <c r="BU530" s="87"/>
      <c r="BV530" s="87"/>
      <c r="BW530" s="87"/>
      <c r="BX530" s="87"/>
      <c r="BY530" s="87"/>
      <c r="BZ530" s="87"/>
      <c r="CA530" s="87"/>
      <c r="CB530" s="87"/>
      <c r="CC530" s="87"/>
      <c r="CD530" s="87"/>
      <c r="CF530" s="67">
        <f t="shared" si="181"/>
        <v>1237.5</v>
      </c>
      <c r="CG530" s="67">
        <f t="shared" si="182"/>
        <v>1650</v>
      </c>
      <c r="CH530" s="67">
        <f t="shared" si="159"/>
        <v>1732.5</v>
      </c>
      <c r="CI530" s="67">
        <f>(BS530*BT530)+(CB530*CD530)</f>
        <v>1237.5</v>
      </c>
      <c r="CJ530" s="37">
        <f t="shared" si="183"/>
        <v>420</v>
      </c>
      <c r="CK530" s="37">
        <f t="shared" si="184"/>
        <v>560</v>
      </c>
      <c r="CL530" s="37">
        <f t="shared" si="185"/>
        <v>588</v>
      </c>
      <c r="CM530" s="37">
        <f t="shared" si="186"/>
        <v>420</v>
      </c>
    </row>
    <row r="531" spans="1:91" ht="33.75">
      <c r="A531" s="178" t="s">
        <v>1874</v>
      </c>
      <c r="B531" s="156">
        <v>519</v>
      </c>
      <c r="C531" s="192">
        <v>301</v>
      </c>
      <c r="D531" s="197">
        <v>815</v>
      </c>
      <c r="E531" s="193">
        <v>0.81180555555555556</v>
      </c>
      <c r="F531" s="193">
        <v>0.84652777777777777</v>
      </c>
      <c r="G531" s="194" t="s">
        <v>11</v>
      </c>
      <c r="H531" s="174" t="s">
        <v>1079</v>
      </c>
      <c r="I531" s="192">
        <v>27</v>
      </c>
      <c r="J531" s="195">
        <v>50</v>
      </c>
      <c r="K531" s="203">
        <v>202</v>
      </c>
      <c r="L531" s="166">
        <f>+K531*I531</f>
        <v>5454</v>
      </c>
      <c r="M531" s="167" t="s">
        <v>1081</v>
      </c>
      <c r="R531" s="3" t="s">
        <v>1278</v>
      </c>
      <c r="S531" s="152">
        <v>55</v>
      </c>
      <c r="T531" s="45" t="s">
        <v>1595</v>
      </c>
      <c r="U531" s="45" t="s">
        <v>1596</v>
      </c>
      <c r="V531" s="45">
        <v>1</v>
      </c>
      <c r="W531" s="45" t="s">
        <v>1339</v>
      </c>
      <c r="X531" s="99">
        <v>44816</v>
      </c>
      <c r="Y531" s="99">
        <v>45100</v>
      </c>
      <c r="Z531" s="99"/>
      <c r="AA531" s="99"/>
      <c r="AB531" s="42" t="s">
        <v>1120</v>
      </c>
      <c r="AC531" s="42"/>
      <c r="AD531" s="42" t="s">
        <v>734</v>
      </c>
      <c r="AE531" s="42"/>
      <c r="AF531" s="42" t="s">
        <v>734</v>
      </c>
      <c r="AG531" s="42"/>
      <c r="AH531" s="42" t="s">
        <v>734</v>
      </c>
      <c r="AI531" s="42" t="s">
        <v>734</v>
      </c>
      <c r="AJ531" s="42" t="s">
        <v>734</v>
      </c>
      <c r="AK531" s="42" t="s">
        <v>734</v>
      </c>
      <c r="AL531" s="42" t="s">
        <v>734</v>
      </c>
      <c r="AM531" s="42"/>
      <c r="AN531" s="42"/>
      <c r="AO531" s="42"/>
      <c r="AP531" s="42"/>
      <c r="AQ531" s="42"/>
      <c r="AR531" s="42"/>
      <c r="AS531" s="42"/>
      <c r="AT531" s="42"/>
      <c r="AU531" s="42"/>
      <c r="AV531" s="42"/>
      <c r="AW531" s="42"/>
      <c r="AX531" s="68"/>
      <c r="AZ531" s="67">
        <f>3*I531</f>
        <v>81</v>
      </c>
      <c r="BA531" s="68"/>
      <c r="BB531" s="68"/>
      <c r="BF531" s="67">
        <f>AZ531*K531</f>
        <v>16362</v>
      </c>
      <c r="BG531" s="69">
        <v>2</v>
      </c>
      <c r="BH531" s="73"/>
      <c r="BI531" s="79"/>
      <c r="BJ531" s="73"/>
      <c r="BK531" s="73"/>
      <c r="BL531" s="73"/>
      <c r="BM531" s="73"/>
      <c r="BN531" s="37"/>
      <c r="BO531" s="70">
        <f>BN531*K531</f>
        <v>0</v>
      </c>
      <c r="BP531" s="37">
        <v>15</v>
      </c>
      <c r="BQ531" s="37">
        <v>21</v>
      </c>
      <c r="BR531" s="37">
        <v>21</v>
      </c>
      <c r="BS531" s="37">
        <v>20</v>
      </c>
      <c r="BT531" s="87">
        <f>SUM(AX531:AZ531)+SUM(BH531:BI531)+SUM(BK531:BL531)+BN531</f>
        <v>81</v>
      </c>
      <c r="BU531" s="87"/>
      <c r="BV531" s="87"/>
      <c r="BW531" s="87"/>
      <c r="BX531" s="87"/>
      <c r="BY531" s="87"/>
      <c r="BZ531" s="87"/>
      <c r="CA531" s="87"/>
      <c r="CB531" s="87"/>
      <c r="CC531" s="87"/>
      <c r="CD531" s="87"/>
      <c r="CE531" s="131">
        <v>69</v>
      </c>
      <c r="CF531" s="130">
        <f>((BT531+CE531)*BP531)+(BV531*CD531)</f>
        <v>2250</v>
      </c>
      <c r="CG531" s="130">
        <f>(BT531*BQ531)+(BQ531*(CD531+CE531))</f>
        <v>3150</v>
      </c>
      <c r="CH531" s="130">
        <f>(BR531*BT531)+(BR531*CE531)</f>
        <v>3150</v>
      </c>
      <c r="CI531" s="277">
        <f>(BS531*BT531)+(BS531*CE531)</f>
        <v>3000</v>
      </c>
      <c r="CJ531" s="37">
        <f t="shared" si="183"/>
        <v>405</v>
      </c>
      <c r="CK531" s="37">
        <f t="shared" si="184"/>
        <v>567</v>
      </c>
      <c r="CL531" s="37">
        <f t="shared" si="185"/>
        <v>567</v>
      </c>
      <c r="CM531" s="37">
        <f t="shared" si="186"/>
        <v>540</v>
      </c>
    </row>
    <row r="532" spans="1:91" ht="25.5">
      <c r="B532" s="156">
        <v>520</v>
      </c>
      <c r="C532" s="160">
        <v>302</v>
      </c>
      <c r="D532" s="160">
        <v>473</v>
      </c>
      <c r="E532" s="161">
        <v>0.26597222222222222</v>
      </c>
      <c r="F532" s="161">
        <v>0.2722222222222222</v>
      </c>
      <c r="G532" s="160" t="s">
        <v>289</v>
      </c>
      <c r="H532" s="160" t="s">
        <v>97</v>
      </c>
      <c r="I532" s="163">
        <v>3</v>
      </c>
      <c r="J532" s="164" t="s">
        <v>93</v>
      </c>
      <c r="K532" s="165">
        <v>208</v>
      </c>
      <c r="L532" s="166">
        <f t="shared" si="155"/>
        <v>624</v>
      </c>
      <c r="M532" s="167" t="s">
        <v>719</v>
      </c>
      <c r="N532" s="150" t="s">
        <v>900</v>
      </c>
      <c r="O532" s="150">
        <v>20</v>
      </c>
      <c r="P532" s="150" t="s">
        <v>1933</v>
      </c>
      <c r="Q532" s="150">
        <v>17</v>
      </c>
      <c r="R532" s="150" t="s">
        <v>1279</v>
      </c>
      <c r="S532" s="151">
        <v>24</v>
      </c>
      <c r="T532" s="45">
        <v>3677</v>
      </c>
      <c r="U532" s="45" t="s">
        <v>1598</v>
      </c>
      <c r="V532" s="45" t="s">
        <v>1599</v>
      </c>
      <c r="W532" s="45" t="s">
        <v>1600</v>
      </c>
      <c r="X532" s="98">
        <v>44816</v>
      </c>
      <c r="Y532" s="98">
        <v>45086</v>
      </c>
      <c r="Z532" s="98"/>
      <c r="AA532" s="98"/>
      <c r="AB532" s="41" t="s">
        <v>1118</v>
      </c>
      <c r="AC532" s="41"/>
      <c r="AD532" s="42"/>
      <c r="AE532" s="42"/>
      <c r="AF532" s="42"/>
      <c r="AG532" s="42" t="s">
        <v>734</v>
      </c>
      <c r="AH532" s="42" t="s">
        <v>734</v>
      </c>
      <c r="AI532" s="42" t="s">
        <v>734</v>
      </c>
      <c r="AJ532" s="42" t="s">
        <v>734</v>
      </c>
      <c r="AK532" s="42" t="s">
        <v>734</v>
      </c>
      <c r="AL532" s="42" t="s">
        <v>734</v>
      </c>
      <c r="AM532" s="42" t="s">
        <v>734</v>
      </c>
      <c r="AN532" s="42"/>
      <c r="AO532" s="42"/>
      <c r="AP532" s="42"/>
      <c r="AQ532" s="42"/>
      <c r="AR532" s="42"/>
      <c r="AS532" s="42"/>
      <c r="AT532" s="42"/>
      <c r="AU532" s="42"/>
      <c r="AV532" s="42"/>
      <c r="AW532" s="42"/>
      <c r="AX532" s="68">
        <v>10</v>
      </c>
      <c r="BA532" s="68"/>
      <c r="BB532" s="68"/>
      <c r="BD532" s="67">
        <f t="shared" si="188"/>
        <v>2080</v>
      </c>
      <c r="BE532" s="67"/>
      <c r="BF532" s="37"/>
      <c r="BG532" s="73">
        <v>1</v>
      </c>
      <c r="BH532" s="67">
        <f t="shared" ref="BH532:BH564" si="193">IF(AND((AX532/I532)&lt;2,BG532=1),(I532*2)-AX532,0)</f>
        <v>0</v>
      </c>
      <c r="BI532" s="67">
        <f t="shared" ref="BI532:BI564" si="194">IF(AND((AX532/I532)&lt;3,BG532=2),(I532*3)-AX532,0)</f>
        <v>0</v>
      </c>
      <c r="BJ532" s="70">
        <f t="shared" ref="BJ532:BJ564" si="195">(BH532+BI532)*K532</f>
        <v>0</v>
      </c>
      <c r="BN532" s="67">
        <f t="shared" si="192"/>
        <v>10</v>
      </c>
      <c r="BO532" s="70">
        <f t="shared" si="179"/>
        <v>2080</v>
      </c>
      <c r="BP532" s="37">
        <v>17</v>
      </c>
      <c r="BQ532" s="37">
        <v>25</v>
      </c>
      <c r="BR532" s="37">
        <v>25</v>
      </c>
      <c r="BS532" s="37">
        <v>18</v>
      </c>
      <c r="BT532" s="87">
        <f t="shared" si="180"/>
        <v>20</v>
      </c>
      <c r="BU532" s="87"/>
      <c r="BV532" s="87"/>
      <c r="BW532" s="87"/>
      <c r="BX532" s="87"/>
      <c r="BY532" s="87"/>
      <c r="BZ532" s="87"/>
      <c r="CA532" s="87"/>
      <c r="CB532" s="87"/>
      <c r="CC532" s="87"/>
      <c r="CD532" s="87"/>
      <c r="CF532" s="67">
        <f t="shared" si="181"/>
        <v>340</v>
      </c>
      <c r="CG532" s="67">
        <f t="shared" si="182"/>
        <v>500</v>
      </c>
      <c r="CH532" s="67">
        <f t="shared" si="159"/>
        <v>500</v>
      </c>
      <c r="CI532" s="67">
        <f t="shared" si="187"/>
        <v>360</v>
      </c>
      <c r="CJ532" s="37">
        <f t="shared" si="183"/>
        <v>51</v>
      </c>
      <c r="CK532" s="37">
        <f t="shared" si="184"/>
        <v>75</v>
      </c>
      <c r="CL532" s="37">
        <f t="shared" si="185"/>
        <v>75</v>
      </c>
      <c r="CM532" s="37">
        <f t="shared" si="186"/>
        <v>54</v>
      </c>
    </row>
    <row r="533" spans="1:91" ht="25.5">
      <c r="B533" s="156">
        <v>521</v>
      </c>
      <c r="C533" s="160">
        <v>302</v>
      </c>
      <c r="D533" s="160">
        <v>463</v>
      </c>
      <c r="E533" s="161">
        <v>0.28263888888888888</v>
      </c>
      <c r="F533" s="173">
        <v>0.28750000000000003</v>
      </c>
      <c r="G533" s="160" t="s">
        <v>289</v>
      </c>
      <c r="H533" s="160" t="s">
        <v>97</v>
      </c>
      <c r="I533" s="163">
        <v>3</v>
      </c>
      <c r="J533" s="164" t="s">
        <v>93</v>
      </c>
      <c r="K533" s="165">
        <v>208</v>
      </c>
      <c r="L533" s="166">
        <f t="shared" ref="L533:L596" si="196">+K533*I533</f>
        <v>624</v>
      </c>
      <c r="M533" s="167" t="s">
        <v>719</v>
      </c>
      <c r="N533" s="150" t="s">
        <v>900</v>
      </c>
      <c r="O533" s="150">
        <v>20</v>
      </c>
      <c r="P533" s="150" t="s">
        <v>1933</v>
      </c>
      <c r="Q533" s="150">
        <v>17</v>
      </c>
      <c r="R533" s="150" t="s">
        <v>1279</v>
      </c>
      <c r="S533" s="151">
        <v>24</v>
      </c>
      <c r="T533" s="45">
        <v>3677</v>
      </c>
      <c r="U533" s="45" t="s">
        <v>1598</v>
      </c>
      <c r="V533" s="45" t="s">
        <v>1599</v>
      </c>
      <c r="W533" s="45" t="s">
        <v>1600</v>
      </c>
      <c r="X533" s="98">
        <v>44816</v>
      </c>
      <c r="Y533" s="98">
        <v>45086</v>
      </c>
      <c r="Z533" s="98"/>
      <c r="AA533" s="98"/>
      <c r="AB533" s="41" t="s">
        <v>1118</v>
      </c>
      <c r="AC533" s="41"/>
      <c r="AD533" s="42"/>
      <c r="AE533" s="42"/>
      <c r="AF533" s="42"/>
      <c r="AG533" s="42" t="s">
        <v>734</v>
      </c>
      <c r="AH533" s="42" t="s">
        <v>734</v>
      </c>
      <c r="AI533" s="42" t="s">
        <v>734</v>
      </c>
      <c r="AJ533" s="42" t="s">
        <v>734</v>
      </c>
      <c r="AK533" s="42" t="s">
        <v>734</v>
      </c>
      <c r="AL533" s="42" t="s">
        <v>734</v>
      </c>
      <c r="AM533" s="42" t="s">
        <v>734</v>
      </c>
      <c r="AN533" s="42"/>
      <c r="AO533" s="42"/>
      <c r="AP533" s="42"/>
      <c r="AQ533" s="42"/>
      <c r="AR533" s="42"/>
      <c r="AS533" s="42"/>
      <c r="AT533" s="42"/>
      <c r="AU533" s="42"/>
      <c r="AV533" s="42"/>
      <c r="AW533" s="42"/>
      <c r="AX533" s="68">
        <v>19.41</v>
      </c>
      <c r="BA533" s="68"/>
      <c r="BB533" s="68"/>
      <c r="BD533" s="67">
        <f t="shared" si="188"/>
        <v>4037.28</v>
      </c>
      <c r="BE533" s="67"/>
      <c r="BF533" s="37"/>
      <c r="BG533" s="73">
        <v>1</v>
      </c>
      <c r="BH533" s="67">
        <f t="shared" si="193"/>
        <v>0</v>
      </c>
      <c r="BI533" s="67">
        <f t="shared" si="194"/>
        <v>0</v>
      </c>
      <c r="BJ533" s="70">
        <f t="shared" si="195"/>
        <v>0</v>
      </c>
      <c r="BN533" s="67">
        <f t="shared" si="192"/>
        <v>0.58999999999999986</v>
      </c>
      <c r="BO533" s="70">
        <f t="shared" si="179"/>
        <v>122.71999999999997</v>
      </c>
      <c r="BP533" s="37">
        <v>17</v>
      </c>
      <c r="BQ533" s="37">
        <v>25</v>
      </c>
      <c r="BR533" s="37">
        <v>25</v>
      </c>
      <c r="BS533" s="37">
        <v>18</v>
      </c>
      <c r="BT533" s="87">
        <f t="shared" si="180"/>
        <v>20</v>
      </c>
      <c r="BU533" s="87"/>
      <c r="BV533" s="87"/>
      <c r="BW533" s="87"/>
      <c r="BX533" s="87"/>
      <c r="BY533" s="87"/>
      <c r="BZ533" s="87"/>
      <c r="CA533" s="87"/>
      <c r="CB533" s="87"/>
      <c r="CC533" s="87"/>
      <c r="CD533" s="87"/>
      <c r="CF533" s="67">
        <f t="shared" si="181"/>
        <v>340</v>
      </c>
      <c r="CG533" s="67">
        <f t="shared" si="182"/>
        <v>500</v>
      </c>
      <c r="CH533" s="67">
        <f t="shared" ref="CH533:CH596" si="197">(BR533*BT533)+(BZ533*CD533)</f>
        <v>500</v>
      </c>
      <c r="CI533" s="67">
        <f t="shared" si="187"/>
        <v>360</v>
      </c>
      <c r="CJ533" s="37">
        <f t="shared" si="183"/>
        <v>51</v>
      </c>
      <c r="CK533" s="37">
        <f t="shared" si="184"/>
        <v>75</v>
      </c>
      <c r="CL533" s="37">
        <f t="shared" si="185"/>
        <v>75</v>
      </c>
      <c r="CM533" s="37">
        <f t="shared" si="186"/>
        <v>54</v>
      </c>
    </row>
    <row r="534" spans="1:91" ht="25.5">
      <c r="B534" s="156">
        <v>522</v>
      </c>
      <c r="C534" s="160">
        <v>302</v>
      </c>
      <c r="D534" s="160">
        <v>463</v>
      </c>
      <c r="E534" s="161">
        <v>0.28263888888888888</v>
      </c>
      <c r="F534" s="173">
        <v>0.28750000000000003</v>
      </c>
      <c r="G534" s="160" t="s">
        <v>289</v>
      </c>
      <c r="H534" s="160" t="s">
        <v>589</v>
      </c>
      <c r="I534" s="163">
        <v>3</v>
      </c>
      <c r="J534" s="164" t="s">
        <v>93</v>
      </c>
      <c r="K534" s="165">
        <v>29</v>
      </c>
      <c r="L534" s="166">
        <f t="shared" si="196"/>
        <v>87</v>
      </c>
      <c r="M534" s="167" t="s">
        <v>719</v>
      </c>
      <c r="N534" s="150" t="s">
        <v>900</v>
      </c>
      <c r="O534" s="150">
        <v>20</v>
      </c>
      <c r="P534" s="150" t="s">
        <v>1933</v>
      </c>
      <c r="Q534" s="150">
        <v>17</v>
      </c>
      <c r="R534" s="150" t="s">
        <v>1279</v>
      </c>
      <c r="S534" s="151">
        <v>24</v>
      </c>
      <c r="T534" s="45">
        <v>3677</v>
      </c>
      <c r="U534" s="45" t="s">
        <v>1598</v>
      </c>
      <c r="V534" s="45" t="s">
        <v>1599</v>
      </c>
      <c r="W534" s="45" t="s">
        <v>1600</v>
      </c>
      <c r="X534" s="99">
        <v>44816</v>
      </c>
      <c r="Y534" s="99">
        <v>45100</v>
      </c>
      <c r="Z534" s="99"/>
      <c r="AA534" s="99"/>
      <c r="AB534" s="41" t="s">
        <v>1122</v>
      </c>
      <c r="AC534" s="41"/>
      <c r="AD534" s="42" t="s">
        <v>734</v>
      </c>
      <c r="AE534" s="42"/>
      <c r="AF534" s="42" t="s">
        <v>734</v>
      </c>
      <c r="AG534" s="42"/>
      <c r="AH534" s="42"/>
      <c r="AI534" s="42"/>
      <c r="AJ534" s="42"/>
      <c r="AK534" s="42"/>
      <c r="AL534" s="42"/>
      <c r="AM534" s="42"/>
      <c r="AN534" s="42"/>
      <c r="AO534" s="42"/>
      <c r="AP534" s="42"/>
      <c r="AQ534" s="42"/>
      <c r="AR534" s="42" t="s">
        <v>734</v>
      </c>
      <c r="AS534" s="42" t="s">
        <v>734</v>
      </c>
      <c r="AT534" s="42" t="s">
        <v>734</v>
      </c>
      <c r="AU534" s="42" t="s">
        <v>734</v>
      </c>
      <c r="AV534" s="42" t="s">
        <v>734</v>
      </c>
      <c r="AW534" s="42" t="s">
        <v>734</v>
      </c>
      <c r="AX534" s="68">
        <v>19.41</v>
      </c>
      <c r="BA534" s="68"/>
      <c r="BB534" s="68"/>
      <c r="BD534" s="67">
        <f t="shared" si="188"/>
        <v>562.89</v>
      </c>
      <c r="BE534" s="67"/>
      <c r="BF534" s="37"/>
      <c r="BG534" s="73">
        <v>1</v>
      </c>
      <c r="BH534" s="67">
        <f t="shared" si="193"/>
        <v>0</v>
      </c>
      <c r="BI534" s="67">
        <f t="shared" si="194"/>
        <v>0</v>
      </c>
      <c r="BJ534" s="70">
        <f t="shared" si="195"/>
        <v>0</v>
      </c>
      <c r="BN534" s="67">
        <f t="shared" si="192"/>
        <v>0.58999999999999986</v>
      </c>
      <c r="BO534" s="70">
        <f t="shared" si="179"/>
        <v>17.109999999999996</v>
      </c>
      <c r="BP534" s="37">
        <v>0</v>
      </c>
      <c r="BQ534" s="37">
        <v>1</v>
      </c>
      <c r="BR534" s="37">
        <v>0</v>
      </c>
      <c r="BS534" s="37">
        <v>7</v>
      </c>
      <c r="BT534" s="87">
        <f t="shared" si="180"/>
        <v>20</v>
      </c>
      <c r="BU534" s="87"/>
      <c r="BV534" s="87"/>
      <c r="BW534" s="87"/>
      <c r="BX534" s="87"/>
      <c r="BY534" s="87"/>
      <c r="BZ534" s="87"/>
      <c r="CA534" s="87"/>
      <c r="CB534" s="87"/>
      <c r="CC534" s="87"/>
      <c r="CD534" s="87"/>
      <c r="CF534" s="67">
        <f t="shared" si="181"/>
        <v>0</v>
      </c>
      <c r="CG534" s="67">
        <f t="shared" si="182"/>
        <v>20</v>
      </c>
      <c r="CH534" s="67">
        <f t="shared" si="197"/>
        <v>0</v>
      </c>
      <c r="CI534" s="67">
        <f t="shared" si="187"/>
        <v>140</v>
      </c>
      <c r="CJ534" s="37">
        <f t="shared" si="183"/>
        <v>0</v>
      </c>
      <c r="CK534" s="37">
        <f t="shared" si="184"/>
        <v>3</v>
      </c>
      <c r="CL534" s="37">
        <f t="shared" si="185"/>
        <v>0</v>
      </c>
      <c r="CM534" s="37">
        <f t="shared" si="186"/>
        <v>21</v>
      </c>
    </row>
    <row r="535" spans="1:91" ht="25.5">
      <c r="B535" s="156">
        <v>523</v>
      </c>
      <c r="C535" s="160">
        <v>302</v>
      </c>
      <c r="D535" s="160">
        <v>463</v>
      </c>
      <c r="E535" s="161">
        <v>0.28472222222222221</v>
      </c>
      <c r="F535" s="161">
        <v>0.28958333333333336</v>
      </c>
      <c r="G535" s="160" t="s">
        <v>289</v>
      </c>
      <c r="H535" s="160" t="s">
        <v>425</v>
      </c>
      <c r="I535" s="163">
        <v>3</v>
      </c>
      <c r="J535" s="164" t="s">
        <v>93</v>
      </c>
      <c r="K535" s="165">
        <v>55</v>
      </c>
      <c r="L535" s="166">
        <f t="shared" si="196"/>
        <v>165</v>
      </c>
      <c r="M535" s="167" t="s">
        <v>719</v>
      </c>
      <c r="N535" s="150" t="s">
        <v>900</v>
      </c>
      <c r="O535" s="150">
        <v>20</v>
      </c>
      <c r="P535" s="150" t="s">
        <v>1933</v>
      </c>
      <c r="Q535" s="150">
        <v>17</v>
      </c>
      <c r="R535" s="150" t="s">
        <v>1279</v>
      </c>
      <c r="S535" s="151">
        <v>24</v>
      </c>
      <c r="T535" s="45">
        <v>3677</v>
      </c>
      <c r="U535" s="45" t="s">
        <v>1598</v>
      </c>
      <c r="V535" s="45" t="s">
        <v>1599</v>
      </c>
      <c r="W535" s="45" t="s">
        <v>1600</v>
      </c>
      <c r="X535" s="99">
        <v>44562</v>
      </c>
      <c r="Y535" s="99">
        <v>44815</v>
      </c>
      <c r="Z535" s="99">
        <v>45101</v>
      </c>
      <c r="AA535" s="99">
        <v>45169</v>
      </c>
      <c r="AB535" s="41" t="s">
        <v>1121</v>
      </c>
      <c r="AC535" s="41"/>
      <c r="AD535" s="42"/>
      <c r="AE535" s="42" t="s">
        <v>734</v>
      </c>
      <c r="AF535" s="42" t="s">
        <v>734</v>
      </c>
      <c r="AG535" s="42"/>
      <c r="AH535" s="42" t="s">
        <v>734</v>
      </c>
      <c r="AI535" s="42" t="s">
        <v>734</v>
      </c>
      <c r="AJ535" s="42" t="s">
        <v>734</v>
      </c>
      <c r="AK535" s="42" t="s">
        <v>734</v>
      </c>
      <c r="AL535" s="42" t="s">
        <v>734</v>
      </c>
      <c r="AM535" s="42"/>
      <c r="AN535" s="42"/>
      <c r="AO535" s="42"/>
      <c r="AP535" s="42"/>
      <c r="AQ535" s="42"/>
      <c r="AR535" s="42"/>
      <c r="AS535" s="42"/>
      <c r="AT535" s="42"/>
      <c r="AU535" s="42"/>
      <c r="AV535" s="42"/>
      <c r="AW535" s="42"/>
      <c r="AX535" s="68">
        <v>10</v>
      </c>
      <c r="BA535" s="68"/>
      <c r="BB535" s="68"/>
      <c r="BD535" s="67">
        <f t="shared" si="188"/>
        <v>550</v>
      </c>
      <c r="BE535" s="67"/>
      <c r="BF535" s="37"/>
      <c r="BG535" s="73">
        <v>1</v>
      </c>
      <c r="BH535" s="67">
        <f t="shared" si="193"/>
        <v>0</v>
      </c>
      <c r="BI535" s="67">
        <f t="shared" si="194"/>
        <v>0</v>
      </c>
      <c r="BJ535" s="70">
        <f t="shared" si="195"/>
        <v>0</v>
      </c>
      <c r="BN535" s="67">
        <f t="shared" si="192"/>
        <v>10</v>
      </c>
      <c r="BO535" s="70">
        <f t="shared" si="179"/>
        <v>550</v>
      </c>
      <c r="BP535" s="37">
        <v>7</v>
      </c>
      <c r="BQ535" s="37">
        <v>0</v>
      </c>
      <c r="BR535" s="37">
        <v>0</v>
      </c>
      <c r="BT535" s="87">
        <f t="shared" si="180"/>
        <v>20</v>
      </c>
      <c r="BU535" s="87"/>
      <c r="BV535" s="87"/>
      <c r="BW535" s="87"/>
      <c r="BX535" s="87"/>
      <c r="BY535" s="87"/>
      <c r="BZ535" s="87"/>
      <c r="CA535" s="87"/>
      <c r="CB535" s="87"/>
      <c r="CC535" s="87"/>
      <c r="CD535" s="87"/>
      <c r="CF535" s="67">
        <f t="shared" si="181"/>
        <v>140</v>
      </c>
      <c r="CG535" s="67">
        <f t="shared" si="182"/>
        <v>0</v>
      </c>
      <c r="CH535" s="67">
        <f t="shared" si="197"/>
        <v>0</v>
      </c>
      <c r="CI535" s="67">
        <f t="shared" si="187"/>
        <v>0</v>
      </c>
      <c r="CJ535" s="37">
        <f t="shared" si="183"/>
        <v>21</v>
      </c>
      <c r="CK535" s="37">
        <f t="shared" si="184"/>
        <v>0</v>
      </c>
      <c r="CL535" s="37">
        <f t="shared" si="185"/>
        <v>0</v>
      </c>
      <c r="CM535" s="37">
        <f t="shared" si="186"/>
        <v>0</v>
      </c>
    </row>
    <row r="536" spans="1:91" ht="25.5">
      <c r="B536" s="156">
        <v>524</v>
      </c>
      <c r="C536" s="160">
        <v>302</v>
      </c>
      <c r="D536" s="160">
        <v>465</v>
      </c>
      <c r="E536" s="161">
        <v>0.30902777777777779</v>
      </c>
      <c r="F536" s="161">
        <v>0.31388888888888888</v>
      </c>
      <c r="G536" s="160" t="s">
        <v>289</v>
      </c>
      <c r="H536" s="160" t="s">
        <v>97</v>
      </c>
      <c r="I536" s="163">
        <v>3</v>
      </c>
      <c r="J536" s="164" t="s">
        <v>93</v>
      </c>
      <c r="K536" s="165">
        <v>208</v>
      </c>
      <c r="L536" s="166">
        <f t="shared" si="196"/>
        <v>624</v>
      </c>
      <c r="M536" s="167" t="s">
        <v>719</v>
      </c>
      <c r="N536" s="150" t="s">
        <v>900</v>
      </c>
      <c r="O536" s="150">
        <v>20</v>
      </c>
      <c r="P536" s="150" t="s">
        <v>1933</v>
      </c>
      <c r="Q536" s="150">
        <v>17</v>
      </c>
      <c r="R536" s="150" t="s">
        <v>1279</v>
      </c>
      <c r="S536" s="151">
        <v>24</v>
      </c>
      <c r="T536" s="45">
        <v>3677</v>
      </c>
      <c r="U536" s="45" t="s">
        <v>1598</v>
      </c>
      <c r="V536" s="45" t="s">
        <v>1599</v>
      </c>
      <c r="W536" s="45" t="s">
        <v>1600</v>
      </c>
      <c r="X536" s="98">
        <v>44816</v>
      </c>
      <c r="Y536" s="98">
        <v>45086</v>
      </c>
      <c r="Z536" s="98"/>
      <c r="AA536" s="98"/>
      <c r="AB536" s="41" t="s">
        <v>1118</v>
      </c>
      <c r="AC536" s="41"/>
      <c r="AD536" s="42"/>
      <c r="AE536" s="42"/>
      <c r="AF536" s="42"/>
      <c r="AG536" s="42" t="s">
        <v>734</v>
      </c>
      <c r="AH536" s="42" t="s">
        <v>734</v>
      </c>
      <c r="AI536" s="42" t="s">
        <v>734</v>
      </c>
      <c r="AJ536" s="42" t="s">
        <v>734</v>
      </c>
      <c r="AK536" s="42" t="s">
        <v>734</v>
      </c>
      <c r="AL536" s="42" t="s">
        <v>734</v>
      </c>
      <c r="AM536" s="42" t="s">
        <v>734</v>
      </c>
      <c r="AN536" s="42"/>
      <c r="AO536" s="42"/>
      <c r="AP536" s="42"/>
      <c r="AQ536" s="42"/>
      <c r="AR536" s="42"/>
      <c r="AS536" s="42"/>
      <c r="AT536" s="42"/>
      <c r="AU536" s="42"/>
      <c r="AV536" s="42"/>
      <c r="AW536" s="42"/>
      <c r="AX536" s="68">
        <v>19.41</v>
      </c>
      <c r="BA536" s="68"/>
      <c r="BB536" s="68"/>
      <c r="BD536" s="67">
        <f t="shared" si="188"/>
        <v>4037.28</v>
      </c>
      <c r="BE536" s="67"/>
      <c r="BF536" s="37"/>
      <c r="BG536" s="73">
        <v>1</v>
      </c>
      <c r="BH536" s="67">
        <f t="shared" si="193"/>
        <v>0</v>
      </c>
      <c r="BI536" s="67">
        <f t="shared" si="194"/>
        <v>0</v>
      </c>
      <c r="BJ536" s="70">
        <f t="shared" si="195"/>
        <v>0</v>
      </c>
      <c r="BN536" s="37"/>
      <c r="BO536" s="70">
        <f t="shared" si="179"/>
        <v>0</v>
      </c>
      <c r="BP536" s="37">
        <v>17</v>
      </c>
      <c r="BQ536" s="37">
        <v>25</v>
      </c>
      <c r="BR536" s="37">
        <v>25</v>
      </c>
      <c r="BS536" s="37">
        <v>18</v>
      </c>
      <c r="BT536" s="87">
        <f t="shared" si="180"/>
        <v>19.41</v>
      </c>
      <c r="BU536" s="87"/>
      <c r="BV536" s="87"/>
      <c r="BW536" s="87"/>
      <c r="BX536" s="87"/>
      <c r="BY536" s="87"/>
      <c r="BZ536" s="87"/>
      <c r="CA536" s="87"/>
      <c r="CB536" s="87"/>
      <c r="CC536" s="87"/>
      <c r="CD536" s="87"/>
      <c r="CF536" s="67">
        <f t="shared" si="181"/>
        <v>329.97</v>
      </c>
      <c r="CG536" s="67">
        <f t="shared" si="182"/>
        <v>485.25</v>
      </c>
      <c r="CH536" s="67">
        <f t="shared" si="197"/>
        <v>485.25</v>
      </c>
      <c r="CI536" s="67">
        <f t="shared" si="187"/>
        <v>349.38</v>
      </c>
      <c r="CJ536" s="37">
        <f t="shared" si="183"/>
        <v>51</v>
      </c>
      <c r="CK536" s="37">
        <f t="shared" si="184"/>
        <v>75</v>
      </c>
      <c r="CL536" s="37">
        <f t="shared" si="185"/>
        <v>75</v>
      </c>
      <c r="CM536" s="37">
        <f t="shared" si="186"/>
        <v>54</v>
      </c>
    </row>
    <row r="537" spans="1:91" ht="25.5">
      <c r="B537" s="156">
        <v>525</v>
      </c>
      <c r="C537" s="160">
        <v>302</v>
      </c>
      <c r="D537" s="160">
        <v>465</v>
      </c>
      <c r="E537" s="161">
        <v>0.3125</v>
      </c>
      <c r="F537" s="161">
        <v>0.31736111111111115</v>
      </c>
      <c r="G537" s="160" t="s">
        <v>289</v>
      </c>
      <c r="H537" s="160" t="s">
        <v>290</v>
      </c>
      <c r="I537" s="163">
        <v>3</v>
      </c>
      <c r="J537" s="164" t="s">
        <v>93</v>
      </c>
      <c r="K537" s="165">
        <v>11</v>
      </c>
      <c r="L537" s="166">
        <f t="shared" si="196"/>
        <v>33</v>
      </c>
      <c r="M537" s="167" t="s">
        <v>719</v>
      </c>
      <c r="N537" s="150" t="s">
        <v>900</v>
      </c>
      <c r="O537" s="150">
        <v>20</v>
      </c>
      <c r="P537" s="150" t="s">
        <v>1933</v>
      </c>
      <c r="Q537" s="150">
        <v>17</v>
      </c>
      <c r="R537" s="150" t="s">
        <v>1279</v>
      </c>
      <c r="S537" s="151">
        <v>24</v>
      </c>
      <c r="T537" s="45">
        <v>3677</v>
      </c>
      <c r="U537" s="45" t="s">
        <v>1598</v>
      </c>
      <c r="V537" s="45" t="s">
        <v>1599</v>
      </c>
      <c r="W537" s="45" t="s">
        <v>1600</v>
      </c>
      <c r="X537" s="99">
        <v>44562</v>
      </c>
      <c r="Y537" s="99">
        <v>44815</v>
      </c>
      <c r="Z537" s="99">
        <v>45101</v>
      </c>
      <c r="AA537" s="99">
        <v>45169</v>
      </c>
      <c r="AB537" s="46" t="s">
        <v>1154</v>
      </c>
      <c r="AC537" s="46"/>
      <c r="AD537" s="42"/>
      <c r="AE537" s="42" t="s">
        <v>734</v>
      </c>
      <c r="AF537" s="42" t="s">
        <v>734</v>
      </c>
      <c r="AG537" s="42"/>
      <c r="AH537" s="42"/>
      <c r="AI537" s="42"/>
      <c r="AJ537" s="42"/>
      <c r="AK537" s="42" t="s">
        <v>734</v>
      </c>
      <c r="AL537" s="42"/>
      <c r="AM537" s="42"/>
      <c r="AN537" s="42"/>
      <c r="AO537" s="42"/>
      <c r="AP537" s="42"/>
      <c r="AQ537" s="42"/>
      <c r="AR537" s="42"/>
      <c r="AS537" s="42"/>
      <c r="AT537" s="42"/>
      <c r="AU537" s="42"/>
      <c r="AV537" s="42"/>
      <c r="AW537" s="42"/>
      <c r="AX537" s="68">
        <v>18</v>
      </c>
      <c r="BA537" s="68"/>
      <c r="BB537" s="68"/>
      <c r="BD537" s="67">
        <f t="shared" si="188"/>
        <v>198</v>
      </c>
      <c r="BE537" s="67"/>
      <c r="BF537" s="37"/>
      <c r="BG537" s="73">
        <v>1</v>
      </c>
      <c r="BH537" s="67">
        <f t="shared" si="193"/>
        <v>0</v>
      </c>
      <c r="BI537" s="67">
        <f t="shared" si="194"/>
        <v>0</v>
      </c>
      <c r="BJ537" s="70">
        <f t="shared" si="195"/>
        <v>0</v>
      </c>
      <c r="BN537" s="37"/>
      <c r="BO537" s="70">
        <f t="shared" si="179"/>
        <v>0</v>
      </c>
      <c r="BP537" s="37">
        <v>2</v>
      </c>
      <c r="BQ537" s="37">
        <v>0</v>
      </c>
      <c r="BR537" s="37">
        <v>0</v>
      </c>
      <c r="BS537" s="37">
        <v>0</v>
      </c>
      <c r="BT537" s="87">
        <f t="shared" si="180"/>
        <v>18</v>
      </c>
      <c r="BU537" s="87"/>
      <c r="BV537" s="87"/>
      <c r="BW537" s="87"/>
      <c r="BX537" s="87"/>
      <c r="BY537" s="87"/>
      <c r="BZ537" s="87"/>
      <c r="CA537" s="87"/>
      <c r="CB537" s="87"/>
      <c r="CC537" s="87"/>
      <c r="CD537" s="87"/>
      <c r="CF537" s="67">
        <f t="shared" si="181"/>
        <v>36</v>
      </c>
      <c r="CG537" s="67">
        <f t="shared" si="182"/>
        <v>0</v>
      </c>
      <c r="CH537" s="67">
        <f t="shared" si="197"/>
        <v>0</v>
      </c>
      <c r="CI537" s="67">
        <f t="shared" si="187"/>
        <v>0</v>
      </c>
      <c r="CJ537" s="37">
        <f t="shared" si="183"/>
        <v>6</v>
      </c>
      <c r="CK537" s="37">
        <f t="shared" si="184"/>
        <v>0</v>
      </c>
      <c r="CL537" s="37">
        <f t="shared" si="185"/>
        <v>0</v>
      </c>
      <c r="CM537" s="37">
        <f t="shared" si="186"/>
        <v>0</v>
      </c>
    </row>
    <row r="538" spans="1:91" ht="25.5">
      <c r="B538" s="156">
        <v>526</v>
      </c>
      <c r="C538" s="160">
        <v>302</v>
      </c>
      <c r="D538" s="160">
        <v>149</v>
      </c>
      <c r="E538" s="161">
        <v>0.3520833333333333</v>
      </c>
      <c r="F538" s="161">
        <v>0.38541666666666669</v>
      </c>
      <c r="G538" s="160" t="s">
        <v>449</v>
      </c>
      <c r="H538" s="160" t="s">
        <v>450</v>
      </c>
      <c r="I538" s="163">
        <v>25</v>
      </c>
      <c r="J538" s="164" t="s">
        <v>93</v>
      </c>
      <c r="K538" s="165">
        <v>47</v>
      </c>
      <c r="L538" s="166">
        <f t="shared" si="196"/>
        <v>1175</v>
      </c>
      <c r="M538" s="308" t="s">
        <v>2088</v>
      </c>
      <c r="N538" s="271" t="s">
        <v>2087</v>
      </c>
      <c r="O538" s="271">
        <v>23</v>
      </c>
      <c r="P538" s="150" t="s">
        <v>2085</v>
      </c>
      <c r="Q538" s="150">
        <v>24</v>
      </c>
      <c r="R538" s="150" t="s">
        <v>2086</v>
      </c>
      <c r="S538" s="150">
        <v>23</v>
      </c>
      <c r="T538" s="45">
        <v>3695</v>
      </c>
      <c r="U538" s="45" t="s">
        <v>1601</v>
      </c>
      <c r="V538" s="45">
        <v>1</v>
      </c>
      <c r="W538" s="45" t="s">
        <v>1339</v>
      </c>
      <c r="X538" s="99">
        <v>44816</v>
      </c>
      <c r="Y538" s="99">
        <v>45100</v>
      </c>
      <c r="Z538" s="99"/>
      <c r="AA538" s="99"/>
      <c r="AB538" s="42" t="s">
        <v>1115</v>
      </c>
      <c r="AC538" s="42"/>
      <c r="AD538" s="42" t="s">
        <v>734</v>
      </c>
      <c r="AE538" s="42"/>
      <c r="AF538" s="42"/>
      <c r="AG538" s="42"/>
      <c r="AH538" s="42"/>
      <c r="AI538" s="42"/>
      <c r="AJ538" s="42"/>
      <c r="AK538" s="42"/>
      <c r="AL538" s="42"/>
      <c r="AM538" s="42"/>
      <c r="AN538" s="42" t="s">
        <v>734</v>
      </c>
      <c r="AO538" s="42"/>
      <c r="AP538" s="42"/>
      <c r="AQ538" s="42"/>
      <c r="AR538" s="42"/>
      <c r="AS538" s="42"/>
      <c r="AT538" s="42"/>
      <c r="AU538" s="42"/>
      <c r="AV538" s="42"/>
      <c r="AW538" s="42"/>
      <c r="AX538" s="68">
        <v>75</v>
      </c>
      <c r="BA538" s="68"/>
      <c r="BB538" s="68"/>
      <c r="BD538" s="67">
        <f t="shared" si="188"/>
        <v>3525</v>
      </c>
      <c r="BE538" s="67"/>
      <c r="BF538" s="37"/>
      <c r="BG538" s="73">
        <v>1</v>
      </c>
      <c r="BH538" s="67">
        <f t="shared" si="193"/>
        <v>0</v>
      </c>
      <c r="BI538" s="67">
        <f t="shared" si="194"/>
        <v>0</v>
      </c>
      <c r="BJ538" s="70">
        <f t="shared" si="195"/>
        <v>0</v>
      </c>
      <c r="BN538" s="37"/>
      <c r="BO538" s="70">
        <f t="shared" si="179"/>
        <v>0</v>
      </c>
      <c r="BP538" s="37">
        <v>2</v>
      </c>
      <c r="BQ538" s="37">
        <v>5</v>
      </c>
      <c r="BR538" s="37">
        <v>5</v>
      </c>
      <c r="BS538" s="37">
        <v>6</v>
      </c>
      <c r="BT538" s="87">
        <f t="shared" si="180"/>
        <v>75</v>
      </c>
      <c r="BU538" s="87"/>
      <c r="BV538" s="87"/>
      <c r="BW538" s="87"/>
      <c r="BX538" s="87"/>
      <c r="BY538" s="87"/>
      <c r="BZ538" s="87"/>
      <c r="CA538" s="87"/>
      <c r="CB538" s="87"/>
      <c r="CC538" s="87"/>
      <c r="CD538" s="87"/>
      <c r="CF538" s="67">
        <f t="shared" si="181"/>
        <v>150</v>
      </c>
      <c r="CG538" s="67">
        <f t="shared" si="182"/>
        <v>375</v>
      </c>
      <c r="CH538" s="67">
        <f t="shared" si="197"/>
        <v>375</v>
      </c>
      <c r="CI538" s="67">
        <f t="shared" si="187"/>
        <v>450</v>
      </c>
      <c r="CJ538" s="37">
        <f t="shared" si="183"/>
        <v>50</v>
      </c>
      <c r="CK538" s="37">
        <f t="shared" si="184"/>
        <v>125</v>
      </c>
      <c r="CL538" s="37">
        <f t="shared" si="185"/>
        <v>125</v>
      </c>
      <c r="CM538" s="37">
        <f t="shared" si="186"/>
        <v>150</v>
      </c>
    </row>
    <row r="539" spans="1:91" ht="25.5">
      <c r="B539" s="156">
        <v>527</v>
      </c>
      <c r="C539" s="160">
        <v>302</v>
      </c>
      <c r="D539" s="160">
        <v>149</v>
      </c>
      <c r="E539" s="161">
        <v>0.3520833333333333</v>
      </c>
      <c r="F539" s="161">
        <v>0.38541666666666669</v>
      </c>
      <c r="G539" s="160" t="s">
        <v>629</v>
      </c>
      <c r="H539" s="160" t="s">
        <v>550</v>
      </c>
      <c r="I539" s="163">
        <v>25</v>
      </c>
      <c r="J539" s="164" t="s">
        <v>156</v>
      </c>
      <c r="K539" s="165">
        <v>13</v>
      </c>
      <c r="L539" s="166">
        <f t="shared" si="196"/>
        <v>325</v>
      </c>
      <c r="M539" s="308" t="s">
        <v>2088</v>
      </c>
      <c r="N539" s="271" t="s">
        <v>2087</v>
      </c>
      <c r="O539" s="271">
        <v>23</v>
      </c>
      <c r="P539" s="150" t="s">
        <v>2085</v>
      </c>
      <c r="Q539" s="150">
        <v>24</v>
      </c>
      <c r="R539" s="150" t="s">
        <v>2086</v>
      </c>
      <c r="S539" s="150">
        <v>23</v>
      </c>
      <c r="T539" s="45">
        <v>3695</v>
      </c>
      <c r="U539" s="45" t="s">
        <v>1601</v>
      </c>
      <c r="V539" s="45">
        <v>1</v>
      </c>
      <c r="W539" s="45" t="s">
        <v>1339</v>
      </c>
      <c r="X539" s="99">
        <v>44562</v>
      </c>
      <c r="Y539" s="99">
        <v>44815</v>
      </c>
      <c r="Z539" s="99">
        <v>45101</v>
      </c>
      <c r="AA539" s="99">
        <v>45169</v>
      </c>
      <c r="AB539" s="36" t="s">
        <v>1116</v>
      </c>
      <c r="AC539" s="36"/>
      <c r="AD539" s="42"/>
      <c r="AE539" s="42" t="s">
        <v>734</v>
      </c>
      <c r="AF539" s="42"/>
      <c r="AG539" s="42"/>
      <c r="AH539" s="42"/>
      <c r="AI539" s="42"/>
      <c r="AJ539" s="42"/>
      <c r="AK539" s="42"/>
      <c r="AL539" s="42"/>
      <c r="AM539" s="42"/>
      <c r="AN539" s="42" t="s">
        <v>734</v>
      </c>
      <c r="AO539" s="42"/>
      <c r="AP539" s="42"/>
      <c r="AQ539" s="42"/>
      <c r="AR539" s="42"/>
      <c r="AS539" s="42"/>
      <c r="AT539" s="42"/>
      <c r="AU539" s="42"/>
      <c r="AV539" s="42"/>
      <c r="AW539" s="42"/>
      <c r="AX539" s="68">
        <v>75</v>
      </c>
      <c r="BA539" s="68"/>
      <c r="BB539" s="68"/>
      <c r="BD539" s="67">
        <f t="shared" si="188"/>
        <v>975</v>
      </c>
      <c r="BE539" s="67"/>
      <c r="BF539" s="37"/>
      <c r="BG539" s="73">
        <v>1</v>
      </c>
      <c r="BH539" s="67">
        <f t="shared" si="193"/>
        <v>0</v>
      </c>
      <c r="BI539" s="67">
        <f t="shared" si="194"/>
        <v>0</v>
      </c>
      <c r="BJ539" s="70">
        <f t="shared" si="195"/>
        <v>0</v>
      </c>
      <c r="BN539" s="37"/>
      <c r="BO539" s="70">
        <f t="shared" si="179"/>
        <v>0</v>
      </c>
      <c r="BP539" s="37">
        <v>2</v>
      </c>
      <c r="BQ539" s="37">
        <v>0</v>
      </c>
      <c r="BR539" s="37">
        <v>0</v>
      </c>
      <c r="BT539" s="87">
        <f t="shared" si="180"/>
        <v>75</v>
      </c>
      <c r="BU539" s="87"/>
      <c r="BV539" s="87"/>
      <c r="BW539" s="87"/>
      <c r="BX539" s="87"/>
      <c r="BY539" s="87"/>
      <c r="BZ539" s="87"/>
      <c r="CA539" s="87"/>
      <c r="CB539" s="87"/>
      <c r="CC539" s="87"/>
      <c r="CD539" s="87"/>
      <c r="CF539" s="67">
        <f t="shared" si="181"/>
        <v>150</v>
      </c>
      <c r="CG539" s="67">
        <f t="shared" si="182"/>
        <v>0</v>
      </c>
      <c r="CH539" s="67">
        <f t="shared" si="197"/>
        <v>0</v>
      </c>
      <c r="CI539" s="67">
        <f t="shared" si="187"/>
        <v>0</v>
      </c>
      <c r="CJ539" s="37">
        <f t="shared" si="183"/>
        <v>50</v>
      </c>
      <c r="CK539" s="37">
        <f t="shared" si="184"/>
        <v>0</v>
      </c>
      <c r="CL539" s="37">
        <f t="shared" si="185"/>
        <v>0</v>
      </c>
      <c r="CM539" s="37">
        <f t="shared" si="186"/>
        <v>0</v>
      </c>
    </row>
    <row r="540" spans="1:91" ht="45">
      <c r="B540" s="156">
        <v>528</v>
      </c>
      <c r="C540" s="160">
        <v>302</v>
      </c>
      <c r="D540" s="160">
        <v>154</v>
      </c>
      <c r="E540" s="161">
        <v>0.49374999999999997</v>
      </c>
      <c r="F540" s="173">
        <v>0.50972222222222219</v>
      </c>
      <c r="G540" s="160" t="s">
        <v>162</v>
      </c>
      <c r="H540" s="160" t="s">
        <v>479</v>
      </c>
      <c r="I540" s="163">
        <v>12</v>
      </c>
      <c r="J540" s="164" t="s">
        <v>156</v>
      </c>
      <c r="K540" s="165">
        <v>240</v>
      </c>
      <c r="L540" s="166">
        <f t="shared" si="196"/>
        <v>2880</v>
      </c>
      <c r="M540" s="308" t="s">
        <v>2088</v>
      </c>
      <c r="N540" s="271" t="s">
        <v>2087</v>
      </c>
      <c r="O540" s="271">
        <v>23</v>
      </c>
      <c r="P540" s="150" t="s">
        <v>2085</v>
      </c>
      <c r="Q540" s="150">
        <v>24</v>
      </c>
      <c r="R540" s="150" t="s">
        <v>2089</v>
      </c>
      <c r="S540" s="150" t="s">
        <v>2090</v>
      </c>
      <c r="T540" s="45">
        <v>3640</v>
      </c>
      <c r="U540" s="45" t="s">
        <v>1602</v>
      </c>
      <c r="V540" s="45">
        <v>3695</v>
      </c>
      <c r="W540" s="45" t="s">
        <v>1601</v>
      </c>
      <c r="X540" s="99">
        <v>44816</v>
      </c>
      <c r="Y540" s="99">
        <v>45100</v>
      </c>
      <c r="Z540" s="99"/>
      <c r="AA540" s="99"/>
      <c r="AB540" s="45" t="s">
        <v>1124</v>
      </c>
      <c r="AC540" s="45"/>
      <c r="AD540" s="42" t="s">
        <v>734</v>
      </c>
      <c r="AE540" s="42"/>
      <c r="AF540" s="42" t="s">
        <v>734</v>
      </c>
      <c r="AG540" s="42"/>
      <c r="AH540" s="42" t="s">
        <v>734</v>
      </c>
      <c r="AI540" s="42" t="s">
        <v>734</v>
      </c>
      <c r="AJ540" s="42" t="s">
        <v>734</v>
      </c>
      <c r="AK540" s="42" t="s">
        <v>734</v>
      </c>
      <c r="AL540" s="42" t="s">
        <v>734</v>
      </c>
      <c r="AM540" s="42" t="s">
        <v>734</v>
      </c>
      <c r="AN540" s="42"/>
      <c r="AO540" s="42"/>
      <c r="AP540" s="42"/>
      <c r="AQ540" s="42"/>
      <c r="AR540" s="42"/>
      <c r="AS540" s="42"/>
      <c r="AT540" s="42"/>
      <c r="AU540" s="42"/>
      <c r="AV540" s="42"/>
      <c r="AW540" s="42"/>
      <c r="AX540" s="68">
        <v>46.16</v>
      </c>
      <c r="BA540" s="68"/>
      <c r="BB540" s="68"/>
      <c r="BD540" s="67">
        <f t="shared" si="188"/>
        <v>11078.4</v>
      </c>
      <c r="BE540" s="67"/>
      <c r="BF540" s="37"/>
      <c r="BG540" s="73">
        <v>1</v>
      </c>
      <c r="BH540" s="67">
        <f t="shared" si="193"/>
        <v>0</v>
      </c>
      <c r="BI540" s="67">
        <f t="shared" si="194"/>
        <v>0</v>
      </c>
      <c r="BJ540" s="70">
        <f t="shared" si="195"/>
        <v>0</v>
      </c>
      <c r="BN540" s="37"/>
      <c r="BO540" s="70">
        <f t="shared" ref="BO540:BO564" si="198">BN540*K540</f>
        <v>0</v>
      </c>
      <c r="BP540" s="37">
        <v>17</v>
      </c>
      <c r="BQ540" s="37">
        <v>26</v>
      </c>
      <c r="BR540" s="37">
        <v>25</v>
      </c>
      <c r="BS540" s="37">
        <v>25</v>
      </c>
      <c r="BT540" s="87">
        <f t="shared" ref="BT540:BT564" si="199">SUM(AX540:AZ540)+SUM(BH540:BI540)+SUM(BK540:BL540)+BN540</f>
        <v>46.16</v>
      </c>
      <c r="BU540" s="87"/>
      <c r="BV540" s="87"/>
      <c r="BW540" s="87"/>
      <c r="BX540" s="87"/>
      <c r="BY540" s="87"/>
      <c r="BZ540" s="87"/>
      <c r="CA540" s="87"/>
      <c r="CB540" s="87"/>
      <c r="CC540" s="87"/>
      <c r="CD540" s="87"/>
      <c r="CF540" s="67">
        <f t="shared" ref="CF540:CF564" si="200">(BT540*BP540)+(BV540*CD540)</f>
        <v>784.71999999999991</v>
      </c>
      <c r="CG540" s="67">
        <f t="shared" si="182"/>
        <v>1200.1599999999999</v>
      </c>
      <c r="CH540" s="67">
        <f t="shared" si="197"/>
        <v>1154</v>
      </c>
      <c r="CI540" s="67">
        <f t="shared" si="187"/>
        <v>1154</v>
      </c>
      <c r="CJ540" s="37">
        <f t="shared" si="183"/>
        <v>204</v>
      </c>
      <c r="CK540" s="37">
        <f t="shared" si="184"/>
        <v>312</v>
      </c>
      <c r="CL540" s="37">
        <f t="shared" si="185"/>
        <v>300</v>
      </c>
      <c r="CM540" s="37">
        <f t="shared" si="186"/>
        <v>300</v>
      </c>
    </row>
    <row r="541" spans="1:91" ht="45">
      <c r="B541" s="156">
        <v>529</v>
      </c>
      <c r="C541" s="160">
        <v>302</v>
      </c>
      <c r="D541" s="160">
        <v>537</v>
      </c>
      <c r="E541" s="161">
        <v>0.51041666666666663</v>
      </c>
      <c r="F541" s="161">
        <v>0.54374999999999996</v>
      </c>
      <c r="G541" s="160" t="s">
        <v>158</v>
      </c>
      <c r="H541" s="160" t="s">
        <v>479</v>
      </c>
      <c r="I541" s="163">
        <v>25</v>
      </c>
      <c r="J541" s="164" t="s">
        <v>156</v>
      </c>
      <c r="K541" s="165">
        <v>240</v>
      </c>
      <c r="L541" s="166">
        <f t="shared" si="196"/>
        <v>6000</v>
      </c>
      <c r="M541" s="308" t="s">
        <v>2088</v>
      </c>
      <c r="N541" s="271" t="s">
        <v>2087</v>
      </c>
      <c r="O541" s="271">
        <v>23</v>
      </c>
      <c r="P541" s="150" t="s">
        <v>2085</v>
      </c>
      <c r="Q541" s="150">
        <v>24</v>
      </c>
      <c r="R541" s="150" t="s">
        <v>2089</v>
      </c>
      <c r="S541" s="150" t="s">
        <v>2090</v>
      </c>
      <c r="T541" s="45">
        <v>3695</v>
      </c>
      <c r="U541" s="45" t="s">
        <v>1601</v>
      </c>
      <c r="V541" s="45">
        <v>1</v>
      </c>
      <c r="W541" s="45" t="s">
        <v>1339</v>
      </c>
      <c r="X541" s="99">
        <v>44816</v>
      </c>
      <c r="Y541" s="99">
        <v>45100</v>
      </c>
      <c r="Z541" s="99"/>
      <c r="AA541" s="99"/>
      <c r="AB541" s="45" t="s">
        <v>1124</v>
      </c>
      <c r="AC541" s="45"/>
      <c r="AD541" s="42" t="s">
        <v>734</v>
      </c>
      <c r="AE541" s="42"/>
      <c r="AF541" s="42" t="s">
        <v>734</v>
      </c>
      <c r="AG541" s="42"/>
      <c r="AH541" s="42" t="s">
        <v>734</v>
      </c>
      <c r="AI541" s="42" t="s">
        <v>734</v>
      </c>
      <c r="AJ541" s="42" t="s">
        <v>734</v>
      </c>
      <c r="AK541" s="42" t="s">
        <v>734</v>
      </c>
      <c r="AL541" s="42" t="s">
        <v>734</v>
      </c>
      <c r="AM541" s="42" t="s">
        <v>734</v>
      </c>
      <c r="AN541" s="42"/>
      <c r="AO541" s="42"/>
      <c r="AP541" s="42"/>
      <c r="AQ541" s="42"/>
      <c r="AR541" s="42"/>
      <c r="AS541" s="42"/>
      <c r="AT541" s="42"/>
      <c r="AU541" s="42"/>
      <c r="AV541" s="42"/>
      <c r="AW541" s="42"/>
      <c r="AX541" s="68">
        <v>46.16</v>
      </c>
      <c r="BA541" s="68"/>
      <c r="BB541" s="68"/>
      <c r="BD541" s="67">
        <f t="shared" si="188"/>
        <v>11078.4</v>
      </c>
      <c r="BE541" s="67"/>
      <c r="BF541" s="37"/>
      <c r="BG541" s="73">
        <v>1</v>
      </c>
      <c r="BH541" s="67">
        <f t="shared" si="193"/>
        <v>3.8400000000000034</v>
      </c>
      <c r="BI541" s="67">
        <f t="shared" si="194"/>
        <v>0</v>
      </c>
      <c r="BJ541" s="67">
        <f t="shared" si="195"/>
        <v>921.60000000000082</v>
      </c>
      <c r="BN541" s="37"/>
      <c r="BO541" s="70">
        <f t="shared" si="198"/>
        <v>0</v>
      </c>
      <c r="BP541" s="37">
        <v>17</v>
      </c>
      <c r="BQ541" s="37">
        <v>26</v>
      </c>
      <c r="BR541" s="37">
        <v>25</v>
      </c>
      <c r="BS541" s="37">
        <v>25</v>
      </c>
      <c r="BT541" s="87">
        <f t="shared" si="199"/>
        <v>50</v>
      </c>
      <c r="BU541" s="87"/>
      <c r="BV541" s="87"/>
      <c r="BW541" s="87"/>
      <c r="BX541" s="87"/>
      <c r="BY541" s="87"/>
      <c r="BZ541" s="87"/>
      <c r="CA541" s="87"/>
      <c r="CB541" s="87"/>
      <c r="CC541" s="87"/>
      <c r="CD541" s="87"/>
      <c r="CF541" s="67">
        <f t="shared" si="200"/>
        <v>850</v>
      </c>
      <c r="CG541" s="67">
        <f t="shared" si="182"/>
        <v>1300</v>
      </c>
      <c r="CH541" s="67">
        <f t="shared" si="197"/>
        <v>1250</v>
      </c>
      <c r="CI541" s="67">
        <f t="shared" si="187"/>
        <v>1250</v>
      </c>
      <c r="CJ541" s="37">
        <f t="shared" si="183"/>
        <v>425</v>
      </c>
      <c r="CK541" s="37">
        <f t="shared" si="184"/>
        <v>650</v>
      </c>
      <c r="CL541" s="37">
        <f t="shared" si="185"/>
        <v>625</v>
      </c>
      <c r="CM541" s="37">
        <f t="shared" si="186"/>
        <v>625</v>
      </c>
    </row>
    <row r="542" spans="1:91" ht="25.5">
      <c r="B542" s="156">
        <v>530</v>
      </c>
      <c r="C542" s="160">
        <v>302</v>
      </c>
      <c r="D542" s="160">
        <v>156</v>
      </c>
      <c r="E542" s="161">
        <v>0.51388888888888895</v>
      </c>
      <c r="F542" s="161">
        <v>0.55694444444444446</v>
      </c>
      <c r="G542" s="160" t="s">
        <v>160</v>
      </c>
      <c r="H542" s="160" t="s">
        <v>550</v>
      </c>
      <c r="I542" s="163">
        <v>25</v>
      </c>
      <c r="J542" s="164" t="s">
        <v>156</v>
      </c>
      <c r="K542" s="165">
        <v>13</v>
      </c>
      <c r="L542" s="166">
        <f t="shared" si="196"/>
        <v>325</v>
      </c>
      <c r="M542" s="308" t="s">
        <v>2088</v>
      </c>
      <c r="N542" s="271" t="s">
        <v>2087</v>
      </c>
      <c r="O542" s="271">
        <v>23</v>
      </c>
      <c r="P542" s="150" t="s">
        <v>2085</v>
      </c>
      <c r="Q542" s="150">
        <v>24</v>
      </c>
      <c r="R542" s="150" t="s">
        <v>2086</v>
      </c>
      <c r="S542" s="150">
        <v>23</v>
      </c>
      <c r="T542" s="45">
        <v>1</v>
      </c>
      <c r="U542" s="45" t="s">
        <v>1336</v>
      </c>
      <c r="V542" s="45">
        <v>3695</v>
      </c>
      <c r="W542" s="45" t="s">
        <v>1601</v>
      </c>
      <c r="X542" s="99">
        <v>44562</v>
      </c>
      <c r="Y542" s="99">
        <v>44815</v>
      </c>
      <c r="Z542" s="99">
        <v>45101</v>
      </c>
      <c r="AA542" s="99">
        <v>45169</v>
      </c>
      <c r="AB542" s="36" t="s">
        <v>1116</v>
      </c>
      <c r="AC542" s="36"/>
      <c r="AD542" s="44"/>
      <c r="AE542" s="42" t="s">
        <v>734</v>
      </c>
      <c r="AF542" s="42"/>
      <c r="AG542" s="42"/>
      <c r="AH542" s="42"/>
      <c r="AI542" s="42"/>
      <c r="AJ542" s="42"/>
      <c r="AK542" s="42"/>
      <c r="AL542" s="42"/>
      <c r="AM542" s="42"/>
      <c r="AN542" s="42" t="s">
        <v>734</v>
      </c>
      <c r="AO542" s="44"/>
      <c r="AP542" s="44"/>
      <c r="AQ542" s="44"/>
      <c r="AR542" s="42"/>
      <c r="AS542" s="42"/>
      <c r="AT542" s="42"/>
      <c r="AU542" s="42"/>
      <c r="AV542" s="42"/>
      <c r="AW542" s="42"/>
      <c r="AX542" s="68">
        <v>71.239999999999995</v>
      </c>
      <c r="AY542" s="75"/>
      <c r="AZ542" s="75"/>
      <c r="BA542" s="68"/>
      <c r="BB542" s="68"/>
      <c r="BC542" s="75"/>
      <c r="BD542" s="67">
        <f t="shared" si="188"/>
        <v>926.11999999999989</v>
      </c>
      <c r="BE542" s="67"/>
      <c r="BF542" s="75"/>
      <c r="BG542" s="73">
        <v>1</v>
      </c>
      <c r="BH542" s="67">
        <f t="shared" si="193"/>
        <v>0</v>
      </c>
      <c r="BI542" s="67">
        <f t="shared" si="194"/>
        <v>0</v>
      </c>
      <c r="BJ542" s="70">
        <f t="shared" si="195"/>
        <v>0</v>
      </c>
      <c r="BN542" s="37"/>
      <c r="BO542" s="70">
        <f t="shared" si="198"/>
        <v>0</v>
      </c>
      <c r="BP542" s="37">
        <v>2</v>
      </c>
      <c r="BQ542" s="37">
        <v>0</v>
      </c>
      <c r="BR542" s="37">
        <v>0</v>
      </c>
      <c r="BT542" s="87">
        <f t="shared" si="199"/>
        <v>71.239999999999995</v>
      </c>
      <c r="BU542" s="87"/>
      <c r="BV542" s="87"/>
      <c r="BW542" s="87"/>
      <c r="BX542" s="87"/>
      <c r="BY542" s="87"/>
      <c r="BZ542" s="87"/>
      <c r="CA542" s="87"/>
      <c r="CB542" s="87"/>
      <c r="CC542" s="87"/>
      <c r="CD542" s="87"/>
      <c r="CF542" s="67">
        <f t="shared" si="200"/>
        <v>142.47999999999999</v>
      </c>
      <c r="CG542" s="67">
        <f t="shared" si="182"/>
        <v>0</v>
      </c>
      <c r="CH542" s="67">
        <f t="shared" si="197"/>
        <v>0</v>
      </c>
      <c r="CI542" s="67">
        <f t="shared" si="187"/>
        <v>0</v>
      </c>
      <c r="CJ542" s="37">
        <f t="shared" si="183"/>
        <v>50</v>
      </c>
      <c r="CK542" s="37">
        <f t="shared" si="184"/>
        <v>0</v>
      </c>
      <c r="CL542" s="37">
        <f t="shared" si="185"/>
        <v>0</v>
      </c>
      <c r="CM542" s="37">
        <f t="shared" si="186"/>
        <v>0</v>
      </c>
    </row>
    <row r="543" spans="1:91" ht="25.5">
      <c r="B543" s="156">
        <v>531</v>
      </c>
      <c r="C543" s="160">
        <v>302</v>
      </c>
      <c r="D543" s="160">
        <v>156</v>
      </c>
      <c r="E543" s="161">
        <v>0.51388888888888895</v>
      </c>
      <c r="F543" s="173">
        <v>0.54722222222222217</v>
      </c>
      <c r="G543" s="160" t="s">
        <v>160</v>
      </c>
      <c r="H543" s="160" t="s">
        <v>444</v>
      </c>
      <c r="I543" s="163">
        <v>25</v>
      </c>
      <c r="J543" s="164" t="s">
        <v>156</v>
      </c>
      <c r="K543" s="165">
        <v>47</v>
      </c>
      <c r="L543" s="166">
        <f t="shared" si="196"/>
        <v>1175</v>
      </c>
      <c r="M543" s="308" t="s">
        <v>2088</v>
      </c>
      <c r="N543" s="271" t="s">
        <v>2087</v>
      </c>
      <c r="O543" s="271">
        <v>23</v>
      </c>
      <c r="P543" s="150" t="s">
        <v>2085</v>
      </c>
      <c r="Q543" s="150">
        <v>24</v>
      </c>
      <c r="R543" s="150" t="s">
        <v>2086</v>
      </c>
      <c r="S543" s="150">
        <v>23</v>
      </c>
      <c r="T543" s="45">
        <v>1</v>
      </c>
      <c r="U543" s="45" t="s">
        <v>1336</v>
      </c>
      <c r="V543" s="45">
        <v>3695</v>
      </c>
      <c r="W543" s="45" t="s">
        <v>1601</v>
      </c>
      <c r="X543" s="99">
        <v>44816</v>
      </c>
      <c r="Y543" s="99">
        <v>45100</v>
      </c>
      <c r="Z543" s="99"/>
      <c r="AA543" s="99"/>
      <c r="AB543" s="46" t="s">
        <v>1115</v>
      </c>
      <c r="AC543" s="46"/>
      <c r="AD543" s="42" t="s">
        <v>734</v>
      </c>
      <c r="AE543" s="42"/>
      <c r="AF543" s="42"/>
      <c r="AG543" s="42"/>
      <c r="AH543" s="42"/>
      <c r="AI543" s="42"/>
      <c r="AJ543" s="42"/>
      <c r="AK543" s="42"/>
      <c r="AL543" s="42"/>
      <c r="AM543" s="42"/>
      <c r="AN543" s="42" t="s">
        <v>734</v>
      </c>
      <c r="AO543" s="44"/>
      <c r="AP543" s="44"/>
      <c r="AQ543" s="44"/>
      <c r="AR543" s="42"/>
      <c r="AS543" s="42"/>
      <c r="AT543" s="42"/>
      <c r="AU543" s="42"/>
      <c r="AV543" s="42"/>
      <c r="AW543" s="42"/>
      <c r="AX543" s="68">
        <v>71.239999999999995</v>
      </c>
      <c r="AY543" s="75"/>
      <c r="AZ543" s="75"/>
      <c r="BA543" s="68"/>
      <c r="BB543" s="68"/>
      <c r="BC543" s="75"/>
      <c r="BD543" s="67">
        <f t="shared" si="188"/>
        <v>3348.2799999999997</v>
      </c>
      <c r="BE543" s="67"/>
      <c r="BF543" s="75"/>
      <c r="BG543" s="73">
        <v>1</v>
      </c>
      <c r="BH543" s="67">
        <f t="shared" si="193"/>
        <v>0</v>
      </c>
      <c r="BI543" s="67">
        <f t="shared" si="194"/>
        <v>0</v>
      </c>
      <c r="BJ543" s="70">
        <f t="shared" si="195"/>
        <v>0</v>
      </c>
      <c r="BN543" s="37"/>
      <c r="BO543" s="70">
        <f t="shared" si="198"/>
        <v>0</v>
      </c>
      <c r="BP543" s="37">
        <v>2</v>
      </c>
      <c r="BQ543" s="37">
        <v>5</v>
      </c>
      <c r="BR543" s="37">
        <v>5</v>
      </c>
      <c r="BS543" s="37">
        <v>6</v>
      </c>
      <c r="BT543" s="87">
        <f t="shared" si="199"/>
        <v>71.239999999999995</v>
      </c>
      <c r="BU543" s="87"/>
      <c r="BV543" s="87"/>
      <c r="BW543" s="87"/>
      <c r="BX543" s="87"/>
      <c r="BY543" s="87"/>
      <c r="BZ543" s="87"/>
      <c r="CA543" s="87"/>
      <c r="CB543" s="87"/>
      <c r="CC543" s="87"/>
      <c r="CD543" s="87"/>
      <c r="CF543" s="67">
        <f t="shared" si="200"/>
        <v>142.47999999999999</v>
      </c>
      <c r="CG543" s="67">
        <f t="shared" si="182"/>
        <v>356.2</v>
      </c>
      <c r="CH543" s="67">
        <f t="shared" si="197"/>
        <v>356.2</v>
      </c>
      <c r="CI543" s="67">
        <f t="shared" si="187"/>
        <v>427.43999999999994</v>
      </c>
      <c r="CJ543" s="37">
        <f t="shared" si="183"/>
        <v>50</v>
      </c>
      <c r="CK543" s="37">
        <f t="shared" si="184"/>
        <v>125</v>
      </c>
      <c r="CL543" s="37">
        <f t="shared" si="185"/>
        <v>125</v>
      </c>
      <c r="CM543" s="37">
        <f t="shared" si="186"/>
        <v>150</v>
      </c>
    </row>
    <row r="544" spans="1:91" ht="25.5">
      <c r="B544" s="156">
        <v>532</v>
      </c>
      <c r="C544" s="160">
        <v>302</v>
      </c>
      <c r="D544" s="160">
        <v>462</v>
      </c>
      <c r="E544" s="161">
        <v>0.53680555555555554</v>
      </c>
      <c r="F544" s="161">
        <v>0.54166666666666663</v>
      </c>
      <c r="G544" s="160" t="s">
        <v>288</v>
      </c>
      <c r="H544" s="160" t="s">
        <v>290</v>
      </c>
      <c r="I544" s="163">
        <v>3</v>
      </c>
      <c r="J544" s="164" t="s">
        <v>93</v>
      </c>
      <c r="K544" s="165">
        <v>11</v>
      </c>
      <c r="L544" s="166">
        <f t="shared" si="196"/>
        <v>33</v>
      </c>
      <c r="M544" s="167" t="s">
        <v>719</v>
      </c>
      <c r="N544" s="150" t="s">
        <v>900</v>
      </c>
      <c r="O544" s="150">
        <v>20</v>
      </c>
      <c r="P544" s="150" t="s">
        <v>1933</v>
      </c>
      <c r="Q544" s="150">
        <v>17</v>
      </c>
      <c r="R544" s="150" t="s">
        <v>1279</v>
      </c>
      <c r="S544" s="151">
        <v>24</v>
      </c>
      <c r="T544" s="45" t="s">
        <v>1599</v>
      </c>
      <c r="U544" s="45" t="s">
        <v>1600</v>
      </c>
      <c r="V544" s="45">
        <v>3677</v>
      </c>
      <c r="W544" s="45" t="s">
        <v>1598</v>
      </c>
      <c r="X544" s="99">
        <v>44562</v>
      </c>
      <c r="Y544" s="99">
        <v>44815</v>
      </c>
      <c r="Z544" s="99">
        <v>45101</v>
      </c>
      <c r="AA544" s="99">
        <v>45169</v>
      </c>
      <c r="AB544" s="46" t="s">
        <v>1154</v>
      </c>
      <c r="AC544" s="46"/>
      <c r="AD544" s="44"/>
      <c r="AE544" s="42" t="s">
        <v>734</v>
      </c>
      <c r="AF544" s="42" t="s">
        <v>734</v>
      </c>
      <c r="AG544" s="42"/>
      <c r="AH544" s="42"/>
      <c r="AI544" s="42"/>
      <c r="AJ544" s="42"/>
      <c r="AK544" s="42" t="s">
        <v>734</v>
      </c>
      <c r="AL544" s="44"/>
      <c r="AM544" s="44"/>
      <c r="AN544" s="44"/>
      <c r="AO544" s="44"/>
      <c r="AP544" s="44"/>
      <c r="AQ544" s="44"/>
      <c r="AR544" s="42"/>
      <c r="AS544" s="42"/>
      <c r="AT544" s="42"/>
      <c r="AU544" s="42"/>
      <c r="AV544" s="44"/>
      <c r="AW544" s="44"/>
      <c r="AX544" s="68">
        <v>18</v>
      </c>
      <c r="AY544" s="75"/>
      <c r="AZ544" s="75"/>
      <c r="BA544" s="68"/>
      <c r="BB544" s="68"/>
      <c r="BC544" s="75"/>
      <c r="BD544" s="67">
        <f t="shared" si="188"/>
        <v>198</v>
      </c>
      <c r="BE544" s="67"/>
      <c r="BF544" s="75"/>
      <c r="BG544" s="73">
        <v>1</v>
      </c>
      <c r="BH544" s="67">
        <f t="shared" si="193"/>
        <v>0</v>
      </c>
      <c r="BI544" s="67">
        <f t="shared" si="194"/>
        <v>0</v>
      </c>
      <c r="BJ544" s="70">
        <f t="shared" si="195"/>
        <v>0</v>
      </c>
      <c r="BN544" s="37"/>
      <c r="BO544" s="70">
        <f t="shared" si="198"/>
        <v>0</v>
      </c>
      <c r="BP544" s="37">
        <v>2</v>
      </c>
      <c r="BQ544" s="37">
        <v>0</v>
      </c>
      <c r="BR544" s="37">
        <v>0</v>
      </c>
      <c r="BS544" s="37">
        <v>0</v>
      </c>
      <c r="BT544" s="87">
        <f t="shared" si="199"/>
        <v>18</v>
      </c>
      <c r="BU544" s="87"/>
      <c r="BV544" s="87"/>
      <c r="BW544" s="87"/>
      <c r="BX544" s="87"/>
      <c r="BY544" s="87"/>
      <c r="BZ544" s="87"/>
      <c r="CA544" s="87"/>
      <c r="CB544" s="87"/>
      <c r="CC544" s="87"/>
      <c r="CD544" s="87"/>
      <c r="CF544" s="67">
        <f t="shared" si="200"/>
        <v>36</v>
      </c>
      <c r="CG544" s="67">
        <f t="shared" si="182"/>
        <v>0</v>
      </c>
      <c r="CH544" s="67">
        <f t="shared" si="197"/>
        <v>0</v>
      </c>
      <c r="CI544" s="67">
        <f t="shared" si="187"/>
        <v>0</v>
      </c>
      <c r="CJ544" s="37">
        <f t="shared" si="183"/>
        <v>6</v>
      </c>
      <c r="CK544" s="37">
        <f t="shared" si="184"/>
        <v>0</v>
      </c>
      <c r="CL544" s="37">
        <f t="shared" si="185"/>
        <v>0</v>
      </c>
      <c r="CM544" s="37">
        <f t="shared" si="186"/>
        <v>0</v>
      </c>
    </row>
    <row r="545" spans="1:91" ht="25.5">
      <c r="B545" s="156">
        <v>533</v>
      </c>
      <c r="C545" s="160">
        <v>302</v>
      </c>
      <c r="D545" s="160">
        <v>462</v>
      </c>
      <c r="E545" s="161">
        <v>0.54374999999999996</v>
      </c>
      <c r="F545" s="161">
        <v>0.54861111111111105</v>
      </c>
      <c r="G545" s="160" t="s">
        <v>288</v>
      </c>
      <c r="H545" s="160" t="s">
        <v>97</v>
      </c>
      <c r="I545" s="163">
        <v>3</v>
      </c>
      <c r="J545" s="164" t="s">
        <v>93</v>
      </c>
      <c r="K545" s="165">
        <v>208</v>
      </c>
      <c r="L545" s="166">
        <f t="shared" si="196"/>
        <v>624</v>
      </c>
      <c r="M545" s="167" t="s">
        <v>719</v>
      </c>
      <c r="N545" s="150" t="s">
        <v>900</v>
      </c>
      <c r="O545" s="150">
        <v>20</v>
      </c>
      <c r="P545" s="150" t="s">
        <v>1933</v>
      </c>
      <c r="Q545" s="150">
        <v>17</v>
      </c>
      <c r="R545" s="150" t="s">
        <v>1279</v>
      </c>
      <c r="S545" s="151">
        <v>24</v>
      </c>
      <c r="T545" s="45" t="s">
        <v>1599</v>
      </c>
      <c r="U545" s="45" t="s">
        <v>1600</v>
      </c>
      <c r="V545" s="45">
        <v>3677</v>
      </c>
      <c r="W545" s="45" t="s">
        <v>1598</v>
      </c>
      <c r="X545" s="98">
        <v>44816</v>
      </c>
      <c r="Y545" s="98">
        <v>45086</v>
      </c>
      <c r="Z545" s="98"/>
      <c r="AA545" s="98"/>
      <c r="AB545" s="41" t="s">
        <v>1118</v>
      </c>
      <c r="AC545" s="41"/>
      <c r="AD545" s="44"/>
      <c r="AE545" s="44"/>
      <c r="AF545" s="44"/>
      <c r="AG545" s="42" t="s">
        <v>734</v>
      </c>
      <c r="AH545" s="42" t="s">
        <v>734</v>
      </c>
      <c r="AI545" s="42" t="s">
        <v>734</v>
      </c>
      <c r="AJ545" s="42" t="s">
        <v>734</v>
      </c>
      <c r="AK545" s="42" t="s">
        <v>734</v>
      </c>
      <c r="AL545" s="42" t="s">
        <v>734</v>
      </c>
      <c r="AM545" s="42" t="s">
        <v>734</v>
      </c>
      <c r="AN545" s="44"/>
      <c r="AO545" s="44"/>
      <c r="AP545" s="44"/>
      <c r="AQ545" s="44"/>
      <c r="AR545" s="42"/>
      <c r="AS545" s="42"/>
      <c r="AT545" s="42"/>
      <c r="AU545" s="42"/>
      <c r="AV545" s="42"/>
      <c r="AW545" s="42"/>
      <c r="AX545" s="68">
        <v>19.41</v>
      </c>
      <c r="AY545" s="75"/>
      <c r="AZ545" s="75"/>
      <c r="BA545" s="68"/>
      <c r="BB545" s="68"/>
      <c r="BC545" s="75"/>
      <c r="BD545" s="67">
        <f t="shared" si="188"/>
        <v>4037.28</v>
      </c>
      <c r="BE545" s="67"/>
      <c r="BF545" s="75"/>
      <c r="BG545" s="73">
        <v>1</v>
      </c>
      <c r="BH545" s="67">
        <f t="shared" si="193"/>
        <v>0</v>
      </c>
      <c r="BI545" s="67">
        <f t="shared" si="194"/>
        <v>0</v>
      </c>
      <c r="BJ545" s="70">
        <f t="shared" si="195"/>
        <v>0</v>
      </c>
      <c r="BN545" s="37"/>
      <c r="BO545" s="70">
        <f t="shared" si="198"/>
        <v>0</v>
      </c>
      <c r="BP545" s="37">
        <v>17</v>
      </c>
      <c r="BQ545" s="37">
        <v>25</v>
      </c>
      <c r="BR545" s="37">
        <v>25</v>
      </c>
      <c r="BS545" s="37">
        <v>18</v>
      </c>
      <c r="BT545" s="87">
        <f t="shared" si="199"/>
        <v>19.41</v>
      </c>
      <c r="BU545" s="87"/>
      <c r="BV545" s="87"/>
      <c r="BW545" s="87"/>
      <c r="BX545" s="87"/>
      <c r="BY545" s="87"/>
      <c r="BZ545" s="87"/>
      <c r="CA545" s="87"/>
      <c r="CB545" s="87"/>
      <c r="CC545" s="87"/>
      <c r="CD545" s="87"/>
      <c r="CF545" s="67">
        <f t="shared" si="200"/>
        <v>329.97</v>
      </c>
      <c r="CG545" s="67">
        <f t="shared" si="182"/>
        <v>485.25</v>
      </c>
      <c r="CH545" s="67">
        <f t="shared" si="197"/>
        <v>485.25</v>
      </c>
      <c r="CI545" s="67">
        <f t="shared" si="187"/>
        <v>349.38</v>
      </c>
      <c r="CJ545" s="37">
        <f t="shared" si="183"/>
        <v>51</v>
      </c>
      <c r="CK545" s="37">
        <f t="shared" si="184"/>
        <v>75</v>
      </c>
      <c r="CL545" s="37">
        <f t="shared" si="185"/>
        <v>75</v>
      </c>
      <c r="CM545" s="37">
        <f t="shared" si="186"/>
        <v>54</v>
      </c>
    </row>
    <row r="546" spans="1:91" ht="25.5">
      <c r="B546" s="156">
        <v>534</v>
      </c>
      <c r="C546" s="160">
        <v>302</v>
      </c>
      <c r="D546" s="160">
        <v>421</v>
      </c>
      <c r="E546" s="161">
        <v>0.56597222222222221</v>
      </c>
      <c r="F546" s="161">
        <v>0.60555555555555551</v>
      </c>
      <c r="G546" s="160" t="s">
        <v>158</v>
      </c>
      <c r="H546" s="160" t="s">
        <v>550</v>
      </c>
      <c r="I546" s="163">
        <v>25</v>
      </c>
      <c r="J546" s="164" t="s">
        <v>156</v>
      </c>
      <c r="K546" s="165">
        <v>13</v>
      </c>
      <c r="L546" s="166">
        <f t="shared" si="196"/>
        <v>325</v>
      </c>
      <c r="M546" s="308" t="s">
        <v>2088</v>
      </c>
      <c r="N546" s="271" t="s">
        <v>2087</v>
      </c>
      <c r="O546" s="271">
        <v>23</v>
      </c>
      <c r="P546" s="150" t="s">
        <v>2085</v>
      </c>
      <c r="Q546" s="150">
        <v>24</v>
      </c>
      <c r="R546" s="150" t="s">
        <v>2086</v>
      </c>
      <c r="S546" s="150">
        <v>23</v>
      </c>
      <c r="T546" s="45">
        <v>3695</v>
      </c>
      <c r="U546" s="45" t="s">
        <v>1601</v>
      </c>
      <c r="V546" s="45">
        <v>1</v>
      </c>
      <c r="W546" s="45" t="s">
        <v>1339</v>
      </c>
      <c r="X546" s="99">
        <v>44562</v>
      </c>
      <c r="Y546" s="99">
        <v>44815</v>
      </c>
      <c r="Z546" s="99">
        <v>45101</v>
      </c>
      <c r="AA546" s="99">
        <v>45169</v>
      </c>
      <c r="AB546" s="36" t="s">
        <v>1116</v>
      </c>
      <c r="AC546" s="36"/>
      <c r="AD546" s="44"/>
      <c r="AE546" s="42" t="s">
        <v>734</v>
      </c>
      <c r="AF546" s="42"/>
      <c r="AG546" s="42"/>
      <c r="AH546" s="42"/>
      <c r="AI546" s="42"/>
      <c r="AJ546" s="42"/>
      <c r="AK546" s="42"/>
      <c r="AL546" s="42"/>
      <c r="AM546" s="42"/>
      <c r="AN546" s="42" t="s">
        <v>734</v>
      </c>
      <c r="AO546" s="44"/>
      <c r="AP546" s="44"/>
      <c r="AQ546" s="44"/>
      <c r="AR546" s="42"/>
      <c r="AS546" s="42"/>
      <c r="AT546" s="42"/>
      <c r="AU546" s="42"/>
      <c r="AV546" s="42"/>
      <c r="AW546" s="42"/>
      <c r="AX546" s="68">
        <v>71.239999999999995</v>
      </c>
      <c r="AY546" s="75"/>
      <c r="AZ546" s="75"/>
      <c r="BA546" s="68"/>
      <c r="BB546" s="68"/>
      <c r="BC546" s="75"/>
      <c r="BD546" s="67">
        <f t="shared" si="188"/>
        <v>926.11999999999989</v>
      </c>
      <c r="BE546" s="67"/>
      <c r="BF546" s="75"/>
      <c r="BG546" s="73">
        <v>1</v>
      </c>
      <c r="BH546" s="67">
        <f t="shared" si="193"/>
        <v>0</v>
      </c>
      <c r="BI546" s="67">
        <f t="shared" si="194"/>
        <v>0</v>
      </c>
      <c r="BJ546" s="70">
        <f t="shared" si="195"/>
        <v>0</v>
      </c>
      <c r="BN546" s="37"/>
      <c r="BO546" s="70">
        <f t="shared" si="198"/>
        <v>0</v>
      </c>
      <c r="BP546" s="37">
        <v>2</v>
      </c>
      <c r="BQ546" s="37">
        <v>0</v>
      </c>
      <c r="BR546" s="37">
        <v>0</v>
      </c>
      <c r="BT546" s="87">
        <f t="shared" si="199"/>
        <v>71.239999999999995</v>
      </c>
      <c r="BU546" s="87"/>
      <c r="BV546" s="87"/>
      <c r="BW546" s="87"/>
      <c r="BX546" s="87"/>
      <c r="BY546" s="87"/>
      <c r="BZ546" s="87"/>
      <c r="CA546" s="87"/>
      <c r="CB546" s="87"/>
      <c r="CC546" s="87"/>
      <c r="CD546" s="87"/>
      <c r="CF546" s="67">
        <f t="shared" si="200"/>
        <v>142.47999999999999</v>
      </c>
      <c r="CG546" s="67">
        <f t="shared" si="182"/>
        <v>0</v>
      </c>
      <c r="CH546" s="67">
        <f t="shared" si="197"/>
        <v>0</v>
      </c>
      <c r="CI546" s="67">
        <f t="shared" si="187"/>
        <v>0</v>
      </c>
      <c r="CJ546" s="37">
        <f t="shared" si="183"/>
        <v>50</v>
      </c>
      <c r="CK546" s="37">
        <f t="shared" si="184"/>
        <v>0</v>
      </c>
      <c r="CL546" s="37">
        <f t="shared" si="185"/>
        <v>0</v>
      </c>
      <c r="CM546" s="37">
        <f t="shared" si="186"/>
        <v>0</v>
      </c>
    </row>
    <row r="547" spans="1:91" ht="25.5">
      <c r="B547" s="156">
        <v>535</v>
      </c>
      <c r="C547" s="160">
        <v>302</v>
      </c>
      <c r="D547" s="160">
        <v>421</v>
      </c>
      <c r="E547" s="161">
        <v>0.56597222222222221</v>
      </c>
      <c r="F547" s="161">
        <v>0.60555555555555551</v>
      </c>
      <c r="G547" s="160" t="s">
        <v>158</v>
      </c>
      <c r="H547" s="160" t="s">
        <v>444</v>
      </c>
      <c r="I547" s="163">
        <v>25</v>
      </c>
      <c r="J547" s="164" t="s">
        <v>156</v>
      </c>
      <c r="K547" s="165">
        <v>47</v>
      </c>
      <c r="L547" s="166">
        <f t="shared" si="196"/>
        <v>1175</v>
      </c>
      <c r="M547" s="308" t="s">
        <v>2088</v>
      </c>
      <c r="N547" s="271" t="s">
        <v>2087</v>
      </c>
      <c r="O547" s="271">
        <v>23</v>
      </c>
      <c r="P547" s="150" t="s">
        <v>2085</v>
      </c>
      <c r="Q547" s="150">
        <v>24</v>
      </c>
      <c r="R547" s="150" t="s">
        <v>2086</v>
      </c>
      <c r="S547" s="150">
        <v>23</v>
      </c>
      <c r="T547" s="45">
        <v>3695</v>
      </c>
      <c r="U547" s="45" t="s">
        <v>1601</v>
      </c>
      <c r="V547" s="45">
        <v>1</v>
      </c>
      <c r="W547" s="45" t="s">
        <v>1339</v>
      </c>
      <c r="X547" s="99">
        <v>44816</v>
      </c>
      <c r="Y547" s="99">
        <v>45100</v>
      </c>
      <c r="Z547" s="99"/>
      <c r="AA547" s="99"/>
      <c r="AB547" s="46" t="s">
        <v>1115</v>
      </c>
      <c r="AC547" s="46"/>
      <c r="AD547" s="42" t="s">
        <v>734</v>
      </c>
      <c r="AE547" s="42"/>
      <c r="AF547" s="42"/>
      <c r="AG547" s="42"/>
      <c r="AH547" s="42"/>
      <c r="AI547" s="42"/>
      <c r="AJ547" s="42"/>
      <c r="AK547" s="42"/>
      <c r="AL547" s="42"/>
      <c r="AM547" s="42"/>
      <c r="AN547" s="42" t="s">
        <v>734</v>
      </c>
      <c r="AO547" s="44"/>
      <c r="AP547" s="44"/>
      <c r="AQ547" s="44"/>
      <c r="AR547" s="42"/>
      <c r="AS547" s="42"/>
      <c r="AT547" s="42"/>
      <c r="AU547" s="42"/>
      <c r="AV547" s="42"/>
      <c r="AW547" s="42"/>
      <c r="AX547" s="68">
        <v>71.239999999999995</v>
      </c>
      <c r="AY547" s="75"/>
      <c r="AZ547" s="75"/>
      <c r="BA547" s="68"/>
      <c r="BB547" s="68"/>
      <c r="BC547" s="75"/>
      <c r="BD547" s="67">
        <f t="shared" si="188"/>
        <v>3348.2799999999997</v>
      </c>
      <c r="BE547" s="67"/>
      <c r="BF547" s="75"/>
      <c r="BG547" s="73">
        <v>1</v>
      </c>
      <c r="BH547" s="67">
        <f t="shared" si="193"/>
        <v>0</v>
      </c>
      <c r="BI547" s="67">
        <f t="shared" si="194"/>
        <v>0</v>
      </c>
      <c r="BJ547" s="70">
        <f t="shared" si="195"/>
        <v>0</v>
      </c>
      <c r="BN547" s="37"/>
      <c r="BO547" s="70">
        <f t="shared" si="198"/>
        <v>0</v>
      </c>
      <c r="BP547" s="37">
        <v>2</v>
      </c>
      <c r="BQ547" s="37">
        <v>5</v>
      </c>
      <c r="BR547" s="37">
        <v>5</v>
      </c>
      <c r="BS547" s="37">
        <v>6</v>
      </c>
      <c r="BT547" s="87">
        <f t="shared" si="199"/>
        <v>71.239999999999995</v>
      </c>
      <c r="BU547" s="87"/>
      <c r="BV547" s="87"/>
      <c r="BW547" s="87"/>
      <c r="BX547" s="87"/>
      <c r="BY547" s="87"/>
      <c r="BZ547" s="87"/>
      <c r="CA547" s="87"/>
      <c r="CB547" s="87"/>
      <c r="CC547" s="87"/>
      <c r="CD547" s="87"/>
      <c r="CF547" s="67">
        <f t="shared" si="200"/>
        <v>142.47999999999999</v>
      </c>
      <c r="CG547" s="67">
        <f t="shared" si="182"/>
        <v>356.2</v>
      </c>
      <c r="CH547" s="67">
        <f t="shared" si="197"/>
        <v>356.2</v>
      </c>
      <c r="CI547" s="67">
        <f t="shared" si="187"/>
        <v>427.43999999999994</v>
      </c>
      <c r="CJ547" s="37">
        <f t="shared" si="183"/>
        <v>50</v>
      </c>
      <c r="CK547" s="37">
        <f t="shared" si="184"/>
        <v>125</v>
      </c>
      <c r="CL547" s="37">
        <f t="shared" si="185"/>
        <v>125</v>
      </c>
      <c r="CM547" s="37">
        <f t="shared" si="186"/>
        <v>150</v>
      </c>
    </row>
    <row r="548" spans="1:91" ht="25.5">
      <c r="B548" s="156">
        <v>536</v>
      </c>
      <c r="C548" s="160">
        <v>302</v>
      </c>
      <c r="D548" s="160">
        <v>464</v>
      </c>
      <c r="E548" s="161">
        <v>0.58958333333333335</v>
      </c>
      <c r="F548" s="161">
        <v>0.59444444444444444</v>
      </c>
      <c r="G548" s="160" t="s">
        <v>288</v>
      </c>
      <c r="H548" s="160" t="s">
        <v>97</v>
      </c>
      <c r="I548" s="163">
        <v>3</v>
      </c>
      <c r="J548" s="164" t="s">
        <v>93</v>
      </c>
      <c r="K548" s="165">
        <v>208</v>
      </c>
      <c r="L548" s="166">
        <f t="shared" si="196"/>
        <v>624</v>
      </c>
      <c r="M548" s="167" t="s">
        <v>719</v>
      </c>
      <c r="N548" s="150" t="s">
        <v>900</v>
      </c>
      <c r="O548" s="150">
        <v>20</v>
      </c>
      <c r="P548" s="150" t="s">
        <v>1933</v>
      </c>
      <c r="Q548" s="150">
        <v>17</v>
      </c>
      <c r="R548" s="150" t="s">
        <v>1279</v>
      </c>
      <c r="S548" s="151">
        <v>24</v>
      </c>
      <c r="T548" s="45" t="s">
        <v>1599</v>
      </c>
      <c r="U548" s="45" t="s">
        <v>1600</v>
      </c>
      <c r="V548" s="45">
        <v>3677</v>
      </c>
      <c r="W548" s="45" t="s">
        <v>1598</v>
      </c>
      <c r="X548" s="98">
        <v>44816</v>
      </c>
      <c r="Y548" s="98">
        <v>45086</v>
      </c>
      <c r="Z548" s="98"/>
      <c r="AA548" s="98"/>
      <c r="AB548" s="41" t="s">
        <v>1118</v>
      </c>
      <c r="AC548" s="41"/>
      <c r="AD548" s="44"/>
      <c r="AE548" s="44"/>
      <c r="AF548" s="44"/>
      <c r="AG548" s="42" t="s">
        <v>734</v>
      </c>
      <c r="AH548" s="42" t="s">
        <v>734</v>
      </c>
      <c r="AI548" s="42" t="s">
        <v>734</v>
      </c>
      <c r="AJ548" s="42" t="s">
        <v>734</v>
      </c>
      <c r="AK548" s="42" t="s">
        <v>734</v>
      </c>
      <c r="AL548" s="42" t="s">
        <v>734</v>
      </c>
      <c r="AM548" s="42" t="s">
        <v>734</v>
      </c>
      <c r="AN548" s="44"/>
      <c r="AO548" s="44"/>
      <c r="AP548" s="44"/>
      <c r="AQ548" s="44"/>
      <c r="AR548" s="42"/>
      <c r="AS548" s="42"/>
      <c r="AT548" s="42"/>
      <c r="AU548" s="42"/>
      <c r="AV548" s="42"/>
      <c r="AW548" s="42"/>
      <c r="AX548" s="68">
        <v>19.41</v>
      </c>
      <c r="AY548" s="75"/>
      <c r="AZ548" s="75"/>
      <c r="BA548" s="68"/>
      <c r="BB548" s="68"/>
      <c r="BC548" s="75"/>
      <c r="BD548" s="67">
        <f t="shared" si="188"/>
        <v>4037.28</v>
      </c>
      <c r="BE548" s="67"/>
      <c r="BF548" s="75"/>
      <c r="BG548" s="73">
        <v>1</v>
      </c>
      <c r="BH548" s="67">
        <f t="shared" si="193"/>
        <v>0</v>
      </c>
      <c r="BI548" s="67">
        <f t="shared" si="194"/>
        <v>0</v>
      </c>
      <c r="BJ548" s="70">
        <f t="shared" si="195"/>
        <v>0</v>
      </c>
      <c r="BN548" s="37"/>
      <c r="BO548" s="70">
        <f t="shared" si="198"/>
        <v>0</v>
      </c>
      <c r="BP548" s="37">
        <v>17</v>
      </c>
      <c r="BQ548" s="37">
        <v>25</v>
      </c>
      <c r="BR548" s="37">
        <v>25</v>
      </c>
      <c r="BS548" s="37">
        <v>18</v>
      </c>
      <c r="BT548" s="87">
        <f t="shared" si="199"/>
        <v>19.41</v>
      </c>
      <c r="BU548" s="87"/>
      <c r="BV548" s="87"/>
      <c r="BW548" s="87"/>
      <c r="BX548" s="87"/>
      <c r="BY548" s="87"/>
      <c r="BZ548" s="87"/>
      <c r="CA548" s="87"/>
      <c r="CB548" s="87"/>
      <c r="CC548" s="87"/>
      <c r="CD548" s="87"/>
      <c r="CF548" s="67">
        <f t="shared" si="200"/>
        <v>329.97</v>
      </c>
      <c r="CG548" s="67">
        <f t="shared" si="182"/>
        <v>485.25</v>
      </c>
      <c r="CH548" s="67">
        <f t="shared" si="197"/>
        <v>485.25</v>
      </c>
      <c r="CI548" s="67">
        <f t="shared" si="187"/>
        <v>349.38</v>
      </c>
      <c r="CJ548" s="37">
        <f t="shared" si="183"/>
        <v>51</v>
      </c>
      <c r="CK548" s="37">
        <f t="shared" si="184"/>
        <v>75</v>
      </c>
      <c r="CL548" s="37">
        <f t="shared" si="185"/>
        <v>75</v>
      </c>
      <c r="CM548" s="37">
        <f t="shared" si="186"/>
        <v>54</v>
      </c>
    </row>
    <row r="549" spans="1:91" ht="25.5">
      <c r="B549" s="156">
        <v>537</v>
      </c>
      <c r="C549" s="160">
        <v>302</v>
      </c>
      <c r="D549" s="160">
        <v>440</v>
      </c>
      <c r="E549" s="161">
        <v>0.72222222222222221</v>
      </c>
      <c r="F549" s="173">
        <v>0.7597222222222223</v>
      </c>
      <c r="G549" s="160" t="s">
        <v>159</v>
      </c>
      <c r="H549" s="160" t="s">
        <v>550</v>
      </c>
      <c r="I549" s="163">
        <v>25</v>
      </c>
      <c r="J549" s="164" t="s">
        <v>156</v>
      </c>
      <c r="K549" s="165">
        <v>13</v>
      </c>
      <c r="L549" s="166">
        <f t="shared" si="196"/>
        <v>325</v>
      </c>
      <c r="M549" s="308" t="s">
        <v>2088</v>
      </c>
      <c r="N549" s="271" t="s">
        <v>2087</v>
      </c>
      <c r="O549" s="271">
        <v>23</v>
      </c>
      <c r="P549" s="150" t="s">
        <v>2085</v>
      </c>
      <c r="Q549" s="150">
        <v>24</v>
      </c>
      <c r="R549" s="150" t="s">
        <v>2086</v>
      </c>
      <c r="S549" s="150">
        <v>23</v>
      </c>
      <c r="T549" s="45">
        <v>1</v>
      </c>
      <c r="U549" s="45" t="s">
        <v>1336</v>
      </c>
      <c r="V549" s="45">
        <v>3695</v>
      </c>
      <c r="W549" s="45" t="s">
        <v>1601</v>
      </c>
      <c r="X549" s="99">
        <v>44562</v>
      </c>
      <c r="Y549" s="99">
        <v>44815</v>
      </c>
      <c r="Z549" s="99">
        <v>45101</v>
      </c>
      <c r="AA549" s="99">
        <v>45169</v>
      </c>
      <c r="AB549" s="36" t="s">
        <v>1116</v>
      </c>
      <c r="AC549" s="36"/>
      <c r="AD549" s="44"/>
      <c r="AE549" s="42" t="s">
        <v>734</v>
      </c>
      <c r="AF549" s="42"/>
      <c r="AG549" s="42"/>
      <c r="AH549" s="42"/>
      <c r="AI549" s="42"/>
      <c r="AJ549" s="42"/>
      <c r="AK549" s="42"/>
      <c r="AL549" s="42"/>
      <c r="AM549" s="42"/>
      <c r="AN549" s="42" t="s">
        <v>734</v>
      </c>
      <c r="AO549" s="44"/>
      <c r="AP549" s="44"/>
      <c r="AQ549" s="44"/>
      <c r="AR549" s="42"/>
      <c r="AS549" s="42"/>
      <c r="AT549" s="42"/>
      <c r="AU549" s="42"/>
      <c r="AV549" s="42"/>
      <c r="AW549" s="42"/>
      <c r="AX549" s="68">
        <v>71.239999999999995</v>
      </c>
      <c r="AY549" s="75"/>
      <c r="AZ549" s="75"/>
      <c r="BA549" s="68"/>
      <c r="BB549" s="68"/>
      <c r="BC549" s="75"/>
      <c r="BD549" s="67">
        <f t="shared" si="188"/>
        <v>926.11999999999989</v>
      </c>
      <c r="BE549" s="67"/>
      <c r="BF549" s="75"/>
      <c r="BG549" s="73">
        <v>1</v>
      </c>
      <c r="BH549" s="67">
        <f t="shared" si="193"/>
        <v>0</v>
      </c>
      <c r="BI549" s="67">
        <f t="shared" si="194"/>
        <v>0</v>
      </c>
      <c r="BJ549" s="70">
        <f t="shared" si="195"/>
        <v>0</v>
      </c>
      <c r="BN549" s="37"/>
      <c r="BO549" s="70">
        <f t="shared" si="198"/>
        <v>0</v>
      </c>
      <c r="BP549" s="37">
        <v>2</v>
      </c>
      <c r="BQ549" s="37">
        <v>0</v>
      </c>
      <c r="BR549" s="37">
        <v>0</v>
      </c>
      <c r="BT549" s="87">
        <f t="shared" si="199"/>
        <v>71.239999999999995</v>
      </c>
      <c r="BU549" s="87"/>
      <c r="BV549" s="87"/>
      <c r="BW549" s="87"/>
      <c r="BX549" s="87"/>
      <c r="BY549" s="87"/>
      <c r="BZ549" s="87"/>
      <c r="CA549" s="87"/>
      <c r="CB549" s="87"/>
      <c r="CC549" s="87"/>
      <c r="CD549" s="87"/>
      <c r="CF549" s="67">
        <f t="shared" si="200"/>
        <v>142.47999999999999</v>
      </c>
      <c r="CG549" s="67">
        <f t="shared" si="182"/>
        <v>0</v>
      </c>
      <c r="CH549" s="67">
        <f t="shared" si="197"/>
        <v>0</v>
      </c>
      <c r="CI549" s="67">
        <f t="shared" si="187"/>
        <v>0</v>
      </c>
      <c r="CJ549" s="37">
        <f t="shared" si="183"/>
        <v>50</v>
      </c>
      <c r="CK549" s="37">
        <f t="shared" si="184"/>
        <v>0</v>
      </c>
      <c r="CL549" s="37">
        <f t="shared" si="185"/>
        <v>0</v>
      </c>
      <c r="CM549" s="37">
        <f t="shared" si="186"/>
        <v>0</v>
      </c>
    </row>
    <row r="550" spans="1:91" ht="25.5">
      <c r="B550" s="156">
        <v>538</v>
      </c>
      <c r="C550" s="160">
        <v>302</v>
      </c>
      <c r="D550" s="160">
        <v>440</v>
      </c>
      <c r="E550" s="161">
        <v>0.72222222222222221</v>
      </c>
      <c r="F550" s="173">
        <v>0.7597222222222223</v>
      </c>
      <c r="G550" s="160" t="s">
        <v>159</v>
      </c>
      <c r="H550" s="160" t="s">
        <v>444</v>
      </c>
      <c r="I550" s="163">
        <v>25</v>
      </c>
      <c r="J550" s="164" t="s">
        <v>156</v>
      </c>
      <c r="K550" s="165">
        <v>47</v>
      </c>
      <c r="L550" s="166">
        <f t="shared" si="196"/>
        <v>1175</v>
      </c>
      <c r="M550" s="308" t="s">
        <v>2088</v>
      </c>
      <c r="N550" s="271" t="s">
        <v>2087</v>
      </c>
      <c r="O550" s="271">
        <v>23</v>
      </c>
      <c r="P550" s="150" t="s">
        <v>2085</v>
      </c>
      <c r="Q550" s="150">
        <v>24</v>
      </c>
      <c r="R550" s="150" t="s">
        <v>2086</v>
      </c>
      <c r="S550" s="150">
        <v>23</v>
      </c>
      <c r="T550" s="45">
        <v>1</v>
      </c>
      <c r="U550" s="45" t="s">
        <v>1336</v>
      </c>
      <c r="V550" s="45">
        <v>3695</v>
      </c>
      <c r="W550" s="45" t="s">
        <v>1601</v>
      </c>
      <c r="X550" s="99">
        <v>44816</v>
      </c>
      <c r="Y550" s="99">
        <v>45100</v>
      </c>
      <c r="Z550" s="99"/>
      <c r="AA550" s="99"/>
      <c r="AB550" s="46" t="s">
        <v>1115</v>
      </c>
      <c r="AC550" s="46"/>
      <c r="AD550" s="42" t="s">
        <v>734</v>
      </c>
      <c r="AE550" s="42"/>
      <c r="AF550" s="42"/>
      <c r="AG550" s="42"/>
      <c r="AH550" s="42"/>
      <c r="AI550" s="42"/>
      <c r="AJ550" s="42"/>
      <c r="AK550" s="42"/>
      <c r="AL550" s="42"/>
      <c r="AM550" s="42"/>
      <c r="AN550" s="42" t="s">
        <v>734</v>
      </c>
      <c r="AO550" s="44"/>
      <c r="AP550" s="44"/>
      <c r="AQ550" s="44"/>
      <c r="AR550" s="42"/>
      <c r="AS550" s="42"/>
      <c r="AT550" s="42"/>
      <c r="AU550" s="42"/>
      <c r="AV550" s="42"/>
      <c r="AW550" s="42"/>
      <c r="AX550" s="68">
        <v>71.239999999999995</v>
      </c>
      <c r="AY550" s="75"/>
      <c r="AZ550" s="75"/>
      <c r="BA550" s="68"/>
      <c r="BB550" s="68"/>
      <c r="BC550" s="75"/>
      <c r="BD550" s="67">
        <f t="shared" si="188"/>
        <v>3348.2799999999997</v>
      </c>
      <c r="BE550" s="67"/>
      <c r="BF550" s="75"/>
      <c r="BG550" s="73">
        <v>1</v>
      </c>
      <c r="BH550" s="67">
        <f t="shared" si="193"/>
        <v>0</v>
      </c>
      <c r="BI550" s="67">
        <f t="shared" si="194"/>
        <v>0</v>
      </c>
      <c r="BJ550" s="70">
        <f t="shared" si="195"/>
        <v>0</v>
      </c>
      <c r="BN550" s="37"/>
      <c r="BO550" s="70">
        <f t="shared" si="198"/>
        <v>0</v>
      </c>
      <c r="BP550" s="37">
        <v>2</v>
      </c>
      <c r="BQ550" s="37">
        <v>5</v>
      </c>
      <c r="BR550" s="37">
        <v>5</v>
      </c>
      <c r="BS550" s="37">
        <v>6</v>
      </c>
      <c r="BT550" s="87">
        <f t="shared" si="199"/>
        <v>71.239999999999995</v>
      </c>
      <c r="BU550" s="87"/>
      <c r="BV550" s="87"/>
      <c r="BW550" s="87"/>
      <c r="BX550" s="87"/>
      <c r="BY550" s="87"/>
      <c r="BZ550" s="87"/>
      <c r="CA550" s="87"/>
      <c r="CB550" s="87"/>
      <c r="CC550" s="87"/>
      <c r="CD550" s="87"/>
      <c r="CF550" s="67">
        <f t="shared" si="200"/>
        <v>142.47999999999999</v>
      </c>
      <c r="CG550" s="67">
        <f t="shared" si="182"/>
        <v>356.2</v>
      </c>
      <c r="CH550" s="67">
        <f t="shared" si="197"/>
        <v>356.2</v>
      </c>
      <c r="CI550" s="67">
        <f t="shared" si="187"/>
        <v>427.43999999999994</v>
      </c>
      <c r="CJ550" s="37">
        <f t="shared" si="183"/>
        <v>50</v>
      </c>
      <c r="CK550" s="37">
        <f t="shared" si="184"/>
        <v>125</v>
      </c>
      <c r="CL550" s="37">
        <f t="shared" si="185"/>
        <v>125</v>
      </c>
      <c r="CM550" s="37">
        <f t="shared" si="186"/>
        <v>150</v>
      </c>
    </row>
    <row r="551" spans="1:91" ht="25.5">
      <c r="B551" s="156">
        <v>539</v>
      </c>
      <c r="C551" s="160">
        <v>302</v>
      </c>
      <c r="D551" s="160">
        <v>474</v>
      </c>
      <c r="E551" s="161">
        <v>0.72916666666666663</v>
      </c>
      <c r="F551" s="161">
        <v>0.73402777777777783</v>
      </c>
      <c r="G551" s="160" t="s">
        <v>288</v>
      </c>
      <c r="H551" s="160" t="s">
        <v>103</v>
      </c>
      <c r="I551" s="163">
        <v>3</v>
      </c>
      <c r="J551" s="164" t="s">
        <v>93</v>
      </c>
      <c r="K551" s="165">
        <v>174</v>
      </c>
      <c r="L551" s="166">
        <f t="shared" si="196"/>
        <v>522</v>
      </c>
      <c r="M551" s="167" t="s">
        <v>719</v>
      </c>
      <c r="N551" s="150" t="s">
        <v>900</v>
      </c>
      <c r="O551" s="150">
        <v>20</v>
      </c>
      <c r="P551" s="150" t="s">
        <v>1933</v>
      </c>
      <c r="Q551" s="150">
        <v>17</v>
      </c>
      <c r="R551" s="150" t="s">
        <v>1279</v>
      </c>
      <c r="S551" s="151">
        <v>24</v>
      </c>
      <c r="T551" s="45" t="s">
        <v>1599</v>
      </c>
      <c r="U551" s="45" t="s">
        <v>1600</v>
      </c>
      <c r="V551" s="45">
        <v>3677</v>
      </c>
      <c r="W551" s="45" t="s">
        <v>1598</v>
      </c>
      <c r="X551" s="98">
        <v>44816</v>
      </c>
      <c r="Y551" s="98">
        <v>45086</v>
      </c>
      <c r="Z551" s="98"/>
      <c r="AA551" s="98"/>
      <c r="AB551" s="41" t="s">
        <v>1114</v>
      </c>
      <c r="AC551" s="41"/>
      <c r="AD551" s="44"/>
      <c r="AE551" s="44"/>
      <c r="AF551" s="44"/>
      <c r="AG551" s="42" t="s">
        <v>734</v>
      </c>
      <c r="AH551" s="42" t="s">
        <v>734</v>
      </c>
      <c r="AI551" s="42" t="s">
        <v>734</v>
      </c>
      <c r="AJ551" s="42" t="s">
        <v>734</v>
      </c>
      <c r="AK551" s="42" t="s">
        <v>734</v>
      </c>
      <c r="AL551" s="42" t="s">
        <v>734</v>
      </c>
      <c r="AM551" s="44"/>
      <c r="AN551" s="44"/>
      <c r="AO551" s="44"/>
      <c r="AP551" s="44"/>
      <c r="AQ551" s="44"/>
      <c r="AR551" s="42"/>
      <c r="AS551" s="42"/>
      <c r="AT551" s="42"/>
      <c r="AU551" s="42"/>
      <c r="AV551" s="42"/>
      <c r="AW551" s="44"/>
      <c r="AX551" s="68">
        <v>10</v>
      </c>
      <c r="AY551" s="75"/>
      <c r="AZ551" s="75"/>
      <c r="BA551" s="68"/>
      <c r="BB551" s="68"/>
      <c r="BC551" s="75"/>
      <c r="BD551" s="67">
        <f t="shared" si="188"/>
        <v>1740</v>
      </c>
      <c r="BE551" s="67"/>
      <c r="BF551" s="75"/>
      <c r="BG551" s="73">
        <v>1</v>
      </c>
      <c r="BH551" s="67">
        <f t="shared" si="193"/>
        <v>0</v>
      </c>
      <c r="BI551" s="67">
        <f t="shared" si="194"/>
        <v>0</v>
      </c>
      <c r="BJ551" s="70">
        <f t="shared" si="195"/>
        <v>0</v>
      </c>
      <c r="BN551" s="37"/>
      <c r="BO551" s="70">
        <f t="shared" si="198"/>
        <v>0</v>
      </c>
      <c r="BP551" s="37">
        <v>15</v>
      </c>
      <c r="BQ551" s="37">
        <v>20</v>
      </c>
      <c r="BR551" s="37">
        <v>21</v>
      </c>
      <c r="BS551" s="37">
        <v>15</v>
      </c>
      <c r="BT551" s="87">
        <f t="shared" si="199"/>
        <v>10</v>
      </c>
      <c r="BU551" s="87"/>
      <c r="BV551" s="87"/>
      <c r="BW551" s="87"/>
      <c r="BX551" s="87"/>
      <c r="BY551" s="87"/>
      <c r="BZ551" s="87"/>
      <c r="CA551" s="87"/>
      <c r="CB551" s="87"/>
      <c r="CC551" s="87"/>
      <c r="CD551" s="87"/>
      <c r="CF551" s="67">
        <f t="shared" si="200"/>
        <v>150</v>
      </c>
      <c r="CG551" s="67">
        <f t="shared" si="182"/>
        <v>200</v>
      </c>
      <c r="CH551" s="67">
        <f t="shared" si="197"/>
        <v>210</v>
      </c>
      <c r="CI551" s="67">
        <f t="shared" si="187"/>
        <v>150</v>
      </c>
      <c r="CJ551" s="37">
        <f t="shared" si="183"/>
        <v>45</v>
      </c>
      <c r="CK551" s="37">
        <f t="shared" si="184"/>
        <v>60</v>
      </c>
      <c r="CL551" s="37">
        <f t="shared" si="185"/>
        <v>63</v>
      </c>
      <c r="CM551" s="37">
        <f t="shared" si="186"/>
        <v>45</v>
      </c>
    </row>
    <row r="552" spans="1:91" ht="25.5">
      <c r="B552" s="156">
        <v>540</v>
      </c>
      <c r="C552" s="160">
        <v>302</v>
      </c>
      <c r="D552" s="160">
        <v>466</v>
      </c>
      <c r="E552" s="161">
        <v>0.74930555555555556</v>
      </c>
      <c r="F552" s="161">
        <v>0.75416666666666676</v>
      </c>
      <c r="G552" s="160" t="s">
        <v>288</v>
      </c>
      <c r="H552" s="160" t="s">
        <v>103</v>
      </c>
      <c r="I552" s="163">
        <v>3</v>
      </c>
      <c r="J552" s="164" t="s">
        <v>93</v>
      </c>
      <c r="K552" s="165">
        <v>174</v>
      </c>
      <c r="L552" s="166">
        <f t="shared" si="196"/>
        <v>522</v>
      </c>
      <c r="M552" s="167" t="s">
        <v>719</v>
      </c>
      <c r="N552" s="150" t="s">
        <v>900</v>
      </c>
      <c r="O552" s="150">
        <v>20</v>
      </c>
      <c r="P552" s="150" t="s">
        <v>1933</v>
      </c>
      <c r="Q552" s="150">
        <v>17</v>
      </c>
      <c r="R552" s="150" t="s">
        <v>1279</v>
      </c>
      <c r="S552" s="151">
        <v>24</v>
      </c>
      <c r="T552" s="45" t="s">
        <v>1599</v>
      </c>
      <c r="U552" s="45" t="s">
        <v>1600</v>
      </c>
      <c r="V552" s="45">
        <v>3677</v>
      </c>
      <c r="W552" s="45" t="s">
        <v>1598</v>
      </c>
      <c r="X552" s="98">
        <v>44816</v>
      </c>
      <c r="Y552" s="98">
        <v>45086</v>
      </c>
      <c r="Z552" s="98"/>
      <c r="AA552" s="98"/>
      <c r="AB552" s="41" t="s">
        <v>1114</v>
      </c>
      <c r="AC552" s="41"/>
      <c r="AD552" s="44"/>
      <c r="AE552" s="44"/>
      <c r="AF552" s="44"/>
      <c r="AG552" s="42" t="s">
        <v>734</v>
      </c>
      <c r="AH552" s="42" t="s">
        <v>734</v>
      </c>
      <c r="AI552" s="42" t="s">
        <v>734</v>
      </c>
      <c r="AJ552" s="42" t="s">
        <v>734</v>
      </c>
      <c r="AK552" s="42" t="s">
        <v>734</v>
      </c>
      <c r="AL552" s="42" t="s">
        <v>734</v>
      </c>
      <c r="AM552" s="44"/>
      <c r="AN552" s="44"/>
      <c r="AO552" s="44"/>
      <c r="AP552" s="44"/>
      <c r="AQ552" s="44"/>
      <c r="AR552" s="42"/>
      <c r="AS552" s="42"/>
      <c r="AT552" s="42"/>
      <c r="AU552" s="42"/>
      <c r="AV552" s="42"/>
      <c r="AW552" s="44"/>
      <c r="AX552" s="68">
        <v>18.760000000000002</v>
      </c>
      <c r="AY552" s="75"/>
      <c r="AZ552" s="75"/>
      <c r="BA552" s="68"/>
      <c r="BB552" s="68"/>
      <c r="BC552" s="75"/>
      <c r="BD552" s="67">
        <f t="shared" si="188"/>
        <v>3264.2400000000002</v>
      </c>
      <c r="BE552" s="67"/>
      <c r="BF552" s="75"/>
      <c r="BG552" s="73">
        <v>1</v>
      </c>
      <c r="BH552" s="67">
        <f t="shared" si="193"/>
        <v>0</v>
      </c>
      <c r="BI552" s="67">
        <f t="shared" si="194"/>
        <v>0</v>
      </c>
      <c r="BJ552" s="70">
        <f t="shared" si="195"/>
        <v>0</v>
      </c>
      <c r="BN552" s="37"/>
      <c r="BO552" s="70">
        <f t="shared" si="198"/>
        <v>0</v>
      </c>
      <c r="BP552" s="37">
        <v>15</v>
      </c>
      <c r="BQ552" s="37">
        <v>20</v>
      </c>
      <c r="BR552" s="37">
        <v>21</v>
      </c>
      <c r="BS552" s="37">
        <v>15</v>
      </c>
      <c r="BT552" s="87">
        <f t="shared" si="199"/>
        <v>18.760000000000002</v>
      </c>
      <c r="BU552" s="87"/>
      <c r="BV552" s="87"/>
      <c r="BW552" s="87"/>
      <c r="BX552" s="87"/>
      <c r="BY552" s="87"/>
      <c r="BZ552" s="87"/>
      <c r="CA552" s="87"/>
      <c r="CB552" s="87"/>
      <c r="CC552" s="87"/>
      <c r="CD552" s="87"/>
      <c r="CF552" s="67">
        <f t="shared" si="200"/>
        <v>281.40000000000003</v>
      </c>
      <c r="CG552" s="67">
        <f t="shared" si="182"/>
        <v>375.20000000000005</v>
      </c>
      <c r="CH552" s="67">
        <f t="shared" si="197"/>
        <v>393.96000000000004</v>
      </c>
      <c r="CI552" s="67">
        <f t="shared" si="187"/>
        <v>281.40000000000003</v>
      </c>
      <c r="CJ552" s="37">
        <f t="shared" si="183"/>
        <v>45</v>
      </c>
      <c r="CK552" s="37">
        <f t="shared" si="184"/>
        <v>60</v>
      </c>
      <c r="CL552" s="37">
        <f t="shared" si="185"/>
        <v>63</v>
      </c>
      <c r="CM552" s="37">
        <f t="shared" si="186"/>
        <v>45</v>
      </c>
    </row>
    <row r="553" spans="1:91" ht="25.5">
      <c r="B553" s="156">
        <v>541</v>
      </c>
      <c r="C553" s="160">
        <v>302</v>
      </c>
      <c r="D553" s="160">
        <v>466</v>
      </c>
      <c r="E553" s="161">
        <v>0.74930555555555556</v>
      </c>
      <c r="F553" s="161">
        <v>0.75416666666666676</v>
      </c>
      <c r="G553" s="160" t="s">
        <v>288</v>
      </c>
      <c r="H553" s="160" t="s">
        <v>590</v>
      </c>
      <c r="I553" s="163">
        <v>3</v>
      </c>
      <c r="J553" s="164" t="s">
        <v>93</v>
      </c>
      <c r="K553" s="165">
        <v>26</v>
      </c>
      <c r="L553" s="166">
        <f t="shared" si="196"/>
        <v>78</v>
      </c>
      <c r="M553" s="167" t="s">
        <v>719</v>
      </c>
      <c r="N553" s="150" t="s">
        <v>900</v>
      </c>
      <c r="O553" s="150">
        <v>20</v>
      </c>
      <c r="P553" s="150" t="s">
        <v>1933</v>
      </c>
      <c r="Q553" s="150">
        <v>17</v>
      </c>
      <c r="R553" s="150" t="s">
        <v>1279</v>
      </c>
      <c r="S553" s="151">
        <v>24</v>
      </c>
      <c r="T553" s="45" t="s">
        <v>1599</v>
      </c>
      <c r="U553" s="45" t="s">
        <v>1600</v>
      </c>
      <c r="V553" s="45">
        <v>3677</v>
      </c>
      <c r="W553" s="45" t="s">
        <v>1598</v>
      </c>
      <c r="X553" s="99">
        <v>44816</v>
      </c>
      <c r="Y553" s="99">
        <v>45100</v>
      </c>
      <c r="Z553" s="99"/>
      <c r="AA553" s="99"/>
      <c r="AB553" s="41" t="s">
        <v>1147</v>
      </c>
      <c r="AC553" s="41"/>
      <c r="AD553" s="42" t="s">
        <v>734</v>
      </c>
      <c r="AE553" s="42"/>
      <c r="AF553" s="42" t="s">
        <v>734</v>
      </c>
      <c r="AG553" s="42"/>
      <c r="AH553" s="42"/>
      <c r="AI553" s="42"/>
      <c r="AJ553" s="42"/>
      <c r="AK553" s="42"/>
      <c r="AL553" s="42"/>
      <c r="AM553" s="42"/>
      <c r="AN553" s="42"/>
      <c r="AO553" s="42"/>
      <c r="AP553" s="42"/>
      <c r="AQ553" s="42"/>
      <c r="AR553" s="42" t="s">
        <v>734</v>
      </c>
      <c r="AS553" s="42" t="s">
        <v>734</v>
      </c>
      <c r="AT553" s="42" t="s">
        <v>734</v>
      </c>
      <c r="AU553" s="42" t="s">
        <v>734</v>
      </c>
      <c r="AV553" s="42" t="s">
        <v>734</v>
      </c>
      <c r="AW553" s="42"/>
      <c r="AX553" s="68">
        <v>18.760000000000002</v>
      </c>
      <c r="AY553" s="75"/>
      <c r="AZ553" s="75"/>
      <c r="BA553" s="68"/>
      <c r="BB553" s="68"/>
      <c r="BC553" s="75"/>
      <c r="BD553" s="67">
        <f t="shared" si="188"/>
        <v>487.76000000000005</v>
      </c>
      <c r="BE553" s="67"/>
      <c r="BF553" s="75"/>
      <c r="BG553" s="73">
        <v>1</v>
      </c>
      <c r="BH553" s="67">
        <f t="shared" si="193"/>
        <v>0</v>
      </c>
      <c r="BI553" s="67">
        <f t="shared" si="194"/>
        <v>0</v>
      </c>
      <c r="BJ553" s="70">
        <f t="shared" si="195"/>
        <v>0</v>
      </c>
      <c r="BN553" s="37"/>
      <c r="BO553" s="70">
        <f t="shared" si="198"/>
        <v>0</v>
      </c>
      <c r="BP553" s="37">
        <v>0</v>
      </c>
      <c r="BQ553" s="37">
        <v>1</v>
      </c>
      <c r="BR553" s="37">
        <v>0</v>
      </c>
      <c r="BS553" s="37">
        <v>5</v>
      </c>
      <c r="BT553" s="87">
        <f t="shared" si="199"/>
        <v>18.760000000000002</v>
      </c>
      <c r="BU553" s="87"/>
      <c r="BV553" s="87"/>
      <c r="BW553" s="87"/>
      <c r="BX553" s="87"/>
      <c r="BY553" s="87"/>
      <c r="BZ553" s="87"/>
      <c r="CA553" s="87"/>
      <c r="CB553" s="87"/>
      <c r="CC553" s="87"/>
      <c r="CD553" s="87"/>
      <c r="CF553" s="67">
        <f t="shared" si="200"/>
        <v>0</v>
      </c>
      <c r="CG553" s="67">
        <f t="shared" si="182"/>
        <v>18.760000000000002</v>
      </c>
      <c r="CH553" s="67">
        <f t="shared" si="197"/>
        <v>0</v>
      </c>
      <c r="CI553" s="67">
        <f t="shared" si="187"/>
        <v>93.800000000000011</v>
      </c>
      <c r="CJ553" s="37">
        <f t="shared" si="183"/>
        <v>0</v>
      </c>
      <c r="CK553" s="37">
        <f t="shared" si="184"/>
        <v>3</v>
      </c>
      <c r="CL553" s="37">
        <f t="shared" si="185"/>
        <v>0</v>
      </c>
      <c r="CM553" s="37">
        <f t="shared" si="186"/>
        <v>15</v>
      </c>
    </row>
    <row r="554" spans="1:91" ht="25.5">
      <c r="B554" s="156">
        <v>542</v>
      </c>
      <c r="C554" s="160">
        <v>302</v>
      </c>
      <c r="D554" s="160">
        <v>466</v>
      </c>
      <c r="E554" s="161">
        <v>0.74930555555555556</v>
      </c>
      <c r="F554" s="161">
        <v>0.75416666666666676</v>
      </c>
      <c r="G554" s="160" t="s">
        <v>288</v>
      </c>
      <c r="H554" s="160" t="s">
        <v>591</v>
      </c>
      <c r="I554" s="163">
        <v>3</v>
      </c>
      <c r="J554" s="164" t="s">
        <v>93</v>
      </c>
      <c r="K554" s="165">
        <v>44</v>
      </c>
      <c r="L554" s="166">
        <f t="shared" si="196"/>
        <v>132</v>
      </c>
      <c r="M554" s="167" t="s">
        <v>719</v>
      </c>
      <c r="N554" s="150" t="s">
        <v>900</v>
      </c>
      <c r="O554" s="150">
        <v>20</v>
      </c>
      <c r="P554" s="150" t="s">
        <v>1933</v>
      </c>
      <c r="Q554" s="150">
        <v>17</v>
      </c>
      <c r="R554" s="150" t="s">
        <v>1279</v>
      </c>
      <c r="S554" s="151">
        <v>24</v>
      </c>
      <c r="T554" s="45" t="s">
        <v>1599</v>
      </c>
      <c r="U554" s="45" t="s">
        <v>1600</v>
      </c>
      <c r="V554" s="45">
        <v>3677</v>
      </c>
      <c r="W554" s="45" t="s">
        <v>1598</v>
      </c>
      <c r="X554" s="99">
        <v>44562</v>
      </c>
      <c r="Y554" s="99">
        <v>44815</v>
      </c>
      <c r="Z554" s="99">
        <v>45101</v>
      </c>
      <c r="AA554" s="99">
        <v>45169</v>
      </c>
      <c r="AB554" s="46" t="s">
        <v>1155</v>
      </c>
      <c r="AC554" s="46"/>
      <c r="AD554" s="44"/>
      <c r="AE554" s="44" t="s">
        <v>734</v>
      </c>
      <c r="AF554" s="44" t="s">
        <v>734</v>
      </c>
      <c r="AG554" s="44"/>
      <c r="AH554" s="44" t="s">
        <v>734</v>
      </c>
      <c r="AI554" s="44" t="s">
        <v>734</v>
      </c>
      <c r="AJ554" s="44" t="s">
        <v>734</v>
      </c>
      <c r="AK554" s="44" t="s">
        <v>734</v>
      </c>
      <c r="AL554" s="44"/>
      <c r="AM554" s="44"/>
      <c r="AN554" s="44"/>
      <c r="AO554" s="44"/>
      <c r="AP554" s="44"/>
      <c r="AQ554" s="44"/>
      <c r="AR554" s="44"/>
      <c r="AS554" s="44"/>
      <c r="AT554" s="44"/>
      <c r="AU554" s="44"/>
      <c r="AV554" s="44"/>
      <c r="AW554" s="44"/>
      <c r="AX554" s="68">
        <v>10</v>
      </c>
      <c r="AY554" s="75"/>
      <c r="AZ554" s="75"/>
      <c r="BA554" s="68"/>
      <c r="BB554" s="68"/>
      <c r="BC554" s="75"/>
      <c r="BD554" s="67">
        <f t="shared" si="188"/>
        <v>440</v>
      </c>
      <c r="BE554" s="67"/>
      <c r="BF554" s="75"/>
      <c r="BG554" s="73">
        <v>1</v>
      </c>
      <c r="BH554" s="67">
        <f t="shared" si="193"/>
        <v>0</v>
      </c>
      <c r="BI554" s="67">
        <f t="shared" si="194"/>
        <v>0</v>
      </c>
      <c r="BJ554" s="70">
        <f t="shared" si="195"/>
        <v>0</v>
      </c>
      <c r="BN554" s="37"/>
      <c r="BO554" s="70">
        <f t="shared" si="198"/>
        <v>0</v>
      </c>
      <c r="BP554" s="37">
        <v>5</v>
      </c>
      <c r="BQ554" s="37">
        <v>0</v>
      </c>
      <c r="BR554" s="37">
        <v>0</v>
      </c>
      <c r="BS554" s="37">
        <v>0</v>
      </c>
      <c r="BT554" s="87">
        <f t="shared" si="199"/>
        <v>10</v>
      </c>
      <c r="BU554" s="87"/>
      <c r="BV554" s="87"/>
      <c r="BW554" s="87"/>
      <c r="BX554" s="87"/>
      <c r="BY554" s="87"/>
      <c r="BZ554" s="87"/>
      <c r="CA554" s="87"/>
      <c r="CB554" s="87"/>
      <c r="CC554" s="87"/>
      <c r="CD554" s="87"/>
      <c r="CF554" s="67">
        <f t="shared" si="200"/>
        <v>50</v>
      </c>
      <c r="CG554" s="67">
        <f t="shared" si="182"/>
        <v>0</v>
      </c>
      <c r="CH554" s="67">
        <f t="shared" si="197"/>
        <v>0</v>
      </c>
      <c r="CI554" s="67">
        <f t="shared" si="187"/>
        <v>0</v>
      </c>
      <c r="CJ554" s="37">
        <f t="shared" si="183"/>
        <v>15</v>
      </c>
      <c r="CK554" s="37">
        <f t="shared" si="184"/>
        <v>0</v>
      </c>
      <c r="CL554" s="37">
        <f t="shared" si="185"/>
        <v>0</v>
      </c>
      <c r="CM554" s="37">
        <f t="shared" si="186"/>
        <v>0</v>
      </c>
    </row>
    <row r="555" spans="1:91" ht="25.5">
      <c r="B555" s="156">
        <v>543</v>
      </c>
      <c r="C555" s="160">
        <v>302</v>
      </c>
      <c r="D555" s="160">
        <v>167</v>
      </c>
      <c r="E555" s="161">
        <v>0.76736111111111116</v>
      </c>
      <c r="F555" s="161">
        <v>0.80069444444444438</v>
      </c>
      <c r="G555" s="160" t="s">
        <v>158</v>
      </c>
      <c r="H555" s="160" t="s">
        <v>550</v>
      </c>
      <c r="I555" s="163">
        <v>25</v>
      </c>
      <c r="J555" s="164" t="s">
        <v>156</v>
      </c>
      <c r="K555" s="165">
        <v>13</v>
      </c>
      <c r="L555" s="166">
        <f t="shared" si="196"/>
        <v>325</v>
      </c>
      <c r="M555" s="308" t="s">
        <v>2088</v>
      </c>
      <c r="N555" s="271" t="s">
        <v>2087</v>
      </c>
      <c r="O555" s="271">
        <v>23</v>
      </c>
      <c r="P555" s="150" t="s">
        <v>2085</v>
      </c>
      <c r="Q555" s="150">
        <v>24</v>
      </c>
      <c r="R555" s="150" t="s">
        <v>2086</v>
      </c>
      <c r="S555" s="150">
        <v>23</v>
      </c>
      <c r="T555" s="45">
        <v>3695</v>
      </c>
      <c r="U555" s="45" t="s">
        <v>1601</v>
      </c>
      <c r="V555" s="45">
        <v>1</v>
      </c>
      <c r="W555" s="45" t="s">
        <v>1339</v>
      </c>
      <c r="X555" s="99">
        <v>44562</v>
      </c>
      <c r="Y555" s="99">
        <v>44815</v>
      </c>
      <c r="Z555" s="99">
        <v>45101</v>
      </c>
      <c r="AA555" s="99">
        <v>45169</v>
      </c>
      <c r="AB555" s="36" t="s">
        <v>1116</v>
      </c>
      <c r="AC555" s="36"/>
      <c r="AD555" s="44"/>
      <c r="AE555" s="42" t="s">
        <v>734</v>
      </c>
      <c r="AF555" s="42"/>
      <c r="AG555" s="42"/>
      <c r="AH555" s="42"/>
      <c r="AI555" s="42"/>
      <c r="AJ555" s="42"/>
      <c r="AK555" s="42"/>
      <c r="AL555" s="42"/>
      <c r="AM555" s="42"/>
      <c r="AN555" s="42" t="s">
        <v>734</v>
      </c>
      <c r="AO555" s="44"/>
      <c r="AP555" s="44"/>
      <c r="AQ555" s="44"/>
      <c r="AR555" s="42"/>
      <c r="AS555" s="42"/>
      <c r="AT555" s="42"/>
      <c r="AU555" s="42"/>
      <c r="AV555" s="42"/>
      <c r="AW555" s="42"/>
      <c r="AX555" s="68">
        <v>71.239999999999995</v>
      </c>
      <c r="AY555" s="75"/>
      <c r="AZ555" s="75"/>
      <c r="BA555" s="68"/>
      <c r="BB555" s="68"/>
      <c r="BC555" s="75"/>
      <c r="BD555" s="67">
        <f t="shared" si="188"/>
        <v>926.11999999999989</v>
      </c>
      <c r="BE555" s="67"/>
      <c r="BF555" s="75"/>
      <c r="BG555" s="73">
        <v>1</v>
      </c>
      <c r="BH555" s="67">
        <f t="shared" si="193"/>
        <v>0</v>
      </c>
      <c r="BI555" s="67">
        <f t="shared" si="194"/>
        <v>0</v>
      </c>
      <c r="BJ555" s="70">
        <f t="shared" si="195"/>
        <v>0</v>
      </c>
      <c r="BN555" s="37"/>
      <c r="BO555" s="70">
        <f t="shared" si="198"/>
        <v>0</v>
      </c>
      <c r="BP555" s="37">
        <v>2</v>
      </c>
      <c r="BQ555" s="37">
        <v>0</v>
      </c>
      <c r="BR555" s="37">
        <v>0</v>
      </c>
      <c r="BT555" s="87">
        <f t="shared" si="199"/>
        <v>71.239999999999995</v>
      </c>
      <c r="BU555" s="87"/>
      <c r="BV555" s="87"/>
      <c r="BW555" s="87"/>
      <c r="BX555" s="87"/>
      <c r="BY555" s="87"/>
      <c r="BZ555" s="87"/>
      <c r="CA555" s="87"/>
      <c r="CB555" s="87"/>
      <c r="CC555" s="87"/>
      <c r="CD555" s="87"/>
      <c r="CF555" s="67">
        <f t="shared" si="200"/>
        <v>142.47999999999999</v>
      </c>
      <c r="CG555" s="67">
        <f t="shared" si="182"/>
        <v>0</v>
      </c>
      <c r="CH555" s="67">
        <f t="shared" si="197"/>
        <v>0</v>
      </c>
      <c r="CI555" s="67">
        <f t="shared" si="187"/>
        <v>0</v>
      </c>
      <c r="CJ555" s="37">
        <f t="shared" si="183"/>
        <v>50</v>
      </c>
      <c r="CK555" s="37">
        <f t="shared" si="184"/>
        <v>0</v>
      </c>
      <c r="CL555" s="37">
        <f t="shared" si="185"/>
        <v>0</v>
      </c>
      <c r="CM555" s="37">
        <f t="shared" si="186"/>
        <v>0</v>
      </c>
    </row>
    <row r="556" spans="1:91" s="75" customFormat="1" ht="25.5">
      <c r="A556" s="3"/>
      <c r="B556" s="156">
        <v>544</v>
      </c>
      <c r="C556" s="160">
        <v>302</v>
      </c>
      <c r="D556" s="160">
        <v>167</v>
      </c>
      <c r="E556" s="161">
        <v>0.76736111111111116</v>
      </c>
      <c r="F556" s="161">
        <v>0.80069444444444438</v>
      </c>
      <c r="G556" s="160" t="s">
        <v>158</v>
      </c>
      <c r="H556" s="160" t="s">
        <v>444</v>
      </c>
      <c r="I556" s="163">
        <v>25</v>
      </c>
      <c r="J556" s="164" t="s">
        <v>156</v>
      </c>
      <c r="K556" s="165">
        <v>47</v>
      </c>
      <c r="L556" s="166">
        <f t="shared" si="196"/>
        <v>1175</v>
      </c>
      <c r="M556" s="308" t="s">
        <v>2088</v>
      </c>
      <c r="N556" s="271" t="s">
        <v>2087</v>
      </c>
      <c r="O556" s="271">
        <v>23</v>
      </c>
      <c r="P556" s="150" t="s">
        <v>2085</v>
      </c>
      <c r="Q556" s="150">
        <v>24</v>
      </c>
      <c r="R556" s="150" t="s">
        <v>2086</v>
      </c>
      <c r="S556" s="150">
        <v>23</v>
      </c>
      <c r="T556" s="45">
        <v>3695</v>
      </c>
      <c r="U556" s="45" t="s">
        <v>1601</v>
      </c>
      <c r="V556" s="45">
        <v>1</v>
      </c>
      <c r="W556" s="45" t="s">
        <v>1339</v>
      </c>
      <c r="X556" s="99">
        <v>44816</v>
      </c>
      <c r="Y556" s="99">
        <v>45100</v>
      </c>
      <c r="Z556" s="99"/>
      <c r="AA556" s="99"/>
      <c r="AB556" s="46" t="s">
        <v>1115</v>
      </c>
      <c r="AC556" s="46"/>
      <c r="AD556" s="42" t="s">
        <v>734</v>
      </c>
      <c r="AE556" s="42"/>
      <c r="AF556" s="42"/>
      <c r="AG556" s="42"/>
      <c r="AH556" s="42"/>
      <c r="AI556" s="42"/>
      <c r="AJ556" s="42"/>
      <c r="AK556" s="42"/>
      <c r="AL556" s="42"/>
      <c r="AM556" s="42"/>
      <c r="AN556" s="42" t="s">
        <v>734</v>
      </c>
      <c r="AO556" s="44"/>
      <c r="AP556" s="44"/>
      <c r="AQ556" s="44"/>
      <c r="AR556" s="42"/>
      <c r="AS556" s="42"/>
      <c r="AT556" s="42"/>
      <c r="AU556" s="42"/>
      <c r="AV556" s="42"/>
      <c r="AW556" s="42"/>
      <c r="AX556" s="68">
        <v>71.239999999999995</v>
      </c>
      <c r="BA556" s="68"/>
      <c r="BB556" s="68"/>
      <c r="BD556" s="67">
        <f t="shared" si="188"/>
        <v>3348.2799999999997</v>
      </c>
      <c r="BE556" s="67"/>
      <c r="BG556" s="73">
        <v>1</v>
      </c>
      <c r="BH556" s="67">
        <f t="shared" si="193"/>
        <v>0</v>
      </c>
      <c r="BI556" s="67">
        <f t="shared" si="194"/>
        <v>0</v>
      </c>
      <c r="BJ556" s="70">
        <f t="shared" si="195"/>
        <v>0</v>
      </c>
      <c r="BO556" s="70">
        <f t="shared" si="198"/>
        <v>0</v>
      </c>
      <c r="BP556" s="37">
        <v>2</v>
      </c>
      <c r="BQ556" s="37">
        <v>5</v>
      </c>
      <c r="BR556" s="37">
        <v>5</v>
      </c>
      <c r="BS556" s="37">
        <v>6</v>
      </c>
      <c r="BT556" s="87">
        <f t="shared" si="199"/>
        <v>71.239999999999995</v>
      </c>
      <c r="BU556" s="87"/>
      <c r="BV556" s="87"/>
      <c r="BW556" s="87"/>
      <c r="BX556" s="87"/>
      <c r="BY556" s="87"/>
      <c r="BZ556" s="87"/>
      <c r="CA556" s="87"/>
      <c r="CB556" s="87"/>
      <c r="CC556" s="87"/>
      <c r="CD556" s="87"/>
      <c r="CF556" s="67">
        <f t="shared" si="200"/>
        <v>142.47999999999999</v>
      </c>
      <c r="CG556" s="67">
        <f t="shared" si="182"/>
        <v>356.2</v>
      </c>
      <c r="CH556" s="67">
        <f t="shared" si="197"/>
        <v>356.2</v>
      </c>
      <c r="CI556" s="67">
        <f t="shared" si="187"/>
        <v>427.43999999999994</v>
      </c>
      <c r="CJ556" s="37">
        <f t="shared" si="183"/>
        <v>50</v>
      </c>
      <c r="CK556" s="37">
        <f t="shared" si="184"/>
        <v>125</v>
      </c>
      <c r="CL556" s="37">
        <f t="shared" si="185"/>
        <v>125</v>
      </c>
      <c r="CM556" s="37">
        <f t="shared" si="186"/>
        <v>150</v>
      </c>
    </row>
    <row r="557" spans="1:91" s="75" customFormat="1" ht="25.5">
      <c r="A557" s="3"/>
      <c r="B557" s="156">
        <v>545</v>
      </c>
      <c r="C557" s="160">
        <v>302</v>
      </c>
      <c r="D557" s="160">
        <v>238</v>
      </c>
      <c r="E557" s="161">
        <v>0.85416666666666663</v>
      </c>
      <c r="F557" s="161">
        <v>0.87847222222222221</v>
      </c>
      <c r="G557" s="160" t="s">
        <v>154</v>
      </c>
      <c r="H557" s="160" t="s">
        <v>425</v>
      </c>
      <c r="I557" s="163">
        <v>22</v>
      </c>
      <c r="J557" s="164" t="s">
        <v>93</v>
      </c>
      <c r="K557" s="165">
        <v>55</v>
      </c>
      <c r="L557" s="166">
        <f t="shared" si="196"/>
        <v>1210</v>
      </c>
      <c r="M557" s="308" t="s">
        <v>2088</v>
      </c>
      <c r="N557" s="271" t="s">
        <v>2087</v>
      </c>
      <c r="O557" s="271">
        <v>23</v>
      </c>
      <c r="P557" s="150" t="s">
        <v>2085</v>
      </c>
      <c r="Q557" s="150">
        <v>24</v>
      </c>
      <c r="R557" s="150" t="s">
        <v>2086</v>
      </c>
      <c r="S557" s="150">
        <v>23</v>
      </c>
      <c r="T557" s="45">
        <v>1</v>
      </c>
      <c r="U557" s="45" t="s">
        <v>1336</v>
      </c>
      <c r="V557" s="45">
        <v>3690</v>
      </c>
      <c r="W557" s="45" t="s">
        <v>1603</v>
      </c>
      <c r="X557" s="99">
        <v>44562</v>
      </c>
      <c r="Y557" s="99">
        <v>44815</v>
      </c>
      <c r="Z557" s="99">
        <v>45101</v>
      </c>
      <c r="AA557" s="99">
        <v>45169</v>
      </c>
      <c r="AB557" s="41" t="s">
        <v>1121</v>
      </c>
      <c r="AC557" s="41"/>
      <c r="AD557" s="44"/>
      <c r="AE557" s="42" t="s">
        <v>734</v>
      </c>
      <c r="AF557" s="42" t="s">
        <v>734</v>
      </c>
      <c r="AG557" s="42"/>
      <c r="AH557" s="42" t="s">
        <v>734</v>
      </c>
      <c r="AI557" s="42" t="s">
        <v>734</v>
      </c>
      <c r="AJ557" s="42" t="s">
        <v>734</v>
      </c>
      <c r="AK557" s="42" t="s">
        <v>734</v>
      </c>
      <c r="AL557" s="42" t="s">
        <v>734</v>
      </c>
      <c r="AM557" s="44"/>
      <c r="AN557" s="44"/>
      <c r="AO557" s="44"/>
      <c r="AP557" s="44"/>
      <c r="AQ557" s="42"/>
      <c r="AR557" s="42"/>
      <c r="AS557" s="42"/>
      <c r="AT557" s="42"/>
      <c r="AU557" s="42"/>
      <c r="AV557" s="42"/>
      <c r="AW557" s="42"/>
      <c r="AX557" s="68">
        <v>126.1</v>
      </c>
      <c r="BA557" s="68"/>
      <c r="BB557" s="68"/>
      <c r="BD557" s="67">
        <f t="shared" si="188"/>
        <v>6935.5</v>
      </c>
      <c r="BE557" s="67"/>
      <c r="BG557" s="73">
        <v>1</v>
      </c>
      <c r="BH557" s="67">
        <f t="shared" si="193"/>
        <v>0</v>
      </c>
      <c r="BI557" s="67">
        <f t="shared" si="194"/>
        <v>0</v>
      </c>
      <c r="BJ557" s="70">
        <f t="shared" si="195"/>
        <v>0</v>
      </c>
      <c r="BO557" s="70">
        <f t="shared" si="198"/>
        <v>0</v>
      </c>
      <c r="BP557" s="37">
        <v>7</v>
      </c>
      <c r="BQ557" s="37">
        <v>0</v>
      </c>
      <c r="BR557" s="37">
        <v>0</v>
      </c>
      <c r="BT557" s="87">
        <f t="shared" si="199"/>
        <v>126.1</v>
      </c>
      <c r="BU557" s="87"/>
      <c r="BV557" s="87"/>
      <c r="BW557" s="87"/>
      <c r="BX557" s="87"/>
      <c r="BY557" s="87"/>
      <c r="BZ557" s="87"/>
      <c r="CA557" s="87"/>
      <c r="CB557" s="87"/>
      <c r="CC557" s="87"/>
      <c r="CD557" s="87"/>
      <c r="CF557" s="67">
        <f t="shared" si="200"/>
        <v>882.69999999999993</v>
      </c>
      <c r="CG557" s="67">
        <f t="shared" si="182"/>
        <v>0</v>
      </c>
      <c r="CH557" s="67">
        <f t="shared" si="197"/>
        <v>0</v>
      </c>
      <c r="CI557" s="67">
        <f t="shared" si="187"/>
        <v>0</v>
      </c>
      <c r="CJ557" s="37">
        <f t="shared" si="183"/>
        <v>154</v>
      </c>
      <c r="CK557" s="37">
        <f t="shared" si="184"/>
        <v>0</v>
      </c>
      <c r="CL557" s="37">
        <f t="shared" si="185"/>
        <v>0</v>
      </c>
      <c r="CM557" s="37">
        <f t="shared" si="186"/>
        <v>0</v>
      </c>
    </row>
    <row r="558" spans="1:91" s="75" customFormat="1" ht="25.5">
      <c r="A558" s="3"/>
      <c r="B558" s="156">
        <v>546</v>
      </c>
      <c r="C558" s="160">
        <v>302</v>
      </c>
      <c r="D558" s="160">
        <v>238</v>
      </c>
      <c r="E558" s="161">
        <v>0.85416666666666663</v>
      </c>
      <c r="F558" s="161">
        <v>0.87847222222222221</v>
      </c>
      <c r="G558" s="160" t="s">
        <v>154</v>
      </c>
      <c r="H558" s="160" t="s">
        <v>203</v>
      </c>
      <c r="I558" s="163">
        <v>22</v>
      </c>
      <c r="J558" s="164" t="s">
        <v>93</v>
      </c>
      <c r="K558" s="165">
        <v>202</v>
      </c>
      <c r="L558" s="166">
        <f t="shared" si="196"/>
        <v>4444</v>
      </c>
      <c r="M558" s="308" t="s">
        <v>2088</v>
      </c>
      <c r="N558" s="271" t="s">
        <v>2087</v>
      </c>
      <c r="O558" s="271">
        <v>23</v>
      </c>
      <c r="P558" s="150" t="s">
        <v>2091</v>
      </c>
      <c r="Q558" s="150">
        <v>20</v>
      </c>
      <c r="R558" s="150" t="s">
        <v>2086</v>
      </c>
      <c r="S558" s="150"/>
      <c r="T558" s="45">
        <v>1</v>
      </c>
      <c r="U558" s="45" t="s">
        <v>1336</v>
      </c>
      <c r="V558" s="45">
        <v>3690</v>
      </c>
      <c r="W558" s="45" t="s">
        <v>1603</v>
      </c>
      <c r="X558" s="99">
        <v>44816</v>
      </c>
      <c r="Y558" s="99">
        <v>45100</v>
      </c>
      <c r="Z558" s="99"/>
      <c r="AA558" s="99"/>
      <c r="AB558" s="41" t="s">
        <v>1120</v>
      </c>
      <c r="AC558" s="41"/>
      <c r="AD558" s="42" t="s">
        <v>734</v>
      </c>
      <c r="AE558" s="42"/>
      <c r="AF558" s="42" t="s">
        <v>734</v>
      </c>
      <c r="AG558" s="42"/>
      <c r="AH558" s="42" t="s">
        <v>734</v>
      </c>
      <c r="AI558" s="42" t="s">
        <v>734</v>
      </c>
      <c r="AJ558" s="42" t="s">
        <v>734</v>
      </c>
      <c r="AK558" s="42" t="s">
        <v>734</v>
      </c>
      <c r="AL558" s="42" t="s">
        <v>734</v>
      </c>
      <c r="AM558" s="42"/>
      <c r="AN558" s="42"/>
      <c r="AO558" s="42"/>
      <c r="AP558" s="42"/>
      <c r="AQ558" s="42"/>
      <c r="AR558" s="42"/>
      <c r="AS558" s="42"/>
      <c r="AT558" s="42"/>
      <c r="AU558" s="42"/>
      <c r="AV558" s="42"/>
      <c r="AW558" s="42"/>
      <c r="AX558" s="68">
        <v>126.1</v>
      </c>
      <c r="AY558" s="37"/>
      <c r="AZ558" s="37"/>
      <c r="BA558" s="68"/>
      <c r="BB558" s="68"/>
      <c r="BC558" s="37"/>
      <c r="BD558" s="67">
        <f t="shared" si="188"/>
        <v>25472.199999999997</v>
      </c>
      <c r="BE558" s="67"/>
      <c r="BF558" s="37"/>
      <c r="BG558" s="73">
        <v>1</v>
      </c>
      <c r="BH558" s="67">
        <f t="shared" si="193"/>
        <v>0</v>
      </c>
      <c r="BI558" s="67">
        <f t="shared" si="194"/>
        <v>0</v>
      </c>
      <c r="BJ558" s="70">
        <f t="shared" si="195"/>
        <v>0</v>
      </c>
      <c r="BO558" s="70">
        <f t="shared" si="198"/>
        <v>0</v>
      </c>
      <c r="BP558" s="37">
        <v>15</v>
      </c>
      <c r="BQ558" s="37">
        <v>21</v>
      </c>
      <c r="BR558" s="37">
        <v>21</v>
      </c>
      <c r="BS558" s="37">
        <v>20</v>
      </c>
      <c r="BT558" s="87">
        <f t="shared" si="199"/>
        <v>126.1</v>
      </c>
      <c r="BU558" s="87"/>
      <c r="BV558" s="87"/>
      <c r="BW558" s="87"/>
      <c r="BX558" s="87"/>
      <c r="BY558" s="87"/>
      <c r="BZ558" s="87"/>
      <c r="CA558" s="87"/>
      <c r="CB558" s="87"/>
      <c r="CC558" s="87"/>
      <c r="CD558" s="87"/>
      <c r="CF558" s="67">
        <f t="shared" si="200"/>
        <v>1891.5</v>
      </c>
      <c r="CG558" s="67">
        <f t="shared" si="182"/>
        <v>2648.1</v>
      </c>
      <c r="CH558" s="67">
        <f t="shared" si="197"/>
        <v>2648.1</v>
      </c>
      <c r="CI558" s="67">
        <f t="shared" si="187"/>
        <v>2522</v>
      </c>
      <c r="CJ558" s="37">
        <f t="shared" si="183"/>
        <v>330</v>
      </c>
      <c r="CK558" s="37">
        <f t="shared" si="184"/>
        <v>462</v>
      </c>
      <c r="CL558" s="37">
        <f t="shared" si="185"/>
        <v>462</v>
      </c>
      <c r="CM558" s="37">
        <f t="shared" si="186"/>
        <v>440</v>
      </c>
    </row>
    <row r="559" spans="1:91" s="75" customFormat="1" ht="25.5">
      <c r="A559" s="3"/>
      <c r="B559" s="156">
        <v>547</v>
      </c>
      <c r="C559" s="160">
        <v>302</v>
      </c>
      <c r="D559" s="160">
        <v>238</v>
      </c>
      <c r="E559" s="161">
        <v>0.91666666666666663</v>
      </c>
      <c r="F559" s="161">
        <v>0.94097222222222221</v>
      </c>
      <c r="G559" s="160" t="s">
        <v>154</v>
      </c>
      <c r="H559" s="160" t="s">
        <v>509</v>
      </c>
      <c r="I559" s="163">
        <v>22</v>
      </c>
      <c r="J559" s="164" t="s">
        <v>93</v>
      </c>
      <c r="K559" s="165">
        <v>12</v>
      </c>
      <c r="L559" s="166">
        <f t="shared" si="196"/>
        <v>264</v>
      </c>
      <c r="M559" s="308" t="s">
        <v>2088</v>
      </c>
      <c r="N559" s="271" t="s">
        <v>2087</v>
      </c>
      <c r="O559" s="271">
        <v>23</v>
      </c>
      <c r="P559" s="150" t="s">
        <v>2085</v>
      </c>
      <c r="Q559" s="150">
        <v>24</v>
      </c>
      <c r="R559" s="150" t="s">
        <v>2086</v>
      </c>
      <c r="S559" s="150">
        <v>23</v>
      </c>
      <c r="T559" s="45">
        <v>1</v>
      </c>
      <c r="U559" s="45" t="s">
        <v>1336</v>
      </c>
      <c r="V559" s="45">
        <v>3690</v>
      </c>
      <c r="W559" s="45" t="s">
        <v>1603</v>
      </c>
      <c r="X559" s="99">
        <v>44562</v>
      </c>
      <c r="Y559" s="99">
        <v>44815</v>
      </c>
      <c r="Z559" s="99">
        <v>45101</v>
      </c>
      <c r="AA559" s="99">
        <v>45169</v>
      </c>
      <c r="AB559" s="41" t="s">
        <v>1131</v>
      </c>
      <c r="AC559" s="41"/>
      <c r="AD559" s="42"/>
      <c r="AE559" s="42" t="s">
        <v>734</v>
      </c>
      <c r="AF559" s="42" t="s">
        <v>734</v>
      </c>
      <c r="AG559" s="42"/>
      <c r="AH559" s="42"/>
      <c r="AI559" s="42"/>
      <c r="AJ559" s="42"/>
      <c r="AK559" s="42"/>
      <c r="AL559" s="42"/>
      <c r="AM559" s="42" t="s">
        <v>734</v>
      </c>
      <c r="AN559" s="42"/>
      <c r="AO559" s="42"/>
      <c r="AP559" s="42"/>
      <c r="AQ559" s="42"/>
      <c r="AR559" s="42"/>
      <c r="AS559" s="42"/>
      <c r="AT559" s="42"/>
      <c r="AU559" s="42"/>
      <c r="AV559" s="42"/>
      <c r="AW559" s="42"/>
      <c r="AX559" s="68">
        <v>126.1</v>
      </c>
      <c r="AY559" s="37"/>
      <c r="AZ559" s="37"/>
      <c r="BA559" s="68"/>
      <c r="BB559" s="68"/>
      <c r="BC559" s="37"/>
      <c r="BD559" s="67">
        <f t="shared" si="188"/>
        <v>1513.1999999999998</v>
      </c>
      <c r="BE559" s="67"/>
      <c r="BF559" s="37"/>
      <c r="BG559" s="73">
        <v>1</v>
      </c>
      <c r="BH559" s="67">
        <f t="shared" si="193"/>
        <v>0</v>
      </c>
      <c r="BI559" s="67">
        <f t="shared" si="194"/>
        <v>0</v>
      </c>
      <c r="BJ559" s="70">
        <f t="shared" si="195"/>
        <v>0</v>
      </c>
      <c r="BO559" s="70">
        <f t="shared" si="198"/>
        <v>0</v>
      </c>
      <c r="BP559" s="37">
        <v>2</v>
      </c>
      <c r="BQ559" s="37">
        <v>0</v>
      </c>
      <c r="BR559" s="37">
        <v>0</v>
      </c>
      <c r="BT559" s="87">
        <f t="shared" si="199"/>
        <v>126.1</v>
      </c>
      <c r="BU559" s="87"/>
      <c r="BV559" s="87"/>
      <c r="BW559" s="87"/>
      <c r="BX559" s="87"/>
      <c r="BY559" s="87"/>
      <c r="BZ559" s="87"/>
      <c r="CA559" s="87"/>
      <c r="CB559" s="87"/>
      <c r="CC559" s="87"/>
      <c r="CD559" s="87"/>
      <c r="CF559" s="67">
        <f t="shared" si="200"/>
        <v>252.2</v>
      </c>
      <c r="CG559" s="67">
        <f t="shared" si="182"/>
        <v>0</v>
      </c>
      <c r="CH559" s="67">
        <f t="shared" si="197"/>
        <v>0</v>
      </c>
      <c r="CI559" s="67">
        <f t="shared" si="187"/>
        <v>0</v>
      </c>
      <c r="CJ559" s="37">
        <f t="shared" si="183"/>
        <v>44</v>
      </c>
      <c r="CK559" s="37">
        <f t="shared" si="184"/>
        <v>0</v>
      </c>
      <c r="CL559" s="37">
        <f t="shared" si="185"/>
        <v>0</v>
      </c>
      <c r="CM559" s="37">
        <f t="shared" si="186"/>
        <v>0</v>
      </c>
    </row>
    <row r="560" spans="1:91" s="75" customFormat="1" ht="25.5">
      <c r="A560" s="3"/>
      <c r="B560" s="156">
        <v>548</v>
      </c>
      <c r="C560" s="160">
        <v>302</v>
      </c>
      <c r="D560" s="160">
        <v>238</v>
      </c>
      <c r="E560" s="161">
        <v>0.91666666666666663</v>
      </c>
      <c r="F560" s="161">
        <v>0.94097222222222221</v>
      </c>
      <c r="G560" s="160" t="s">
        <v>154</v>
      </c>
      <c r="H560" s="160" t="s">
        <v>161</v>
      </c>
      <c r="I560" s="163">
        <v>22</v>
      </c>
      <c r="J560" s="164" t="s">
        <v>93</v>
      </c>
      <c r="K560" s="165">
        <v>38</v>
      </c>
      <c r="L560" s="166">
        <f t="shared" si="196"/>
        <v>836</v>
      </c>
      <c r="M560" s="308" t="s">
        <v>2088</v>
      </c>
      <c r="N560" s="271" t="s">
        <v>2087</v>
      </c>
      <c r="O560" s="271">
        <v>23</v>
      </c>
      <c r="P560" s="150" t="s">
        <v>2091</v>
      </c>
      <c r="Q560" s="150">
        <v>20</v>
      </c>
      <c r="R560" s="150" t="s">
        <v>2086</v>
      </c>
      <c r="S560" s="150"/>
      <c r="T560" s="45">
        <v>1</v>
      </c>
      <c r="U560" s="45" t="s">
        <v>1336</v>
      </c>
      <c r="V560" s="45">
        <v>3690</v>
      </c>
      <c r="W560" s="45" t="s">
        <v>1603</v>
      </c>
      <c r="X560" s="99">
        <v>44816</v>
      </c>
      <c r="Y560" s="99">
        <v>45100</v>
      </c>
      <c r="Z560" s="99"/>
      <c r="AA560" s="99"/>
      <c r="AB560" s="41" t="s">
        <v>1140</v>
      </c>
      <c r="AC560" s="41"/>
      <c r="AD560" s="42" t="s">
        <v>734</v>
      </c>
      <c r="AE560" s="42"/>
      <c r="AF560" s="42" t="s">
        <v>734</v>
      </c>
      <c r="AG560" s="42"/>
      <c r="AH560" s="42"/>
      <c r="AI560" s="42"/>
      <c r="AJ560" s="42"/>
      <c r="AK560" s="42"/>
      <c r="AL560" s="42"/>
      <c r="AM560" s="42" t="s">
        <v>734</v>
      </c>
      <c r="AN560" s="42"/>
      <c r="AO560" s="42"/>
      <c r="AP560" s="42"/>
      <c r="AQ560" s="42"/>
      <c r="AR560" s="42"/>
      <c r="AS560" s="42"/>
      <c r="AT560" s="42"/>
      <c r="AU560" s="42"/>
      <c r="AV560" s="42"/>
      <c r="AW560" s="42"/>
      <c r="AX560" s="68">
        <v>126.1</v>
      </c>
      <c r="AY560" s="37"/>
      <c r="AZ560" s="37"/>
      <c r="BA560" s="68"/>
      <c r="BB560" s="68"/>
      <c r="BC560" s="37"/>
      <c r="BD560" s="67">
        <f t="shared" si="188"/>
        <v>4791.8</v>
      </c>
      <c r="BE560" s="67"/>
      <c r="BF560" s="37"/>
      <c r="BG560" s="73">
        <v>1</v>
      </c>
      <c r="BH560" s="67">
        <f t="shared" si="193"/>
        <v>0</v>
      </c>
      <c r="BI560" s="67">
        <f t="shared" si="194"/>
        <v>0</v>
      </c>
      <c r="BJ560" s="70">
        <f t="shared" si="195"/>
        <v>0</v>
      </c>
      <c r="BO560" s="70">
        <f t="shared" si="198"/>
        <v>0</v>
      </c>
      <c r="BP560" s="37">
        <v>2</v>
      </c>
      <c r="BQ560" s="37">
        <v>5</v>
      </c>
      <c r="BR560" s="37">
        <v>4</v>
      </c>
      <c r="BS560" s="37">
        <v>5</v>
      </c>
      <c r="BT560" s="87">
        <f t="shared" si="199"/>
        <v>126.1</v>
      </c>
      <c r="BU560" s="87"/>
      <c r="BV560" s="87"/>
      <c r="BW560" s="87"/>
      <c r="BX560" s="87"/>
      <c r="BY560" s="87"/>
      <c r="BZ560" s="87"/>
      <c r="CA560" s="87"/>
      <c r="CB560" s="87"/>
      <c r="CC560" s="87"/>
      <c r="CD560" s="87"/>
      <c r="CF560" s="67">
        <f t="shared" si="200"/>
        <v>252.2</v>
      </c>
      <c r="CG560" s="67">
        <f t="shared" si="182"/>
        <v>630.5</v>
      </c>
      <c r="CH560" s="67">
        <f t="shared" si="197"/>
        <v>504.4</v>
      </c>
      <c r="CI560" s="67">
        <f t="shared" si="187"/>
        <v>630.5</v>
      </c>
      <c r="CJ560" s="37">
        <f t="shared" si="183"/>
        <v>44</v>
      </c>
      <c r="CK560" s="37">
        <f t="shared" si="184"/>
        <v>110</v>
      </c>
      <c r="CL560" s="37">
        <f t="shared" si="185"/>
        <v>88</v>
      </c>
      <c r="CM560" s="37">
        <f t="shared" si="186"/>
        <v>110</v>
      </c>
    </row>
    <row r="561" spans="1:91" s="75" customFormat="1" ht="33.75">
      <c r="A561" s="3" t="s">
        <v>1180</v>
      </c>
      <c r="B561" s="156">
        <v>549</v>
      </c>
      <c r="C561" s="160">
        <v>303</v>
      </c>
      <c r="D561" s="160">
        <v>545</v>
      </c>
      <c r="E561" s="161">
        <v>0.27083333333333331</v>
      </c>
      <c r="F561" s="173">
        <v>0.2951388888888889</v>
      </c>
      <c r="G561" s="174" t="s">
        <v>1048</v>
      </c>
      <c r="H561" s="160" t="s">
        <v>97</v>
      </c>
      <c r="I561" s="188">
        <v>28</v>
      </c>
      <c r="J561" s="164">
        <v>14</v>
      </c>
      <c r="K561" s="165">
        <v>208</v>
      </c>
      <c r="L561" s="166">
        <f t="shared" si="196"/>
        <v>5824</v>
      </c>
      <c r="M561" s="167" t="s">
        <v>758</v>
      </c>
      <c r="N561" s="150" t="s">
        <v>834</v>
      </c>
      <c r="O561" s="150">
        <v>15</v>
      </c>
      <c r="P561" s="150" t="s">
        <v>1934</v>
      </c>
      <c r="Q561" s="150">
        <v>9</v>
      </c>
      <c r="R561" s="150" t="s">
        <v>1280</v>
      </c>
      <c r="S561" s="151">
        <v>9</v>
      </c>
      <c r="T561" s="45">
        <v>3895</v>
      </c>
      <c r="U561" s="45" t="s">
        <v>1604</v>
      </c>
      <c r="V561" s="45" t="s">
        <v>1605</v>
      </c>
      <c r="W561" s="45" t="s">
        <v>1606</v>
      </c>
      <c r="X561" s="98">
        <v>44816</v>
      </c>
      <c r="Y561" s="98">
        <v>45086</v>
      </c>
      <c r="Z561" s="98"/>
      <c r="AA561" s="98"/>
      <c r="AB561" s="41" t="s">
        <v>1118</v>
      </c>
      <c r="AC561" s="41"/>
      <c r="AD561" s="42"/>
      <c r="AE561" s="42"/>
      <c r="AF561" s="42"/>
      <c r="AG561" s="42" t="s">
        <v>734</v>
      </c>
      <c r="AH561" s="42" t="s">
        <v>734</v>
      </c>
      <c r="AI561" s="42" t="s">
        <v>734</v>
      </c>
      <c r="AJ561" s="42" t="s">
        <v>734</v>
      </c>
      <c r="AK561" s="42" t="s">
        <v>734</v>
      </c>
      <c r="AL561" s="42" t="s">
        <v>734</v>
      </c>
      <c r="AM561" s="42" t="s">
        <v>734</v>
      </c>
      <c r="AN561" s="42"/>
      <c r="AO561" s="42"/>
      <c r="AP561" s="42"/>
      <c r="AQ561" s="42"/>
      <c r="AR561" s="42"/>
      <c r="AS561" s="42"/>
      <c r="AT561" s="42"/>
      <c r="AU561" s="42"/>
      <c r="AV561" s="42"/>
      <c r="AW561" s="42"/>
      <c r="AX561" s="67">
        <f>77.7+22.5</f>
        <v>100.2</v>
      </c>
      <c r="AY561" s="37"/>
      <c r="AZ561" s="37"/>
      <c r="BA561" s="68"/>
      <c r="BB561" s="68"/>
      <c r="BC561" s="37"/>
      <c r="BD561" s="67">
        <f t="shared" si="188"/>
        <v>20841.600000000002</v>
      </c>
      <c r="BE561" s="67"/>
      <c r="BF561" s="37"/>
      <c r="BG561" s="73">
        <v>1</v>
      </c>
      <c r="BH561" s="67">
        <f t="shared" si="193"/>
        <v>0</v>
      </c>
      <c r="BI561" s="67">
        <f t="shared" si="194"/>
        <v>0</v>
      </c>
      <c r="BJ561" s="70">
        <f t="shared" si="195"/>
        <v>0</v>
      </c>
      <c r="BN561" s="67">
        <f>IF((AX561+AY561+AZ561)&lt;20,(20-(AX561+AY561+AZ561)),0)</f>
        <v>0</v>
      </c>
      <c r="BO561" s="70">
        <f t="shared" si="198"/>
        <v>0</v>
      </c>
      <c r="BP561" s="37">
        <v>17</v>
      </c>
      <c r="BQ561" s="37">
        <v>25</v>
      </c>
      <c r="BR561" s="37">
        <v>25</v>
      </c>
      <c r="BS561" s="37">
        <v>18</v>
      </c>
      <c r="BT561" s="87">
        <f t="shared" si="199"/>
        <v>100.2</v>
      </c>
      <c r="BU561" s="87"/>
      <c r="BV561" s="87"/>
      <c r="BW561" s="87"/>
      <c r="BX561" s="87"/>
      <c r="BY561" s="87"/>
      <c r="BZ561" s="87"/>
      <c r="CA561" s="87"/>
      <c r="CB561" s="87"/>
      <c r="CC561" s="87"/>
      <c r="CD561" s="87"/>
      <c r="CF561" s="67">
        <f t="shared" si="200"/>
        <v>1703.4</v>
      </c>
      <c r="CG561" s="67">
        <f t="shared" si="182"/>
        <v>2505</v>
      </c>
      <c r="CH561" s="67">
        <f t="shared" si="197"/>
        <v>2505</v>
      </c>
      <c r="CI561" s="67">
        <f t="shared" si="187"/>
        <v>1803.6000000000001</v>
      </c>
      <c r="CJ561" s="37">
        <f t="shared" si="183"/>
        <v>476</v>
      </c>
      <c r="CK561" s="37">
        <f t="shared" si="184"/>
        <v>700</v>
      </c>
      <c r="CL561" s="37">
        <f t="shared" si="185"/>
        <v>700</v>
      </c>
      <c r="CM561" s="37">
        <f t="shared" si="186"/>
        <v>504</v>
      </c>
    </row>
    <row r="562" spans="1:91" s="75" customFormat="1" ht="33.75">
      <c r="A562" s="3"/>
      <c r="B562" s="156">
        <v>550</v>
      </c>
      <c r="C562" s="160">
        <v>303</v>
      </c>
      <c r="D562" s="160">
        <v>545</v>
      </c>
      <c r="E562" s="161">
        <v>0.27083333333333331</v>
      </c>
      <c r="F562" s="161">
        <v>0.2951388888888889</v>
      </c>
      <c r="G562" s="160" t="s">
        <v>568</v>
      </c>
      <c r="H562" s="160" t="s">
        <v>567</v>
      </c>
      <c r="I562" s="163">
        <v>28</v>
      </c>
      <c r="J562" s="164" t="s">
        <v>552</v>
      </c>
      <c r="K562" s="165">
        <v>55</v>
      </c>
      <c r="L562" s="166">
        <f t="shared" si="196"/>
        <v>1540</v>
      </c>
      <c r="M562" s="167" t="s">
        <v>758</v>
      </c>
      <c r="N562" s="150" t="s">
        <v>834</v>
      </c>
      <c r="O562" s="150">
        <v>15</v>
      </c>
      <c r="P562" s="150" t="s">
        <v>1934</v>
      </c>
      <c r="Q562" s="150">
        <v>9</v>
      </c>
      <c r="R562" s="150" t="s">
        <v>1280</v>
      </c>
      <c r="S562" s="151">
        <v>9</v>
      </c>
      <c r="T562" s="45">
        <v>3895</v>
      </c>
      <c r="U562" s="45" t="s">
        <v>1604</v>
      </c>
      <c r="V562" s="45" t="s">
        <v>1446</v>
      </c>
      <c r="W562" s="45" t="s">
        <v>1447</v>
      </c>
      <c r="X562" s="99">
        <v>44562</v>
      </c>
      <c r="Y562" s="99">
        <v>44815</v>
      </c>
      <c r="Z562" s="99">
        <v>45101</v>
      </c>
      <c r="AA562" s="99">
        <v>45169</v>
      </c>
      <c r="AB562" s="46" t="s">
        <v>1121</v>
      </c>
      <c r="AC562" s="46"/>
      <c r="AD562" s="42"/>
      <c r="AE562" s="42" t="s">
        <v>734</v>
      </c>
      <c r="AF562" s="42" t="s">
        <v>734</v>
      </c>
      <c r="AG562" s="42"/>
      <c r="AH562" s="42" t="s">
        <v>734</v>
      </c>
      <c r="AI562" s="42" t="s">
        <v>734</v>
      </c>
      <c r="AJ562" s="42" t="s">
        <v>734</v>
      </c>
      <c r="AK562" s="42" t="s">
        <v>734</v>
      </c>
      <c r="AL562" s="42" t="s">
        <v>734</v>
      </c>
      <c r="AM562" s="42"/>
      <c r="AN562" s="42"/>
      <c r="AO562" s="42"/>
      <c r="AP562" s="42"/>
      <c r="AQ562" s="42"/>
      <c r="AR562" s="42"/>
      <c r="AS562" s="42"/>
      <c r="AT562" s="42"/>
      <c r="AU562" s="42"/>
      <c r="AV562" s="42"/>
      <c r="AW562" s="42"/>
      <c r="AX562" s="68">
        <v>84</v>
      </c>
      <c r="AY562" s="37"/>
      <c r="AZ562" s="37"/>
      <c r="BA562" s="68"/>
      <c r="BB562" s="68"/>
      <c r="BC562" s="37"/>
      <c r="BD562" s="67">
        <f t="shared" si="188"/>
        <v>4620</v>
      </c>
      <c r="BE562" s="67"/>
      <c r="BF562" s="37"/>
      <c r="BG562" s="73">
        <v>1</v>
      </c>
      <c r="BH562" s="67">
        <f t="shared" si="193"/>
        <v>0</v>
      </c>
      <c r="BI562" s="67">
        <f t="shared" si="194"/>
        <v>0</v>
      </c>
      <c r="BJ562" s="70">
        <f t="shared" si="195"/>
        <v>0</v>
      </c>
      <c r="BN562" s="67">
        <f>IF((AX562+AY562+AZ562)&lt;20,(20-(AX562+AY562+AZ562)),0)</f>
        <v>0</v>
      </c>
      <c r="BO562" s="70">
        <f t="shared" si="198"/>
        <v>0</v>
      </c>
      <c r="BP562" s="37">
        <v>7</v>
      </c>
      <c r="BQ562" s="37">
        <v>0</v>
      </c>
      <c r="BR562" s="37">
        <v>0</v>
      </c>
      <c r="BT562" s="87">
        <f t="shared" si="199"/>
        <v>84</v>
      </c>
      <c r="BU562" s="87"/>
      <c r="BV562" s="87"/>
      <c r="BW562" s="87"/>
      <c r="BX562" s="87"/>
      <c r="BY562" s="87"/>
      <c r="BZ562" s="87"/>
      <c r="CA562" s="87"/>
      <c r="CB562" s="87"/>
      <c r="CC562" s="87"/>
      <c r="CD562" s="87"/>
      <c r="CF562" s="67">
        <f t="shared" si="200"/>
        <v>588</v>
      </c>
      <c r="CG562" s="67">
        <f t="shared" si="182"/>
        <v>0</v>
      </c>
      <c r="CH562" s="67">
        <f t="shared" si="197"/>
        <v>0</v>
      </c>
      <c r="CI562" s="67">
        <f t="shared" si="187"/>
        <v>0</v>
      </c>
      <c r="CJ562" s="37">
        <f t="shared" si="183"/>
        <v>196</v>
      </c>
      <c r="CK562" s="37">
        <f t="shared" si="184"/>
        <v>0</v>
      </c>
      <c r="CL562" s="37">
        <f t="shared" si="185"/>
        <v>0</v>
      </c>
      <c r="CM562" s="37">
        <f t="shared" si="186"/>
        <v>0</v>
      </c>
    </row>
    <row r="563" spans="1:91" s="75" customFormat="1" ht="38.25">
      <c r="A563" s="3"/>
      <c r="B563" s="156">
        <v>551</v>
      </c>
      <c r="C563" s="160">
        <v>303</v>
      </c>
      <c r="D563" s="160">
        <v>501</v>
      </c>
      <c r="E563" s="161">
        <v>0.28055555555555556</v>
      </c>
      <c r="F563" s="161">
        <v>0.32013888888888892</v>
      </c>
      <c r="G563" s="160" t="s">
        <v>175</v>
      </c>
      <c r="H563" s="174" t="s">
        <v>1218</v>
      </c>
      <c r="I563" s="163">
        <v>28</v>
      </c>
      <c r="J563" s="164" t="s">
        <v>165</v>
      </c>
      <c r="K563" s="179">
        <v>87</v>
      </c>
      <c r="L563" s="166">
        <f t="shared" si="196"/>
        <v>2436</v>
      </c>
      <c r="M563" s="167" t="s">
        <v>1219</v>
      </c>
      <c r="N563" s="150" t="s">
        <v>958</v>
      </c>
      <c r="O563" s="150">
        <v>58</v>
      </c>
      <c r="P563" s="3" t="s">
        <v>1281</v>
      </c>
      <c r="Q563" s="152">
        <v>55</v>
      </c>
      <c r="T563" s="45">
        <v>3820</v>
      </c>
      <c r="U563" s="45" t="s">
        <v>1607</v>
      </c>
      <c r="V563" s="45">
        <v>1</v>
      </c>
      <c r="W563" s="45" t="s">
        <v>1339</v>
      </c>
      <c r="X563" s="98">
        <v>44816</v>
      </c>
      <c r="Y563" s="98">
        <v>45086</v>
      </c>
      <c r="Z563" s="98"/>
      <c r="AA563" s="98"/>
      <c r="AB563" s="41" t="s">
        <v>1852</v>
      </c>
      <c r="AC563" s="64" t="s">
        <v>1135</v>
      </c>
      <c r="AD563" s="42"/>
      <c r="AE563" s="42"/>
      <c r="AF563" s="42"/>
      <c r="AG563" s="42" t="s">
        <v>734</v>
      </c>
      <c r="AH563" s="42" t="s">
        <v>734</v>
      </c>
      <c r="AI563" s="42" t="s">
        <v>734</v>
      </c>
      <c r="AJ563" s="42" t="s">
        <v>734</v>
      </c>
      <c r="AK563" s="42" t="s">
        <v>734</v>
      </c>
      <c r="AL563" s="42" t="s">
        <v>734</v>
      </c>
      <c r="AM563" s="42"/>
      <c r="AN563" s="42"/>
      <c r="AO563" s="42"/>
      <c r="AP563" s="42"/>
      <c r="AQ563" s="42"/>
      <c r="AR563" s="42"/>
      <c r="AS563" s="42"/>
      <c r="AT563" s="42"/>
      <c r="AU563" s="42"/>
      <c r="AV563" s="42"/>
      <c r="AW563" s="42"/>
      <c r="AX563" s="68">
        <v>215.22</v>
      </c>
      <c r="AY563" s="37"/>
      <c r="AZ563" s="37"/>
      <c r="BA563" s="68"/>
      <c r="BB563" s="68"/>
      <c r="BC563" s="37"/>
      <c r="BD563" s="67">
        <f t="shared" si="188"/>
        <v>18724.14</v>
      </c>
      <c r="BE563" s="67"/>
      <c r="BF563" s="37"/>
      <c r="BG563" s="69">
        <v>2</v>
      </c>
      <c r="BH563" s="67">
        <f t="shared" si="193"/>
        <v>0</v>
      </c>
      <c r="BI563" s="67">
        <f t="shared" si="194"/>
        <v>0</v>
      </c>
      <c r="BJ563" s="70">
        <f t="shared" si="195"/>
        <v>0</v>
      </c>
      <c r="BN563" s="67">
        <f>IF((AX563+AY563+AZ563)&lt;20,(20-(AX563+AY563+AZ563)),0)</f>
        <v>0</v>
      </c>
      <c r="BO563" s="70">
        <f t="shared" si="198"/>
        <v>0</v>
      </c>
      <c r="BP563" s="37">
        <v>0</v>
      </c>
      <c r="BQ563" s="37">
        <v>20</v>
      </c>
      <c r="BR563" s="75">
        <v>0</v>
      </c>
      <c r="BS563" s="75">
        <v>15</v>
      </c>
      <c r="BT563" s="87">
        <f t="shared" si="199"/>
        <v>215.22</v>
      </c>
      <c r="BU563" s="87"/>
      <c r="BV563" s="87"/>
      <c r="BW563" s="87"/>
      <c r="BX563" s="87"/>
      <c r="BY563" s="87"/>
      <c r="BZ563" s="87"/>
      <c r="CA563" s="87"/>
      <c r="CB563" s="87"/>
      <c r="CC563" s="87"/>
      <c r="CD563" s="87"/>
      <c r="CF563" s="67">
        <f t="shared" si="200"/>
        <v>0</v>
      </c>
      <c r="CG563" s="67">
        <f t="shared" si="182"/>
        <v>4304.3999999999996</v>
      </c>
      <c r="CH563" s="67">
        <f t="shared" si="197"/>
        <v>0</v>
      </c>
      <c r="CI563" s="67">
        <f t="shared" si="187"/>
        <v>3228.3</v>
      </c>
      <c r="CJ563" s="37">
        <f t="shared" si="183"/>
        <v>0</v>
      </c>
      <c r="CK563" s="37">
        <f t="shared" si="184"/>
        <v>560</v>
      </c>
      <c r="CL563" s="37">
        <f t="shared" si="185"/>
        <v>0</v>
      </c>
      <c r="CM563" s="37">
        <f t="shared" si="186"/>
        <v>420</v>
      </c>
    </row>
    <row r="564" spans="1:91" s="75" customFormat="1" ht="38.25">
      <c r="A564" s="3"/>
      <c r="B564" s="181" t="s">
        <v>1217</v>
      </c>
      <c r="C564" s="160">
        <v>303</v>
      </c>
      <c r="D564" s="160">
        <v>501</v>
      </c>
      <c r="E564" s="161">
        <v>0.28055555555555556</v>
      </c>
      <c r="F564" s="161">
        <v>0.32013888888888892</v>
      </c>
      <c r="G564" s="160" t="s">
        <v>175</v>
      </c>
      <c r="H564" s="174" t="s">
        <v>1218</v>
      </c>
      <c r="I564" s="163">
        <v>28</v>
      </c>
      <c r="J564" s="164" t="s">
        <v>165</v>
      </c>
      <c r="K564" s="179">
        <v>87</v>
      </c>
      <c r="L564" s="166">
        <f t="shared" si="196"/>
        <v>2436</v>
      </c>
      <c r="M564" s="177" t="s">
        <v>766</v>
      </c>
      <c r="N564" s="150" t="s">
        <v>1220</v>
      </c>
      <c r="O564" s="150">
        <v>57</v>
      </c>
      <c r="P564" s="150" t="s">
        <v>1935</v>
      </c>
      <c r="Q564" s="184">
        <v>58</v>
      </c>
      <c r="R564" s="150"/>
      <c r="S564" s="150"/>
      <c r="T564" s="45">
        <v>3820</v>
      </c>
      <c r="U564" s="45" t="s">
        <v>1607</v>
      </c>
      <c r="V564" s="45">
        <v>1</v>
      </c>
      <c r="W564" s="45" t="s">
        <v>1339</v>
      </c>
      <c r="X564" s="98">
        <v>44816</v>
      </c>
      <c r="Y564" s="98">
        <v>45086</v>
      </c>
      <c r="Z564" s="98"/>
      <c r="AA564" s="98"/>
      <c r="AB564" s="41" t="s">
        <v>1853</v>
      </c>
      <c r="AC564" s="64" t="s">
        <v>1135</v>
      </c>
      <c r="AD564" s="42"/>
      <c r="AE564" s="42"/>
      <c r="AF564" s="42"/>
      <c r="AG564" s="42" t="s">
        <v>734</v>
      </c>
      <c r="AH564" s="42" t="s">
        <v>734</v>
      </c>
      <c r="AI564" s="42" t="s">
        <v>734</v>
      </c>
      <c r="AJ564" s="42" t="s">
        <v>734</v>
      </c>
      <c r="AK564" s="42" t="s">
        <v>734</v>
      </c>
      <c r="AL564" s="42" t="s">
        <v>734</v>
      </c>
      <c r="AM564" s="42"/>
      <c r="AN564" s="42"/>
      <c r="AO564" s="42"/>
      <c r="AP564" s="42"/>
      <c r="AQ564" s="42"/>
      <c r="AR564" s="42"/>
      <c r="AS564" s="42"/>
      <c r="AT564" s="42"/>
      <c r="AU564" s="42"/>
      <c r="AV564" s="42"/>
      <c r="AW564" s="42"/>
      <c r="AX564" s="68">
        <v>215.22</v>
      </c>
      <c r="AY564" s="37"/>
      <c r="AZ564" s="37"/>
      <c r="BA564" s="68"/>
      <c r="BB564" s="68"/>
      <c r="BC564" s="37"/>
      <c r="BD564" s="67">
        <f t="shared" si="188"/>
        <v>18724.14</v>
      </c>
      <c r="BE564" s="67"/>
      <c r="BF564" s="37"/>
      <c r="BG564" s="69">
        <v>2</v>
      </c>
      <c r="BH564" s="67">
        <f t="shared" si="193"/>
        <v>0</v>
      </c>
      <c r="BI564" s="67">
        <f t="shared" si="194"/>
        <v>0</v>
      </c>
      <c r="BJ564" s="70">
        <f t="shared" si="195"/>
        <v>0</v>
      </c>
      <c r="BN564" s="67">
        <f>IF((AX564+AY564+AZ564)&lt;20,(20-(AX564+AY564+AZ564)),0)</f>
        <v>0</v>
      </c>
      <c r="BO564" s="70">
        <f t="shared" si="198"/>
        <v>0</v>
      </c>
      <c r="BP564" s="37">
        <v>15</v>
      </c>
      <c r="BQ564" s="37">
        <v>0</v>
      </c>
      <c r="BR564" s="75">
        <v>21</v>
      </c>
      <c r="BS564" s="75">
        <v>0</v>
      </c>
      <c r="BT564" s="87">
        <f t="shared" si="199"/>
        <v>215.22</v>
      </c>
      <c r="BU564" s="87"/>
      <c r="BV564" s="87"/>
      <c r="BW564" s="87"/>
      <c r="BX564" s="87"/>
      <c r="BY564" s="87"/>
      <c r="BZ564" s="87"/>
      <c r="CA564" s="87"/>
      <c r="CB564" s="87"/>
      <c r="CC564" s="87"/>
      <c r="CD564" s="87"/>
      <c r="CF564" s="67">
        <f t="shared" si="200"/>
        <v>3228.3</v>
      </c>
      <c r="CG564" s="67">
        <f t="shared" si="182"/>
        <v>0</v>
      </c>
      <c r="CH564" s="67">
        <f t="shared" si="197"/>
        <v>4519.62</v>
      </c>
      <c r="CI564" s="67">
        <f t="shared" si="187"/>
        <v>0</v>
      </c>
      <c r="CJ564" s="37">
        <f t="shared" si="183"/>
        <v>420</v>
      </c>
      <c r="CK564" s="37">
        <f t="shared" si="184"/>
        <v>0</v>
      </c>
      <c r="CL564" s="37">
        <f t="shared" si="185"/>
        <v>588</v>
      </c>
      <c r="CM564" s="37">
        <f t="shared" si="186"/>
        <v>0</v>
      </c>
    </row>
    <row r="565" spans="1:91" s="236" customFormat="1" ht="25.5">
      <c r="A565" s="225" t="s">
        <v>2038</v>
      </c>
      <c r="B565" s="226">
        <v>552</v>
      </c>
      <c r="C565" s="227">
        <v>303</v>
      </c>
      <c r="D565" s="227">
        <v>545</v>
      </c>
      <c r="E565" s="229">
        <v>0.28680555555555554</v>
      </c>
      <c r="F565" s="229">
        <v>0.2951388888888889</v>
      </c>
      <c r="G565" s="227" t="s">
        <v>409</v>
      </c>
      <c r="H565" s="227" t="s">
        <v>97</v>
      </c>
      <c r="I565" s="230">
        <v>9</v>
      </c>
      <c r="J565" s="231">
        <v>14</v>
      </c>
      <c r="K565" s="232"/>
      <c r="L565" s="233">
        <f t="shared" si="196"/>
        <v>0</v>
      </c>
      <c r="M565" s="276" t="s">
        <v>2130</v>
      </c>
      <c r="N565" s="249"/>
      <c r="O565" s="249"/>
      <c r="P565" s="249"/>
      <c r="Q565" s="249"/>
      <c r="R565" s="249"/>
      <c r="S565" s="249"/>
      <c r="T565" s="240"/>
      <c r="U565" s="240"/>
      <c r="V565" s="240"/>
      <c r="W565" s="240"/>
      <c r="X565" s="235"/>
      <c r="Y565" s="235"/>
      <c r="Z565" s="235"/>
      <c r="AA565" s="235"/>
      <c r="AB565" s="235"/>
      <c r="AC565" s="235"/>
      <c r="AD565" s="240"/>
      <c r="AE565" s="240"/>
      <c r="AF565" s="240"/>
      <c r="AG565" s="240"/>
      <c r="AH565" s="240"/>
      <c r="AI565" s="240"/>
      <c r="AJ565" s="240"/>
      <c r="AK565" s="240"/>
      <c r="AL565" s="240"/>
      <c r="AM565" s="240"/>
      <c r="AN565" s="240"/>
      <c r="AO565" s="240"/>
      <c r="AP565" s="240"/>
      <c r="AQ565" s="240"/>
      <c r="AR565" s="240"/>
      <c r="AS565" s="240"/>
      <c r="AT565" s="240"/>
      <c r="AU565" s="240"/>
      <c r="AV565" s="240"/>
      <c r="AW565" s="240"/>
      <c r="AX565" s="235"/>
      <c r="AY565" s="235"/>
      <c r="AZ565" s="235"/>
      <c r="BA565" s="235"/>
      <c r="BB565" s="235"/>
      <c r="BC565" s="235"/>
      <c r="BD565" s="235"/>
      <c r="BE565" s="235"/>
      <c r="BF565" s="235"/>
      <c r="BG565" s="235"/>
      <c r="BH565" s="235"/>
      <c r="BI565" s="235"/>
      <c r="BJ565" s="235"/>
      <c r="BK565" s="235"/>
      <c r="BL565" s="235"/>
      <c r="BM565" s="235"/>
      <c r="BN565" s="235"/>
      <c r="BO565" s="250"/>
      <c r="BT565" s="237"/>
      <c r="BU565" s="237"/>
      <c r="BV565" s="237"/>
      <c r="BW565" s="237"/>
      <c r="BX565" s="237"/>
      <c r="BY565" s="237"/>
      <c r="BZ565" s="237"/>
      <c r="CA565" s="237"/>
      <c r="CB565" s="237"/>
      <c r="CC565" s="237"/>
      <c r="CD565" s="237"/>
      <c r="CF565" s="238"/>
      <c r="CG565" s="238">
        <f t="shared" si="182"/>
        <v>0</v>
      </c>
      <c r="CH565" s="238">
        <f t="shared" si="197"/>
        <v>0</v>
      </c>
      <c r="CI565" s="238"/>
      <c r="CJ565" s="236">
        <f t="shared" si="183"/>
        <v>0</v>
      </c>
      <c r="CK565" s="236">
        <f t="shared" si="184"/>
        <v>0</v>
      </c>
      <c r="CL565" s="236">
        <f t="shared" si="185"/>
        <v>0</v>
      </c>
    </row>
    <row r="566" spans="1:91" s="75" customFormat="1" ht="25.5">
      <c r="A566" s="3"/>
      <c r="B566" s="156">
        <v>553</v>
      </c>
      <c r="C566" s="160">
        <v>303</v>
      </c>
      <c r="D566" s="160">
        <v>427</v>
      </c>
      <c r="E566" s="161">
        <v>0.28819444444444448</v>
      </c>
      <c r="F566" s="173">
        <v>0.30277777777777776</v>
      </c>
      <c r="G566" s="160" t="s">
        <v>344</v>
      </c>
      <c r="H566" s="160" t="s">
        <v>97</v>
      </c>
      <c r="I566" s="163">
        <v>10.5</v>
      </c>
      <c r="J566" s="164" t="s">
        <v>269</v>
      </c>
      <c r="K566" s="165">
        <v>208</v>
      </c>
      <c r="L566" s="166">
        <f t="shared" si="196"/>
        <v>2184</v>
      </c>
      <c r="M566" s="167" t="s">
        <v>747</v>
      </c>
      <c r="N566" s="154" t="s">
        <v>849</v>
      </c>
      <c r="O566" s="154">
        <v>23</v>
      </c>
      <c r="P566" s="154" t="s">
        <v>1936</v>
      </c>
      <c r="Q566" s="154">
        <v>23</v>
      </c>
      <c r="R566" s="154" t="s">
        <v>850</v>
      </c>
      <c r="S566" s="151">
        <v>23</v>
      </c>
      <c r="T566" s="45">
        <v>3790</v>
      </c>
      <c r="U566" s="45" t="s">
        <v>1608</v>
      </c>
      <c r="V566" s="45" t="s">
        <v>1609</v>
      </c>
      <c r="W566" s="45" t="s">
        <v>1610</v>
      </c>
      <c r="X566" s="98">
        <v>44816</v>
      </c>
      <c r="Y566" s="98">
        <v>45086</v>
      </c>
      <c r="Z566" s="98"/>
      <c r="AA566" s="98"/>
      <c r="AB566" s="41" t="s">
        <v>1118</v>
      </c>
      <c r="AC566" s="41"/>
      <c r="AD566" s="42"/>
      <c r="AE566" s="42"/>
      <c r="AF566" s="42"/>
      <c r="AG566" s="42" t="s">
        <v>734</v>
      </c>
      <c r="AH566" s="42" t="s">
        <v>734</v>
      </c>
      <c r="AI566" s="42" t="s">
        <v>734</v>
      </c>
      <c r="AJ566" s="42" t="s">
        <v>734</v>
      </c>
      <c r="AK566" s="42" t="s">
        <v>734</v>
      </c>
      <c r="AL566" s="42" t="s">
        <v>734</v>
      </c>
      <c r="AM566" s="42" t="s">
        <v>734</v>
      </c>
      <c r="AN566" s="42"/>
      <c r="AO566" s="42"/>
      <c r="AP566" s="42"/>
      <c r="AQ566" s="42"/>
      <c r="AR566" s="42"/>
      <c r="AS566" s="42"/>
      <c r="AT566" s="42"/>
      <c r="AU566" s="42"/>
      <c r="AV566" s="42"/>
      <c r="AW566" s="42"/>
      <c r="AX566" s="68">
        <v>66.73</v>
      </c>
      <c r="AY566" s="37"/>
      <c r="AZ566" s="37"/>
      <c r="BA566" s="68"/>
      <c r="BB566" s="68"/>
      <c r="BC566" s="37"/>
      <c r="BD566" s="67">
        <f t="shared" ref="BD566:BD597" si="201">AX566*K566</f>
        <v>13879.84</v>
      </c>
      <c r="BE566" s="67"/>
      <c r="BF566" s="37"/>
      <c r="BG566" s="73">
        <v>1</v>
      </c>
      <c r="BH566" s="67">
        <f>IF(AND((AX566/I566)&lt;2,BG566=1),(I566*2)-AX566,0)</f>
        <v>0</v>
      </c>
      <c r="BI566" s="67">
        <f>IF(AND((AX566/I566)&lt;3,BG566=2),(I566*3)-AX566,0)</f>
        <v>0</v>
      </c>
      <c r="BJ566" s="70">
        <f>(BH566+BI566)*K566</f>
        <v>0</v>
      </c>
      <c r="BN566" s="67">
        <f>IF((AX566+AY566+AZ566)&lt;20,(20-(AX566+AY566+AZ566)),0)</f>
        <v>0</v>
      </c>
      <c r="BO566" s="70">
        <f t="shared" ref="BO566:BO629" si="202">BN566*K566</f>
        <v>0</v>
      </c>
      <c r="BP566" s="37">
        <v>17</v>
      </c>
      <c r="BQ566" s="37">
        <v>25</v>
      </c>
      <c r="BR566" s="37">
        <v>25</v>
      </c>
      <c r="BS566" s="37">
        <v>18</v>
      </c>
      <c r="BT566" s="87">
        <f t="shared" ref="BT566:BT629" si="203">SUM(AX566:AZ566)+SUM(BH566:BI566)+SUM(BK566:BL566)+BN566</f>
        <v>66.73</v>
      </c>
      <c r="BU566" s="87"/>
      <c r="BV566" s="87"/>
      <c r="BW566" s="87"/>
      <c r="BX566" s="87"/>
      <c r="BY566" s="87"/>
      <c r="BZ566" s="87"/>
      <c r="CA566" s="87"/>
      <c r="CB566" s="87"/>
      <c r="CC566" s="87"/>
      <c r="CD566" s="87"/>
      <c r="CF566" s="67">
        <f t="shared" ref="CF566:CF629" si="204">(BT566*BP566)+(BV566*CD566)</f>
        <v>1134.4100000000001</v>
      </c>
      <c r="CG566" s="67">
        <f t="shared" si="182"/>
        <v>1668.25</v>
      </c>
      <c r="CH566" s="67">
        <f t="shared" si="197"/>
        <v>1668.25</v>
      </c>
      <c r="CI566" s="67">
        <f t="shared" si="187"/>
        <v>1201.1400000000001</v>
      </c>
      <c r="CJ566" s="37">
        <f t="shared" si="183"/>
        <v>178.5</v>
      </c>
      <c r="CK566" s="37">
        <f t="shared" si="184"/>
        <v>262.5</v>
      </c>
      <c r="CL566" s="37">
        <f t="shared" si="185"/>
        <v>262.5</v>
      </c>
      <c r="CM566" s="37">
        <f t="shared" si="186"/>
        <v>189</v>
      </c>
    </row>
    <row r="567" spans="1:91" s="75" customFormat="1" ht="33.75">
      <c r="A567" s="3"/>
      <c r="B567" s="156">
        <v>554</v>
      </c>
      <c r="C567" s="160">
        <v>303</v>
      </c>
      <c r="D567" s="160">
        <v>501</v>
      </c>
      <c r="E567" s="161">
        <v>0.29166666666666669</v>
      </c>
      <c r="F567" s="161">
        <v>0.32013888888888892</v>
      </c>
      <c r="G567" s="160" t="s">
        <v>350</v>
      </c>
      <c r="H567" s="160" t="s">
        <v>103</v>
      </c>
      <c r="I567" s="163">
        <v>19</v>
      </c>
      <c r="J567" s="164" t="s">
        <v>165</v>
      </c>
      <c r="K567" s="165">
        <v>174</v>
      </c>
      <c r="L567" s="166">
        <f t="shared" si="196"/>
        <v>3306</v>
      </c>
      <c r="M567" s="167" t="s">
        <v>747</v>
      </c>
      <c r="N567" s="154" t="s">
        <v>851</v>
      </c>
      <c r="O567" s="154">
        <v>57</v>
      </c>
      <c r="P567" s="154" t="s">
        <v>1937</v>
      </c>
      <c r="Q567" s="154">
        <v>56</v>
      </c>
      <c r="R567" s="150" t="s">
        <v>1993</v>
      </c>
      <c r="S567" s="151" t="s">
        <v>1891</v>
      </c>
      <c r="T567" s="45">
        <v>3770</v>
      </c>
      <c r="U567" s="45" t="s">
        <v>1611</v>
      </c>
      <c r="V567" s="45">
        <v>1</v>
      </c>
      <c r="W567" s="45" t="s">
        <v>1339</v>
      </c>
      <c r="X567" s="98">
        <v>44816</v>
      </c>
      <c r="Y567" s="98">
        <v>45086</v>
      </c>
      <c r="Z567" s="98"/>
      <c r="AA567" s="98"/>
      <c r="AB567" s="41" t="s">
        <v>1114</v>
      </c>
      <c r="AC567" s="41"/>
      <c r="AD567" s="42"/>
      <c r="AE567" s="42"/>
      <c r="AF567" s="42"/>
      <c r="AG567" s="42" t="s">
        <v>734</v>
      </c>
      <c r="AH567" s="42" t="s">
        <v>734</v>
      </c>
      <c r="AI567" s="42" t="s">
        <v>734</v>
      </c>
      <c r="AJ567" s="42" t="s">
        <v>734</v>
      </c>
      <c r="AK567" s="42" t="s">
        <v>734</v>
      </c>
      <c r="AL567" s="42" t="s">
        <v>734</v>
      </c>
      <c r="AM567" s="42"/>
      <c r="AN567" s="42"/>
      <c r="AO567" s="42"/>
      <c r="AP567" s="42"/>
      <c r="AQ567" s="42"/>
      <c r="AR567" s="42"/>
      <c r="AS567" s="42"/>
      <c r="AT567" s="42"/>
      <c r="AU567" s="42"/>
      <c r="AV567" s="42"/>
      <c r="AW567" s="42"/>
      <c r="AX567" s="68">
        <v>224.74</v>
      </c>
      <c r="AY567" s="37"/>
      <c r="AZ567" s="37"/>
      <c r="BA567" s="68"/>
      <c r="BB567" s="68"/>
      <c r="BC567" s="37"/>
      <c r="BD567" s="67">
        <f t="shared" si="201"/>
        <v>39104.76</v>
      </c>
      <c r="BE567" s="67"/>
      <c r="BF567" s="37"/>
      <c r="BG567" s="69">
        <v>2</v>
      </c>
      <c r="BH567" s="67">
        <f>IF(AND((AX567/I567)&lt;2,BG567=1),(I567*2)-AX567,0)</f>
        <v>0</v>
      </c>
      <c r="BI567" s="67">
        <f>IF(AND((AX567/I567)&lt;3,BG567=2),(I567*3)-AX567,0)</f>
        <v>0</v>
      </c>
      <c r="BJ567" s="70">
        <f>(BH567+BI567)*K567</f>
        <v>0</v>
      </c>
      <c r="BO567" s="70">
        <f t="shared" si="202"/>
        <v>0</v>
      </c>
      <c r="BP567" s="37">
        <v>15</v>
      </c>
      <c r="BQ567" s="37">
        <v>20</v>
      </c>
      <c r="BR567" s="37">
        <v>21</v>
      </c>
      <c r="BS567" s="37">
        <v>15</v>
      </c>
      <c r="BT567" s="87">
        <f t="shared" si="203"/>
        <v>224.74</v>
      </c>
      <c r="BU567" s="87"/>
      <c r="BV567" s="87"/>
      <c r="BW567" s="87"/>
      <c r="BX567" s="87"/>
      <c r="BY567" s="87"/>
      <c r="BZ567" s="87"/>
      <c r="CA567" s="87"/>
      <c r="CB567" s="87"/>
      <c r="CC567" s="87"/>
      <c r="CD567" s="87"/>
      <c r="CF567" s="67">
        <f t="shared" si="204"/>
        <v>3371.1000000000004</v>
      </c>
      <c r="CG567" s="67">
        <f t="shared" si="182"/>
        <v>4494.8</v>
      </c>
      <c r="CH567" s="67">
        <f t="shared" si="197"/>
        <v>4719.54</v>
      </c>
      <c r="CI567" s="67">
        <f t="shared" si="187"/>
        <v>3371.1000000000004</v>
      </c>
      <c r="CJ567" s="37">
        <f t="shared" si="183"/>
        <v>285</v>
      </c>
      <c r="CK567" s="37">
        <f t="shared" si="184"/>
        <v>380</v>
      </c>
      <c r="CL567" s="37">
        <f t="shared" si="185"/>
        <v>399</v>
      </c>
      <c r="CM567" s="37">
        <f t="shared" si="186"/>
        <v>285</v>
      </c>
    </row>
    <row r="568" spans="1:91" s="75" customFormat="1" ht="25.5">
      <c r="A568" s="3"/>
      <c r="B568" s="156">
        <v>555</v>
      </c>
      <c r="C568" s="160">
        <v>303</v>
      </c>
      <c r="D568" s="160">
        <v>253</v>
      </c>
      <c r="E568" s="161">
        <v>0.31041666666666667</v>
      </c>
      <c r="F568" s="161">
        <v>0.31388888888888888</v>
      </c>
      <c r="G568" s="160" t="s">
        <v>345</v>
      </c>
      <c r="H568" s="160" t="s">
        <v>103</v>
      </c>
      <c r="I568" s="163">
        <v>3</v>
      </c>
      <c r="J568" s="164" t="s">
        <v>269</v>
      </c>
      <c r="K568" s="165">
        <v>174</v>
      </c>
      <c r="L568" s="166">
        <f t="shared" si="196"/>
        <v>522</v>
      </c>
      <c r="M568" s="167" t="s">
        <v>747</v>
      </c>
      <c r="N568" s="154" t="s">
        <v>849</v>
      </c>
      <c r="O568" s="154">
        <v>23</v>
      </c>
      <c r="P568" s="154" t="s">
        <v>1936</v>
      </c>
      <c r="Q568" s="154">
        <v>23</v>
      </c>
      <c r="R568" s="154" t="s">
        <v>850</v>
      </c>
      <c r="S568" s="151">
        <v>23</v>
      </c>
      <c r="T568" s="45">
        <v>3760</v>
      </c>
      <c r="U568" s="45" t="s">
        <v>1612</v>
      </c>
      <c r="V568" s="45">
        <v>3740</v>
      </c>
      <c r="W568" s="45" t="s">
        <v>1613</v>
      </c>
      <c r="X568" s="98">
        <v>44816</v>
      </c>
      <c r="Y568" s="98">
        <v>45086</v>
      </c>
      <c r="Z568" s="98"/>
      <c r="AA568" s="98"/>
      <c r="AB568" s="41" t="s">
        <v>1114</v>
      </c>
      <c r="AC568" s="41"/>
      <c r="AD568" s="42"/>
      <c r="AE568" s="42"/>
      <c r="AF568" s="42"/>
      <c r="AG568" s="42" t="s">
        <v>734</v>
      </c>
      <c r="AH568" s="42" t="s">
        <v>734</v>
      </c>
      <c r="AI568" s="42" t="s">
        <v>734</v>
      </c>
      <c r="AJ568" s="42" t="s">
        <v>734</v>
      </c>
      <c r="AK568" s="42" t="s">
        <v>734</v>
      </c>
      <c r="AL568" s="42" t="s">
        <v>734</v>
      </c>
      <c r="AM568" s="42"/>
      <c r="AN568" s="42"/>
      <c r="AO568" s="42"/>
      <c r="AP568" s="42"/>
      <c r="AQ568" s="42"/>
      <c r="AR568" s="42"/>
      <c r="AS568" s="42"/>
      <c r="AT568" s="42"/>
      <c r="AU568" s="42"/>
      <c r="AV568" s="42"/>
      <c r="AW568" s="42"/>
      <c r="AX568" s="68">
        <v>10</v>
      </c>
      <c r="AY568" s="37"/>
      <c r="AZ568" s="37"/>
      <c r="BA568" s="68"/>
      <c r="BB568" s="68"/>
      <c r="BC568" s="37"/>
      <c r="BD568" s="67">
        <f t="shared" si="201"/>
        <v>1740</v>
      </c>
      <c r="BE568" s="67"/>
      <c r="BF568" s="37"/>
      <c r="BG568" s="73">
        <v>1</v>
      </c>
      <c r="BH568" s="67">
        <f>IF(AND((AX568/I568)&lt;2,BG568=1),(I568*2)-AX568,0)</f>
        <v>0</v>
      </c>
      <c r="BI568" s="67">
        <f>IF(AND((AX568/I568)&lt;3,BG568=2),(I568*3)-AX568,0)</f>
        <v>0</v>
      </c>
      <c r="BJ568" s="70">
        <f>(BH568+BI568)*K568</f>
        <v>0</v>
      </c>
      <c r="BO568" s="70">
        <f t="shared" si="202"/>
        <v>0</v>
      </c>
      <c r="BP568" s="37">
        <v>15</v>
      </c>
      <c r="BQ568" s="37">
        <v>20</v>
      </c>
      <c r="BR568" s="37">
        <v>21</v>
      </c>
      <c r="BS568" s="37">
        <v>15</v>
      </c>
      <c r="BT568" s="87">
        <f t="shared" si="203"/>
        <v>10</v>
      </c>
      <c r="BU568" s="87"/>
      <c r="BV568" s="87"/>
      <c r="BW568" s="87"/>
      <c r="BX568" s="87"/>
      <c r="BY568" s="87"/>
      <c r="BZ568" s="87"/>
      <c r="CA568" s="87"/>
      <c r="CB568" s="87"/>
      <c r="CC568" s="87"/>
      <c r="CD568" s="87"/>
      <c r="CF568" s="67">
        <f t="shared" si="204"/>
        <v>150</v>
      </c>
      <c r="CG568" s="67">
        <f t="shared" si="182"/>
        <v>200</v>
      </c>
      <c r="CH568" s="67">
        <f t="shared" si="197"/>
        <v>210</v>
      </c>
      <c r="CI568" s="67">
        <f t="shared" si="187"/>
        <v>150</v>
      </c>
      <c r="CJ568" s="37">
        <f t="shared" si="183"/>
        <v>45</v>
      </c>
      <c r="CK568" s="37">
        <f t="shared" si="184"/>
        <v>60</v>
      </c>
      <c r="CL568" s="37">
        <f t="shared" si="185"/>
        <v>63</v>
      </c>
      <c r="CM568" s="37">
        <f t="shared" si="186"/>
        <v>45</v>
      </c>
    </row>
    <row r="569" spans="1:91" s="75" customFormat="1" ht="25.5">
      <c r="A569" s="3"/>
      <c r="B569" s="156">
        <v>556</v>
      </c>
      <c r="C569" s="160">
        <v>303</v>
      </c>
      <c r="D569" s="160">
        <v>253</v>
      </c>
      <c r="E569" s="173">
        <v>0.31597222222222221</v>
      </c>
      <c r="F569" s="161">
        <v>0.31944444444444448</v>
      </c>
      <c r="G569" s="160" t="s">
        <v>349</v>
      </c>
      <c r="H569" s="160" t="s">
        <v>103</v>
      </c>
      <c r="I569" s="163">
        <v>3</v>
      </c>
      <c r="J569" s="164" t="s">
        <v>269</v>
      </c>
      <c r="K569" s="165">
        <v>174</v>
      </c>
      <c r="L569" s="166">
        <f t="shared" si="196"/>
        <v>522</v>
      </c>
      <c r="M569" s="167" t="s">
        <v>747</v>
      </c>
      <c r="N569" s="154" t="s">
        <v>849</v>
      </c>
      <c r="O569" s="154">
        <v>23</v>
      </c>
      <c r="P569" s="154" t="s">
        <v>1936</v>
      </c>
      <c r="Q569" s="154">
        <v>23</v>
      </c>
      <c r="R569" s="154" t="s">
        <v>850</v>
      </c>
      <c r="S569" s="151">
        <v>23</v>
      </c>
      <c r="T569" s="45">
        <v>3750</v>
      </c>
      <c r="U569" s="45" t="s">
        <v>1614</v>
      </c>
      <c r="V569" s="45">
        <v>3740</v>
      </c>
      <c r="W569" s="45" t="s">
        <v>1613</v>
      </c>
      <c r="X569" s="98">
        <v>44816</v>
      </c>
      <c r="Y569" s="98">
        <v>45086</v>
      </c>
      <c r="Z569" s="98"/>
      <c r="AA569" s="98"/>
      <c r="AB569" s="41" t="s">
        <v>1114</v>
      </c>
      <c r="AC569" s="41"/>
      <c r="AD569" s="42"/>
      <c r="AE569" s="42"/>
      <c r="AF569" s="42"/>
      <c r="AG569" s="42" t="s">
        <v>734</v>
      </c>
      <c r="AH569" s="42" t="s">
        <v>734</v>
      </c>
      <c r="AI569" s="42" t="s">
        <v>734</v>
      </c>
      <c r="AJ569" s="42" t="s">
        <v>734</v>
      </c>
      <c r="AK569" s="42" t="s">
        <v>734</v>
      </c>
      <c r="AL569" s="42" t="s">
        <v>734</v>
      </c>
      <c r="AM569" s="42"/>
      <c r="AN569" s="42"/>
      <c r="AO569" s="42"/>
      <c r="AP569" s="42"/>
      <c r="AQ569" s="42"/>
      <c r="AR569" s="42"/>
      <c r="AS569" s="42"/>
      <c r="AT569" s="42"/>
      <c r="AU569" s="42"/>
      <c r="AV569" s="42"/>
      <c r="AW569" s="42"/>
      <c r="AX569" s="71">
        <v>23.73</v>
      </c>
      <c r="AY569" s="37"/>
      <c r="AZ569" s="37"/>
      <c r="BA569" s="68"/>
      <c r="BB569" s="68"/>
      <c r="BC569" s="37"/>
      <c r="BD569" s="67">
        <f t="shared" si="201"/>
        <v>4129.0200000000004</v>
      </c>
      <c r="BE569" s="67"/>
      <c r="BF569" s="37"/>
      <c r="BG569" s="73">
        <v>1</v>
      </c>
      <c r="BH569" s="71"/>
      <c r="BI569" s="71"/>
      <c r="BJ569" s="72"/>
      <c r="BO569" s="70">
        <f t="shared" si="202"/>
        <v>0</v>
      </c>
      <c r="BP569" s="37">
        <v>15</v>
      </c>
      <c r="BQ569" s="37">
        <v>20</v>
      </c>
      <c r="BR569" s="37">
        <v>21</v>
      </c>
      <c r="BS569" s="37">
        <v>15</v>
      </c>
      <c r="BT569" s="87">
        <f t="shared" si="203"/>
        <v>23.73</v>
      </c>
      <c r="BU569" s="87"/>
      <c r="BV569" s="87"/>
      <c r="BW569" s="87"/>
      <c r="BX569" s="87"/>
      <c r="BY569" s="87"/>
      <c r="BZ569" s="87"/>
      <c r="CA569" s="87"/>
      <c r="CB569" s="87"/>
      <c r="CC569" s="87"/>
      <c r="CD569" s="87"/>
      <c r="CF569" s="67">
        <f t="shared" si="204"/>
        <v>355.95</v>
      </c>
      <c r="CG569" s="67">
        <f t="shared" si="182"/>
        <v>474.6</v>
      </c>
      <c r="CH569" s="67">
        <f t="shared" si="197"/>
        <v>498.33</v>
      </c>
      <c r="CI569" s="67">
        <f t="shared" si="187"/>
        <v>355.95</v>
      </c>
      <c r="CJ569" s="37">
        <f t="shared" si="183"/>
        <v>45</v>
      </c>
      <c r="CK569" s="37">
        <f t="shared" si="184"/>
        <v>60</v>
      </c>
      <c r="CL569" s="37">
        <f t="shared" si="185"/>
        <v>63</v>
      </c>
      <c r="CM569" s="37">
        <f t="shared" si="186"/>
        <v>45</v>
      </c>
    </row>
    <row r="570" spans="1:91" s="75" customFormat="1" ht="25.5">
      <c r="A570" s="3"/>
      <c r="B570" s="156">
        <v>557</v>
      </c>
      <c r="C570" s="174">
        <v>330</v>
      </c>
      <c r="D570" s="160">
        <v>437</v>
      </c>
      <c r="E570" s="161">
        <v>0.32291666666666669</v>
      </c>
      <c r="F570" s="173">
        <v>0.34097222222222223</v>
      </c>
      <c r="G570" s="160" t="s">
        <v>343</v>
      </c>
      <c r="H570" s="160" t="s">
        <v>103</v>
      </c>
      <c r="I570" s="163">
        <v>11</v>
      </c>
      <c r="J570" s="164" t="s">
        <v>269</v>
      </c>
      <c r="K570" s="165">
        <v>174</v>
      </c>
      <c r="L570" s="166">
        <f t="shared" si="196"/>
        <v>1914</v>
      </c>
      <c r="M570" s="167" t="s">
        <v>747</v>
      </c>
      <c r="N570" s="154" t="s">
        <v>849</v>
      </c>
      <c r="O570" s="154">
        <v>23</v>
      </c>
      <c r="P570" s="154" t="s">
        <v>1936</v>
      </c>
      <c r="Q570" s="154">
        <v>23</v>
      </c>
      <c r="R570" s="154" t="s">
        <v>850</v>
      </c>
      <c r="S570" s="151">
        <v>23</v>
      </c>
      <c r="T570" s="45">
        <v>3740</v>
      </c>
      <c r="U570" s="45" t="s">
        <v>1613</v>
      </c>
      <c r="V570" s="45" t="s">
        <v>1615</v>
      </c>
      <c r="W570" s="45" t="s">
        <v>1616</v>
      </c>
      <c r="X570" s="98">
        <v>44816</v>
      </c>
      <c r="Y570" s="98">
        <v>45086</v>
      </c>
      <c r="Z570" s="98"/>
      <c r="AA570" s="98"/>
      <c r="AB570" s="41" t="s">
        <v>1114</v>
      </c>
      <c r="AC570" s="41"/>
      <c r="AD570" s="42"/>
      <c r="AE570" s="42"/>
      <c r="AF570" s="42"/>
      <c r="AG570" s="42" t="s">
        <v>734</v>
      </c>
      <c r="AH570" s="42" t="s">
        <v>734</v>
      </c>
      <c r="AI570" s="42" t="s">
        <v>734</v>
      </c>
      <c r="AJ570" s="42" t="s">
        <v>734</v>
      </c>
      <c r="AK570" s="42" t="s">
        <v>734</v>
      </c>
      <c r="AL570" s="42" t="s">
        <v>734</v>
      </c>
      <c r="AM570" s="42"/>
      <c r="AN570" s="42"/>
      <c r="AO570" s="42"/>
      <c r="AP570" s="42"/>
      <c r="AQ570" s="42"/>
      <c r="AR570" s="42"/>
      <c r="AS570" s="42"/>
      <c r="AT570" s="42"/>
      <c r="AU570" s="42"/>
      <c r="AV570" s="42"/>
      <c r="AW570" s="42"/>
      <c r="AX570" s="71">
        <v>19.8</v>
      </c>
      <c r="AY570" s="37"/>
      <c r="AZ570" s="37"/>
      <c r="BA570" s="68"/>
      <c r="BB570" s="68"/>
      <c r="BC570" s="37"/>
      <c r="BD570" s="67">
        <f t="shared" si="201"/>
        <v>3445.2000000000003</v>
      </c>
      <c r="BE570" s="67"/>
      <c r="BF570" s="37"/>
      <c r="BG570" s="73">
        <v>1</v>
      </c>
      <c r="BH570" s="71"/>
      <c r="BI570" s="71"/>
      <c r="BJ570" s="71"/>
      <c r="BO570" s="70">
        <f t="shared" si="202"/>
        <v>0</v>
      </c>
      <c r="BP570" s="37">
        <v>15</v>
      </c>
      <c r="BQ570" s="37">
        <v>20</v>
      </c>
      <c r="BR570" s="37">
        <v>21</v>
      </c>
      <c r="BS570" s="37">
        <v>15</v>
      </c>
      <c r="BT570" s="87">
        <f t="shared" si="203"/>
        <v>19.8</v>
      </c>
      <c r="BU570" s="87"/>
      <c r="BV570" s="87"/>
      <c r="BW570" s="87"/>
      <c r="BX570" s="87"/>
      <c r="BY570" s="87"/>
      <c r="BZ570" s="87"/>
      <c r="CA570" s="87"/>
      <c r="CB570" s="87"/>
      <c r="CC570" s="87"/>
      <c r="CD570" s="87"/>
      <c r="CF570" s="67">
        <f t="shared" si="204"/>
        <v>297</v>
      </c>
      <c r="CG570" s="67">
        <f t="shared" si="182"/>
        <v>396</v>
      </c>
      <c r="CH570" s="67">
        <f t="shared" si="197"/>
        <v>415.8</v>
      </c>
      <c r="CI570" s="67">
        <f t="shared" si="187"/>
        <v>297</v>
      </c>
      <c r="CJ570" s="37">
        <f t="shared" si="183"/>
        <v>165</v>
      </c>
      <c r="CK570" s="37">
        <f t="shared" si="184"/>
        <v>220</v>
      </c>
      <c r="CL570" s="37">
        <f t="shared" si="185"/>
        <v>231</v>
      </c>
      <c r="CM570" s="37">
        <f t="shared" si="186"/>
        <v>165</v>
      </c>
    </row>
    <row r="571" spans="1:91" s="75" customFormat="1" ht="33.75">
      <c r="A571" s="3"/>
      <c r="B571" s="156">
        <v>558</v>
      </c>
      <c r="C571" s="160">
        <v>303</v>
      </c>
      <c r="D571" s="160">
        <v>550</v>
      </c>
      <c r="E571" s="161">
        <v>0.3263888888888889</v>
      </c>
      <c r="F571" s="161">
        <v>0.34236111111111112</v>
      </c>
      <c r="G571" s="160" t="s">
        <v>516</v>
      </c>
      <c r="H571" s="160" t="s">
        <v>567</v>
      </c>
      <c r="I571" s="163">
        <v>19</v>
      </c>
      <c r="J571" s="164" t="s">
        <v>552</v>
      </c>
      <c r="K571" s="165">
        <v>55</v>
      </c>
      <c r="L571" s="166">
        <f t="shared" si="196"/>
        <v>1045</v>
      </c>
      <c r="M571" s="167" t="s">
        <v>758</v>
      </c>
      <c r="N571" s="154" t="s">
        <v>834</v>
      </c>
      <c r="O571" s="154">
        <v>15</v>
      </c>
      <c r="P571" s="150" t="s">
        <v>1934</v>
      </c>
      <c r="Q571" s="150">
        <v>9</v>
      </c>
      <c r="R571" s="154" t="s">
        <v>1280</v>
      </c>
      <c r="S571" s="151">
        <v>9</v>
      </c>
      <c r="T571" s="45" t="s">
        <v>1617</v>
      </c>
      <c r="U571" s="45" t="s">
        <v>1618</v>
      </c>
      <c r="V571" s="45">
        <v>3895</v>
      </c>
      <c r="W571" s="45" t="s">
        <v>1604</v>
      </c>
      <c r="X571" s="99">
        <v>44562</v>
      </c>
      <c r="Y571" s="99">
        <v>44815</v>
      </c>
      <c r="Z571" s="99">
        <v>45101</v>
      </c>
      <c r="AA571" s="99">
        <v>45169</v>
      </c>
      <c r="AB571" s="46" t="s">
        <v>1121</v>
      </c>
      <c r="AC571" s="46"/>
      <c r="AD571" s="42"/>
      <c r="AE571" s="42" t="s">
        <v>734</v>
      </c>
      <c r="AF571" s="42" t="s">
        <v>734</v>
      </c>
      <c r="AG571" s="42"/>
      <c r="AH571" s="42" t="s">
        <v>734</v>
      </c>
      <c r="AI571" s="42" t="s">
        <v>734</v>
      </c>
      <c r="AJ571" s="42" t="s">
        <v>734</v>
      </c>
      <c r="AK571" s="42" t="s">
        <v>734</v>
      </c>
      <c r="AL571" s="42" t="s">
        <v>734</v>
      </c>
      <c r="AM571" s="42"/>
      <c r="AN571" s="42"/>
      <c r="AO571" s="42"/>
      <c r="AP571" s="42"/>
      <c r="AQ571" s="42"/>
      <c r="AR571" s="42"/>
      <c r="AS571" s="42"/>
      <c r="AT571" s="42"/>
      <c r="AU571" s="42"/>
      <c r="AV571" s="42"/>
      <c r="AW571" s="42"/>
      <c r="AX571" s="68">
        <v>57</v>
      </c>
      <c r="AY571" s="37"/>
      <c r="AZ571" s="37"/>
      <c r="BA571" s="68"/>
      <c r="BB571" s="68"/>
      <c r="BC571" s="37"/>
      <c r="BD571" s="67">
        <f t="shared" si="201"/>
        <v>3135</v>
      </c>
      <c r="BE571" s="67"/>
      <c r="BF571" s="37"/>
      <c r="BG571" s="73">
        <v>1</v>
      </c>
      <c r="BH571" s="67">
        <f t="shared" ref="BH571:BH577" si="205">IF(AND((AX571/I571)&lt;2,BG571=1),(I571*2)-AX571,0)</f>
        <v>0</v>
      </c>
      <c r="BI571" s="67">
        <f t="shared" ref="BI571:BI577" si="206">IF(AND((AX571/I571)&lt;3,BG571=2),(I571*3)-AX571,0)</f>
        <v>0</v>
      </c>
      <c r="BJ571" s="70">
        <f t="shared" ref="BJ571:BJ577" si="207">(BH571+BI571)*K571</f>
        <v>0</v>
      </c>
      <c r="BO571" s="70">
        <f t="shared" si="202"/>
        <v>0</v>
      </c>
      <c r="BP571" s="37">
        <v>7</v>
      </c>
      <c r="BQ571" s="37">
        <v>0</v>
      </c>
      <c r="BR571" s="37">
        <v>0</v>
      </c>
      <c r="BT571" s="87">
        <f t="shared" si="203"/>
        <v>57</v>
      </c>
      <c r="BU571" s="87"/>
      <c r="BV571" s="87"/>
      <c r="BW571" s="87"/>
      <c r="BX571" s="87"/>
      <c r="BY571" s="87"/>
      <c r="BZ571" s="87"/>
      <c r="CA571" s="87"/>
      <c r="CB571" s="87"/>
      <c r="CC571" s="87"/>
      <c r="CD571" s="87"/>
      <c r="CF571" s="67">
        <f t="shared" si="204"/>
        <v>399</v>
      </c>
      <c r="CG571" s="67">
        <f t="shared" si="182"/>
        <v>0</v>
      </c>
      <c r="CH571" s="67">
        <f t="shared" si="197"/>
        <v>0</v>
      </c>
      <c r="CI571" s="67">
        <f t="shared" si="187"/>
        <v>0</v>
      </c>
      <c r="CJ571" s="37">
        <f t="shared" si="183"/>
        <v>133</v>
      </c>
      <c r="CK571" s="37">
        <f t="shared" si="184"/>
        <v>0</v>
      </c>
      <c r="CL571" s="37">
        <f t="shared" si="185"/>
        <v>0</v>
      </c>
      <c r="CM571" s="37">
        <f t="shared" si="186"/>
        <v>0</v>
      </c>
    </row>
    <row r="572" spans="1:91" s="75" customFormat="1" ht="25.5">
      <c r="A572" s="3"/>
      <c r="B572" s="156">
        <v>559</v>
      </c>
      <c r="C572" s="160">
        <v>303</v>
      </c>
      <c r="D572" s="160">
        <v>473</v>
      </c>
      <c r="E572" s="161">
        <v>0.33194444444444443</v>
      </c>
      <c r="F572" s="161">
        <v>0.3666666666666667</v>
      </c>
      <c r="G572" s="160" t="s">
        <v>574</v>
      </c>
      <c r="H572" s="160" t="s">
        <v>425</v>
      </c>
      <c r="I572" s="163">
        <v>21.5</v>
      </c>
      <c r="J572" s="195">
        <v>50</v>
      </c>
      <c r="K572" s="165">
        <v>55</v>
      </c>
      <c r="L572" s="166">
        <f t="shared" si="196"/>
        <v>1182.5</v>
      </c>
      <c r="M572" s="167" t="s">
        <v>759</v>
      </c>
      <c r="N572" s="150" t="s">
        <v>958</v>
      </c>
      <c r="O572" s="150">
        <v>58</v>
      </c>
      <c r="P572" s="3" t="s">
        <v>1281</v>
      </c>
      <c r="Q572" s="152">
        <v>55</v>
      </c>
      <c r="T572" s="45">
        <v>3870</v>
      </c>
      <c r="U572" s="45" t="s">
        <v>1619</v>
      </c>
      <c r="V572" s="45">
        <v>3740</v>
      </c>
      <c r="W572" s="45" t="s">
        <v>1613</v>
      </c>
      <c r="X572" s="99">
        <v>44562</v>
      </c>
      <c r="Y572" s="99">
        <v>44815</v>
      </c>
      <c r="Z572" s="99">
        <v>45101</v>
      </c>
      <c r="AA572" s="99">
        <v>45169</v>
      </c>
      <c r="AB572" s="41" t="s">
        <v>1121</v>
      </c>
      <c r="AC572" s="41"/>
      <c r="AD572" s="42"/>
      <c r="AE572" s="42" t="s">
        <v>734</v>
      </c>
      <c r="AF572" s="42" t="s">
        <v>734</v>
      </c>
      <c r="AG572" s="42"/>
      <c r="AH572" s="42" t="s">
        <v>734</v>
      </c>
      <c r="AI572" s="42" t="s">
        <v>734</v>
      </c>
      <c r="AJ572" s="42" t="s">
        <v>734</v>
      </c>
      <c r="AK572" s="42" t="s">
        <v>734</v>
      </c>
      <c r="AL572" s="42" t="s">
        <v>734</v>
      </c>
      <c r="AM572" s="42"/>
      <c r="AN572" s="42"/>
      <c r="AO572" s="42"/>
      <c r="AP572" s="42"/>
      <c r="AQ572" s="42"/>
      <c r="AR572" s="42"/>
      <c r="AS572" s="42"/>
      <c r="AT572" s="42"/>
      <c r="AU572" s="42"/>
      <c r="AV572" s="42"/>
      <c r="AW572" s="42"/>
      <c r="AX572" s="68">
        <v>104.24</v>
      </c>
      <c r="AY572" s="37"/>
      <c r="AZ572" s="37"/>
      <c r="BA572" s="68"/>
      <c r="BB572" s="68"/>
      <c r="BC572" s="37"/>
      <c r="BD572" s="67">
        <f t="shared" si="201"/>
        <v>5733.2</v>
      </c>
      <c r="BE572" s="67"/>
      <c r="BF572" s="37"/>
      <c r="BG572" s="69">
        <v>2</v>
      </c>
      <c r="BH572" s="67">
        <f t="shared" si="205"/>
        <v>0</v>
      </c>
      <c r="BI572" s="67">
        <f t="shared" si="206"/>
        <v>0</v>
      </c>
      <c r="BJ572" s="70">
        <f t="shared" si="207"/>
        <v>0</v>
      </c>
      <c r="BO572" s="70">
        <f t="shared" si="202"/>
        <v>0</v>
      </c>
      <c r="BP572" s="37">
        <v>7</v>
      </c>
      <c r="BQ572" s="37">
        <v>0</v>
      </c>
      <c r="BR572" s="37">
        <v>0</v>
      </c>
      <c r="BT572" s="87">
        <f t="shared" si="203"/>
        <v>104.24</v>
      </c>
      <c r="BU572" s="87"/>
      <c r="BV572" s="87"/>
      <c r="BW572" s="87"/>
      <c r="BX572" s="87"/>
      <c r="BY572" s="87"/>
      <c r="BZ572" s="87"/>
      <c r="CA572" s="87"/>
      <c r="CB572" s="87"/>
      <c r="CC572" s="87"/>
      <c r="CD572" s="87"/>
      <c r="CF572" s="67">
        <f t="shared" si="204"/>
        <v>729.68</v>
      </c>
      <c r="CG572" s="67">
        <f t="shared" ref="CG572:CG635" si="208">(BT572*BQ572)+(BX572*CD572)</f>
        <v>0</v>
      </c>
      <c r="CH572" s="67">
        <f t="shared" si="197"/>
        <v>0</v>
      </c>
      <c r="CI572" s="67">
        <f t="shared" si="187"/>
        <v>0</v>
      </c>
      <c r="CJ572" s="37">
        <f t="shared" si="183"/>
        <v>150.5</v>
      </c>
      <c r="CK572" s="37">
        <f t="shared" si="184"/>
        <v>0</v>
      </c>
      <c r="CL572" s="37">
        <f t="shared" si="185"/>
        <v>0</v>
      </c>
      <c r="CM572" s="37">
        <f t="shared" si="186"/>
        <v>0</v>
      </c>
    </row>
    <row r="573" spans="1:91" ht="33.75">
      <c r="B573" s="156">
        <v>560</v>
      </c>
      <c r="C573" s="160">
        <v>303</v>
      </c>
      <c r="D573" s="160">
        <v>549</v>
      </c>
      <c r="E573" s="161">
        <v>0.34375</v>
      </c>
      <c r="F573" s="173">
        <v>0.35972222222222222</v>
      </c>
      <c r="G573" s="160" t="s">
        <v>395</v>
      </c>
      <c r="H573" s="160" t="s">
        <v>569</v>
      </c>
      <c r="I573" s="163">
        <v>19</v>
      </c>
      <c r="J573" s="164">
        <v>14</v>
      </c>
      <c r="K573" s="165">
        <v>39</v>
      </c>
      <c r="L573" s="166">
        <f t="shared" si="196"/>
        <v>741</v>
      </c>
      <c r="M573" s="167" t="s">
        <v>758</v>
      </c>
      <c r="N573" s="154" t="s">
        <v>834</v>
      </c>
      <c r="O573" s="154">
        <v>15</v>
      </c>
      <c r="P573" s="150" t="s">
        <v>1934</v>
      </c>
      <c r="Q573" s="150">
        <v>9</v>
      </c>
      <c r="R573" s="154" t="s">
        <v>1280</v>
      </c>
      <c r="S573" s="151">
        <v>9</v>
      </c>
      <c r="T573" s="45">
        <v>3895</v>
      </c>
      <c r="U573" s="45" t="s">
        <v>1604</v>
      </c>
      <c r="V573" s="45" t="s">
        <v>1605</v>
      </c>
      <c r="W573" s="45" t="s">
        <v>1606</v>
      </c>
      <c r="X573" s="99">
        <v>44816</v>
      </c>
      <c r="Y573" s="99">
        <v>45100</v>
      </c>
      <c r="Z573" s="99"/>
      <c r="AA573" s="99"/>
      <c r="AB573" s="43" t="s">
        <v>1156</v>
      </c>
      <c r="AC573" s="43"/>
      <c r="AD573" s="42" t="s">
        <v>734</v>
      </c>
      <c r="AE573" s="42"/>
      <c r="AF573" s="42" t="s">
        <v>734</v>
      </c>
      <c r="AG573" s="42"/>
      <c r="AH573" s="42"/>
      <c r="AI573" s="42"/>
      <c r="AJ573" s="42"/>
      <c r="AK573" s="42" t="s">
        <v>734</v>
      </c>
      <c r="AL573" s="42"/>
      <c r="AM573" s="42"/>
      <c r="AN573" s="42"/>
      <c r="AO573" s="42"/>
      <c r="AP573" s="42"/>
      <c r="AQ573" s="42"/>
      <c r="AR573" s="42"/>
      <c r="AS573" s="42"/>
      <c r="AT573" s="42"/>
      <c r="AU573" s="42"/>
      <c r="AV573" s="42"/>
      <c r="AW573" s="42"/>
      <c r="AX573" s="68">
        <v>57</v>
      </c>
      <c r="AY573" s="37"/>
      <c r="BA573" s="68"/>
      <c r="BB573" s="68"/>
      <c r="BD573" s="67">
        <f t="shared" si="201"/>
        <v>2223</v>
      </c>
      <c r="BE573" s="67"/>
      <c r="BF573" s="37"/>
      <c r="BG573" s="73">
        <v>1</v>
      </c>
      <c r="BH573" s="67">
        <f t="shared" si="205"/>
        <v>0</v>
      </c>
      <c r="BI573" s="67">
        <f t="shared" si="206"/>
        <v>0</v>
      </c>
      <c r="BJ573" s="70">
        <f t="shared" si="207"/>
        <v>0</v>
      </c>
      <c r="BN573" s="37"/>
      <c r="BO573" s="70">
        <f t="shared" si="202"/>
        <v>0</v>
      </c>
      <c r="BP573" s="37">
        <v>3</v>
      </c>
      <c r="BQ573" s="37">
        <v>4</v>
      </c>
      <c r="BR573" s="37">
        <v>4</v>
      </c>
      <c r="BS573" s="37">
        <v>4</v>
      </c>
      <c r="BT573" s="87">
        <f t="shared" si="203"/>
        <v>57</v>
      </c>
      <c r="BU573" s="87"/>
      <c r="BV573" s="87"/>
      <c r="BW573" s="87"/>
      <c r="BX573" s="87"/>
      <c r="BY573" s="87"/>
      <c r="BZ573" s="87"/>
      <c r="CA573" s="87"/>
      <c r="CB573" s="87"/>
      <c r="CC573" s="87"/>
      <c r="CD573" s="87"/>
      <c r="CF573" s="67">
        <f t="shared" si="204"/>
        <v>171</v>
      </c>
      <c r="CG573" s="67">
        <f t="shared" si="208"/>
        <v>228</v>
      </c>
      <c r="CH573" s="67">
        <f t="shared" si="197"/>
        <v>228</v>
      </c>
      <c r="CI573" s="67">
        <f t="shared" si="187"/>
        <v>228</v>
      </c>
      <c r="CJ573" s="37">
        <f t="shared" si="183"/>
        <v>57</v>
      </c>
      <c r="CK573" s="37">
        <f t="shared" si="184"/>
        <v>76</v>
      </c>
      <c r="CL573" s="37">
        <f t="shared" si="185"/>
        <v>76</v>
      </c>
      <c r="CM573" s="37">
        <f t="shared" si="186"/>
        <v>76</v>
      </c>
    </row>
    <row r="574" spans="1:91" ht="25.5">
      <c r="B574" s="156">
        <v>561</v>
      </c>
      <c r="C574" s="160">
        <v>303</v>
      </c>
      <c r="D574" s="160">
        <v>703</v>
      </c>
      <c r="E574" s="161">
        <v>0.35069444444444442</v>
      </c>
      <c r="F574" s="161">
        <v>0.3888888888888889</v>
      </c>
      <c r="G574" s="160" t="s">
        <v>443</v>
      </c>
      <c r="H574" s="160" t="s">
        <v>550</v>
      </c>
      <c r="I574" s="163">
        <v>23</v>
      </c>
      <c r="J574" s="164" t="s">
        <v>188</v>
      </c>
      <c r="K574" s="165">
        <v>13</v>
      </c>
      <c r="L574" s="166">
        <f t="shared" si="196"/>
        <v>299</v>
      </c>
      <c r="M574" s="167" t="s">
        <v>747</v>
      </c>
      <c r="N574" s="154" t="s">
        <v>852</v>
      </c>
      <c r="O574" s="154">
        <v>31</v>
      </c>
      <c r="P574" s="154" t="s">
        <v>1265</v>
      </c>
      <c r="Q574" s="154">
        <v>57</v>
      </c>
      <c r="R574" s="154" t="s">
        <v>853</v>
      </c>
      <c r="S574" s="151">
        <v>42</v>
      </c>
      <c r="T574" s="45">
        <v>3790</v>
      </c>
      <c r="U574" s="45" t="s">
        <v>1608</v>
      </c>
      <c r="V574" s="45">
        <v>1</v>
      </c>
      <c r="W574" s="45" t="s">
        <v>1339</v>
      </c>
      <c r="X574" s="99">
        <v>44562</v>
      </c>
      <c r="Y574" s="99">
        <v>44815</v>
      </c>
      <c r="Z574" s="99">
        <v>45101</v>
      </c>
      <c r="AA574" s="99">
        <v>45169</v>
      </c>
      <c r="AB574" s="36" t="s">
        <v>1116</v>
      </c>
      <c r="AC574" s="36"/>
      <c r="AD574" s="42"/>
      <c r="AE574" s="42" t="s">
        <v>734</v>
      </c>
      <c r="AF574" s="42"/>
      <c r="AG574" s="42"/>
      <c r="AH574" s="42"/>
      <c r="AI574" s="42"/>
      <c r="AJ574" s="42"/>
      <c r="AK574" s="42"/>
      <c r="AL574" s="42"/>
      <c r="AM574" s="42"/>
      <c r="AN574" s="42" t="s">
        <v>734</v>
      </c>
      <c r="AO574" s="42"/>
      <c r="AP574" s="42"/>
      <c r="AQ574" s="42"/>
      <c r="AR574" s="42"/>
      <c r="AS574" s="42"/>
      <c r="AT574" s="42"/>
      <c r="AU574" s="42"/>
      <c r="AV574" s="42"/>
      <c r="AW574" s="42"/>
      <c r="AX574" s="68">
        <v>69</v>
      </c>
      <c r="AY574" s="37"/>
      <c r="BA574" s="68"/>
      <c r="BB574" s="68"/>
      <c r="BD574" s="67">
        <f t="shared" si="201"/>
        <v>897</v>
      </c>
      <c r="BE574" s="67"/>
      <c r="BF574" s="37"/>
      <c r="BG574" s="73">
        <v>1</v>
      </c>
      <c r="BH574" s="67">
        <f t="shared" si="205"/>
        <v>0</v>
      </c>
      <c r="BI574" s="67">
        <f t="shared" si="206"/>
        <v>0</v>
      </c>
      <c r="BJ574" s="70">
        <f t="shared" si="207"/>
        <v>0</v>
      </c>
      <c r="BN574" s="37"/>
      <c r="BO574" s="70">
        <f t="shared" si="202"/>
        <v>0</v>
      </c>
      <c r="BP574" s="37">
        <v>2</v>
      </c>
      <c r="BQ574" s="37">
        <v>0</v>
      </c>
      <c r="BR574" s="37">
        <v>0</v>
      </c>
      <c r="BT574" s="87">
        <f t="shared" si="203"/>
        <v>69</v>
      </c>
      <c r="BU574" s="87"/>
      <c r="BV574" s="87"/>
      <c r="BW574" s="87"/>
      <c r="BX574" s="87"/>
      <c r="BY574" s="87"/>
      <c r="BZ574" s="87"/>
      <c r="CA574" s="87"/>
      <c r="CB574" s="87"/>
      <c r="CC574" s="87"/>
      <c r="CD574" s="87"/>
      <c r="CF574" s="67">
        <f t="shared" si="204"/>
        <v>138</v>
      </c>
      <c r="CG574" s="67">
        <f t="shared" si="208"/>
        <v>0</v>
      </c>
      <c r="CH574" s="67">
        <f t="shared" si="197"/>
        <v>0</v>
      </c>
      <c r="CI574" s="67">
        <f t="shared" si="187"/>
        <v>0</v>
      </c>
      <c r="CJ574" s="37">
        <f t="shared" si="183"/>
        <v>46</v>
      </c>
      <c r="CK574" s="37">
        <f t="shared" si="184"/>
        <v>0</v>
      </c>
      <c r="CL574" s="37">
        <f t="shared" si="185"/>
        <v>0</v>
      </c>
      <c r="CM574" s="37">
        <f t="shared" si="186"/>
        <v>0</v>
      </c>
    </row>
    <row r="575" spans="1:91" ht="25.5">
      <c r="B575" s="156">
        <v>562</v>
      </c>
      <c r="C575" s="160">
        <v>303</v>
      </c>
      <c r="D575" s="160">
        <v>703</v>
      </c>
      <c r="E575" s="161">
        <v>0.35069444444444442</v>
      </c>
      <c r="F575" s="161">
        <v>0.3888888888888889</v>
      </c>
      <c r="G575" s="160" t="s">
        <v>443</v>
      </c>
      <c r="H575" s="160" t="s">
        <v>444</v>
      </c>
      <c r="I575" s="163">
        <v>23</v>
      </c>
      <c r="J575" s="164" t="s">
        <v>188</v>
      </c>
      <c r="K575" s="165">
        <v>47</v>
      </c>
      <c r="L575" s="166">
        <f t="shared" si="196"/>
        <v>1081</v>
      </c>
      <c r="M575" s="167" t="s">
        <v>747</v>
      </c>
      <c r="N575" s="154" t="s">
        <v>852</v>
      </c>
      <c r="O575" s="154">
        <v>31</v>
      </c>
      <c r="P575" s="154" t="s">
        <v>1265</v>
      </c>
      <c r="Q575" s="154">
        <v>57</v>
      </c>
      <c r="R575" s="154" t="s">
        <v>853</v>
      </c>
      <c r="S575" s="151">
        <v>42</v>
      </c>
      <c r="T575" s="45">
        <v>3790</v>
      </c>
      <c r="U575" s="45" t="s">
        <v>1608</v>
      </c>
      <c r="V575" s="45">
        <v>1</v>
      </c>
      <c r="W575" s="45" t="s">
        <v>1339</v>
      </c>
      <c r="X575" s="99">
        <v>44816</v>
      </c>
      <c r="Y575" s="99">
        <v>45100</v>
      </c>
      <c r="Z575" s="99"/>
      <c r="AA575" s="99"/>
      <c r="AB575" s="46" t="s">
        <v>1115</v>
      </c>
      <c r="AC575" s="46"/>
      <c r="AD575" s="42" t="s">
        <v>734</v>
      </c>
      <c r="AE575" s="42"/>
      <c r="AF575" s="42"/>
      <c r="AG575" s="42"/>
      <c r="AH575" s="42"/>
      <c r="AI575" s="42"/>
      <c r="AJ575" s="42"/>
      <c r="AK575" s="42"/>
      <c r="AL575" s="42"/>
      <c r="AM575" s="42"/>
      <c r="AN575" s="42" t="s">
        <v>734</v>
      </c>
      <c r="AO575" s="42"/>
      <c r="AP575" s="42"/>
      <c r="AQ575" s="42"/>
      <c r="AR575" s="42"/>
      <c r="AS575" s="42"/>
      <c r="AT575" s="42"/>
      <c r="AU575" s="42"/>
      <c r="AV575" s="42"/>
      <c r="AW575" s="42"/>
      <c r="AX575" s="68">
        <v>69</v>
      </c>
      <c r="AY575" s="37"/>
      <c r="BA575" s="68"/>
      <c r="BB575" s="68"/>
      <c r="BD575" s="67">
        <f t="shared" si="201"/>
        <v>3243</v>
      </c>
      <c r="BE575" s="67"/>
      <c r="BF575" s="37"/>
      <c r="BG575" s="73">
        <v>1</v>
      </c>
      <c r="BH575" s="67">
        <f t="shared" si="205"/>
        <v>0</v>
      </c>
      <c r="BI575" s="67">
        <f t="shared" si="206"/>
        <v>0</v>
      </c>
      <c r="BJ575" s="70">
        <f t="shared" si="207"/>
        <v>0</v>
      </c>
      <c r="BN575" s="37"/>
      <c r="BO575" s="70">
        <f t="shared" si="202"/>
        <v>0</v>
      </c>
      <c r="BP575" s="37">
        <v>2</v>
      </c>
      <c r="BQ575" s="37">
        <v>5</v>
      </c>
      <c r="BR575" s="37">
        <v>5</v>
      </c>
      <c r="BS575" s="37">
        <v>6</v>
      </c>
      <c r="BT575" s="87">
        <f t="shared" si="203"/>
        <v>69</v>
      </c>
      <c r="BU575" s="87"/>
      <c r="BV575" s="87"/>
      <c r="BW575" s="87"/>
      <c r="BX575" s="87"/>
      <c r="BY575" s="87"/>
      <c r="BZ575" s="87"/>
      <c r="CA575" s="87"/>
      <c r="CB575" s="87"/>
      <c r="CC575" s="87"/>
      <c r="CD575" s="87"/>
      <c r="CF575" s="67">
        <f t="shared" si="204"/>
        <v>138</v>
      </c>
      <c r="CG575" s="67">
        <f t="shared" si="208"/>
        <v>345</v>
      </c>
      <c r="CH575" s="67">
        <f t="shared" si="197"/>
        <v>345</v>
      </c>
      <c r="CI575" s="67">
        <f t="shared" si="187"/>
        <v>414</v>
      </c>
      <c r="CJ575" s="37">
        <f t="shared" si="183"/>
        <v>46</v>
      </c>
      <c r="CK575" s="37">
        <f t="shared" si="184"/>
        <v>115</v>
      </c>
      <c r="CL575" s="37">
        <f t="shared" si="185"/>
        <v>115</v>
      </c>
      <c r="CM575" s="37">
        <f t="shared" si="186"/>
        <v>138</v>
      </c>
    </row>
    <row r="576" spans="1:91" ht="38.25">
      <c r="B576" s="156">
        <v>563</v>
      </c>
      <c r="C576" s="160">
        <v>303</v>
      </c>
      <c r="D576" s="160">
        <v>541</v>
      </c>
      <c r="E576" s="161">
        <v>0.3576388888888889</v>
      </c>
      <c r="F576" s="161">
        <v>0.38541666666666669</v>
      </c>
      <c r="G576" s="160" t="s">
        <v>348</v>
      </c>
      <c r="H576" s="160" t="s">
        <v>347</v>
      </c>
      <c r="I576" s="163">
        <v>20</v>
      </c>
      <c r="J576" s="164" t="s">
        <v>269</v>
      </c>
      <c r="K576" s="165">
        <v>29</v>
      </c>
      <c r="L576" s="166">
        <f t="shared" si="196"/>
        <v>580</v>
      </c>
      <c r="M576" s="167" t="s">
        <v>747</v>
      </c>
      <c r="N576" s="154" t="s">
        <v>854</v>
      </c>
      <c r="O576" s="154">
        <v>21</v>
      </c>
      <c r="P576" s="154" t="s">
        <v>849</v>
      </c>
      <c r="Q576" s="154">
        <v>23</v>
      </c>
      <c r="R576" s="154" t="s">
        <v>850</v>
      </c>
      <c r="S576" s="151">
        <v>23</v>
      </c>
      <c r="T576" s="45">
        <v>3790</v>
      </c>
      <c r="U576" s="45" t="s">
        <v>1608</v>
      </c>
      <c r="V576" s="45" t="s">
        <v>1446</v>
      </c>
      <c r="W576" s="45" t="s">
        <v>1447</v>
      </c>
      <c r="X576" s="99">
        <v>44816</v>
      </c>
      <c r="Y576" s="99">
        <v>45100</v>
      </c>
      <c r="Z576" s="99"/>
      <c r="AA576" s="99"/>
      <c r="AB576" s="41" t="s">
        <v>1122</v>
      </c>
      <c r="AC576" s="41"/>
      <c r="AD576" s="42" t="s">
        <v>734</v>
      </c>
      <c r="AE576" s="42"/>
      <c r="AF576" s="42" t="s">
        <v>734</v>
      </c>
      <c r="AG576" s="42"/>
      <c r="AH576" s="42"/>
      <c r="AI576" s="42"/>
      <c r="AJ576" s="42"/>
      <c r="AK576" s="42"/>
      <c r="AL576" s="42"/>
      <c r="AM576" s="42"/>
      <c r="AN576" s="42"/>
      <c r="AO576" s="42"/>
      <c r="AP576" s="42"/>
      <c r="AQ576" s="42"/>
      <c r="AR576" s="42" t="s">
        <v>734</v>
      </c>
      <c r="AS576" s="42" t="s">
        <v>734</v>
      </c>
      <c r="AT576" s="42" t="s">
        <v>734</v>
      </c>
      <c r="AU576" s="42" t="s">
        <v>734</v>
      </c>
      <c r="AV576" s="42" t="s">
        <v>734</v>
      </c>
      <c r="AW576" s="42" t="s">
        <v>734</v>
      </c>
      <c r="AX576" s="68">
        <v>77.63</v>
      </c>
      <c r="AY576" s="37"/>
      <c r="BA576" s="68"/>
      <c r="BB576" s="68"/>
      <c r="BD576" s="67">
        <f t="shared" si="201"/>
        <v>2251.27</v>
      </c>
      <c r="BE576" s="67"/>
      <c r="BF576" s="37"/>
      <c r="BG576" s="73">
        <v>1</v>
      </c>
      <c r="BH576" s="67">
        <f t="shared" si="205"/>
        <v>0</v>
      </c>
      <c r="BI576" s="67">
        <f t="shared" si="206"/>
        <v>0</v>
      </c>
      <c r="BJ576" s="70">
        <f t="shared" si="207"/>
        <v>0</v>
      </c>
      <c r="BN576" s="37"/>
      <c r="BO576" s="70">
        <f t="shared" si="202"/>
        <v>0</v>
      </c>
      <c r="BP576" s="37">
        <v>0</v>
      </c>
      <c r="BQ576" s="37">
        <v>1</v>
      </c>
      <c r="BR576" s="37">
        <v>0</v>
      </c>
      <c r="BS576" s="37">
        <v>7</v>
      </c>
      <c r="BT576" s="87">
        <f t="shared" si="203"/>
        <v>77.63</v>
      </c>
      <c r="BU576" s="87"/>
      <c r="BV576" s="87"/>
      <c r="BW576" s="87"/>
      <c r="BX576" s="87"/>
      <c r="BY576" s="87"/>
      <c r="BZ576" s="87"/>
      <c r="CA576" s="87"/>
      <c r="CB576" s="87"/>
      <c r="CC576" s="87"/>
      <c r="CD576" s="87"/>
      <c r="CF576" s="67">
        <f t="shared" si="204"/>
        <v>0</v>
      </c>
      <c r="CG576" s="67">
        <f t="shared" si="208"/>
        <v>77.63</v>
      </c>
      <c r="CH576" s="67">
        <f t="shared" si="197"/>
        <v>0</v>
      </c>
      <c r="CI576" s="67">
        <f t="shared" si="187"/>
        <v>543.41</v>
      </c>
      <c r="CJ576" s="37">
        <f t="shared" si="183"/>
        <v>0</v>
      </c>
      <c r="CK576" s="37">
        <f t="shared" si="184"/>
        <v>20</v>
      </c>
      <c r="CL576" s="37">
        <f t="shared" si="185"/>
        <v>0</v>
      </c>
      <c r="CM576" s="37">
        <f t="shared" si="186"/>
        <v>140</v>
      </c>
    </row>
    <row r="577" spans="2:91" ht="33.75">
      <c r="B577" s="156">
        <v>564</v>
      </c>
      <c r="C577" s="160">
        <v>303</v>
      </c>
      <c r="D577" s="160">
        <v>551</v>
      </c>
      <c r="E577" s="161">
        <v>0.36458333333333331</v>
      </c>
      <c r="F577" s="161">
        <v>0.38263888888888892</v>
      </c>
      <c r="G577" s="160" t="s">
        <v>515</v>
      </c>
      <c r="H577" s="160" t="s">
        <v>501</v>
      </c>
      <c r="I577" s="163">
        <v>19</v>
      </c>
      <c r="J577" s="164" t="s">
        <v>167</v>
      </c>
      <c r="K577" s="165">
        <v>67</v>
      </c>
      <c r="L577" s="166">
        <f t="shared" si="196"/>
        <v>1273</v>
      </c>
      <c r="M577" s="167" t="s">
        <v>758</v>
      </c>
      <c r="N577" s="154" t="s">
        <v>834</v>
      </c>
      <c r="O577" s="154">
        <v>15</v>
      </c>
      <c r="P577" s="150" t="s">
        <v>1934</v>
      </c>
      <c r="Q577" s="150">
        <v>9</v>
      </c>
      <c r="R577" s="154" t="s">
        <v>1280</v>
      </c>
      <c r="S577" s="151">
        <v>9</v>
      </c>
      <c r="T577" s="45">
        <v>3895</v>
      </c>
      <c r="U577" s="45" t="s">
        <v>1604</v>
      </c>
      <c r="V577" s="45" t="s">
        <v>1617</v>
      </c>
      <c r="W577" s="45" t="s">
        <v>1618</v>
      </c>
      <c r="X577" s="99">
        <v>44562</v>
      </c>
      <c r="Y577" s="99">
        <v>44815</v>
      </c>
      <c r="Z577" s="99">
        <v>45101</v>
      </c>
      <c r="AA577" s="99">
        <v>45169</v>
      </c>
      <c r="AB577" s="42" t="s">
        <v>1119</v>
      </c>
      <c r="AC577" s="42"/>
      <c r="AD577" s="42"/>
      <c r="AE577" s="42" t="s">
        <v>734</v>
      </c>
      <c r="AF577" s="42" t="s">
        <v>734</v>
      </c>
      <c r="AG577" s="42"/>
      <c r="AH577" s="42" t="s">
        <v>734</v>
      </c>
      <c r="AI577" s="42" t="s">
        <v>734</v>
      </c>
      <c r="AJ577" s="42" t="s">
        <v>734</v>
      </c>
      <c r="AK577" s="42" t="s">
        <v>734</v>
      </c>
      <c r="AL577" s="42" t="s">
        <v>734</v>
      </c>
      <c r="AM577" s="42" t="s">
        <v>734</v>
      </c>
      <c r="AN577" s="42"/>
      <c r="AO577" s="42"/>
      <c r="AP577" s="42"/>
      <c r="AQ577" s="42"/>
      <c r="AR577" s="42"/>
      <c r="AS577" s="42"/>
      <c r="AT577" s="42"/>
      <c r="AU577" s="42"/>
      <c r="AV577" s="42"/>
      <c r="AW577" s="42"/>
      <c r="AX577" s="68">
        <v>57</v>
      </c>
      <c r="AY577" s="37"/>
      <c r="BA577" s="68"/>
      <c r="BB577" s="68"/>
      <c r="BD577" s="67">
        <f t="shared" si="201"/>
        <v>3819</v>
      </c>
      <c r="BE577" s="67"/>
      <c r="BF577" s="37"/>
      <c r="BG577" s="73">
        <v>1</v>
      </c>
      <c r="BH577" s="67">
        <f t="shared" si="205"/>
        <v>0</v>
      </c>
      <c r="BI577" s="67">
        <f t="shared" si="206"/>
        <v>0</v>
      </c>
      <c r="BJ577" s="70">
        <f t="shared" si="207"/>
        <v>0</v>
      </c>
      <c r="BN577" s="37"/>
      <c r="BO577" s="70">
        <f t="shared" si="202"/>
        <v>0</v>
      </c>
      <c r="BP577" s="37">
        <v>9</v>
      </c>
      <c r="BQ577" s="37">
        <v>0</v>
      </c>
      <c r="BR577" s="37">
        <v>0</v>
      </c>
      <c r="BS577" s="37">
        <v>0</v>
      </c>
      <c r="BT577" s="87">
        <f t="shared" si="203"/>
        <v>57</v>
      </c>
      <c r="BU577" s="87"/>
      <c r="BV577" s="87"/>
      <c r="BW577" s="87"/>
      <c r="BX577" s="87"/>
      <c r="BY577" s="87"/>
      <c r="BZ577" s="87"/>
      <c r="CA577" s="87"/>
      <c r="CB577" s="87"/>
      <c r="CC577" s="87"/>
      <c r="CD577" s="87"/>
      <c r="CF577" s="67">
        <f t="shared" si="204"/>
        <v>513</v>
      </c>
      <c r="CG577" s="67">
        <f t="shared" si="208"/>
        <v>0</v>
      </c>
      <c r="CH577" s="67">
        <f t="shared" si="197"/>
        <v>0</v>
      </c>
      <c r="CI577" s="67">
        <f t="shared" si="187"/>
        <v>0</v>
      </c>
      <c r="CJ577" s="37">
        <f t="shared" si="183"/>
        <v>171</v>
      </c>
      <c r="CK577" s="37">
        <f t="shared" si="184"/>
        <v>0</v>
      </c>
      <c r="CL577" s="37">
        <f t="shared" si="185"/>
        <v>0</v>
      </c>
      <c r="CM577" s="37">
        <f t="shared" si="186"/>
        <v>0</v>
      </c>
    </row>
    <row r="578" spans="2:91" ht="25.5">
      <c r="B578" s="156">
        <v>565</v>
      </c>
      <c r="C578" s="169">
        <v>303</v>
      </c>
      <c r="D578" s="169">
        <v>530</v>
      </c>
      <c r="E578" s="170">
        <v>0.37152777777777773</v>
      </c>
      <c r="F578" s="170">
        <v>0.42569444444444443</v>
      </c>
      <c r="G578" s="171" t="s">
        <v>5</v>
      </c>
      <c r="H578" s="160" t="s">
        <v>550</v>
      </c>
      <c r="I578" s="169">
        <v>39</v>
      </c>
      <c r="J578" s="172">
        <v>30</v>
      </c>
      <c r="K578" s="165">
        <v>13</v>
      </c>
      <c r="L578" s="166">
        <f t="shared" si="196"/>
        <v>507</v>
      </c>
      <c r="M578" s="167" t="s">
        <v>759</v>
      </c>
      <c r="N578" s="150" t="s">
        <v>959</v>
      </c>
      <c r="O578" s="150">
        <v>33</v>
      </c>
      <c r="P578" s="3" t="s">
        <v>1281</v>
      </c>
      <c r="Q578" s="152">
        <v>55</v>
      </c>
      <c r="T578" s="45">
        <v>1</v>
      </c>
      <c r="U578" s="45" t="s">
        <v>1620</v>
      </c>
      <c r="V578" s="45">
        <v>3870</v>
      </c>
      <c r="W578" s="45" t="s">
        <v>1621</v>
      </c>
      <c r="X578" s="99">
        <v>44562</v>
      </c>
      <c r="Y578" s="99">
        <v>44815</v>
      </c>
      <c r="Z578" s="99">
        <v>45101</v>
      </c>
      <c r="AA578" s="99">
        <v>45169</v>
      </c>
      <c r="AB578" s="36" t="s">
        <v>1116</v>
      </c>
      <c r="AC578" s="36"/>
      <c r="AD578" s="42"/>
      <c r="AE578" s="42" t="s">
        <v>734</v>
      </c>
      <c r="AF578" s="42"/>
      <c r="AG578" s="42"/>
      <c r="AH578" s="42"/>
      <c r="AI578" s="42"/>
      <c r="AJ578" s="42"/>
      <c r="AK578" s="42"/>
      <c r="AL578" s="42"/>
      <c r="AM578" s="42"/>
      <c r="AN578" s="42" t="s">
        <v>734</v>
      </c>
      <c r="AO578" s="42"/>
      <c r="AP578" s="42"/>
      <c r="AQ578" s="42"/>
      <c r="AR578" s="42"/>
      <c r="AS578" s="42"/>
      <c r="AT578" s="42"/>
      <c r="AU578" s="42"/>
      <c r="AV578" s="42"/>
      <c r="AW578" s="42"/>
      <c r="AX578" s="37"/>
      <c r="AY578" s="37"/>
      <c r="BA578" s="38" t="s">
        <v>759</v>
      </c>
      <c r="BB578" s="38"/>
      <c r="BD578" s="67">
        <f t="shared" si="201"/>
        <v>0</v>
      </c>
      <c r="BF578" s="37"/>
      <c r="BG578" s="73">
        <v>1</v>
      </c>
      <c r="BI578" s="67"/>
      <c r="BJ578" s="37"/>
      <c r="BN578" s="37"/>
      <c r="BO578" s="70">
        <f t="shared" si="202"/>
        <v>0</v>
      </c>
      <c r="BP578" s="37">
        <v>2</v>
      </c>
      <c r="BQ578" s="37">
        <v>0</v>
      </c>
      <c r="BR578" s="37">
        <v>0</v>
      </c>
      <c r="BT578" s="87">
        <f t="shared" si="203"/>
        <v>0</v>
      </c>
      <c r="BU578" s="87" t="s">
        <v>1116</v>
      </c>
      <c r="BV578" s="127">
        <v>2</v>
      </c>
      <c r="BW578" s="127"/>
      <c r="BX578" s="127">
        <v>0</v>
      </c>
      <c r="BY578" s="127"/>
      <c r="BZ578" s="127">
        <v>0</v>
      </c>
      <c r="CA578" s="127"/>
      <c r="CB578" s="127">
        <v>0</v>
      </c>
      <c r="CC578" s="127"/>
      <c r="CD578" s="87">
        <v>350</v>
      </c>
      <c r="CF578" s="67">
        <f t="shared" si="204"/>
        <v>700</v>
      </c>
      <c r="CG578" s="67">
        <f t="shared" si="208"/>
        <v>0</v>
      </c>
      <c r="CH578" s="67">
        <f t="shared" si="197"/>
        <v>0</v>
      </c>
      <c r="CI578" s="67">
        <f t="shared" si="187"/>
        <v>0</v>
      </c>
      <c r="CJ578" s="37">
        <f t="shared" si="183"/>
        <v>78</v>
      </c>
      <c r="CK578" s="37">
        <f t="shared" si="184"/>
        <v>0</v>
      </c>
      <c r="CL578" s="37">
        <f t="shared" si="185"/>
        <v>0</v>
      </c>
      <c r="CM578" s="37">
        <f t="shared" si="186"/>
        <v>0</v>
      </c>
    </row>
    <row r="579" spans="2:91" ht="33.75">
      <c r="B579" s="156">
        <v>566</v>
      </c>
      <c r="C579" s="160">
        <v>303</v>
      </c>
      <c r="D579" s="160">
        <v>552</v>
      </c>
      <c r="E579" s="161">
        <v>0.39930555555555558</v>
      </c>
      <c r="F579" s="161">
        <v>0.41736111111111113</v>
      </c>
      <c r="G579" s="160" t="s">
        <v>516</v>
      </c>
      <c r="H579" s="160" t="s">
        <v>501</v>
      </c>
      <c r="I579" s="163">
        <v>19</v>
      </c>
      <c r="J579" s="164" t="s">
        <v>167</v>
      </c>
      <c r="K579" s="165">
        <v>67</v>
      </c>
      <c r="L579" s="166">
        <f t="shared" si="196"/>
        <v>1273</v>
      </c>
      <c r="M579" s="167" t="s">
        <v>758</v>
      </c>
      <c r="N579" s="154" t="s">
        <v>834</v>
      </c>
      <c r="O579" s="154">
        <v>15</v>
      </c>
      <c r="P579" s="150" t="s">
        <v>1934</v>
      </c>
      <c r="Q579" s="150">
        <v>9</v>
      </c>
      <c r="R579" s="154" t="s">
        <v>1280</v>
      </c>
      <c r="S579" s="151">
        <v>9</v>
      </c>
      <c r="T579" s="45" t="s">
        <v>1617</v>
      </c>
      <c r="U579" s="45" t="s">
        <v>1618</v>
      </c>
      <c r="V579" s="45">
        <v>3895</v>
      </c>
      <c r="W579" s="45" t="s">
        <v>1604</v>
      </c>
      <c r="X579" s="99">
        <v>44562</v>
      </c>
      <c r="Y579" s="99">
        <v>44815</v>
      </c>
      <c r="Z579" s="99">
        <v>45101</v>
      </c>
      <c r="AA579" s="99">
        <v>45169</v>
      </c>
      <c r="AB579" s="42" t="s">
        <v>1119</v>
      </c>
      <c r="AC579" s="42"/>
      <c r="AD579" s="42"/>
      <c r="AE579" s="42" t="s">
        <v>734</v>
      </c>
      <c r="AF579" s="42" t="s">
        <v>734</v>
      </c>
      <c r="AG579" s="42"/>
      <c r="AH579" s="42" t="s">
        <v>734</v>
      </c>
      <c r="AI579" s="42" t="s">
        <v>734</v>
      </c>
      <c r="AJ579" s="42" t="s">
        <v>734</v>
      </c>
      <c r="AK579" s="42" t="s">
        <v>734</v>
      </c>
      <c r="AL579" s="42" t="s">
        <v>734</v>
      </c>
      <c r="AM579" s="42" t="s">
        <v>734</v>
      </c>
      <c r="AN579" s="42"/>
      <c r="AO579" s="42"/>
      <c r="AP579" s="42"/>
      <c r="AQ579" s="42"/>
      <c r="AR579" s="42"/>
      <c r="AS579" s="42"/>
      <c r="AT579" s="42"/>
      <c r="AU579" s="42"/>
      <c r="AV579" s="42"/>
      <c r="AW579" s="42"/>
      <c r="AX579" s="68">
        <v>57</v>
      </c>
      <c r="AY579" s="37"/>
      <c r="BA579" s="68"/>
      <c r="BB579" s="68"/>
      <c r="BD579" s="67">
        <f t="shared" si="201"/>
        <v>3819</v>
      </c>
      <c r="BE579" s="67"/>
      <c r="BF579" s="37"/>
      <c r="BG579" s="73">
        <v>1</v>
      </c>
      <c r="BH579" s="67">
        <f t="shared" ref="BH579:BH593" si="209">IF(AND((AX579/I579)&lt;2,BG579=1),(I579*2)-AX579,0)</f>
        <v>0</v>
      </c>
      <c r="BI579" s="67">
        <f t="shared" ref="BI579:BI593" si="210">IF(AND((AX579/I579)&lt;3,BG579=2),(I579*3)-AX579,0)</f>
        <v>0</v>
      </c>
      <c r="BJ579" s="70">
        <f t="shared" ref="BJ579:BJ593" si="211">(BH579+BI579)*K579</f>
        <v>0</v>
      </c>
      <c r="BN579" s="37"/>
      <c r="BO579" s="70">
        <f t="shared" si="202"/>
        <v>0</v>
      </c>
      <c r="BP579" s="37">
        <v>9</v>
      </c>
      <c r="BQ579" s="37">
        <v>0</v>
      </c>
      <c r="BR579" s="37">
        <v>0</v>
      </c>
      <c r="BS579" s="37">
        <v>0</v>
      </c>
      <c r="BT579" s="87">
        <f t="shared" si="203"/>
        <v>57</v>
      </c>
      <c r="BU579" s="87"/>
      <c r="BV579" s="87"/>
      <c r="BW579" s="87"/>
      <c r="BX579" s="87"/>
      <c r="BY579" s="87"/>
      <c r="BZ579" s="87"/>
      <c r="CA579" s="87"/>
      <c r="CB579" s="87"/>
      <c r="CC579" s="87"/>
      <c r="CD579" s="87"/>
      <c r="CF579" s="67">
        <f t="shared" si="204"/>
        <v>513</v>
      </c>
      <c r="CG579" s="67">
        <f t="shared" si="208"/>
        <v>0</v>
      </c>
      <c r="CH579" s="67">
        <f t="shared" si="197"/>
        <v>0</v>
      </c>
      <c r="CI579" s="67">
        <f t="shared" si="187"/>
        <v>0</v>
      </c>
      <c r="CJ579" s="37">
        <f t="shared" ref="CJ579:CJ642" si="212">BP579*I579</f>
        <v>171</v>
      </c>
      <c r="CK579" s="37">
        <f t="shared" ref="CK579:CK642" si="213">BQ579*I579</f>
        <v>0</v>
      </c>
      <c r="CL579" s="37">
        <f t="shared" ref="CL579:CL642" si="214">BR579*I579</f>
        <v>0</v>
      </c>
      <c r="CM579" s="37">
        <f t="shared" ref="CM579:CM642" si="215">BS579*I579</f>
        <v>0</v>
      </c>
    </row>
    <row r="580" spans="2:91" ht="25.5">
      <c r="B580" s="156">
        <v>567</v>
      </c>
      <c r="C580" s="160">
        <v>303</v>
      </c>
      <c r="D580" s="160">
        <v>474</v>
      </c>
      <c r="E580" s="161">
        <v>0.47013888888888888</v>
      </c>
      <c r="F580" s="161">
        <v>0.49722222222222223</v>
      </c>
      <c r="G580" s="160" t="s">
        <v>575</v>
      </c>
      <c r="H580" s="160" t="s">
        <v>425</v>
      </c>
      <c r="I580" s="163">
        <v>16</v>
      </c>
      <c r="J580" s="195">
        <v>50</v>
      </c>
      <c r="K580" s="165">
        <v>55</v>
      </c>
      <c r="L580" s="166">
        <f t="shared" si="196"/>
        <v>880</v>
      </c>
      <c r="M580" s="167" t="s">
        <v>759</v>
      </c>
      <c r="N580" s="150" t="s">
        <v>958</v>
      </c>
      <c r="O580" s="150">
        <v>58</v>
      </c>
      <c r="P580" s="3" t="s">
        <v>1281</v>
      </c>
      <c r="Q580" s="152">
        <v>55</v>
      </c>
      <c r="T580" s="45">
        <v>3770</v>
      </c>
      <c r="U580" s="45" t="s">
        <v>1611</v>
      </c>
      <c r="V580" s="45">
        <v>3870</v>
      </c>
      <c r="W580" s="45" t="s">
        <v>1619</v>
      </c>
      <c r="X580" s="99">
        <v>44562</v>
      </c>
      <c r="Y580" s="99">
        <v>44815</v>
      </c>
      <c r="Z580" s="99">
        <v>45101</v>
      </c>
      <c r="AA580" s="99">
        <v>45169</v>
      </c>
      <c r="AB580" s="41" t="s">
        <v>1121</v>
      </c>
      <c r="AC580" s="41"/>
      <c r="AD580" s="42"/>
      <c r="AE580" s="42" t="s">
        <v>734</v>
      </c>
      <c r="AF580" s="42" t="s">
        <v>734</v>
      </c>
      <c r="AG580" s="42"/>
      <c r="AH580" s="42" t="s">
        <v>734</v>
      </c>
      <c r="AI580" s="42" t="s">
        <v>734</v>
      </c>
      <c r="AJ580" s="42" t="s">
        <v>734</v>
      </c>
      <c r="AK580" s="42" t="s">
        <v>734</v>
      </c>
      <c r="AL580" s="42" t="s">
        <v>734</v>
      </c>
      <c r="AM580" s="42"/>
      <c r="AN580" s="42"/>
      <c r="AO580" s="42"/>
      <c r="AP580" s="42"/>
      <c r="AQ580" s="42"/>
      <c r="AR580" s="42"/>
      <c r="AS580" s="42"/>
      <c r="AT580" s="42"/>
      <c r="AU580" s="42"/>
      <c r="AV580" s="42"/>
      <c r="AW580" s="42"/>
      <c r="AX580" s="68">
        <v>77.58</v>
      </c>
      <c r="AY580" s="37"/>
      <c r="BA580" s="68"/>
      <c r="BB580" s="68"/>
      <c r="BD580" s="67">
        <f t="shared" si="201"/>
        <v>4266.8999999999996</v>
      </c>
      <c r="BE580" s="67"/>
      <c r="BF580" s="37"/>
      <c r="BG580" s="69">
        <v>2</v>
      </c>
      <c r="BH580" s="67">
        <f t="shared" si="209"/>
        <v>0</v>
      </c>
      <c r="BI580" s="67">
        <f t="shared" si="210"/>
        <v>0</v>
      </c>
      <c r="BJ580" s="70">
        <f t="shared" si="211"/>
        <v>0</v>
      </c>
      <c r="BN580" s="37"/>
      <c r="BO580" s="70">
        <f t="shared" si="202"/>
        <v>0</v>
      </c>
      <c r="BP580" s="37">
        <v>7</v>
      </c>
      <c r="BQ580" s="37">
        <v>0</v>
      </c>
      <c r="BR580" s="37">
        <v>0</v>
      </c>
      <c r="BT580" s="87">
        <f t="shared" si="203"/>
        <v>77.58</v>
      </c>
      <c r="BU580" s="87"/>
      <c r="BV580" s="87"/>
      <c r="BW580" s="87"/>
      <c r="BX580" s="87"/>
      <c r="BY580" s="87"/>
      <c r="BZ580" s="87"/>
      <c r="CA580" s="87"/>
      <c r="CB580" s="87"/>
      <c r="CC580" s="87"/>
      <c r="CD580" s="87"/>
      <c r="CF580" s="67">
        <f t="shared" si="204"/>
        <v>543.05999999999995</v>
      </c>
      <c r="CG580" s="67">
        <f t="shared" si="208"/>
        <v>0</v>
      </c>
      <c r="CH580" s="67">
        <f t="shared" si="197"/>
        <v>0</v>
      </c>
      <c r="CI580" s="67">
        <f t="shared" ref="CI580:CI643" si="216">(BS580*BT580)+(CB580*CD580)</f>
        <v>0</v>
      </c>
      <c r="CJ580" s="37">
        <f t="shared" si="212"/>
        <v>112</v>
      </c>
      <c r="CK580" s="37">
        <f t="shared" si="213"/>
        <v>0</v>
      </c>
      <c r="CL580" s="37">
        <f t="shared" si="214"/>
        <v>0</v>
      </c>
      <c r="CM580" s="37">
        <f t="shared" si="215"/>
        <v>0</v>
      </c>
    </row>
    <row r="581" spans="2:91" ht="25.5">
      <c r="B581" s="156">
        <v>568</v>
      </c>
      <c r="C581" s="160">
        <v>303</v>
      </c>
      <c r="D581" s="160">
        <v>246</v>
      </c>
      <c r="E581" s="161">
        <v>0.52083333333333337</v>
      </c>
      <c r="F581" s="161">
        <v>0.55555555555555558</v>
      </c>
      <c r="G581" s="160" t="s">
        <v>445</v>
      </c>
      <c r="H581" s="160" t="s">
        <v>444</v>
      </c>
      <c r="I581" s="163">
        <v>23</v>
      </c>
      <c r="J581" s="164" t="s">
        <v>188</v>
      </c>
      <c r="K581" s="165">
        <v>47</v>
      </c>
      <c r="L581" s="166">
        <f t="shared" si="196"/>
        <v>1081</v>
      </c>
      <c r="M581" s="167" t="s">
        <v>747</v>
      </c>
      <c r="N581" s="154" t="s">
        <v>852</v>
      </c>
      <c r="O581" s="154">
        <v>31</v>
      </c>
      <c r="P581" s="154" t="s">
        <v>1265</v>
      </c>
      <c r="Q581" s="154">
        <v>57</v>
      </c>
      <c r="R581" s="154" t="s">
        <v>853</v>
      </c>
      <c r="S581" s="151">
        <v>42</v>
      </c>
      <c r="T581" s="45">
        <v>1</v>
      </c>
      <c r="U581" s="45" t="s">
        <v>1336</v>
      </c>
      <c r="V581" s="45">
        <v>3790</v>
      </c>
      <c r="W581" s="45" t="s">
        <v>1608</v>
      </c>
      <c r="X581" s="99">
        <v>44816</v>
      </c>
      <c r="Y581" s="99">
        <v>45100</v>
      </c>
      <c r="Z581" s="99"/>
      <c r="AA581" s="99"/>
      <c r="AB581" s="46" t="s">
        <v>1115</v>
      </c>
      <c r="AC581" s="46"/>
      <c r="AD581" s="42" t="s">
        <v>734</v>
      </c>
      <c r="AE581" s="42"/>
      <c r="AF581" s="42"/>
      <c r="AG581" s="42"/>
      <c r="AH581" s="42"/>
      <c r="AI581" s="42"/>
      <c r="AJ581" s="42"/>
      <c r="AK581" s="42"/>
      <c r="AL581" s="42"/>
      <c r="AM581" s="42"/>
      <c r="AN581" s="42" t="s">
        <v>734</v>
      </c>
      <c r="AO581" s="42"/>
      <c r="AP581" s="42"/>
      <c r="AQ581" s="42"/>
      <c r="AR581" s="42"/>
      <c r="AS581" s="42"/>
      <c r="AT581" s="42"/>
      <c r="AU581" s="42"/>
      <c r="AV581" s="42"/>
      <c r="AW581" s="42"/>
      <c r="AX581" s="68">
        <v>69</v>
      </c>
      <c r="AY581" s="37"/>
      <c r="BA581" s="68"/>
      <c r="BB581" s="68"/>
      <c r="BD581" s="67">
        <f t="shared" si="201"/>
        <v>3243</v>
      </c>
      <c r="BE581" s="67"/>
      <c r="BF581" s="37"/>
      <c r="BG581" s="73">
        <v>1</v>
      </c>
      <c r="BH581" s="67">
        <f t="shared" si="209"/>
        <v>0</v>
      </c>
      <c r="BI581" s="67">
        <f t="shared" si="210"/>
        <v>0</v>
      </c>
      <c r="BJ581" s="70">
        <f t="shared" si="211"/>
        <v>0</v>
      </c>
      <c r="BN581" s="37"/>
      <c r="BO581" s="70">
        <f t="shared" si="202"/>
        <v>0</v>
      </c>
      <c r="BP581" s="37">
        <v>2</v>
      </c>
      <c r="BQ581" s="37">
        <v>5</v>
      </c>
      <c r="BR581" s="37">
        <v>5</v>
      </c>
      <c r="BS581" s="37">
        <v>6</v>
      </c>
      <c r="BT581" s="87">
        <f t="shared" si="203"/>
        <v>69</v>
      </c>
      <c r="BU581" s="87"/>
      <c r="BV581" s="87"/>
      <c r="BW581" s="87"/>
      <c r="BX581" s="87"/>
      <c r="BY581" s="87"/>
      <c r="BZ581" s="87"/>
      <c r="CA581" s="87"/>
      <c r="CB581" s="87"/>
      <c r="CC581" s="87"/>
      <c r="CD581" s="87"/>
      <c r="CF581" s="67">
        <f t="shared" si="204"/>
        <v>138</v>
      </c>
      <c r="CG581" s="67">
        <f t="shared" si="208"/>
        <v>345</v>
      </c>
      <c r="CH581" s="67">
        <f t="shared" si="197"/>
        <v>345</v>
      </c>
      <c r="CI581" s="67">
        <f t="shared" si="216"/>
        <v>414</v>
      </c>
      <c r="CJ581" s="37">
        <f t="shared" si="212"/>
        <v>46</v>
      </c>
      <c r="CK581" s="37">
        <f t="shared" si="213"/>
        <v>115</v>
      </c>
      <c r="CL581" s="37">
        <f t="shared" si="214"/>
        <v>115</v>
      </c>
      <c r="CM581" s="37">
        <f t="shared" si="215"/>
        <v>138</v>
      </c>
    </row>
    <row r="582" spans="2:91" ht="25.5">
      <c r="B582" s="156">
        <v>569</v>
      </c>
      <c r="C582" s="160">
        <v>303</v>
      </c>
      <c r="D582" s="160">
        <v>248</v>
      </c>
      <c r="E582" s="161">
        <v>0.52083333333333337</v>
      </c>
      <c r="F582" s="161">
        <v>0.56736111111111109</v>
      </c>
      <c r="G582" s="160" t="s">
        <v>454</v>
      </c>
      <c r="H582" s="160" t="s">
        <v>550</v>
      </c>
      <c r="I582" s="163">
        <v>32.5</v>
      </c>
      <c r="J582" s="164" t="s">
        <v>188</v>
      </c>
      <c r="K582" s="165">
        <v>13</v>
      </c>
      <c r="L582" s="166">
        <f t="shared" si="196"/>
        <v>422.5</v>
      </c>
      <c r="M582" s="167" t="s">
        <v>747</v>
      </c>
      <c r="N582" s="154" t="s">
        <v>852</v>
      </c>
      <c r="O582" s="154">
        <v>31</v>
      </c>
      <c r="P582" s="154" t="s">
        <v>1265</v>
      </c>
      <c r="Q582" s="154">
        <v>57</v>
      </c>
      <c r="S582" s="154"/>
      <c r="T582" s="45">
        <v>1</v>
      </c>
      <c r="U582" s="45" t="s">
        <v>1336</v>
      </c>
      <c r="V582" s="45">
        <v>3820</v>
      </c>
      <c r="W582" s="45" t="s">
        <v>1607</v>
      </c>
      <c r="X582" s="99">
        <v>44562</v>
      </c>
      <c r="Y582" s="99">
        <v>44815</v>
      </c>
      <c r="Z582" s="99">
        <v>45101</v>
      </c>
      <c r="AA582" s="99">
        <v>45169</v>
      </c>
      <c r="AB582" s="36" t="s">
        <v>1116</v>
      </c>
      <c r="AC582" s="36"/>
      <c r="AD582" s="42"/>
      <c r="AE582" s="42" t="s">
        <v>734</v>
      </c>
      <c r="AF582" s="42"/>
      <c r="AG582" s="42"/>
      <c r="AH582" s="42"/>
      <c r="AI582" s="42"/>
      <c r="AJ582" s="42"/>
      <c r="AK582" s="42"/>
      <c r="AL582" s="42"/>
      <c r="AM582" s="42"/>
      <c r="AN582" s="42" t="s">
        <v>734</v>
      </c>
      <c r="AO582" s="42"/>
      <c r="AP582" s="42"/>
      <c r="AQ582" s="42"/>
      <c r="AR582" s="42"/>
      <c r="AS582" s="42"/>
      <c r="AT582" s="42"/>
      <c r="AU582" s="42"/>
      <c r="AV582" s="42"/>
      <c r="AW582" s="42"/>
      <c r="AX582" s="68">
        <v>97.5</v>
      </c>
      <c r="AY582" s="37"/>
      <c r="BA582" s="68"/>
      <c r="BB582" s="68"/>
      <c r="BD582" s="67">
        <f t="shared" si="201"/>
        <v>1267.5</v>
      </c>
      <c r="BE582" s="67"/>
      <c r="BF582" s="37"/>
      <c r="BG582" s="73">
        <v>1</v>
      </c>
      <c r="BH582" s="67">
        <f t="shared" si="209"/>
        <v>0</v>
      </c>
      <c r="BI582" s="67">
        <f t="shared" si="210"/>
        <v>0</v>
      </c>
      <c r="BJ582" s="70">
        <f t="shared" si="211"/>
        <v>0</v>
      </c>
      <c r="BN582" s="37"/>
      <c r="BO582" s="70">
        <f t="shared" si="202"/>
        <v>0</v>
      </c>
      <c r="BP582" s="37">
        <v>2</v>
      </c>
      <c r="BQ582" s="37">
        <v>0</v>
      </c>
      <c r="BR582" s="37">
        <v>0</v>
      </c>
      <c r="BT582" s="87">
        <f t="shared" si="203"/>
        <v>97.5</v>
      </c>
      <c r="BU582" s="87"/>
      <c r="BV582" s="87"/>
      <c r="BW582" s="87"/>
      <c r="BX582" s="87"/>
      <c r="BY582" s="87"/>
      <c r="BZ582" s="87"/>
      <c r="CA582" s="87"/>
      <c r="CB582" s="87"/>
      <c r="CC582" s="87"/>
      <c r="CD582" s="87"/>
      <c r="CF582" s="67">
        <f t="shared" si="204"/>
        <v>195</v>
      </c>
      <c r="CG582" s="67">
        <f t="shared" si="208"/>
        <v>0</v>
      </c>
      <c r="CH582" s="67">
        <f t="shared" si="197"/>
        <v>0</v>
      </c>
      <c r="CI582" s="67">
        <f t="shared" si="216"/>
        <v>0</v>
      </c>
      <c r="CJ582" s="37">
        <f t="shared" si="212"/>
        <v>65</v>
      </c>
      <c r="CK582" s="37">
        <f t="shared" si="213"/>
        <v>0</v>
      </c>
      <c r="CL582" s="37">
        <f t="shared" si="214"/>
        <v>0</v>
      </c>
      <c r="CM582" s="37">
        <f t="shared" si="215"/>
        <v>0</v>
      </c>
    </row>
    <row r="583" spans="2:91" ht="25.5">
      <c r="B583" s="156">
        <v>570</v>
      </c>
      <c r="C583" s="160">
        <v>303</v>
      </c>
      <c r="D583" s="160">
        <v>296</v>
      </c>
      <c r="E583" s="161">
        <v>0.52916666666666667</v>
      </c>
      <c r="F583" s="161">
        <v>0.54652777777777783</v>
      </c>
      <c r="G583" s="160" t="s">
        <v>640</v>
      </c>
      <c r="H583" s="160" t="s">
        <v>253</v>
      </c>
      <c r="I583" s="163">
        <v>14.5</v>
      </c>
      <c r="J583" s="164" t="s">
        <v>269</v>
      </c>
      <c r="K583" s="165">
        <v>34</v>
      </c>
      <c r="L583" s="166">
        <f t="shared" si="196"/>
        <v>493</v>
      </c>
      <c r="M583" s="167" t="s">
        <v>747</v>
      </c>
      <c r="N583" s="154" t="s">
        <v>849</v>
      </c>
      <c r="O583" s="154">
        <v>23</v>
      </c>
      <c r="P583" s="154" t="s">
        <v>1936</v>
      </c>
      <c r="Q583" s="154">
        <v>23</v>
      </c>
      <c r="R583" s="154" t="s">
        <v>850</v>
      </c>
      <c r="S583" s="151">
        <v>23</v>
      </c>
      <c r="T583" s="45" t="s">
        <v>1446</v>
      </c>
      <c r="U583" s="45" t="s">
        <v>1447</v>
      </c>
      <c r="V583" s="45">
        <v>3740</v>
      </c>
      <c r="W583" s="45" t="s">
        <v>1613</v>
      </c>
      <c r="X583" s="98">
        <v>44816</v>
      </c>
      <c r="Y583" s="98">
        <v>45086</v>
      </c>
      <c r="Z583" s="98"/>
      <c r="AA583" s="98"/>
      <c r="AB583" s="42" t="s">
        <v>1123</v>
      </c>
      <c r="AC583" s="42"/>
      <c r="AD583" s="42"/>
      <c r="AE583" s="42"/>
      <c r="AF583" s="42"/>
      <c r="AG583" s="42" t="s">
        <v>734</v>
      </c>
      <c r="AH583" s="42"/>
      <c r="AI583" s="42"/>
      <c r="AJ583" s="42"/>
      <c r="AK583" s="42"/>
      <c r="AL583" s="42"/>
      <c r="AM583" s="42" t="s">
        <v>734</v>
      </c>
      <c r="AN583" s="42"/>
      <c r="AO583" s="42"/>
      <c r="AP583" s="42"/>
      <c r="AQ583" s="42"/>
      <c r="AR583" s="42"/>
      <c r="AS583" s="42"/>
      <c r="AT583" s="42"/>
      <c r="AU583" s="42"/>
      <c r="AV583" s="42"/>
      <c r="AW583" s="42"/>
      <c r="AX583" s="68">
        <v>73.930000000000007</v>
      </c>
      <c r="AY583" s="37"/>
      <c r="BA583" s="68"/>
      <c r="BB583" s="68"/>
      <c r="BD583" s="67">
        <f t="shared" si="201"/>
        <v>2513.6200000000003</v>
      </c>
      <c r="BE583" s="67"/>
      <c r="BF583" s="37"/>
      <c r="BG583" s="73">
        <v>1</v>
      </c>
      <c r="BH583" s="67">
        <f t="shared" si="209"/>
        <v>0</v>
      </c>
      <c r="BI583" s="67">
        <f t="shared" si="210"/>
        <v>0</v>
      </c>
      <c r="BJ583" s="70">
        <f t="shared" si="211"/>
        <v>0</v>
      </c>
      <c r="BN583" s="37"/>
      <c r="BO583" s="70">
        <f t="shared" si="202"/>
        <v>0</v>
      </c>
      <c r="BP583" s="37">
        <v>2</v>
      </c>
      <c r="BQ583" s="37">
        <v>5</v>
      </c>
      <c r="BR583" s="37">
        <v>4</v>
      </c>
      <c r="BS583" s="37">
        <v>3</v>
      </c>
      <c r="BT583" s="87">
        <f t="shared" si="203"/>
        <v>73.930000000000007</v>
      </c>
      <c r="BU583" s="87"/>
      <c r="BV583" s="87"/>
      <c r="BW583" s="87"/>
      <c r="BX583" s="87"/>
      <c r="BY583" s="87"/>
      <c r="BZ583" s="87"/>
      <c r="CA583" s="87"/>
      <c r="CB583" s="87"/>
      <c r="CC583" s="87"/>
      <c r="CD583" s="87"/>
      <c r="CF583" s="67">
        <f t="shared" si="204"/>
        <v>147.86000000000001</v>
      </c>
      <c r="CG583" s="67">
        <f t="shared" si="208"/>
        <v>369.65000000000003</v>
      </c>
      <c r="CH583" s="67">
        <f t="shared" si="197"/>
        <v>295.72000000000003</v>
      </c>
      <c r="CI583" s="67">
        <f t="shared" si="216"/>
        <v>221.79000000000002</v>
      </c>
      <c r="CJ583" s="37">
        <f t="shared" si="212"/>
        <v>29</v>
      </c>
      <c r="CK583" s="37">
        <f t="shared" si="213"/>
        <v>72.5</v>
      </c>
      <c r="CL583" s="37">
        <f t="shared" si="214"/>
        <v>58</v>
      </c>
      <c r="CM583" s="37">
        <f t="shared" si="215"/>
        <v>43.5</v>
      </c>
    </row>
    <row r="584" spans="2:91" ht="25.5">
      <c r="B584" s="156">
        <v>571</v>
      </c>
      <c r="C584" s="160">
        <v>303</v>
      </c>
      <c r="D584" s="160">
        <v>550</v>
      </c>
      <c r="E584" s="161">
        <v>0.53611111111111109</v>
      </c>
      <c r="F584" s="161">
        <v>0.55347222222222225</v>
      </c>
      <c r="G584" s="160" t="s">
        <v>516</v>
      </c>
      <c r="H584" s="160" t="s">
        <v>569</v>
      </c>
      <c r="I584" s="163">
        <v>19</v>
      </c>
      <c r="J584" s="164">
        <v>14</v>
      </c>
      <c r="K584" s="165">
        <v>39</v>
      </c>
      <c r="L584" s="166">
        <f t="shared" si="196"/>
        <v>741</v>
      </c>
      <c r="M584" s="167" t="s">
        <v>760</v>
      </c>
      <c r="N584" s="154" t="s">
        <v>973</v>
      </c>
      <c r="O584" s="154">
        <v>9</v>
      </c>
      <c r="P584" s="154" t="s">
        <v>1938</v>
      </c>
      <c r="Q584" s="154">
        <v>9</v>
      </c>
      <c r="S584" s="154"/>
      <c r="T584" s="45" t="s">
        <v>1617</v>
      </c>
      <c r="U584" s="45" t="s">
        <v>1618</v>
      </c>
      <c r="V584" s="45">
        <v>3895</v>
      </c>
      <c r="W584" s="45" t="s">
        <v>1604</v>
      </c>
      <c r="X584" s="99">
        <v>44816</v>
      </c>
      <c r="Y584" s="99">
        <v>45100</v>
      </c>
      <c r="Z584" s="99"/>
      <c r="AA584" s="99"/>
      <c r="AB584" s="43" t="s">
        <v>1156</v>
      </c>
      <c r="AC584" s="43"/>
      <c r="AD584" s="42" t="s">
        <v>734</v>
      </c>
      <c r="AE584" s="42"/>
      <c r="AF584" s="42" t="s">
        <v>734</v>
      </c>
      <c r="AG584" s="42"/>
      <c r="AH584" s="42"/>
      <c r="AI584" s="42"/>
      <c r="AJ584" s="42"/>
      <c r="AK584" s="42" t="s">
        <v>734</v>
      </c>
      <c r="AL584" s="42"/>
      <c r="AM584" s="42"/>
      <c r="AN584" s="42"/>
      <c r="AO584" s="42"/>
      <c r="AP584" s="42"/>
      <c r="AQ584" s="42"/>
      <c r="AR584" s="42"/>
      <c r="AS584" s="42"/>
      <c r="AT584" s="42"/>
      <c r="AU584" s="42"/>
      <c r="AV584" s="42"/>
      <c r="AW584" s="42"/>
      <c r="AX584" s="68">
        <v>57</v>
      </c>
      <c r="AY584" s="37"/>
      <c r="BA584" s="68"/>
      <c r="BB584" s="68"/>
      <c r="BD584" s="67">
        <f t="shared" si="201"/>
        <v>2223</v>
      </c>
      <c r="BE584" s="67"/>
      <c r="BF584" s="37"/>
      <c r="BG584" s="73">
        <v>1</v>
      </c>
      <c r="BH584" s="67">
        <f t="shared" si="209"/>
        <v>0</v>
      </c>
      <c r="BI584" s="67">
        <f t="shared" si="210"/>
        <v>0</v>
      </c>
      <c r="BJ584" s="70">
        <f t="shared" si="211"/>
        <v>0</v>
      </c>
      <c r="BN584" s="37"/>
      <c r="BO584" s="70">
        <f t="shared" si="202"/>
        <v>0</v>
      </c>
      <c r="BP584" s="37">
        <v>3</v>
      </c>
      <c r="BQ584" s="37">
        <v>4</v>
      </c>
      <c r="BR584" s="37">
        <v>4</v>
      </c>
      <c r="BS584" s="37">
        <v>4</v>
      </c>
      <c r="BT584" s="87">
        <f t="shared" si="203"/>
        <v>57</v>
      </c>
      <c r="BU584" s="87"/>
      <c r="BV584" s="87"/>
      <c r="BW584" s="87"/>
      <c r="BX584" s="87"/>
      <c r="BY584" s="87"/>
      <c r="BZ584" s="87"/>
      <c r="CA584" s="87"/>
      <c r="CB584" s="87"/>
      <c r="CC584" s="87"/>
      <c r="CD584" s="87"/>
      <c r="CF584" s="67">
        <f t="shared" si="204"/>
        <v>171</v>
      </c>
      <c r="CG584" s="67">
        <f t="shared" si="208"/>
        <v>228</v>
      </c>
      <c r="CH584" s="67">
        <f t="shared" si="197"/>
        <v>228</v>
      </c>
      <c r="CI584" s="67">
        <f t="shared" si="216"/>
        <v>228</v>
      </c>
      <c r="CJ584" s="37">
        <f t="shared" si="212"/>
        <v>57</v>
      </c>
      <c r="CK584" s="37">
        <f t="shared" si="213"/>
        <v>76</v>
      </c>
      <c r="CL584" s="37">
        <f t="shared" si="214"/>
        <v>76</v>
      </c>
      <c r="CM584" s="37">
        <f t="shared" si="215"/>
        <v>76</v>
      </c>
    </row>
    <row r="585" spans="2:91" ht="25.5">
      <c r="B585" s="156">
        <v>572</v>
      </c>
      <c r="C585" s="174">
        <v>329</v>
      </c>
      <c r="D585" s="160">
        <v>296</v>
      </c>
      <c r="E585" s="173">
        <v>0.55763888888888891</v>
      </c>
      <c r="F585" s="173">
        <v>0.57500000000000007</v>
      </c>
      <c r="G585" s="160" t="s">
        <v>640</v>
      </c>
      <c r="H585" s="160" t="s">
        <v>561</v>
      </c>
      <c r="I585" s="163">
        <v>14.5</v>
      </c>
      <c r="J585" s="164" t="s">
        <v>269</v>
      </c>
      <c r="K585" s="165">
        <v>103</v>
      </c>
      <c r="L585" s="166">
        <f t="shared" si="196"/>
        <v>1493.5</v>
      </c>
      <c r="M585" s="167" t="s">
        <v>747</v>
      </c>
      <c r="N585" s="154" t="s">
        <v>849</v>
      </c>
      <c r="O585" s="154">
        <v>23</v>
      </c>
      <c r="P585" s="154" t="s">
        <v>1936</v>
      </c>
      <c r="Q585" s="154">
        <v>23</v>
      </c>
      <c r="R585" s="154" t="s">
        <v>850</v>
      </c>
      <c r="S585" s="151">
        <v>23</v>
      </c>
      <c r="T585" s="45" t="s">
        <v>1446</v>
      </c>
      <c r="U585" s="45" t="s">
        <v>1447</v>
      </c>
      <c r="V585" s="45">
        <v>3740</v>
      </c>
      <c r="W585" s="45" t="s">
        <v>1613</v>
      </c>
      <c r="X585" s="98">
        <v>44816</v>
      </c>
      <c r="Y585" s="98">
        <v>45086</v>
      </c>
      <c r="Z585" s="98"/>
      <c r="AA585" s="98"/>
      <c r="AB585" s="46" t="s">
        <v>1152</v>
      </c>
      <c r="AC585" s="46"/>
      <c r="AD585" s="42"/>
      <c r="AE585" s="42"/>
      <c r="AF585" s="42"/>
      <c r="AG585" s="42" t="s">
        <v>734</v>
      </c>
      <c r="AH585" s="42" t="s">
        <v>734</v>
      </c>
      <c r="AI585" s="42" t="s">
        <v>734</v>
      </c>
      <c r="AJ585" s="42" t="s">
        <v>734</v>
      </c>
      <c r="AK585" s="42"/>
      <c r="AL585" s="42"/>
      <c r="AM585" s="42"/>
      <c r="AN585" s="42"/>
      <c r="AO585" s="42"/>
      <c r="AP585" s="42"/>
      <c r="AQ585" s="42"/>
      <c r="AR585" s="42"/>
      <c r="AS585" s="42"/>
      <c r="AT585" s="42"/>
      <c r="AU585" s="42"/>
      <c r="AV585" s="42"/>
      <c r="AW585" s="42"/>
      <c r="AX585" s="68">
        <v>73.930000000000007</v>
      </c>
      <c r="AY585" s="37"/>
      <c r="BA585" s="68"/>
      <c r="BB585" s="68"/>
      <c r="BD585" s="67">
        <f t="shared" si="201"/>
        <v>7614.7900000000009</v>
      </c>
      <c r="BE585" s="67"/>
      <c r="BF585" s="37"/>
      <c r="BG585" s="73">
        <v>1</v>
      </c>
      <c r="BH585" s="67">
        <f t="shared" si="209"/>
        <v>0</v>
      </c>
      <c r="BI585" s="67">
        <f t="shared" si="210"/>
        <v>0</v>
      </c>
      <c r="BJ585" s="70">
        <f t="shared" si="211"/>
        <v>0</v>
      </c>
      <c r="BN585" s="37"/>
      <c r="BO585" s="70">
        <f t="shared" si="202"/>
        <v>0</v>
      </c>
      <c r="BP585" s="37">
        <v>9</v>
      </c>
      <c r="BQ585" s="37">
        <v>12</v>
      </c>
      <c r="BR585" s="37">
        <v>13</v>
      </c>
      <c r="BS585" s="37">
        <v>9</v>
      </c>
      <c r="BT585" s="87">
        <f t="shared" si="203"/>
        <v>73.930000000000007</v>
      </c>
      <c r="BU585" s="87"/>
      <c r="BV585" s="87"/>
      <c r="BW585" s="87"/>
      <c r="BX585" s="87"/>
      <c r="BY585" s="87"/>
      <c r="BZ585" s="87"/>
      <c r="CA585" s="87"/>
      <c r="CB585" s="87"/>
      <c r="CC585" s="87"/>
      <c r="CD585" s="87"/>
      <c r="CF585" s="67">
        <f t="shared" si="204"/>
        <v>665.37000000000012</v>
      </c>
      <c r="CG585" s="67">
        <f t="shared" si="208"/>
        <v>887.16000000000008</v>
      </c>
      <c r="CH585" s="67">
        <f t="shared" si="197"/>
        <v>961.09000000000015</v>
      </c>
      <c r="CI585" s="67">
        <f t="shared" si="216"/>
        <v>665.37000000000012</v>
      </c>
      <c r="CJ585" s="37">
        <f t="shared" si="212"/>
        <v>130.5</v>
      </c>
      <c r="CK585" s="37">
        <f t="shared" si="213"/>
        <v>174</v>
      </c>
      <c r="CL585" s="37">
        <f t="shared" si="214"/>
        <v>188.5</v>
      </c>
      <c r="CM585" s="37">
        <f t="shared" si="215"/>
        <v>130.5</v>
      </c>
    </row>
    <row r="586" spans="2:91" ht="25.5">
      <c r="B586" s="156">
        <v>573</v>
      </c>
      <c r="C586" s="174">
        <v>330</v>
      </c>
      <c r="D586" s="174">
        <v>296</v>
      </c>
      <c r="E586" s="173">
        <v>0.55763888888888891</v>
      </c>
      <c r="F586" s="173">
        <v>0.60347222222222219</v>
      </c>
      <c r="G586" s="160" t="s">
        <v>342</v>
      </c>
      <c r="H586" s="160" t="s">
        <v>560</v>
      </c>
      <c r="I586" s="163">
        <v>30</v>
      </c>
      <c r="J586" s="164" t="s">
        <v>269</v>
      </c>
      <c r="K586" s="165">
        <v>70</v>
      </c>
      <c r="L586" s="166">
        <f t="shared" si="196"/>
        <v>2100</v>
      </c>
      <c r="M586" s="167" t="s">
        <v>747</v>
      </c>
      <c r="N586" s="154" t="s">
        <v>849</v>
      </c>
      <c r="O586" s="154">
        <v>23</v>
      </c>
      <c r="P586" s="154" t="s">
        <v>1936</v>
      </c>
      <c r="Q586" s="154">
        <v>23</v>
      </c>
      <c r="R586" s="154" t="s">
        <v>850</v>
      </c>
      <c r="S586" s="151">
        <v>23</v>
      </c>
      <c r="T586" s="45" t="s">
        <v>1446</v>
      </c>
      <c r="U586" s="45" t="s">
        <v>1447</v>
      </c>
      <c r="V586" s="45">
        <v>3790</v>
      </c>
      <c r="W586" s="45" t="s">
        <v>1608</v>
      </c>
      <c r="X586" s="98">
        <v>44816</v>
      </c>
      <c r="Y586" s="98">
        <v>45086</v>
      </c>
      <c r="Z586" s="98"/>
      <c r="AA586" s="98"/>
      <c r="AB586" s="46" t="s">
        <v>1150</v>
      </c>
      <c r="AC586" s="46"/>
      <c r="AD586" s="42"/>
      <c r="AE586" s="42"/>
      <c r="AF586" s="42"/>
      <c r="AG586" s="42" t="s">
        <v>734</v>
      </c>
      <c r="AH586" s="42"/>
      <c r="AI586" s="42"/>
      <c r="AJ586" s="42"/>
      <c r="AK586" s="42" t="s">
        <v>734</v>
      </c>
      <c r="AL586" s="42" t="s">
        <v>734</v>
      </c>
      <c r="AM586" s="42"/>
      <c r="AN586" s="42"/>
      <c r="AO586" s="42"/>
      <c r="AP586" s="42"/>
      <c r="AQ586" s="42"/>
      <c r="AR586" s="42"/>
      <c r="AS586" s="42"/>
      <c r="AT586" s="42"/>
      <c r="AU586" s="42"/>
      <c r="AV586" s="42"/>
      <c r="AW586" s="42"/>
      <c r="AX586" s="68">
        <f>((101.83*34)+(139.49*36))/70</f>
        <v>121.19800000000001</v>
      </c>
      <c r="AY586" s="37"/>
      <c r="BA586" s="68"/>
      <c r="BB586" s="68"/>
      <c r="BD586" s="67">
        <f t="shared" si="201"/>
        <v>8483.86</v>
      </c>
      <c r="BE586" s="67"/>
      <c r="BF586" s="37"/>
      <c r="BG586" s="73">
        <v>1</v>
      </c>
      <c r="BH586" s="67">
        <f t="shared" si="209"/>
        <v>0</v>
      </c>
      <c r="BI586" s="67">
        <f t="shared" si="210"/>
        <v>0</v>
      </c>
      <c r="BJ586" s="70">
        <f t="shared" si="211"/>
        <v>0</v>
      </c>
      <c r="BN586" s="37"/>
      <c r="BO586" s="70">
        <f t="shared" si="202"/>
        <v>0</v>
      </c>
      <c r="BP586" s="37">
        <v>6</v>
      </c>
      <c r="BQ586" s="37">
        <v>8</v>
      </c>
      <c r="BR586" s="37">
        <v>8</v>
      </c>
      <c r="BS586" s="37">
        <v>6</v>
      </c>
      <c r="BT586" s="87">
        <f t="shared" si="203"/>
        <v>121.19800000000001</v>
      </c>
      <c r="BU586" s="87"/>
      <c r="BV586" s="87"/>
      <c r="BW586" s="87"/>
      <c r="BX586" s="87"/>
      <c r="BY586" s="87"/>
      <c r="BZ586" s="87"/>
      <c r="CA586" s="87"/>
      <c r="CB586" s="87"/>
      <c r="CC586" s="87"/>
      <c r="CD586" s="87"/>
      <c r="CF586" s="67">
        <f t="shared" si="204"/>
        <v>727.1880000000001</v>
      </c>
      <c r="CG586" s="67">
        <f t="shared" si="208"/>
        <v>969.58400000000006</v>
      </c>
      <c r="CH586" s="67">
        <f t="shared" si="197"/>
        <v>969.58400000000006</v>
      </c>
      <c r="CI586" s="67">
        <f t="shared" si="216"/>
        <v>727.1880000000001</v>
      </c>
      <c r="CJ586" s="37">
        <f t="shared" si="212"/>
        <v>180</v>
      </c>
      <c r="CK586" s="37">
        <f t="shared" si="213"/>
        <v>240</v>
      </c>
      <c r="CL586" s="37">
        <f t="shared" si="214"/>
        <v>240</v>
      </c>
      <c r="CM586" s="37">
        <f t="shared" si="215"/>
        <v>180</v>
      </c>
    </row>
    <row r="587" spans="2:91" ht="25.5">
      <c r="B587" s="156">
        <v>574</v>
      </c>
      <c r="C587" s="160">
        <v>303</v>
      </c>
      <c r="D587" s="160">
        <v>705</v>
      </c>
      <c r="E587" s="161">
        <v>0.5625</v>
      </c>
      <c r="F587" s="161">
        <v>0.60069444444444442</v>
      </c>
      <c r="G587" s="160" t="s">
        <v>443</v>
      </c>
      <c r="H587" s="160" t="s">
        <v>444</v>
      </c>
      <c r="I587" s="163">
        <v>23</v>
      </c>
      <c r="J587" s="164" t="s">
        <v>188</v>
      </c>
      <c r="K587" s="165">
        <v>47</v>
      </c>
      <c r="L587" s="166">
        <f t="shared" si="196"/>
        <v>1081</v>
      </c>
      <c r="M587" s="167" t="s">
        <v>747</v>
      </c>
      <c r="N587" s="154" t="s">
        <v>852</v>
      </c>
      <c r="O587" s="154">
        <v>31</v>
      </c>
      <c r="P587" s="154" t="s">
        <v>1265</v>
      </c>
      <c r="Q587" s="154">
        <v>57</v>
      </c>
      <c r="R587" s="154" t="s">
        <v>853</v>
      </c>
      <c r="S587" s="151">
        <v>42</v>
      </c>
      <c r="T587" s="45">
        <v>3790</v>
      </c>
      <c r="U587" s="45" t="s">
        <v>1608</v>
      </c>
      <c r="V587" s="45">
        <v>1</v>
      </c>
      <c r="W587" s="45" t="s">
        <v>1339</v>
      </c>
      <c r="X587" s="99">
        <v>44816</v>
      </c>
      <c r="Y587" s="99">
        <v>45100</v>
      </c>
      <c r="Z587" s="99"/>
      <c r="AA587" s="99"/>
      <c r="AB587" s="46" t="s">
        <v>1115</v>
      </c>
      <c r="AC587" s="46"/>
      <c r="AD587" s="42" t="s">
        <v>734</v>
      </c>
      <c r="AE587" s="42"/>
      <c r="AF587" s="42"/>
      <c r="AG587" s="42"/>
      <c r="AH587" s="42"/>
      <c r="AI587" s="42"/>
      <c r="AJ587" s="42"/>
      <c r="AK587" s="42"/>
      <c r="AL587" s="42"/>
      <c r="AM587" s="42"/>
      <c r="AN587" s="42" t="s">
        <v>734</v>
      </c>
      <c r="AO587" s="42"/>
      <c r="AP587" s="42"/>
      <c r="AQ587" s="42"/>
      <c r="AR587" s="42"/>
      <c r="AS587" s="42"/>
      <c r="AT587" s="42"/>
      <c r="AU587" s="42"/>
      <c r="AV587" s="42"/>
      <c r="AW587" s="42"/>
      <c r="AX587" s="68">
        <v>69</v>
      </c>
      <c r="AY587" s="37"/>
      <c r="BA587" s="68"/>
      <c r="BB587" s="68"/>
      <c r="BD587" s="67">
        <f t="shared" si="201"/>
        <v>3243</v>
      </c>
      <c r="BE587" s="67"/>
      <c r="BF587" s="37"/>
      <c r="BG587" s="73">
        <v>1</v>
      </c>
      <c r="BH587" s="67">
        <f t="shared" si="209"/>
        <v>0</v>
      </c>
      <c r="BI587" s="67">
        <f t="shared" si="210"/>
        <v>0</v>
      </c>
      <c r="BJ587" s="70">
        <f t="shared" si="211"/>
        <v>0</v>
      </c>
      <c r="BN587" s="37"/>
      <c r="BO587" s="70">
        <f t="shared" si="202"/>
        <v>0</v>
      </c>
      <c r="BP587" s="37">
        <v>2</v>
      </c>
      <c r="BQ587" s="37">
        <v>5</v>
      </c>
      <c r="BR587" s="37">
        <v>5</v>
      </c>
      <c r="BS587" s="37">
        <v>6</v>
      </c>
      <c r="BT587" s="87">
        <f t="shared" si="203"/>
        <v>69</v>
      </c>
      <c r="BU587" s="87"/>
      <c r="BV587" s="87"/>
      <c r="BW587" s="87"/>
      <c r="BX587" s="87"/>
      <c r="BY587" s="87"/>
      <c r="BZ587" s="87"/>
      <c r="CA587" s="87"/>
      <c r="CB587" s="87"/>
      <c r="CC587" s="87"/>
      <c r="CD587" s="87"/>
      <c r="CF587" s="67">
        <f t="shared" si="204"/>
        <v>138</v>
      </c>
      <c r="CG587" s="67">
        <f t="shared" si="208"/>
        <v>345</v>
      </c>
      <c r="CH587" s="67">
        <f t="shared" si="197"/>
        <v>345</v>
      </c>
      <c r="CI587" s="67">
        <f t="shared" si="216"/>
        <v>414</v>
      </c>
      <c r="CJ587" s="37">
        <f t="shared" si="212"/>
        <v>46</v>
      </c>
      <c r="CK587" s="37">
        <f t="shared" si="213"/>
        <v>115</v>
      </c>
      <c r="CL587" s="37">
        <f t="shared" si="214"/>
        <v>115</v>
      </c>
      <c r="CM587" s="37">
        <f t="shared" si="215"/>
        <v>138</v>
      </c>
    </row>
    <row r="588" spans="2:91" ht="33.75">
      <c r="B588" s="156">
        <v>575</v>
      </c>
      <c r="C588" s="160">
        <v>303</v>
      </c>
      <c r="D588" s="160">
        <v>544</v>
      </c>
      <c r="E588" s="161">
        <v>0.57430555555555551</v>
      </c>
      <c r="F588" s="161">
        <v>0.60138888888888886</v>
      </c>
      <c r="G588" s="160" t="s">
        <v>641</v>
      </c>
      <c r="H588" s="160" t="s">
        <v>97</v>
      </c>
      <c r="I588" s="163">
        <v>28</v>
      </c>
      <c r="J588" s="164">
        <v>14</v>
      </c>
      <c r="K588" s="165">
        <v>208</v>
      </c>
      <c r="L588" s="166">
        <f t="shared" si="196"/>
        <v>5824</v>
      </c>
      <c r="M588" s="167" t="s">
        <v>758</v>
      </c>
      <c r="N588" s="154" t="s">
        <v>834</v>
      </c>
      <c r="O588" s="154">
        <v>15</v>
      </c>
      <c r="P588" s="150" t="s">
        <v>1934</v>
      </c>
      <c r="Q588" s="150">
        <v>9</v>
      </c>
      <c r="R588" s="154" t="s">
        <v>1280</v>
      </c>
      <c r="S588" s="151">
        <v>9</v>
      </c>
      <c r="T588" s="45" t="s">
        <v>1446</v>
      </c>
      <c r="U588" s="45" t="s">
        <v>1447</v>
      </c>
      <c r="V588" s="45">
        <v>3895</v>
      </c>
      <c r="W588" s="45" t="s">
        <v>1604</v>
      </c>
      <c r="X588" s="98">
        <v>44816</v>
      </c>
      <c r="Y588" s="98">
        <v>45086</v>
      </c>
      <c r="Z588" s="98"/>
      <c r="AA588" s="98"/>
      <c r="AB588" s="41" t="s">
        <v>1118</v>
      </c>
      <c r="AC588" s="41"/>
      <c r="AD588" s="42"/>
      <c r="AE588" s="42"/>
      <c r="AF588" s="42"/>
      <c r="AG588" s="42" t="s">
        <v>734</v>
      </c>
      <c r="AH588" s="42" t="s">
        <v>734</v>
      </c>
      <c r="AI588" s="42" t="s">
        <v>734</v>
      </c>
      <c r="AJ588" s="42" t="s">
        <v>734</v>
      </c>
      <c r="AK588" s="42" t="s">
        <v>734</v>
      </c>
      <c r="AL588" s="42" t="s">
        <v>734</v>
      </c>
      <c r="AM588" s="42" t="s">
        <v>734</v>
      </c>
      <c r="AN588" s="42"/>
      <c r="AO588" s="42"/>
      <c r="AP588" s="42"/>
      <c r="AQ588" s="42"/>
      <c r="AR588" s="42"/>
      <c r="AS588" s="42"/>
      <c r="AT588" s="42"/>
      <c r="AU588" s="42"/>
      <c r="AV588" s="42"/>
      <c r="AW588" s="42"/>
      <c r="AX588" s="68">
        <v>93.9</v>
      </c>
      <c r="AY588" s="37"/>
      <c r="BA588" s="68"/>
      <c r="BB588" s="68"/>
      <c r="BD588" s="67">
        <f t="shared" si="201"/>
        <v>19531.2</v>
      </c>
      <c r="BE588" s="67"/>
      <c r="BF588" s="37"/>
      <c r="BG588" s="73">
        <v>1</v>
      </c>
      <c r="BH588" s="67">
        <f t="shared" si="209"/>
        <v>0</v>
      </c>
      <c r="BI588" s="67">
        <f t="shared" si="210"/>
        <v>0</v>
      </c>
      <c r="BJ588" s="70">
        <f t="shared" si="211"/>
        <v>0</v>
      </c>
      <c r="BN588" s="37"/>
      <c r="BO588" s="70">
        <f t="shared" si="202"/>
        <v>0</v>
      </c>
      <c r="BP588" s="37">
        <v>17</v>
      </c>
      <c r="BQ588" s="37">
        <v>25</v>
      </c>
      <c r="BR588" s="37">
        <v>25</v>
      </c>
      <c r="BS588" s="37">
        <v>18</v>
      </c>
      <c r="BT588" s="87">
        <f t="shared" si="203"/>
        <v>93.9</v>
      </c>
      <c r="BU588" s="87"/>
      <c r="BV588" s="87"/>
      <c r="BW588" s="87"/>
      <c r="BX588" s="87"/>
      <c r="BY588" s="87"/>
      <c r="BZ588" s="87"/>
      <c r="CA588" s="87"/>
      <c r="CB588" s="87"/>
      <c r="CC588" s="87"/>
      <c r="CD588" s="87"/>
      <c r="CF588" s="67">
        <f t="shared" si="204"/>
        <v>1596.3000000000002</v>
      </c>
      <c r="CG588" s="67">
        <f t="shared" si="208"/>
        <v>2347.5</v>
      </c>
      <c r="CH588" s="67">
        <f t="shared" si="197"/>
        <v>2347.5</v>
      </c>
      <c r="CI588" s="67">
        <f t="shared" si="216"/>
        <v>1690.2</v>
      </c>
      <c r="CJ588" s="37">
        <f t="shared" si="212"/>
        <v>476</v>
      </c>
      <c r="CK588" s="37">
        <f t="shared" si="213"/>
        <v>700</v>
      </c>
      <c r="CL588" s="37">
        <f t="shared" si="214"/>
        <v>700</v>
      </c>
      <c r="CM588" s="37">
        <f t="shared" si="215"/>
        <v>504</v>
      </c>
    </row>
    <row r="589" spans="2:91" ht="25.5">
      <c r="B589" s="156">
        <v>576</v>
      </c>
      <c r="C589" s="160">
        <v>303</v>
      </c>
      <c r="D589" s="160">
        <v>551</v>
      </c>
      <c r="E589" s="161">
        <v>0.59375</v>
      </c>
      <c r="F589" s="173">
        <v>0.60972222222222217</v>
      </c>
      <c r="G589" s="160" t="s">
        <v>395</v>
      </c>
      <c r="H589" s="160" t="s">
        <v>569</v>
      </c>
      <c r="I589" s="163">
        <v>19</v>
      </c>
      <c r="J589" s="164">
        <v>14</v>
      </c>
      <c r="K589" s="165">
        <v>39</v>
      </c>
      <c r="L589" s="166">
        <f t="shared" si="196"/>
        <v>741</v>
      </c>
      <c r="M589" s="167" t="s">
        <v>760</v>
      </c>
      <c r="N589" s="154" t="s">
        <v>973</v>
      </c>
      <c r="O589" s="154">
        <v>9</v>
      </c>
      <c r="P589" s="154" t="s">
        <v>1938</v>
      </c>
      <c r="Q589" s="154">
        <v>9</v>
      </c>
      <c r="S589" s="154"/>
      <c r="T589" s="45">
        <v>3895</v>
      </c>
      <c r="U589" s="45" t="s">
        <v>1604</v>
      </c>
      <c r="V589" s="45" t="s">
        <v>1605</v>
      </c>
      <c r="W589" s="45" t="s">
        <v>1606</v>
      </c>
      <c r="X589" s="99">
        <v>44816</v>
      </c>
      <c r="Y589" s="99">
        <v>45100</v>
      </c>
      <c r="Z589" s="99"/>
      <c r="AA589" s="99"/>
      <c r="AB589" s="43" t="s">
        <v>1156</v>
      </c>
      <c r="AC589" s="43"/>
      <c r="AD589" s="42" t="s">
        <v>734</v>
      </c>
      <c r="AE589" s="42"/>
      <c r="AF589" s="42" t="s">
        <v>734</v>
      </c>
      <c r="AG589" s="42"/>
      <c r="AH589" s="42"/>
      <c r="AI589" s="42"/>
      <c r="AJ589" s="42"/>
      <c r="AK589" s="42" t="s">
        <v>734</v>
      </c>
      <c r="AL589" s="42"/>
      <c r="AM589" s="42"/>
      <c r="AN589" s="42"/>
      <c r="AO589" s="42"/>
      <c r="AP589" s="42"/>
      <c r="AQ589" s="42"/>
      <c r="AR589" s="42"/>
      <c r="AS589" s="42"/>
      <c r="AT589" s="42"/>
      <c r="AU589" s="42"/>
      <c r="AV589" s="42"/>
      <c r="AW589" s="42"/>
      <c r="AX589" s="68">
        <v>57</v>
      </c>
      <c r="AY589" s="37"/>
      <c r="BA589" s="68"/>
      <c r="BB589" s="68"/>
      <c r="BD589" s="67">
        <f t="shared" si="201"/>
        <v>2223</v>
      </c>
      <c r="BE589" s="67"/>
      <c r="BF589" s="37"/>
      <c r="BG589" s="73">
        <v>1</v>
      </c>
      <c r="BH589" s="67">
        <f t="shared" si="209"/>
        <v>0</v>
      </c>
      <c r="BI589" s="67">
        <f t="shared" si="210"/>
        <v>0</v>
      </c>
      <c r="BJ589" s="70">
        <f t="shared" si="211"/>
        <v>0</v>
      </c>
      <c r="BN589" s="37"/>
      <c r="BO589" s="70">
        <f t="shared" si="202"/>
        <v>0</v>
      </c>
      <c r="BP589" s="37">
        <v>3</v>
      </c>
      <c r="BQ589" s="37">
        <v>4</v>
      </c>
      <c r="BR589" s="37">
        <v>4</v>
      </c>
      <c r="BS589" s="37">
        <v>4</v>
      </c>
      <c r="BT589" s="87">
        <f t="shared" si="203"/>
        <v>57</v>
      </c>
      <c r="BU589" s="87"/>
      <c r="BV589" s="87"/>
      <c r="BW589" s="87"/>
      <c r="BX589" s="87"/>
      <c r="BY589" s="87"/>
      <c r="BZ589" s="87"/>
      <c r="CA589" s="87"/>
      <c r="CB589" s="87"/>
      <c r="CC589" s="87"/>
      <c r="CD589" s="87"/>
      <c r="CF589" s="67">
        <f t="shared" si="204"/>
        <v>171</v>
      </c>
      <c r="CG589" s="67">
        <f t="shared" si="208"/>
        <v>228</v>
      </c>
      <c r="CH589" s="67">
        <f t="shared" si="197"/>
        <v>228</v>
      </c>
      <c r="CI589" s="67">
        <f t="shared" si="216"/>
        <v>228</v>
      </c>
      <c r="CJ589" s="37">
        <f t="shared" si="212"/>
        <v>57</v>
      </c>
      <c r="CK589" s="37">
        <f t="shared" si="213"/>
        <v>76</v>
      </c>
      <c r="CL589" s="37">
        <f t="shared" si="214"/>
        <v>76</v>
      </c>
      <c r="CM589" s="37">
        <f t="shared" si="215"/>
        <v>76</v>
      </c>
    </row>
    <row r="590" spans="2:91" ht="25.5">
      <c r="B590" s="156">
        <v>577</v>
      </c>
      <c r="C590" s="160">
        <v>303</v>
      </c>
      <c r="D590" s="160">
        <v>705</v>
      </c>
      <c r="E590" s="161">
        <v>0.60069444444444442</v>
      </c>
      <c r="F590" s="161">
        <v>0.65277777777777779</v>
      </c>
      <c r="G590" s="160" t="s">
        <v>455</v>
      </c>
      <c r="H590" s="160" t="s">
        <v>550</v>
      </c>
      <c r="I590" s="163">
        <v>32.5</v>
      </c>
      <c r="J590" s="164" t="s">
        <v>188</v>
      </c>
      <c r="K590" s="165">
        <v>13</v>
      </c>
      <c r="L590" s="166">
        <f t="shared" si="196"/>
        <v>422.5</v>
      </c>
      <c r="M590" s="167" t="s">
        <v>747</v>
      </c>
      <c r="N590" s="154" t="s">
        <v>852</v>
      </c>
      <c r="O590" s="154">
        <v>31</v>
      </c>
      <c r="P590" s="154" t="s">
        <v>1265</v>
      </c>
      <c r="Q590" s="154">
        <v>57</v>
      </c>
      <c r="S590" s="154"/>
      <c r="T590" s="45">
        <v>3820</v>
      </c>
      <c r="U590" s="45" t="s">
        <v>1607</v>
      </c>
      <c r="V590" s="45">
        <v>1</v>
      </c>
      <c r="W590" s="45" t="s">
        <v>1339</v>
      </c>
      <c r="X590" s="99">
        <v>44562</v>
      </c>
      <c r="Y590" s="99">
        <v>44815</v>
      </c>
      <c r="Z590" s="99">
        <v>45101</v>
      </c>
      <c r="AA590" s="99">
        <v>45169</v>
      </c>
      <c r="AB590" s="36" t="s">
        <v>1116</v>
      </c>
      <c r="AC590" s="36"/>
      <c r="AD590" s="42"/>
      <c r="AE590" s="42" t="s">
        <v>734</v>
      </c>
      <c r="AF590" s="42"/>
      <c r="AG590" s="42"/>
      <c r="AH590" s="42"/>
      <c r="AI590" s="42"/>
      <c r="AJ590" s="42"/>
      <c r="AK590" s="42"/>
      <c r="AL590" s="42"/>
      <c r="AM590" s="42"/>
      <c r="AN590" s="42" t="s">
        <v>734</v>
      </c>
      <c r="AO590" s="42"/>
      <c r="AP590" s="42"/>
      <c r="AQ590" s="42"/>
      <c r="AR590" s="42"/>
      <c r="AS590" s="42"/>
      <c r="AT590" s="42"/>
      <c r="AU590" s="42"/>
      <c r="AV590" s="42"/>
      <c r="AW590" s="42"/>
      <c r="AX590" s="68">
        <v>97.5</v>
      </c>
      <c r="AY590" s="37"/>
      <c r="BA590" s="68"/>
      <c r="BB590" s="68"/>
      <c r="BD590" s="67">
        <f t="shared" si="201"/>
        <v>1267.5</v>
      </c>
      <c r="BE590" s="67"/>
      <c r="BF590" s="37"/>
      <c r="BG590" s="73">
        <v>1</v>
      </c>
      <c r="BH590" s="67">
        <f t="shared" si="209"/>
        <v>0</v>
      </c>
      <c r="BI590" s="67">
        <f t="shared" si="210"/>
        <v>0</v>
      </c>
      <c r="BJ590" s="70">
        <f t="shared" si="211"/>
        <v>0</v>
      </c>
      <c r="BN590" s="37"/>
      <c r="BO590" s="70">
        <f t="shared" si="202"/>
        <v>0</v>
      </c>
      <c r="BP590" s="37">
        <v>2</v>
      </c>
      <c r="BQ590" s="37">
        <v>0</v>
      </c>
      <c r="BR590" s="37">
        <v>0</v>
      </c>
      <c r="BT590" s="87">
        <f t="shared" si="203"/>
        <v>97.5</v>
      </c>
      <c r="BU590" s="87"/>
      <c r="BV590" s="87"/>
      <c r="BW590" s="87"/>
      <c r="BX590" s="87"/>
      <c r="BY590" s="87"/>
      <c r="BZ590" s="87"/>
      <c r="CA590" s="87"/>
      <c r="CB590" s="87"/>
      <c r="CC590" s="87"/>
      <c r="CD590" s="87"/>
      <c r="CF590" s="67">
        <f t="shared" si="204"/>
        <v>195</v>
      </c>
      <c r="CG590" s="67">
        <f t="shared" si="208"/>
        <v>0</v>
      </c>
      <c r="CH590" s="67">
        <f t="shared" si="197"/>
        <v>0</v>
      </c>
      <c r="CI590" s="67">
        <f t="shared" si="216"/>
        <v>0</v>
      </c>
      <c r="CJ590" s="37">
        <f t="shared" si="212"/>
        <v>65</v>
      </c>
      <c r="CK590" s="37">
        <f t="shared" si="213"/>
        <v>0</v>
      </c>
      <c r="CL590" s="37">
        <f t="shared" si="214"/>
        <v>0</v>
      </c>
      <c r="CM590" s="37">
        <f t="shared" si="215"/>
        <v>0</v>
      </c>
    </row>
    <row r="591" spans="2:91" ht="33.75">
      <c r="B591" s="156">
        <v>578</v>
      </c>
      <c r="C591" s="160">
        <v>303</v>
      </c>
      <c r="D591" s="160">
        <v>531</v>
      </c>
      <c r="E591" s="161">
        <v>0.61805555555555558</v>
      </c>
      <c r="F591" s="173">
        <v>0.65277777777777779</v>
      </c>
      <c r="G591" s="160" t="s">
        <v>346</v>
      </c>
      <c r="H591" s="160" t="s">
        <v>479</v>
      </c>
      <c r="I591" s="163">
        <v>26</v>
      </c>
      <c r="J591" s="164" t="s">
        <v>269</v>
      </c>
      <c r="K591" s="165">
        <v>240</v>
      </c>
      <c r="L591" s="166">
        <f t="shared" si="196"/>
        <v>6240</v>
      </c>
      <c r="M591" s="167" t="s">
        <v>747</v>
      </c>
      <c r="N591" s="154" t="s">
        <v>849</v>
      </c>
      <c r="O591" s="154">
        <v>23</v>
      </c>
      <c r="P591" s="150" t="s">
        <v>1939</v>
      </c>
      <c r="Q591" s="154">
        <v>56</v>
      </c>
      <c r="R591" s="154" t="s">
        <v>1265</v>
      </c>
      <c r="S591" s="151">
        <v>57</v>
      </c>
      <c r="T591" s="45">
        <v>3790</v>
      </c>
      <c r="U591" s="45" t="s">
        <v>1608</v>
      </c>
      <c r="V591" s="45">
        <v>1</v>
      </c>
      <c r="W591" s="45" t="s">
        <v>1339</v>
      </c>
      <c r="X591" s="99">
        <v>44816</v>
      </c>
      <c r="Y591" s="99">
        <v>45100</v>
      </c>
      <c r="Z591" s="99"/>
      <c r="AA591" s="99"/>
      <c r="AB591" s="45" t="s">
        <v>1124</v>
      </c>
      <c r="AC591" s="45"/>
      <c r="AD591" s="42" t="s">
        <v>734</v>
      </c>
      <c r="AE591" s="42"/>
      <c r="AF591" s="42" t="s">
        <v>734</v>
      </c>
      <c r="AG591" s="42"/>
      <c r="AH591" s="42" t="s">
        <v>734</v>
      </c>
      <c r="AI591" s="42" t="s">
        <v>734</v>
      </c>
      <c r="AJ591" s="42" t="s">
        <v>734</v>
      </c>
      <c r="AK591" s="42" t="s">
        <v>734</v>
      </c>
      <c r="AL591" s="42" t="s">
        <v>734</v>
      </c>
      <c r="AM591" s="42" t="s">
        <v>734</v>
      </c>
      <c r="AN591" s="44"/>
      <c r="AO591" s="44"/>
      <c r="AP591" s="44"/>
      <c r="AQ591" s="44"/>
      <c r="AR591" s="42"/>
      <c r="AS591" s="42"/>
      <c r="AT591" s="42"/>
      <c r="AU591" s="42"/>
      <c r="AV591" s="42"/>
      <c r="AW591" s="42"/>
      <c r="AX591" s="67">
        <f>((101.92*202)+(52*38))/K591</f>
        <v>94.016000000000005</v>
      </c>
      <c r="AY591" s="75"/>
      <c r="AZ591" s="75"/>
      <c r="BA591" s="68"/>
      <c r="BB591" s="68"/>
      <c r="BC591" s="75"/>
      <c r="BD591" s="67">
        <f t="shared" si="201"/>
        <v>22563.84</v>
      </c>
      <c r="BE591" s="67"/>
      <c r="BF591" s="75"/>
      <c r="BG591" s="73">
        <v>1</v>
      </c>
      <c r="BH591" s="67">
        <f t="shared" si="209"/>
        <v>0</v>
      </c>
      <c r="BI591" s="67">
        <f t="shared" si="210"/>
        <v>0</v>
      </c>
      <c r="BJ591" s="70">
        <f t="shared" si="211"/>
        <v>0</v>
      </c>
      <c r="BN591" s="37"/>
      <c r="BO591" s="70">
        <f t="shared" si="202"/>
        <v>0</v>
      </c>
      <c r="BP591" s="37">
        <v>17</v>
      </c>
      <c r="BQ591" s="37">
        <v>26</v>
      </c>
      <c r="BR591" s="37">
        <v>25</v>
      </c>
      <c r="BS591" s="37">
        <v>26</v>
      </c>
      <c r="BT591" s="87">
        <f t="shared" si="203"/>
        <v>94.016000000000005</v>
      </c>
      <c r="BU591" s="87"/>
      <c r="BV591" s="87"/>
      <c r="BW591" s="87"/>
      <c r="BX591" s="87"/>
      <c r="BY591" s="87"/>
      <c r="BZ591" s="87"/>
      <c r="CA591" s="87"/>
      <c r="CB591" s="87"/>
      <c r="CC591" s="87"/>
      <c r="CD591" s="87"/>
      <c r="CF591" s="67">
        <f t="shared" si="204"/>
        <v>1598.2720000000002</v>
      </c>
      <c r="CG591" s="67">
        <f t="shared" si="208"/>
        <v>2444.4160000000002</v>
      </c>
      <c r="CH591" s="67">
        <f t="shared" si="197"/>
        <v>2350.4</v>
      </c>
      <c r="CI591" s="67">
        <f t="shared" si="216"/>
        <v>2444.4160000000002</v>
      </c>
      <c r="CJ591" s="37">
        <f t="shared" si="212"/>
        <v>442</v>
      </c>
      <c r="CK591" s="37">
        <f t="shared" si="213"/>
        <v>676</v>
      </c>
      <c r="CL591" s="37">
        <f t="shared" si="214"/>
        <v>650</v>
      </c>
      <c r="CM591" s="37">
        <f t="shared" si="215"/>
        <v>676</v>
      </c>
    </row>
    <row r="592" spans="2:91" ht="25.5">
      <c r="B592" s="156">
        <v>579</v>
      </c>
      <c r="C592" s="160">
        <v>303</v>
      </c>
      <c r="D592" s="160">
        <v>250</v>
      </c>
      <c r="E592" s="161">
        <v>0.69444444444444453</v>
      </c>
      <c r="F592" s="173">
        <v>0.72569444444444453</v>
      </c>
      <c r="G592" s="160" t="s">
        <v>642</v>
      </c>
      <c r="H592" s="160" t="s">
        <v>103</v>
      </c>
      <c r="I592" s="163">
        <v>21</v>
      </c>
      <c r="J592" s="164" t="s">
        <v>101</v>
      </c>
      <c r="K592" s="165">
        <v>174</v>
      </c>
      <c r="L592" s="166">
        <f t="shared" si="196"/>
        <v>3654</v>
      </c>
      <c r="M592" s="167" t="s">
        <v>747</v>
      </c>
      <c r="N592" s="154" t="s">
        <v>851</v>
      </c>
      <c r="O592" s="154">
        <v>57</v>
      </c>
      <c r="P592" s="154" t="s">
        <v>1937</v>
      </c>
      <c r="Q592" s="154">
        <v>56</v>
      </c>
      <c r="R592" s="154" t="s">
        <v>1282</v>
      </c>
      <c r="S592" s="151">
        <v>62</v>
      </c>
      <c r="T592" s="45">
        <v>1</v>
      </c>
      <c r="U592" s="45" t="s">
        <v>1336</v>
      </c>
      <c r="V592" s="45">
        <v>3790</v>
      </c>
      <c r="W592" s="45" t="s">
        <v>1608</v>
      </c>
      <c r="X592" s="98">
        <v>44816</v>
      </c>
      <c r="Y592" s="98">
        <v>45086</v>
      </c>
      <c r="Z592" s="98"/>
      <c r="AA592" s="98"/>
      <c r="AB592" s="41" t="s">
        <v>1114</v>
      </c>
      <c r="AC592" s="41"/>
      <c r="AD592" s="44"/>
      <c r="AE592" s="44"/>
      <c r="AF592" s="44"/>
      <c r="AG592" s="42" t="s">
        <v>734</v>
      </c>
      <c r="AH592" s="42" t="s">
        <v>734</v>
      </c>
      <c r="AI592" s="42" t="s">
        <v>734</v>
      </c>
      <c r="AJ592" s="42" t="s">
        <v>734</v>
      </c>
      <c r="AK592" s="42" t="s">
        <v>734</v>
      </c>
      <c r="AL592" s="42" t="s">
        <v>734</v>
      </c>
      <c r="AM592" s="44"/>
      <c r="AN592" s="44"/>
      <c r="AO592" s="44"/>
      <c r="AP592" s="44"/>
      <c r="AQ592" s="44"/>
      <c r="AR592" s="42"/>
      <c r="AS592" s="42"/>
      <c r="AT592" s="42"/>
      <c r="AU592" s="42"/>
      <c r="AV592" s="42"/>
      <c r="AW592" s="44"/>
      <c r="AX592" s="67">
        <f>100+12</f>
        <v>112</v>
      </c>
      <c r="AY592" s="75"/>
      <c r="AZ592" s="75"/>
      <c r="BA592" s="68"/>
      <c r="BB592" s="68"/>
      <c r="BC592" s="75"/>
      <c r="BD592" s="67">
        <f t="shared" si="201"/>
        <v>19488</v>
      </c>
      <c r="BE592" s="67"/>
      <c r="BF592" s="75"/>
      <c r="BG592" s="69">
        <v>2</v>
      </c>
      <c r="BH592" s="67">
        <f t="shared" si="209"/>
        <v>0</v>
      </c>
      <c r="BI592" s="67">
        <f t="shared" si="210"/>
        <v>0</v>
      </c>
      <c r="BJ592" s="70">
        <f t="shared" si="211"/>
        <v>0</v>
      </c>
      <c r="BN592" s="37"/>
      <c r="BO592" s="70">
        <f t="shared" si="202"/>
        <v>0</v>
      </c>
      <c r="BP592" s="37">
        <v>15</v>
      </c>
      <c r="BQ592" s="37">
        <v>20</v>
      </c>
      <c r="BR592" s="37">
        <v>21</v>
      </c>
      <c r="BS592" s="37">
        <v>15</v>
      </c>
      <c r="BT592" s="87">
        <f t="shared" si="203"/>
        <v>112</v>
      </c>
      <c r="BU592" s="87"/>
      <c r="BV592" s="87"/>
      <c r="BW592" s="87"/>
      <c r="BX592" s="87"/>
      <c r="BY592" s="87"/>
      <c r="BZ592" s="87"/>
      <c r="CA592" s="87"/>
      <c r="CB592" s="87"/>
      <c r="CC592" s="87"/>
      <c r="CD592" s="87"/>
      <c r="CF592" s="67">
        <f t="shared" si="204"/>
        <v>1680</v>
      </c>
      <c r="CG592" s="67">
        <f t="shared" si="208"/>
        <v>2240</v>
      </c>
      <c r="CH592" s="67">
        <f t="shared" si="197"/>
        <v>2352</v>
      </c>
      <c r="CI592" s="67">
        <f t="shared" si="216"/>
        <v>1680</v>
      </c>
      <c r="CJ592" s="37">
        <f t="shared" si="212"/>
        <v>315</v>
      </c>
      <c r="CK592" s="37">
        <f t="shared" si="213"/>
        <v>420</v>
      </c>
      <c r="CL592" s="37">
        <f t="shared" si="214"/>
        <v>441</v>
      </c>
      <c r="CM592" s="37">
        <f t="shared" si="215"/>
        <v>315</v>
      </c>
    </row>
    <row r="593" spans="2:91" ht="25.5">
      <c r="B593" s="156">
        <v>580</v>
      </c>
      <c r="C593" s="160">
        <v>303</v>
      </c>
      <c r="D593" s="160">
        <v>543</v>
      </c>
      <c r="E593" s="161">
        <v>0.69791666666666663</v>
      </c>
      <c r="F593" s="161">
        <v>0.70972222222222225</v>
      </c>
      <c r="G593" s="160" t="s">
        <v>341</v>
      </c>
      <c r="H593" s="160" t="s">
        <v>103</v>
      </c>
      <c r="I593" s="163">
        <v>12</v>
      </c>
      <c r="J593" s="164" t="s">
        <v>269</v>
      </c>
      <c r="K593" s="165">
        <v>174</v>
      </c>
      <c r="L593" s="166">
        <f t="shared" si="196"/>
        <v>2088</v>
      </c>
      <c r="M593" s="167" t="s">
        <v>747</v>
      </c>
      <c r="N593" s="154" t="s">
        <v>850</v>
      </c>
      <c r="O593" s="154">
        <v>23</v>
      </c>
      <c r="P593" s="154" t="s">
        <v>1936</v>
      </c>
      <c r="Q593" s="154">
        <v>23</v>
      </c>
      <c r="R593" s="154" t="s">
        <v>849</v>
      </c>
      <c r="S593" s="151">
        <v>23</v>
      </c>
      <c r="T593" s="45" t="s">
        <v>1622</v>
      </c>
      <c r="U593" s="45" t="s">
        <v>1623</v>
      </c>
      <c r="V593" s="45">
        <v>3740</v>
      </c>
      <c r="W593" s="45" t="s">
        <v>1613</v>
      </c>
      <c r="X593" s="98">
        <v>44816</v>
      </c>
      <c r="Y593" s="98">
        <v>45086</v>
      </c>
      <c r="Z593" s="98"/>
      <c r="AA593" s="98"/>
      <c r="AB593" s="41" t="s">
        <v>1114</v>
      </c>
      <c r="AC593" s="41"/>
      <c r="AD593" s="44"/>
      <c r="AE593" s="44"/>
      <c r="AF593" s="44"/>
      <c r="AG593" s="42" t="s">
        <v>734</v>
      </c>
      <c r="AH593" s="42" t="s">
        <v>734</v>
      </c>
      <c r="AI593" s="42" t="s">
        <v>734</v>
      </c>
      <c r="AJ593" s="42" t="s">
        <v>734</v>
      </c>
      <c r="AK593" s="42" t="s">
        <v>734</v>
      </c>
      <c r="AL593" s="42" t="s">
        <v>734</v>
      </c>
      <c r="AM593" s="44"/>
      <c r="AN593" s="44"/>
      <c r="AO593" s="44"/>
      <c r="AP593" s="44"/>
      <c r="AQ593" s="44"/>
      <c r="AR593" s="42"/>
      <c r="AS593" s="42"/>
      <c r="AT593" s="42"/>
      <c r="AU593" s="42"/>
      <c r="AV593" s="42"/>
      <c r="AW593" s="44"/>
      <c r="AX593" s="67">
        <f>((72.76*138)+(24*36))/K593</f>
        <v>62.671724137931044</v>
      </c>
      <c r="AY593" s="75"/>
      <c r="AZ593" s="75"/>
      <c r="BA593" s="68"/>
      <c r="BB593" s="68"/>
      <c r="BC593" s="75"/>
      <c r="BD593" s="67">
        <f t="shared" si="201"/>
        <v>10904.880000000001</v>
      </c>
      <c r="BE593" s="67"/>
      <c r="BF593" s="75"/>
      <c r="BG593" s="73">
        <v>1</v>
      </c>
      <c r="BH593" s="67">
        <f t="shared" si="209"/>
        <v>0</v>
      </c>
      <c r="BI593" s="67">
        <f t="shared" si="210"/>
        <v>0</v>
      </c>
      <c r="BJ593" s="70">
        <f t="shared" si="211"/>
        <v>0</v>
      </c>
      <c r="BN593" s="37"/>
      <c r="BO593" s="70">
        <f t="shared" si="202"/>
        <v>0</v>
      </c>
      <c r="BP593" s="37">
        <v>15</v>
      </c>
      <c r="BQ593" s="37">
        <v>20</v>
      </c>
      <c r="BR593" s="37">
        <v>21</v>
      </c>
      <c r="BS593" s="37">
        <v>15</v>
      </c>
      <c r="BT593" s="87">
        <f t="shared" si="203"/>
        <v>62.671724137931044</v>
      </c>
      <c r="BU593" s="87"/>
      <c r="BV593" s="87"/>
      <c r="BW593" s="87"/>
      <c r="BX593" s="87"/>
      <c r="BY593" s="87"/>
      <c r="BZ593" s="87"/>
      <c r="CA593" s="87"/>
      <c r="CB593" s="87"/>
      <c r="CC593" s="87"/>
      <c r="CD593" s="87"/>
      <c r="CF593" s="67">
        <f t="shared" si="204"/>
        <v>940.07586206896565</v>
      </c>
      <c r="CG593" s="67">
        <f t="shared" si="208"/>
        <v>1253.4344827586208</v>
      </c>
      <c r="CH593" s="67">
        <f t="shared" si="197"/>
        <v>1316.1062068965518</v>
      </c>
      <c r="CI593" s="67">
        <f t="shared" si="216"/>
        <v>940.07586206896565</v>
      </c>
      <c r="CJ593" s="37">
        <f t="shared" si="212"/>
        <v>180</v>
      </c>
      <c r="CK593" s="37">
        <f t="shared" si="213"/>
        <v>240</v>
      </c>
      <c r="CL593" s="37">
        <f t="shared" si="214"/>
        <v>252</v>
      </c>
      <c r="CM593" s="37">
        <f t="shared" si="215"/>
        <v>180</v>
      </c>
    </row>
    <row r="594" spans="2:91" ht="25.5">
      <c r="B594" s="156">
        <v>581</v>
      </c>
      <c r="C594" s="169">
        <v>303</v>
      </c>
      <c r="D594" s="169">
        <v>537</v>
      </c>
      <c r="E594" s="170">
        <v>0.71527777777777779</v>
      </c>
      <c r="F594" s="170">
        <v>0.7680555555555556</v>
      </c>
      <c r="G594" s="171" t="s">
        <v>4</v>
      </c>
      <c r="H594" s="160" t="s">
        <v>550</v>
      </c>
      <c r="I594" s="169">
        <v>39</v>
      </c>
      <c r="J594" s="172">
        <v>30</v>
      </c>
      <c r="K594" s="165">
        <v>13</v>
      </c>
      <c r="L594" s="166">
        <f t="shared" si="196"/>
        <v>507</v>
      </c>
      <c r="M594" s="167" t="s">
        <v>759</v>
      </c>
      <c r="N594" s="150" t="s">
        <v>959</v>
      </c>
      <c r="O594" s="150">
        <v>33</v>
      </c>
      <c r="P594" s="3" t="s">
        <v>1281</v>
      </c>
      <c r="Q594" s="152">
        <v>55</v>
      </c>
      <c r="T594" s="45">
        <v>3870</v>
      </c>
      <c r="U594" s="45" t="s">
        <v>1621</v>
      </c>
      <c r="V594" s="45">
        <v>1</v>
      </c>
      <c r="W594" s="45" t="s">
        <v>1620</v>
      </c>
      <c r="X594" s="99">
        <v>44562</v>
      </c>
      <c r="Y594" s="99">
        <v>44815</v>
      </c>
      <c r="Z594" s="99">
        <v>45101</v>
      </c>
      <c r="AA594" s="99">
        <v>45169</v>
      </c>
      <c r="AB594" s="36" t="s">
        <v>1116</v>
      </c>
      <c r="AC594" s="36"/>
      <c r="AD594" s="42"/>
      <c r="AE594" s="42" t="s">
        <v>734</v>
      </c>
      <c r="AF594" s="42"/>
      <c r="AG594" s="42"/>
      <c r="AH594" s="42"/>
      <c r="AI594" s="42"/>
      <c r="AJ594" s="42"/>
      <c r="AK594" s="42"/>
      <c r="AL594" s="42"/>
      <c r="AM594" s="42"/>
      <c r="AN594" s="42" t="s">
        <v>734</v>
      </c>
      <c r="AO594" s="42"/>
      <c r="AP594" s="42"/>
      <c r="AQ594" s="42"/>
      <c r="AR594" s="42"/>
      <c r="AS594" s="42"/>
      <c r="AT594" s="42"/>
      <c r="AU594" s="42"/>
      <c r="AV594" s="42"/>
      <c r="AW594" s="42"/>
      <c r="AX594" s="37"/>
      <c r="AY594" s="37"/>
      <c r="AZ594" s="75"/>
      <c r="BA594" s="38" t="s">
        <v>759</v>
      </c>
      <c r="BB594" s="38"/>
      <c r="BD594" s="67">
        <f t="shared" si="201"/>
        <v>0</v>
      </c>
      <c r="BE594" s="75"/>
      <c r="BF594" s="75"/>
      <c r="BG594" s="73">
        <v>1</v>
      </c>
      <c r="BI594" s="67"/>
      <c r="BJ594" s="37"/>
      <c r="BN594" s="37"/>
      <c r="BO594" s="70">
        <f t="shared" si="202"/>
        <v>0</v>
      </c>
      <c r="BP594" s="37">
        <v>2</v>
      </c>
      <c r="BQ594" s="37">
        <v>0</v>
      </c>
      <c r="BR594" s="37">
        <v>0</v>
      </c>
      <c r="BT594" s="87">
        <f t="shared" si="203"/>
        <v>0</v>
      </c>
      <c r="BU594" s="87"/>
      <c r="BV594" s="87"/>
      <c r="BW594" s="87"/>
      <c r="BX594" s="87"/>
      <c r="BY594" s="87"/>
      <c r="BZ594" s="87"/>
      <c r="CA594" s="87"/>
      <c r="CB594" s="87"/>
      <c r="CC594" s="87"/>
      <c r="CD594" s="87"/>
      <c r="CF594" s="67">
        <f t="shared" si="204"/>
        <v>0</v>
      </c>
      <c r="CG594" s="67">
        <f t="shared" si="208"/>
        <v>0</v>
      </c>
      <c r="CH594" s="67">
        <f t="shared" si="197"/>
        <v>0</v>
      </c>
      <c r="CI594" s="67">
        <f t="shared" si="216"/>
        <v>0</v>
      </c>
      <c r="CJ594" s="37">
        <f t="shared" si="212"/>
        <v>78</v>
      </c>
      <c r="CK594" s="37">
        <f t="shared" si="213"/>
        <v>0</v>
      </c>
      <c r="CL594" s="37">
        <f t="shared" si="214"/>
        <v>0</v>
      </c>
      <c r="CM594" s="37">
        <f t="shared" si="215"/>
        <v>0</v>
      </c>
    </row>
    <row r="595" spans="2:91" ht="25.5">
      <c r="B595" s="156">
        <v>582</v>
      </c>
      <c r="C595" s="160">
        <v>303</v>
      </c>
      <c r="D595" s="160">
        <v>553</v>
      </c>
      <c r="E595" s="161">
        <v>0.71875</v>
      </c>
      <c r="F595" s="161">
        <v>0.7368055555555556</v>
      </c>
      <c r="G595" s="160" t="s">
        <v>515</v>
      </c>
      <c r="H595" s="160" t="s">
        <v>501</v>
      </c>
      <c r="I595" s="163">
        <v>19</v>
      </c>
      <c r="J595" s="164" t="s">
        <v>167</v>
      </c>
      <c r="K595" s="165">
        <v>67</v>
      </c>
      <c r="L595" s="166">
        <f t="shared" si="196"/>
        <v>1273</v>
      </c>
      <c r="M595" s="167" t="s">
        <v>759</v>
      </c>
      <c r="N595" s="150" t="s">
        <v>987</v>
      </c>
      <c r="O595" s="150">
        <v>9</v>
      </c>
      <c r="P595" s="150" t="s">
        <v>1940</v>
      </c>
      <c r="Q595" s="150">
        <v>9</v>
      </c>
      <c r="R595" s="150"/>
      <c r="S595" s="150"/>
      <c r="T595" s="45">
        <v>3895</v>
      </c>
      <c r="U595" s="45" t="s">
        <v>1604</v>
      </c>
      <c r="V595" s="45" t="s">
        <v>1617</v>
      </c>
      <c r="W595" s="45" t="s">
        <v>1618</v>
      </c>
      <c r="X595" s="99">
        <v>44562</v>
      </c>
      <c r="Y595" s="99">
        <v>44815</v>
      </c>
      <c r="Z595" s="99">
        <v>45101</v>
      </c>
      <c r="AA595" s="99">
        <v>45169</v>
      </c>
      <c r="AB595" s="42" t="s">
        <v>1119</v>
      </c>
      <c r="AC595" s="42"/>
      <c r="AD595" s="44"/>
      <c r="AE595" s="42" t="s">
        <v>734</v>
      </c>
      <c r="AF595" s="42" t="s">
        <v>734</v>
      </c>
      <c r="AG595" s="42"/>
      <c r="AH595" s="42" t="s">
        <v>734</v>
      </c>
      <c r="AI595" s="42" t="s">
        <v>734</v>
      </c>
      <c r="AJ595" s="42" t="s">
        <v>734</v>
      </c>
      <c r="AK595" s="42" t="s">
        <v>734</v>
      </c>
      <c r="AL595" s="42" t="s">
        <v>734</v>
      </c>
      <c r="AM595" s="42" t="s">
        <v>734</v>
      </c>
      <c r="AN595" s="44"/>
      <c r="AO595" s="44"/>
      <c r="AP595" s="44"/>
      <c r="AQ595" s="42"/>
      <c r="AR595" s="42"/>
      <c r="AS595" s="42"/>
      <c r="AT595" s="42"/>
      <c r="AU595" s="42"/>
      <c r="AV595" s="42"/>
      <c r="AW595" s="42"/>
      <c r="AX595" s="68">
        <v>57</v>
      </c>
      <c r="AY595" s="75"/>
      <c r="AZ595" s="75"/>
      <c r="BA595" s="68"/>
      <c r="BB595" s="68"/>
      <c r="BC595" s="75"/>
      <c r="BD595" s="67">
        <f t="shared" si="201"/>
        <v>3819</v>
      </c>
      <c r="BE595" s="67"/>
      <c r="BF595" s="75"/>
      <c r="BG595" s="73">
        <v>1</v>
      </c>
      <c r="BH595" s="67">
        <f>IF(AND((AX595/I595)&lt;2,BG595=1),(I595*2)-AX595,0)</f>
        <v>0</v>
      </c>
      <c r="BI595" s="67">
        <f>IF(AND((AX595/I595)&lt;3,BG595=2),(I595*3)-AX595,0)</f>
        <v>0</v>
      </c>
      <c r="BJ595" s="70">
        <f>(BH595+BI595)*K595</f>
        <v>0</v>
      </c>
      <c r="BN595" s="37"/>
      <c r="BO595" s="70">
        <f t="shared" si="202"/>
        <v>0</v>
      </c>
      <c r="BP595" s="37">
        <v>9</v>
      </c>
      <c r="BQ595" s="37">
        <v>0</v>
      </c>
      <c r="BR595" s="37">
        <v>0</v>
      </c>
      <c r="BS595" s="37">
        <v>0</v>
      </c>
      <c r="BT595" s="87">
        <f t="shared" si="203"/>
        <v>57</v>
      </c>
      <c r="BU595" s="87"/>
      <c r="BV595" s="87"/>
      <c r="BW595" s="87"/>
      <c r="BX595" s="87"/>
      <c r="BY595" s="87"/>
      <c r="BZ595" s="87"/>
      <c r="CA595" s="87"/>
      <c r="CB595" s="87"/>
      <c r="CC595" s="87"/>
      <c r="CD595" s="87"/>
      <c r="CF595" s="67">
        <f t="shared" si="204"/>
        <v>513</v>
      </c>
      <c r="CG595" s="67">
        <f t="shared" si="208"/>
        <v>0</v>
      </c>
      <c r="CH595" s="67">
        <f t="shared" si="197"/>
        <v>0</v>
      </c>
      <c r="CI595" s="67">
        <f t="shared" si="216"/>
        <v>0</v>
      </c>
      <c r="CJ595" s="37">
        <f t="shared" si="212"/>
        <v>171</v>
      </c>
      <c r="CK595" s="37">
        <f t="shared" si="213"/>
        <v>0</v>
      </c>
      <c r="CL595" s="37">
        <f t="shared" si="214"/>
        <v>0</v>
      </c>
      <c r="CM595" s="37">
        <f t="shared" si="215"/>
        <v>0</v>
      </c>
    </row>
    <row r="596" spans="2:91" ht="25.5">
      <c r="B596" s="156">
        <v>583</v>
      </c>
      <c r="C596" s="160">
        <v>303</v>
      </c>
      <c r="D596" s="160">
        <v>252</v>
      </c>
      <c r="E596" s="161">
        <v>0.72916666666666663</v>
      </c>
      <c r="F596" s="161">
        <v>0.76388888888888884</v>
      </c>
      <c r="G596" s="160" t="s">
        <v>445</v>
      </c>
      <c r="H596" s="160" t="s">
        <v>444</v>
      </c>
      <c r="I596" s="163">
        <v>23</v>
      </c>
      <c r="J596" s="164" t="s">
        <v>188</v>
      </c>
      <c r="K596" s="165">
        <v>47</v>
      </c>
      <c r="L596" s="166">
        <f t="shared" si="196"/>
        <v>1081</v>
      </c>
      <c r="M596" s="167" t="s">
        <v>747</v>
      </c>
      <c r="N596" s="154" t="s">
        <v>852</v>
      </c>
      <c r="O596" s="154">
        <v>31</v>
      </c>
      <c r="P596" s="154" t="s">
        <v>1265</v>
      </c>
      <c r="Q596" s="154">
        <v>57</v>
      </c>
      <c r="R596" s="182"/>
      <c r="S596" s="154"/>
      <c r="T596" s="45">
        <v>1</v>
      </c>
      <c r="U596" s="45" t="s">
        <v>1336</v>
      </c>
      <c r="V596" s="45">
        <v>3790</v>
      </c>
      <c r="W596" s="45" t="s">
        <v>1608</v>
      </c>
      <c r="X596" s="99">
        <v>44816</v>
      </c>
      <c r="Y596" s="99">
        <v>45100</v>
      </c>
      <c r="Z596" s="99"/>
      <c r="AA596" s="99"/>
      <c r="AB596" s="46" t="s">
        <v>1115</v>
      </c>
      <c r="AC596" s="46"/>
      <c r="AD596" s="42" t="s">
        <v>734</v>
      </c>
      <c r="AE596" s="42"/>
      <c r="AF596" s="42"/>
      <c r="AG596" s="42"/>
      <c r="AH596" s="42"/>
      <c r="AI596" s="42"/>
      <c r="AJ596" s="42"/>
      <c r="AK596" s="42"/>
      <c r="AL596" s="42"/>
      <c r="AM596" s="42"/>
      <c r="AN596" s="42" t="s">
        <v>734</v>
      </c>
      <c r="AO596" s="44"/>
      <c r="AP596" s="44"/>
      <c r="AQ596" s="44"/>
      <c r="AR596" s="42"/>
      <c r="AS596" s="42"/>
      <c r="AT596" s="42"/>
      <c r="AU596" s="42"/>
      <c r="AV596" s="42"/>
      <c r="AW596" s="42"/>
      <c r="AX596" s="68">
        <v>69</v>
      </c>
      <c r="AY596" s="75"/>
      <c r="AZ596" s="75"/>
      <c r="BA596" s="68"/>
      <c r="BB596" s="68"/>
      <c r="BC596" s="75"/>
      <c r="BD596" s="67">
        <f t="shared" si="201"/>
        <v>3243</v>
      </c>
      <c r="BE596" s="67"/>
      <c r="BF596" s="75"/>
      <c r="BG596" s="73">
        <v>1</v>
      </c>
      <c r="BH596" s="67">
        <f>IF(AND((AX596/I596)&lt;2,BG596=1),(I596*2)-AX596,0)</f>
        <v>0</v>
      </c>
      <c r="BI596" s="67">
        <f>IF(AND((AX596/I596)&lt;3,BG596=2),(I596*3)-AX596,0)</f>
        <v>0</v>
      </c>
      <c r="BJ596" s="70">
        <f>(BH596+BI596)*K596</f>
        <v>0</v>
      </c>
      <c r="BN596" s="37"/>
      <c r="BO596" s="70">
        <f t="shared" si="202"/>
        <v>0</v>
      </c>
      <c r="BP596" s="37">
        <v>2</v>
      </c>
      <c r="BQ596" s="37">
        <v>5</v>
      </c>
      <c r="BR596" s="37">
        <v>5</v>
      </c>
      <c r="BS596" s="37">
        <v>6</v>
      </c>
      <c r="BT596" s="87">
        <f t="shared" si="203"/>
        <v>69</v>
      </c>
      <c r="BU596" s="87"/>
      <c r="BV596" s="87"/>
      <c r="BW596" s="87"/>
      <c r="BX596" s="87"/>
      <c r="BY596" s="87"/>
      <c r="BZ596" s="87"/>
      <c r="CA596" s="87"/>
      <c r="CB596" s="87"/>
      <c r="CC596" s="87"/>
      <c r="CD596" s="87"/>
      <c r="CF596" s="67">
        <f t="shared" si="204"/>
        <v>138</v>
      </c>
      <c r="CG596" s="67">
        <f t="shared" si="208"/>
        <v>345</v>
      </c>
      <c r="CH596" s="67">
        <f t="shared" si="197"/>
        <v>345</v>
      </c>
      <c r="CI596" s="67">
        <f t="shared" si="216"/>
        <v>414</v>
      </c>
      <c r="CJ596" s="37">
        <f t="shared" si="212"/>
        <v>46</v>
      </c>
      <c r="CK596" s="37">
        <f t="shared" si="213"/>
        <v>115</v>
      </c>
      <c r="CL596" s="37">
        <f t="shared" si="214"/>
        <v>115</v>
      </c>
      <c r="CM596" s="37">
        <f t="shared" si="215"/>
        <v>138</v>
      </c>
    </row>
    <row r="597" spans="2:91" ht="33.75">
      <c r="B597" s="156">
        <v>584</v>
      </c>
      <c r="C597" s="160">
        <v>303</v>
      </c>
      <c r="D597" s="160">
        <v>546</v>
      </c>
      <c r="E597" s="161">
        <v>0.74444444444444446</v>
      </c>
      <c r="F597" s="161">
        <v>0.76180555555555562</v>
      </c>
      <c r="G597" s="160" t="s">
        <v>470</v>
      </c>
      <c r="H597" s="160" t="s">
        <v>103</v>
      </c>
      <c r="I597" s="163">
        <v>19</v>
      </c>
      <c r="J597" s="164">
        <v>14</v>
      </c>
      <c r="K597" s="165">
        <v>174</v>
      </c>
      <c r="L597" s="166">
        <f t="shared" ref="L597:L660" si="217">+K597*I597</f>
        <v>3306</v>
      </c>
      <c r="M597" s="167" t="s">
        <v>758</v>
      </c>
      <c r="N597" s="154" t="s">
        <v>834</v>
      </c>
      <c r="O597" s="154">
        <v>15</v>
      </c>
      <c r="P597" s="150" t="s">
        <v>1934</v>
      </c>
      <c r="Q597" s="150">
        <v>9</v>
      </c>
      <c r="R597" s="154" t="s">
        <v>1280</v>
      </c>
      <c r="S597" s="151">
        <v>9</v>
      </c>
      <c r="T597" s="45" t="s">
        <v>1617</v>
      </c>
      <c r="U597" s="45" t="s">
        <v>1618</v>
      </c>
      <c r="V597" s="45">
        <v>3895</v>
      </c>
      <c r="W597" s="45" t="s">
        <v>1604</v>
      </c>
      <c r="X597" s="98">
        <v>44816</v>
      </c>
      <c r="Y597" s="98">
        <v>45086</v>
      </c>
      <c r="Z597" s="98"/>
      <c r="AA597" s="98"/>
      <c r="AB597" s="41" t="s">
        <v>1114</v>
      </c>
      <c r="AC597" s="41"/>
      <c r="AD597" s="44"/>
      <c r="AE597" s="44"/>
      <c r="AF597" s="44"/>
      <c r="AG597" s="42" t="s">
        <v>734</v>
      </c>
      <c r="AH597" s="42" t="s">
        <v>734</v>
      </c>
      <c r="AI597" s="42" t="s">
        <v>734</v>
      </c>
      <c r="AJ597" s="42" t="s">
        <v>734</v>
      </c>
      <c r="AK597" s="42" t="s">
        <v>734</v>
      </c>
      <c r="AL597" s="42" t="s">
        <v>734</v>
      </c>
      <c r="AM597" s="44"/>
      <c r="AN597" s="44"/>
      <c r="AO597" s="44"/>
      <c r="AP597" s="44"/>
      <c r="AQ597" s="44"/>
      <c r="AR597" s="42"/>
      <c r="AS597" s="42"/>
      <c r="AT597" s="42"/>
      <c r="AU597" s="42"/>
      <c r="AV597" s="42"/>
      <c r="AW597" s="44"/>
      <c r="AX597" s="68">
        <v>57</v>
      </c>
      <c r="AY597" s="75"/>
      <c r="AZ597" s="75"/>
      <c r="BA597" s="68"/>
      <c r="BB597" s="68"/>
      <c r="BC597" s="75"/>
      <c r="BD597" s="67">
        <f t="shared" si="201"/>
        <v>9918</v>
      </c>
      <c r="BE597" s="67"/>
      <c r="BF597" s="75"/>
      <c r="BG597" s="73">
        <v>1</v>
      </c>
      <c r="BH597" s="67">
        <f>IF(AND((AX597/I597)&lt;2,BG597=1),(I597*2)-AX597,0)</f>
        <v>0</v>
      </c>
      <c r="BI597" s="67">
        <f>IF(AND((AX597/I597)&lt;3,BG597=2),(I597*3)-AX597,0)</f>
        <v>0</v>
      </c>
      <c r="BJ597" s="70">
        <f>(BH597+BI597)*K597</f>
        <v>0</v>
      </c>
      <c r="BN597" s="37"/>
      <c r="BO597" s="70">
        <f t="shared" si="202"/>
        <v>0</v>
      </c>
      <c r="BP597" s="37">
        <v>15</v>
      </c>
      <c r="BQ597" s="37">
        <v>20</v>
      </c>
      <c r="BR597" s="37">
        <v>21</v>
      </c>
      <c r="BS597" s="37">
        <v>15</v>
      </c>
      <c r="BT597" s="87">
        <f t="shared" si="203"/>
        <v>57</v>
      </c>
      <c r="BU597" s="87"/>
      <c r="BV597" s="87"/>
      <c r="BW597" s="87"/>
      <c r="BX597" s="87"/>
      <c r="BY597" s="87"/>
      <c r="BZ597" s="87"/>
      <c r="CA597" s="87"/>
      <c r="CB597" s="87"/>
      <c r="CC597" s="87"/>
      <c r="CD597" s="87"/>
      <c r="CF597" s="67">
        <f t="shared" si="204"/>
        <v>855</v>
      </c>
      <c r="CG597" s="67">
        <f t="shared" si="208"/>
        <v>1140</v>
      </c>
      <c r="CH597" s="67">
        <f t="shared" ref="CH597:CH660" si="218">(BR597*BT597)+(BZ597*CD597)</f>
        <v>1197</v>
      </c>
      <c r="CI597" s="67">
        <f t="shared" si="216"/>
        <v>855</v>
      </c>
      <c r="CJ597" s="37">
        <f t="shared" si="212"/>
        <v>285</v>
      </c>
      <c r="CK597" s="37">
        <f t="shared" si="213"/>
        <v>380</v>
      </c>
      <c r="CL597" s="37">
        <f t="shared" si="214"/>
        <v>399</v>
      </c>
      <c r="CM597" s="37">
        <f t="shared" si="215"/>
        <v>285</v>
      </c>
    </row>
    <row r="598" spans="2:91" ht="25.5">
      <c r="B598" s="156">
        <v>585</v>
      </c>
      <c r="C598" s="160">
        <v>303</v>
      </c>
      <c r="D598" s="160">
        <v>554</v>
      </c>
      <c r="E598" s="161">
        <v>0.74444444444444446</v>
      </c>
      <c r="F598" s="161">
        <v>0.76250000000000007</v>
      </c>
      <c r="G598" s="160" t="s">
        <v>516</v>
      </c>
      <c r="H598" s="160" t="s">
        <v>501</v>
      </c>
      <c r="I598" s="163">
        <v>19</v>
      </c>
      <c r="J598" s="164" t="s">
        <v>167</v>
      </c>
      <c r="K598" s="165">
        <v>67</v>
      </c>
      <c r="L598" s="166">
        <f t="shared" si="217"/>
        <v>1273</v>
      </c>
      <c r="M598" s="167" t="s">
        <v>759</v>
      </c>
      <c r="N598" s="150" t="s">
        <v>987</v>
      </c>
      <c r="O598" s="150">
        <v>9</v>
      </c>
      <c r="P598" s="150" t="s">
        <v>1940</v>
      </c>
      <c r="Q598" s="150">
        <v>9</v>
      </c>
      <c r="R598" s="150"/>
      <c r="S598" s="150"/>
      <c r="T598" s="45" t="s">
        <v>1617</v>
      </c>
      <c r="U598" s="45" t="s">
        <v>1618</v>
      </c>
      <c r="V598" s="45">
        <v>3895</v>
      </c>
      <c r="W598" s="45" t="s">
        <v>1604</v>
      </c>
      <c r="X598" s="99">
        <v>44562</v>
      </c>
      <c r="Y598" s="99">
        <v>44815</v>
      </c>
      <c r="Z598" s="99">
        <v>45101</v>
      </c>
      <c r="AA598" s="99">
        <v>45169</v>
      </c>
      <c r="AB598" s="42" t="s">
        <v>1119</v>
      </c>
      <c r="AC598" s="42"/>
      <c r="AD598" s="44"/>
      <c r="AE598" s="42" t="s">
        <v>734</v>
      </c>
      <c r="AF598" s="42" t="s">
        <v>734</v>
      </c>
      <c r="AG598" s="42"/>
      <c r="AH598" s="42" t="s">
        <v>734</v>
      </c>
      <c r="AI598" s="42" t="s">
        <v>734</v>
      </c>
      <c r="AJ598" s="42" t="s">
        <v>734</v>
      </c>
      <c r="AK598" s="42" t="s">
        <v>734</v>
      </c>
      <c r="AL598" s="42" t="s">
        <v>734</v>
      </c>
      <c r="AM598" s="42" t="s">
        <v>734</v>
      </c>
      <c r="AN598" s="44"/>
      <c r="AO598" s="44"/>
      <c r="AP598" s="44"/>
      <c r="AQ598" s="42"/>
      <c r="AR598" s="42"/>
      <c r="AS598" s="42"/>
      <c r="AT598" s="42"/>
      <c r="AU598" s="42"/>
      <c r="AV598" s="42"/>
      <c r="AW598" s="42"/>
      <c r="AX598" s="68">
        <v>57</v>
      </c>
      <c r="AY598" s="75"/>
      <c r="AZ598" s="75"/>
      <c r="BA598" s="68"/>
      <c r="BB598" s="68"/>
      <c r="BC598" s="75"/>
      <c r="BD598" s="67">
        <f t="shared" ref="BD598:BD627" si="219">AX598*K598</f>
        <v>3819</v>
      </c>
      <c r="BE598" s="67"/>
      <c r="BF598" s="75"/>
      <c r="BG598" s="73">
        <v>1</v>
      </c>
      <c r="BH598" s="67">
        <f>IF(AND((AX598/I598)&lt;2,BG598=1),(I598*2)-AX598,0)</f>
        <v>0</v>
      </c>
      <c r="BI598" s="67">
        <f>IF(AND((AX598/I598)&lt;3,BG598=2),(I598*3)-AX598,0)</f>
        <v>0</v>
      </c>
      <c r="BJ598" s="70">
        <f>(BH598+BI598)*K598</f>
        <v>0</v>
      </c>
      <c r="BN598" s="37"/>
      <c r="BO598" s="70">
        <f t="shared" si="202"/>
        <v>0</v>
      </c>
      <c r="BP598" s="37">
        <v>9</v>
      </c>
      <c r="BQ598" s="37">
        <v>0</v>
      </c>
      <c r="BR598" s="37">
        <v>0</v>
      </c>
      <c r="BS598" s="37">
        <v>0</v>
      </c>
      <c r="BT598" s="87">
        <f t="shared" si="203"/>
        <v>57</v>
      </c>
      <c r="BU598" s="87"/>
      <c r="BV598" s="87"/>
      <c r="BW598" s="87"/>
      <c r="BX598" s="87"/>
      <c r="BY598" s="87"/>
      <c r="BZ598" s="87"/>
      <c r="CA598" s="87"/>
      <c r="CB598" s="87"/>
      <c r="CC598" s="87"/>
      <c r="CD598" s="87"/>
      <c r="CF598" s="67">
        <f t="shared" si="204"/>
        <v>513</v>
      </c>
      <c r="CG598" s="67">
        <f t="shared" si="208"/>
        <v>0</v>
      </c>
      <c r="CH598" s="67">
        <f t="shared" si="218"/>
        <v>0</v>
      </c>
      <c r="CI598" s="67">
        <f t="shared" si="216"/>
        <v>0</v>
      </c>
      <c r="CJ598" s="37">
        <f t="shared" si="212"/>
        <v>171</v>
      </c>
      <c r="CK598" s="37">
        <f t="shared" si="213"/>
        <v>0</v>
      </c>
      <c r="CL598" s="37">
        <f t="shared" si="214"/>
        <v>0</v>
      </c>
      <c r="CM598" s="37">
        <f t="shared" si="215"/>
        <v>0</v>
      </c>
    </row>
    <row r="599" spans="2:91" ht="45">
      <c r="B599" s="156">
        <v>586</v>
      </c>
      <c r="C599" s="169">
        <v>303</v>
      </c>
      <c r="D599" s="169">
        <v>256</v>
      </c>
      <c r="E599" s="170">
        <v>0.80208333333333337</v>
      </c>
      <c r="F599" s="170">
        <v>0.83680555555555547</v>
      </c>
      <c r="G599" s="171" t="s">
        <v>3</v>
      </c>
      <c r="H599" s="160" t="s">
        <v>203</v>
      </c>
      <c r="I599" s="169">
        <v>23</v>
      </c>
      <c r="J599" s="172">
        <v>30</v>
      </c>
      <c r="K599" s="165">
        <v>202</v>
      </c>
      <c r="L599" s="166">
        <f t="shared" si="217"/>
        <v>4646</v>
      </c>
      <c r="M599" s="167" t="s">
        <v>761</v>
      </c>
      <c r="N599" s="154" t="s">
        <v>838</v>
      </c>
      <c r="O599" s="154">
        <v>57</v>
      </c>
      <c r="P599" s="154" t="s">
        <v>1941</v>
      </c>
      <c r="Q599" s="154">
        <v>58</v>
      </c>
      <c r="R599" s="270" t="s">
        <v>2063</v>
      </c>
      <c r="S599" s="270">
        <v>44</v>
      </c>
      <c r="T599" s="45">
        <v>1</v>
      </c>
      <c r="U599" s="45" t="s">
        <v>1336</v>
      </c>
      <c r="V599" s="45">
        <v>3790</v>
      </c>
      <c r="W599" s="45" t="s">
        <v>1608</v>
      </c>
      <c r="X599" s="99">
        <v>44816</v>
      </c>
      <c r="Y599" s="99">
        <v>45100</v>
      </c>
      <c r="Z599" s="99"/>
      <c r="AA599" s="99"/>
      <c r="AB599" s="41" t="s">
        <v>1120</v>
      </c>
      <c r="AC599" s="41"/>
      <c r="AD599" s="42" t="s">
        <v>734</v>
      </c>
      <c r="AE599" s="42"/>
      <c r="AF599" s="42" t="s">
        <v>734</v>
      </c>
      <c r="AG599" s="42"/>
      <c r="AH599" s="42" t="s">
        <v>734</v>
      </c>
      <c r="AI599" s="42" t="s">
        <v>734</v>
      </c>
      <c r="AJ599" s="42" t="s">
        <v>734</v>
      </c>
      <c r="AK599" s="42" t="s">
        <v>734</v>
      </c>
      <c r="AL599" s="42" t="s">
        <v>734</v>
      </c>
      <c r="AM599" s="44"/>
      <c r="AN599" s="44"/>
      <c r="AO599" s="44"/>
      <c r="AP599" s="44"/>
      <c r="AQ599" s="42"/>
      <c r="AR599" s="42"/>
      <c r="AS599" s="42"/>
      <c r="AT599" s="42"/>
      <c r="AU599" s="42"/>
      <c r="AV599" s="42"/>
      <c r="AW599" s="42"/>
      <c r="AY599" s="67">
        <f>3.2*23</f>
        <v>73.600000000000009</v>
      </c>
      <c r="AZ599" s="75"/>
      <c r="BA599" s="75"/>
      <c r="BB599" s="75"/>
      <c r="BC599" s="75"/>
      <c r="BD599" s="67">
        <f t="shared" si="219"/>
        <v>0</v>
      </c>
      <c r="BE599" s="67">
        <f>AY599*K599</f>
        <v>14867.200000000003</v>
      </c>
      <c r="BF599" s="75"/>
      <c r="BG599" s="73">
        <v>1</v>
      </c>
      <c r="BI599" s="67"/>
      <c r="BJ599" s="37"/>
      <c r="BK599" s="67">
        <f>IF(AND((AY599/I599)&lt;2,BG599=1),(I599*2)-AY599,0)</f>
        <v>0</v>
      </c>
      <c r="BL599" s="67">
        <f>IF(AND((AY599/I599)&lt;3,BG599=2),(I599*3)-AY599,0)</f>
        <v>0</v>
      </c>
      <c r="BM599" s="70">
        <f>(BK599+BL599)*K599</f>
        <v>0</v>
      </c>
      <c r="BN599" s="37"/>
      <c r="BO599" s="70">
        <f t="shared" si="202"/>
        <v>0</v>
      </c>
      <c r="BP599" s="37">
        <v>15</v>
      </c>
      <c r="BQ599" s="37">
        <v>21</v>
      </c>
      <c r="BR599" s="37">
        <v>21</v>
      </c>
      <c r="BS599" s="37">
        <v>20</v>
      </c>
      <c r="BT599" s="87">
        <f t="shared" si="203"/>
        <v>73.600000000000009</v>
      </c>
      <c r="BU599" s="87"/>
      <c r="BV599" s="87"/>
      <c r="BW599" s="87"/>
      <c r="BX599" s="87"/>
      <c r="BY599" s="87"/>
      <c r="BZ599" s="87"/>
      <c r="CA599" s="87"/>
      <c r="CB599" s="87"/>
      <c r="CC599" s="87"/>
      <c r="CD599" s="87"/>
      <c r="CF599" s="67">
        <f t="shared" si="204"/>
        <v>1104.0000000000002</v>
      </c>
      <c r="CG599" s="67">
        <f t="shared" si="208"/>
        <v>1545.6000000000001</v>
      </c>
      <c r="CH599" s="67">
        <f t="shared" si="218"/>
        <v>1545.6000000000001</v>
      </c>
      <c r="CI599" s="67">
        <f t="shared" si="216"/>
        <v>1472.0000000000002</v>
      </c>
      <c r="CJ599" s="37">
        <f t="shared" si="212"/>
        <v>345</v>
      </c>
      <c r="CK599" s="37">
        <f t="shared" si="213"/>
        <v>483</v>
      </c>
      <c r="CL599" s="37">
        <f t="shared" si="214"/>
        <v>483</v>
      </c>
      <c r="CM599" s="37">
        <f t="shared" si="215"/>
        <v>460</v>
      </c>
    </row>
    <row r="600" spans="2:91" ht="25.5">
      <c r="B600" s="156">
        <v>587</v>
      </c>
      <c r="C600" s="160">
        <v>305</v>
      </c>
      <c r="D600" s="160">
        <v>306</v>
      </c>
      <c r="E600" s="193">
        <v>0.26041666666666669</v>
      </c>
      <c r="F600" s="193">
        <v>0.26805555555555555</v>
      </c>
      <c r="G600" s="206" t="s">
        <v>1090</v>
      </c>
      <c r="H600" s="160" t="s">
        <v>97</v>
      </c>
      <c r="I600" s="163">
        <v>9</v>
      </c>
      <c r="J600" s="164" t="s">
        <v>309</v>
      </c>
      <c r="K600" s="165">
        <v>208</v>
      </c>
      <c r="L600" s="166">
        <f t="shared" si="217"/>
        <v>1872</v>
      </c>
      <c r="M600" s="177" t="s">
        <v>762</v>
      </c>
      <c r="N600" s="154" t="s">
        <v>832</v>
      </c>
      <c r="O600" s="154">
        <v>7</v>
      </c>
      <c r="P600" s="154" t="s">
        <v>1942</v>
      </c>
      <c r="Q600" s="154">
        <v>5</v>
      </c>
      <c r="R600" s="154"/>
      <c r="S600" s="154"/>
      <c r="T600" s="45">
        <v>3409</v>
      </c>
      <c r="U600" s="45" t="s">
        <v>1624</v>
      </c>
      <c r="V600" s="45">
        <v>3407</v>
      </c>
      <c r="W600" s="45" t="s">
        <v>1625</v>
      </c>
      <c r="X600" s="98">
        <v>44816</v>
      </c>
      <c r="Y600" s="98">
        <v>45086</v>
      </c>
      <c r="Z600" s="98"/>
      <c r="AA600" s="98"/>
      <c r="AB600" s="41" t="s">
        <v>1118</v>
      </c>
      <c r="AC600" s="41"/>
      <c r="AD600" s="44"/>
      <c r="AE600" s="44"/>
      <c r="AF600" s="44"/>
      <c r="AG600" s="42" t="s">
        <v>734</v>
      </c>
      <c r="AH600" s="42" t="s">
        <v>734</v>
      </c>
      <c r="AI600" s="42" t="s">
        <v>734</v>
      </c>
      <c r="AJ600" s="42" t="s">
        <v>734</v>
      </c>
      <c r="AK600" s="42" t="s">
        <v>734</v>
      </c>
      <c r="AL600" s="42" t="s">
        <v>734</v>
      </c>
      <c r="AM600" s="42" t="s">
        <v>734</v>
      </c>
      <c r="AN600" s="44"/>
      <c r="AO600" s="44"/>
      <c r="AP600" s="44"/>
      <c r="AQ600" s="44"/>
      <c r="AR600" s="42"/>
      <c r="AS600" s="42"/>
      <c r="AT600" s="42"/>
      <c r="AU600" s="42"/>
      <c r="AV600" s="42"/>
      <c r="AW600" s="42"/>
      <c r="AX600" s="68">
        <v>26.33</v>
      </c>
      <c r="AY600" s="75"/>
      <c r="AZ600" s="75"/>
      <c r="BA600" s="68"/>
      <c r="BB600" s="68"/>
      <c r="BC600" s="75"/>
      <c r="BD600" s="67">
        <f t="shared" si="219"/>
        <v>5476.6399999999994</v>
      </c>
      <c r="BE600" s="67"/>
      <c r="BF600" s="75"/>
      <c r="BG600" s="73">
        <v>1</v>
      </c>
      <c r="BH600" s="67">
        <f>IF(AND((AX600/I600)&lt;2,BG600=1),(I600*2)-AX600,0)</f>
        <v>0</v>
      </c>
      <c r="BI600" s="67">
        <f>IF(AND((AX600/I600)&lt;3,BG600=2),(I600*3)-AX600,0)</f>
        <v>0</v>
      </c>
      <c r="BJ600" s="70">
        <f>(BH600+BI600)*K600</f>
        <v>0</v>
      </c>
      <c r="BN600" s="67">
        <f>IF((AX600+AY600+AZ600)&lt;20,(20-(AX600+AY600+AZ600)),0)</f>
        <v>0</v>
      </c>
      <c r="BO600" s="70">
        <f t="shared" si="202"/>
        <v>0</v>
      </c>
      <c r="BP600" s="37">
        <v>17</v>
      </c>
      <c r="BQ600" s="37">
        <v>25</v>
      </c>
      <c r="BR600" s="37">
        <v>25</v>
      </c>
      <c r="BS600" s="37">
        <v>18</v>
      </c>
      <c r="BT600" s="87">
        <f t="shared" si="203"/>
        <v>26.33</v>
      </c>
      <c r="BU600" s="87"/>
      <c r="BV600" s="87"/>
      <c r="BW600" s="87"/>
      <c r="BX600" s="87"/>
      <c r="BY600" s="87"/>
      <c r="BZ600" s="87"/>
      <c r="CA600" s="87"/>
      <c r="CB600" s="87"/>
      <c r="CC600" s="87"/>
      <c r="CD600" s="87"/>
      <c r="CF600" s="67">
        <f t="shared" si="204"/>
        <v>447.60999999999996</v>
      </c>
      <c r="CG600" s="67">
        <f t="shared" si="208"/>
        <v>658.25</v>
      </c>
      <c r="CH600" s="67">
        <f t="shared" si="218"/>
        <v>658.25</v>
      </c>
      <c r="CI600" s="67">
        <f t="shared" si="216"/>
        <v>473.93999999999994</v>
      </c>
      <c r="CJ600" s="37">
        <f t="shared" si="212"/>
        <v>153</v>
      </c>
      <c r="CK600" s="37">
        <f t="shared" si="213"/>
        <v>225</v>
      </c>
      <c r="CL600" s="37">
        <f t="shared" si="214"/>
        <v>225</v>
      </c>
      <c r="CM600" s="37">
        <f t="shared" si="215"/>
        <v>162</v>
      </c>
    </row>
    <row r="601" spans="2:91" ht="33.75">
      <c r="B601" s="156">
        <v>588</v>
      </c>
      <c r="C601" s="160">
        <v>305</v>
      </c>
      <c r="D601" s="160">
        <v>508</v>
      </c>
      <c r="E601" s="161">
        <v>0.57986111111111105</v>
      </c>
      <c r="F601" s="161">
        <v>0.59513888888888888</v>
      </c>
      <c r="G601" s="160" t="s">
        <v>384</v>
      </c>
      <c r="H601" s="160" t="s">
        <v>253</v>
      </c>
      <c r="I601" s="163">
        <v>11</v>
      </c>
      <c r="J601" s="164" t="s">
        <v>93</v>
      </c>
      <c r="K601" s="165">
        <v>34</v>
      </c>
      <c r="L601" s="166">
        <f t="shared" si="217"/>
        <v>374</v>
      </c>
      <c r="M601" s="177" t="s">
        <v>763</v>
      </c>
      <c r="N601" s="154" t="s">
        <v>841</v>
      </c>
      <c r="O601" s="154">
        <v>21</v>
      </c>
      <c r="P601" s="154" t="s">
        <v>1943</v>
      </c>
      <c r="Q601" s="154">
        <v>29</v>
      </c>
      <c r="R601" s="154"/>
      <c r="S601" s="154"/>
      <c r="T601" s="45" t="s">
        <v>1626</v>
      </c>
      <c r="U601" s="45" t="s">
        <v>1627</v>
      </c>
      <c r="V601" s="45">
        <v>3407</v>
      </c>
      <c r="W601" s="45" t="s">
        <v>1625</v>
      </c>
      <c r="X601" s="98">
        <v>44816</v>
      </c>
      <c r="Y601" s="98">
        <v>45086</v>
      </c>
      <c r="Z601" s="98"/>
      <c r="AA601" s="98"/>
      <c r="AB601" s="42" t="s">
        <v>1123</v>
      </c>
      <c r="AC601" s="42"/>
      <c r="AD601" s="44"/>
      <c r="AE601" s="44"/>
      <c r="AF601" s="44"/>
      <c r="AG601" s="42" t="s">
        <v>734</v>
      </c>
      <c r="AH601" s="42"/>
      <c r="AI601" s="42"/>
      <c r="AJ601" s="42"/>
      <c r="AK601" s="42"/>
      <c r="AL601" s="42"/>
      <c r="AM601" s="42" t="s">
        <v>734</v>
      </c>
      <c r="AN601" s="44"/>
      <c r="AO601" s="44"/>
      <c r="AP601" s="44"/>
      <c r="AQ601" s="44"/>
      <c r="AR601" s="44"/>
      <c r="AS601" s="44"/>
      <c r="AT601" s="44"/>
      <c r="AU601" s="44"/>
      <c r="AV601" s="44"/>
      <c r="AW601" s="44"/>
      <c r="AX601" s="71">
        <v>34.58</v>
      </c>
      <c r="AY601" s="75"/>
      <c r="AZ601" s="75"/>
      <c r="BA601" s="68"/>
      <c r="BB601" s="68"/>
      <c r="BC601" s="75"/>
      <c r="BD601" s="67">
        <f t="shared" si="219"/>
        <v>1175.72</v>
      </c>
      <c r="BE601" s="67"/>
      <c r="BF601" s="75"/>
      <c r="BG601" s="73">
        <v>1</v>
      </c>
      <c r="BH601" s="71"/>
      <c r="BI601" s="71"/>
      <c r="BJ601" s="72"/>
      <c r="BN601" s="37"/>
      <c r="BO601" s="70">
        <f t="shared" si="202"/>
        <v>0</v>
      </c>
      <c r="BP601" s="37">
        <v>2</v>
      </c>
      <c r="BQ601" s="37">
        <v>5</v>
      </c>
      <c r="BR601" s="37">
        <v>4</v>
      </c>
      <c r="BS601" s="37">
        <v>3</v>
      </c>
      <c r="BT601" s="87">
        <f t="shared" si="203"/>
        <v>34.58</v>
      </c>
      <c r="BU601" s="87"/>
      <c r="BV601" s="87"/>
      <c r="BW601" s="87"/>
      <c r="BX601" s="87"/>
      <c r="BY601" s="87"/>
      <c r="BZ601" s="87"/>
      <c r="CA601" s="87"/>
      <c r="CB601" s="87"/>
      <c r="CC601" s="87"/>
      <c r="CD601" s="87"/>
      <c r="CF601" s="67">
        <f t="shared" si="204"/>
        <v>69.16</v>
      </c>
      <c r="CG601" s="67">
        <f t="shared" si="208"/>
        <v>172.89999999999998</v>
      </c>
      <c r="CH601" s="67">
        <f t="shared" si="218"/>
        <v>138.32</v>
      </c>
      <c r="CI601" s="67">
        <f t="shared" si="216"/>
        <v>103.74</v>
      </c>
      <c r="CJ601" s="37">
        <f t="shared" si="212"/>
        <v>22</v>
      </c>
      <c r="CK601" s="37">
        <f t="shared" si="213"/>
        <v>55</v>
      </c>
      <c r="CL601" s="37">
        <f t="shared" si="214"/>
        <v>44</v>
      </c>
      <c r="CM601" s="37">
        <f t="shared" si="215"/>
        <v>33</v>
      </c>
    </row>
    <row r="602" spans="2:91" ht="33.75">
      <c r="B602" s="156">
        <v>589</v>
      </c>
      <c r="C602" s="160">
        <v>305</v>
      </c>
      <c r="D602" s="160">
        <v>510</v>
      </c>
      <c r="E602" s="161">
        <v>0.58680555555555558</v>
      </c>
      <c r="F602" s="173">
        <v>0.59097222222222223</v>
      </c>
      <c r="G602" s="160" t="s">
        <v>383</v>
      </c>
      <c r="H602" s="160" t="s">
        <v>103</v>
      </c>
      <c r="I602" s="163">
        <v>2.5</v>
      </c>
      <c r="J602" s="164" t="s">
        <v>93</v>
      </c>
      <c r="K602" s="165">
        <v>174</v>
      </c>
      <c r="L602" s="166">
        <f t="shared" si="217"/>
        <v>435</v>
      </c>
      <c r="M602" s="177" t="s">
        <v>763</v>
      </c>
      <c r="N602" s="154" t="s">
        <v>841</v>
      </c>
      <c r="O602" s="154">
        <v>21</v>
      </c>
      <c r="P602" s="154" t="s">
        <v>1943</v>
      </c>
      <c r="Q602" s="154">
        <v>29</v>
      </c>
      <c r="R602" s="154"/>
      <c r="S602" s="154"/>
      <c r="T602" s="45">
        <v>3542</v>
      </c>
      <c r="U602" s="45" t="s">
        <v>1628</v>
      </c>
      <c r="V602" s="45">
        <v>3310</v>
      </c>
      <c r="W602" s="45" t="s">
        <v>1629</v>
      </c>
      <c r="X602" s="98">
        <v>44816</v>
      </c>
      <c r="Y602" s="98">
        <v>45086</v>
      </c>
      <c r="Z602" s="98"/>
      <c r="AA602" s="98"/>
      <c r="AB602" s="41" t="s">
        <v>1114</v>
      </c>
      <c r="AC602" s="41"/>
      <c r="AD602" s="44"/>
      <c r="AE602" s="44"/>
      <c r="AF602" s="44"/>
      <c r="AG602" s="42" t="s">
        <v>734</v>
      </c>
      <c r="AH602" s="42" t="s">
        <v>734</v>
      </c>
      <c r="AI602" s="42" t="s">
        <v>734</v>
      </c>
      <c r="AJ602" s="42" t="s">
        <v>734</v>
      </c>
      <c r="AK602" s="42" t="s">
        <v>734</v>
      </c>
      <c r="AL602" s="42" t="s">
        <v>734</v>
      </c>
      <c r="AM602" s="44"/>
      <c r="AN602" s="44"/>
      <c r="AO602" s="44"/>
      <c r="AP602" s="44"/>
      <c r="AQ602" s="44"/>
      <c r="AR602" s="42"/>
      <c r="AS602" s="42"/>
      <c r="AT602" s="42"/>
      <c r="AU602" s="42"/>
      <c r="AV602" s="42"/>
      <c r="AW602" s="44"/>
      <c r="AX602" s="71">
        <v>4.5</v>
      </c>
      <c r="AY602" s="75"/>
      <c r="AZ602" s="75"/>
      <c r="BA602" s="68"/>
      <c r="BB602" s="68"/>
      <c r="BC602" s="75"/>
      <c r="BD602" s="67">
        <f t="shared" si="219"/>
        <v>783</v>
      </c>
      <c r="BE602" s="67"/>
      <c r="BF602" s="75"/>
      <c r="BG602" s="73">
        <v>1</v>
      </c>
      <c r="BH602" s="71"/>
      <c r="BI602" s="71"/>
      <c r="BJ602" s="71"/>
      <c r="BN602" s="37"/>
      <c r="BO602" s="70">
        <f t="shared" si="202"/>
        <v>0</v>
      </c>
      <c r="BP602" s="37">
        <v>15</v>
      </c>
      <c r="BQ602" s="37">
        <v>20</v>
      </c>
      <c r="BR602" s="37">
        <v>21</v>
      </c>
      <c r="BS602" s="37">
        <v>15</v>
      </c>
      <c r="BT602" s="87">
        <f t="shared" si="203"/>
        <v>4.5</v>
      </c>
      <c r="BU602" s="87"/>
      <c r="BV602" s="87"/>
      <c r="BW602" s="87"/>
      <c r="BX602" s="87"/>
      <c r="BY602" s="87"/>
      <c r="BZ602" s="87"/>
      <c r="CA602" s="87"/>
      <c r="CB602" s="87"/>
      <c r="CC602" s="87"/>
      <c r="CD602" s="87"/>
      <c r="CF602" s="67">
        <f t="shared" si="204"/>
        <v>67.5</v>
      </c>
      <c r="CG602" s="67">
        <f t="shared" si="208"/>
        <v>90</v>
      </c>
      <c r="CH602" s="67">
        <f t="shared" si="218"/>
        <v>94.5</v>
      </c>
      <c r="CI602" s="67">
        <f t="shared" si="216"/>
        <v>67.5</v>
      </c>
      <c r="CJ602" s="37">
        <f t="shared" si="212"/>
        <v>37.5</v>
      </c>
      <c r="CK602" s="37">
        <f t="shared" si="213"/>
        <v>50</v>
      </c>
      <c r="CL602" s="37">
        <f t="shared" si="214"/>
        <v>52.5</v>
      </c>
      <c r="CM602" s="37">
        <f t="shared" si="215"/>
        <v>37.5</v>
      </c>
    </row>
    <row r="603" spans="2:91" ht="33.75">
      <c r="B603" s="156">
        <v>590</v>
      </c>
      <c r="C603" s="160">
        <v>305</v>
      </c>
      <c r="D603" s="160">
        <v>508</v>
      </c>
      <c r="E603" s="161">
        <v>0.59583333333333333</v>
      </c>
      <c r="F603" s="161">
        <v>0.61111111111111105</v>
      </c>
      <c r="G603" s="160" t="s">
        <v>384</v>
      </c>
      <c r="H603" s="160" t="s">
        <v>103</v>
      </c>
      <c r="I603" s="163">
        <v>11</v>
      </c>
      <c r="J603" s="164" t="s">
        <v>93</v>
      </c>
      <c r="K603" s="165">
        <v>174</v>
      </c>
      <c r="L603" s="166">
        <f t="shared" si="217"/>
        <v>1914</v>
      </c>
      <c r="M603" s="177" t="s">
        <v>763</v>
      </c>
      <c r="N603" s="150" t="s">
        <v>841</v>
      </c>
      <c r="O603" s="150">
        <v>21</v>
      </c>
      <c r="P603" s="154" t="s">
        <v>1943</v>
      </c>
      <c r="Q603" s="154">
        <v>29</v>
      </c>
      <c r="R603" s="154"/>
      <c r="S603" s="150"/>
      <c r="T603" s="45" t="s">
        <v>1626</v>
      </c>
      <c r="U603" s="45" t="s">
        <v>1627</v>
      </c>
      <c r="V603" s="45">
        <v>3407</v>
      </c>
      <c r="W603" s="45" t="s">
        <v>1625</v>
      </c>
      <c r="X603" s="98">
        <v>44816</v>
      </c>
      <c r="Y603" s="98">
        <v>45086</v>
      </c>
      <c r="Z603" s="98"/>
      <c r="AA603" s="98"/>
      <c r="AB603" s="41" t="s">
        <v>1114</v>
      </c>
      <c r="AC603" s="41"/>
      <c r="AD603" s="44"/>
      <c r="AE603" s="44"/>
      <c r="AF603" s="44"/>
      <c r="AG603" s="42" t="s">
        <v>734</v>
      </c>
      <c r="AH603" s="42" t="s">
        <v>734</v>
      </c>
      <c r="AI603" s="42" t="s">
        <v>734</v>
      </c>
      <c r="AJ603" s="42" t="s">
        <v>734</v>
      </c>
      <c r="AK603" s="42" t="s">
        <v>734</v>
      </c>
      <c r="AL603" s="42" t="s">
        <v>734</v>
      </c>
      <c r="AM603" s="44"/>
      <c r="AN603" s="44"/>
      <c r="AO603" s="44"/>
      <c r="AP603" s="44"/>
      <c r="AQ603" s="44"/>
      <c r="AR603" s="42"/>
      <c r="AS603" s="42"/>
      <c r="AT603" s="42"/>
      <c r="AU603" s="42"/>
      <c r="AV603" s="42"/>
      <c r="AW603" s="44"/>
      <c r="AX603" s="68">
        <v>34.58</v>
      </c>
      <c r="AY603" s="75"/>
      <c r="AZ603" s="75"/>
      <c r="BA603" s="68"/>
      <c r="BB603" s="68"/>
      <c r="BC603" s="75"/>
      <c r="BD603" s="67">
        <f t="shared" si="219"/>
        <v>6016.92</v>
      </c>
      <c r="BE603" s="67"/>
      <c r="BF603" s="75"/>
      <c r="BG603" s="73">
        <v>1</v>
      </c>
      <c r="BH603" s="67">
        <f t="shared" ref="BH603:BH627" si="220">IF(AND((AX603/I603)&lt;2,BG603=1),(I603*2)-AX603,0)</f>
        <v>0</v>
      </c>
      <c r="BI603" s="67">
        <f t="shared" ref="BI603:BI627" si="221">IF(AND((AX603/I603)&lt;3,BG603=2),(I603*3)-AX603,0)</f>
        <v>0</v>
      </c>
      <c r="BJ603" s="70">
        <f t="shared" ref="BJ603:BJ627" si="222">(BH603+BI603)*K603</f>
        <v>0</v>
      </c>
      <c r="BN603" s="37"/>
      <c r="BO603" s="70">
        <f t="shared" si="202"/>
        <v>0</v>
      </c>
      <c r="BP603" s="37">
        <v>15</v>
      </c>
      <c r="BQ603" s="37">
        <v>20</v>
      </c>
      <c r="BR603" s="37">
        <v>21</v>
      </c>
      <c r="BS603" s="37">
        <v>15</v>
      </c>
      <c r="BT603" s="87">
        <f t="shared" si="203"/>
        <v>34.58</v>
      </c>
      <c r="BU603" s="87"/>
      <c r="BV603" s="87"/>
      <c r="BW603" s="87"/>
      <c r="BX603" s="87"/>
      <c r="BY603" s="87"/>
      <c r="BZ603" s="87"/>
      <c r="CA603" s="87"/>
      <c r="CB603" s="87"/>
      <c r="CC603" s="87"/>
      <c r="CD603" s="87"/>
      <c r="CF603" s="67">
        <f t="shared" si="204"/>
        <v>518.69999999999993</v>
      </c>
      <c r="CG603" s="67">
        <f t="shared" si="208"/>
        <v>691.59999999999991</v>
      </c>
      <c r="CH603" s="67">
        <f t="shared" si="218"/>
        <v>726.18</v>
      </c>
      <c r="CI603" s="67">
        <f t="shared" si="216"/>
        <v>518.69999999999993</v>
      </c>
      <c r="CJ603" s="37">
        <f t="shared" si="212"/>
        <v>165</v>
      </c>
      <c r="CK603" s="37">
        <f t="shared" si="213"/>
        <v>220</v>
      </c>
      <c r="CL603" s="37">
        <f t="shared" si="214"/>
        <v>231</v>
      </c>
      <c r="CM603" s="37">
        <f t="shared" si="215"/>
        <v>165</v>
      </c>
    </row>
    <row r="604" spans="2:91" ht="25.5">
      <c r="B604" s="156">
        <v>591</v>
      </c>
      <c r="C604" s="160">
        <v>306</v>
      </c>
      <c r="D604" s="160">
        <v>467</v>
      </c>
      <c r="E604" s="161">
        <v>0.28819444444444448</v>
      </c>
      <c r="F604" s="173">
        <v>0.2986111111111111</v>
      </c>
      <c r="G604" s="160" t="s">
        <v>139</v>
      </c>
      <c r="H604" s="160" t="s">
        <v>97</v>
      </c>
      <c r="I604" s="163">
        <v>5</v>
      </c>
      <c r="J604" s="164" t="s">
        <v>93</v>
      </c>
      <c r="K604" s="165">
        <v>208</v>
      </c>
      <c r="L604" s="166">
        <f t="shared" si="217"/>
        <v>1040</v>
      </c>
      <c r="M604" s="177" t="s">
        <v>764</v>
      </c>
      <c r="N604" s="3" t="s">
        <v>1091</v>
      </c>
      <c r="O604" s="3">
        <v>23</v>
      </c>
      <c r="P604" s="154" t="s">
        <v>1978</v>
      </c>
      <c r="Q604" s="154">
        <v>33</v>
      </c>
      <c r="T604" s="45">
        <v>3051</v>
      </c>
      <c r="U604" s="45" t="s">
        <v>1630</v>
      </c>
      <c r="V604" s="45">
        <v>3042</v>
      </c>
      <c r="W604" s="45" t="s">
        <v>1631</v>
      </c>
      <c r="X604" s="98">
        <v>44816</v>
      </c>
      <c r="Y604" s="98">
        <v>45086</v>
      </c>
      <c r="Z604" s="98"/>
      <c r="AA604" s="98"/>
      <c r="AB604" s="41" t="s">
        <v>1118</v>
      </c>
      <c r="AC604" s="41"/>
      <c r="AD604" s="44"/>
      <c r="AE604" s="44"/>
      <c r="AF604" s="44"/>
      <c r="AG604" s="42" t="s">
        <v>734</v>
      </c>
      <c r="AH604" s="42" t="s">
        <v>734</v>
      </c>
      <c r="AI604" s="42" t="s">
        <v>734</v>
      </c>
      <c r="AJ604" s="42" t="s">
        <v>734</v>
      </c>
      <c r="AK604" s="42" t="s">
        <v>734</v>
      </c>
      <c r="AL604" s="42" t="s">
        <v>734</v>
      </c>
      <c r="AM604" s="42" t="s">
        <v>734</v>
      </c>
      <c r="AN604" s="44"/>
      <c r="AO604" s="44"/>
      <c r="AP604" s="44"/>
      <c r="AQ604" s="44"/>
      <c r="AR604" s="42"/>
      <c r="AS604" s="42"/>
      <c r="AT604" s="42"/>
      <c r="AU604" s="42"/>
      <c r="AV604" s="42"/>
      <c r="AW604" s="42"/>
      <c r="AX604" s="68">
        <v>75.430000000000007</v>
      </c>
      <c r="AY604" s="75"/>
      <c r="AZ604" s="75"/>
      <c r="BA604" s="68"/>
      <c r="BB604" s="68"/>
      <c r="BC604" s="75"/>
      <c r="BD604" s="67">
        <f t="shared" si="219"/>
        <v>15689.440000000002</v>
      </c>
      <c r="BE604" s="67"/>
      <c r="BF604" s="75"/>
      <c r="BG604" s="73">
        <v>1</v>
      </c>
      <c r="BH604" s="67">
        <f t="shared" si="220"/>
        <v>0</v>
      </c>
      <c r="BI604" s="67">
        <f t="shared" si="221"/>
        <v>0</v>
      </c>
      <c r="BJ604" s="70">
        <f t="shared" si="222"/>
        <v>0</v>
      </c>
      <c r="BN604" s="67">
        <f>IF((AX604+AY604+AZ604)&lt;20,(20-(AX604+AY604+AZ604)),0)</f>
        <v>0</v>
      </c>
      <c r="BO604" s="70">
        <f t="shared" si="202"/>
        <v>0</v>
      </c>
      <c r="BP604" s="37">
        <v>17</v>
      </c>
      <c r="BQ604" s="37">
        <v>25</v>
      </c>
      <c r="BR604" s="37">
        <v>25</v>
      </c>
      <c r="BS604" s="37">
        <v>18</v>
      </c>
      <c r="BT604" s="87">
        <f t="shared" si="203"/>
        <v>75.430000000000007</v>
      </c>
      <c r="BU604" s="87"/>
      <c r="BV604" s="87"/>
      <c r="BW604" s="87"/>
      <c r="BX604" s="87"/>
      <c r="BY604" s="87"/>
      <c r="BZ604" s="87"/>
      <c r="CA604" s="87"/>
      <c r="CB604" s="87"/>
      <c r="CC604" s="87"/>
      <c r="CD604" s="87"/>
      <c r="CF604" s="67">
        <f t="shared" si="204"/>
        <v>1282.3100000000002</v>
      </c>
      <c r="CG604" s="67">
        <f t="shared" si="208"/>
        <v>1885.7500000000002</v>
      </c>
      <c r="CH604" s="67">
        <f t="shared" si="218"/>
        <v>1885.7500000000002</v>
      </c>
      <c r="CI604" s="67">
        <f t="shared" si="216"/>
        <v>1357.7400000000002</v>
      </c>
      <c r="CJ604" s="37">
        <f t="shared" si="212"/>
        <v>85</v>
      </c>
      <c r="CK604" s="37">
        <f t="shared" si="213"/>
        <v>125</v>
      </c>
      <c r="CL604" s="37">
        <f t="shared" si="214"/>
        <v>125</v>
      </c>
      <c r="CM604" s="37">
        <f t="shared" si="215"/>
        <v>90</v>
      </c>
    </row>
    <row r="605" spans="2:91" ht="25.5">
      <c r="B605" s="156">
        <v>592</v>
      </c>
      <c r="C605" s="160">
        <v>306</v>
      </c>
      <c r="D605" s="160">
        <v>51</v>
      </c>
      <c r="E605" s="173">
        <v>0.29305555555555557</v>
      </c>
      <c r="F605" s="173">
        <v>0.31875000000000003</v>
      </c>
      <c r="G605" s="160" t="s">
        <v>334</v>
      </c>
      <c r="H605" s="160" t="s">
        <v>103</v>
      </c>
      <c r="I605" s="163">
        <v>24</v>
      </c>
      <c r="J605" s="164" t="s">
        <v>101</v>
      </c>
      <c r="K605" s="165">
        <v>174</v>
      </c>
      <c r="L605" s="166">
        <f t="shared" si="217"/>
        <v>4176</v>
      </c>
      <c r="M605" s="177" t="s">
        <v>765</v>
      </c>
      <c r="N605" s="150" t="s">
        <v>925</v>
      </c>
      <c r="O605" s="150">
        <v>55</v>
      </c>
      <c r="P605" s="154" t="s">
        <v>1944</v>
      </c>
      <c r="Q605" s="154">
        <v>55</v>
      </c>
      <c r="R605" s="182"/>
      <c r="S605" s="150"/>
      <c r="T605" s="45" t="s">
        <v>1632</v>
      </c>
      <c r="U605" s="45" t="s">
        <v>1633</v>
      </c>
      <c r="V605" s="45" t="s">
        <v>1597</v>
      </c>
      <c r="W605" s="45" t="s">
        <v>1596</v>
      </c>
      <c r="X605" s="98">
        <v>44816</v>
      </c>
      <c r="Y605" s="98">
        <v>45086</v>
      </c>
      <c r="Z605" s="98"/>
      <c r="AA605" s="98"/>
      <c r="AB605" s="41" t="s">
        <v>1114</v>
      </c>
      <c r="AC605" s="41"/>
      <c r="AD605" s="44"/>
      <c r="AE605" s="44"/>
      <c r="AF605" s="44"/>
      <c r="AG605" s="42" t="s">
        <v>734</v>
      </c>
      <c r="AH605" s="42" t="s">
        <v>734</v>
      </c>
      <c r="AI605" s="42" t="s">
        <v>734</v>
      </c>
      <c r="AJ605" s="42" t="s">
        <v>734</v>
      </c>
      <c r="AK605" s="42" t="s">
        <v>734</v>
      </c>
      <c r="AL605" s="42" t="s">
        <v>734</v>
      </c>
      <c r="AM605" s="44"/>
      <c r="AN605" s="44"/>
      <c r="AO605" s="44"/>
      <c r="AP605" s="44"/>
      <c r="AQ605" s="44"/>
      <c r="AR605" s="42"/>
      <c r="AS605" s="42"/>
      <c r="AT605" s="42"/>
      <c r="AU605" s="42"/>
      <c r="AV605" s="42"/>
      <c r="AW605" s="44"/>
      <c r="AX605" s="68">
        <v>220</v>
      </c>
      <c r="AY605" s="75"/>
      <c r="AZ605" s="75"/>
      <c r="BA605" s="68"/>
      <c r="BB605" s="68"/>
      <c r="BC605" s="75"/>
      <c r="BD605" s="67">
        <f t="shared" si="219"/>
        <v>38280</v>
      </c>
      <c r="BE605" s="67"/>
      <c r="BF605" s="75"/>
      <c r="BG605" s="69">
        <v>2</v>
      </c>
      <c r="BH605" s="67">
        <f t="shared" si="220"/>
        <v>0</v>
      </c>
      <c r="BI605" s="67">
        <f t="shared" si="221"/>
        <v>0</v>
      </c>
      <c r="BJ605" s="70">
        <f t="shared" si="222"/>
        <v>0</v>
      </c>
      <c r="BN605" s="37"/>
      <c r="BO605" s="70">
        <f t="shared" si="202"/>
        <v>0</v>
      </c>
      <c r="BP605" s="37">
        <v>15</v>
      </c>
      <c r="BQ605" s="37">
        <v>20</v>
      </c>
      <c r="BR605" s="37">
        <v>21</v>
      </c>
      <c r="BS605" s="37">
        <v>15</v>
      </c>
      <c r="BT605" s="87">
        <f t="shared" si="203"/>
        <v>220</v>
      </c>
      <c r="BU605" s="87"/>
      <c r="BV605" s="87"/>
      <c r="BW605" s="87"/>
      <c r="BX605" s="87"/>
      <c r="BY605" s="87"/>
      <c r="BZ605" s="87"/>
      <c r="CA605" s="87"/>
      <c r="CB605" s="87"/>
      <c r="CC605" s="87"/>
      <c r="CD605" s="87"/>
      <c r="CF605" s="67">
        <f t="shared" si="204"/>
        <v>3300</v>
      </c>
      <c r="CG605" s="67">
        <f t="shared" si="208"/>
        <v>4400</v>
      </c>
      <c r="CH605" s="67">
        <f t="shared" si="218"/>
        <v>4620</v>
      </c>
      <c r="CI605" s="67">
        <f t="shared" si="216"/>
        <v>3300</v>
      </c>
      <c r="CJ605" s="37">
        <f t="shared" si="212"/>
        <v>360</v>
      </c>
      <c r="CK605" s="37">
        <f t="shared" si="213"/>
        <v>480</v>
      </c>
      <c r="CL605" s="37">
        <f t="shared" si="214"/>
        <v>504</v>
      </c>
      <c r="CM605" s="37">
        <f t="shared" si="215"/>
        <v>360</v>
      </c>
    </row>
    <row r="606" spans="2:91" ht="38.25">
      <c r="B606" s="156">
        <v>593</v>
      </c>
      <c r="C606" s="160">
        <v>306</v>
      </c>
      <c r="D606" s="160">
        <v>469</v>
      </c>
      <c r="E606" s="161">
        <v>0.31944444444444448</v>
      </c>
      <c r="F606" s="173">
        <v>0.34583333333333338</v>
      </c>
      <c r="G606" s="160" t="s">
        <v>137</v>
      </c>
      <c r="H606" s="160" t="s">
        <v>138</v>
      </c>
      <c r="I606" s="163">
        <v>10</v>
      </c>
      <c r="J606" s="164" t="s">
        <v>93</v>
      </c>
      <c r="K606" s="165">
        <v>11</v>
      </c>
      <c r="L606" s="166">
        <f t="shared" si="217"/>
        <v>110</v>
      </c>
      <c r="M606" s="177" t="s">
        <v>764</v>
      </c>
      <c r="N606" s="3" t="s">
        <v>1091</v>
      </c>
      <c r="O606" s="3">
        <v>23</v>
      </c>
      <c r="P606" s="154" t="s">
        <v>929</v>
      </c>
      <c r="Q606" s="154">
        <v>20</v>
      </c>
      <c r="R606" s="154" t="s">
        <v>1978</v>
      </c>
      <c r="S606" s="151">
        <v>33</v>
      </c>
      <c r="T606" s="45">
        <v>3051</v>
      </c>
      <c r="U606" s="45" t="s">
        <v>1630</v>
      </c>
      <c r="V606" s="45" t="s">
        <v>1634</v>
      </c>
      <c r="W606" s="45" t="s">
        <v>1635</v>
      </c>
      <c r="X606" s="99">
        <v>44562</v>
      </c>
      <c r="Y606" s="99">
        <v>44815</v>
      </c>
      <c r="Z606" s="99">
        <v>45101</v>
      </c>
      <c r="AA606" s="99">
        <v>45169</v>
      </c>
      <c r="AB606" s="45" t="s">
        <v>1157</v>
      </c>
      <c r="AC606" s="45"/>
      <c r="AD606" s="44"/>
      <c r="AE606" s="44" t="s">
        <v>734</v>
      </c>
      <c r="AF606" s="44" t="s">
        <v>734</v>
      </c>
      <c r="AG606" s="44"/>
      <c r="AH606" s="44"/>
      <c r="AI606" s="44" t="s">
        <v>734</v>
      </c>
      <c r="AJ606" s="44"/>
      <c r="AK606" s="44"/>
      <c r="AL606" s="44"/>
      <c r="AM606" s="44"/>
      <c r="AN606" s="44"/>
      <c r="AO606" s="44"/>
      <c r="AP606" s="44"/>
      <c r="AQ606" s="44"/>
      <c r="AR606" s="44"/>
      <c r="AS606" s="44"/>
      <c r="AT606" s="44"/>
      <c r="AU606" s="44"/>
      <c r="AV606" s="44"/>
      <c r="AW606" s="44"/>
      <c r="AX606" s="68">
        <v>70.510000000000005</v>
      </c>
      <c r="AY606" s="75"/>
      <c r="AZ606" s="75"/>
      <c r="BA606" s="68"/>
      <c r="BB606" s="68"/>
      <c r="BC606" s="75"/>
      <c r="BD606" s="67">
        <f t="shared" si="219"/>
        <v>775.61</v>
      </c>
      <c r="BE606" s="67"/>
      <c r="BF606" s="75"/>
      <c r="BG606" s="73">
        <v>1</v>
      </c>
      <c r="BH606" s="67">
        <f t="shared" si="220"/>
        <v>0</v>
      </c>
      <c r="BI606" s="67">
        <f t="shared" si="221"/>
        <v>0</v>
      </c>
      <c r="BJ606" s="70">
        <f t="shared" si="222"/>
        <v>0</v>
      </c>
      <c r="BN606" s="37"/>
      <c r="BO606" s="70">
        <f t="shared" si="202"/>
        <v>0</v>
      </c>
      <c r="BP606" s="37">
        <v>1</v>
      </c>
      <c r="BQ606" s="37">
        <v>0</v>
      </c>
      <c r="BR606" s="37">
        <v>0</v>
      </c>
      <c r="BT606" s="87">
        <f t="shared" si="203"/>
        <v>70.510000000000005</v>
      </c>
      <c r="BU606" s="87"/>
      <c r="BV606" s="87"/>
      <c r="BW606" s="87"/>
      <c r="BX606" s="87"/>
      <c r="BY606" s="87"/>
      <c r="BZ606" s="87"/>
      <c r="CA606" s="87"/>
      <c r="CB606" s="87"/>
      <c r="CC606" s="87"/>
      <c r="CD606" s="87"/>
      <c r="CF606" s="67">
        <f t="shared" si="204"/>
        <v>70.510000000000005</v>
      </c>
      <c r="CG606" s="67">
        <f t="shared" si="208"/>
        <v>0</v>
      </c>
      <c r="CH606" s="67">
        <f t="shared" si="218"/>
        <v>0</v>
      </c>
      <c r="CI606" s="67">
        <f t="shared" si="216"/>
        <v>0</v>
      </c>
      <c r="CJ606" s="37">
        <f t="shared" si="212"/>
        <v>10</v>
      </c>
      <c r="CK606" s="37">
        <f t="shared" si="213"/>
        <v>0</v>
      </c>
      <c r="CL606" s="37">
        <f t="shared" si="214"/>
        <v>0</v>
      </c>
      <c r="CM606" s="37">
        <f t="shared" si="215"/>
        <v>0</v>
      </c>
    </row>
    <row r="607" spans="2:91" ht="25.5">
      <c r="B607" s="156">
        <v>594</v>
      </c>
      <c r="C607" s="160">
        <v>306</v>
      </c>
      <c r="D607" s="160">
        <v>469</v>
      </c>
      <c r="E607" s="161">
        <v>0.3263888888888889</v>
      </c>
      <c r="F607" s="173">
        <v>0.3527777777777778</v>
      </c>
      <c r="G607" s="160" t="s">
        <v>137</v>
      </c>
      <c r="H607" s="160" t="s">
        <v>136</v>
      </c>
      <c r="I607" s="163">
        <f>10+2</f>
        <v>12</v>
      </c>
      <c r="J607" s="164" t="s">
        <v>93</v>
      </c>
      <c r="K607" s="165">
        <v>41</v>
      </c>
      <c r="L607" s="166">
        <f t="shared" si="217"/>
        <v>492</v>
      </c>
      <c r="M607" s="177" t="s">
        <v>764</v>
      </c>
      <c r="N607" s="3" t="s">
        <v>1091</v>
      </c>
      <c r="O607" s="3">
        <v>23</v>
      </c>
      <c r="P607" s="154" t="s">
        <v>929</v>
      </c>
      <c r="Q607" s="154">
        <v>20</v>
      </c>
      <c r="R607" s="154" t="s">
        <v>1978</v>
      </c>
      <c r="S607" s="151">
        <v>33</v>
      </c>
      <c r="T607" s="45">
        <v>3051</v>
      </c>
      <c r="U607" s="45" t="s">
        <v>1630</v>
      </c>
      <c r="V607" s="45" t="s">
        <v>1634</v>
      </c>
      <c r="W607" s="45" t="s">
        <v>1635</v>
      </c>
      <c r="X607" s="99">
        <v>44816</v>
      </c>
      <c r="Y607" s="99">
        <v>45100</v>
      </c>
      <c r="Z607" s="99"/>
      <c r="AA607" s="99"/>
      <c r="AB607" s="45" t="s">
        <v>1158</v>
      </c>
      <c r="AC607" s="45"/>
      <c r="AD607" s="42" t="s">
        <v>734</v>
      </c>
      <c r="AE607" s="42"/>
      <c r="AF607" s="42" t="s">
        <v>734</v>
      </c>
      <c r="AG607" s="42"/>
      <c r="AH607" s="42"/>
      <c r="AI607" s="42" t="s">
        <v>734</v>
      </c>
      <c r="AJ607" s="42"/>
      <c r="AK607" s="42"/>
      <c r="AL607" s="42"/>
      <c r="AM607" s="42"/>
      <c r="AN607" s="42"/>
      <c r="AO607" s="42"/>
      <c r="AP607" s="42"/>
      <c r="AQ607" s="42"/>
      <c r="AR607" s="42"/>
      <c r="AS607" s="42"/>
      <c r="AT607" s="42"/>
      <c r="AU607" s="42"/>
      <c r="AV607" s="42"/>
      <c r="AW607" s="42"/>
      <c r="AX607" s="68">
        <v>74.11</v>
      </c>
      <c r="AY607" s="37"/>
      <c r="BA607" s="68"/>
      <c r="BB607" s="68"/>
      <c r="BD607" s="67">
        <f t="shared" si="219"/>
        <v>3038.5099999999998</v>
      </c>
      <c r="BE607" s="67"/>
      <c r="BF607" s="37"/>
      <c r="BG607" s="73">
        <v>1</v>
      </c>
      <c r="BH607" s="67">
        <f t="shared" si="220"/>
        <v>0</v>
      </c>
      <c r="BI607" s="67">
        <f t="shared" si="221"/>
        <v>0</v>
      </c>
      <c r="BJ607" s="70">
        <f t="shared" si="222"/>
        <v>0</v>
      </c>
      <c r="BN607" s="37"/>
      <c r="BO607" s="70">
        <f t="shared" si="202"/>
        <v>0</v>
      </c>
      <c r="BP607" s="37">
        <v>3</v>
      </c>
      <c r="BQ607" s="37">
        <v>4</v>
      </c>
      <c r="BR607" s="37">
        <v>4</v>
      </c>
      <c r="BS607" s="37">
        <v>4</v>
      </c>
      <c r="BT607" s="87">
        <f t="shared" si="203"/>
        <v>74.11</v>
      </c>
      <c r="BU607" s="87"/>
      <c r="BV607" s="87"/>
      <c r="BW607" s="87"/>
      <c r="BX607" s="87"/>
      <c r="BY607" s="87"/>
      <c r="BZ607" s="87"/>
      <c r="CA607" s="87"/>
      <c r="CB607" s="87"/>
      <c r="CC607" s="87"/>
      <c r="CD607" s="87"/>
      <c r="CF607" s="67">
        <f t="shared" si="204"/>
        <v>222.32999999999998</v>
      </c>
      <c r="CG607" s="67">
        <f t="shared" si="208"/>
        <v>296.44</v>
      </c>
      <c r="CH607" s="67">
        <f t="shared" si="218"/>
        <v>296.44</v>
      </c>
      <c r="CI607" s="67">
        <f t="shared" si="216"/>
        <v>296.44</v>
      </c>
      <c r="CJ607" s="37">
        <f t="shared" si="212"/>
        <v>36</v>
      </c>
      <c r="CK607" s="37">
        <f t="shared" si="213"/>
        <v>48</v>
      </c>
      <c r="CL607" s="37">
        <f t="shared" si="214"/>
        <v>48</v>
      </c>
      <c r="CM607" s="37">
        <f t="shared" si="215"/>
        <v>48</v>
      </c>
    </row>
    <row r="608" spans="2:91" ht="25.5">
      <c r="B608" s="156">
        <v>595</v>
      </c>
      <c r="C608" s="160">
        <v>306</v>
      </c>
      <c r="D608" s="160">
        <v>36</v>
      </c>
      <c r="E608" s="161">
        <v>0.33333333333333331</v>
      </c>
      <c r="F608" s="161">
        <v>0.36736111111111108</v>
      </c>
      <c r="G608" s="160" t="s">
        <v>563</v>
      </c>
      <c r="H608" s="160" t="s">
        <v>103</v>
      </c>
      <c r="I608" s="163">
        <v>24</v>
      </c>
      <c r="J608" s="164" t="s">
        <v>101</v>
      </c>
      <c r="K608" s="165">
        <v>174</v>
      </c>
      <c r="L608" s="166">
        <f t="shared" si="217"/>
        <v>4176</v>
      </c>
      <c r="M608" s="177" t="s">
        <v>766</v>
      </c>
      <c r="N608" s="150" t="s">
        <v>972</v>
      </c>
      <c r="O608" s="150">
        <v>37</v>
      </c>
      <c r="P608" s="150" t="s">
        <v>1935</v>
      </c>
      <c r="Q608" s="184">
        <v>58</v>
      </c>
      <c r="R608" s="150" t="s">
        <v>1220</v>
      </c>
      <c r="S608" s="153">
        <v>57</v>
      </c>
      <c r="T608" s="45" t="s">
        <v>1595</v>
      </c>
      <c r="U608" s="45" t="s">
        <v>1596</v>
      </c>
      <c r="V608" s="45" t="s">
        <v>1634</v>
      </c>
      <c r="W608" s="45" t="s">
        <v>1635</v>
      </c>
      <c r="X608" s="98">
        <v>44816</v>
      </c>
      <c r="Y608" s="98">
        <v>45086</v>
      </c>
      <c r="Z608" s="98"/>
      <c r="AA608" s="98"/>
      <c r="AB608" s="41" t="s">
        <v>1114</v>
      </c>
      <c r="AC608" s="41"/>
      <c r="AD608" s="42"/>
      <c r="AE608" s="42"/>
      <c r="AF608" s="42"/>
      <c r="AG608" s="42" t="s">
        <v>734</v>
      </c>
      <c r="AH608" s="42" t="s">
        <v>734</v>
      </c>
      <c r="AI608" s="42" t="s">
        <v>734</v>
      </c>
      <c r="AJ608" s="42" t="s">
        <v>734</v>
      </c>
      <c r="AK608" s="42" t="s">
        <v>734</v>
      </c>
      <c r="AL608" s="42" t="s">
        <v>734</v>
      </c>
      <c r="AM608" s="42"/>
      <c r="AN608" s="42"/>
      <c r="AO608" s="42"/>
      <c r="AP608" s="42"/>
      <c r="AQ608" s="42"/>
      <c r="AR608" s="42"/>
      <c r="AS608" s="42"/>
      <c r="AT608" s="42"/>
      <c r="AU608" s="42"/>
      <c r="AV608" s="42"/>
      <c r="AW608" s="42"/>
      <c r="AX608" s="68">
        <v>150</v>
      </c>
      <c r="AY608" s="37"/>
      <c r="BA608" s="68"/>
      <c r="BB608" s="68"/>
      <c r="BC608" s="37">
        <v>55</v>
      </c>
      <c r="BD608" s="67">
        <f t="shared" si="219"/>
        <v>26100</v>
      </c>
      <c r="BE608" s="67"/>
      <c r="BF608" s="37"/>
      <c r="BG608" s="69">
        <v>2</v>
      </c>
      <c r="BH608" s="67">
        <f t="shared" si="220"/>
        <v>0</v>
      </c>
      <c r="BI608" s="67">
        <f t="shared" si="221"/>
        <v>0</v>
      </c>
      <c r="BJ608" s="70">
        <f t="shared" si="222"/>
        <v>0</v>
      </c>
      <c r="BN608" s="37"/>
      <c r="BO608" s="70">
        <f t="shared" si="202"/>
        <v>0</v>
      </c>
      <c r="BP608" s="37">
        <v>15</v>
      </c>
      <c r="BQ608" s="37">
        <v>20</v>
      </c>
      <c r="BR608" s="37">
        <v>21</v>
      </c>
      <c r="BS608" s="37">
        <v>15</v>
      </c>
      <c r="BT608" s="87">
        <f t="shared" si="203"/>
        <v>150</v>
      </c>
      <c r="BU608" s="116" t="s">
        <v>1114</v>
      </c>
      <c r="BV608" s="116" t="s">
        <v>125</v>
      </c>
      <c r="BW608" s="116"/>
      <c r="BX608" s="116" t="s">
        <v>99</v>
      </c>
      <c r="BY608" s="116"/>
      <c r="BZ608" s="116" t="s">
        <v>2056</v>
      </c>
      <c r="CA608" s="116"/>
      <c r="CB608" s="116" t="s">
        <v>125</v>
      </c>
      <c r="CC608" s="116"/>
      <c r="CD608" s="87">
        <v>70</v>
      </c>
      <c r="CF608" s="67">
        <f t="shared" si="204"/>
        <v>3300</v>
      </c>
      <c r="CG608" s="67">
        <f t="shared" si="208"/>
        <v>4400</v>
      </c>
      <c r="CH608" s="67">
        <f t="shared" si="218"/>
        <v>4620</v>
      </c>
      <c r="CI608" s="67">
        <f t="shared" si="216"/>
        <v>3300</v>
      </c>
      <c r="CJ608" s="37">
        <f t="shared" si="212"/>
        <v>360</v>
      </c>
      <c r="CK608" s="37">
        <f t="shared" si="213"/>
        <v>480</v>
      </c>
      <c r="CL608" s="37">
        <f t="shared" si="214"/>
        <v>504</v>
      </c>
      <c r="CM608" s="37">
        <f t="shared" si="215"/>
        <v>360</v>
      </c>
    </row>
    <row r="609" spans="1:91" ht="25.5">
      <c r="B609" s="156">
        <v>596</v>
      </c>
      <c r="C609" s="160">
        <v>306</v>
      </c>
      <c r="D609" s="162">
        <v>471</v>
      </c>
      <c r="E609" s="161">
        <v>0.4548611111111111</v>
      </c>
      <c r="F609" s="173">
        <v>0.47986111111111113</v>
      </c>
      <c r="G609" s="171" t="s">
        <v>135</v>
      </c>
      <c r="H609" s="160" t="s">
        <v>134</v>
      </c>
      <c r="I609" s="163">
        <f>16+2</f>
        <v>18</v>
      </c>
      <c r="J609" s="164" t="s">
        <v>93</v>
      </c>
      <c r="K609" s="165">
        <f>41+11</f>
        <v>52</v>
      </c>
      <c r="L609" s="166">
        <f t="shared" si="217"/>
        <v>936</v>
      </c>
      <c r="M609" s="177" t="s">
        <v>764</v>
      </c>
      <c r="N609" s="3" t="s">
        <v>1091</v>
      </c>
      <c r="O609" s="3">
        <v>23</v>
      </c>
      <c r="P609" s="154" t="s">
        <v>929</v>
      </c>
      <c r="Q609" s="154">
        <v>20</v>
      </c>
      <c r="R609" s="154" t="s">
        <v>1978</v>
      </c>
      <c r="S609" s="151">
        <v>33</v>
      </c>
      <c r="T609" s="45" t="s">
        <v>1634</v>
      </c>
      <c r="U609" s="45" t="s">
        <v>1635</v>
      </c>
      <c r="V609" s="45">
        <v>3051</v>
      </c>
      <c r="W609" s="45" t="s">
        <v>1630</v>
      </c>
      <c r="X609" s="98">
        <v>44805</v>
      </c>
      <c r="Y609" s="98">
        <v>45169</v>
      </c>
      <c r="Z609" s="98"/>
      <c r="AA609" s="98"/>
      <c r="AB609" s="45" t="s">
        <v>1159</v>
      </c>
      <c r="AC609" s="45"/>
      <c r="AD609" s="42" t="s">
        <v>734</v>
      </c>
      <c r="AE609" s="42" t="s">
        <v>734</v>
      </c>
      <c r="AF609" s="42" t="s">
        <v>734</v>
      </c>
      <c r="AG609" s="42"/>
      <c r="AH609" s="42"/>
      <c r="AI609" s="42" t="s">
        <v>734</v>
      </c>
      <c r="AJ609" s="42"/>
      <c r="AK609" s="42"/>
      <c r="AL609" s="42"/>
      <c r="AM609" s="42"/>
      <c r="AN609" s="42"/>
      <c r="AO609" s="42"/>
      <c r="AP609" s="42"/>
      <c r="AQ609" s="42"/>
      <c r="AR609" s="42"/>
      <c r="AS609" s="42"/>
      <c r="AT609" s="42"/>
      <c r="AU609" s="42"/>
      <c r="AV609" s="42"/>
      <c r="AW609" s="42"/>
      <c r="AX609" s="68">
        <v>74.11</v>
      </c>
      <c r="AY609" s="37"/>
      <c r="BA609" s="68"/>
      <c r="BB609" s="68"/>
      <c r="BD609" s="67">
        <f t="shared" si="219"/>
        <v>3853.72</v>
      </c>
      <c r="BE609" s="67"/>
      <c r="BF609" s="37"/>
      <c r="BG609" s="73">
        <v>1</v>
      </c>
      <c r="BH609" s="67">
        <f t="shared" si="220"/>
        <v>0</v>
      </c>
      <c r="BI609" s="67">
        <f t="shared" si="221"/>
        <v>0</v>
      </c>
      <c r="BJ609" s="70">
        <f t="shared" si="222"/>
        <v>0</v>
      </c>
      <c r="BN609" s="37"/>
      <c r="BO609" s="70">
        <f t="shared" si="202"/>
        <v>0</v>
      </c>
      <c r="BP609" s="37">
        <v>4</v>
      </c>
      <c r="BQ609" s="37">
        <v>4</v>
      </c>
      <c r="BR609" s="37">
        <v>4</v>
      </c>
      <c r="BS609" s="37">
        <v>4</v>
      </c>
      <c r="BT609" s="87">
        <f t="shared" si="203"/>
        <v>74.11</v>
      </c>
      <c r="BU609" s="87"/>
      <c r="BV609" s="87"/>
      <c r="BW609" s="87"/>
      <c r="BX609" s="87"/>
      <c r="BY609" s="87"/>
      <c r="BZ609" s="87"/>
      <c r="CA609" s="87"/>
      <c r="CB609" s="87"/>
      <c r="CC609" s="87"/>
      <c r="CD609" s="87"/>
      <c r="CF609" s="67">
        <f t="shared" si="204"/>
        <v>296.44</v>
      </c>
      <c r="CG609" s="67">
        <f t="shared" si="208"/>
        <v>296.44</v>
      </c>
      <c r="CH609" s="67">
        <f t="shared" si="218"/>
        <v>296.44</v>
      </c>
      <c r="CI609" s="67">
        <f t="shared" si="216"/>
        <v>296.44</v>
      </c>
      <c r="CJ609" s="37">
        <f t="shared" si="212"/>
        <v>72</v>
      </c>
      <c r="CK609" s="37">
        <f t="shared" si="213"/>
        <v>72</v>
      </c>
      <c r="CL609" s="37">
        <f t="shared" si="214"/>
        <v>72</v>
      </c>
      <c r="CM609" s="37">
        <f t="shared" si="215"/>
        <v>72</v>
      </c>
    </row>
    <row r="610" spans="1:91" ht="25.5">
      <c r="B610" s="156">
        <v>597</v>
      </c>
      <c r="C610" s="160">
        <v>306</v>
      </c>
      <c r="D610" s="160">
        <v>57</v>
      </c>
      <c r="E610" s="161">
        <v>0.50347222222222221</v>
      </c>
      <c r="F610" s="161">
        <v>0.53749999999999998</v>
      </c>
      <c r="G610" s="160" t="s">
        <v>517</v>
      </c>
      <c r="H610" s="160" t="s">
        <v>425</v>
      </c>
      <c r="I610" s="163">
        <v>24</v>
      </c>
      <c r="J610" s="164" t="s">
        <v>93</v>
      </c>
      <c r="K610" s="165">
        <v>55</v>
      </c>
      <c r="L610" s="166">
        <f t="shared" si="217"/>
        <v>1320</v>
      </c>
      <c r="M610" s="177" t="s">
        <v>748</v>
      </c>
      <c r="N610" s="150" t="s">
        <v>906</v>
      </c>
      <c r="O610" s="150">
        <v>20</v>
      </c>
      <c r="P610" s="150" t="s">
        <v>909</v>
      </c>
      <c r="Q610" s="150">
        <v>24</v>
      </c>
      <c r="R610" s="150" t="s">
        <v>905</v>
      </c>
      <c r="S610" s="152">
        <v>23</v>
      </c>
      <c r="T610" s="45" t="s">
        <v>1632</v>
      </c>
      <c r="U610" s="45" t="s">
        <v>1633</v>
      </c>
      <c r="V610" s="45" t="s">
        <v>1597</v>
      </c>
      <c r="W610" s="45" t="s">
        <v>1596</v>
      </c>
      <c r="X610" s="99">
        <v>44562</v>
      </c>
      <c r="Y610" s="99">
        <v>44815</v>
      </c>
      <c r="Z610" s="99">
        <v>45101</v>
      </c>
      <c r="AA610" s="99">
        <v>45169</v>
      </c>
      <c r="AB610" s="41" t="s">
        <v>1121</v>
      </c>
      <c r="AC610" s="41"/>
      <c r="AD610" s="42"/>
      <c r="AE610" s="42" t="s">
        <v>734</v>
      </c>
      <c r="AF610" s="42" t="s">
        <v>734</v>
      </c>
      <c r="AG610" s="42"/>
      <c r="AH610" s="42" t="s">
        <v>734</v>
      </c>
      <c r="AI610" s="42" t="s">
        <v>734</v>
      </c>
      <c r="AJ610" s="42" t="s">
        <v>734</v>
      </c>
      <c r="AK610" s="42" t="s">
        <v>734</v>
      </c>
      <c r="AL610" s="42" t="s">
        <v>734</v>
      </c>
      <c r="AM610" s="42"/>
      <c r="AN610" s="42"/>
      <c r="AO610" s="42"/>
      <c r="AP610" s="42"/>
      <c r="AQ610" s="42"/>
      <c r="AR610" s="42"/>
      <c r="AS610" s="42"/>
      <c r="AT610" s="42"/>
      <c r="AU610" s="42"/>
      <c r="AV610" s="42"/>
      <c r="AW610" s="42"/>
      <c r="AX610" s="68">
        <v>72</v>
      </c>
      <c r="AY610" s="37"/>
      <c r="BA610" s="68"/>
      <c r="BB610" s="68"/>
      <c r="BD610" s="67">
        <f t="shared" si="219"/>
        <v>3960</v>
      </c>
      <c r="BE610" s="67"/>
      <c r="BF610" s="37"/>
      <c r="BG610" s="73">
        <v>1</v>
      </c>
      <c r="BH610" s="67">
        <f t="shared" si="220"/>
        <v>0</v>
      </c>
      <c r="BI610" s="67">
        <f t="shared" si="221"/>
        <v>0</v>
      </c>
      <c r="BJ610" s="70">
        <f t="shared" si="222"/>
        <v>0</v>
      </c>
      <c r="BN610" s="37"/>
      <c r="BO610" s="70">
        <f t="shared" si="202"/>
        <v>0</v>
      </c>
      <c r="BP610" s="37">
        <v>7</v>
      </c>
      <c r="BQ610" s="37">
        <v>0</v>
      </c>
      <c r="BR610" s="37">
        <v>0</v>
      </c>
      <c r="BT610" s="87">
        <f t="shared" si="203"/>
        <v>72</v>
      </c>
      <c r="BU610" s="87"/>
      <c r="BV610" s="87"/>
      <c r="BW610" s="87"/>
      <c r="BX610" s="87"/>
      <c r="BY610" s="87"/>
      <c r="BZ610" s="87"/>
      <c r="CA610" s="87"/>
      <c r="CB610" s="87"/>
      <c r="CC610" s="87"/>
      <c r="CD610" s="87"/>
      <c r="CF610" s="67">
        <f t="shared" si="204"/>
        <v>504</v>
      </c>
      <c r="CG610" s="67">
        <f t="shared" si="208"/>
        <v>0</v>
      </c>
      <c r="CH610" s="67">
        <f t="shared" si="218"/>
        <v>0</v>
      </c>
      <c r="CI610" s="67">
        <f t="shared" si="216"/>
        <v>0</v>
      </c>
      <c r="CJ610" s="37">
        <f t="shared" si="212"/>
        <v>168</v>
      </c>
      <c r="CK610" s="37">
        <f t="shared" si="213"/>
        <v>0</v>
      </c>
      <c r="CL610" s="37">
        <f t="shared" si="214"/>
        <v>0</v>
      </c>
      <c r="CM610" s="37">
        <f t="shared" si="215"/>
        <v>0</v>
      </c>
    </row>
    <row r="611" spans="1:91" ht="51">
      <c r="B611" s="156">
        <v>598</v>
      </c>
      <c r="C611" s="160">
        <v>306</v>
      </c>
      <c r="D611" s="160">
        <v>509</v>
      </c>
      <c r="E611" s="161">
        <v>0.53472222222222221</v>
      </c>
      <c r="F611" s="161">
        <v>0.61249999999999993</v>
      </c>
      <c r="G611" s="160" t="s">
        <v>2075</v>
      </c>
      <c r="H611" s="160" t="s">
        <v>447</v>
      </c>
      <c r="I611" s="163">
        <v>52</v>
      </c>
      <c r="J611" s="164" t="s">
        <v>188</v>
      </c>
      <c r="K611" s="165">
        <v>47</v>
      </c>
      <c r="L611" s="166">
        <f t="shared" si="217"/>
        <v>2444</v>
      </c>
      <c r="M611" s="177" t="s">
        <v>759</v>
      </c>
      <c r="N611" s="150" t="s">
        <v>959</v>
      </c>
      <c r="O611" s="150">
        <v>33</v>
      </c>
      <c r="P611" s="3" t="s">
        <v>1281</v>
      </c>
      <c r="Q611" s="152">
        <v>55</v>
      </c>
      <c r="T611" s="45">
        <v>3895</v>
      </c>
      <c r="U611" s="45" t="s">
        <v>1604</v>
      </c>
      <c r="V611" s="45" t="s">
        <v>1597</v>
      </c>
      <c r="W611" s="45" t="s">
        <v>1596</v>
      </c>
      <c r="X611" s="99">
        <v>44816</v>
      </c>
      <c r="Y611" s="99">
        <v>45100</v>
      </c>
      <c r="Z611" s="99"/>
      <c r="AA611" s="99"/>
      <c r="AB611" s="46" t="s">
        <v>1115</v>
      </c>
      <c r="AC611" s="46"/>
      <c r="AD611" s="42" t="s">
        <v>734</v>
      </c>
      <c r="AE611" s="42"/>
      <c r="AF611" s="42"/>
      <c r="AG611" s="42"/>
      <c r="AH611" s="42"/>
      <c r="AI611" s="42"/>
      <c r="AJ611" s="42"/>
      <c r="AK611" s="42"/>
      <c r="AL611" s="42"/>
      <c r="AM611" s="42"/>
      <c r="AN611" s="42" t="s">
        <v>734</v>
      </c>
      <c r="AO611" s="42"/>
      <c r="AP611" s="42"/>
      <c r="AQ611" s="42"/>
      <c r="AR611" s="42"/>
      <c r="AS611" s="42"/>
      <c r="AT611" s="42"/>
      <c r="AU611" s="42"/>
      <c r="AV611" s="42"/>
      <c r="AW611" s="42"/>
      <c r="AX611" s="68">
        <v>156</v>
      </c>
      <c r="AY611" s="37"/>
      <c r="BA611" s="68"/>
      <c r="BB611" s="68"/>
      <c r="BD611" s="67">
        <f t="shared" si="219"/>
        <v>7332</v>
      </c>
      <c r="BE611" s="67"/>
      <c r="BF611" s="37"/>
      <c r="BG611" s="73">
        <v>1</v>
      </c>
      <c r="BH611" s="67">
        <f t="shared" si="220"/>
        <v>0</v>
      </c>
      <c r="BI611" s="67">
        <f t="shared" si="221"/>
        <v>0</v>
      </c>
      <c r="BJ611" s="70">
        <f t="shared" si="222"/>
        <v>0</v>
      </c>
      <c r="BN611" s="37"/>
      <c r="BO611" s="70">
        <f t="shared" si="202"/>
        <v>0</v>
      </c>
      <c r="BP611" s="37">
        <v>2</v>
      </c>
      <c r="BQ611" s="37">
        <v>5</v>
      </c>
      <c r="BR611" s="37">
        <v>5</v>
      </c>
      <c r="BS611" s="37">
        <v>6</v>
      </c>
      <c r="BT611" s="87">
        <f t="shared" si="203"/>
        <v>156</v>
      </c>
      <c r="BU611" s="87"/>
      <c r="BV611" s="87"/>
      <c r="BW611" s="87"/>
      <c r="BX611" s="87"/>
      <c r="BY611" s="87"/>
      <c r="BZ611" s="87"/>
      <c r="CA611" s="87"/>
      <c r="CB611" s="87"/>
      <c r="CC611" s="87"/>
      <c r="CD611" s="87"/>
      <c r="CF611" s="67">
        <f t="shared" si="204"/>
        <v>312</v>
      </c>
      <c r="CG611" s="67">
        <f t="shared" si="208"/>
        <v>780</v>
      </c>
      <c r="CH611" s="67">
        <f t="shared" si="218"/>
        <v>780</v>
      </c>
      <c r="CI611" s="67">
        <f t="shared" si="216"/>
        <v>936</v>
      </c>
      <c r="CJ611" s="37">
        <f t="shared" si="212"/>
        <v>104</v>
      </c>
      <c r="CK611" s="37">
        <f t="shared" si="213"/>
        <v>260</v>
      </c>
      <c r="CL611" s="37">
        <f t="shared" si="214"/>
        <v>260</v>
      </c>
      <c r="CM611" s="37">
        <f t="shared" si="215"/>
        <v>312</v>
      </c>
    </row>
    <row r="612" spans="1:91" ht="25.5">
      <c r="B612" s="156">
        <v>599</v>
      </c>
      <c r="C612" s="160">
        <v>306</v>
      </c>
      <c r="D612" s="160">
        <v>470</v>
      </c>
      <c r="E612" s="161">
        <v>0.54513888888888895</v>
      </c>
      <c r="F612" s="161">
        <v>0.55555555555555558</v>
      </c>
      <c r="G612" s="171" t="s">
        <v>643</v>
      </c>
      <c r="H612" s="160" t="s">
        <v>134</v>
      </c>
      <c r="I612" s="163">
        <v>5</v>
      </c>
      <c r="J612" s="164" t="s">
        <v>93</v>
      </c>
      <c r="K612" s="165">
        <f>41+11</f>
        <v>52</v>
      </c>
      <c r="L612" s="166">
        <f t="shared" si="217"/>
        <v>260</v>
      </c>
      <c r="M612" s="177" t="s">
        <v>764</v>
      </c>
      <c r="N612" s="3" t="s">
        <v>1091</v>
      </c>
      <c r="O612" s="3">
        <v>23</v>
      </c>
      <c r="P612" s="154" t="s">
        <v>929</v>
      </c>
      <c r="Q612" s="154">
        <v>20</v>
      </c>
      <c r="R612" s="154" t="s">
        <v>1978</v>
      </c>
      <c r="S612" s="151">
        <v>33</v>
      </c>
      <c r="T612" s="45">
        <v>3042</v>
      </c>
      <c r="U612" s="45" t="s">
        <v>1631</v>
      </c>
      <c r="V612" s="45">
        <v>3051</v>
      </c>
      <c r="W612" s="45" t="s">
        <v>1630</v>
      </c>
      <c r="X612" s="98">
        <v>44805</v>
      </c>
      <c r="Y612" s="98">
        <v>45169</v>
      </c>
      <c r="Z612" s="98"/>
      <c r="AA612" s="98"/>
      <c r="AB612" s="45" t="s">
        <v>1159</v>
      </c>
      <c r="AC612" s="45"/>
      <c r="AD612" s="42" t="s">
        <v>734</v>
      </c>
      <c r="AE612" s="42" t="s">
        <v>734</v>
      </c>
      <c r="AF612" s="42" t="s">
        <v>734</v>
      </c>
      <c r="AG612" s="42"/>
      <c r="AH612" s="42"/>
      <c r="AI612" s="42" t="s">
        <v>734</v>
      </c>
      <c r="AJ612" s="42"/>
      <c r="AK612" s="42"/>
      <c r="AL612" s="42"/>
      <c r="AM612" s="42"/>
      <c r="AN612" s="42"/>
      <c r="AO612" s="42"/>
      <c r="AP612" s="42"/>
      <c r="AQ612" s="42"/>
      <c r="AR612" s="42"/>
      <c r="AS612" s="42"/>
      <c r="AT612" s="42"/>
      <c r="AU612" s="42"/>
      <c r="AV612" s="42"/>
      <c r="AW612" s="42"/>
      <c r="AX612" s="68">
        <v>70.510000000000005</v>
      </c>
      <c r="AY612" s="37"/>
      <c r="BA612" s="68"/>
      <c r="BB612" s="68"/>
      <c r="BD612" s="67">
        <f t="shared" si="219"/>
        <v>3666.5200000000004</v>
      </c>
      <c r="BE612" s="67"/>
      <c r="BF612" s="37"/>
      <c r="BG612" s="73">
        <v>1</v>
      </c>
      <c r="BH612" s="67">
        <f t="shared" si="220"/>
        <v>0</v>
      </c>
      <c r="BI612" s="67">
        <f t="shared" si="221"/>
        <v>0</v>
      </c>
      <c r="BJ612" s="70">
        <f t="shared" si="222"/>
        <v>0</v>
      </c>
      <c r="BN612" s="37"/>
      <c r="BO612" s="70">
        <f t="shared" si="202"/>
        <v>0</v>
      </c>
      <c r="BP612" s="37">
        <v>4</v>
      </c>
      <c r="BQ612" s="37">
        <v>4</v>
      </c>
      <c r="BR612" s="37">
        <v>4</v>
      </c>
      <c r="BS612" s="37">
        <v>4</v>
      </c>
      <c r="BT612" s="87">
        <f t="shared" si="203"/>
        <v>70.510000000000005</v>
      </c>
      <c r="BU612" s="87"/>
      <c r="BV612" s="87"/>
      <c r="BW612" s="87"/>
      <c r="BX612" s="87"/>
      <c r="BY612" s="87"/>
      <c r="BZ612" s="87"/>
      <c r="CA612" s="87"/>
      <c r="CB612" s="87"/>
      <c r="CC612" s="87"/>
      <c r="CD612" s="87"/>
      <c r="CF612" s="67">
        <f t="shared" si="204"/>
        <v>282.04000000000002</v>
      </c>
      <c r="CG612" s="67">
        <f t="shared" si="208"/>
        <v>282.04000000000002</v>
      </c>
      <c r="CH612" s="67">
        <f t="shared" si="218"/>
        <v>282.04000000000002</v>
      </c>
      <c r="CI612" s="67">
        <f t="shared" si="216"/>
        <v>282.04000000000002</v>
      </c>
      <c r="CJ612" s="37">
        <f t="shared" si="212"/>
        <v>20</v>
      </c>
      <c r="CK612" s="37">
        <f t="shared" si="213"/>
        <v>20</v>
      </c>
      <c r="CL612" s="37">
        <f t="shared" si="214"/>
        <v>20</v>
      </c>
      <c r="CM612" s="37">
        <f t="shared" si="215"/>
        <v>20</v>
      </c>
    </row>
    <row r="613" spans="1:91" ht="25.5">
      <c r="B613" s="156">
        <v>600</v>
      </c>
      <c r="C613" s="160">
        <v>306</v>
      </c>
      <c r="D613" s="160">
        <v>468</v>
      </c>
      <c r="E613" s="161">
        <v>0.58611111111111114</v>
      </c>
      <c r="F613" s="161">
        <v>0.59652777777777777</v>
      </c>
      <c r="G613" s="160" t="s">
        <v>133</v>
      </c>
      <c r="H613" s="160" t="s">
        <v>97</v>
      </c>
      <c r="I613" s="163">
        <v>5</v>
      </c>
      <c r="J613" s="164" t="s">
        <v>93</v>
      </c>
      <c r="K613" s="165">
        <v>208</v>
      </c>
      <c r="L613" s="166">
        <f t="shared" si="217"/>
        <v>1040</v>
      </c>
      <c r="M613" s="177" t="s">
        <v>764</v>
      </c>
      <c r="N613" s="3" t="s">
        <v>1091</v>
      </c>
      <c r="O613" s="3">
        <v>23</v>
      </c>
      <c r="P613" s="154" t="s">
        <v>1978</v>
      </c>
      <c r="Q613" s="154">
        <v>33</v>
      </c>
      <c r="T613" s="45">
        <v>3042</v>
      </c>
      <c r="U613" s="45" t="s">
        <v>1631</v>
      </c>
      <c r="V613" s="45">
        <v>3051</v>
      </c>
      <c r="W613" s="45" t="s">
        <v>1630</v>
      </c>
      <c r="X613" s="98">
        <v>44816</v>
      </c>
      <c r="Y613" s="98">
        <v>45086</v>
      </c>
      <c r="Z613" s="98"/>
      <c r="AA613" s="98"/>
      <c r="AB613" s="41" t="s">
        <v>1118</v>
      </c>
      <c r="AC613" s="41"/>
      <c r="AD613" s="42"/>
      <c r="AE613" s="42"/>
      <c r="AF613" s="42"/>
      <c r="AG613" s="42" t="s">
        <v>734</v>
      </c>
      <c r="AH613" s="42" t="s">
        <v>734</v>
      </c>
      <c r="AI613" s="42" t="s">
        <v>734</v>
      </c>
      <c r="AJ613" s="42" t="s">
        <v>734</v>
      </c>
      <c r="AK613" s="42" t="s">
        <v>734</v>
      </c>
      <c r="AL613" s="42" t="s">
        <v>734</v>
      </c>
      <c r="AM613" s="42" t="s">
        <v>734</v>
      </c>
      <c r="AN613" s="42"/>
      <c r="AO613" s="42"/>
      <c r="AP613" s="42"/>
      <c r="AQ613" s="42"/>
      <c r="AR613" s="42"/>
      <c r="AS613" s="42"/>
      <c r="AT613" s="42"/>
      <c r="AU613" s="42"/>
      <c r="AV613" s="42"/>
      <c r="AW613" s="42"/>
      <c r="AX613" s="68">
        <v>75.430000000000007</v>
      </c>
      <c r="AY613" s="37"/>
      <c r="BA613" s="68"/>
      <c r="BB613" s="68"/>
      <c r="BD613" s="67">
        <f t="shared" si="219"/>
        <v>15689.440000000002</v>
      </c>
      <c r="BE613" s="67"/>
      <c r="BF613" s="37"/>
      <c r="BG613" s="73">
        <v>1</v>
      </c>
      <c r="BH613" s="67">
        <f t="shared" si="220"/>
        <v>0</v>
      </c>
      <c r="BI613" s="67">
        <f t="shared" si="221"/>
        <v>0</v>
      </c>
      <c r="BJ613" s="70">
        <f t="shared" si="222"/>
        <v>0</v>
      </c>
      <c r="BN613" s="37"/>
      <c r="BO613" s="70">
        <f t="shared" si="202"/>
        <v>0</v>
      </c>
      <c r="BP613" s="37">
        <v>17</v>
      </c>
      <c r="BQ613" s="37">
        <v>25</v>
      </c>
      <c r="BR613" s="37">
        <v>25</v>
      </c>
      <c r="BS613" s="37">
        <v>18</v>
      </c>
      <c r="BT613" s="87">
        <f t="shared" si="203"/>
        <v>75.430000000000007</v>
      </c>
      <c r="BU613" s="87"/>
      <c r="BV613" s="87"/>
      <c r="BW613" s="87"/>
      <c r="BX613" s="87"/>
      <c r="BY613" s="87"/>
      <c r="BZ613" s="87"/>
      <c r="CA613" s="87"/>
      <c r="CB613" s="87"/>
      <c r="CC613" s="87"/>
      <c r="CD613" s="87"/>
      <c r="CF613" s="67">
        <f t="shared" si="204"/>
        <v>1282.3100000000002</v>
      </c>
      <c r="CG613" s="67">
        <f t="shared" si="208"/>
        <v>1885.7500000000002</v>
      </c>
      <c r="CH613" s="67">
        <f t="shared" si="218"/>
        <v>1885.7500000000002</v>
      </c>
      <c r="CI613" s="67">
        <f t="shared" si="216"/>
        <v>1357.7400000000002</v>
      </c>
      <c r="CJ613" s="37">
        <f t="shared" si="212"/>
        <v>85</v>
      </c>
      <c r="CK613" s="37">
        <f t="shared" si="213"/>
        <v>125</v>
      </c>
      <c r="CL613" s="37">
        <f t="shared" si="214"/>
        <v>125</v>
      </c>
      <c r="CM613" s="37">
        <f t="shared" si="215"/>
        <v>90</v>
      </c>
    </row>
    <row r="614" spans="1:91" ht="25.5">
      <c r="B614" s="156">
        <v>601</v>
      </c>
      <c r="C614" s="160">
        <v>306</v>
      </c>
      <c r="D614" s="160">
        <v>509</v>
      </c>
      <c r="E614" s="161">
        <v>0.59722222222222221</v>
      </c>
      <c r="F614" s="161">
        <v>0.67499999999999993</v>
      </c>
      <c r="G614" s="160" t="s">
        <v>622</v>
      </c>
      <c r="H614" s="160" t="s">
        <v>550</v>
      </c>
      <c r="I614" s="163">
        <v>52</v>
      </c>
      <c r="J614" s="164" t="s">
        <v>188</v>
      </c>
      <c r="K614" s="165">
        <v>13</v>
      </c>
      <c r="L614" s="166">
        <f t="shared" si="217"/>
        <v>676</v>
      </c>
      <c r="M614" s="186" t="s">
        <v>759</v>
      </c>
      <c r="N614" s="150" t="s">
        <v>959</v>
      </c>
      <c r="O614" s="150">
        <v>33</v>
      </c>
      <c r="P614" s="3" t="s">
        <v>1281</v>
      </c>
      <c r="Q614" s="152">
        <v>55</v>
      </c>
      <c r="T614" s="45">
        <v>3895</v>
      </c>
      <c r="U614" s="45" t="s">
        <v>1604</v>
      </c>
      <c r="V614" s="45" t="s">
        <v>1597</v>
      </c>
      <c r="W614" s="45" t="s">
        <v>1596</v>
      </c>
      <c r="X614" s="99">
        <v>44562</v>
      </c>
      <c r="Y614" s="99">
        <v>44815</v>
      </c>
      <c r="Z614" s="99">
        <v>45101</v>
      </c>
      <c r="AA614" s="99">
        <v>45169</v>
      </c>
      <c r="AB614" s="36" t="s">
        <v>1116</v>
      </c>
      <c r="AC614" s="36"/>
      <c r="AD614" s="42"/>
      <c r="AE614" s="42" t="s">
        <v>734</v>
      </c>
      <c r="AF614" s="42"/>
      <c r="AG614" s="42"/>
      <c r="AH614" s="42"/>
      <c r="AI614" s="42"/>
      <c r="AJ614" s="42"/>
      <c r="AK614" s="42"/>
      <c r="AL614" s="42"/>
      <c r="AM614" s="42"/>
      <c r="AN614" s="42" t="s">
        <v>734</v>
      </c>
      <c r="AO614" s="42"/>
      <c r="AP614" s="42"/>
      <c r="AQ614" s="42"/>
      <c r="AR614" s="42"/>
      <c r="AS614" s="42"/>
      <c r="AT614" s="42"/>
      <c r="AU614" s="42"/>
      <c r="AV614" s="42"/>
      <c r="AW614" s="42"/>
      <c r="AX614" s="68">
        <v>156</v>
      </c>
      <c r="AY614" s="37"/>
      <c r="BA614" s="68"/>
      <c r="BB614" s="68"/>
      <c r="BD614" s="67">
        <f t="shared" si="219"/>
        <v>2028</v>
      </c>
      <c r="BE614" s="67"/>
      <c r="BF614" s="37"/>
      <c r="BG614" s="73">
        <v>1</v>
      </c>
      <c r="BH614" s="67">
        <f t="shared" si="220"/>
        <v>0</v>
      </c>
      <c r="BI614" s="67">
        <f t="shared" si="221"/>
        <v>0</v>
      </c>
      <c r="BJ614" s="70">
        <f t="shared" si="222"/>
        <v>0</v>
      </c>
      <c r="BN614" s="37"/>
      <c r="BO614" s="70">
        <f t="shared" si="202"/>
        <v>0</v>
      </c>
      <c r="BP614" s="37">
        <v>2</v>
      </c>
      <c r="BQ614" s="37">
        <v>0</v>
      </c>
      <c r="BR614" s="37">
        <v>0</v>
      </c>
      <c r="BT614" s="87">
        <f t="shared" si="203"/>
        <v>156</v>
      </c>
      <c r="BU614" s="87"/>
      <c r="BV614" s="87"/>
      <c r="BW614" s="87"/>
      <c r="BX614" s="87"/>
      <c r="BY614" s="87"/>
      <c r="BZ614" s="87"/>
      <c r="CA614" s="87"/>
      <c r="CB614" s="87"/>
      <c r="CC614" s="87"/>
      <c r="CD614" s="87"/>
      <c r="CF614" s="67">
        <f t="shared" si="204"/>
        <v>312</v>
      </c>
      <c r="CG614" s="67">
        <f t="shared" si="208"/>
        <v>0</v>
      </c>
      <c r="CH614" s="67">
        <f t="shared" si="218"/>
        <v>0</v>
      </c>
      <c r="CI614" s="67">
        <f t="shared" si="216"/>
        <v>0</v>
      </c>
      <c r="CJ614" s="37">
        <f t="shared" si="212"/>
        <v>104</v>
      </c>
      <c r="CK614" s="37">
        <f t="shared" si="213"/>
        <v>0</v>
      </c>
      <c r="CL614" s="37">
        <f t="shared" si="214"/>
        <v>0</v>
      </c>
      <c r="CM614" s="37">
        <f t="shared" si="215"/>
        <v>0</v>
      </c>
    </row>
    <row r="615" spans="1:91" ht="51">
      <c r="B615" s="156">
        <v>602</v>
      </c>
      <c r="C615" s="160">
        <v>306</v>
      </c>
      <c r="D615" s="160">
        <v>514</v>
      </c>
      <c r="E615" s="161">
        <v>0.70138888888888884</v>
      </c>
      <c r="F615" s="161">
        <v>0.77847222222222223</v>
      </c>
      <c r="G615" s="171" t="s">
        <v>2076</v>
      </c>
      <c r="H615" s="160" t="s">
        <v>551</v>
      </c>
      <c r="I615" s="163">
        <v>52</v>
      </c>
      <c r="J615" s="164" t="s">
        <v>188</v>
      </c>
      <c r="K615" s="165">
        <v>58</v>
      </c>
      <c r="L615" s="166">
        <f t="shared" si="217"/>
        <v>3016</v>
      </c>
      <c r="M615" s="177" t="s">
        <v>759</v>
      </c>
      <c r="N615" s="150" t="s">
        <v>959</v>
      </c>
      <c r="O615" s="150">
        <v>33</v>
      </c>
      <c r="P615" s="3" t="s">
        <v>1281</v>
      </c>
      <c r="Q615" s="152">
        <v>55</v>
      </c>
      <c r="T615" s="45" t="s">
        <v>1595</v>
      </c>
      <c r="U615" s="45" t="s">
        <v>1596</v>
      </c>
      <c r="V615" s="45">
        <v>3895</v>
      </c>
      <c r="W615" s="45" t="s">
        <v>1604</v>
      </c>
      <c r="X615" s="98">
        <v>44805</v>
      </c>
      <c r="Y615" s="98">
        <v>45169</v>
      </c>
      <c r="Z615" s="98"/>
      <c r="AA615" s="98"/>
      <c r="AB615" s="42" t="s">
        <v>1127</v>
      </c>
      <c r="AC615" s="42"/>
      <c r="AD615" s="42" t="s">
        <v>734</v>
      </c>
      <c r="AE615" s="42" t="s">
        <v>734</v>
      </c>
      <c r="AF615" s="42"/>
      <c r="AG615" s="42"/>
      <c r="AH615" s="42"/>
      <c r="AI615" s="42"/>
      <c r="AJ615" s="42"/>
      <c r="AK615" s="42"/>
      <c r="AL615" s="42"/>
      <c r="AM615" s="42"/>
      <c r="AN615" s="42" t="s">
        <v>734</v>
      </c>
      <c r="AO615" s="42"/>
      <c r="AP615" s="42"/>
      <c r="AQ615" s="42"/>
      <c r="AR615" s="42"/>
      <c r="AS615" s="42"/>
      <c r="AT615" s="42"/>
      <c r="AU615" s="42"/>
      <c r="AV615" s="42"/>
      <c r="AW615" s="42"/>
      <c r="AX615" s="68">
        <v>156</v>
      </c>
      <c r="AY615" s="37"/>
      <c r="BA615" s="68"/>
      <c r="BB615" s="68"/>
      <c r="BD615" s="67">
        <f t="shared" si="219"/>
        <v>9048</v>
      </c>
      <c r="BE615" s="67"/>
      <c r="BF615" s="37"/>
      <c r="BG615" s="73">
        <v>1</v>
      </c>
      <c r="BH615" s="67">
        <f t="shared" si="220"/>
        <v>0</v>
      </c>
      <c r="BI615" s="67">
        <f t="shared" si="221"/>
        <v>0</v>
      </c>
      <c r="BJ615" s="70">
        <f t="shared" si="222"/>
        <v>0</v>
      </c>
      <c r="BN615" s="37"/>
      <c r="BO615" s="70">
        <f t="shared" si="202"/>
        <v>0</v>
      </c>
      <c r="BP615" s="37">
        <v>4</v>
      </c>
      <c r="BQ615" s="37">
        <v>5</v>
      </c>
      <c r="BR615" s="37">
        <v>5</v>
      </c>
      <c r="BS615" s="37">
        <v>6</v>
      </c>
      <c r="BT615" s="87">
        <f t="shared" si="203"/>
        <v>156</v>
      </c>
      <c r="BU615" s="87"/>
      <c r="BV615" s="87"/>
      <c r="BW615" s="87"/>
      <c r="BX615" s="87"/>
      <c r="BY615" s="87"/>
      <c r="BZ615" s="87"/>
      <c r="CA615" s="87"/>
      <c r="CB615" s="87"/>
      <c r="CC615" s="87"/>
      <c r="CD615" s="87"/>
      <c r="CF615" s="67">
        <f t="shared" si="204"/>
        <v>624</v>
      </c>
      <c r="CG615" s="67">
        <f t="shared" si="208"/>
        <v>780</v>
      </c>
      <c r="CH615" s="67">
        <f t="shared" si="218"/>
        <v>780</v>
      </c>
      <c r="CI615" s="67">
        <f t="shared" si="216"/>
        <v>936</v>
      </c>
      <c r="CJ615" s="37">
        <f t="shared" si="212"/>
        <v>208</v>
      </c>
      <c r="CK615" s="37">
        <f t="shared" si="213"/>
        <v>260</v>
      </c>
      <c r="CL615" s="37">
        <f t="shared" si="214"/>
        <v>260</v>
      </c>
      <c r="CM615" s="37">
        <f t="shared" si="215"/>
        <v>312</v>
      </c>
    </row>
    <row r="616" spans="1:91" ht="25.5">
      <c r="B616" s="156">
        <v>603</v>
      </c>
      <c r="C616" s="160">
        <v>310</v>
      </c>
      <c r="D616" s="160">
        <v>93</v>
      </c>
      <c r="E616" s="161">
        <v>0.28819444444444448</v>
      </c>
      <c r="F616" s="161">
        <v>0.31527777777777777</v>
      </c>
      <c r="G616" s="160" t="s">
        <v>486</v>
      </c>
      <c r="H616" s="160" t="s">
        <v>103</v>
      </c>
      <c r="I616" s="163">
        <v>18</v>
      </c>
      <c r="J616" s="164" t="s">
        <v>101</v>
      </c>
      <c r="K616" s="165">
        <v>174</v>
      </c>
      <c r="L616" s="166">
        <f t="shared" si="217"/>
        <v>3132</v>
      </c>
      <c r="M616" s="177" t="s">
        <v>748</v>
      </c>
      <c r="N616" s="150" t="s">
        <v>908</v>
      </c>
      <c r="O616" s="150">
        <v>36</v>
      </c>
      <c r="P616" s="268" t="s">
        <v>1957</v>
      </c>
      <c r="Q616" s="271">
        <v>50</v>
      </c>
      <c r="S616" s="150"/>
      <c r="T616" s="45">
        <v>3381</v>
      </c>
      <c r="U616" s="45" t="s">
        <v>1636</v>
      </c>
      <c r="V616" s="45" t="s">
        <v>1637</v>
      </c>
      <c r="W616" s="45" t="s">
        <v>1638</v>
      </c>
      <c r="X616" s="98">
        <v>44816</v>
      </c>
      <c r="Y616" s="98">
        <v>45086</v>
      </c>
      <c r="Z616" s="98"/>
      <c r="AA616" s="98"/>
      <c r="AB616" s="41" t="s">
        <v>1114</v>
      </c>
      <c r="AC616" s="41"/>
      <c r="AD616" s="42"/>
      <c r="AE616" s="42"/>
      <c r="AF616" s="42"/>
      <c r="AG616" s="42" t="s">
        <v>734</v>
      </c>
      <c r="AH616" s="42" t="s">
        <v>734</v>
      </c>
      <c r="AI616" s="42" t="s">
        <v>734</v>
      </c>
      <c r="AJ616" s="42" t="s">
        <v>734</v>
      </c>
      <c r="AK616" s="42" t="s">
        <v>734</v>
      </c>
      <c r="AL616" s="42" t="s">
        <v>734</v>
      </c>
      <c r="AM616" s="42"/>
      <c r="AN616" s="42"/>
      <c r="AO616" s="42"/>
      <c r="AP616" s="42"/>
      <c r="AQ616" s="42"/>
      <c r="AR616" s="42"/>
      <c r="AS616" s="42"/>
      <c r="AT616" s="42"/>
      <c r="AU616" s="42"/>
      <c r="AV616" s="42"/>
      <c r="AW616" s="42"/>
      <c r="AX616" s="68">
        <v>54</v>
      </c>
      <c r="AY616" s="37"/>
      <c r="BA616" s="68"/>
      <c r="BB616" s="68"/>
      <c r="BD616" s="67">
        <f t="shared" si="219"/>
        <v>9396</v>
      </c>
      <c r="BE616" s="67"/>
      <c r="BF616" s="37"/>
      <c r="BG616" s="69">
        <v>2</v>
      </c>
      <c r="BH616" s="67">
        <f t="shared" si="220"/>
        <v>0</v>
      </c>
      <c r="BI616" s="67">
        <f t="shared" si="221"/>
        <v>0</v>
      </c>
      <c r="BJ616" s="70">
        <f t="shared" si="222"/>
        <v>0</v>
      </c>
      <c r="BN616" s="67">
        <f>IF((AX616+AY616+AZ616)&lt;20,(20-(AX616+AY616+AZ616)),0)</f>
        <v>0</v>
      </c>
      <c r="BO616" s="70">
        <f t="shared" si="202"/>
        <v>0</v>
      </c>
      <c r="BP616" s="37">
        <v>15</v>
      </c>
      <c r="BQ616" s="37">
        <v>20</v>
      </c>
      <c r="BR616" s="37">
        <v>21</v>
      </c>
      <c r="BS616" s="37">
        <v>15</v>
      </c>
      <c r="BT616" s="87">
        <f t="shared" si="203"/>
        <v>54</v>
      </c>
      <c r="BU616" s="87"/>
      <c r="BV616" s="87"/>
      <c r="BW616" s="87"/>
      <c r="BX616" s="87"/>
      <c r="BY616" s="87"/>
      <c r="BZ616" s="87"/>
      <c r="CA616" s="87"/>
      <c r="CB616" s="87"/>
      <c r="CC616" s="87"/>
      <c r="CD616" s="87"/>
      <c r="CF616" s="67">
        <f t="shared" si="204"/>
        <v>810</v>
      </c>
      <c r="CG616" s="67">
        <f t="shared" si="208"/>
        <v>1080</v>
      </c>
      <c r="CH616" s="67">
        <f t="shared" si="218"/>
        <v>1134</v>
      </c>
      <c r="CI616" s="67">
        <f t="shared" si="216"/>
        <v>810</v>
      </c>
      <c r="CJ616" s="37">
        <f t="shared" si="212"/>
        <v>270</v>
      </c>
      <c r="CK616" s="37">
        <f t="shared" si="213"/>
        <v>360</v>
      </c>
      <c r="CL616" s="37">
        <f t="shared" si="214"/>
        <v>378</v>
      </c>
      <c r="CM616" s="37">
        <f t="shared" si="215"/>
        <v>270</v>
      </c>
    </row>
    <row r="617" spans="1:91" ht="25.5">
      <c r="A617" s="178" t="s">
        <v>1179</v>
      </c>
      <c r="B617" s="156">
        <v>604</v>
      </c>
      <c r="C617" s="160">
        <v>310</v>
      </c>
      <c r="D617" s="160">
        <v>183</v>
      </c>
      <c r="E617" s="161">
        <v>0.3611111111111111</v>
      </c>
      <c r="F617" s="173">
        <v>0.39861111111111108</v>
      </c>
      <c r="G617" s="223" t="s">
        <v>1966</v>
      </c>
      <c r="H617" s="174" t="s">
        <v>1049</v>
      </c>
      <c r="I617" s="163">
        <v>30</v>
      </c>
      <c r="J617" s="164" t="s">
        <v>188</v>
      </c>
      <c r="K617" s="179">
        <v>202</v>
      </c>
      <c r="L617" s="166">
        <f t="shared" si="217"/>
        <v>6060</v>
      </c>
      <c r="M617" s="177" t="s">
        <v>748</v>
      </c>
      <c r="N617" s="150" t="s">
        <v>908</v>
      </c>
      <c r="O617" s="150">
        <v>36</v>
      </c>
      <c r="P617" s="268" t="s">
        <v>1957</v>
      </c>
      <c r="Q617" s="271">
        <v>50</v>
      </c>
      <c r="R617" s="150" t="s">
        <v>907</v>
      </c>
      <c r="S617" s="150">
        <v>57</v>
      </c>
      <c r="T617" s="45">
        <v>3389</v>
      </c>
      <c r="U617" s="45" t="s">
        <v>1639</v>
      </c>
      <c r="V617" s="45">
        <v>3100</v>
      </c>
      <c r="W617" s="45" t="s">
        <v>1372</v>
      </c>
      <c r="X617" s="99">
        <v>44816</v>
      </c>
      <c r="Y617" s="99">
        <v>45100</v>
      </c>
      <c r="Z617" s="99"/>
      <c r="AA617" s="99"/>
      <c r="AB617" s="42" t="s">
        <v>1120</v>
      </c>
      <c r="AC617" s="42"/>
      <c r="AD617" s="42" t="s">
        <v>734</v>
      </c>
      <c r="AE617" s="42"/>
      <c r="AF617" s="42" t="s">
        <v>734</v>
      </c>
      <c r="AG617" s="42"/>
      <c r="AH617" s="42" t="s">
        <v>734</v>
      </c>
      <c r="AI617" s="42" t="s">
        <v>734</v>
      </c>
      <c r="AJ617" s="42" t="s">
        <v>734</v>
      </c>
      <c r="AK617" s="42" t="s">
        <v>734</v>
      </c>
      <c r="AL617" s="42" t="s">
        <v>734</v>
      </c>
      <c r="AM617" s="42"/>
      <c r="AN617" s="42"/>
      <c r="AO617" s="42"/>
      <c r="AP617" s="42"/>
      <c r="AQ617" s="42"/>
      <c r="AR617" s="42"/>
      <c r="AS617" s="42"/>
      <c r="AT617" s="42"/>
      <c r="AU617" s="42"/>
      <c r="AV617" s="42"/>
      <c r="AW617" s="42"/>
      <c r="AX617" s="68">
        <v>90</v>
      </c>
      <c r="AY617" s="37"/>
      <c r="BA617" s="68"/>
      <c r="BB617" s="68"/>
      <c r="BD617" s="67">
        <f t="shared" si="219"/>
        <v>18180</v>
      </c>
      <c r="BE617" s="67"/>
      <c r="BF617" s="37"/>
      <c r="BG617" s="73">
        <v>1</v>
      </c>
      <c r="BH617" s="67">
        <f t="shared" si="220"/>
        <v>0</v>
      </c>
      <c r="BI617" s="67">
        <f t="shared" si="221"/>
        <v>0</v>
      </c>
      <c r="BJ617" s="70">
        <f t="shared" si="222"/>
        <v>0</v>
      </c>
      <c r="BN617" s="37"/>
      <c r="BO617" s="70">
        <f t="shared" si="202"/>
        <v>0</v>
      </c>
      <c r="BP617" s="37">
        <v>15</v>
      </c>
      <c r="BQ617" s="37">
        <v>21</v>
      </c>
      <c r="BR617" s="37">
        <v>21</v>
      </c>
      <c r="BS617" s="37">
        <v>20</v>
      </c>
      <c r="BT617" s="87">
        <f t="shared" si="203"/>
        <v>90</v>
      </c>
      <c r="BU617" s="87"/>
      <c r="BV617" s="87"/>
      <c r="BW617" s="87"/>
      <c r="BX617" s="87"/>
      <c r="BY617" s="87"/>
      <c r="BZ617" s="87"/>
      <c r="CA617" s="87"/>
      <c r="CB617" s="87"/>
      <c r="CC617" s="87"/>
      <c r="CD617" s="87"/>
      <c r="CF617" s="67">
        <f t="shared" si="204"/>
        <v>1350</v>
      </c>
      <c r="CG617" s="67">
        <f t="shared" si="208"/>
        <v>1890</v>
      </c>
      <c r="CH617" s="67">
        <f t="shared" si="218"/>
        <v>1890</v>
      </c>
      <c r="CI617" s="67">
        <f t="shared" si="216"/>
        <v>1800</v>
      </c>
      <c r="CJ617" s="37">
        <f t="shared" si="212"/>
        <v>450</v>
      </c>
      <c r="CK617" s="37">
        <f t="shared" si="213"/>
        <v>630</v>
      </c>
      <c r="CL617" s="37">
        <f t="shared" si="214"/>
        <v>630</v>
      </c>
      <c r="CM617" s="37">
        <f t="shared" si="215"/>
        <v>600</v>
      </c>
    </row>
    <row r="618" spans="1:91" ht="25.5">
      <c r="B618" s="156">
        <v>605</v>
      </c>
      <c r="C618" s="160">
        <v>311</v>
      </c>
      <c r="D618" s="160">
        <v>797</v>
      </c>
      <c r="E618" s="161">
        <v>0.72222222222222221</v>
      </c>
      <c r="F618" s="161">
        <v>0.73472222222222217</v>
      </c>
      <c r="G618" s="160" t="s">
        <v>351</v>
      </c>
      <c r="H618" s="160" t="s">
        <v>103</v>
      </c>
      <c r="I618" s="163">
        <v>12</v>
      </c>
      <c r="J618" s="164" t="s">
        <v>146</v>
      </c>
      <c r="K618" s="165">
        <v>174</v>
      </c>
      <c r="L618" s="166">
        <f t="shared" si="217"/>
        <v>2088</v>
      </c>
      <c r="M618" s="177" t="s">
        <v>748</v>
      </c>
      <c r="N618" s="150" t="s">
        <v>1080</v>
      </c>
      <c r="O618" s="150">
        <v>16</v>
      </c>
      <c r="P618" s="150" t="s">
        <v>905</v>
      </c>
      <c r="Q618" s="150">
        <v>23</v>
      </c>
      <c r="R618" s="168" t="s">
        <v>1957</v>
      </c>
      <c r="S618" s="3">
        <v>50</v>
      </c>
      <c r="T618" s="45">
        <v>3640</v>
      </c>
      <c r="U618" s="45" t="s">
        <v>1602</v>
      </c>
      <c r="V618" s="45">
        <v>3103</v>
      </c>
      <c r="W618" s="45" t="s">
        <v>1640</v>
      </c>
      <c r="X618" s="98">
        <v>44816</v>
      </c>
      <c r="Y618" s="98">
        <v>45086</v>
      </c>
      <c r="Z618" s="98"/>
      <c r="AA618" s="98"/>
      <c r="AB618" s="41" t="s">
        <v>1114</v>
      </c>
      <c r="AC618" s="41"/>
      <c r="AD618" s="42"/>
      <c r="AE618" s="42"/>
      <c r="AF618" s="42"/>
      <c r="AG618" s="42" t="s">
        <v>734</v>
      </c>
      <c r="AH618" s="42" t="s">
        <v>734</v>
      </c>
      <c r="AI618" s="42" t="s">
        <v>734</v>
      </c>
      <c r="AJ618" s="42" t="s">
        <v>734</v>
      </c>
      <c r="AK618" s="42" t="s">
        <v>734</v>
      </c>
      <c r="AL618" s="42" t="s">
        <v>734</v>
      </c>
      <c r="AM618" s="42"/>
      <c r="AN618" s="42"/>
      <c r="AO618" s="42"/>
      <c r="AP618" s="42"/>
      <c r="AQ618" s="42"/>
      <c r="AR618" s="42"/>
      <c r="AS618" s="42"/>
      <c r="AT618" s="42"/>
      <c r="AU618" s="42"/>
      <c r="AV618" s="42"/>
      <c r="AW618" s="42"/>
      <c r="AX618" s="68">
        <v>30</v>
      </c>
      <c r="AY618" s="37"/>
      <c r="BA618" s="68"/>
      <c r="BB618" s="68"/>
      <c r="BD618" s="67">
        <f t="shared" si="219"/>
        <v>5220</v>
      </c>
      <c r="BE618" s="67"/>
      <c r="BF618" s="37"/>
      <c r="BG618" s="73">
        <v>1</v>
      </c>
      <c r="BH618" s="67">
        <f t="shared" si="220"/>
        <v>0</v>
      </c>
      <c r="BI618" s="67">
        <f t="shared" si="221"/>
        <v>0</v>
      </c>
      <c r="BJ618" s="70">
        <f t="shared" si="222"/>
        <v>0</v>
      </c>
      <c r="BN618" s="37"/>
      <c r="BO618" s="70">
        <f t="shared" si="202"/>
        <v>0</v>
      </c>
      <c r="BP618" s="37">
        <v>15</v>
      </c>
      <c r="BQ618" s="37">
        <v>20</v>
      </c>
      <c r="BR618" s="37">
        <v>21</v>
      </c>
      <c r="BS618" s="37">
        <v>15</v>
      </c>
      <c r="BT618" s="87">
        <f t="shared" si="203"/>
        <v>30</v>
      </c>
      <c r="BU618" s="87"/>
      <c r="BV618" s="87"/>
      <c r="BW618" s="87"/>
      <c r="BX618" s="87"/>
      <c r="BY618" s="87"/>
      <c r="BZ618" s="87"/>
      <c r="CA618" s="87"/>
      <c r="CB618" s="87"/>
      <c r="CC618" s="87"/>
      <c r="CD618" s="87"/>
      <c r="CF618" s="67">
        <f t="shared" si="204"/>
        <v>450</v>
      </c>
      <c r="CG618" s="67">
        <f t="shared" si="208"/>
        <v>600</v>
      </c>
      <c r="CH618" s="67">
        <f t="shared" si="218"/>
        <v>630</v>
      </c>
      <c r="CI618" s="67">
        <f t="shared" si="216"/>
        <v>450</v>
      </c>
      <c r="CJ618" s="37">
        <f t="shared" si="212"/>
        <v>180</v>
      </c>
      <c r="CK618" s="37">
        <f t="shared" si="213"/>
        <v>240</v>
      </c>
      <c r="CL618" s="37">
        <f t="shared" si="214"/>
        <v>252</v>
      </c>
      <c r="CM618" s="37">
        <f t="shared" si="215"/>
        <v>180</v>
      </c>
    </row>
    <row r="619" spans="1:91" ht="25.5">
      <c r="B619" s="156">
        <v>606</v>
      </c>
      <c r="C619" s="160">
        <v>312</v>
      </c>
      <c r="D619" s="162">
        <v>365</v>
      </c>
      <c r="E619" s="161">
        <v>0.2638888888888889</v>
      </c>
      <c r="F619" s="161">
        <v>0.28263888888888888</v>
      </c>
      <c r="G619" s="160" t="s">
        <v>365</v>
      </c>
      <c r="H619" s="160" t="s">
        <v>97</v>
      </c>
      <c r="I619" s="163">
        <v>15.5</v>
      </c>
      <c r="J619" s="164" t="s">
        <v>355</v>
      </c>
      <c r="K619" s="165">
        <v>208</v>
      </c>
      <c r="L619" s="166">
        <f t="shared" si="217"/>
        <v>3224</v>
      </c>
      <c r="M619" s="177" t="s">
        <v>723</v>
      </c>
      <c r="N619" s="150" t="s">
        <v>867</v>
      </c>
      <c r="O619" s="150">
        <v>17</v>
      </c>
      <c r="R619" s="154"/>
      <c r="S619" s="150"/>
      <c r="T619" s="45">
        <v>3169</v>
      </c>
      <c r="U619" s="45" t="s">
        <v>1371</v>
      </c>
      <c r="V619" s="45">
        <v>3164</v>
      </c>
      <c r="W619" s="45" t="s">
        <v>1641</v>
      </c>
      <c r="X619" s="98">
        <v>44816</v>
      </c>
      <c r="Y619" s="98">
        <v>45086</v>
      </c>
      <c r="Z619" s="98"/>
      <c r="AA619" s="98"/>
      <c r="AB619" s="41" t="s">
        <v>1118</v>
      </c>
      <c r="AC619" s="41"/>
      <c r="AD619" s="42"/>
      <c r="AE619" s="42"/>
      <c r="AF619" s="42"/>
      <c r="AG619" s="42" t="s">
        <v>734</v>
      </c>
      <c r="AH619" s="42" t="s">
        <v>734</v>
      </c>
      <c r="AI619" s="42" t="s">
        <v>734</v>
      </c>
      <c r="AJ619" s="42" t="s">
        <v>734</v>
      </c>
      <c r="AK619" s="42" t="s">
        <v>734</v>
      </c>
      <c r="AL619" s="42" t="s">
        <v>734</v>
      </c>
      <c r="AM619" s="42" t="s">
        <v>734</v>
      </c>
      <c r="AN619" s="42"/>
      <c r="AO619" s="42"/>
      <c r="AP619" s="42"/>
      <c r="AQ619" s="42"/>
      <c r="AR619" s="42"/>
      <c r="AS619" s="42"/>
      <c r="AT619" s="42"/>
      <c r="AU619" s="42"/>
      <c r="AV619" s="42"/>
      <c r="AW619" s="42"/>
      <c r="AX619" s="68">
        <v>56.61</v>
      </c>
      <c r="AY619" s="37"/>
      <c r="BA619" s="68"/>
      <c r="BB619" s="68"/>
      <c r="BD619" s="67">
        <f t="shared" si="219"/>
        <v>11774.88</v>
      </c>
      <c r="BE619" s="67"/>
      <c r="BF619" s="37"/>
      <c r="BG619" s="73">
        <v>1</v>
      </c>
      <c r="BH619" s="67">
        <f t="shared" si="220"/>
        <v>0</v>
      </c>
      <c r="BI619" s="67">
        <f t="shared" si="221"/>
        <v>0</v>
      </c>
      <c r="BJ619" s="70">
        <f t="shared" si="222"/>
        <v>0</v>
      </c>
      <c r="BN619" s="67">
        <f>IF((AX619+AY619+AZ619)&lt;20,(20-(AX619+AY619+AZ619)),0)</f>
        <v>0</v>
      </c>
      <c r="BO619" s="70">
        <f t="shared" si="202"/>
        <v>0</v>
      </c>
      <c r="BP619" s="37">
        <v>17</v>
      </c>
      <c r="BQ619" s="37">
        <v>25</v>
      </c>
      <c r="BR619" s="37">
        <v>25</v>
      </c>
      <c r="BS619" s="37">
        <v>18</v>
      </c>
      <c r="BT619" s="87">
        <f t="shared" si="203"/>
        <v>56.61</v>
      </c>
      <c r="BU619" s="87"/>
      <c r="BV619" s="87"/>
      <c r="BW619" s="87"/>
      <c r="BX619" s="87"/>
      <c r="BY619" s="87"/>
      <c r="BZ619" s="87"/>
      <c r="CA619" s="87"/>
      <c r="CB619" s="87"/>
      <c r="CC619" s="87"/>
      <c r="CD619" s="87"/>
      <c r="CF619" s="67">
        <f t="shared" si="204"/>
        <v>962.37</v>
      </c>
      <c r="CG619" s="67">
        <f t="shared" si="208"/>
        <v>1415.25</v>
      </c>
      <c r="CH619" s="67">
        <f t="shared" si="218"/>
        <v>1415.25</v>
      </c>
      <c r="CI619" s="67">
        <f t="shared" si="216"/>
        <v>1018.98</v>
      </c>
      <c r="CJ619" s="37">
        <f t="shared" si="212"/>
        <v>263.5</v>
      </c>
      <c r="CK619" s="37">
        <f t="shared" si="213"/>
        <v>387.5</v>
      </c>
      <c r="CL619" s="37">
        <f t="shared" si="214"/>
        <v>387.5</v>
      </c>
      <c r="CM619" s="37">
        <f t="shared" si="215"/>
        <v>279</v>
      </c>
    </row>
    <row r="620" spans="1:91" ht="25.5">
      <c r="B620" s="156">
        <v>607</v>
      </c>
      <c r="C620" s="160">
        <v>312</v>
      </c>
      <c r="D620" s="162">
        <v>601</v>
      </c>
      <c r="E620" s="161">
        <v>0.3611111111111111</v>
      </c>
      <c r="F620" s="161">
        <v>0.36805555555555558</v>
      </c>
      <c r="G620" s="171" t="s">
        <v>368</v>
      </c>
      <c r="H620" s="160" t="s">
        <v>364</v>
      </c>
      <c r="I620" s="163">
        <v>6</v>
      </c>
      <c r="J620" s="164" t="s">
        <v>93</v>
      </c>
      <c r="K620" s="165">
        <f t="shared" ref="K620:K627" si="223">38+39+10+11</f>
        <v>98</v>
      </c>
      <c r="L620" s="166">
        <f t="shared" si="217"/>
        <v>588</v>
      </c>
      <c r="M620" s="177" t="s">
        <v>723</v>
      </c>
      <c r="N620" s="150" t="s">
        <v>867</v>
      </c>
      <c r="O620" s="150">
        <v>17</v>
      </c>
      <c r="R620" s="154"/>
      <c r="S620" s="150"/>
      <c r="T620" s="45">
        <v>3164</v>
      </c>
      <c r="U620" s="45" t="s">
        <v>1641</v>
      </c>
      <c r="V620" s="45">
        <v>3159</v>
      </c>
      <c r="W620" s="45" t="s">
        <v>1642</v>
      </c>
      <c r="X620" s="98">
        <v>44805</v>
      </c>
      <c r="Y620" s="98">
        <v>45169</v>
      </c>
      <c r="Z620" s="98"/>
      <c r="AA620" s="98"/>
      <c r="AB620" s="43" t="s">
        <v>1160</v>
      </c>
      <c r="AC620" s="43"/>
      <c r="AD620" s="42" t="s">
        <v>734</v>
      </c>
      <c r="AE620" s="42" t="s">
        <v>734</v>
      </c>
      <c r="AF620" s="42" t="s">
        <v>734</v>
      </c>
      <c r="AG620" s="42"/>
      <c r="AH620" s="42" t="s">
        <v>734</v>
      </c>
      <c r="AI620" s="42"/>
      <c r="AJ620" s="42"/>
      <c r="AK620" s="42" t="s">
        <v>734</v>
      </c>
      <c r="AL620" s="42"/>
      <c r="AM620" s="42"/>
      <c r="AN620" s="42"/>
      <c r="AO620" s="42"/>
      <c r="AP620" s="42"/>
      <c r="AQ620" s="42"/>
      <c r="AR620" s="42"/>
      <c r="AS620" s="42"/>
      <c r="AT620" s="42"/>
      <c r="AU620" s="42"/>
      <c r="AV620" s="42"/>
      <c r="AW620" s="42"/>
      <c r="AX620" s="68">
        <v>13.04</v>
      </c>
      <c r="AY620" s="37"/>
      <c r="BA620" s="68"/>
      <c r="BB620" s="68"/>
      <c r="BD620" s="67">
        <f t="shared" si="219"/>
        <v>1277.9199999999998</v>
      </c>
      <c r="BE620" s="67"/>
      <c r="BF620" s="37"/>
      <c r="BG620" s="73">
        <v>1</v>
      </c>
      <c r="BH620" s="67">
        <f t="shared" si="220"/>
        <v>0</v>
      </c>
      <c r="BI620" s="67">
        <f t="shared" si="221"/>
        <v>0</v>
      </c>
      <c r="BJ620" s="70">
        <f t="shared" si="222"/>
        <v>0</v>
      </c>
      <c r="BN620" s="37"/>
      <c r="BO620" s="70">
        <f t="shared" si="202"/>
        <v>0</v>
      </c>
      <c r="BP620" s="37">
        <v>9</v>
      </c>
      <c r="BQ620" s="37">
        <v>9</v>
      </c>
      <c r="BR620" s="37">
        <v>8</v>
      </c>
      <c r="BS620" s="37">
        <v>7</v>
      </c>
      <c r="BT620" s="87">
        <f t="shared" si="203"/>
        <v>13.04</v>
      </c>
      <c r="BU620" s="87"/>
      <c r="BV620" s="87"/>
      <c r="BW620" s="87"/>
      <c r="BX620" s="87"/>
      <c r="BY620" s="87"/>
      <c r="BZ620" s="87"/>
      <c r="CA620" s="87"/>
      <c r="CB620" s="87"/>
      <c r="CC620" s="87"/>
      <c r="CD620" s="87"/>
      <c r="CF620" s="67">
        <f t="shared" si="204"/>
        <v>117.35999999999999</v>
      </c>
      <c r="CG620" s="67">
        <f t="shared" si="208"/>
        <v>117.35999999999999</v>
      </c>
      <c r="CH620" s="67">
        <f t="shared" si="218"/>
        <v>104.32</v>
      </c>
      <c r="CI620" s="67">
        <f t="shared" si="216"/>
        <v>91.28</v>
      </c>
      <c r="CJ620" s="37">
        <f t="shared" si="212"/>
        <v>54</v>
      </c>
      <c r="CK620" s="37">
        <f t="shared" si="213"/>
        <v>54</v>
      </c>
      <c r="CL620" s="37">
        <f t="shared" si="214"/>
        <v>48</v>
      </c>
      <c r="CM620" s="37">
        <f t="shared" si="215"/>
        <v>42</v>
      </c>
    </row>
    <row r="621" spans="1:91" ht="25.5">
      <c r="B621" s="156">
        <v>608</v>
      </c>
      <c r="C621" s="160">
        <v>312</v>
      </c>
      <c r="D621" s="162">
        <v>600</v>
      </c>
      <c r="E621" s="161">
        <v>0.36805555555555558</v>
      </c>
      <c r="F621" s="161">
        <v>0.375</v>
      </c>
      <c r="G621" s="171" t="s">
        <v>367</v>
      </c>
      <c r="H621" s="160" t="s">
        <v>364</v>
      </c>
      <c r="I621" s="163">
        <v>6.5</v>
      </c>
      <c r="J621" s="164" t="s">
        <v>93</v>
      </c>
      <c r="K621" s="165">
        <f t="shared" si="223"/>
        <v>98</v>
      </c>
      <c r="L621" s="166">
        <f t="shared" si="217"/>
        <v>637</v>
      </c>
      <c r="M621" s="177" t="s">
        <v>723</v>
      </c>
      <c r="N621" s="154" t="s">
        <v>867</v>
      </c>
      <c r="O621" s="154">
        <v>17</v>
      </c>
      <c r="R621" s="154"/>
      <c r="S621" s="154"/>
      <c r="T621" s="45">
        <v>3159</v>
      </c>
      <c r="U621" s="45" t="s">
        <v>1642</v>
      </c>
      <c r="V621" s="45">
        <v>3164</v>
      </c>
      <c r="W621" s="45" t="s">
        <v>1641</v>
      </c>
      <c r="X621" s="98">
        <v>44805</v>
      </c>
      <c r="Y621" s="98">
        <v>45169</v>
      </c>
      <c r="Z621" s="98"/>
      <c r="AA621" s="98"/>
      <c r="AB621" s="43" t="s">
        <v>1160</v>
      </c>
      <c r="AC621" s="43"/>
      <c r="AD621" s="42" t="s">
        <v>734</v>
      </c>
      <c r="AE621" s="42" t="s">
        <v>734</v>
      </c>
      <c r="AF621" s="42" t="s">
        <v>734</v>
      </c>
      <c r="AG621" s="42"/>
      <c r="AH621" s="42" t="s">
        <v>734</v>
      </c>
      <c r="AI621" s="42"/>
      <c r="AJ621" s="42"/>
      <c r="AK621" s="42" t="s">
        <v>734</v>
      </c>
      <c r="AL621" s="42"/>
      <c r="AM621" s="42"/>
      <c r="AN621" s="42"/>
      <c r="AO621" s="42"/>
      <c r="AP621" s="42"/>
      <c r="AQ621" s="42"/>
      <c r="AR621" s="42"/>
      <c r="AS621" s="42"/>
      <c r="AT621" s="42"/>
      <c r="AU621" s="42"/>
      <c r="AV621" s="42"/>
      <c r="AW621" s="42"/>
      <c r="AX621" s="68">
        <v>14.12</v>
      </c>
      <c r="AY621" s="37"/>
      <c r="BA621" s="68"/>
      <c r="BB621" s="68"/>
      <c r="BD621" s="67">
        <f t="shared" si="219"/>
        <v>1383.76</v>
      </c>
      <c r="BE621" s="67"/>
      <c r="BF621" s="37"/>
      <c r="BG621" s="73">
        <v>1</v>
      </c>
      <c r="BH621" s="67">
        <f t="shared" si="220"/>
        <v>0</v>
      </c>
      <c r="BI621" s="67">
        <f t="shared" si="221"/>
        <v>0</v>
      </c>
      <c r="BJ621" s="70">
        <f t="shared" si="222"/>
        <v>0</v>
      </c>
      <c r="BN621" s="37"/>
      <c r="BO621" s="70">
        <f t="shared" si="202"/>
        <v>0</v>
      </c>
      <c r="BP621" s="37">
        <v>9</v>
      </c>
      <c r="BQ621" s="37">
        <v>9</v>
      </c>
      <c r="BR621" s="37">
        <v>8</v>
      </c>
      <c r="BS621" s="37">
        <v>7</v>
      </c>
      <c r="BT621" s="87">
        <f t="shared" si="203"/>
        <v>14.12</v>
      </c>
      <c r="BU621" s="87"/>
      <c r="BV621" s="87"/>
      <c r="BW621" s="87"/>
      <c r="BX621" s="87"/>
      <c r="BY621" s="87"/>
      <c r="BZ621" s="87"/>
      <c r="CA621" s="87"/>
      <c r="CB621" s="87"/>
      <c r="CC621" s="87"/>
      <c r="CD621" s="87"/>
      <c r="CF621" s="67">
        <f t="shared" si="204"/>
        <v>127.08</v>
      </c>
      <c r="CG621" s="67">
        <f t="shared" si="208"/>
        <v>127.08</v>
      </c>
      <c r="CH621" s="67">
        <f t="shared" si="218"/>
        <v>112.96</v>
      </c>
      <c r="CI621" s="67">
        <f t="shared" si="216"/>
        <v>98.839999999999989</v>
      </c>
      <c r="CJ621" s="37">
        <f t="shared" si="212"/>
        <v>58.5</v>
      </c>
      <c r="CK621" s="37">
        <f t="shared" si="213"/>
        <v>58.5</v>
      </c>
      <c r="CL621" s="37">
        <f t="shared" si="214"/>
        <v>52</v>
      </c>
      <c r="CM621" s="37">
        <f t="shared" si="215"/>
        <v>45.5</v>
      </c>
    </row>
    <row r="622" spans="1:91" ht="25.5">
      <c r="B622" s="156">
        <v>609</v>
      </c>
      <c r="C622" s="160">
        <v>312</v>
      </c>
      <c r="D622" s="162">
        <v>604</v>
      </c>
      <c r="E622" s="161">
        <v>0.38194444444444442</v>
      </c>
      <c r="F622" s="161">
        <v>0.39861111111111108</v>
      </c>
      <c r="G622" s="171" t="s">
        <v>623</v>
      </c>
      <c r="H622" s="160" t="s">
        <v>364</v>
      </c>
      <c r="I622" s="163">
        <v>14</v>
      </c>
      <c r="J622" s="164" t="s">
        <v>93</v>
      </c>
      <c r="K622" s="165">
        <f t="shared" si="223"/>
        <v>98</v>
      </c>
      <c r="L622" s="166">
        <f t="shared" si="217"/>
        <v>1372</v>
      </c>
      <c r="M622" s="177" t="s">
        <v>723</v>
      </c>
      <c r="N622" s="154" t="s">
        <v>867</v>
      </c>
      <c r="O622" s="154">
        <v>17</v>
      </c>
      <c r="R622" s="154"/>
      <c r="S622" s="154"/>
      <c r="T622" s="45">
        <v>3164</v>
      </c>
      <c r="U622" s="45" t="s">
        <v>1641</v>
      </c>
      <c r="V622" s="45">
        <v>3166</v>
      </c>
      <c r="W622" s="45" t="s">
        <v>1643</v>
      </c>
      <c r="X622" s="98">
        <v>44805</v>
      </c>
      <c r="Y622" s="98">
        <v>45169</v>
      </c>
      <c r="Z622" s="98"/>
      <c r="AA622" s="98"/>
      <c r="AB622" s="43" t="s">
        <v>1160</v>
      </c>
      <c r="AC622" s="43"/>
      <c r="AD622" s="42" t="s">
        <v>734</v>
      </c>
      <c r="AE622" s="42" t="s">
        <v>734</v>
      </c>
      <c r="AF622" s="42" t="s">
        <v>734</v>
      </c>
      <c r="AG622" s="42"/>
      <c r="AH622" s="42" t="s">
        <v>734</v>
      </c>
      <c r="AI622" s="42"/>
      <c r="AJ622" s="42"/>
      <c r="AK622" s="42" t="s">
        <v>734</v>
      </c>
      <c r="AL622" s="42"/>
      <c r="AM622" s="42"/>
      <c r="AN622" s="42"/>
      <c r="AO622" s="42"/>
      <c r="AP622" s="42"/>
      <c r="AQ622" s="42"/>
      <c r="AR622" s="42"/>
      <c r="AS622" s="42"/>
      <c r="AT622" s="42"/>
      <c r="AU622" s="42"/>
      <c r="AV622" s="42"/>
      <c r="AW622" s="42"/>
      <c r="AX622" s="68">
        <v>30.42</v>
      </c>
      <c r="AY622" s="37"/>
      <c r="BA622" s="68"/>
      <c r="BB622" s="68"/>
      <c r="BD622" s="67">
        <f t="shared" si="219"/>
        <v>2981.1600000000003</v>
      </c>
      <c r="BE622" s="67"/>
      <c r="BF622" s="37"/>
      <c r="BG622" s="73">
        <v>1</v>
      </c>
      <c r="BH622" s="67">
        <f t="shared" si="220"/>
        <v>0</v>
      </c>
      <c r="BI622" s="67">
        <f t="shared" si="221"/>
        <v>0</v>
      </c>
      <c r="BJ622" s="70">
        <f t="shared" si="222"/>
        <v>0</v>
      </c>
      <c r="BN622" s="37"/>
      <c r="BO622" s="70">
        <f t="shared" si="202"/>
        <v>0</v>
      </c>
      <c r="BP622" s="37">
        <v>9</v>
      </c>
      <c r="BQ622" s="37">
        <v>9</v>
      </c>
      <c r="BR622" s="37">
        <v>8</v>
      </c>
      <c r="BS622" s="37">
        <v>7</v>
      </c>
      <c r="BT622" s="87">
        <f t="shared" si="203"/>
        <v>30.42</v>
      </c>
      <c r="BU622" s="87"/>
      <c r="BV622" s="87"/>
      <c r="BW622" s="87"/>
      <c r="BX622" s="87"/>
      <c r="BY622" s="87"/>
      <c r="BZ622" s="87"/>
      <c r="CA622" s="87"/>
      <c r="CB622" s="87"/>
      <c r="CC622" s="87"/>
      <c r="CD622" s="87"/>
      <c r="CF622" s="67">
        <f t="shared" si="204"/>
        <v>273.78000000000003</v>
      </c>
      <c r="CG622" s="67">
        <f t="shared" si="208"/>
        <v>273.78000000000003</v>
      </c>
      <c r="CH622" s="67">
        <f t="shared" si="218"/>
        <v>243.36</v>
      </c>
      <c r="CI622" s="67">
        <f t="shared" si="216"/>
        <v>212.94</v>
      </c>
      <c r="CJ622" s="37">
        <f t="shared" si="212"/>
        <v>126</v>
      </c>
      <c r="CK622" s="37">
        <f t="shared" si="213"/>
        <v>126</v>
      </c>
      <c r="CL622" s="37">
        <f t="shared" si="214"/>
        <v>112</v>
      </c>
      <c r="CM622" s="37">
        <f t="shared" si="215"/>
        <v>98</v>
      </c>
    </row>
    <row r="623" spans="1:91" ht="25.5">
      <c r="B623" s="156">
        <v>610</v>
      </c>
      <c r="C623" s="160">
        <v>312</v>
      </c>
      <c r="D623" s="162">
        <v>605</v>
      </c>
      <c r="E623" s="161">
        <v>0.39861111111111108</v>
      </c>
      <c r="F623" s="161">
        <v>0.41319444444444442</v>
      </c>
      <c r="G623" s="171" t="s">
        <v>624</v>
      </c>
      <c r="H623" s="160" t="s">
        <v>364</v>
      </c>
      <c r="I623" s="163">
        <v>12.5</v>
      </c>
      <c r="J623" s="164" t="s">
        <v>93</v>
      </c>
      <c r="K623" s="165">
        <f t="shared" si="223"/>
        <v>98</v>
      </c>
      <c r="L623" s="166">
        <f t="shared" si="217"/>
        <v>1225</v>
      </c>
      <c r="M623" s="177" t="s">
        <v>723</v>
      </c>
      <c r="N623" s="154" t="s">
        <v>867</v>
      </c>
      <c r="O623" s="154">
        <v>17</v>
      </c>
      <c r="R623" s="154"/>
      <c r="S623" s="154"/>
      <c r="T623" s="45">
        <v>3166</v>
      </c>
      <c r="U623" s="45" t="s">
        <v>1643</v>
      </c>
      <c r="V623" s="45">
        <v>3164</v>
      </c>
      <c r="W623" s="45" t="s">
        <v>1641</v>
      </c>
      <c r="X623" s="98">
        <v>44805</v>
      </c>
      <c r="Y623" s="98">
        <v>45169</v>
      </c>
      <c r="Z623" s="98"/>
      <c r="AA623" s="98"/>
      <c r="AB623" s="43" t="s">
        <v>1160</v>
      </c>
      <c r="AC623" s="43"/>
      <c r="AD623" s="42" t="s">
        <v>734</v>
      </c>
      <c r="AE623" s="42" t="s">
        <v>734</v>
      </c>
      <c r="AF623" s="42" t="s">
        <v>734</v>
      </c>
      <c r="AG623" s="42"/>
      <c r="AH623" s="42" t="s">
        <v>734</v>
      </c>
      <c r="AI623" s="42"/>
      <c r="AJ623" s="42"/>
      <c r="AK623" s="42" t="s">
        <v>734</v>
      </c>
      <c r="AL623" s="42"/>
      <c r="AM623" s="42"/>
      <c r="AN623" s="42"/>
      <c r="AO623" s="42"/>
      <c r="AP623" s="42"/>
      <c r="AQ623" s="42"/>
      <c r="AR623" s="42"/>
      <c r="AS623" s="42"/>
      <c r="AT623" s="42"/>
      <c r="AU623" s="42"/>
      <c r="AV623" s="42"/>
      <c r="AW623" s="42"/>
      <c r="AX623" s="68">
        <v>27.16</v>
      </c>
      <c r="AY623" s="37"/>
      <c r="BA623" s="68"/>
      <c r="BB623" s="68"/>
      <c r="BD623" s="67">
        <f t="shared" si="219"/>
        <v>2661.68</v>
      </c>
      <c r="BE623" s="67"/>
      <c r="BF623" s="37"/>
      <c r="BG623" s="73">
        <v>1</v>
      </c>
      <c r="BH623" s="67">
        <f t="shared" si="220"/>
        <v>0</v>
      </c>
      <c r="BI623" s="67">
        <f t="shared" si="221"/>
        <v>0</v>
      </c>
      <c r="BJ623" s="70">
        <f t="shared" si="222"/>
        <v>0</v>
      </c>
      <c r="BN623" s="37"/>
      <c r="BO623" s="70">
        <f t="shared" si="202"/>
        <v>0</v>
      </c>
      <c r="BP623" s="37">
        <v>9</v>
      </c>
      <c r="BQ623" s="37">
        <v>9</v>
      </c>
      <c r="BR623" s="37">
        <v>8</v>
      </c>
      <c r="BS623" s="37">
        <v>7</v>
      </c>
      <c r="BT623" s="87">
        <f t="shared" si="203"/>
        <v>27.16</v>
      </c>
      <c r="BU623" s="87"/>
      <c r="BV623" s="87"/>
      <c r="BW623" s="87"/>
      <c r="BX623" s="87"/>
      <c r="BY623" s="87"/>
      <c r="BZ623" s="87"/>
      <c r="CA623" s="87"/>
      <c r="CB623" s="87"/>
      <c r="CC623" s="87"/>
      <c r="CD623" s="87"/>
      <c r="CF623" s="67">
        <f t="shared" si="204"/>
        <v>244.44</v>
      </c>
      <c r="CG623" s="67">
        <f t="shared" si="208"/>
        <v>244.44</v>
      </c>
      <c r="CH623" s="67">
        <f t="shared" si="218"/>
        <v>217.28</v>
      </c>
      <c r="CI623" s="67">
        <f t="shared" si="216"/>
        <v>190.12</v>
      </c>
      <c r="CJ623" s="37">
        <f t="shared" si="212"/>
        <v>112.5</v>
      </c>
      <c r="CK623" s="37">
        <f t="shared" si="213"/>
        <v>112.5</v>
      </c>
      <c r="CL623" s="37">
        <f t="shared" si="214"/>
        <v>100</v>
      </c>
      <c r="CM623" s="37">
        <f t="shared" si="215"/>
        <v>87.5</v>
      </c>
    </row>
    <row r="624" spans="1:91" ht="25.5">
      <c r="B624" s="156">
        <v>611</v>
      </c>
      <c r="C624" s="160">
        <v>312</v>
      </c>
      <c r="D624" s="191">
        <v>603</v>
      </c>
      <c r="E624" s="161">
        <v>0.4375</v>
      </c>
      <c r="F624" s="161">
        <v>0.45555555555555555</v>
      </c>
      <c r="G624" s="171" t="s">
        <v>703</v>
      </c>
      <c r="H624" s="160" t="s">
        <v>364</v>
      </c>
      <c r="I624" s="163">
        <v>12</v>
      </c>
      <c r="J624" s="164" t="s">
        <v>93</v>
      </c>
      <c r="K624" s="165">
        <f t="shared" si="223"/>
        <v>98</v>
      </c>
      <c r="L624" s="166">
        <f t="shared" si="217"/>
        <v>1176</v>
      </c>
      <c r="M624" s="177" t="s">
        <v>723</v>
      </c>
      <c r="N624" s="154" t="s">
        <v>867</v>
      </c>
      <c r="O624" s="154">
        <v>17</v>
      </c>
      <c r="R624" s="154"/>
      <c r="S624" s="154"/>
      <c r="T624" s="45">
        <v>3164</v>
      </c>
      <c r="U624" s="45" t="s">
        <v>1641</v>
      </c>
      <c r="V624" s="45" t="s">
        <v>1644</v>
      </c>
      <c r="W624" s="45" t="s">
        <v>1645</v>
      </c>
      <c r="X624" s="98">
        <v>44805</v>
      </c>
      <c r="Y624" s="98">
        <v>45169</v>
      </c>
      <c r="Z624" s="98"/>
      <c r="AA624" s="98"/>
      <c r="AB624" s="43" t="s">
        <v>1160</v>
      </c>
      <c r="AC624" s="43"/>
      <c r="AD624" s="42" t="s">
        <v>734</v>
      </c>
      <c r="AE624" s="42" t="s">
        <v>734</v>
      </c>
      <c r="AF624" s="42" t="s">
        <v>734</v>
      </c>
      <c r="AG624" s="42"/>
      <c r="AH624" s="42" t="s">
        <v>734</v>
      </c>
      <c r="AI624" s="42"/>
      <c r="AJ624" s="42"/>
      <c r="AK624" s="42" t="s">
        <v>734</v>
      </c>
      <c r="AL624" s="42"/>
      <c r="AM624" s="42"/>
      <c r="AN624" s="42"/>
      <c r="AO624" s="42"/>
      <c r="AP624" s="42"/>
      <c r="AQ624" s="42"/>
      <c r="AR624" s="42"/>
      <c r="AS624" s="42"/>
      <c r="AT624" s="42"/>
      <c r="AU624" s="42"/>
      <c r="AV624" s="42"/>
      <c r="AW624" s="42"/>
      <c r="AX624" s="68">
        <v>26.07</v>
      </c>
      <c r="AY624" s="37"/>
      <c r="BA624" s="68"/>
      <c r="BB624" s="68"/>
      <c r="BD624" s="67">
        <f t="shared" si="219"/>
        <v>2554.86</v>
      </c>
      <c r="BE624" s="67"/>
      <c r="BF624" s="37"/>
      <c r="BG624" s="73">
        <v>1</v>
      </c>
      <c r="BH624" s="67">
        <f t="shared" si="220"/>
        <v>0</v>
      </c>
      <c r="BI624" s="67">
        <f t="shared" si="221"/>
        <v>0</v>
      </c>
      <c r="BJ624" s="70">
        <f t="shared" si="222"/>
        <v>0</v>
      </c>
      <c r="BN624" s="37"/>
      <c r="BO624" s="70">
        <f t="shared" si="202"/>
        <v>0</v>
      </c>
      <c r="BP624" s="37">
        <v>9</v>
      </c>
      <c r="BQ624" s="37">
        <v>9</v>
      </c>
      <c r="BR624" s="37">
        <v>8</v>
      </c>
      <c r="BS624" s="37">
        <v>7</v>
      </c>
      <c r="BT624" s="87">
        <f t="shared" si="203"/>
        <v>26.07</v>
      </c>
      <c r="BU624" s="87"/>
      <c r="BV624" s="87"/>
      <c r="BW624" s="87"/>
      <c r="BX624" s="87"/>
      <c r="BY624" s="87"/>
      <c r="BZ624" s="87"/>
      <c r="CA624" s="87"/>
      <c r="CB624" s="87"/>
      <c r="CC624" s="87"/>
      <c r="CD624" s="87"/>
      <c r="CF624" s="67">
        <f t="shared" si="204"/>
        <v>234.63</v>
      </c>
      <c r="CG624" s="67">
        <f t="shared" si="208"/>
        <v>234.63</v>
      </c>
      <c r="CH624" s="67">
        <f t="shared" si="218"/>
        <v>208.56</v>
      </c>
      <c r="CI624" s="67">
        <f t="shared" si="216"/>
        <v>182.49</v>
      </c>
      <c r="CJ624" s="37">
        <f t="shared" si="212"/>
        <v>108</v>
      </c>
      <c r="CK624" s="37">
        <f t="shared" si="213"/>
        <v>108</v>
      </c>
      <c r="CL624" s="37">
        <f t="shared" si="214"/>
        <v>96</v>
      </c>
      <c r="CM624" s="37">
        <f t="shared" si="215"/>
        <v>84</v>
      </c>
    </row>
    <row r="625" spans="1:91" ht="25.5">
      <c r="B625" s="156">
        <v>612</v>
      </c>
      <c r="C625" s="160">
        <v>312</v>
      </c>
      <c r="D625" s="162">
        <v>602</v>
      </c>
      <c r="E625" s="173">
        <v>0.45208333333333334</v>
      </c>
      <c r="F625" s="173">
        <v>0.47013888888888888</v>
      </c>
      <c r="G625" s="171" t="s">
        <v>625</v>
      </c>
      <c r="H625" s="160" t="s">
        <v>364</v>
      </c>
      <c r="I625" s="163">
        <v>12</v>
      </c>
      <c r="J625" s="164" t="s">
        <v>93</v>
      </c>
      <c r="K625" s="165">
        <f t="shared" si="223"/>
        <v>98</v>
      </c>
      <c r="L625" s="166">
        <f t="shared" si="217"/>
        <v>1176</v>
      </c>
      <c r="M625" s="177" t="s">
        <v>723</v>
      </c>
      <c r="N625" s="154" t="s">
        <v>867</v>
      </c>
      <c r="O625" s="154">
        <v>17</v>
      </c>
      <c r="R625" s="154"/>
      <c r="S625" s="154"/>
      <c r="T625" s="45" t="s">
        <v>1644</v>
      </c>
      <c r="U625" s="45" t="s">
        <v>1646</v>
      </c>
      <c r="V625" s="45">
        <v>3164</v>
      </c>
      <c r="W625" s="45" t="s">
        <v>1641</v>
      </c>
      <c r="X625" s="98">
        <v>44805</v>
      </c>
      <c r="Y625" s="98">
        <v>45169</v>
      </c>
      <c r="Z625" s="98"/>
      <c r="AA625" s="98"/>
      <c r="AB625" s="43" t="s">
        <v>1160</v>
      </c>
      <c r="AC625" s="43"/>
      <c r="AD625" s="42" t="s">
        <v>734</v>
      </c>
      <c r="AE625" s="42" t="s">
        <v>734</v>
      </c>
      <c r="AF625" s="42" t="s">
        <v>734</v>
      </c>
      <c r="AG625" s="42"/>
      <c r="AH625" s="42" t="s">
        <v>734</v>
      </c>
      <c r="AI625" s="42"/>
      <c r="AJ625" s="42"/>
      <c r="AK625" s="42" t="s">
        <v>734</v>
      </c>
      <c r="AL625" s="42"/>
      <c r="AM625" s="42"/>
      <c r="AN625" s="42"/>
      <c r="AO625" s="42"/>
      <c r="AP625" s="42"/>
      <c r="AQ625" s="42"/>
      <c r="AR625" s="42"/>
      <c r="AS625" s="42"/>
      <c r="AT625" s="42"/>
      <c r="AU625" s="42"/>
      <c r="AV625" s="42"/>
      <c r="AW625" s="42"/>
      <c r="AX625" s="68">
        <f>26.07+12</f>
        <v>38.07</v>
      </c>
      <c r="AY625" s="37"/>
      <c r="BA625" s="68"/>
      <c r="BB625" s="68"/>
      <c r="BD625" s="67">
        <f t="shared" si="219"/>
        <v>3730.86</v>
      </c>
      <c r="BE625" s="67"/>
      <c r="BF625" s="37"/>
      <c r="BG625" s="73">
        <v>1</v>
      </c>
      <c r="BH625" s="67">
        <f t="shared" si="220"/>
        <v>0</v>
      </c>
      <c r="BI625" s="67">
        <f t="shared" si="221"/>
        <v>0</v>
      </c>
      <c r="BJ625" s="70">
        <f t="shared" si="222"/>
        <v>0</v>
      </c>
      <c r="BN625" s="37"/>
      <c r="BO625" s="70">
        <f t="shared" si="202"/>
        <v>0</v>
      </c>
      <c r="BP625" s="37">
        <v>9</v>
      </c>
      <c r="BQ625" s="37">
        <v>9</v>
      </c>
      <c r="BR625" s="37">
        <v>8</v>
      </c>
      <c r="BS625" s="37">
        <v>7</v>
      </c>
      <c r="BT625" s="87">
        <f t="shared" si="203"/>
        <v>38.07</v>
      </c>
      <c r="BU625" s="87"/>
      <c r="BV625" s="87"/>
      <c r="BW625" s="87"/>
      <c r="BX625" s="87"/>
      <c r="BY625" s="87"/>
      <c r="BZ625" s="87"/>
      <c r="CA625" s="87"/>
      <c r="CB625" s="87"/>
      <c r="CC625" s="87"/>
      <c r="CD625" s="87"/>
      <c r="CF625" s="67">
        <f t="shared" si="204"/>
        <v>342.63</v>
      </c>
      <c r="CG625" s="67">
        <f t="shared" si="208"/>
        <v>342.63</v>
      </c>
      <c r="CH625" s="67">
        <f t="shared" si="218"/>
        <v>304.56</v>
      </c>
      <c r="CI625" s="67">
        <f t="shared" si="216"/>
        <v>266.49</v>
      </c>
      <c r="CJ625" s="37">
        <f t="shared" si="212"/>
        <v>108</v>
      </c>
      <c r="CK625" s="37">
        <f t="shared" si="213"/>
        <v>108</v>
      </c>
      <c r="CL625" s="37">
        <f t="shared" si="214"/>
        <v>96</v>
      </c>
      <c r="CM625" s="37">
        <f t="shared" si="215"/>
        <v>84</v>
      </c>
    </row>
    <row r="626" spans="1:91" ht="25.5">
      <c r="B626" s="156">
        <v>613</v>
      </c>
      <c r="C626" s="160">
        <v>312</v>
      </c>
      <c r="D626" s="191">
        <v>606</v>
      </c>
      <c r="E626" s="161">
        <v>0.47916666666666669</v>
      </c>
      <c r="F626" s="161">
        <v>0.5</v>
      </c>
      <c r="G626" s="171" t="s">
        <v>366</v>
      </c>
      <c r="H626" s="160" t="s">
        <v>364</v>
      </c>
      <c r="I626" s="163">
        <v>17.5</v>
      </c>
      <c r="J626" s="164" t="s">
        <v>93</v>
      </c>
      <c r="K626" s="165">
        <f t="shared" si="223"/>
        <v>98</v>
      </c>
      <c r="L626" s="166">
        <f t="shared" si="217"/>
        <v>1715</v>
      </c>
      <c r="M626" s="177" t="s">
        <v>723</v>
      </c>
      <c r="N626" s="154" t="s">
        <v>867</v>
      </c>
      <c r="O626" s="154">
        <v>17</v>
      </c>
      <c r="R626" s="154"/>
      <c r="S626" s="154"/>
      <c r="T626" s="45">
        <v>3164</v>
      </c>
      <c r="U626" s="45" t="s">
        <v>1641</v>
      </c>
      <c r="V626" s="45">
        <v>3169</v>
      </c>
      <c r="W626" s="45" t="s">
        <v>1371</v>
      </c>
      <c r="X626" s="98">
        <v>44805</v>
      </c>
      <c r="Y626" s="98">
        <v>45169</v>
      </c>
      <c r="Z626" s="98"/>
      <c r="AA626" s="98"/>
      <c r="AB626" s="43" t="s">
        <v>1160</v>
      </c>
      <c r="AC626" s="43"/>
      <c r="AD626" s="42" t="s">
        <v>734</v>
      </c>
      <c r="AE626" s="42" t="s">
        <v>734</v>
      </c>
      <c r="AF626" s="42" t="s">
        <v>734</v>
      </c>
      <c r="AG626" s="42"/>
      <c r="AH626" s="42" t="s">
        <v>734</v>
      </c>
      <c r="AI626" s="42"/>
      <c r="AJ626" s="42"/>
      <c r="AK626" s="42" t="s">
        <v>734</v>
      </c>
      <c r="AL626" s="42"/>
      <c r="AM626" s="42"/>
      <c r="AN626" s="42"/>
      <c r="AO626" s="42"/>
      <c r="AP626" s="42"/>
      <c r="AQ626" s="42"/>
      <c r="AR626" s="42"/>
      <c r="AS626" s="42"/>
      <c r="AT626" s="42"/>
      <c r="AU626" s="42"/>
      <c r="AV626" s="42"/>
      <c r="AW626" s="42"/>
      <c r="AX626" s="68">
        <v>38.020000000000003</v>
      </c>
      <c r="AY626" s="37"/>
      <c r="BA626" s="68"/>
      <c r="BB626" s="68"/>
      <c r="BD626" s="67">
        <f t="shared" si="219"/>
        <v>3725.9600000000005</v>
      </c>
      <c r="BE626" s="67"/>
      <c r="BF626" s="37"/>
      <c r="BG626" s="73">
        <v>1</v>
      </c>
      <c r="BH626" s="67">
        <f t="shared" si="220"/>
        <v>0</v>
      </c>
      <c r="BI626" s="67">
        <f t="shared" si="221"/>
        <v>0</v>
      </c>
      <c r="BJ626" s="70">
        <f t="shared" si="222"/>
        <v>0</v>
      </c>
      <c r="BN626" s="37"/>
      <c r="BO626" s="70">
        <f t="shared" si="202"/>
        <v>0</v>
      </c>
      <c r="BP626" s="37">
        <v>9</v>
      </c>
      <c r="BQ626" s="37">
        <v>9</v>
      </c>
      <c r="BR626" s="37">
        <v>8</v>
      </c>
      <c r="BS626" s="37">
        <v>7</v>
      </c>
      <c r="BT626" s="87">
        <f t="shared" si="203"/>
        <v>38.020000000000003</v>
      </c>
      <c r="BU626" s="87"/>
      <c r="BV626" s="87"/>
      <c r="BW626" s="87"/>
      <c r="BX626" s="87"/>
      <c r="BY626" s="87"/>
      <c r="BZ626" s="87"/>
      <c r="CA626" s="87"/>
      <c r="CB626" s="87"/>
      <c r="CC626" s="87"/>
      <c r="CD626" s="87"/>
      <c r="CF626" s="67">
        <f t="shared" si="204"/>
        <v>342.18</v>
      </c>
      <c r="CG626" s="67">
        <f t="shared" si="208"/>
        <v>342.18</v>
      </c>
      <c r="CH626" s="67">
        <f t="shared" si="218"/>
        <v>304.16000000000003</v>
      </c>
      <c r="CI626" s="67">
        <f t="shared" si="216"/>
        <v>266.14000000000004</v>
      </c>
      <c r="CJ626" s="37">
        <f t="shared" si="212"/>
        <v>157.5</v>
      </c>
      <c r="CK626" s="37">
        <f t="shared" si="213"/>
        <v>157.5</v>
      </c>
      <c r="CL626" s="37">
        <f t="shared" si="214"/>
        <v>140</v>
      </c>
      <c r="CM626" s="37">
        <f t="shared" si="215"/>
        <v>122.5</v>
      </c>
    </row>
    <row r="627" spans="1:91" ht="38.25">
      <c r="B627" s="156">
        <v>614</v>
      </c>
      <c r="C627" s="160">
        <v>312</v>
      </c>
      <c r="D627" s="162">
        <v>607</v>
      </c>
      <c r="E627" s="161">
        <v>0.5</v>
      </c>
      <c r="F627" s="161">
        <v>0.50972222222222219</v>
      </c>
      <c r="G627" s="171" t="s">
        <v>644</v>
      </c>
      <c r="H627" s="160" t="s">
        <v>364</v>
      </c>
      <c r="I627" s="163">
        <v>14</v>
      </c>
      <c r="J627" s="164" t="s">
        <v>93</v>
      </c>
      <c r="K627" s="165">
        <f t="shared" si="223"/>
        <v>98</v>
      </c>
      <c r="L627" s="166">
        <f t="shared" si="217"/>
        <v>1372</v>
      </c>
      <c r="M627" s="177" t="s">
        <v>723</v>
      </c>
      <c r="N627" s="154" t="s">
        <v>867</v>
      </c>
      <c r="O627" s="154">
        <v>17</v>
      </c>
      <c r="R627" s="154"/>
      <c r="S627" s="154"/>
      <c r="T627" s="45">
        <v>3169</v>
      </c>
      <c r="U627" s="45" t="s">
        <v>1371</v>
      </c>
      <c r="V627" s="45">
        <v>3164</v>
      </c>
      <c r="W627" s="45" t="s">
        <v>1641</v>
      </c>
      <c r="X627" s="98">
        <v>44805</v>
      </c>
      <c r="Y627" s="98">
        <v>45169</v>
      </c>
      <c r="Z627" s="98"/>
      <c r="AA627" s="98"/>
      <c r="AB627" s="43" t="s">
        <v>1160</v>
      </c>
      <c r="AC627" s="43"/>
      <c r="AD627" s="42" t="s">
        <v>734</v>
      </c>
      <c r="AE627" s="42" t="s">
        <v>734</v>
      </c>
      <c r="AF627" s="42" t="s">
        <v>734</v>
      </c>
      <c r="AG627" s="42"/>
      <c r="AH627" s="42" t="s">
        <v>734</v>
      </c>
      <c r="AI627" s="42"/>
      <c r="AJ627" s="42"/>
      <c r="AK627" s="42" t="s">
        <v>734</v>
      </c>
      <c r="AL627" s="42"/>
      <c r="AM627" s="42"/>
      <c r="AN627" s="42"/>
      <c r="AO627" s="42"/>
      <c r="AP627" s="42"/>
      <c r="AQ627" s="42"/>
      <c r="AR627" s="42"/>
      <c r="AS627" s="42"/>
      <c r="AT627" s="42"/>
      <c r="AU627" s="42"/>
      <c r="AV627" s="42"/>
      <c r="AW627" s="42"/>
      <c r="AX627" s="68">
        <v>30.42</v>
      </c>
      <c r="AY627" s="37"/>
      <c r="BA627" s="68"/>
      <c r="BB627" s="68"/>
      <c r="BD627" s="67">
        <f t="shared" si="219"/>
        <v>2981.1600000000003</v>
      </c>
      <c r="BE627" s="67"/>
      <c r="BF627" s="37"/>
      <c r="BG627" s="73">
        <v>1</v>
      </c>
      <c r="BH627" s="67">
        <f t="shared" si="220"/>
        <v>0</v>
      </c>
      <c r="BI627" s="67">
        <f t="shared" si="221"/>
        <v>0</v>
      </c>
      <c r="BJ627" s="70">
        <f t="shared" si="222"/>
        <v>0</v>
      </c>
      <c r="BN627" s="37"/>
      <c r="BO627" s="70">
        <f t="shared" si="202"/>
        <v>0</v>
      </c>
      <c r="BP627" s="37">
        <v>9</v>
      </c>
      <c r="BQ627" s="37">
        <v>9</v>
      </c>
      <c r="BR627" s="37">
        <v>8</v>
      </c>
      <c r="BS627" s="37">
        <v>7</v>
      </c>
      <c r="BT627" s="87">
        <f t="shared" si="203"/>
        <v>30.42</v>
      </c>
      <c r="BU627" s="87"/>
      <c r="BV627" s="87"/>
      <c r="BW627" s="87"/>
      <c r="BX627" s="87"/>
      <c r="BY627" s="87"/>
      <c r="BZ627" s="87"/>
      <c r="CA627" s="87"/>
      <c r="CB627" s="87"/>
      <c r="CC627" s="87"/>
      <c r="CD627" s="87"/>
      <c r="CF627" s="67">
        <f t="shared" si="204"/>
        <v>273.78000000000003</v>
      </c>
      <c r="CG627" s="67">
        <f t="shared" si="208"/>
        <v>273.78000000000003</v>
      </c>
      <c r="CH627" s="67">
        <f t="shared" si="218"/>
        <v>243.36</v>
      </c>
      <c r="CI627" s="67">
        <f t="shared" si="216"/>
        <v>212.94</v>
      </c>
      <c r="CJ627" s="37">
        <f t="shared" si="212"/>
        <v>126</v>
      </c>
      <c r="CK627" s="37">
        <f t="shared" si="213"/>
        <v>126</v>
      </c>
      <c r="CL627" s="37">
        <f t="shared" si="214"/>
        <v>112</v>
      </c>
      <c r="CM627" s="37">
        <f t="shared" si="215"/>
        <v>98</v>
      </c>
    </row>
    <row r="628" spans="1:91" ht="25.5">
      <c r="A628" s="3" t="s">
        <v>804</v>
      </c>
      <c r="B628" s="156">
        <v>615</v>
      </c>
      <c r="C628" s="160">
        <v>312</v>
      </c>
      <c r="D628" s="160"/>
      <c r="E628" s="161">
        <v>0.67708333333333337</v>
      </c>
      <c r="F628" s="161">
        <v>0.70833333333333337</v>
      </c>
      <c r="G628" s="160" t="s">
        <v>708</v>
      </c>
      <c r="H628" s="160" t="s">
        <v>103</v>
      </c>
      <c r="I628" s="163">
        <v>17.2</v>
      </c>
      <c r="J628" s="164" t="s">
        <v>93</v>
      </c>
      <c r="K628" s="165">
        <v>174</v>
      </c>
      <c r="L628" s="166">
        <f t="shared" si="217"/>
        <v>2992.7999999999997</v>
      </c>
      <c r="M628" s="167" t="s">
        <v>767</v>
      </c>
      <c r="N628" s="150" t="s">
        <v>971</v>
      </c>
      <c r="O628" s="150">
        <v>16</v>
      </c>
      <c r="P628" s="168" t="s">
        <v>1251</v>
      </c>
      <c r="Q628" s="168">
        <v>21</v>
      </c>
      <c r="R628" s="150" t="s">
        <v>1252</v>
      </c>
      <c r="S628" s="154">
        <v>15</v>
      </c>
      <c r="T628" s="45" t="s">
        <v>1369</v>
      </c>
      <c r="U628" s="45" t="s">
        <v>1370</v>
      </c>
      <c r="V628" s="45">
        <v>3253</v>
      </c>
      <c r="W628" s="45" t="s">
        <v>1647</v>
      </c>
      <c r="X628" s="98">
        <v>44816</v>
      </c>
      <c r="Y628" s="98">
        <v>45086</v>
      </c>
      <c r="Z628" s="98"/>
      <c r="AA628" s="98"/>
      <c r="AB628" s="41" t="s">
        <v>1114</v>
      </c>
      <c r="AC628" s="41"/>
      <c r="AD628" s="42"/>
      <c r="AE628" s="42"/>
      <c r="AF628" s="42"/>
      <c r="AG628" s="42" t="s">
        <v>734</v>
      </c>
      <c r="AH628" s="42" t="s">
        <v>734</v>
      </c>
      <c r="AI628" s="42" t="s">
        <v>734</v>
      </c>
      <c r="AJ628" s="42" t="s">
        <v>734</v>
      </c>
      <c r="AK628" s="42" t="s">
        <v>734</v>
      </c>
      <c r="AL628" s="42" t="s">
        <v>734</v>
      </c>
      <c r="AM628" s="42"/>
      <c r="AN628" s="42"/>
      <c r="AO628" s="42"/>
      <c r="AP628" s="42"/>
      <c r="AQ628" s="42"/>
      <c r="AR628" s="42"/>
      <c r="AS628" s="42"/>
      <c r="AT628" s="42"/>
      <c r="AU628" s="42"/>
      <c r="AV628" s="42"/>
      <c r="AW628" s="42"/>
      <c r="AX628" s="68"/>
      <c r="AZ628" s="67">
        <f>3*I628</f>
        <v>51.599999999999994</v>
      </c>
      <c r="BA628" s="68"/>
      <c r="BB628" s="68"/>
      <c r="BF628" s="67">
        <f>AZ628*K628</f>
        <v>8978.4</v>
      </c>
      <c r="BG628" s="73">
        <v>1</v>
      </c>
      <c r="BH628" s="73"/>
      <c r="BI628" s="79"/>
      <c r="BJ628" s="73"/>
      <c r="BK628" s="73"/>
      <c r="BL628" s="73"/>
      <c r="BM628" s="73"/>
      <c r="BN628" s="37"/>
      <c r="BO628" s="70">
        <f t="shared" si="202"/>
        <v>0</v>
      </c>
      <c r="BP628" s="37">
        <v>15</v>
      </c>
      <c r="BQ628" s="37">
        <v>20</v>
      </c>
      <c r="BR628" s="37">
        <v>21</v>
      </c>
      <c r="BS628" s="37">
        <v>15</v>
      </c>
      <c r="BT628" s="87">
        <f t="shared" si="203"/>
        <v>51.599999999999994</v>
      </c>
      <c r="BU628" s="87"/>
      <c r="BV628" s="87"/>
      <c r="BW628" s="87"/>
      <c r="BX628" s="87"/>
      <c r="BY628" s="87"/>
      <c r="BZ628" s="87"/>
      <c r="CA628" s="87"/>
      <c r="CB628" s="87"/>
      <c r="CC628" s="87"/>
      <c r="CD628" s="87"/>
      <c r="CF628" s="67">
        <f t="shared" si="204"/>
        <v>773.99999999999989</v>
      </c>
      <c r="CG628" s="67">
        <f t="shared" si="208"/>
        <v>1032</v>
      </c>
      <c r="CH628" s="67">
        <f t="shared" si="218"/>
        <v>1083.5999999999999</v>
      </c>
      <c r="CI628" s="67">
        <f t="shared" si="216"/>
        <v>773.99999999999989</v>
      </c>
      <c r="CJ628" s="37">
        <f t="shared" si="212"/>
        <v>258</v>
      </c>
      <c r="CK628" s="37">
        <f t="shared" si="213"/>
        <v>344</v>
      </c>
      <c r="CL628" s="37">
        <f t="shared" si="214"/>
        <v>361.2</v>
      </c>
      <c r="CM628" s="37">
        <f t="shared" si="215"/>
        <v>258</v>
      </c>
    </row>
    <row r="629" spans="1:91" ht="25.5">
      <c r="B629" s="156">
        <v>616</v>
      </c>
      <c r="C629" s="169">
        <v>312</v>
      </c>
      <c r="D629" s="169">
        <v>110</v>
      </c>
      <c r="E629" s="170">
        <v>0.7270833333333333</v>
      </c>
      <c r="F629" s="170">
        <v>0.78055555555555556</v>
      </c>
      <c r="G629" s="171" t="s">
        <v>28</v>
      </c>
      <c r="H629" s="160" t="s">
        <v>155</v>
      </c>
      <c r="I629" s="169">
        <v>36</v>
      </c>
      <c r="J629" s="172">
        <v>19</v>
      </c>
      <c r="K629" s="165">
        <v>252</v>
      </c>
      <c r="L629" s="166">
        <f t="shared" si="217"/>
        <v>9072</v>
      </c>
      <c r="M629" s="177" t="s">
        <v>748</v>
      </c>
      <c r="N629" s="150" t="s">
        <v>905</v>
      </c>
      <c r="O629" s="150">
        <v>23</v>
      </c>
      <c r="P629" s="150" t="s">
        <v>906</v>
      </c>
      <c r="Q629" s="150">
        <v>20</v>
      </c>
      <c r="S629" s="150"/>
      <c r="T629" s="45" t="s">
        <v>1369</v>
      </c>
      <c r="U629" s="45" t="s">
        <v>1370</v>
      </c>
      <c r="V629" s="45">
        <v>3166</v>
      </c>
      <c r="W629" s="45" t="s">
        <v>1643</v>
      </c>
      <c r="X629" s="98">
        <v>44805</v>
      </c>
      <c r="Y629" s="98">
        <v>45169</v>
      </c>
      <c r="Z629" s="98"/>
      <c r="AA629" s="98"/>
      <c r="AB629" s="41" t="s">
        <v>1113</v>
      </c>
      <c r="AC629" s="41"/>
      <c r="AD629" s="42" t="s">
        <v>734</v>
      </c>
      <c r="AE629" s="42" t="s">
        <v>734</v>
      </c>
      <c r="AF629" s="42" t="s">
        <v>734</v>
      </c>
      <c r="AG629" s="42"/>
      <c r="AH629" s="42" t="s">
        <v>734</v>
      </c>
      <c r="AI629" s="42" t="s">
        <v>734</v>
      </c>
      <c r="AJ629" s="42" t="s">
        <v>734</v>
      </c>
      <c r="AK629" s="42" t="s">
        <v>734</v>
      </c>
      <c r="AL629" s="42" t="s">
        <v>734</v>
      </c>
      <c r="AM629" s="42"/>
      <c r="AN629" s="42"/>
      <c r="AO629" s="42"/>
      <c r="AP629" s="42"/>
      <c r="AQ629" s="42"/>
      <c r="AR629" s="42"/>
      <c r="AS629" s="42"/>
      <c r="AT629" s="42"/>
      <c r="AU629" s="42"/>
      <c r="AV629" s="42"/>
      <c r="AW629" s="42"/>
      <c r="AY629" s="67">
        <f>1.9*36</f>
        <v>68.399999999999991</v>
      </c>
      <c r="BA629" s="67"/>
      <c r="BB629" s="67"/>
      <c r="BD629" s="67">
        <f t="shared" ref="BD629:BD660" si="224">AX629*K629</f>
        <v>0</v>
      </c>
      <c r="BE629" s="67">
        <f>AY629*K629</f>
        <v>17236.8</v>
      </c>
      <c r="BF629" s="37"/>
      <c r="BG629" s="73">
        <v>1</v>
      </c>
      <c r="BI629" s="67"/>
      <c r="BJ629" s="37"/>
      <c r="BK629" s="67">
        <f>IF(AND((AY629/I629)&lt;2,BG629=1),(I629*2)-AY629,0)</f>
        <v>3.6000000000000085</v>
      </c>
      <c r="BL629" s="67">
        <f>IF(AND((AY629/I629)&lt;3,BG629=2),(I629*3)-AY629,0)</f>
        <v>0</v>
      </c>
      <c r="BM629" s="70">
        <f>(BK629+BL629)*K629</f>
        <v>907.20000000000209</v>
      </c>
      <c r="BN629" s="37"/>
      <c r="BO629" s="70">
        <f t="shared" si="202"/>
        <v>0</v>
      </c>
      <c r="BP629" s="37">
        <v>22</v>
      </c>
      <c r="BQ629" s="37">
        <v>21</v>
      </c>
      <c r="BR629" s="37">
        <v>21</v>
      </c>
      <c r="BS629" s="37">
        <v>20</v>
      </c>
      <c r="BT629" s="87">
        <f t="shared" si="203"/>
        <v>72</v>
      </c>
      <c r="BU629" s="87"/>
      <c r="BV629" s="87"/>
      <c r="BW629" s="87"/>
      <c r="BX629" s="87"/>
      <c r="BY629" s="87"/>
      <c r="BZ629" s="87"/>
      <c r="CA629" s="87"/>
      <c r="CB629" s="87"/>
      <c r="CC629" s="87"/>
      <c r="CD629" s="87"/>
      <c r="CF629" s="67">
        <f t="shared" si="204"/>
        <v>1584</v>
      </c>
      <c r="CG629" s="67">
        <f t="shared" si="208"/>
        <v>1512</v>
      </c>
      <c r="CH629" s="67">
        <f t="shared" si="218"/>
        <v>1512</v>
      </c>
      <c r="CI629" s="67">
        <f t="shared" si="216"/>
        <v>1440</v>
      </c>
      <c r="CJ629" s="37">
        <f t="shared" si="212"/>
        <v>792</v>
      </c>
      <c r="CK629" s="37">
        <f t="shared" si="213"/>
        <v>756</v>
      </c>
      <c r="CL629" s="37">
        <f t="shared" si="214"/>
        <v>756</v>
      </c>
      <c r="CM629" s="37">
        <f t="shared" si="215"/>
        <v>720</v>
      </c>
    </row>
    <row r="630" spans="1:91" ht="25.5">
      <c r="B630" s="156">
        <v>617</v>
      </c>
      <c r="C630" s="169">
        <v>312</v>
      </c>
      <c r="D630" s="169">
        <v>128</v>
      </c>
      <c r="E630" s="170">
        <v>0.76388888888888884</v>
      </c>
      <c r="F630" s="170">
        <v>0.79513888888888884</v>
      </c>
      <c r="G630" s="171" t="s">
        <v>27</v>
      </c>
      <c r="H630" s="160" t="s">
        <v>97</v>
      </c>
      <c r="I630" s="169">
        <v>17</v>
      </c>
      <c r="J630" s="172">
        <v>19</v>
      </c>
      <c r="K630" s="165">
        <v>208</v>
      </c>
      <c r="L630" s="166">
        <f t="shared" si="217"/>
        <v>3536</v>
      </c>
      <c r="M630" s="177" t="s">
        <v>748</v>
      </c>
      <c r="N630" s="150" t="s">
        <v>909</v>
      </c>
      <c r="O630" s="150">
        <v>24</v>
      </c>
      <c r="P630" s="150" t="s">
        <v>906</v>
      </c>
      <c r="Q630" s="150">
        <v>20</v>
      </c>
      <c r="S630" s="150"/>
      <c r="T630" s="45" t="s">
        <v>1369</v>
      </c>
      <c r="U630" s="45" t="s">
        <v>1370</v>
      </c>
      <c r="V630" s="45">
        <v>3253</v>
      </c>
      <c r="W630" s="45" t="s">
        <v>1647</v>
      </c>
      <c r="X630" s="98">
        <v>44816</v>
      </c>
      <c r="Y630" s="98">
        <v>45086</v>
      </c>
      <c r="Z630" s="98"/>
      <c r="AA630" s="98"/>
      <c r="AB630" s="41" t="s">
        <v>1118</v>
      </c>
      <c r="AC630" s="41"/>
      <c r="AD630" s="42"/>
      <c r="AE630" s="42"/>
      <c r="AF630" s="42"/>
      <c r="AG630" s="42" t="s">
        <v>734</v>
      </c>
      <c r="AH630" s="42" t="s">
        <v>734</v>
      </c>
      <c r="AI630" s="42" t="s">
        <v>734</v>
      </c>
      <c r="AJ630" s="42" t="s">
        <v>734</v>
      </c>
      <c r="AK630" s="42" t="s">
        <v>734</v>
      </c>
      <c r="AL630" s="42" t="s">
        <v>734</v>
      </c>
      <c r="AM630" s="42" t="s">
        <v>734</v>
      </c>
      <c r="AN630" s="42"/>
      <c r="AO630" s="42"/>
      <c r="AP630" s="42"/>
      <c r="AQ630" s="42"/>
      <c r="AR630" s="42"/>
      <c r="AS630" s="42"/>
      <c r="AT630" s="42"/>
      <c r="AU630" s="42"/>
      <c r="AV630" s="42"/>
      <c r="AW630" s="42"/>
      <c r="AY630" s="67">
        <f>1.9*17</f>
        <v>32.299999999999997</v>
      </c>
      <c r="BA630" s="67"/>
      <c r="BB630" s="67"/>
      <c r="BD630" s="67">
        <f t="shared" si="224"/>
        <v>0</v>
      </c>
      <c r="BE630" s="67">
        <f>AY630*K630</f>
        <v>6718.4</v>
      </c>
      <c r="BF630" s="37"/>
      <c r="BG630" s="73">
        <v>1</v>
      </c>
      <c r="BI630" s="67"/>
      <c r="BJ630" s="37"/>
      <c r="BK630" s="67">
        <f>IF(AND((AY630/I630)&lt;2,BG630=1),(I630*2)-AY630,0)</f>
        <v>1.7000000000000028</v>
      </c>
      <c r="BL630" s="67">
        <f>IF(AND((AY630/I630)&lt;3,BG630=2),(I630*3)-AY630,0)</f>
        <v>0</v>
      </c>
      <c r="BM630" s="70">
        <f>(BK630+BL630)*K630</f>
        <v>353.60000000000059</v>
      </c>
      <c r="BN630" s="37"/>
      <c r="BO630" s="70">
        <f t="shared" ref="BO630:BO693" si="225">BN630*K630</f>
        <v>0</v>
      </c>
      <c r="BP630" s="37">
        <v>17</v>
      </c>
      <c r="BQ630" s="37">
        <v>25</v>
      </c>
      <c r="BR630" s="37">
        <v>25</v>
      </c>
      <c r="BS630" s="37">
        <v>18</v>
      </c>
      <c r="BT630" s="87">
        <f t="shared" ref="BT630:BT693" si="226">SUM(AX630:AZ630)+SUM(BH630:BI630)+SUM(BK630:BL630)+BN630</f>
        <v>34</v>
      </c>
      <c r="BU630" s="87"/>
      <c r="BV630" s="87"/>
      <c r="BW630" s="87"/>
      <c r="BX630" s="87"/>
      <c r="BY630" s="87"/>
      <c r="BZ630" s="87"/>
      <c r="CA630" s="87"/>
      <c r="CB630" s="87"/>
      <c r="CC630" s="87"/>
      <c r="CD630" s="87"/>
      <c r="CF630" s="67">
        <f t="shared" ref="CF630:CF693" si="227">(BT630*BP630)+(BV630*CD630)</f>
        <v>578</v>
      </c>
      <c r="CG630" s="67">
        <f t="shared" si="208"/>
        <v>850</v>
      </c>
      <c r="CH630" s="67">
        <f t="shared" si="218"/>
        <v>850</v>
      </c>
      <c r="CI630" s="67">
        <f t="shared" si="216"/>
        <v>612</v>
      </c>
      <c r="CJ630" s="37">
        <f t="shared" si="212"/>
        <v>289</v>
      </c>
      <c r="CK630" s="37">
        <f t="shared" si="213"/>
        <v>425</v>
      </c>
      <c r="CL630" s="37">
        <f t="shared" si="214"/>
        <v>425</v>
      </c>
      <c r="CM630" s="37">
        <f t="shared" si="215"/>
        <v>306</v>
      </c>
    </row>
    <row r="631" spans="1:91" ht="25.5">
      <c r="B631" s="156">
        <v>618</v>
      </c>
      <c r="C631" s="169">
        <v>312</v>
      </c>
      <c r="D631" s="169">
        <v>130</v>
      </c>
      <c r="E631" s="170">
        <v>0.8125</v>
      </c>
      <c r="F631" s="170">
        <v>0.84375</v>
      </c>
      <c r="G631" s="171" t="s">
        <v>27</v>
      </c>
      <c r="H631" s="160" t="s">
        <v>155</v>
      </c>
      <c r="I631" s="169">
        <v>17</v>
      </c>
      <c r="J631" s="172">
        <v>19</v>
      </c>
      <c r="K631" s="165">
        <v>252</v>
      </c>
      <c r="L631" s="166">
        <f t="shared" si="217"/>
        <v>4284</v>
      </c>
      <c r="M631" s="177" t="s">
        <v>748</v>
      </c>
      <c r="N631" s="150" t="s">
        <v>905</v>
      </c>
      <c r="O631" s="150">
        <v>23</v>
      </c>
      <c r="P631" s="150" t="s">
        <v>906</v>
      </c>
      <c r="Q631" s="150">
        <v>20</v>
      </c>
      <c r="R631" s="150" t="s">
        <v>909</v>
      </c>
      <c r="S631" s="151">
        <v>24</v>
      </c>
      <c r="T631" s="45" t="s">
        <v>1369</v>
      </c>
      <c r="U631" s="45" t="s">
        <v>1370</v>
      </c>
      <c r="V631" s="45">
        <v>3253</v>
      </c>
      <c r="W631" s="45" t="s">
        <v>1647</v>
      </c>
      <c r="X631" s="98">
        <v>44805</v>
      </c>
      <c r="Y631" s="98">
        <v>45169</v>
      </c>
      <c r="Z631" s="98"/>
      <c r="AA631" s="98"/>
      <c r="AB631" s="41" t="s">
        <v>1113</v>
      </c>
      <c r="AC631" s="41"/>
      <c r="AD631" s="42" t="s">
        <v>734</v>
      </c>
      <c r="AE631" s="42" t="s">
        <v>734</v>
      </c>
      <c r="AF631" s="42" t="s">
        <v>734</v>
      </c>
      <c r="AG631" s="42"/>
      <c r="AH631" s="42" t="s">
        <v>734</v>
      </c>
      <c r="AI631" s="42" t="s">
        <v>734</v>
      </c>
      <c r="AJ631" s="42" t="s">
        <v>734</v>
      </c>
      <c r="AK631" s="42" t="s">
        <v>734</v>
      </c>
      <c r="AL631" s="42" t="s">
        <v>734</v>
      </c>
      <c r="AM631" s="42"/>
      <c r="AN631" s="42"/>
      <c r="AO631" s="42"/>
      <c r="AP631" s="42"/>
      <c r="AQ631" s="42"/>
      <c r="AR631" s="42"/>
      <c r="AS631" s="42"/>
      <c r="AT631" s="42"/>
      <c r="AU631" s="42"/>
      <c r="AV631" s="42"/>
      <c r="AW631" s="42"/>
      <c r="AY631" s="67">
        <f>1.9*17</f>
        <v>32.299999999999997</v>
      </c>
      <c r="BA631" s="67"/>
      <c r="BB631" s="67"/>
      <c r="BD631" s="67">
        <f t="shared" si="224"/>
        <v>0</v>
      </c>
      <c r="BE631" s="67">
        <f>AY631*K631</f>
        <v>8139.5999999999995</v>
      </c>
      <c r="BF631" s="37"/>
      <c r="BG631" s="73">
        <v>1</v>
      </c>
      <c r="BI631" s="67"/>
      <c r="BJ631" s="37"/>
      <c r="BK631" s="67">
        <f>IF(AND((AY631/I631)&lt;2,BG631=1),(I631*2)-AY631,0)</f>
        <v>1.7000000000000028</v>
      </c>
      <c r="BL631" s="67">
        <f>IF(AND((AY631/I631)&lt;3,BG631=2),(I631*3)-AY631,0)</f>
        <v>0</v>
      </c>
      <c r="BM631" s="70">
        <f>(BK631+BL631)*K631</f>
        <v>428.40000000000072</v>
      </c>
      <c r="BN631" s="37"/>
      <c r="BO631" s="70">
        <f t="shared" si="225"/>
        <v>0</v>
      </c>
      <c r="BP631" s="37">
        <v>22</v>
      </c>
      <c r="BQ631" s="37">
        <v>21</v>
      </c>
      <c r="BR631" s="37">
        <v>21</v>
      </c>
      <c r="BS631" s="37">
        <v>20</v>
      </c>
      <c r="BT631" s="87">
        <f t="shared" si="226"/>
        <v>34</v>
      </c>
      <c r="BU631" s="87"/>
      <c r="BV631" s="87"/>
      <c r="BW631" s="87"/>
      <c r="BX631" s="87"/>
      <c r="BY631" s="87"/>
      <c r="BZ631" s="87"/>
      <c r="CA631" s="87"/>
      <c r="CB631" s="87"/>
      <c r="CC631" s="87"/>
      <c r="CD631" s="87"/>
      <c r="CF631" s="67">
        <f t="shared" si="227"/>
        <v>748</v>
      </c>
      <c r="CG631" s="67">
        <f t="shared" si="208"/>
        <v>714</v>
      </c>
      <c r="CH631" s="67">
        <f t="shared" si="218"/>
        <v>714</v>
      </c>
      <c r="CI631" s="67">
        <f t="shared" si="216"/>
        <v>680</v>
      </c>
      <c r="CJ631" s="37">
        <f t="shared" si="212"/>
        <v>374</v>
      </c>
      <c r="CK631" s="37">
        <f t="shared" si="213"/>
        <v>357</v>
      </c>
      <c r="CL631" s="37">
        <f t="shared" si="214"/>
        <v>357</v>
      </c>
      <c r="CM631" s="37">
        <f t="shared" si="215"/>
        <v>340</v>
      </c>
    </row>
    <row r="632" spans="1:91" ht="38.25">
      <c r="B632" s="156">
        <v>619</v>
      </c>
      <c r="C632" s="160">
        <v>314</v>
      </c>
      <c r="D632" s="162">
        <v>115</v>
      </c>
      <c r="E632" s="161">
        <v>0.27083333333333331</v>
      </c>
      <c r="F632" s="161">
        <v>0.30902777777777779</v>
      </c>
      <c r="G632" s="160" t="s">
        <v>363</v>
      </c>
      <c r="H632" s="160" t="s">
        <v>347</v>
      </c>
      <c r="I632" s="163">
        <v>27</v>
      </c>
      <c r="J632" s="164" t="s">
        <v>355</v>
      </c>
      <c r="K632" s="165">
        <v>29</v>
      </c>
      <c r="L632" s="166">
        <f t="shared" si="217"/>
        <v>783</v>
      </c>
      <c r="M632" s="177" t="s">
        <v>723</v>
      </c>
      <c r="N632" s="154" t="s">
        <v>867</v>
      </c>
      <c r="O632" s="154">
        <v>17</v>
      </c>
      <c r="R632" s="154"/>
      <c r="S632" s="154"/>
      <c r="T632" s="45">
        <v>3240</v>
      </c>
      <c r="U632" s="45" t="s">
        <v>1648</v>
      </c>
      <c r="V632" s="45" t="s">
        <v>1649</v>
      </c>
      <c r="W632" s="45" t="s">
        <v>1650</v>
      </c>
      <c r="X632" s="99">
        <v>44816</v>
      </c>
      <c r="Y632" s="99">
        <v>45100</v>
      </c>
      <c r="Z632" s="99"/>
      <c r="AA632" s="99"/>
      <c r="AB632" s="41" t="s">
        <v>1122</v>
      </c>
      <c r="AC632" s="41"/>
      <c r="AD632" s="42" t="s">
        <v>734</v>
      </c>
      <c r="AE632" s="42"/>
      <c r="AF632" s="42" t="s">
        <v>734</v>
      </c>
      <c r="AG632" s="42"/>
      <c r="AH632" s="42"/>
      <c r="AI632" s="42"/>
      <c r="AJ632" s="42"/>
      <c r="AK632" s="42"/>
      <c r="AL632" s="42"/>
      <c r="AM632" s="42"/>
      <c r="AN632" s="42"/>
      <c r="AO632" s="42"/>
      <c r="AP632" s="42"/>
      <c r="AQ632" s="42"/>
      <c r="AR632" s="42" t="s">
        <v>734</v>
      </c>
      <c r="AS632" s="42" t="s">
        <v>734</v>
      </c>
      <c r="AT632" s="42" t="s">
        <v>734</v>
      </c>
      <c r="AU632" s="42" t="s">
        <v>734</v>
      </c>
      <c r="AV632" s="42" t="s">
        <v>734</v>
      </c>
      <c r="AW632" s="42" t="s">
        <v>734</v>
      </c>
      <c r="AX632" s="68">
        <v>65.430000000000007</v>
      </c>
      <c r="AY632" s="37"/>
      <c r="BA632" s="68"/>
      <c r="BB632" s="68"/>
      <c r="BD632" s="67">
        <f t="shared" si="224"/>
        <v>1897.4700000000003</v>
      </c>
      <c r="BE632" s="67"/>
      <c r="BF632" s="37"/>
      <c r="BG632" s="73">
        <v>1</v>
      </c>
      <c r="BH632" s="67">
        <f t="shared" ref="BH632:BH651" si="228">IF(AND((AX632/I632)&lt;2,BG632=1),(I632*2)-AX632,0)</f>
        <v>0</v>
      </c>
      <c r="BI632" s="67">
        <f t="shared" ref="BI632:BI651" si="229">IF(AND((AX632/I632)&lt;3,BG632=2),(I632*3)-AX632,0)</f>
        <v>0</v>
      </c>
      <c r="BJ632" s="70">
        <f t="shared" ref="BJ632:BJ651" si="230">(BH632+BI632)*K632</f>
        <v>0</v>
      </c>
      <c r="BN632" s="67">
        <f>IF((AX632+AY632+AZ632)&lt;20,(20-(AX632+AY632+AZ632)),0)</f>
        <v>0</v>
      </c>
      <c r="BO632" s="70">
        <f t="shared" si="225"/>
        <v>0</v>
      </c>
      <c r="BP632" s="37">
        <v>0</v>
      </c>
      <c r="BQ632" s="37">
        <v>1</v>
      </c>
      <c r="BR632" s="37">
        <v>0</v>
      </c>
      <c r="BS632" s="37">
        <v>7</v>
      </c>
      <c r="BT632" s="87">
        <f t="shared" si="226"/>
        <v>65.430000000000007</v>
      </c>
      <c r="BU632" s="87"/>
      <c r="BV632" s="87"/>
      <c r="BW632" s="87"/>
      <c r="BX632" s="87"/>
      <c r="BY632" s="87"/>
      <c r="BZ632" s="87"/>
      <c r="CA632" s="87"/>
      <c r="CB632" s="87"/>
      <c r="CC632" s="87"/>
      <c r="CD632" s="87"/>
      <c r="CF632" s="67">
        <f t="shared" si="227"/>
        <v>0</v>
      </c>
      <c r="CG632" s="67">
        <f t="shared" si="208"/>
        <v>65.430000000000007</v>
      </c>
      <c r="CH632" s="67">
        <f t="shared" si="218"/>
        <v>0</v>
      </c>
      <c r="CI632" s="67">
        <f t="shared" si="216"/>
        <v>458.01000000000005</v>
      </c>
      <c r="CJ632" s="37">
        <f t="shared" si="212"/>
        <v>0</v>
      </c>
      <c r="CK632" s="37">
        <f t="shared" si="213"/>
        <v>27</v>
      </c>
      <c r="CL632" s="37">
        <f t="shared" si="214"/>
        <v>0</v>
      </c>
      <c r="CM632" s="37">
        <f t="shared" si="215"/>
        <v>189</v>
      </c>
    </row>
    <row r="633" spans="1:91" ht="38.25">
      <c r="B633" s="156">
        <v>620</v>
      </c>
      <c r="C633" s="160">
        <v>314</v>
      </c>
      <c r="D633" s="162">
        <v>114</v>
      </c>
      <c r="E633" s="161">
        <v>0.30902777777777779</v>
      </c>
      <c r="F633" s="161">
        <v>0.34027777777777773</v>
      </c>
      <c r="G633" s="160" t="s">
        <v>362</v>
      </c>
      <c r="H633" s="160" t="s">
        <v>361</v>
      </c>
      <c r="I633" s="163">
        <v>25</v>
      </c>
      <c r="J633" s="164" t="s">
        <v>355</v>
      </c>
      <c r="K633" s="165">
        <v>26</v>
      </c>
      <c r="L633" s="166">
        <f t="shared" si="217"/>
        <v>650</v>
      </c>
      <c r="M633" s="177" t="s">
        <v>723</v>
      </c>
      <c r="N633" s="154" t="s">
        <v>867</v>
      </c>
      <c r="O633" s="154">
        <v>17</v>
      </c>
      <c r="R633" s="154"/>
      <c r="S633" s="154"/>
      <c r="T633" s="45">
        <v>3100</v>
      </c>
      <c r="U633" s="45" t="s">
        <v>1651</v>
      </c>
      <c r="V633" s="45">
        <v>3164</v>
      </c>
      <c r="W633" s="45" t="s">
        <v>1641</v>
      </c>
      <c r="X633" s="99">
        <v>44816</v>
      </c>
      <c r="Y633" s="99">
        <v>45100</v>
      </c>
      <c r="Z633" s="99"/>
      <c r="AA633" s="99"/>
      <c r="AB633" s="41" t="s">
        <v>1147</v>
      </c>
      <c r="AC633" s="41"/>
      <c r="AD633" s="42" t="s">
        <v>734</v>
      </c>
      <c r="AE633" s="42"/>
      <c r="AF633" s="42" t="s">
        <v>734</v>
      </c>
      <c r="AG633" s="42"/>
      <c r="AH633" s="42"/>
      <c r="AI633" s="42"/>
      <c r="AJ633" s="42"/>
      <c r="AK633" s="42"/>
      <c r="AL633" s="42"/>
      <c r="AM633" s="42"/>
      <c r="AN633" s="42"/>
      <c r="AO633" s="42"/>
      <c r="AP633" s="42"/>
      <c r="AQ633" s="42"/>
      <c r="AR633" s="42" t="s">
        <v>734</v>
      </c>
      <c r="AS633" s="42" t="s">
        <v>734</v>
      </c>
      <c r="AT633" s="42" t="s">
        <v>734</v>
      </c>
      <c r="AU633" s="42" t="s">
        <v>734</v>
      </c>
      <c r="AV633" s="42" t="s">
        <v>734</v>
      </c>
      <c r="AW633" s="42"/>
      <c r="AX633" s="68">
        <v>44.29</v>
      </c>
      <c r="AY633" s="37"/>
      <c r="BA633" s="68"/>
      <c r="BB633" s="68"/>
      <c r="BD633" s="67">
        <f t="shared" si="224"/>
        <v>1151.54</v>
      </c>
      <c r="BE633" s="67"/>
      <c r="BF633" s="37"/>
      <c r="BG633" s="73">
        <v>1</v>
      </c>
      <c r="BH633" s="67">
        <f t="shared" si="228"/>
        <v>5.7100000000000009</v>
      </c>
      <c r="BI633" s="67">
        <f t="shared" si="229"/>
        <v>0</v>
      </c>
      <c r="BJ633" s="67">
        <f t="shared" si="230"/>
        <v>148.46000000000004</v>
      </c>
      <c r="BN633" s="37"/>
      <c r="BO633" s="70">
        <f t="shared" si="225"/>
        <v>0</v>
      </c>
      <c r="BP633" s="37">
        <v>0</v>
      </c>
      <c r="BQ633" s="37">
        <v>1</v>
      </c>
      <c r="BR633" s="37">
        <v>0</v>
      </c>
      <c r="BS633" s="37">
        <v>5</v>
      </c>
      <c r="BT633" s="87">
        <f t="shared" si="226"/>
        <v>50</v>
      </c>
      <c r="BU633" s="87"/>
      <c r="BV633" s="87"/>
      <c r="BW633" s="87"/>
      <c r="BX633" s="87"/>
      <c r="BY633" s="87"/>
      <c r="BZ633" s="87"/>
      <c r="CA633" s="87"/>
      <c r="CB633" s="87"/>
      <c r="CC633" s="87"/>
      <c r="CD633" s="87"/>
      <c r="CF633" s="67">
        <f t="shared" si="227"/>
        <v>0</v>
      </c>
      <c r="CG633" s="67">
        <f t="shared" si="208"/>
        <v>50</v>
      </c>
      <c r="CH633" s="67">
        <f t="shared" si="218"/>
        <v>0</v>
      </c>
      <c r="CI633" s="67">
        <f t="shared" si="216"/>
        <v>250</v>
      </c>
      <c r="CJ633" s="37">
        <f t="shared" si="212"/>
        <v>0</v>
      </c>
      <c r="CK633" s="37">
        <f t="shared" si="213"/>
        <v>25</v>
      </c>
      <c r="CL633" s="37">
        <f t="shared" si="214"/>
        <v>0</v>
      </c>
      <c r="CM633" s="37">
        <f t="shared" si="215"/>
        <v>125</v>
      </c>
    </row>
    <row r="634" spans="1:91" ht="38.25">
      <c r="B634" s="156">
        <v>621</v>
      </c>
      <c r="C634" s="160">
        <v>314</v>
      </c>
      <c r="D634" s="162">
        <v>608</v>
      </c>
      <c r="E634" s="161">
        <v>0.3611111111111111</v>
      </c>
      <c r="F634" s="161">
        <v>0.37638888888888888</v>
      </c>
      <c r="G634" s="171" t="s">
        <v>360</v>
      </c>
      <c r="H634" s="160" t="s">
        <v>626</v>
      </c>
      <c r="I634" s="163">
        <v>12</v>
      </c>
      <c r="J634" s="164" t="s">
        <v>93</v>
      </c>
      <c r="K634" s="165">
        <v>156</v>
      </c>
      <c r="L634" s="166">
        <f t="shared" si="217"/>
        <v>1872</v>
      </c>
      <c r="M634" s="177" t="s">
        <v>723</v>
      </c>
      <c r="N634" s="154" t="s">
        <v>867</v>
      </c>
      <c r="O634" s="154">
        <v>17</v>
      </c>
      <c r="R634" s="154"/>
      <c r="S634" s="154"/>
      <c r="T634" s="45">
        <v>3164</v>
      </c>
      <c r="U634" s="45" t="s">
        <v>1641</v>
      </c>
      <c r="V634" s="45">
        <v>3240</v>
      </c>
      <c r="W634" s="45" t="s">
        <v>1648</v>
      </c>
      <c r="X634" s="98">
        <v>44805</v>
      </c>
      <c r="Y634" s="98">
        <v>45169</v>
      </c>
      <c r="Z634" s="98"/>
      <c r="AA634" s="98"/>
      <c r="AB634" s="43" t="s">
        <v>1161</v>
      </c>
      <c r="AC634" s="43"/>
      <c r="AD634" s="42" t="s">
        <v>734</v>
      </c>
      <c r="AE634" s="42" t="s">
        <v>734</v>
      </c>
      <c r="AF634" s="42" t="s">
        <v>734</v>
      </c>
      <c r="AG634" s="42"/>
      <c r="AH634" s="42"/>
      <c r="AI634" s="42" t="s">
        <v>734</v>
      </c>
      <c r="AJ634" s="42" t="s">
        <v>734</v>
      </c>
      <c r="AK634" s="42"/>
      <c r="AL634" s="42" t="s">
        <v>734</v>
      </c>
      <c r="AM634" s="42"/>
      <c r="AN634" s="42"/>
      <c r="AO634" s="42"/>
      <c r="AP634" s="42"/>
      <c r="AQ634" s="42"/>
      <c r="AR634" s="42"/>
      <c r="AS634" s="42"/>
      <c r="AT634" s="42"/>
      <c r="AU634" s="42"/>
      <c r="AV634" s="42"/>
      <c r="AW634" s="42"/>
      <c r="AX634" s="67">
        <f>((36*52)+(24*104))/K634</f>
        <v>28</v>
      </c>
      <c r="AY634" s="37"/>
      <c r="BA634" s="68"/>
      <c r="BB634" s="68"/>
      <c r="BD634" s="67">
        <f t="shared" si="224"/>
        <v>4368</v>
      </c>
      <c r="BE634" s="67"/>
      <c r="BF634" s="37"/>
      <c r="BG634" s="73">
        <v>1</v>
      </c>
      <c r="BH634" s="67">
        <f t="shared" si="228"/>
        <v>0</v>
      </c>
      <c r="BI634" s="67">
        <f t="shared" si="229"/>
        <v>0</v>
      </c>
      <c r="BJ634" s="70">
        <f t="shared" si="230"/>
        <v>0</v>
      </c>
      <c r="BN634" s="37"/>
      <c r="BO634" s="70">
        <f t="shared" si="225"/>
        <v>0</v>
      </c>
      <c r="BP634" s="37">
        <v>13</v>
      </c>
      <c r="BQ634" s="37">
        <v>12</v>
      </c>
      <c r="BR634" s="37">
        <v>13</v>
      </c>
      <c r="BS634" s="37">
        <v>13</v>
      </c>
      <c r="BT634" s="87">
        <f t="shared" si="226"/>
        <v>28</v>
      </c>
      <c r="BU634" s="87"/>
      <c r="BV634" s="87"/>
      <c r="BW634" s="87"/>
      <c r="BX634" s="87"/>
      <c r="BY634" s="87"/>
      <c r="BZ634" s="87"/>
      <c r="CA634" s="87"/>
      <c r="CB634" s="87"/>
      <c r="CC634" s="87"/>
      <c r="CD634" s="87"/>
      <c r="CF634" s="67">
        <f t="shared" si="227"/>
        <v>364</v>
      </c>
      <c r="CG634" s="67">
        <f t="shared" si="208"/>
        <v>336</v>
      </c>
      <c r="CH634" s="67">
        <f t="shared" si="218"/>
        <v>364</v>
      </c>
      <c r="CI634" s="67">
        <f t="shared" si="216"/>
        <v>364</v>
      </c>
      <c r="CJ634" s="37">
        <f t="shared" si="212"/>
        <v>156</v>
      </c>
      <c r="CK634" s="37">
        <f t="shared" si="213"/>
        <v>144</v>
      </c>
      <c r="CL634" s="37">
        <f t="shared" si="214"/>
        <v>156</v>
      </c>
      <c r="CM634" s="37">
        <f t="shared" si="215"/>
        <v>156</v>
      </c>
    </row>
    <row r="635" spans="1:91" ht="38.25">
      <c r="B635" s="156">
        <v>622</v>
      </c>
      <c r="C635" s="160">
        <v>314</v>
      </c>
      <c r="D635" s="162">
        <v>609</v>
      </c>
      <c r="E635" s="161">
        <v>0.37638888888888888</v>
      </c>
      <c r="F635" s="161">
        <v>0.39097222222222222</v>
      </c>
      <c r="G635" s="171" t="s">
        <v>358</v>
      </c>
      <c r="H635" s="160" t="s">
        <v>626</v>
      </c>
      <c r="I635" s="163">
        <v>12</v>
      </c>
      <c r="J635" s="164" t="s">
        <v>93</v>
      </c>
      <c r="K635" s="165">
        <v>156</v>
      </c>
      <c r="L635" s="166">
        <f t="shared" si="217"/>
        <v>1872</v>
      </c>
      <c r="M635" s="177" t="s">
        <v>723</v>
      </c>
      <c r="N635" s="154" t="s">
        <v>867</v>
      </c>
      <c r="O635" s="154">
        <v>17</v>
      </c>
      <c r="R635" s="154"/>
      <c r="S635" s="154"/>
      <c r="T635" s="45">
        <v>3240</v>
      </c>
      <c r="U635" s="45" t="s">
        <v>1648</v>
      </c>
      <c r="V635" s="45">
        <v>3164</v>
      </c>
      <c r="W635" s="45" t="s">
        <v>1641</v>
      </c>
      <c r="X635" s="98">
        <v>44805</v>
      </c>
      <c r="Y635" s="98">
        <v>45169</v>
      </c>
      <c r="Z635" s="98"/>
      <c r="AA635" s="98"/>
      <c r="AB635" s="43" t="s">
        <v>1161</v>
      </c>
      <c r="AC635" s="43"/>
      <c r="AD635" s="42" t="s">
        <v>734</v>
      </c>
      <c r="AE635" s="42" t="s">
        <v>734</v>
      </c>
      <c r="AF635" s="42" t="s">
        <v>734</v>
      </c>
      <c r="AG635" s="42"/>
      <c r="AH635" s="42"/>
      <c r="AI635" s="42" t="s">
        <v>734</v>
      </c>
      <c r="AJ635" s="42" t="s">
        <v>734</v>
      </c>
      <c r="AK635" s="42"/>
      <c r="AL635" s="42" t="s">
        <v>734</v>
      </c>
      <c r="AM635" s="42"/>
      <c r="AN635" s="42"/>
      <c r="AO635" s="42"/>
      <c r="AP635" s="42"/>
      <c r="AQ635" s="42"/>
      <c r="AR635" s="42"/>
      <c r="AS635" s="42"/>
      <c r="AT635" s="42"/>
      <c r="AU635" s="42"/>
      <c r="AV635" s="42"/>
      <c r="AW635" s="42"/>
      <c r="AX635" s="67">
        <f>((36*52)+(24*104))/K635</f>
        <v>28</v>
      </c>
      <c r="AY635" s="37"/>
      <c r="BA635" s="68"/>
      <c r="BB635" s="68"/>
      <c r="BD635" s="67">
        <f t="shared" si="224"/>
        <v>4368</v>
      </c>
      <c r="BE635" s="67"/>
      <c r="BF635" s="37"/>
      <c r="BG635" s="73">
        <v>1</v>
      </c>
      <c r="BH635" s="67">
        <f t="shared" si="228"/>
        <v>0</v>
      </c>
      <c r="BI635" s="67">
        <f t="shared" si="229"/>
        <v>0</v>
      </c>
      <c r="BJ635" s="70">
        <f t="shared" si="230"/>
        <v>0</v>
      </c>
      <c r="BN635" s="37"/>
      <c r="BO635" s="70">
        <f t="shared" si="225"/>
        <v>0</v>
      </c>
      <c r="BP635" s="37">
        <v>13</v>
      </c>
      <c r="BQ635" s="37">
        <v>12</v>
      </c>
      <c r="BR635" s="37">
        <v>13</v>
      </c>
      <c r="BS635" s="37">
        <v>13</v>
      </c>
      <c r="BT635" s="87">
        <f t="shared" si="226"/>
        <v>28</v>
      </c>
      <c r="BU635" s="87"/>
      <c r="BV635" s="87"/>
      <c r="BW635" s="87"/>
      <c r="BX635" s="87"/>
      <c r="BY635" s="87"/>
      <c r="BZ635" s="87"/>
      <c r="CA635" s="87"/>
      <c r="CB635" s="87"/>
      <c r="CC635" s="87"/>
      <c r="CD635" s="87"/>
      <c r="CF635" s="67">
        <f t="shared" si="227"/>
        <v>364</v>
      </c>
      <c r="CG635" s="67">
        <f t="shared" si="208"/>
        <v>336</v>
      </c>
      <c r="CH635" s="67">
        <f t="shared" si="218"/>
        <v>364</v>
      </c>
      <c r="CI635" s="67">
        <f t="shared" si="216"/>
        <v>364</v>
      </c>
      <c r="CJ635" s="37">
        <f t="shared" si="212"/>
        <v>156</v>
      </c>
      <c r="CK635" s="37">
        <f t="shared" si="213"/>
        <v>144</v>
      </c>
      <c r="CL635" s="37">
        <f t="shared" si="214"/>
        <v>156</v>
      </c>
      <c r="CM635" s="37">
        <f t="shared" si="215"/>
        <v>156</v>
      </c>
    </row>
    <row r="636" spans="1:91" ht="38.25">
      <c r="B636" s="156">
        <v>623</v>
      </c>
      <c r="C636" s="160">
        <v>314</v>
      </c>
      <c r="D636" s="162">
        <v>613</v>
      </c>
      <c r="E636" s="161">
        <v>0.3923611111111111</v>
      </c>
      <c r="F636" s="161">
        <v>0.40902777777777777</v>
      </c>
      <c r="G636" s="171" t="s">
        <v>357</v>
      </c>
      <c r="H636" s="160" t="s">
        <v>626</v>
      </c>
      <c r="I636" s="163">
        <v>15</v>
      </c>
      <c r="J636" s="164" t="s">
        <v>93</v>
      </c>
      <c r="K636" s="165">
        <v>156</v>
      </c>
      <c r="L636" s="166">
        <f t="shared" si="217"/>
        <v>2340</v>
      </c>
      <c r="M636" s="177" t="s">
        <v>723</v>
      </c>
      <c r="N636" s="154" t="s">
        <v>867</v>
      </c>
      <c r="O636" s="154">
        <v>17</v>
      </c>
      <c r="R636" s="154"/>
      <c r="S636" s="154"/>
      <c r="T636" s="45">
        <v>3164</v>
      </c>
      <c r="U636" s="45" t="s">
        <v>1641</v>
      </c>
      <c r="V636" s="45">
        <v>3231</v>
      </c>
      <c r="W636" s="45" t="s">
        <v>1652</v>
      </c>
      <c r="X636" s="98">
        <v>44805</v>
      </c>
      <c r="Y636" s="98">
        <v>45169</v>
      </c>
      <c r="Z636" s="98"/>
      <c r="AA636" s="98"/>
      <c r="AB636" s="43" t="s">
        <v>1161</v>
      </c>
      <c r="AC636" s="43"/>
      <c r="AD636" s="42" t="s">
        <v>734</v>
      </c>
      <c r="AE636" s="42" t="s">
        <v>734</v>
      </c>
      <c r="AF636" s="42" t="s">
        <v>734</v>
      </c>
      <c r="AG636" s="42"/>
      <c r="AH636" s="42"/>
      <c r="AI636" s="42" t="s">
        <v>734</v>
      </c>
      <c r="AJ636" s="42" t="s">
        <v>734</v>
      </c>
      <c r="AK636" s="42"/>
      <c r="AL636" s="42" t="s">
        <v>734</v>
      </c>
      <c r="AM636" s="42"/>
      <c r="AN636" s="42"/>
      <c r="AO636" s="42"/>
      <c r="AP636" s="42"/>
      <c r="AQ636" s="42"/>
      <c r="AR636" s="42"/>
      <c r="AS636" s="42"/>
      <c r="AT636" s="42"/>
      <c r="AU636" s="42"/>
      <c r="AV636" s="42"/>
      <c r="AW636" s="42"/>
      <c r="AX636" s="67">
        <f>((45*52)+(30*104))/K636</f>
        <v>35</v>
      </c>
      <c r="AY636" s="37"/>
      <c r="BA636" s="68"/>
      <c r="BB636" s="68"/>
      <c r="BD636" s="67">
        <f t="shared" si="224"/>
        <v>5460</v>
      </c>
      <c r="BE636" s="67"/>
      <c r="BF636" s="37"/>
      <c r="BG636" s="73">
        <v>1</v>
      </c>
      <c r="BH636" s="67">
        <f t="shared" si="228"/>
        <v>0</v>
      </c>
      <c r="BI636" s="67">
        <f t="shared" si="229"/>
        <v>0</v>
      </c>
      <c r="BJ636" s="70">
        <f t="shared" si="230"/>
        <v>0</v>
      </c>
      <c r="BN636" s="37"/>
      <c r="BO636" s="70">
        <f t="shared" si="225"/>
        <v>0</v>
      </c>
      <c r="BP636" s="37">
        <v>13</v>
      </c>
      <c r="BQ636" s="37">
        <v>12</v>
      </c>
      <c r="BR636" s="37">
        <v>13</v>
      </c>
      <c r="BS636" s="37">
        <v>13</v>
      </c>
      <c r="BT636" s="87">
        <f t="shared" si="226"/>
        <v>35</v>
      </c>
      <c r="BU636" s="87"/>
      <c r="BV636" s="87"/>
      <c r="BW636" s="87"/>
      <c r="BX636" s="87"/>
      <c r="BY636" s="87"/>
      <c r="BZ636" s="87"/>
      <c r="CA636" s="87"/>
      <c r="CB636" s="87"/>
      <c r="CC636" s="87"/>
      <c r="CD636" s="87"/>
      <c r="CF636" s="67">
        <f t="shared" si="227"/>
        <v>455</v>
      </c>
      <c r="CG636" s="67">
        <f t="shared" ref="CG636:CG699" si="231">(BT636*BQ636)+(BX636*CD636)</f>
        <v>420</v>
      </c>
      <c r="CH636" s="67">
        <f t="shared" si="218"/>
        <v>455</v>
      </c>
      <c r="CI636" s="67">
        <f t="shared" si="216"/>
        <v>455</v>
      </c>
      <c r="CJ636" s="37">
        <f t="shared" si="212"/>
        <v>195</v>
      </c>
      <c r="CK636" s="37">
        <f t="shared" si="213"/>
        <v>180</v>
      </c>
      <c r="CL636" s="37">
        <f t="shared" si="214"/>
        <v>195</v>
      </c>
      <c r="CM636" s="37">
        <f t="shared" si="215"/>
        <v>195</v>
      </c>
    </row>
    <row r="637" spans="1:91" ht="38.25">
      <c r="B637" s="156">
        <v>624</v>
      </c>
      <c r="C637" s="160">
        <v>314</v>
      </c>
      <c r="D637" s="162">
        <v>612</v>
      </c>
      <c r="E637" s="161">
        <v>0.40902777777777777</v>
      </c>
      <c r="F637" s="161">
        <v>0.42569444444444443</v>
      </c>
      <c r="G637" s="171" t="s">
        <v>356</v>
      </c>
      <c r="H637" s="160" t="s">
        <v>626</v>
      </c>
      <c r="I637" s="163">
        <v>15</v>
      </c>
      <c r="J637" s="164" t="s">
        <v>93</v>
      </c>
      <c r="K637" s="165">
        <v>156</v>
      </c>
      <c r="L637" s="166">
        <f t="shared" si="217"/>
        <v>2340</v>
      </c>
      <c r="M637" s="177" t="s">
        <v>723</v>
      </c>
      <c r="N637" s="154" t="s">
        <v>867</v>
      </c>
      <c r="O637" s="154">
        <v>17</v>
      </c>
      <c r="R637" s="154"/>
      <c r="S637" s="154"/>
      <c r="T637" s="45">
        <v>3231</v>
      </c>
      <c r="U637" s="45" t="s">
        <v>1652</v>
      </c>
      <c r="V637" s="45">
        <v>3164</v>
      </c>
      <c r="W637" s="45" t="s">
        <v>1641</v>
      </c>
      <c r="X637" s="98">
        <v>44805</v>
      </c>
      <c r="Y637" s="98">
        <v>45169</v>
      </c>
      <c r="Z637" s="98"/>
      <c r="AA637" s="98"/>
      <c r="AB637" s="43" t="s">
        <v>1161</v>
      </c>
      <c r="AC637" s="43"/>
      <c r="AD637" s="42" t="s">
        <v>734</v>
      </c>
      <c r="AE637" s="42" t="s">
        <v>734</v>
      </c>
      <c r="AF637" s="42" t="s">
        <v>734</v>
      </c>
      <c r="AG637" s="42"/>
      <c r="AH637" s="42"/>
      <c r="AI637" s="42" t="s">
        <v>734</v>
      </c>
      <c r="AJ637" s="42" t="s">
        <v>734</v>
      </c>
      <c r="AK637" s="42"/>
      <c r="AL637" s="42" t="s">
        <v>734</v>
      </c>
      <c r="AM637" s="42"/>
      <c r="AN637" s="42"/>
      <c r="AO637" s="42"/>
      <c r="AP637" s="42"/>
      <c r="AQ637" s="42"/>
      <c r="AR637" s="42"/>
      <c r="AS637" s="42"/>
      <c r="AT637" s="42"/>
      <c r="AU637" s="42"/>
      <c r="AV637" s="42"/>
      <c r="AW637" s="42"/>
      <c r="AX637" s="67">
        <f>((45*52)+(30*104))/K637</f>
        <v>35</v>
      </c>
      <c r="AY637" s="37"/>
      <c r="BA637" s="68"/>
      <c r="BB637" s="68"/>
      <c r="BD637" s="67">
        <f t="shared" si="224"/>
        <v>5460</v>
      </c>
      <c r="BE637" s="67"/>
      <c r="BF637" s="37"/>
      <c r="BG637" s="73">
        <v>1</v>
      </c>
      <c r="BH637" s="67">
        <f t="shared" si="228"/>
        <v>0</v>
      </c>
      <c r="BI637" s="67">
        <f t="shared" si="229"/>
        <v>0</v>
      </c>
      <c r="BJ637" s="70">
        <f t="shared" si="230"/>
        <v>0</v>
      </c>
      <c r="BN637" s="37"/>
      <c r="BO637" s="70">
        <f t="shared" si="225"/>
        <v>0</v>
      </c>
      <c r="BP637" s="37">
        <v>13</v>
      </c>
      <c r="BQ637" s="37">
        <v>12</v>
      </c>
      <c r="BR637" s="37">
        <v>13</v>
      </c>
      <c r="BS637" s="37">
        <v>13</v>
      </c>
      <c r="BT637" s="87">
        <f t="shared" si="226"/>
        <v>35</v>
      </c>
      <c r="BU637" s="87"/>
      <c r="BV637" s="87"/>
      <c r="BW637" s="87"/>
      <c r="BX637" s="87"/>
      <c r="BY637" s="87"/>
      <c r="BZ637" s="87"/>
      <c r="CA637" s="87"/>
      <c r="CB637" s="87"/>
      <c r="CC637" s="87"/>
      <c r="CD637" s="87"/>
      <c r="CF637" s="67">
        <f t="shared" si="227"/>
        <v>455</v>
      </c>
      <c r="CG637" s="67">
        <f t="shared" si="231"/>
        <v>420</v>
      </c>
      <c r="CH637" s="67">
        <f t="shared" si="218"/>
        <v>455</v>
      </c>
      <c r="CI637" s="67">
        <f t="shared" si="216"/>
        <v>455</v>
      </c>
      <c r="CJ637" s="37">
        <f t="shared" si="212"/>
        <v>195</v>
      </c>
      <c r="CK637" s="37">
        <f t="shared" si="213"/>
        <v>180</v>
      </c>
      <c r="CL637" s="37">
        <f t="shared" si="214"/>
        <v>195</v>
      </c>
      <c r="CM637" s="37">
        <f t="shared" si="215"/>
        <v>195</v>
      </c>
    </row>
    <row r="638" spans="1:91" ht="38.25">
      <c r="B638" s="156">
        <v>625</v>
      </c>
      <c r="C638" s="160">
        <v>314</v>
      </c>
      <c r="D638" s="162">
        <v>610</v>
      </c>
      <c r="E638" s="161">
        <v>0.4375</v>
      </c>
      <c r="F638" s="161">
        <v>0.45277777777777778</v>
      </c>
      <c r="G638" s="171" t="s">
        <v>359</v>
      </c>
      <c r="H638" s="160" t="s">
        <v>626</v>
      </c>
      <c r="I638" s="163">
        <v>12</v>
      </c>
      <c r="J638" s="164" t="s">
        <v>93</v>
      </c>
      <c r="K638" s="165">
        <v>156</v>
      </c>
      <c r="L638" s="166">
        <f t="shared" si="217"/>
        <v>1872</v>
      </c>
      <c r="M638" s="177" t="s">
        <v>723</v>
      </c>
      <c r="N638" s="154" t="s">
        <v>867</v>
      </c>
      <c r="O638" s="154">
        <v>17</v>
      </c>
      <c r="R638" s="154"/>
      <c r="S638" s="154"/>
      <c r="T638" s="45">
        <v>3164</v>
      </c>
      <c r="U638" s="45" t="s">
        <v>1641</v>
      </c>
      <c r="V638" s="45">
        <v>3240</v>
      </c>
      <c r="W638" s="45" t="s">
        <v>1648</v>
      </c>
      <c r="X638" s="98">
        <v>44805</v>
      </c>
      <c r="Y638" s="98">
        <v>45169</v>
      </c>
      <c r="Z638" s="98"/>
      <c r="AA638" s="98"/>
      <c r="AB638" s="43" t="s">
        <v>1161</v>
      </c>
      <c r="AC638" s="43"/>
      <c r="AD638" s="42" t="s">
        <v>734</v>
      </c>
      <c r="AE638" s="42" t="s">
        <v>734</v>
      </c>
      <c r="AF638" s="42" t="s">
        <v>734</v>
      </c>
      <c r="AG638" s="42"/>
      <c r="AH638" s="42"/>
      <c r="AI638" s="42" t="s">
        <v>734</v>
      </c>
      <c r="AJ638" s="42" t="s">
        <v>734</v>
      </c>
      <c r="AK638" s="42"/>
      <c r="AL638" s="42" t="s">
        <v>734</v>
      </c>
      <c r="AM638" s="42"/>
      <c r="AN638" s="42"/>
      <c r="AO638" s="42"/>
      <c r="AP638" s="42"/>
      <c r="AQ638" s="42"/>
      <c r="AR638" s="42"/>
      <c r="AS638" s="42"/>
      <c r="AT638" s="42"/>
      <c r="AU638" s="42"/>
      <c r="AV638" s="42"/>
      <c r="AW638" s="42"/>
      <c r="AX638" s="67">
        <f>((36*52)+(24*104))/K638</f>
        <v>28</v>
      </c>
      <c r="AY638" s="37"/>
      <c r="BA638" s="68"/>
      <c r="BB638" s="68"/>
      <c r="BD638" s="67">
        <f t="shared" si="224"/>
        <v>4368</v>
      </c>
      <c r="BE638" s="67"/>
      <c r="BF638" s="37"/>
      <c r="BG638" s="73">
        <v>1</v>
      </c>
      <c r="BH638" s="67">
        <f t="shared" si="228"/>
        <v>0</v>
      </c>
      <c r="BI638" s="67">
        <f t="shared" si="229"/>
        <v>0</v>
      </c>
      <c r="BJ638" s="70">
        <f t="shared" si="230"/>
        <v>0</v>
      </c>
      <c r="BN638" s="37"/>
      <c r="BO638" s="70">
        <f t="shared" si="225"/>
        <v>0</v>
      </c>
      <c r="BP638" s="37">
        <v>13</v>
      </c>
      <c r="BQ638" s="37">
        <v>12</v>
      </c>
      <c r="BR638" s="37">
        <v>13</v>
      </c>
      <c r="BS638" s="37">
        <v>13</v>
      </c>
      <c r="BT638" s="87">
        <f t="shared" si="226"/>
        <v>28</v>
      </c>
      <c r="BU638" s="87"/>
      <c r="BV638" s="87"/>
      <c r="BW638" s="87"/>
      <c r="BX638" s="87"/>
      <c r="BY638" s="87"/>
      <c r="BZ638" s="87"/>
      <c r="CA638" s="87"/>
      <c r="CB638" s="87"/>
      <c r="CC638" s="87"/>
      <c r="CD638" s="87"/>
      <c r="CF638" s="67">
        <f t="shared" si="227"/>
        <v>364</v>
      </c>
      <c r="CG638" s="67">
        <f t="shared" si="231"/>
        <v>336</v>
      </c>
      <c r="CH638" s="67">
        <f t="shared" si="218"/>
        <v>364</v>
      </c>
      <c r="CI638" s="67">
        <f t="shared" si="216"/>
        <v>364</v>
      </c>
      <c r="CJ638" s="37">
        <f t="shared" si="212"/>
        <v>156</v>
      </c>
      <c r="CK638" s="37">
        <f t="shared" si="213"/>
        <v>144</v>
      </c>
      <c r="CL638" s="37">
        <f t="shared" si="214"/>
        <v>156</v>
      </c>
      <c r="CM638" s="37">
        <f t="shared" si="215"/>
        <v>156</v>
      </c>
    </row>
    <row r="639" spans="1:91" ht="38.25">
      <c r="B639" s="156">
        <v>626</v>
      </c>
      <c r="C639" s="160">
        <v>314</v>
      </c>
      <c r="D639" s="162">
        <v>611</v>
      </c>
      <c r="E639" s="161">
        <v>0.45277777777777778</v>
      </c>
      <c r="F639" s="161">
        <v>0.46736111111111112</v>
      </c>
      <c r="G639" s="171" t="s">
        <v>358</v>
      </c>
      <c r="H639" s="160" t="s">
        <v>626</v>
      </c>
      <c r="I639" s="163">
        <v>12</v>
      </c>
      <c r="J639" s="164" t="s">
        <v>93</v>
      </c>
      <c r="K639" s="165">
        <v>156</v>
      </c>
      <c r="L639" s="166">
        <f t="shared" si="217"/>
        <v>1872</v>
      </c>
      <c r="M639" s="177" t="s">
        <v>723</v>
      </c>
      <c r="N639" s="154" t="s">
        <v>867</v>
      </c>
      <c r="O639" s="154">
        <v>17</v>
      </c>
      <c r="R639" s="154"/>
      <c r="S639" s="154"/>
      <c r="T639" s="45">
        <v>3240</v>
      </c>
      <c r="U639" s="45" t="s">
        <v>1648</v>
      </c>
      <c r="V639" s="45">
        <v>3164</v>
      </c>
      <c r="W639" s="45" t="s">
        <v>1641</v>
      </c>
      <c r="X639" s="98">
        <v>44805</v>
      </c>
      <c r="Y639" s="98">
        <v>45169</v>
      </c>
      <c r="Z639" s="98"/>
      <c r="AA639" s="98"/>
      <c r="AB639" s="43" t="s">
        <v>1161</v>
      </c>
      <c r="AC639" s="43"/>
      <c r="AD639" s="42" t="s">
        <v>734</v>
      </c>
      <c r="AE639" s="42" t="s">
        <v>734</v>
      </c>
      <c r="AF639" s="42" t="s">
        <v>734</v>
      </c>
      <c r="AG639" s="42"/>
      <c r="AH639" s="42"/>
      <c r="AI639" s="42" t="s">
        <v>734</v>
      </c>
      <c r="AJ639" s="42" t="s">
        <v>734</v>
      </c>
      <c r="AK639" s="42"/>
      <c r="AL639" s="42" t="s">
        <v>734</v>
      </c>
      <c r="AM639" s="42"/>
      <c r="AN639" s="42"/>
      <c r="AO639" s="42"/>
      <c r="AP639" s="42"/>
      <c r="AQ639" s="42"/>
      <c r="AR639" s="42"/>
      <c r="AS639" s="42"/>
      <c r="AT639" s="42"/>
      <c r="AU639" s="42"/>
      <c r="AV639" s="42"/>
      <c r="AW639" s="42"/>
      <c r="AX639" s="67">
        <f>((36*52)+(24*104))/K639</f>
        <v>28</v>
      </c>
      <c r="AY639" s="37"/>
      <c r="BA639" s="68"/>
      <c r="BB639" s="68"/>
      <c r="BD639" s="67">
        <f t="shared" si="224"/>
        <v>4368</v>
      </c>
      <c r="BE639" s="67"/>
      <c r="BF639" s="37"/>
      <c r="BG639" s="73">
        <v>1</v>
      </c>
      <c r="BH639" s="67">
        <f t="shared" si="228"/>
        <v>0</v>
      </c>
      <c r="BI639" s="67">
        <f t="shared" si="229"/>
        <v>0</v>
      </c>
      <c r="BJ639" s="70">
        <f t="shared" si="230"/>
        <v>0</v>
      </c>
      <c r="BN639" s="37"/>
      <c r="BO639" s="70">
        <f t="shared" si="225"/>
        <v>0</v>
      </c>
      <c r="BP639" s="37">
        <v>13</v>
      </c>
      <c r="BQ639" s="37">
        <v>12</v>
      </c>
      <c r="BR639" s="37">
        <v>13</v>
      </c>
      <c r="BS639" s="37">
        <v>13</v>
      </c>
      <c r="BT639" s="87">
        <f t="shared" si="226"/>
        <v>28</v>
      </c>
      <c r="BU639" s="87"/>
      <c r="BV639" s="87"/>
      <c r="BW639" s="87"/>
      <c r="BX639" s="87"/>
      <c r="BY639" s="87"/>
      <c r="BZ639" s="87"/>
      <c r="CA639" s="87"/>
      <c r="CB639" s="87"/>
      <c r="CC639" s="87"/>
      <c r="CD639" s="87"/>
      <c r="CF639" s="67">
        <f t="shared" si="227"/>
        <v>364</v>
      </c>
      <c r="CG639" s="67">
        <f t="shared" si="231"/>
        <v>336</v>
      </c>
      <c r="CH639" s="67">
        <f t="shared" si="218"/>
        <v>364</v>
      </c>
      <c r="CI639" s="67">
        <f t="shared" si="216"/>
        <v>364</v>
      </c>
      <c r="CJ639" s="37">
        <f t="shared" si="212"/>
        <v>156</v>
      </c>
      <c r="CK639" s="37">
        <f t="shared" si="213"/>
        <v>144</v>
      </c>
      <c r="CL639" s="37">
        <f t="shared" si="214"/>
        <v>156</v>
      </c>
      <c r="CM639" s="37">
        <f t="shared" si="215"/>
        <v>156</v>
      </c>
    </row>
    <row r="640" spans="1:91" ht="38.25">
      <c r="B640" s="156">
        <v>627</v>
      </c>
      <c r="C640" s="160">
        <v>314</v>
      </c>
      <c r="D640" s="162">
        <v>615</v>
      </c>
      <c r="E640" s="161">
        <v>0.47916666666666669</v>
      </c>
      <c r="F640" s="161">
        <v>0.49583333333333335</v>
      </c>
      <c r="G640" s="171" t="s">
        <v>357</v>
      </c>
      <c r="H640" s="160" t="s">
        <v>626</v>
      </c>
      <c r="I640" s="163">
        <v>15</v>
      </c>
      <c r="J640" s="164" t="s">
        <v>93</v>
      </c>
      <c r="K640" s="165">
        <v>156</v>
      </c>
      <c r="L640" s="166">
        <f t="shared" si="217"/>
        <v>2340</v>
      </c>
      <c r="M640" s="177" t="s">
        <v>723</v>
      </c>
      <c r="N640" s="154" t="s">
        <v>867</v>
      </c>
      <c r="O640" s="154">
        <v>17</v>
      </c>
      <c r="R640" s="154"/>
      <c r="S640" s="154"/>
      <c r="T640" s="45">
        <v>3164</v>
      </c>
      <c r="U640" s="45" t="s">
        <v>1641</v>
      </c>
      <c r="V640" s="45">
        <v>3231</v>
      </c>
      <c r="W640" s="45" t="s">
        <v>1652</v>
      </c>
      <c r="X640" s="98">
        <v>44805</v>
      </c>
      <c r="Y640" s="98">
        <v>45169</v>
      </c>
      <c r="Z640" s="98"/>
      <c r="AA640" s="98"/>
      <c r="AB640" s="43" t="s">
        <v>1161</v>
      </c>
      <c r="AC640" s="43"/>
      <c r="AD640" s="42" t="s">
        <v>734</v>
      </c>
      <c r="AE640" s="42" t="s">
        <v>734</v>
      </c>
      <c r="AF640" s="42" t="s">
        <v>734</v>
      </c>
      <c r="AG640" s="42"/>
      <c r="AH640" s="42"/>
      <c r="AI640" s="42" t="s">
        <v>734</v>
      </c>
      <c r="AJ640" s="42" t="s">
        <v>734</v>
      </c>
      <c r="AK640" s="42"/>
      <c r="AL640" s="42" t="s">
        <v>734</v>
      </c>
      <c r="AM640" s="42"/>
      <c r="AN640" s="42"/>
      <c r="AO640" s="42"/>
      <c r="AP640" s="42"/>
      <c r="AQ640" s="42"/>
      <c r="AR640" s="42"/>
      <c r="AS640" s="42"/>
      <c r="AT640" s="42"/>
      <c r="AU640" s="42"/>
      <c r="AV640" s="42"/>
      <c r="AW640" s="42"/>
      <c r="AX640" s="67">
        <f>((45*52)+(30*104))/K640</f>
        <v>35</v>
      </c>
      <c r="AY640" s="37"/>
      <c r="BA640" s="68"/>
      <c r="BB640" s="68"/>
      <c r="BD640" s="67">
        <f t="shared" si="224"/>
        <v>5460</v>
      </c>
      <c r="BE640" s="67"/>
      <c r="BF640" s="37"/>
      <c r="BG640" s="73">
        <v>1</v>
      </c>
      <c r="BH640" s="67">
        <f t="shared" si="228"/>
        <v>0</v>
      </c>
      <c r="BI640" s="67">
        <f t="shared" si="229"/>
        <v>0</v>
      </c>
      <c r="BJ640" s="70">
        <f t="shared" si="230"/>
        <v>0</v>
      </c>
      <c r="BN640" s="37"/>
      <c r="BO640" s="70">
        <f t="shared" si="225"/>
        <v>0</v>
      </c>
      <c r="BP640" s="37">
        <v>13</v>
      </c>
      <c r="BQ640" s="37">
        <v>12</v>
      </c>
      <c r="BR640" s="37">
        <v>13</v>
      </c>
      <c r="BS640" s="37">
        <v>13</v>
      </c>
      <c r="BT640" s="87">
        <f t="shared" si="226"/>
        <v>35</v>
      </c>
      <c r="BU640" s="87"/>
      <c r="BV640" s="87"/>
      <c r="BW640" s="87"/>
      <c r="BX640" s="87"/>
      <c r="BY640" s="87"/>
      <c r="BZ640" s="87"/>
      <c r="CA640" s="87"/>
      <c r="CB640" s="87"/>
      <c r="CC640" s="87"/>
      <c r="CD640" s="87"/>
      <c r="CF640" s="67">
        <f t="shared" si="227"/>
        <v>455</v>
      </c>
      <c r="CG640" s="67">
        <f t="shared" si="231"/>
        <v>420</v>
      </c>
      <c r="CH640" s="67">
        <f t="shared" si="218"/>
        <v>455</v>
      </c>
      <c r="CI640" s="67">
        <f t="shared" si="216"/>
        <v>455</v>
      </c>
      <c r="CJ640" s="37">
        <f t="shared" si="212"/>
        <v>195</v>
      </c>
      <c r="CK640" s="37">
        <f t="shared" si="213"/>
        <v>180</v>
      </c>
      <c r="CL640" s="37">
        <f t="shared" si="214"/>
        <v>195</v>
      </c>
      <c r="CM640" s="37">
        <f t="shared" si="215"/>
        <v>195</v>
      </c>
    </row>
    <row r="641" spans="1:91" ht="38.25">
      <c r="B641" s="156">
        <v>628</v>
      </c>
      <c r="C641" s="160">
        <v>314</v>
      </c>
      <c r="D641" s="162">
        <v>614</v>
      </c>
      <c r="E641" s="161">
        <v>0.49583333333333335</v>
      </c>
      <c r="F641" s="161">
        <v>0.51249999999999996</v>
      </c>
      <c r="G641" s="171" t="s">
        <v>356</v>
      </c>
      <c r="H641" s="160" t="s">
        <v>626</v>
      </c>
      <c r="I641" s="163">
        <v>15</v>
      </c>
      <c r="J641" s="164" t="s">
        <v>93</v>
      </c>
      <c r="K641" s="165">
        <v>156</v>
      </c>
      <c r="L641" s="166">
        <f t="shared" si="217"/>
        <v>2340</v>
      </c>
      <c r="M641" s="177" t="s">
        <v>723</v>
      </c>
      <c r="N641" s="154" t="s">
        <v>867</v>
      </c>
      <c r="O641" s="154">
        <v>17</v>
      </c>
      <c r="R641" s="154"/>
      <c r="S641" s="154"/>
      <c r="T641" s="45">
        <v>3231</v>
      </c>
      <c r="U641" s="45" t="s">
        <v>1652</v>
      </c>
      <c r="V641" s="45">
        <v>3164</v>
      </c>
      <c r="W641" s="45" t="s">
        <v>1641</v>
      </c>
      <c r="X641" s="98">
        <v>44805</v>
      </c>
      <c r="Y641" s="98">
        <v>45169</v>
      </c>
      <c r="Z641" s="98"/>
      <c r="AA641" s="98"/>
      <c r="AB641" s="43" t="s">
        <v>1161</v>
      </c>
      <c r="AC641" s="43"/>
      <c r="AD641" s="42" t="s">
        <v>734</v>
      </c>
      <c r="AE641" s="42" t="s">
        <v>734</v>
      </c>
      <c r="AF641" s="42" t="s">
        <v>734</v>
      </c>
      <c r="AG641" s="42"/>
      <c r="AH641" s="42"/>
      <c r="AI641" s="42" t="s">
        <v>734</v>
      </c>
      <c r="AJ641" s="42" t="s">
        <v>734</v>
      </c>
      <c r="AK641" s="42"/>
      <c r="AL641" s="42" t="s">
        <v>734</v>
      </c>
      <c r="AM641" s="42"/>
      <c r="AN641" s="42"/>
      <c r="AO641" s="42"/>
      <c r="AP641" s="42"/>
      <c r="AQ641" s="42"/>
      <c r="AR641" s="42"/>
      <c r="AS641" s="42"/>
      <c r="AT641" s="42"/>
      <c r="AU641" s="42"/>
      <c r="AV641" s="42"/>
      <c r="AW641" s="42"/>
      <c r="AX641" s="67">
        <f>((45*52)+(30*104))/K641</f>
        <v>35</v>
      </c>
      <c r="AY641" s="37"/>
      <c r="BA641" s="68"/>
      <c r="BB641" s="68"/>
      <c r="BD641" s="67">
        <f t="shared" si="224"/>
        <v>5460</v>
      </c>
      <c r="BE641" s="67"/>
      <c r="BF641" s="37"/>
      <c r="BG641" s="73">
        <v>1</v>
      </c>
      <c r="BH641" s="67">
        <f t="shared" si="228"/>
        <v>0</v>
      </c>
      <c r="BI641" s="67">
        <f t="shared" si="229"/>
        <v>0</v>
      </c>
      <c r="BJ641" s="70">
        <f t="shared" si="230"/>
        <v>0</v>
      </c>
      <c r="BN641" s="37"/>
      <c r="BO641" s="70">
        <f t="shared" si="225"/>
        <v>0</v>
      </c>
      <c r="BP641" s="37">
        <v>13</v>
      </c>
      <c r="BQ641" s="37">
        <v>12</v>
      </c>
      <c r="BR641" s="37">
        <v>13</v>
      </c>
      <c r="BS641" s="37">
        <v>13</v>
      </c>
      <c r="BT641" s="87">
        <f t="shared" si="226"/>
        <v>35</v>
      </c>
      <c r="BU641" s="87"/>
      <c r="BV641" s="87"/>
      <c r="BW641" s="87"/>
      <c r="BX641" s="87"/>
      <c r="BY641" s="87"/>
      <c r="BZ641" s="87"/>
      <c r="CA641" s="87"/>
      <c r="CB641" s="87"/>
      <c r="CC641" s="87"/>
      <c r="CD641" s="87"/>
      <c r="CF641" s="67">
        <f t="shared" si="227"/>
        <v>455</v>
      </c>
      <c r="CG641" s="67">
        <f t="shared" si="231"/>
        <v>420</v>
      </c>
      <c r="CH641" s="67">
        <f t="shared" si="218"/>
        <v>455</v>
      </c>
      <c r="CI641" s="67">
        <f t="shared" si="216"/>
        <v>455</v>
      </c>
      <c r="CJ641" s="37">
        <f t="shared" si="212"/>
        <v>195</v>
      </c>
      <c r="CK641" s="37">
        <f t="shared" si="213"/>
        <v>180</v>
      </c>
      <c r="CL641" s="37">
        <f t="shared" si="214"/>
        <v>195</v>
      </c>
      <c r="CM641" s="37">
        <f t="shared" si="215"/>
        <v>195</v>
      </c>
    </row>
    <row r="642" spans="1:91" ht="25.5">
      <c r="B642" s="156">
        <v>629</v>
      </c>
      <c r="C642" s="160">
        <v>315</v>
      </c>
      <c r="D642" s="160">
        <v>99</v>
      </c>
      <c r="E642" s="161">
        <v>0.27430555555555552</v>
      </c>
      <c r="F642" s="161">
        <v>0.30416666666666664</v>
      </c>
      <c r="G642" s="160" t="s">
        <v>132</v>
      </c>
      <c r="H642" s="160" t="s">
        <v>550</v>
      </c>
      <c r="I642" s="163">
        <v>20</v>
      </c>
      <c r="J642" s="164" t="s">
        <v>93</v>
      </c>
      <c r="K642" s="165">
        <v>13</v>
      </c>
      <c r="L642" s="166">
        <f t="shared" si="217"/>
        <v>260</v>
      </c>
      <c r="M642" s="177" t="s">
        <v>764</v>
      </c>
      <c r="N642" s="150" t="s">
        <v>929</v>
      </c>
      <c r="O642" s="150">
        <v>20</v>
      </c>
      <c r="P642" s="3" t="s">
        <v>1091</v>
      </c>
      <c r="Q642" s="3">
        <v>23</v>
      </c>
      <c r="R642" s="154" t="s">
        <v>1978</v>
      </c>
      <c r="S642" s="151">
        <v>33</v>
      </c>
      <c r="T642" s="45" t="s">
        <v>1653</v>
      </c>
      <c r="U642" s="45" t="s">
        <v>1654</v>
      </c>
      <c r="V642" s="45" t="s">
        <v>1597</v>
      </c>
      <c r="W642" s="45" t="s">
        <v>1596</v>
      </c>
      <c r="X642" s="99">
        <v>44562</v>
      </c>
      <c r="Y642" s="99">
        <v>44815</v>
      </c>
      <c r="Z642" s="99">
        <v>45101</v>
      </c>
      <c r="AA642" s="99">
        <v>45169</v>
      </c>
      <c r="AB642" s="36" t="s">
        <v>1116</v>
      </c>
      <c r="AC642" s="36"/>
      <c r="AD642" s="42"/>
      <c r="AE642" s="42" t="s">
        <v>734</v>
      </c>
      <c r="AF642" s="42"/>
      <c r="AG642" s="42"/>
      <c r="AH642" s="42"/>
      <c r="AI642" s="42"/>
      <c r="AJ642" s="42"/>
      <c r="AK642" s="42"/>
      <c r="AL642" s="42"/>
      <c r="AM642" s="42"/>
      <c r="AN642" s="42" t="s">
        <v>734</v>
      </c>
      <c r="AO642" s="42"/>
      <c r="AP642" s="42"/>
      <c r="AQ642" s="42"/>
      <c r="AR642" s="42"/>
      <c r="AS642" s="42"/>
      <c r="AT642" s="42"/>
      <c r="AU642" s="42"/>
      <c r="AV642" s="42"/>
      <c r="AW642" s="42"/>
      <c r="AX642" s="68">
        <v>63.39</v>
      </c>
      <c r="AY642" s="37"/>
      <c r="BA642" s="68"/>
      <c r="BB642" s="68"/>
      <c r="BD642" s="67">
        <f t="shared" si="224"/>
        <v>824.07</v>
      </c>
      <c r="BE642" s="67"/>
      <c r="BF642" s="37"/>
      <c r="BG642" s="73">
        <v>1</v>
      </c>
      <c r="BH642" s="67">
        <f t="shared" si="228"/>
        <v>0</v>
      </c>
      <c r="BI642" s="67">
        <f t="shared" si="229"/>
        <v>0</v>
      </c>
      <c r="BJ642" s="70">
        <f t="shared" si="230"/>
        <v>0</v>
      </c>
      <c r="BN642" s="67">
        <f>IF((AX642+AY642+AZ642)&lt;20,(20-(AX642+AY642+AZ642)),0)</f>
        <v>0</v>
      </c>
      <c r="BO642" s="70">
        <f t="shared" si="225"/>
        <v>0</v>
      </c>
      <c r="BP642" s="37">
        <v>2</v>
      </c>
      <c r="BQ642" s="37">
        <v>0</v>
      </c>
      <c r="BR642" s="37">
        <v>0</v>
      </c>
      <c r="BT642" s="87">
        <f t="shared" si="226"/>
        <v>63.39</v>
      </c>
      <c r="BU642" s="87"/>
      <c r="BV642" s="87"/>
      <c r="BW642" s="87"/>
      <c r="BX642" s="87"/>
      <c r="BY642" s="87"/>
      <c r="BZ642" s="87"/>
      <c r="CA642" s="87"/>
      <c r="CB642" s="87"/>
      <c r="CC642" s="87"/>
      <c r="CD642" s="87"/>
      <c r="CF642" s="67">
        <f t="shared" si="227"/>
        <v>126.78</v>
      </c>
      <c r="CG642" s="67">
        <f t="shared" si="231"/>
        <v>0</v>
      </c>
      <c r="CH642" s="67">
        <f t="shared" si="218"/>
        <v>0</v>
      </c>
      <c r="CI642" s="67">
        <f t="shared" si="216"/>
        <v>0</v>
      </c>
      <c r="CJ642" s="37">
        <f t="shared" si="212"/>
        <v>40</v>
      </c>
      <c r="CK642" s="37">
        <f t="shared" si="213"/>
        <v>0</v>
      </c>
      <c r="CL642" s="37">
        <f t="shared" si="214"/>
        <v>0</v>
      </c>
      <c r="CM642" s="37">
        <f t="shared" si="215"/>
        <v>0</v>
      </c>
    </row>
    <row r="643" spans="1:91" ht="51">
      <c r="B643" s="156">
        <v>630</v>
      </c>
      <c r="C643" s="160">
        <v>315</v>
      </c>
      <c r="D643" s="160">
        <v>333</v>
      </c>
      <c r="E643" s="173">
        <v>0.28680555555555554</v>
      </c>
      <c r="F643" s="173">
        <v>0.29375000000000001</v>
      </c>
      <c r="G643" s="160" t="s">
        <v>333</v>
      </c>
      <c r="H643" s="160" t="s">
        <v>97</v>
      </c>
      <c r="I643" s="163">
        <v>13</v>
      </c>
      <c r="J643" s="164" t="s">
        <v>331</v>
      </c>
      <c r="K643" s="165">
        <v>208</v>
      </c>
      <c r="L643" s="166">
        <f t="shared" si="217"/>
        <v>2704</v>
      </c>
      <c r="M643" s="167" t="s">
        <v>764</v>
      </c>
      <c r="N643" s="150" t="s">
        <v>929</v>
      </c>
      <c r="O643" s="150">
        <v>20</v>
      </c>
      <c r="P643" s="150" t="s">
        <v>1945</v>
      </c>
      <c r="Q643" s="150">
        <v>31</v>
      </c>
      <c r="R643" s="154" t="s">
        <v>1283</v>
      </c>
      <c r="S643" s="152">
        <v>29</v>
      </c>
      <c r="T643" s="45">
        <v>3213</v>
      </c>
      <c r="U643" s="45" t="s">
        <v>1655</v>
      </c>
      <c r="V643" s="45">
        <v>3209</v>
      </c>
      <c r="W643" s="45" t="s">
        <v>1656</v>
      </c>
      <c r="X643" s="98">
        <v>44816</v>
      </c>
      <c r="Y643" s="98">
        <v>45086</v>
      </c>
      <c r="Z643" s="98"/>
      <c r="AA643" s="98"/>
      <c r="AB643" s="41" t="s">
        <v>1118</v>
      </c>
      <c r="AC643" s="41"/>
      <c r="AD643" s="42"/>
      <c r="AE643" s="42"/>
      <c r="AF643" s="42"/>
      <c r="AG643" s="42" t="s">
        <v>734</v>
      </c>
      <c r="AH643" s="42" t="s">
        <v>734</v>
      </c>
      <c r="AI643" s="42" t="s">
        <v>734</v>
      </c>
      <c r="AJ643" s="42" t="s">
        <v>734</v>
      </c>
      <c r="AK643" s="42" t="s">
        <v>734</v>
      </c>
      <c r="AL643" s="42" t="s">
        <v>734</v>
      </c>
      <c r="AM643" s="42" t="s">
        <v>734</v>
      </c>
      <c r="AN643" s="42"/>
      <c r="AO643" s="42"/>
      <c r="AP643" s="42"/>
      <c r="AQ643" s="42"/>
      <c r="AR643" s="42"/>
      <c r="AS643" s="42"/>
      <c r="AT643" s="42"/>
      <c r="AU643" s="42"/>
      <c r="AV643" s="42"/>
      <c r="AW643" s="42"/>
      <c r="AX643" s="68">
        <v>61.25</v>
      </c>
      <c r="AY643" s="37"/>
      <c r="BA643" s="68"/>
      <c r="BB643" s="68"/>
      <c r="BD643" s="67">
        <f t="shared" si="224"/>
        <v>12740</v>
      </c>
      <c r="BE643" s="67"/>
      <c r="BF643" s="37"/>
      <c r="BG643" s="73">
        <v>1</v>
      </c>
      <c r="BH643" s="67">
        <f t="shared" si="228"/>
        <v>0</v>
      </c>
      <c r="BI643" s="67">
        <f t="shared" si="229"/>
        <v>0</v>
      </c>
      <c r="BJ643" s="70">
        <f t="shared" si="230"/>
        <v>0</v>
      </c>
      <c r="BN643" s="67">
        <f>IF((AX643+AY643+AZ643)&lt;20,(20-(AX643+AY643+AZ643)),0)</f>
        <v>0</v>
      </c>
      <c r="BO643" s="70">
        <f t="shared" si="225"/>
        <v>0</v>
      </c>
      <c r="BP643" s="37">
        <v>17</v>
      </c>
      <c r="BQ643" s="37">
        <v>25</v>
      </c>
      <c r="BR643" s="37">
        <v>25</v>
      </c>
      <c r="BS643" s="37">
        <v>18</v>
      </c>
      <c r="BT643" s="87">
        <f t="shared" si="226"/>
        <v>61.25</v>
      </c>
      <c r="BU643" s="87"/>
      <c r="BV643" s="87"/>
      <c r="BW643" s="87"/>
      <c r="BX643" s="87"/>
      <c r="BY643" s="87"/>
      <c r="BZ643" s="87"/>
      <c r="CA643" s="87"/>
      <c r="CB643" s="87"/>
      <c r="CC643" s="87"/>
      <c r="CD643" s="87"/>
      <c r="CF643" s="67">
        <f t="shared" si="227"/>
        <v>1041.25</v>
      </c>
      <c r="CG643" s="67">
        <f t="shared" si="231"/>
        <v>1531.25</v>
      </c>
      <c r="CH643" s="67">
        <f t="shared" si="218"/>
        <v>1531.25</v>
      </c>
      <c r="CI643" s="67">
        <f t="shared" si="216"/>
        <v>1102.5</v>
      </c>
      <c r="CJ643" s="37">
        <f t="shared" ref="CJ643:CJ706" si="232">BP643*I643</f>
        <v>221</v>
      </c>
      <c r="CK643" s="37">
        <f t="shared" ref="CK643:CK706" si="233">BQ643*I643</f>
        <v>325</v>
      </c>
      <c r="CL643" s="37">
        <f t="shared" ref="CL643:CL706" si="234">BR643*I643</f>
        <v>325</v>
      </c>
      <c r="CM643" s="37">
        <f t="shared" ref="CM643:CM706" si="235">BS643*I643</f>
        <v>234</v>
      </c>
    </row>
    <row r="644" spans="1:91" ht="33.75">
      <c r="B644" s="156">
        <v>631</v>
      </c>
      <c r="C644" s="160">
        <v>315</v>
      </c>
      <c r="D644" s="160">
        <v>951</v>
      </c>
      <c r="E644" s="161">
        <v>0.375</v>
      </c>
      <c r="F644" s="173">
        <v>0.40138888888888885</v>
      </c>
      <c r="G644" s="160" t="s">
        <v>329</v>
      </c>
      <c r="H644" s="160" t="s">
        <v>330</v>
      </c>
      <c r="I644" s="163">
        <v>20</v>
      </c>
      <c r="J644" s="164" t="s">
        <v>93</v>
      </c>
      <c r="K644" s="165">
        <f>41+39</f>
        <v>80</v>
      </c>
      <c r="L644" s="166">
        <f t="shared" si="217"/>
        <v>1600</v>
      </c>
      <c r="M644" s="177" t="s">
        <v>768</v>
      </c>
      <c r="N644" s="3" t="s">
        <v>1184</v>
      </c>
      <c r="O644" s="3">
        <v>21</v>
      </c>
      <c r="P644" s="150" t="s">
        <v>848</v>
      </c>
      <c r="Q644" s="150">
        <v>31</v>
      </c>
      <c r="R644" s="150" t="s">
        <v>1283</v>
      </c>
      <c r="S644" s="152">
        <v>29</v>
      </c>
      <c r="T644" s="45">
        <v>3210</v>
      </c>
      <c r="U644" s="45" t="s">
        <v>1657</v>
      </c>
      <c r="V644" s="45" t="s">
        <v>1597</v>
      </c>
      <c r="W644" s="45" t="s">
        <v>1596</v>
      </c>
      <c r="X644" s="99">
        <v>44816</v>
      </c>
      <c r="Y644" s="99">
        <v>45100</v>
      </c>
      <c r="Z644" s="99"/>
      <c r="AA644" s="99"/>
      <c r="AB644" s="41" t="s">
        <v>1162</v>
      </c>
      <c r="AC644" s="41"/>
      <c r="AD644" s="42" t="s">
        <v>734</v>
      </c>
      <c r="AE644" s="42"/>
      <c r="AF644" s="42" t="s">
        <v>734</v>
      </c>
      <c r="AG644" s="42"/>
      <c r="AH644" s="42"/>
      <c r="AI644" s="42" t="s">
        <v>734</v>
      </c>
      <c r="AJ644" s="42"/>
      <c r="AK644" s="42" t="s">
        <v>734</v>
      </c>
      <c r="AL644" s="42"/>
      <c r="AM644" s="42"/>
      <c r="AN644" s="42"/>
      <c r="AO644" s="42"/>
      <c r="AP644" s="42"/>
      <c r="AQ644" s="42"/>
      <c r="AR644" s="42"/>
      <c r="AS644" s="42"/>
      <c r="AT644" s="42"/>
      <c r="AU644" s="42"/>
      <c r="AV644" s="42"/>
      <c r="AW644" s="42"/>
      <c r="AX644" s="68">
        <v>36</v>
      </c>
      <c r="AY644" s="37"/>
      <c r="BA644" s="68"/>
      <c r="BB644" s="68"/>
      <c r="BD644" s="67">
        <f t="shared" si="224"/>
        <v>2880</v>
      </c>
      <c r="BE644" s="67"/>
      <c r="BF644" s="37"/>
      <c r="BG644" s="73">
        <v>1</v>
      </c>
      <c r="BH644" s="67">
        <f t="shared" si="228"/>
        <v>4</v>
      </c>
      <c r="BI644" s="67">
        <f t="shared" si="229"/>
        <v>0</v>
      </c>
      <c r="BJ644" s="67">
        <f t="shared" si="230"/>
        <v>320</v>
      </c>
      <c r="BN644" s="37"/>
      <c r="BO644" s="70">
        <f t="shared" si="225"/>
        <v>0</v>
      </c>
      <c r="BP644" s="37">
        <v>6</v>
      </c>
      <c r="BQ644" s="37">
        <v>8</v>
      </c>
      <c r="BR644" s="37">
        <v>8</v>
      </c>
      <c r="BS644" s="37">
        <v>8</v>
      </c>
      <c r="BT644" s="87">
        <f t="shared" si="226"/>
        <v>40</v>
      </c>
      <c r="BU644" s="87"/>
      <c r="BV644" s="87"/>
      <c r="BW644" s="87"/>
      <c r="BX644" s="87"/>
      <c r="BY644" s="87"/>
      <c r="BZ644" s="87"/>
      <c r="CA644" s="87"/>
      <c r="CB644" s="87"/>
      <c r="CC644" s="87"/>
      <c r="CD644" s="87"/>
      <c r="CF644" s="67">
        <f t="shared" si="227"/>
        <v>240</v>
      </c>
      <c r="CG644" s="67">
        <f t="shared" si="231"/>
        <v>320</v>
      </c>
      <c r="CH644" s="67">
        <f t="shared" si="218"/>
        <v>320</v>
      </c>
      <c r="CI644" s="67">
        <f t="shared" ref="CI644:CI707" si="236">(BS644*BT644)+(CB644*CD644)</f>
        <v>320</v>
      </c>
      <c r="CJ644" s="37">
        <f t="shared" si="232"/>
        <v>120</v>
      </c>
      <c r="CK644" s="37">
        <f t="shared" si="233"/>
        <v>160</v>
      </c>
      <c r="CL644" s="37">
        <f t="shared" si="234"/>
        <v>160</v>
      </c>
      <c r="CM644" s="37">
        <f t="shared" si="235"/>
        <v>160</v>
      </c>
    </row>
    <row r="645" spans="1:91" ht="33.75">
      <c r="B645" s="156">
        <v>632</v>
      </c>
      <c r="C645" s="160">
        <v>315</v>
      </c>
      <c r="D645" s="160">
        <v>951</v>
      </c>
      <c r="E645" s="161">
        <v>0.375</v>
      </c>
      <c r="F645" s="161">
        <v>0.40138888888888885</v>
      </c>
      <c r="G645" s="160" t="s">
        <v>329</v>
      </c>
      <c r="H645" s="160" t="s">
        <v>458</v>
      </c>
      <c r="I645" s="163">
        <v>20</v>
      </c>
      <c r="J645" s="164" t="s">
        <v>234</v>
      </c>
      <c r="K645" s="165">
        <v>11</v>
      </c>
      <c r="L645" s="166">
        <f t="shared" si="217"/>
        <v>220</v>
      </c>
      <c r="M645" s="177" t="s">
        <v>768</v>
      </c>
      <c r="N645" s="3" t="s">
        <v>1184</v>
      </c>
      <c r="O645" s="3">
        <v>21</v>
      </c>
      <c r="P645" s="150" t="s">
        <v>848</v>
      </c>
      <c r="Q645" s="150">
        <v>31</v>
      </c>
      <c r="R645" s="150" t="s">
        <v>1283</v>
      </c>
      <c r="S645" s="152">
        <v>29</v>
      </c>
      <c r="T645" s="45">
        <v>3210</v>
      </c>
      <c r="U645" s="45" t="s">
        <v>1657</v>
      </c>
      <c r="V645" s="45" t="s">
        <v>1597</v>
      </c>
      <c r="W645" s="45" t="s">
        <v>1596</v>
      </c>
      <c r="X645" s="99">
        <v>44562</v>
      </c>
      <c r="Y645" s="99">
        <v>44815</v>
      </c>
      <c r="Z645" s="99">
        <v>45101</v>
      </c>
      <c r="AA645" s="99">
        <v>45169</v>
      </c>
      <c r="AB645" s="41" t="s">
        <v>1157</v>
      </c>
      <c r="AC645" s="41"/>
      <c r="AD645" s="42"/>
      <c r="AE645" s="42" t="s">
        <v>734</v>
      </c>
      <c r="AF645" s="42" t="s">
        <v>734</v>
      </c>
      <c r="AG645" s="42"/>
      <c r="AH645" s="42"/>
      <c r="AI645" s="42" t="s">
        <v>734</v>
      </c>
      <c r="AJ645" s="42"/>
      <c r="AK645" s="42"/>
      <c r="AL645" s="42"/>
      <c r="AM645" s="42"/>
      <c r="AN645" s="42"/>
      <c r="AO645" s="42"/>
      <c r="AP645" s="42"/>
      <c r="AQ645" s="42"/>
      <c r="AR645" s="42"/>
      <c r="AS645" s="42"/>
      <c r="AT645" s="42"/>
      <c r="AU645" s="42"/>
      <c r="AV645" s="42"/>
      <c r="AW645" s="42"/>
      <c r="AX645" s="68">
        <v>60</v>
      </c>
      <c r="AY645" s="37"/>
      <c r="BA645" s="68"/>
      <c r="BB645" s="68"/>
      <c r="BD645" s="67">
        <f t="shared" si="224"/>
        <v>660</v>
      </c>
      <c r="BE645" s="67"/>
      <c r="BF645" s="37"/>
      <c r="BG645" s="73">
        <v>1</v>
      </c>
      <c r="BH645" s="67">
        <f t="shared" si="228"/>
        <v>0</v>
      </c>
      <c r="BI645" s="67">
        <f t="shared" si="229"/>
        <v>0</v>
      </c>
      <c r="BJ645" s="70">
        <f t="shared" si="230"/>
        <v>0</v>
      </c>
      <c r="BN645" s="37"/>
      <c r="BO645" s="70">
        <f t="shared" si="225"/>
        <v>0</v>
      </c>
      <c r="BP645" s="37">
        <v>1</v>
      </c>
      <c r="BQ645" s="37">
        <v>0</v>
      </c>
      <c r="BR645" s="37">
        <v>0</v>
      </c>
      <c r="BT645" s="87">
        <f t="shared" si="226"/>
        <v>60</v>
      </c>
      <c r="BU645" s="87"/>
      <c r="BV645" s="87"/>
      <c r="BW645" s="87"/>
      <c r="BX645" s="87"/>
      <c r="BY645" s="87"/>
      <c r="BZ645" s="87"/>
      <c r="CA645" s="87"/>
      <c r="CB645" s="87"/>
      <c r="CC645" s="87"/>
      <c r="CD645" s="87"/>
      <c r="CF645" s="67">
        <f t="shared" si="227"/>
        <v>60</v>
      </c>
      <c r="CG645" s="67">
        <f t="shared" si="231"/>
        <v>0</v>
      </c>
      <c r="CH645" s="67">
        <f t="shared" si="218"/>
        <v>0</v>
      </c>
      <c r="CI645" s="67">
        <f t="shared" si="236"/>
        <v>0</v>
      </c>
      <c r="CJ645" s="37">
        <f t="shared" si="232"/>
        <v>20</v>
      </c>
      <c r="CK645" s="37">
        <f t="shared" si="233"/>
        <v>0</v>
      </c>
      <c r="CL645" s="37">
        <f t="shared" si="234"/>
        <v>0</v>
      </c>
      <c r="CM645" s="37">
        <f t="shared" si="235"/>
        <v>0</v>
      </c>
    </row>
    <row r="646" spans="1:91" ht="25.5">
      <c r="B646" s="156">
        <v>633</v>
      </c>
      <c r="C646" s="160">
        <v>315</v>
      </c>
      <c r="D646" s="160">
        <v>94</v>
      </c>
      <c r="E646" s="161">
        <v>0.4236111111111111</v>
      </c>
      <c r="F646" s="173">
        <v>0.46180555555555558</v>
      </c>
      <c r="G646" s="160" t="s">
        <v>131</v>
      </c>
      <c r="H646" s="160" t="s">
        <v>550</v>
      </c>
      <c r="I646" s="163">
        <v>25</v>
      </c>
      <c r="J646" s="164" t="s">
        <v>93</v>
      </c>
      <c r="K646" s="165">
        <v>13</v>
      </c>
      <c r="L646" s="166">
        <f t="shared" si="217"/>
        <v>325</v>
      </c>
      <c r="M646" s="177" t="s">
        <v>764</v>
      </c>
      <c r="N646" s="150" t="s">
        <v>929</v>
      </c>
      <c r="O646" s="150">
        <v>20</v>
      </c>
      <c r="P646" s="3" t="s">
        <v>1091</v>
      </c>
      <c r="Q646" s="3">
        <v>23</v>
      </c>
      <c r="S646" s="150"/>
      <c r="T646" s="45" t="s">
        <v>1595</v>
      </c>
      <c r="U646" s="45" t="s">
        <v>1596</v>
      </c>
      <c r="V646" s="45" t="s">
        <v>1658</v>
      </c>
      <c r="W646" s="45" t="s">
        <v>1659</v>
      </c>
      <c r="X646" s="99">
        <v>44562</v>
      </c>
      <c r="Y646" s="99">
        <v>44815</v>
      </c>
      <c r="Z646" s="99">
        <v>45101</v>
      </c>
      <c r="AA646" s="99">
        <v>45169</v>
      </c>
      <c r="AB646" s="36" t="s">
        <v>1116</v>
      </c>
      <c r="AC646" s="36"/>
      <c r="AD646" s="42"/>
      <c r="AE646" s="42" t="s">
        <v>734</v>
      </c>
      <c r="AF646" s="42"/>
      <c r="AG646" s="42"/>
      <c r="AH646" s="42"/>
      <c r="AI646" s="42"/>
      <c r="AJ646" s="42"/>
      <c r="AK646" s="42"/>
      <c r="AL646" s="42"/>
      <c r="AM646" s="42"/>
      <c r="AN646" s="42" t="s">
        <v>734</v>
      </c>
      <c r="AO646" s="42"/>
      <c r="AP646" s="42"/>
      <c r="AQ646" s="42"/>
      <c r="AR646" s="42"/>
      <c r="AS646" s="42"/>
      <c r="AT646" s="42"/>
      <c r="AU646" s="42"/>
      <c r="AV646" s="42"/>
      <c r="AW646" s="42"/>
      <c r="AX646" s="68">
        <v>63.39</v>
      </c>
      <c r="AY646" s="37"/>
      <c r="BA646" s="68"/>
      <c r="BB646" s="68"/>
      <c r="BD646" s="67">
        <f t="shared" si="224"/>
        <v>824.07</v>
      </c>
      <c r="BE646" s="67"/>
      <c r="BF646" s="37"/>
      <c r="BG646" s="73">
        <v>1</v>
      </c>
      <c r="BH646" s="67">
        <f t="shared" si="228"/>
        <v>0</v>
      </c>
      <c r="BI646" s="67">
        <f t="shared" si="229"/>
        <v>0</v>
      </c>
      <c r="BJ646" s="70">
        <f t="shared" si="230"/>
        <v>0</v>
      </c>
      <c r="BN646" s="37"/>
      <c r="BO646" s="70">
        <f t="shared" si="225"/>
        <v>0</v>
      </c>
      <c r="BP646" s="37">
        <v>2</v>
      </c>
      <c r="BQ646" s="37">
        <v>0</v>
      </c>
      <c r="BR646" s="37">
        <v>0</v>
      </c>
      <c r="BT646" s="87">
        <f t="shared" si="226"/>
        <v>63.39</v>
      </c>
      <c r="BU646" s="87"/>
      <c r="BV646" s="87"/>
      <c r="BW646" s="87"/>
      <c r="BX646" s="87"/>
      <c r="BY646" s="87"/>
      <c r="BZ646" s="87"/>
      <c r="CA646" s="87"/>
      <c r="CB646" s="87"/>
      <c r="CC646" s="87"/>
      <c r="CD646" s="87"/>
      <c r="CF646" s="67">
        <f t="shared" si="227"/>
        <v>126.78</v>
      </c>
      <c r="CG646" s="67">
        <f t="shared" si="231"/>
        <v>0</v>
      </c>
      <c r="CH646" s="67">
        <f t="shared" si="218"/>
        <v>0</v>
      </c>
      <c r="CI646" s="67">
        <f t="shared" si="236"/>
        <v>0</v>
      </c>
      <c r="CJ646" s="37">
        <f t="shared" si="232"/>
        <v>50</v>
      </c>
      <c r="CK646" s="37">
        <f t="shared" si="233"/>
        <v>0</v>
      </c>
      <c r="CL646" s="37">
        <f t="shared" si="234"/>
        <v>0</v>
      </c>
      <c r="CM646" s="37">
        <f t="shared" si="235"/>
        <v>0</v>
      </c>
    </row>
    <row r="647" spans="1:91" ht="33.75">
      <c r="B647" s="156">
        <v>634</v>
      </c>
      <c r="C647" s="160">
        <v>315</v>
      </c>
      <c r="D647" s="160">
        <v>952</v>
      </c>
      <c r="E647" s="161">
        <v>0.47916666666666669</v>
      </c>
      <c r="F647" s="161">
        <v>0.50555555555555554</v>
      </c>
      <c r="G647" s="160" t="s">
        <v>328</v>
      </c>
      <c r="H647" s="160" t="s">
        <v>330</v>
      </c>
      <c r="I647" s="163">
        <v>20</v>
      </c>
      <c r="J647" s="164" t="s">
        <v>93</v>
      </c>
      <c r="K647" s="165">
        <v>80</v>
      </c>
      <c r="L647" s="166">
        <f t="shared" si="217"/>
        <v>1600</v>
      </c>
      <c r="M647" s="177" t="s">
        <v>768</v>
      </c>
      <c r="N647" s="3" t="s">
        <v>1184</v>
      </c>
      <c r="O647" s="3">
        <v>21</v>
      </c>
      <c r="P647" s="150" t="s">
        <v>848</v>
      </c>
      <c r="Q647" s="150">
        <v>31</v>
      </c>
      <c r="R647" s="150" t="s">
        <v>1283</v>
      </c>
      <c r="S647" s="152">
        <v>29</v>
      </c>
      <c r="T647" s="45" t="s">
        <v>1595</v>
      </c>
      <c r="U647" s="45" t="s">
        <v>1596</v>
      </c>
      <c r="V647" s="45">
        <v>3210</v>
      </c>
      <c r="W647" s="45" t="s">
        <v>1657</v>
      </c>
      <c r="X647" s="99">
        <v>44816</v>
      </c>
      <c r="Y647" s="99">
        <v>45100</v>
      </c>
      <c r="Z647" s="99"/>
      <c r="AA647" s="99"/>
      <c r="AB647" s="41" t="s">
        <v>1162</v>
      </c>
      <c r="AC647" s="41"/>
      <c r="AD647" s="42" t="s">
        <v>734</v>
      </c>
      <c r="AE647" s="42"/>
      <c r="AF647" s="42" t="s">
        <v>734</v>
      </c>
      <c r="AG647" s="42"/>
      <c r="AH647" s="42"/>
      <c r="AI647" s="42" t="s">
        <v>734</v>
      </c>
      <c r="AJ647" s="42"/>
      <c r="AK647" s="42" t="s">
        <v>734</v>
      </c>
      <c r="AL647" s="42"/>
      <c r="AM647" s="42"/>
      <c r="AN647" s="42"/>
      <c r="AO647" s="42"/>
      <c r="AP647" s="42"/>
      <c r="AQ647" s="42"/>
      <c r="AR647" s="42"/>
      <c r="AS647" s="42"/>
      <c r="AT647" s="42"/>
      <c r="AU647" s="42"/>
      <c r="AV647" s="42"/>
      <c r="AW647" s="42"/>
      <c r="AX647" s="68">
        <v>36</v>
      </c>
      <c r="AY647" s="37"/>
      <c r="BA647" s="68"/>
      <c r="BB647" s="68"/>
      <c r="BD647" s="67">
        <f t="shared" si="224"/>
        <v>2880</v>
      </c>
      <c r="BE647" s="67"/>
      <c r="BF647" s="37"/>
      <c r="BG647" s="73">
        <v>1</v>
      </c>
      <c r="BH647" s="67">
        <f t="shared" si="228"/>
        <v>4</v>
      </c>
      <c r="BI647" s="67">
        <f t="shared" si="229"/>
        <v>0</v>
      </c>
      <c r="BJ647" s="67">
        <f t="shared" si="230"/>
        <v>320</v>
      </c>
      <c r="BN647" s="37"/>
      <c r="BO647" s="70">
        <f t="shared" si="225"/>
        <v>0</v>
      </c>
      <c r="BP647" s="37">
        <v>6</v>
      </c>
      <c r="BQ647" s="37">
        <v>8</v>
      </c>
      <c r="BR647" s="37">
        <v>8</v>
      </c>
      <c r="BS647" s="37">
        <v>8</v>
      </c>
      <c r="BT647" s="87">
        <f t="shared" si="226"/>
        <v>40</v>
      </c>
      <c r="BU647" s="87"/>
      <c r="BV647" s="87"/>
      <c r="BW647" s="87"/>
      <c r="BX647" s="87"/>
      <c r="BY647" s="87"/>
      <c r="BZ647" s="87"/>
      <c r="CA647" s="87"/>
      <c r="CB647" s="87"/>
      <c r="CC647" s="87"/>
      <c r="CD647" s="87"/>
      <c r="CF647" s="67">
        <f t="shared" si="227"/>
        <v>240</v>
      </c>
      <c r="CG647" s="67">
        <f t="shared" si="231"/>
        <v>320</v>
      </c>
      <c r="CH647" s="67">
        <f t="shared" si="218"/>
        <v>320</v>
      </c>
      <c r="CI647" s="67">
        <f t="shared" si="236"/>
        <v>320</v>
      </c>
      <c r="CJ647" s="37">
        <f t="shared" si="232"/>
        <v>120</v>
      </c>
      <c r="CK647" s="37">
        <f t="shared" si="233"/>
        <v>160</v>
      </c>
      <c r="CL647" s="37">
        <f t="shared" si="234"/>
        <v>160</v>
      </c>
      <c r="CM647" s="37">
        <f t="shared" si="235"/>
        <v>160</v>
      </c>
    </row>
    <row r="648" spans="1:91" ht="33.75">
      <c r="B648" s="156">
        <v>635</v>
      </c>
      <c r="C648" s="160">
        <v>315</v>
      </c>
      <c r="D648" s="160">
        <v>952</v>
      </c>
      <c r="E648" s="161">
        <v>0.47916666666666669</v>
      </c>
      <c r="F648" s="161">
        <v>0.50555555555555554</v>
      </c>
      <c r="G648" s="160" t="s">
        <v>328</v>
      </c>
      <c r="H648" s="160" t="s">
        <v>458</v>
      </c>
      <c r="I648" s="163">
        <v>20</v>
      </c>
      <c r="J648" s="164" t="s">
        <v>234</v>
      </c>
      <c r="K648" s="165">
        <v>11</v>
      </c>
      <c r="L648" s="166">
        <f t="shared" si="217"/>
        <v>220</v>
      </c>
      <c r="M648" s="177" t="s">
        <v>768</v>
      </c>
      <c r="N648" s="3" t="s">
        <v>1184</v>
      </c>
      <c r="O648" s="3">
        <v>21</v>
      </c>
      <c r="P648" s="150" t="s">
        <v>848</v>
      </c>
      <c r="Q648" s="150">
        <v>31</v>
      </c>
      <c r="R648" s="150" t="s">
        <v>1283</v>
      </c>
      <c r="S648" s="152">
        <v>29</v>
      </c>
      <c r="T648" s="45" t="s">
        <v>1595</v>
      </c>
      <c r="U648" s="45" t="s">
        <v>1596</v>
      </c>
      <c r="V648" s="45">
        <v>3210</v>
      </c>
      <c r="W648" s="45" t="s">
        <v>1657</v>
      </c>
      <c r="X648" s="99">
        <v>44562</v>
      </c>
      <c r="Y648" s="99">
        <v>44815</v>
      </c>
      <c r="Z648" s="99">
        <v>45101</v>
      </c>
      <c r="AA648" s="99">
        <v>45169</v>
      </c>
      <c r="AB648" s="41" t="s">
        <v>1157</v>
      </c>
      <c r="AC648" s="41"/>
      <c r="AD648" s="42"/>
      <c r="AE648" s="42" t="s">
        <v>734</v>
      </c>
      <c r="AF648" s="42" t="s">
        <v>734</v>
      </c>
      <c r="AG648" s="42"/>
      <c r="AH648" s="42"/>
      <c r="AI648" s="42" t="s">
        <v>734</v>
      </c>
      <c r="AJ648" s="42"/>
      <c r="AK648" s="42"/>
      <c r="AL648" s="42"/>
      <c r="AM648" s="42"/>
      <c r="AN648" s="42"/>
      <c r="AO648" s="42"/>
      <c r="AP648" s="42"/>
      <c r="AQ648" s="42"/>
      <c r="AR648" s="42"/>
      <c r="AS648" s="42"/>
      <c r="AT648" s="42"/>
      <c r="AU648" s="42"/>
      <c r="AV648" s="42"/>
      <c r="AW648" s="42"/>
      <c r="AX648" s="68">
        <v>60</v>
      </c>
      <c r="AY648" s="37"/>
      <c r="BA648" s="68"/>
      <c r="BB648" s="68"/>
      <c r="BD648" s="67">
        <f t="shared" si="224"/>
        <v>660</v>
      </c>
      <c r="BE648" s="67"/>
      <c r="BF648" s="37"/>
      <c r="BG648" s="73">
        <v>1</v>
      </c>
      <c r="BH648" s="67">
        <f t="shared" si="228"/>
        <v>0</v>
      </c>
      <c r="BI648" s="67">
        <f t="shared" si="229"/>
        <v>0</v>
      </c>
      <c r="BJ648" s="70">
        <f t="shared" si="230"/>
        <v>0</v>
      </c>
      <c r="BN648" s="37"/>
      <c r="BO648" s="70">
        <f t="shared" si="225"/>
        <v>0</v>
      </c>
      <c r="BP648" s="37">
        <v>1</v>
      </c>
      <c r="BQ648" s="37">
        <v>0</v>
      </c>
      <c r="BR648" s="37">
        <v>0</v>
      </c>
      <c r="BT648" s="87">
        <f t="shared" si="226"/>
        <v>60</v>
      </c>
      <c r="BU648" s="87"/>
      <c r="BV648" s="87"/>
      <c r="BW648" s="87"/>
      <c r="BX648" s="87"/>
      <c r="BY648" s="87"/>
      <c r="BZ648" s="87"/>
      <c r="CA648" s="87"/>
      <c r="CB648" s="87"/>
      <c r="CC648" s="87"/>
      <c r="CD648" s="87"/>
      <c r="CF648" s="67">
        <f t="shared" si="227"/>
        <v>60</v>
      </c>
      <c r="CG648" s="67">
        <f t="shared" si="231"/>
        <v>0</v>
      </c>
      <c r="CH648" s="67">
        <f t="shared" si="218"/>
        <v>0</v>
      </c>
      <c r="CI648" s="67">
        <f t="shared" si="236"/>
        <v>0</v>
      </c>
      <c r="CJ648" s="37">
        <f t="shared" si="232"/>
        <v>20</v>
      </c>
      <c r="CK648" s="37">
        <f t="shared" si="233"/>
        <v>0</v>
      </c>
      <c r="CL648" s="37">
        <f t="shared" si="234"/>
        <v>0</v>
      </c>
      <c r="CM648" s="37">
        <f t="shared" si="235"/>
        <v>0</v>
      </c>
    </row>
    <row r="649" spans="1:91" ht="33.75">
      <c r="B649" s="156">
        <v>636</v>
      </c>
      <c r="C649" s="160">
        <v>315</v>
      </c>
      <c r="D649" s="160">
        <v>335</v>
      </c>
      <c r="E649" s="161">
        <v>0.58333333333333337</v>
      </c>
      <c r="F649" s="161">
        <v>0.60555555555555551</v>
      </c>
      <c r="G649" s="160" t="s">
        <v>332</v>
      </c>
      <c r="H649" s="160" t="s">
        <v>97</v>
      </c>
      <c r="I649" s="163">
        <v>7</v>
      </c>
      <c r="J649" s="164" t="s">
        <v>331</v>
      </c>
      <c r="K649" s="165">
        <v>208</v>
      </c>
      <c r="L649" s="166">
        <f t="shared" si="217"/>
        <v>1456</v>
      </c>
      <c r="M649" s="167" t="s">
        <v>764</v>
      </c>
      <c r="N649" s="150" t="s">
        <v>929</v>
      </c>
      <c r="O649" s="150">
        <v>20</v>
      </c>
      <c r="P649" s="150" t="s">
        <v>1945</v>
      </c>
      <c r="Q649" s="150">
        <v>31</v>
      </c>
      <c r="R649" s="154" t="s">
        <v>1283</v>
      </c>
      <c r="S649" s="152">
        <v>29</v>
      </c>
      <c r="T649" s="45">
        <v>3209</v>
      </c>
      <c r="U649" s="45" t="s">
        <v>1656</v>
      </c>
      <c r="V649" s="45">
        <v>3213</v>
      </c>
      <c r="W649" s="45" t="s">
        <v>1655</v>
      </c>
      <c r="X649" s="98">
        <v>44816</v>
      </c>
      <c r="Y649" s="98">
        <v>45086</v>
      </c>
      <c r="Z649" s="98"/>
      <c r="AA649" s="98"/>
      <c r="AB649" s="41" t="s">
        <v>1118</v>
      </c>
      <c r="AC649" s="41"/>
      <c r="AD649" s="42"/>
      <c r="AE649" s="42"/>
      <c r="AF649" s="42"/>
      <c r="AG649" s="42" t="s">
        <v>734</v>
      </c>
      <c r="AH649" s="42" t="s">
        <v>734</v>
      </c>
      <c r="AI649" s="42" t="s">
        <v>734</v>
      </c>
      <c r="AJ649" s="42" t="s">
        <v>734</v>
      </c>
      <c r="AK649" s="42" t="s">
        <v>734</v>
      </c>
      <c r="AL649" s="42" t="s">
        <v>734</v>
      </c>
      <c r="AM649" s="42" t="s">
        <v>734</v>
      </c>
      <c r="AN649" s="42"/>
      <c r="AO649" s="42"/>
      <c r="AP649" s="42"/>
      <c r="AQ649" s="42"/>
      <c r="AR649" s="42"/>
      <c r="AS649" s="42"/>
      <c r="AT649" s="42"/>
      <c r="AU649" s="42"/>
      <c r="AV649" s="42"/>
      <c r="AW649" s="42"/>
      <c r="AX649" s="68">
        <v>42.43</v>
      </c>
      <c r="AY649" s="37"/>
      <c r="BA649" s="68"/>
      <c r="BB649" s="68"/>
      <c r="BD649" s="67">
        <f t="shared" si="224"/>
        <v>8825.44</v>
      </c>
      <c r="BE649" s="67"/>
      <c r="BF649" s="37"/>
      <c r="BG649" s="73">
        <v>1</v>
      </c>
      <c r="BH649" s="67">
        <f t="shared" si="228"/>
        <v>0</v>
      </c>
      <c r="BI649" s="67">
        <f t="shared" si="229"/>
        <v>0</v>
      </c>
      <c r="BJ649" s="70">
        <f t="shared" si="230"/>
        <v>0</v>
      </c>
      <c r="BN649" s="37"/>
      <c r="BO649" s="70">
        <f t="shared" si="225"/>
        <v>0</v>
      </c>
      <c r="BP649" s="37">
        <v>17</v>
      </c>
      <c r="BQ649" s="37">
        <v>25</v>
      </c>
      <c r="BR649" s="37">
        <v>25</v>
      </c>
      <c r="BS649" s="37">
        <v>18</v>
      </c>
      <c r="BT649" s="87">
        <f t="shared" si="226"/>
        <v>42.43</v>
      </c>
      <c r="BU649" s="87"/>
      <c r="BV649" s="87"/>
      <c r="BW649" s="87"/>
      <c r="BX649" s="87"/>
      <c r="BY649" s="87"/>
      <c r="BZ649" s="87"/>
      <c r="CA649" s="87"/>
      <c r="CB649" s="87"/>
      <c r="CC649" s="87"/>
      <c r="CD649" s="87"/>
      <c r="CF649" s="67">
        <f t="shared" si="227"/>
        <v>721.31</v>
      </c>
      <c r="CG649" s="67">
        <f t="shared" si="231"/>
        <v>1060.75</v>
      </c>
      <c r="CH649" s="67">
        <f t="shared" si="218"/>
        <v>1060.75</v>
      </c>
      <c r="CI649" s="67">
        <f t="shared" si="236"/>
        <v>763.74</v>
      </c>
      <c r="CJ649" s="37">
        <f t="shared" si="232"/>
        <v>119</v>
      </c>
      <c r="CK649" s="37">
        <f t="shared" si="233"/>
        <v>175</v>
      </c>
      <c r="CL649" s="37">
        <f t="shared" si="234"/>
        <v>175</v>
      </c>
      <c r="CM649" s="37">
        <f t="shared" si="235"/>
        <v>126</v>
      </c>
    </row>
    <row r="650" spans="1:91" ht="33.75">
      <c r="B650" s="156">
        <v>637</v>
      </c>
      <c r="C650" s="160">
        <v>315</v>
      </c>
      <c r="D650" s="160">
        <v>953</v>
      </c>
      <c r="E650" s="161">
        <v>0.65625</v>
      </c>
      <c r="F650" s="173">
        <v>0.68263888888888891</v>
      </c>
      <c r="G650" s="160" t="s">
        <v>329</v>
      </c>
      <c r="H650" s="160" t="s">
        <v>203</v>
      </c>
      <c r="I650" s="163">
        <v>20</v>
      </c>
      <c r="J650" s="164" t="s">
        <v>93</v>
      </c>
      <c r="K650" s="165">
        <v>202</v>
      </c>
      <c r="L650" s="166">
        <f t="shared" si="217"/>
        <v>4040</v>
      </c>
      <c r="M650" s="177" t="s">
        <v>768</v>
      </c>
      <c r="N650" s="3" t="s">
        <v>1184</v>
      </c>
      <c r="O650" s="3">
        <v>21</v>
      </c>
      <c r="P650" s="150" t="s">
        <v>848</v>
      </c>
      <c r="Q650" s="150">
        <v>31</v>
      </c>
      <c r="R650" s="150" t="s">
        <v>1283</v>
      </c>
      <c r="S650" s="152">
        <v>29</v>
      </c>
      <c r="T650" s="45">
        <v>3210</v>
      </c>
      <c r="U650" s="45" t="s">
        <v>1657</v>
      </c>
      <c r="V650" s="45" t="s">
        <v>1597</v>
      </c>
      <c r="W650" s="45" t="s">
        <v>1596</v>
      </c>
      <c r="X650" s="99">
        <v>44816</v>
      </c>
      <c r="Y650" s="99">
        <v>45100</v>
      </c>
      <c r="Z650" s="99"/>
      <c r="AA650" s="99"/>
      <c r="AB650" s="41" t="s">
        <v>1120</v>
      </c>
      <c r="AC650" s="41"/>
      <c r="AD650" s="42" t="s">
        <v>734</v>
      </c>
      <c r="AE650" s="42"/>
      <c r="AF650" s="42" t="s">
        <v>734</v>
      </c>
      <c r="AG650" s="42"/>
      <c r="AH650" s="42" t="s">
        <v>734</v>
      </c>
      <c r="AI650" s="42" t="s">
        <v>734</v>
      </c>
      <c r="AJ650" s="42" t="s">
        <v>734</v>
      </c>
      <c r="AK650" s="42" t="s">
        <v>734</v>
      </c>
      <c r="AL650" s="42" t="s">
        <v>734</v>
      </c>
      <c r="AM650" s="42"/>
      <c r="AN650" s="42"/>
      <c r="AO650" s="42"/>
      <c r="AP650" s="42"/>
      <c r="AQ650" s="42"/>
      <c r="AR650" s="42"/>
      <c r="AS650" s="42"/>
      <c r="AT650" s="42"/>
      <c r="AU650" s="42"/>
      <c r="AV650" s="42"/>
      <c r="AW650" s="42"/>
      <c r="AX650" s="68">
        <v>36</v>
      </c>
      <c r="AY650" s="37"/>
      <c r="BA650" s="68"/>
      <c r="BB650" s="68"/>
      <c r="BD650" s="67">
        <f t="shared" si="224"/>
        <v>7272</v>
      </c>
      <c r="BE650" s="67"/>
      <c r="BF650" s="37"/>
      <c r="BG650" s="73">
        <v>1</v>
      </c>
      <c r="BH650" s="67">
        <f t="shared" si="228"/>
        <v>4</v>
      </c>
      <c r="BI650" s="67">
        <f t="shared" si="229"/>
        <v>0</v>
      </c>
      <c r="BJ650" s="67">
        <f t="shared" si="230"/>
        <v>808</v>
      </c>
      <c r="BN650" s="37"/>
      <c r="BO650" s="70">
        <f t="shared" si="225"/>
        <v>0</v>
      </c>
      <c r="BP650" s="37">
        <v>15</v>
      </c>
      <c r="BQ650" s="37">
        <v>21</v>
      </c>
      <c r="BR650" s="37">
        <v>21</v>
      </c>
      <c r="BS650" s="37">
        <v>20</v>
      </c>
      <c r="BT650" s="87">
        <f t="shared" si="226"/>
        <v>40</v>
      </c>
      <c r="BU650" s="87"/>
      <c r="BV650" s="87"/>
      <c r="BW650" s="87"/>
      <c r="BX650" s="87"/>
      <c r="BY650" s="87"/>
      <c r="BZ650" s="87"/>
      <c r="CA650" s="87"/>
      <c r="CB650" s="87"/>
      <c r="CC650" s="87"/>
      <c r="CD650" s="87"/>
      <c r="CF650" s="67">
        <f t="shared" si="227"/>
        <v>600</v>
      </c>
      <c r="CG650" s="67">
        <f t="shared" si="231"/>
        <v>840</v>
      </c>
      <c r="CH650" s="67">
        <f t="shared" si="218"/>
        <v>840</v>
      </c>
      <c r="CI650" s="67">
        <f t="shared" si="236"/>
        <v>800</v>
      </c>
      <c r="CJ650" s="37">
        <f t="shared" si="232"/>
        <v>300</v>
      </c>
      <c r="CK650" s="37">
        <f t="shared" si="233"/>
        <v>420</v>
      </c>
      <c r="CL650" s="37">
        <f t="shared" si="234"/>
        <v>420</v>
      </c>
      <c r="CM650" s="37">
        <f t="shared" si="235"/>
        <v>400</v>
      </c>
    </row>
    <row r="651" spans="1:91" ht="33.75">
      <c r="B651" s="156">
        <v>638</v>
      </c>
      <c r="C651" s="160">
        <v>315</v>
      </c>
      <c r="D651" s="160">
        <v>954</v>
      </c>
      <c r="E651" s="161">
        <v>0.69097222222222221</v>
      </c>
      <c r="F651" s="161">
        <v>0.71736111111111101</v>
      </c>
      <c r="G651" s="160" t="s">
        <v>328</v>
      </c>
      <c r="H651" s="160" t="s">
        <v>203</v>
      </c>
      <c r="I651" s="163">
        <v>20</v>
      </c>
      <c r="J651" s="164" t="s">
        <v>93</v>
      </c>
      <c r="K651" s="165">
        <v>202</v>
      </c>
      <c r="L651" s="166">
        <f t="shared" si="217"/>
        <v>4040</v>
      </c>
      <c r="M651" s="177" t="s">
        <v>768</v>
      </c>
      <c r="N651" s="3" t="s">
        <v>1184</v>
      </c>
      <c r="O651" s="3">
        <v>21</v>
      </c>
      <c r="P651" s="150" t="s">
        <v>848</v>
      </c>
      <c r="Q651" s="150">
        <v>31</v>
      </c>
      <c r="R651" s="150" t="s">
        <v>1283</v>
      </c>
      <c r="S651" s="152">
        <v>29</v>
      </c>
      <c r="T651" s="45" t="s">
        <v>1595</v>
      </c>
      <c r="U651" s="45" t="s">
        <v>1596</v>
      </c>
      <c r="V651" s="45">
        <v>3210</v>
      </c>
      <c r="W651" s="45" t="s">
        <v>1657</v>
      </c>
      <c r="X651" s="99">
        <v>44816</v>
      </c>
      <c r="Y651" s="99">
        <v>45100</v>
      </c>
      <c r="Z651" s="99"/>
      <c r="AA651" s="99"/>
      <c r="AB651" s="41" t="s">
        <v>1120</v>
      </c>
      <c r="AC651" s="41"/>
      <c r="AD651" s="42" t="s">
        <v>734</v>
      </c>
      <c r="AE651" s="42"/>
      <c r="AF651" s="42" t="s">
        <v>734</v>
      </c>
      <c r="AG651" s="42"/>
      <c r="AH651" s="42" t="s">
        <v>734</v>
      </c>
      <c r="AI651" s="42" t="s">
        <v>734</v>
      </c>
      <c r="AJ651" s="42" t="s">
        <v>734</v>
      </c>
      <c r="AK651" s="42" t="s">
        <v>734</v>
      </c>
      <c r="AL651" s="42" t="s">
        <v>734</v>
      </c>
      <c r="AM651" s="42"/>
      <c r="AN651" s="42"/>
      <c r="AO651" s="42"/>
      <c r="AP651" s="42"/>
      <c r="AQ651" s="42"/>
      <c r="AR651" s="42"/>
      <c r="AS651" s="42"/>
      <c r="AT651" s="42"/>
      <c r="AU651" s="42"/>
      <c r="AV651" s="42"/>
      <c r="AW651" s="42"/>
      <c r="AX651" s="68">
        <v>36</v>
      </c>
      <c r="AY651" s="37"/>
      <c r="BA651" s="68"/>
      <c r="BB651" s="68"/>
      <c r="BD651" s="67">
        <f t="shared" si="224"/>
        <v>7272</v>
      </c>
      <c r="BE651" s="67"/>
      <c r="BF651" s="37"/>
      <c r="BG651" s="73">
        <v>1</v>
      </c>
      <c r="BH651" s="67">
        <f t="shared" si="228"/>
        <v>4</v>
      </c>
      <c r="BI651" s="67">
        <f t="shared" si="229"/>
        <v>0</v>
      </c>
      <c r="BJ651" s="67">
        <f t="shared" si="230"/>
        <v>808</v>
      </c>
      <c r="BN651" s="37"/>
      <c r="BO651" s="70">
        <f t="shared" si="225"/>
        <v>0</v>
      </c>
      <c r="BP651" s="37">
        <v>15</v>
      </c>
      <c r="BQ651" s="37">
        <v>21</v>
      </c>
      <c r="BR651" s="37">
        <v>21</v>
      </c>
      <c r="BS651" s="37">
        <v>20</v>
      </c>
      <c r="BT651" s="87">
        <f t="shared" si="226"/>
        <v>40</v>
      </c>
      <c r="BU651" s="87"/>
      <c r="BV651" s="87"/>
      <c r="BW651" s="87"/>
      <c r="BX651" s="87"/>
      <c r="BY651" s="87"/>
      <c r="BZ651" s="87"/>
      <c r="CA651" s="87"/>
      <c r="CB651" s="87"/>
      <c r="CC651" s="87"/>
      <c r="CD651" s="87"/>
      <c r="CF651" s="67">
        <f t="shared" si="227"/>
        <v>600</v>
      </c>
      <c r="CG651" s="67">
        <f t="shared" si="231"/>
        <v>840</v>
      </c>
      <c r="CH651" s="67">
        <f t="shared" si="218"/>
        <v>840</v>
      </c>
      <c r="CI651" s="67">
        <f t="shared" si="236"/>
        <v>800</v>
      </c>
      <c r="CJ651" s="37">
        <f t="shared" si="232"/>
        <v>300</v>
      </c>
      <c r="CK651" s="37">
        <f t="shared" si="233"/>
        <v>420</v>
      </c>
      <c r="CL651" s="37">
        <f t="shared" si="234"/>
        <v>420</v>
      </c>
      <c r="CM651" s="37">
        <f t="shared" si="235"/>
        <v>400</v>
      </c>
    </row>
    <row r="652" spans="1:91" ht="25.5">
      <c r="B652" s="156">
        <v>639</v>
      </c>
      <c r="C652" s="169">
        <v>334</v>
      </c>
      <c r="D652" s="169">
        <v>539</v>
      </c>
      <c r="E652" s="170">
        <v>0.34513888888888888</v>
      </c>
      <c r="F652" s="170">
        <v>0.35138888888888892</v>
      </c>
      <c r="G652" s="171" t="s">
        <v>29</v>
      </c>
      <c r="H652" s="160" t="s">
        <v>97</v>
      </c>
      <c r="I652" s="169">
        <v>4</v>
      </c>
      <c r="J652" s="172">
        <v>19</v>
      </c>
      <c r="K652" s="165">
        <v>208</v>
      </c>
      <c r="L652" s="166">
        <f t="shared" si="217"/>
        <v>832</v>
      </c>
      <c r="M652" s="177" t="s">
        <v>765</v>
      </c>
      <c r="N652" s="150" t="s">
        <v>955</v>
      </c>
      <c r="O652" s="150">
        <v>22</v>
      </c>
      <c r="P652" s="154" t="s">
        <v>1946</v>
      </c>
      <c r="Q652" s="154">
        <v>29</v>
      </c>
      <c r="R652" s="3" t="s">
        <v>1284</v>
      </c>
      <c r="S652" s="150">
        <v>21</v>
      </c>
      <c r="T652" s="45" t="s">
        <v>1660</v>
      </c>
      <c r="U652" s="45" t="s">
        <v>1661</v>
      </c>
      <c r="V652" s="45" t="s">
        <v>1662</v>
      </c>
      <c r="W652" s="45" t="s">
        <v>1663</v>
      </c>
      <c r="X652" s="98">
        <v>44816</v>
      </c>
      <c r="Y652" s="98">
        <v>45086</v>
      </c>
      <c r="Z652" s="98"/>
      <c r="AA652" s="98"/>
      <c r="AB652" s="41" t="s">
        <v>1118</v>
      </c>
      <c r="AC652" s="41"/>
      <c r="AD652" s="42"/>
      <c r="AE652" s="42"/>
      <c r="AF652" s="42"/>
      <c r="AG652" s="42" t="s">
        <v>734</v>
      </c>
      <c r="AH652" s="42" t="s">
        <v>734</v>
      </c>
      <c r="AI652" s="42" t="s">
        <v>734</v>
      </c>
      <c r="AJ652" s="42" t="s">
        <v>734</v>
      </c>
      <c r="AK652" s="42" t="s">
        <v>734</v>
      </c>
      <c r="AL652" s="42" t="s">
        <v>734</v>
      </c>
      <c r="AM652" s="42" t="s">
        <v>734</v>
      </c>
      <c r="AN652" s="42"/>
      <c r="AO652" s="42"/>
      <c r="AP652" s="42"/>
      <c r="AQ652" s="42"/>
      <c r="AR652" s="42"/>
      <c r="AS652" s="42"/>
      <c r="AT652" s="42"/>
      <c r="AU652" s="42"/>
      <c r="AV652" s="42"/>
      <c r="AW652" s="42"/>
      <c r="AY652" s="37"/>
      <c r="BA652" s="39" t="s">
        <v>1013</v>
      </c>
      <c r="BB652" s="39"/>
      <c r="BD652" s="67">
        <f t="shared" si="224"/>
        <v>0</v>
      </c>
      <c r="BF652" s="37"/>
      <c r="BG652" s="73">
        <v>1</v>
      </c>
      <c r="BI652" s="67"/>
      <c r="BJ652" s="37"/>
      <c r="BN652" s="37"/>
      <c r="BO652" s="70">
        <f t="shared" si="225"/>
        <v>0</v>
      </c>
      <c r="BP652" s="37">
        <v>17</v>
      </c>
      <c r="BQ652" s="37">
        <v>25</v>
      </c>
      <c r="BR652" s="37">
        <v>25</v>
      </c>
      <c r="BS652" s="37">
        <v>18</v>
      </c>
      <c r="BT652" s="87">
        <f t="shared" si="226"/>
        <v>0</v>
      </c>
      <c r="BU652" s="87" t="s">
        <v>1871</v>
      </c>
      <c r="BV652" s="127">
        <v>1</v>
      </c>
      <c r="BW652" s="127"/>
      <c r="BX652" s="127">
        <v>1</v>
      </c>
      <c r="BY652" s="127"/>
      <c r="BZ652" s="127">
        <v>1</v>
      </c>
      <c r="CA652" s="127"/>
      <c r="CB652" s="127">
        <v>1</v>
      </c>
      <c r="CC652" s="127"/>
      <c r="CD652" s="87">
        <v>2500</v>
      </c>
      <c r="CF652" s="67">
        <f t="shared" si="227"/>
        <v>2500</v>
      </c>
      <c r="CG652" s="67">
        <f t="shared" si="231"/>
        <v>2500</v>
      </c>
      <c r="CH652" s="67">
        <f t="shared" si="218"/>
        <v>2500</v>
      </c>
      <c r="CI652" s="67">
        <f t="shared" si="236"/>
        <v>2500</v>
      </c>
      <c r="CJ652" s="37">
        <f t="shared" si="232"/>
        <v>68</v>
      </c>
      <c r="CK652" s="37">
        <f t="shared" si="233"/>
        <v>100</v>
      </c>
      <c r="CL652" s="37">
        <f t="shared" si="234"/>
        <v>100</v>
      </c>
      <c r="CM652" s="37">
        <f t="shared" si="235"/>
        <v>72</v>
      </c>
    </row>
    <row r="653" spans="1:91" ht="25.5">
      <c r="A653" s="3" t="s">
        <v>1180</v>
      </c>
      <c r="B653" s="156">
        <v>640</v>
      </c>
      <c r="C653" s="169">
        <v>334</v>
      </c>
      <c r="D653" s="169">
        <v>276</v>
      </c>
      <c r="E653" s="170">
        <v>0.40208333333333335</v>
      </c>
      <c r="F653" s="170">
        <v>0.41180555555555554</v>
      </c>
      <c r="G653" s="171" t="s">
        <v>35</v>
      </c>
      <c r="H653" s="160" t="s">
        <v>97</v>
      </c>
      <c r="I653" s="189">
        <v>16</v>
      </c>
      <c r="J653" s="172">
        <v>19</v>
      </c>
      <c r="K653" s="165">
        <v>208</v>
      </c>
      <c r="L653" s="166">
        <f t="shared" si="217"/>
        <v>3328</v>
      </c>
      <c r="M653" s="177" t="s">
        <v>765</v>
      </c>
      <c r="N653" s="150" t="s">
        <v>955</v>
      </c>
      <c r="O653" s="150">
        <v>22</v>
      </c>
      <c r="P653" s="154" t="s">
        <v>1946</v>
      </c>
      <c r="Q653" s="154">
        <v>29</v>
      </c>
      <c r="R653" s="3" t="s">
        <v>1284</v>
      </c>
      <c r="S653" s="150">
        <v>21</v>
      </c>
      <c r="T653" s="45" t="s">
        <v>1662</v>
      </c>
      <c r="U653" s="45" t="s">
        <v>1663</v>
      </c>
      <c r="V653" s="45" t="s">
        <v>1664</v>
      </c>
      <c r="W653" s="45" t="s">
        <v>1665</v>
      </c>
      <c r="X653" s="98">
        <v>44816</v>
      </c>
      <c r="Y653" s="98">
        <v>45086</v>
      </c>
      <c r="Z653" s="98"/>
      <c r="AA653" s="98"/>
      <c r="AB653" s="41" t="s">
        <v>1118</v>
      </c>
      <c r="AC653" s="41"/>
      <c r="AD653" s="42"/>
      <c r="AE653" s="42"/>
      <c r="AF653" s="42"/>
      <c r="AG653" s="42" t="s">
        <v>734</v>
      </c>
      <c r="AH653" s="42" t="s">
        <v>734</v>
      </c>
      <c r="AI653" s="42" t="s">
        <v>734</v>
      </c>
      <c r="AJ653" s="42" t="s">
        <v>734</v>
      </c>
      <c r="AK653" s="42" t="s">
        <v>734</v>
      </c>
      <c r="AL653" s="42" t="s">
        <v>734</v>
      </c>
      <c r="AM653" s="42" t="s">
        <v>734</v>
      </c>
      <c r="AN653" s="42"/>
      <c r="AO653" s="42"/>
      <c r="AP653" s="42"/>
      <c r="AQ653" s="42"/>
      <c r="AR653" s="42"/>
      <c r="AS653" s="42"/>
      <c r="AT653" s="42"/>
      <c r="AU653" s="42"/>
      <c r="AV653" s="42"/>
      <c r="AW653" s="42"/>
      <c r="AY653" s="37"/>
      <c r="BA653" s="39" t="s">
        <v>1013</v>
      </c>
      <c r="BB653" s="39"/>
      <c r="BC653" s="37">
        <v>32</v>
      </c>
      <c r="BD653" s="67">
        <f t="shared" si="224"/>
        <v>0</v>
      </c>
      <c r="BF653" s="37"/>
      <c r="BG653" s="73">
        <v>1</v>
      </c>
      <c r="BI653" s="67"/>
      <c r="BJ653" s="37"/>
      <c r="BN653" s="37"/>
      <c r="BO653" s="70">
        <f t="shared" si="225"/>
        <v>0</v>
      </c>
      <c r="BP653" s="37">
        <v>17</v>
      </c>
      <c r="BQ653" s="37">
        <v>25</v>
      </c>
      <c r="BR653" s="37">
        <v>25</v>
      </c>
      <c r="BS653" s="37">
        <v>18</v>
      </c>
      <c r="BT653" s="87">
        <f t="shared" si="226"/>
        <v>0</v>
      </c>
      <c r="BU653" s="116" t="s">
        <v>1118</v>
      </c>
      <c r="BV653" s="127">
        <v>17</v>
      </c>
      <c r="BW653" s="127"/>
      <c r="BX653" s="127">
        <v>25</v>
      </c>
      <c r="BY653" s="127"/>
      <c r="BZ653" s="127">
        <v>25</v>
      </c>
      <c r="CA653" s="127"/>
      <c r="CB653" s="127">
        <v>18</v>
      </c>
      <c r="CC653" s="127"/>
      <c r="CD653" s="87">
        <v>69</v>
      </c>
      <c r="CF653" s="67">
        <f t="shared" si="227"/>
        <v>1173</v>
      </c>
      <c r="CG653" s="67">
        <f t="shared" si="231"/>
        <v>1725</v>
      </c>
      <c r="CH653" s="67">
        <f t="shared" si="218"/>
        <v>1725</v>
      </c>
      <c r="CI653" s="67">
        <f t="shared" si="236"/>
        <v>1242</v>
      </c>
      <c r="CJ653" s="37">
        <f t="shared" si="232"/>
        <v>272</v>
      </c>
      <c r="CK653" s="37">
        <f t="shared" si="233"/>
        <v>400</v>
      </c>
      <c r="CL653" s="37">
        <f t="shared" si="234"/>
        <v>400</v>
      </c>
      <c r="CM653" s="37">
        <f t="shared" si="235"/>
        <v>288</v>
      </c>
    </row>
    <row r="654" spans="1:91" ht="25.5">
      <c r="B654" s="156">
        <v>641</v>
      </c>
      <c r="C654" s="169">
        <v>334</v>
      </c>
      <c r="D654" s="169">
        <v>405</v>
      </c>
      <c r="E654" s="170">
        <v>0.41597222222222219</v>
      </c>
      <c r="F654" s="176">
        <v>0.4368055555555555</v>
      </c>
      <c r="G654" s="171" t="s">
        <v>34</v>
      </c>
      <c r="H654" s="160" t="s">
        <v>97</v>
      </c>
      <c r="I654" s="169">
        <v>19.3</v>
      </c>
      <c r="J654" s="172">
        <v>19</v>
      </c>
      <c r="K654" s="165">
        <v>208</v>
      </c>
      <c r="L654" s="166">
        <f t="shared" si="217"/>
        <v>4014.4</v>
      </c>
      <c r="M654" s="177" t="s">
        <v>765</v>
      </c>
      <c r="N654" s="150" t="s">
        <v>955</v>
      </c>
      <c r="O654" s="150">
        <v>22</v>
      </c>
      <c r="P654" s="154" t="s">
        <v>1946</v>
      </c>
      <c r="Q654" s="154">
        <v>29</v>
      </c>
      <c r="R654" s="3" t="s">
        <v>1284</v>
      </c>
      <c r="S654" s="150">
        <v>21</v>
      </c>
      <c r="T654" s="45" t="s">
        <v>1666</v>
      </c>
      <c r="U654" s="45" t="s">
        <v>1667</v>
      </c>
      <c r="V654" s="45" t="s">
        <v>1662</v>
      </c>
      <c r="W654" s="45" t="s">
        <v>1663</v>
      </c>
      <c r="X654" s="98">
        <v>44816</v>
      </c>
      <c r="Y654" s="98">
        <v>45086</v>
      </c>
      <c r="Z654" s="98"/>
      <c r="AA654" s="98"/>
      <c r="AB654" s="41" t="s">
        <v>1118</v>
      </c>
      <c r="AC654" s="41"/>
      <c r="AD654" s="42"/>
      <c r="AE654" s="42"/>
      <c r="AF654" s="42"/>
      <c r="AG654" s="42" t="s">
        <v>734</v>
      </c>
      <c r="AH654" s="42" t="s">
        <v>734</v>
      </c>
      <c r="AI654" s="42" t="s">
        <v>734</v>
      </c>
      <c r="AJ654" s="42" t="s">
        <v>734</v>
      </c>
      <c r="AK654" s="42" t="s">
        <v>734</v>
      </c>
      <c r="AL654" s="42" t="s">
        <v>734</v>
      </c>
      <c r="AM654" s="42" t="s">
        <v>734</v>
      </c>
      <c r="AN654" s="42"/>
      <c r="AO654" s="42"/>
      <c r="AP654" s="42"/>
      <c r="AQ654" s="42"/>
      <c r="AR654" s="42"/>
      <c r="AS654" s="42"/>
      <c r="AT654" s="42"/>
      <c r="AU654" s="42"/>
      <c r="AV654" s="42"/>
      <c r="AW654" s="42"/>
      <c r="AY654" s="37"/>
      <c r="BA654" s="39" t="s">
        <v>1013</v>
      </c>
      <c r="BB654" s="39"/>
      <c r="BC654" s="37">
        <v>33</v>
      </c>
      <c r="BD654" s="67">
        <f t="shared" si="224"/>
        <v>0</v>
      </c>
      <c r="BF654" s="37"/>
      <c r="BG654" s="73">
        <v>1</v>
      </c>
      <c r="BI654" s="67"/>
      <c r="BJ654" s="37"/>
      <c r="BN654" s="37"/>
      <c r="BO654" s="70">
        <f t="shared" si="225"/>
        <v>0</v>
      </c>
      <c r="BP654" s="37">
        <v>17</v>
      </c>
      <c r="BQ654" s="37">
        <v>25</v>
      </c>
      <c r="BR654" s="37">
        <v>25</v>
      </c>
      <c r="BS654" s="37">
        <v>18</v>
      </c>
      <c r="BT654" s="87">
        <f t="shared" si="226"/>
        <v>0</v>
      </c>
      <c r="BU654" s="87"/>
      <c r="BV654" s="87"/>
      <c r="BW654" s="87"/>
      <c r="BX654" s="87"/>
      <c r="BY654" s="87"/>
      <c r="BZ654" s="87"/>
      <c r="CA654" s="87"/>
      <c r="CB654" s="87"/>
      <c r="CC654" s="87"/>
      <c r="CD654" s="87"/>
      <c r="CF654" s="67">
        <f t="shared" si="227"/>
        <v>0</v>
      </c>
      <c r="CG654" s="67">
        <f t="shared" si="231"/>
        <v>0</v>
      </c>
      <c r="CH654" s="67">
        <f t="shared" si="218"/>
        <v>0</v>
      </c>
      <c r="CI654" s="67">
        <f t="shared" si="236"/>
        <v>0</v>
      </c>
      <c r="CJ654" s="37">
        <f t="shared" si="232"/>
        <v>328.1</v>
      </c>
      <c r="CK654" s="37">
        <f t="shared" si="233"/>
        <v>482.5</v>
      </c>
      <c r="CL654" s="37">
        <f t="shared" si="234"/>
        <v>482.5</v>
      </c>
      <c r="CM654" s="37">
        <f t="shared" si="235"/>
        <v>347.40000000000003</v>
      </c>
    </row>
    <row r="655" spans="1:91" ht="25.5">
      <c r="B655" s="156">
        <v>642</v>
      </c>
      <c r="C655" s="189">
        <v>334</v>
      </c>
      <c r="D655" s="169">
        <v>87</v>
      </c>
      <c r="E655" s="176">
        <v>0.46180555555555558</v>
      </c>
      <c r="F655" s="170">
        <v>0.4777777777777778</v>
      </c>
      <c r="G655" s="171" t="s">
        <v>646</v>
      </c>
      <c r="H655" s="160" t="s">
        <v>103</v>
      </c>
      <c r="I655" s="169">
        <v>14</v>
      </c>
      <c r="J655" s="172">
        <v>19</v>
      </c>
      <c r="K655" s="165">
        <v>174</v>
      </c>
      <c r="L655" s="166">
        <f t="shared" si="217"/>
        <v>2436</v>
      </c>
      <c r="M655" s="177" t="s">
        <v>765</v>
      </c>
      <c r="N655" s="150" t="s">
        <v>955</v>
      </c>
      <c r="O655" s="150">
        <v>22</v>
      </c>
      <c r="P655" s="154" t="s">
        <v>1946</v>
      </c>
      <c r="Q655" s="154">
        <v>29</v>
      </c>
      <c r="R655" s="3" t="s">
        <v>1284</v>
      </c>
      <c r="S655" s="150">
        <v>21</v>
      </c>
      <c r="T655" s="45" t="s">
        <v>1662</v>
      </c>
      <c r="U655" s="45" t="s">
        <v>1663</v>
      </c>
      <c r="V655" s="45">
        <v>3367</v>
      </c>
      <c r="W655" s="45" t="s">
        <v>1668</v>
      </c>
      <c r="X655" s="98">
        <v>44816</v>
      </c>
      <c r="Y655" s="98">
        <v>45086</v>
      </c>
      <c r="Z655" s="98"/>
      <c r="AA655" s="98"/>
      <c r="AB655" s="41" t="s">
        <v>1114</v>
      </c>
      <c r="AC655" s="41"/>
      <c r="AD655" s="42"/>
      <c r="AE655" s="42"/>
      <c r="AF655" s="42"/>
      <c r="AG655" s="42" t="s">
        <v>734</v>
      </c>
      <c r="AH655" s="42" t="s">
        <v>734</v>
      </c>
      <c r="AI655" s="42" t="s">
        <v>734</v>
      </c>
      <c r="AJ655" s="42" t="s">
        <v>734</v>
      </c>
      <c r="AK655" s="42" t="s">
        <v>734</v>
      </c>
      <c r="AL655" s="42" t="s">
        <v>734</v>
      </c>
      <c r="AM655" s="42"/>
      <c r="AN655" s="42"/>
      <c r="AO655" s="42"/>
      <c r="AP655" s="42"/>
      <c r="AQ655" s="42"/>
      <c r="AR655" s="42"/>
      <c r="AS655" s="42"/>
      <c r="AT655" s="42"/>
      <c r="AU655" s="42"/>
      <c r="AV655" s="42"/>
      <c r="AW655" s="42"/>
      <c r="AY655" s="37"/>
      <c r="BA655" s="39" t="s">
        <v>1012</v>
      </c>
      <c r="BB655" s="39"/>
      <c r="BD655" s="67">
        <f t="shared" si="224"/>
        <v>0</v>
      </c>
      <c r="BF655" s="37"/>
      <c r="BG655" s="73">
        <v>1</v>
      </c>
      <c r="BI655" s="67"/>
      <c r="BJ655" s="37"/>
      <c r="BN655" s="37"/>
      <c r="BO655" s="70">
        <f t="shared" si="225"/>
        <v>0</v>
      </c>
      <c r="BP655" s="37">
        <v>15</v>
      </c>
      <c r="BQ655" s="37">
        <v>20</v>
      </c>
      <c r="BR655" s="37">
        <v>21</v>
      </c>
      <c r="BS655" s="37">
        <v>15</v>
      </c>
      <c r="BT655" s="87">
        <f t="shared" si="226"/>
        <v>0</v>
      </c>
      <c r="BU655" s="87" t="s">
        <v>1871</v>
      </c>
      <c r="BV655" s="127">
        <v>1</v>
      </c>
      <c r="BW655" s="127"/>
      <c r="BX655" s="127">
        <v>1</v>
      </c>
      <c r="BY655" s="127"/>
      <c r="BZ655" s="127">
        <v>1</v>
      </c>
      <c r="CA655" s="127"/>
      <c r="CB655" s="127">
        <v>1</v>
      </c>
      <c r="CC655" s="127"/>
      <c r="CD655" s="87">
        <v>2500</v>
      </c>
      <c r="CF655" s="67">
        <f t="shared" si="227"/>
        <v>2500</v>
      </c>
      <c r="CG655" s="67">
        <f t="shared" si="231"/>
        <v>2500</v>
      </c>
      <c r="CH655" s="67">
        <f t="shared" si="218"/>
        <v>2500</v>
      </c>
      <c r="CI655" s="67">
        <f t="shared" si="236"/>
        <v>2500</v>
      </c>
      <c r="CJ655" s="37">
        <f t="shared" si="232"/>
        <v>210</v>
      </c>
      <c r="CK655" s="37">
        <f t="shared" si="233"/>
        <v>280</v>
      </c>
      <c r="CL655" s="37">
        <f t="shared" si="234"/>
        <v>294</v>
      </c>
      <c r="CM655" s="37">
        <f t="shared" si="235"/>
        <v>210</v>
      </c>
    </row>
    <row r="656" spans="1:91" ht="25.5">
      <c r="B656" s="156">
        <v>643</v>
      </c>
      <c r="C656" s="169">
        <v>334</v>
      </c>
      <c r="D656" s="169">
        <v>197</v>
      </c>
      <c r="E656" s="170">
        <v>0.5805555555555556</v>
      </c>
      <c r="F656" s="170">
        <v>0.58611111111111114</v>
      </c>
      <c r="G656" s="171" t="s">
        <v>29</v>
      </c>
      <c r="H656" s="160" t="s">
        <v>97</v>
      </c>
      <c r="I656" s="169">
        <v>4</v>
      </c>
      <c r="J656" s="172">
        <v>19</v>
      </c>
      <c r="K656" s="165">
        <v>208</v>
      </c>
      <c r="L656" s="166">
        <f t="shared" si="217"/>
        <v>832</v>
      </c>
      <c r="M656" s="177" t="s">
        <v>765</v>
      </c>
      <c r="N656" s="150" t="s">
        <v>955</v>
      </c>
      <c r="O656" s="150">
        <v>22</v>
      </c>
      <c r="P656" s="154" t="s">
        <v>1946</v>
      </c>
      <c r="Q656" s="154">
        <v>29</v>
      </c>
      <c r="R656" s="3" t="s">
        <v>1284</v>
      </c>
      <c r="S656" s="150">
        <v>21</v>
      </c>
      <c r="T656" s="45" t="s">
        <v>1660</v>
      </c>
      <c r="U656" s="45" t="s">
        <v>1661</v>
      </c>
      <c r="V656" s="45" t="s">
        <v>1662</v>
      </c>
      <c r="W656" s="45" t="s">
        <v>1663</v>
      </c>
      <c r="X656" s="98">
        <v>44816</v>
      </c>
      <c r="Y656" s="98">
        <v>45086</v>
      </c>
      <c r="Z656" s="98"/>
      <c r="AA656" s="98"/>
      <c r="AB656" s="41" t="s">
        <v>1118</v>
      </c>
      <c r="AC656" s="41"/>
      <c r="AD656" s="42"/>
      <c r="AE656" s="42"/>
      <c r="AF656" s="42"/>
      <c r="AG656" s="42" t="s">
        <v>734</v>
      </c>
      <c r="AH656" s="42" t="s">
        <v>734</v>
      </c>
      <c r="AI656" s="42" t="s">
        <v>734</v>
      </c>
      <c r="AJ656" s="42" t="s">
        <v>734</v>
      </c>
      <c r="AK656" s="42" t="s">
        <v>734</v>
      </c>
      <c r="AL656" s="42" t="s">
        <v>734</v>
      </c>
      <c r="AM656" s="42" t="s">
        <v>734</v>
      </c>
      <c r="AN656" s="42"/>
      <c r="AO656" s="42"/>
      <c r="AP656" s="42"/>
      <c r="AQ656" s="42"/>
      <c r="AR656" s="42"/>
      <c r="AS656" s="42"/>
      <c r="AT656" s="42"/>
      <c r="AU656" s="42"/>
      <c r="AV656" s="42"/>
      <c r="AW656" s="42"/>
      <c r="AY656" s="37"/>
      <c r="BA656" s="39" t="s">
        <v>1012</v>
      </c>
      <c r="BB656" s="39"/>
      <c r="BD656" s="67">
        <f t="shared" si="224"/>
        <v>0</v>
      </c>
      <c r="BF656" s="37"/>
      <c r="BG656" s="73">
        <v>1</v>
      </c>
      <c r="BI656" s="67"/>
      <c r="BJ656" s="37"/>
      <c r="BN656" s="37"/>
      <c r="BO656" s="70">
        <f t="shared" si="225"/>
        <v>0</v>
      </c>
      <c r="BP656" s="37">
        <v>17</v>
      </c>
      <c r="BQ656" s="37">
        <v>25</v>
      </c>
      <c r="BR656" s="37">
        <v>25</v>
      </c>
      <c r="BS656" s="37">
        <v>18</v>
      </c>
      <c r="BT656" s="87">
        <f t="shared" si="226"/>
        <v>0</v>
      </c>
      <c r="BU656" s="87"/>
      <c r="BV656" s="87"/>
      <c r="BW656" s="87"/>
      <c r="BX656" s="87"/>
      <c r="BY656" s="87"/>
      <c r="BZ656" s="87"/>
      <c r="CA656" s="87"/>
      <c r="CB656" s="87"/>
      <c r="CC656" s="87"/>
      <c r="CD656" s="87"/>
      <c r="CF656" s="67">
        <f t="shared" si="227"/>
        <v>0</v>
      </c>
      <c r="CG656" s="67">
        <f t="shared" si="231"/>
        <v>0</v>
      </c>
      <c r="CH656" s="67">
        <f t="shared" si="218"/>
        <v>0</v>
      </c>
      <c r="CI656" s="67">
        <f t="shared" si="236"/>
        <v>0</v>
      </c>
      <c r="CJ656" s="37">
        <f t="shared" si="232"/>
        <v>68</v>
      </c>
      <c r="CK656" s="37">
        <f t="shared" si="233"/>
        <v>100</v>
      </c>
      <c r="CL656" s="37">
        <f t="shared" si="234"/>
        <v>100</v>
      </c>
      <c r="CM656" s="37">
        <f t="shared" si="235"/>
        <v>72</v>
      </c>
    </row>
    <row r="657" spans="1:91" ht="25.5">
      <c r="B657" s="156">
        <v>644</v>
      </c>
      <c r="C657" s="169">
        <v>334</v>
      </c>
      <c r="D657" s="169">
        <v>201</v>
      </c>
      <c r="E657" s="170">
        <v>0.60486111111111118</v>
      </c>
      <c r="F657" s="170">
        <v>0.62638888888888888</v>
      </c>
      <c r="G657" s="171" t="s">
        <v>33</v>
      </c>
      <c r="H657" s="160" t="s">
        <v>103</v>
      </c>
      <c r="I657" s="169">
        <v>19.3</v>
      </c>
      <c r="J657" s="172">
        <v>19</v>
      </c>
      <c r="K657" s="165">
        <v>174</v>
      </c>
      <c r="L657" s="166">
        <f t="shared" si="217"/>
        <v>3358.2000000000003</v>
      </c>
      <c r="M657" s="177" t="s">
        <v>765</v>
      </c>
      <c r="N657" s="150" t="s">
        <v>955</v>
      </c>
      <c r="O657" s="150">
        <v>22</v>
      </c>
      <c r="P657" s="154" t="s">
        <v>1946</v>
      </c>
      <c r="Q657" s="154">
        <v>29</v>
      </c>
      <c r="R657" s="3" t="s">
        <v>1284</v>
      </c>
      <c r="S657" s="150">
        <v>21</v>
      </c>
      <c r="T657" s="45" t="s">
        <v>1666</v>
      </c>
      <c r="U657" s="45" t="s">
        <v>1667</v>
      </c>
      <c r="V657" s="45" t="s">
        <v>1662</v>
      </c>
      <c r="W657" s="45" t="s">
        <v>1663</v>
      </c>
      <c r="X657" s="98">
        <v>44816</v>
      </c>
      <c r="Y657" s="98">
        <v>45086</v>
      </c>
      <c r="Z657" s="98"/>
      <c r="AA657" s="98"/>
      <c r="AB657" s="41" t="s">
        <v>1114</v>
      </c>
      <c r="AC657" s="41"/>
      <c r="AD657" s="42"/>
      <c r="AE657" s="42"/>
      <c r="AF657" s="42"/>
      <c r="AG657" s="42" t="s">
        <v>734</v>
      </c>
      <c r="AH657" s="42" t="s">
        <v>734</v>
      </c>
      <c r="AI657" s="42" t="s">
        <v>734</v>
      </c>
      <c r="AJ657" s="42" t="s">
        <v>734</v>
      </c>
      <c r="AK657" s="42" t="s">
        <v>734</v>
      </c>
      <c r="AL657" s="42" t="s">
        <v>734</v>
      </c>
      <c r="AM657" s="42"/>
      <c r="AN657" s="42"/>
      <c r="AO657" s="42"/>
      <c r="AP657" s="42"/>
      <c r="AQ657" s="42"/>
      <c r="AR657" s="42"/>
      <c r="AS657" s="42"/>
      <c r="AT657" s="42"/>
      <c r="AU657" s="42"/>
      <c r="AV657" s="42"/>
      <c r="AW657" s="42"/>
      <c r="AY657" s="37"/>
      <c r="BA657" s="39" t="s">
        <v>1013</v>
      </c>
      <c r="BB657" s="39"/>
      <c r="BC657" s="37">
        <v>34</v>
      </c>
      <c r="BD657" s="67">
        <f t="shared" si="224"/>
        <v>0</v>
      </c>
      <c r="BF657" s="37"/>
      <c r="BG657" s="73">
        <v>1</v>
      </c>
      <c r="BI657" s="67"/>
      <c r="BJ657" s="37"/>
      <c r="BN657" s="37"/>
      <c r="BO657" s="70">
        <f t="shared" si="225"/>
        <v>0</v>
      </c>
      <c r="BP657" s="37">
        <v>15</v>
      </c>
      <c r="BQ657" s="37">
        <v>20</v>
      </c>
      <c r="BR657" s="37">
        <v>21</v>
      </c>
      <c r="BS657" s="37">
        <v>15</v>
      </c>
      <c r="BT657" s="87">
        <f t="shared" si="226"/>
        <v>0</v>
      </c>
      <c r="BU657" s="87"/>
      <c r="BV657" s="87"/>
      <c r="BW657" s="87"/>
      <c r="BX657" s="87"/>
      <c r="BY657" s="87"/>
      <c r="BZ657" s="87"/>
      <c r="CA657" s="87"/>
      <c r="CB657" s="87"/>
      <c r="CC657" s="87"/>
      <c r="CD657" s="87"/>
      <c r="CF657" s="67">
        <f t="shared" si="227"/>
        <v>0</v>
      </c>
      <c r="CG657" s="67">
        <f t="shared" si="231"/>
        <v>0</v>
      </c>
      <c r="CH657" s="67">
        <f t="shared" si="218"/>
        <v>0</v>
      </c>
      <c r="CI657" s="67">
        <f t="shared" si="236"/>
        <v>0</v>
      </c>
      <c r="CJ657" s="37">
        <f t="shared" si="232"/>
        <v>289.5</v>
      </c>
      <c r="CK657" s="37">
        <f t="shared" si="233"/>
        <v>386</v>
      </c>
      <c r="CL657" s="37">
        <f t="shared" si="234"/>
        <v>405.3</v>
      </c>
      <c r="CM657" s="37">
        <f t="shared" si="235"/>
        <v>289.5</v>
      </c>
    </row>
    <row r="658" spans="1:91" s="298" customFormat="1" ht="25.5">
      <c r="A658" s="282" t="s">
        <v>2045</v>
      </c>
      <c r="B658" s="283">
        <v>645</v>
      </c>
      <c r="C658" s="301">
        <v>334</v>
      </c>
      <c r="D658" s="301">
        <v>401</v>
      </c>
      <c r="E658" s="302">
        <v>0.69236111111111109</v>
      </c>
      <c r="F658" s="302">
        <v>0.69861111111111107</v>
      </c>
      <c r="G658" s="303" t="s">
        <v>29</v>
      </c>
      <c r="H658" s="284" t="s">
        <v>242</v>
      </c>
      <c r="I658" s="301">
        <v>10</v>
      </c>
      <c r="J658" s="304">
        <v>19</v>
      </c>
      <c r="K658" s="289">
        <v>34</v>
      </c>
      <c r="L658" s="290">
        <f t="shared" si="217"/>
        <v>340</v>
      </c>
      <c r="M658" s="291" t="s">
        <v>2042</v>
      </c>
      <c r="N658" s="150" t="s">
        <v>955</v>
      </c>
      <c r="O658" s="150">
        <v>22</v>
      </c>
      <c r="P658" s="154" t="s">
        <v>1946</v>
      </c>
      <c r="Q658" s="154">
        <v>29</v>
      </c>
      <c r="R658" s="3" t="s">
        <v>1284</v>
      </c>
      <c r="S658" s="150">
        <v>21</v>
      </c>
      <c r="T658" s="45" t="s">
        <v>1664</v>
      </c>
      <c r="U658" s="45" t="s">
        <v>1665</v>
      </c>
      <c r="V658" s="45" t="s">
        <v>1662</v>
      </c>
      <c r="W658" s="45" t="s">
        <v>1663</v>
      </c>
      <c r="X658" s="295">
        <v>44816</v>
      </c>
      <c r="Y658" s="295">
        <v>44869</v>
      </c>
      <c r="Z658" s="98"/>
      <c r="AA658" s="98"/>
      <c r="AB658" s="296" t="s">
        <v>1123</v>
      </c>
      <c r="AC658" s="42"/>
      <c r="AD658" s="42"/>
      <c r="AE658" s="42"/>
      <c r="AF658" s="42"/>
      <c r="AG658" s="42" t="s">
        <v>734</v>
      </c>
      <c r="AH658" s="42"/>
      <c r="AI658" s="42"/>
      <c r="AJ658" s="42"/>
      <c r="AK658" s="42"/>
      <c r="AL658" s="42"/>
      <c r="AM658" s="42" t="s">
        <v>734</v>
      </c>
      <c r="AN658" s="42"/>
      <c r="AO658" s="42"/>
      <c r="AP658" s="42"/>
      <c r="AQ658" s="42"/>
      <c r="AR658" s="42"/>
      <c r="AS658" s="42"/>
      <c r="AT658" s="42"/>
      <c r="AU658" s="42"/>
      <c r="AV658" s="42"/>
      <c r="AW658" s="42"/>
      <c r="AX658" s="297"/>
      <c r="BA658" s="312" t="s">
        <v>1013</v>
      </c>
      <c r="BB658" s="312"/>
      <c r="BC658" s="298">
        <v>35</v>
      </c>
      <c r="BD658" s="297">
        <f t="shared" si="224"/>
        <v>0</v>
      </c>
      <c r="BG658" s="298">
        <v>1</v>
      </c>
      <c r="BI658" s="297"/>
      <c r="BO658" s="299">
        <f t="shared" si="225"/>
        <v>0</v>
      </c>
      <c r="BP658" s="298">
        <v>2</v>
      </c>
      <c r="BQ658" s="298">
        <v>5</v>
      </c>
      <c r="BT658" s="300">
        <f t="shared" si="226"/>
        <v>0</v>
      </c>
      <c r="BU658" s="300"/>
      <c r="BV658" s="300"/>
      <c r="BW658" s="300"/>
      <c r="BX658" s="300"/>
      <c r="BY658" s="300"/>
      <c r="BZ658" s="300"/>
      <c r="CA658" s="300"/>
      <c r="CB658" s="300"/>
      <c r="CC658" s="300"/>
      <c r="CD658" s="300"/>
      <c r="CF658" s="297">
        <f t="shared" si="227"/>
        <v>0</v>
      </c>
      <c r="CG658" s="297">
        <f t="shared" si="231"/>
        <v>0</v>
      </c>
      <c r="CH658" s="297">
        <f t="shared" si="218"/>
        <v>0</v>
      </c>
      <c r="CI658" s="297">
        <f t="shared" si="236"/>
        <v>0</v>
      </c>
      <c r="CJ658" s="298">
        <f t="shared" si="232"/>
        <v>20</v>
      </c>
      <c r="CK658" s="298">
        <f t="shared" si="233"/>
        <v>50</v>
      </c>
      <c r="CL658" s="298">
        <f t="shared" si="234"/>
        <v>0</v>
      </c>
      <c r="CM658" s="298">
        <f t="shared" si="235"/>
        <v>0</v>
      </c>
    </row>
    <row r="659" spans="1:91" ht="25.5">
      <c r="B659" s="156">
        <v>646</v>
      </c>
      <c r="C659" s="169">
        <v>334</v>
      </c>
      <c r="D659" s="169">
        <v>278</v>
      </c>
      <c r="E659" s="176">
        <v>0.74583333333333324</v>
      </c>
      <c r="F659" s="176">
        <v>0.75624999999999998</v>
      </c>
      <c r="G659" s="171" t="s">
        <v>31</v>
      </c>
      <c r="H659" s="160" t="s">
        <v>103</v>
      </c>
      <c r="I659" s="169">
        <v>10.3</v>
      </c>
      <c r="J659" s="172">
        <v>19</v>
      </c>
      <c r="K659" s="165">
        <v>174</v>
      </c>
      <c r="L659" s="166">
        <f t="shared" si="217"/>
        <v>1792.2</v>
      </c>
      <c r="M659" s="177" t="s">
        <v>765</v>
      </c>
      <c r="N659" s="150" t="s">
        <v>955</v>
      </c>
      <c r="O659" s="150">
        <v>22</v>
      </c>
      <c r="P659" s="154" t="s">
        <v>1946</v>
      </c>
      <c r="Q659" s="154">
        <v>29</v>
      </c>
      <c r="R659" s="3" t="s">
        <v>1284</v>
      </c>
      <c r="S659" s="150">
        <v>21</v>
      </c>
      <c r="T659" s="45" t="s">
        <v>1664</v>
      </c>
      <c r="U659" s="45" t="s">
        <v>1665</v>
      </c>
      <c r="V659" s="45">
        <v>3354</v>
      </c>
      <c r="W659" s="45" t="s">
        <v>1669</v>
      </c>
      <c r="X659" s="98">
        <v>44816</v>
      </c>
      <c r="Y659" s="98">
        <v>45086</v>
      </c>
      <c r="Z659" s="98"/>
      <c r="AA659" s="98"/>
      <c r="AB659" s="41" t="s">
        <v>1114</v>
      </c>
      <c r="AC659" s="41"/>
      <c r="AD659" s="42"/>
      <c r="AE659" s="42"/>
      <c r="AF659" s="42"/>
      <c r="AG659" s="42" t="s">
        <v>734</v>
      </c>
      <c r="AH659" s="42" t="s">
        <v>734</v>
      </c>
      <c r="AI659" s="42" t="s">
        <v>734</v>
      </c>
      <c r="AJ659" s="42" t="s">
        <v>734</v>
      </c>
      <c r="AK659" s="42" t="s">
        <v>734</v>
      </c>
      <c r="AL659" s="42" t="s">
        <v>734</v>
      </c>
      <c r="AM659" s="42"/>
      <c r="AN659" s="42"/>
      <c r="AO659" s="42"/>
      <c r="AP659" s="42"/>
      <c r="AQ659" s="42"/>
      <c r="AR659" s="42"/>
      <c r="AS659" s="42"/>
      <c r="AT659" s="42"/>
      <c r="AU659" s="42"/>
      <c r="AV659" s="42"/>
      <c r="AW659" s="42"/>
      <c r="AY659" s="37"/>
      <c r="BA659" s="39" t="s">
        <v>1013</v>
      </c>
      <c r="BB659" s="39"/>
      <c r="BC659" s="37">
        <v>36</v>
      </c>
      <c r="BD659" s="67">
        <f t="shared" si="224"/>
        <v>0</v>
      </c>
      <c r="BF659" s="37"/>
      <c r="BG659" s="73">
        <v>1</v>
      </c>
      <c r="BI659" s="67"/>
      <c r="BJ659" s="37"/>
      <c r="BN659" s="37"/>
      <c r="BO659" s="70">
        <f t="shared" si="225"/>
        <v>0</v>
      </c>
      <c r="BP659" s="37">
        <v>15</v>
      </c>
      <c r="BQ659" s="37">
        <v>20</v>
      </c>
      <c r="BR659" s="37">
        <v>21</v>
      </c>
      <c r="BS659" s="37">
        <v>15</v>
      </c>
      <c r="BT659" s="87">
        <f t="shared" si="226"/>
        <v>0</v>
      </c>
      <c r="BU659" s="87"/>
      <c r="BV659" s="87"/>
      <c r="BW659" s="87"/>
      <c r="BX659" s="87"/>
      <c r="BY659" s="87"/>
      <c r="BZ659" s="87"/>
      <c r="CA659" s="87"/>
      <c r="CB659" s="87"/>
      <c r="CC659" s="87"/>
      <c r="CD659" s="87"/>
      <c r="CF659" s="67">
        <f t="shared" si="227"/>
        <v>0</v>
      </c>
      <c r="CG659" s="67">
        <f t="shared" si="231"/>
        <v>0</v>
      </c>
      <c r="CH659" s="67">
        <f t="shared" si="218"/>
        <v>0</v>
      </c>
      <c r="CI659" s="67">
        <f t="shared" si="236"/>
        <v>0</v>
      </c>
      <c r="CJ659" s="37">
        <f t="shared" si="232"/>
        <v>154.5</v>
      </c>
      <c r="CK659" s="37">
        <f t="shared" si="233"/>
        <v>206</v>
      </c>
      <c r="CL659" s="37">
        <f t="shared" si="234"/>
        <v>216.3</v>
      </c>
      <c r="CM659" s="37">
        <f t="shared" si="235"/>
        <v>154.5</v>
      </c>
    </row>
    <row r="660" spans="1:91" ht="25.5">
      <c r="B660" s="156">
        <v>647</v>
      </c>
      <c r="C660" s="169">
        <v>334</v>
      </c>
      <c r="D660" s="169">
        <v>211</v>
      </c>
      <c r="E660" s="170">
        <v>0.75694444444444453</v>
      </c>
      <c r="F660" s="170">
        <v>0.76597222222222217</v>
      </c>
      <c r="G660" s="171" t="s">
        <v>32</v>
      </c>
      <c r="H660" s="160" t="s">
        <v>103</v>
      </c>
      <c r="I660" s="169">
        <v>8</v>
      </c>
      <c r="J660" s="172">
        <v>19</v>
      </c>
      <c r="K660" s="165">
        <v>174</v>
      </c>
      <c r="L660" s="166">
        <f t="shared" si="217"/>
        <v>1392</v>
      </c>
      <c r="M660" s="177" t="s">
        <v>765</v>
      </c>
      <c r="N660" s="150" t="s">
        <v>955</v>
      </c>
      <c r="O660" s="150">
        <v>22</v>
      </c>
      <c r="P660" s="154" t="s">
        <v>1946</v>
      </c>
      <c r="Q660" s="154">
        <v>29</v>
      </c>
      <c r="R660" s="3" t="s">
        <v>1284</v>
      </c>
      <c r="S660" s="150">
        <v>21</v>
      </c>
      <c r="T660" s="45">
        <v>3354</v>
      </c>
      <c r="U660" s="45" t="s">
        <v>1669</v>
      </c>
      <c r="V660" s="45" t="s">
        <v>1662</v>
      </c>
      <c r="W660" s="45" t="s">
        <v>1663</v>
      </c>
      <c r="X660" s="98">
        <v>44816</v>
      </c>
      <c r="Y660" s="98">
        <v>45086</v>
      </c>
      <c r="Z660" s="98"/>
      <c r="AA660" s="98"/>
      <c r="AB660" s="41" t="s">
        <v>1114</v>
      </c>
      <c r="AC660" s="41"/>
      <c r="AD660" s="42"/>
      <c r="AE660" s="42"/>
      <c r="AF660" s="42"/>
      <c r="AG660" s="42" t="s">
        <v>734</v>
      </c>
      <c r="AH660" s="42" t="s">
        <v>734</v>
      </c>
      <c r="AI660" s="42" t="s">
        <v>734</v>
      </c>
      <c r="AJ660" s="42" t="s">
        <v>734</v>
      </c>
      <c r="AK660" s="42" t="s">
        <v>734</v>
      </c>
      <c r="AL660" s="42" t="s">
        <v>734</v>
      </c>
      <c r="AM660" s="42"/>
      <c r="AN660" s="42"/>
      <c r="AO660" s="42"/>
      <c r="AP660" s="42"/>
      <c r="AQ660" s="42"/>
      <c r="AR660" s="42"/>
      <c r="AS660" s="42"/>
      <c r="AT660" s="42"/>
      <c r="AU660" s="42"/>
      <c r="AV660" s="42"/>
      <c r="AW660" s="42"/>
      <c r="AY660" s="37"/>
      <c r="BA660" s="39" t="s">
        <v>1013</v>
      </c>
      <c r="BB660" s="39"/>
      <c r="BC660" s="37">
        <v>37</v>
      </c>
      <c r="BD660" s="67">
        <f t="shared" si="224"/>
        <v>0</v>
      </c>
      <c r="BF660" s="37"/>
      <c r="BG660" s="73">
        <v>1</v>
      </c>
      <c r="BI660" s="67"/>
      <c r="BJ660" s="37"/>
      <c r="BN660" s="37"/>
      <c r="BO660" s="70">
        <f t="shared" si="225"/>
        <v>0</v>
      </c>
      <c r="BP660" s="37">
        <v>15</v>
      </c>
      <c r="BQ660" s="37">
        <v>20</v>
      </c>
      <c r="BR660" s="37">
        <v>21</v>
      </c>
      <c r="BS660" s="37">
        <v>15</v>
      </c>
      <c r="BT660" s="87">
        <f t="shared" si="226"/>
        <v>0</v>
      </c>
      <c r="BU660" s="87"/>
      <c r="BV660" s="87"/>
      <c r="BW660" s="87"/>
      <c r="BX660" s="87"/>
      <c r="BY660" s="87"/>
      <c r="BZ660" s="87"/>
      <c r="CA660" s="87"/>
      <c r="CB660" s="87"/>
      <c r="CC660" s="87"/>
      <c r="CD660" s="87"/>
      <c r="CF660" s="67">
        <f t="shared" si="227"/>
        <v>0</v>
      </c>
      <c r="CG660" s="67">
        <f t="shared" si="231"/>
        <v>0</v>
      </c>
      <c r="CH660" s="67">
        <f t="shared" si="218"/>
        <v>0</v>
      </c>
      <c r="CI660" s="67">
        <f t="shared" si="236"/>
        <v>0</v>
      </c>
      <c r="CJ660" s="37">
        <f t="shared" si="232"/>
        <v>120</v>
      </c>
      <c r="CK660" s="37">
        <f t="shared" si="233"/>
        <v>160</v>
      </c>
      <c r="CL660" s="37">
        <f t="shared" si="234"/>
        <v>168</v>
      </c>
      <c r="CM660" s="37">
        <f t="shared" si="235"/>
        <v>120</v>
      </c>
    </row>
    <row r="661" spans="1:91" ht="25.5">
      <c r="B661" s="156">
        <v>648</v>
      </c>
      <c r="C661" s="169">
        <v>334</v>
      </c>
      <c r="D661" s="169">
        <v>402</v>
      </c>
      <c r="E661" s="170">
        <v>0.77013888888888893</v>
      </c>
      <c r="F661" s="170">
        <v>0.78055555555555556</v>
      </c>
      <c r="G661" s="171" t="s">
        <v>31</v>
      </c>
      <c r="H661" s="160" t="s">
        <v>97</v>
      </c>
      <c r="I661" s="169">
        <v>10.3</v>
      </c>
      <c r="J661" s="172">
        <v>19</v>
      </c>
      <c r="K661" s="165">
        <v>208</v>
      </c>
      <c r="L661" s="166">
        <f t="shared" ref="L661:L724" si="237">+K661*I661</f>
        <v>2142.4</v>
      </c>
      <c r="M661" s="177" t="s">
        <v>765</v>
      </c>
      <c r="N661" s="150" t="s">
        <v>955</v>
      </c>
      <c r="O661" s="150">
        <v>22</v>
      </c>
      <c r="P661" s="154" t="s">
        <v>1946</v>
      </c>
      <c r="Q661" s="154">
        <v>29</v>
      </c>
      <c r="R661" s="3" t="s">
        <v>1284</v>
      </c>
      <c r="S661" s="150">
        <v>21</v>
      </c>
      <c r="T661" s="45" t="s">
        <v>1664</v>
      </c>
      <c r="U661" s="45" t="s">
        <v>1665</v>
      </c>
      <c r="V661" s="45">
        <v>3354</v>
      </c>
      <c r="W661" s="45" t="s">
        <v>1669</v>
      </c>
      <c r="X661" s="98">
        <v>44816</v>
      </c>
      <c r="Y661" s="98">
        <v>45086</v>
      </c>
      <c r="Z661" s="98"/>
      <c r="AA661" s="98"/>
      <c r="AB661" s="41" t="s">
        <v>1118</v>
      </c>
      <c r="AC661" s="41"/>
      <c r="AD661" s="42"/>
      <c r="AE661" s="42"/>
      <c r="AF661" s="42"/>
      <c r="AG661" s="42" t="s">
        <v>734</v>
      </c>
      <c r="AH661" s="42" t="s">
        <v>734</v>
      </c>
      <c r="AI661" s="42" t="s">
        <v>734</v>
      </c>
      <c r="AJ661" s="42" t="s">
        <v>734</v>
      </c>
      <c r="AK661" s="42" t="s">
        <v>734</v>
      </c>
      <c r="AL661" s="42" t="s">
        <v>734</v>
      </c>
      <c r="AM661" s="42" t="s">
        <v>734</v>
      </c>
      <c r="AN661" s="42"/>
      <c r="AO661" s="42"/>
      <c r="AP661" s="42"/>
      <c r="AQ661" s="42"/>
      <c r="AR661" s="42"/>
      <c r="AS661" s="42"/>
      <c r="AT661" s="42"/>
      <c r="AU661" s="42"/>
      <c r="AV661" s="42"/>
      <c r="AW661" s="42"/>
      <c r="AY661" s="37"/>
      <c r="BA661" s="39" t="s">
        <v>1013</v>
      </c>
      <c r="BB661" s="39"/>
      <c r="BC661" s="37">
        <v>38</v>
      </c>
      <c r="BD661" s="67">
        <f t="shared" ref="BD661:BD692" si="238">AX661*K661</f>
        <v>0</v>
      </c>
      <c r="BF661" s="37"/>
      <c r="BG661" s="73">
        <v>1</v>
      </c>
      <c r="BI661" s="67"/>
      <c r="BJ661" s="37"/>
      <c r="BN661" s="37"/>
      <c r="BO661" s="70">
        <f t="shared" si="225"/>
        <v>0</v>
      </c>
      <c r="BP661" s="37">
        <v>17</v>
      </c>
      <c r="BQ661" s="37">
        <v>25</v>
      </c>
      <c r="BR661" s="37">
        <v>25</v>
      </c>
      <c r="BS661" s="37">
        <v>18</v>
      </c>
      <c r="BT661" s="87">
        <f t="shared" si="226"/>
        <v>0</v>
      </c>
      <c r="BU661" s="87"/>
      <c r="BV661" s="87"/>
      <c r="BW661" s="87"/>
      <c r="BX661" s="87"/>
      <c r="BY661" s="87"/>
      <c r="BZ661" s="87"/>
      <c r="CA661" s="87"/>
      <c r="CB661" s="87"/>
      <c r="CC661" s="87"/>
      <c r="CD661" s="87"/>
      <c r="CF661" s="67">
        <f t="shared" si="227"/>
        <v>0</v>
      </c>
      <c r="CG661" s="67">
        <f t="shared" si="231"/>
        <v>0</v>
      </c>
      <c r="CH661" s="67">
        <f t="shared" ref="CH661:CH724" si="239">(BR661*BT661)+(BZ661*CD661)</f>
        <v>0</v>
      </c>
      <c r="CI661" s="67">
        <f t="shared" si="236"/>
        <v>0</v>
      </c>
      <c r="CJ661" s="37">
        <f t="shared" si="232"/>
        <v>175.10000000000002</v>
      </c>
      <c r="CK661" s="37">
        <f t="shared" si="233"/>
        <v>257.5</v>
      </c>
      <c r="CL661" s="37">
        <f t="shared" si="234"/>
        <v>257.5</v>
      </c>
      <c r="CM661" s="37">
        <f t="shared" si="235"/>
        <v>185.4</v>
      </c>
    </row>
    <row r="662" spans="1:91" ht="25.5">
      <c r="B662" s="156">
        <v>649</v>
      </c>
      <c r="C662" s="189">
        <v>307</v>
      </c>
      <c r="D662" s="169">
        <v>282</v>
      </c>
      <c r="E662" s="170">
        <v>0.40277777777777773</v>
      </c>
      <c r="F662" s="170">
        <v>0.42499999999999999</v>
      </c>
      <c r="G662" s="171" t="s">
        <v>645</v>
      </c>
      <c r="H662" s="160" t="s">
        <v>103</v>
      </c>
      <c r="I662" s="169">
        <v>17</v>
      </c>
      <c r="J662" s="172">
        <v>19</v>
      </c>
      <c r="K662" s="165">
        <v>174</v>
      </c>
      <c r="L662" s="166">
        <f t="shared" si="237"/>
        <v>2958</v>
      </c>
      <c r="M662" s="177" t="s">
        <v>765</v>
      </c>
      <c r="N662" s="150" t="s">
        <v>955</v>
      </c>
      <c r="O662" s="150">
        <v>22</v>
      </c>
      <c r="P662" s="154" t="s">
        <v>1946</v>
      </c>
      <c r="Q662" s="154">
        <v>29</v>
      </c>
      <c r="R662" s="3" t="s">
        <v>1284</v>
      </c>
      <c r="S662" s="150">
        <v>21</v>
      </c>
      <c r="T662" s="45" t="s">
        <v>1670</v>
      </c>
      <c r="U662" s="45" t="s">
        <v>1671</v>
      </c>
      <c r="V662" s="45" t="s">
        <v>1670</v>
      </c>
      <c r="W662" s="45" t="s">
        <v>1672</v>
      </c>
      <c r="X662" s="98">
        <v>44816</v>
      </c>
      <c r="Y662" s="98">
        <v>45086</v>
      </c>
      <c r="Z662" s="98"/>
      <c r="AA662" s="98"/>
      <c r="AB662" s="41" t="s">
        <v>1114</v>
      </c>
      <c r="AC662" s="41"/>
      <c r="AD662" s="42"/>
      <c r="AE662" s="42"/>
      <c r="AF662" s="42"/>
      <c r="AG662" s="42" t="s">
        <v>734</v>
      </c>
      <c r="AH662" s="42" t="s">
        <v>734</v>
      </c>
      <c r="AI662" s="42" t="s">
        <v>734</v>
      </c>
      <c r="AJ662" s="42" t="s">
        <v>734</v>
      </c>
      <c r="AK662" s="42" t="s">
        <v>734</v>
      </c>
      <c r="AL662" s="42" t="s">
        <v>734</v>
      </c>
      <c r="AM662" s="42"/>
      <c r="AN662" s="42"/>
      <c r="AO662" s="42"/>
      <c r="AP662" s="42"/>
      <c r="AQ662" s="42"/>
      <c r="AR662" s="42"/>
      <c r="AS662" s="42"/>
      <c r="AT662" s="42"/>
      <c r="AU662" s="42"/>
      <c r="AV662" s="42"/>
      <c r="AW662" s="42"/>
      <c r="AY662" s="37"/>
      <c r="BA662" s="39" t="s">
        <v>1012</v>
      </c>
      <c r="BB662" s="39"/>
      <c r="BD662" s="67">
        <f t="shared" si="238"/>
        <v>0</v>
      </c>
      <c r="BF662" s="37"/>
      <c r="BG662" s="73">
        <v>1</v>
      </c>
      <c r="BI662" s="67"/>
      <c r="BJ662" s="37"/>
      <c r="BN662" s="37"/>
      <c r="BO662" s="70">
        <f t="shared" si="225"/>
        <v>0</v>
      </c>
      <c r="BP662" s="37">
        <v>15</v>
      </c>
      <c r="BQ662" s="37">
        <v>20</v>
      </c>
      <c r="BR662" s="37">
        <v>21</v>
      </c>
      <c r="BS662" s="37">
        <v>15</v>
      </c>
      <c r="BT662" s="87">
        <f t="shared" si="226"/>
        <v>0</v>
      </c>
      <c r="BU662" s="87"/>
      <c r="BV662" s="87"/>
      <c r="BW662" s="87"/>
      <c r="BX662" s="87"/>
      <c r="BY662" s="87"/>
      <c r="BZ662" s="87"/>
      <c r="CA662" s="87"/>
      <c r="CB662" s="87"/>
      <c r="CC662" s="87"/>
      <c r="CD662" s="87"/>
      <c r="CF662" s="67">
        <f t="shared" si="227"/>
        <v>0</v>
      </c>
      <c r="CG662" s="67">
        <f t="shared" si="231"/>
        <v>0</v>
      </c>
      <c r="CH662" s="67">
        <f t="shared" si="239"/>
        <v>0</v>
      </c>
      <c r="CI662" s="67">
        <f t="shared" si="236"/>
        <v>0</v>
      </c>
      <c r="CJ662" s="37">
        <f t="shared" si="232"/>
        <v>255</v>
      </c>
      <c r="CK662" s="37">
        <f t="shared" si="233"/>
        <v>340</v>
      </c>
      <c r="CL662" s="37">
        <f t="shared" si="234"/>
        <v>357</v>
      </c>
      <c r="CM662" s="37">
        <f t="shared" si="235"/>
        <v>255</v>
      </c>
    </row>
    <row r="663" spans="1:91" ht="25.5">
      <c r="B663" s="156">
        <v>650</v>
      </c>
      <c r="C663" s="169">
        <v>335</v>
      </c>
      <c r="D663" s="169">
        <v>182</v>
      </c>
      <c r="E663" s="170">
        <v>0.44861111111111113</v>
      </c>
      <c r="F663" s="170">
        <v>0.4548611111111111</v>
      </c>
      <c r="G663" s="171" t="s">
        <v>30</v>
      </c>
      <c r="H663" s="160" t="s">
        <v>97</v>
      </c>
      <c r="I663" s="169">
        <v>4</v>
      </c>
      <c r="J663" s="172">
        <v>19</v>
      </c>
      <c r="K663" s="165">
        <v>208</v>
      </c>
      <c r="L663" s="166">
        <f t="shared" si="237"/>
        <v>832</v>
      </c>
      <c r="M663" s="177" t="s">
        <v>765</v>
      </c>
      <c r="N663" s="150" t="s">
        <v>955</v>
      </c>
      <c r="O663" s="150">
        <v>22</v>
      </c>
      <c r="P663" s="154" t="s">
        <v>1946</v>
      </c>
      <c r="Q663" s="154">
        <v>29</v>
      </c>
      <c r="R663" s="3" t="s">
        <v>1284</v>
      </c>
      <c r="S663" s="150">
        <v>21</v>
      </c>
      <c r="T663" s="45" t="s">
        <v>1662</v>
      </c>
      <c r="U663" s="45" t="s">
        <v>1663</v>
      </c>
      <c r="V663" s="45" t="s">
        <v>1660</v>
      </c>
      <c r="W663" s="45" t="s">
        <v>1661</v>
      </c>
      <c r="X663" s="98">
        <v>44816</v>
      </c>
      <c r="Y663" s="98">
        <v>45086</v>
      </c>
      <c r="Z663" s="98"/>
      <c r="AA663" s="98"/>
      <c r="AB663" s="41" t="s">
        <v>1118</v>
      </c>
      <c r="AC663" s="41"/>
      <c r="AD663" s="42"/>
      <c r="AE663" s="42"/>
      <c r="AF663" s="42"/>
      <c r="AG663" s="42" t="s">
        <v>734</v>
      </c>
      <c r="AH663" s="42" t="s">
        <v>734</v>
      </c>
      <c r="AI663" s="42" t="s">
        <v>734</v>
      </c>
      <c r="AJ663" s="42" t="s">
        <v>734</v>
      </c>
      <c r="AK663" s="42" t="s">
        <v>734</v>
      </c>
      <c r="AL663" s="42" t="s">
        <v>734</v>
      </c>
      <c r="AM663" s="42" t="s">
        <v>734</v>
      </c>
      <c r="AN663" s="42"/>
      <c r="AO663" s="42"/>
      <c r="AP663" s="42"/>
      <c r="AQ663" s="42"/>
      <c r="AR663" s="42"/>
      <c r="AS663" s="42"/>
      <c r="AT663" s="42"/>
      <c r="AU663" s="42"/>
      <c r="AV663" s="42"/>
      <c r="AW663" s="42"/>
      <c r="AY663" s="37"/>
      <c r="BA663" s="39" t="s">
        <v>1012</v>
      </c>
      <c r="BB663" s="39"/>
      <c r="BC663" s="37">
        <v>39</v>
      </c>
      <c r="BD663" s="67">
        <f t="shared" si="238"/>
        <v>0</v>
      </c>
      <c r="BF663" s="37"/>
      <c r="BG663" s="73">
        <v>1</v>
      </c>
      <c r="BI663" s="67"/>
      <c r="BJ663" s="37"/>
      <c r="BN663" s="37"/>
      <c r="BO663" s="70">
        <f t="shared" si="225"/>
        <v>0</v>
      </c>
      <c r="BP663" s="37">
        <v>17</v>
      </c>
      <c r="BQ663" s="37">
        <v>25</v>
      </c>
      <c r="BR663" s="37">
        <v>25</v>
      </c>
      <c r="BS663" s="37">
        <v>18</v>
      </c>
      <c r="BT663" s="87">
        <f t="shared" si="226"/>
        <v>0</v>
      </c>
      <c r="BU663" s="87"/>
      <c r="BV663" s="87"/>
      <c r="BW663" s="87"/>
      <c r="BX663" s="87"/>
      <c r="BY663" s="87"/>
      <c r="BZ663" s="87"/>
      <c r="CA663" s="87"/>
      <c r="CB663" s="87"/>
      <c r="CC663" s="87"/>
      <c r="CD663" s="87"/>
      <c r="CF663" s="67">
        <f t="shared" si="227"/>
        <v>0</v>
      </c>
      <c r="CG663" s="67">
        <f t="shared" si="231"/>
        <v>0</v>
      </c>
      <c r="CH663" s="67">
        <f t="shared" si="239"/>
        <v>0</v>
      </c>
      <c r="CI663" s="67">
        <f t="shared" si="236"/>
        <v>0</v>
      </c>
      <c r="CJ663" s="37">
        <f t="shared" si="232"/>
        <v>68</v>
      </c>
      <c r="CK663" s="37">
        <f t="shared" si="233"/>
        <v>100</v>
      </c>
      <c r="CL663" s="37">
        <f t="shared" si="234"/>
        <v>100</v>
      </c>
      <c r="CM663" s="37">
        <f t="shared" si="235"/>
        <v>72</v>
      </c>
    </row>
    <row r="664" spans="1:91" ht="25.5">
      <c r="B664" s="156">
        <v>651</v>
      </c>
      <c r="C664" s="169">
        <v>335</v>
      </c>
      <c r="D664" s="169">
        <v>198</v>
      </c>
      <c r="E664" s="170">
        <v>0.65625</v>
      </c>
      <c r="F664" s="170">
        <v>0.66249999999999998</v>
      </c>
      <c r="G664" s="171" t="s">
        <v>30</v>
      </c>
      <c r="H664" s="160" t="s">
        <v>97</v>
      </c>
      <c r="I664" s="169">
        <v>4</v>
      </c>
      <c r="J664" s="172">
        <v>19</v>
      </c>
      <c r="K664" s="165">
        <v>208</v>
      </c>
      <c r="L664" s="166">
        <f t="shared" si="237"/>
        <v>832</v>
      </c>
      <c r="M664" s="177" t="s">
        <v>765</v>
      </c>
      <c r="N664" s="150" t="s">
        <v>955</v>
      </c>
      <c r="O664" s="150">
        <v>22</v>
      </c>
      <c r="P664" s="154" t="s">
        <v>1946</v>
      </c>
      <c r="Q664" s="154">
        <v>29</v>
      </c>
      <c r="R664" s="3" t="s">
        <v>1284</v>
      </c>
      <c r="S664" s="150">
        <v>21</v>
      </c>
      <c r="T664" s="45" t="s">
        <v>1662</v>
      </c>
      <c r="U664" s="45" t="s">
        <v>1663</v>
      </c>
      <c r="V664" s="45" t="s">
        <v>1660</v>
      </c>
      <c r="W664" s="45" t="s">
        <v>1661</v>
      </c>
      <c r="X664" s="98">
        <v>44816</v>
      </c>
      <c r="Y664" s="98">
        <v>45086</v>
      </c>
      <c r="Z664" s="98"/>
      <c r="AA664" s="98"/>
      <c r="AB664" s="41" t="s">
        <v>1118</v>
      </c>
      <c r="AC664" s="41"/>
      <c r="AD664" s="42"/>
      <c r="AE664" s="42"/>
      <c r="AF664" s="42"/>
      <c r="AG664" s="42" t="s">
        <v>734</v>
      </c>
      <c r="AH664" s="42" t="s">
        <v>734</v>
      </c>
      <c r="AI664" s="42" t="s">
        <v>734</v>
      </c>
      <c r="AJ664" s="42" t="s">
        <v>734</v>
      </c>
      <c r="AK664" s="42" t="s">
        <v>734</v>
      </c>
      <c r="AL664" s="42" t="s">
        <v>734</v>
      </c>
      <c r="AM664" s="42" t="s">
        <v>734</v>
      </c>
      <c r="AN664" s="42"/>
      <c r="AO664" s="42"/>
      <c r="AP664" s="42"/>
      <c r="AQ664" s="42"/>
      <c r="AR664" s="42"/>
      <c r="AS664" s="42"/>
      <c r="AT664" s="42"/>
      <c r="AU664" s="42"/>
      <c r="AV664" s="42"/>
      <c r="AW664" s="42"/>
      <c r="AY664" s="37"/>
      <c r="BA664" s="39" t="s">
        <v>1012</v>
      </c>
      <c r="BB664" s="39"/>
      <c r="BC664" s="37">
        <v>40</v>
      </c>
      <c r="BD664" s="67">
        <f t="shared" si="238"/>
        <v>0</v>
      </c>
      <c r="BF664" s="37"/>
      <c r="BG664" s="73">
        <v>1</v>
      </c>
      <c r="BI664" s="67"/>
      <c r="BJ664" s="37"/>
      <c r="BN664" s="37"/>
      <c r="BO664" s="70">
        <f t="shared" si="225"/>
        <v>0</v>
      </c>
      <c r="BP664" s="37">
        <v>17</v>
      </c>
      <c r="BQ664" s="37">
        <v>25</v>
      </c>
      <c r="BR664" s="37">
        <v>25</v>
      </c>
      <c r="BS664" s="37">
        <v>18</v>
      </c>
      <c r="BT664" s="87">
        <f t="shared" si="226"/>
        <v>0</v>
      </c>
      <c r="BU664" s="87"/>
      <c r="BV664" s="87"/>
      <c r="BW664" s="87"/>
      <c r="BX664" s="87"/>
      <c r="BY664" s="87"/>
      <c r="BZ664" s="87"/>
      <c r="CA664" s="87"/>
      <c r="CB664" s="87"/>
      <c r="CC664" s="87"/>
      <c r="CD664" s="87"/>
      <c r="CF664" s="67">
        <f t="shared" si="227"/>
        <v>0</v>
      </c>
      <c r="CG664" s="67">
        <f t="shared" si="231"/>
        <v>0</v>
      </c>
      <c r="CH664" s="67">
        <f t="shared" si="239"/>
        <v>0</v>
      </c>
      <c r="CI664" s="67">
        <f t="shared" si="236"/>
        <v>0</v>
      </c>
      <c r="CJ664" s="37">
        <f t="shared" si="232"/>
        <v>68</v>
      </c>
      <c r="CK664" s="37">
        <f t="shared" si="233"/>
        <v>100</v>
      </c>
      <c r="CL664" s="37">
        <f t="shared" si="234"/>
        <v>100</v>
      </c>
      <c r="CM664" s="37">
        <f t="shared" si="235"/>
        <v>72</v>
      </c>
    </row>
    <row r="665" spans="1:91" ht="25.5">
      <c r="B665" s="156">
        <v>652</v>
      </c>
      <c r="C665" s="169">
        <v>335</v>
      </c>
      <c r="D665" s="169">
        <v>208</v>
      </c>
      <c r="E665" s="176">
        <v>0.79513888888888884</v>
      </c>
      <c r="F665" s="176">
        <v>0.8208333333333333</v>
      </c>
      <c r="G665" s="171" t="s">
        <v>36</v>
      </c>
      <c r="H665" s="160" t="s">
        <v>97</v>
      </c>
      <c r="I665" s="169">
        <v>19.3</v>
      </c>
      <c r="J665" s="172">
        <v>19</v>
      </c>
      <c r="K665" s="165">
        <v>208</v>
      </c>
      <c r="L665" s="166">
        <f t="shared" si="237"/>
        <v>4014.4</v>
      </c>
      <c r="M665" s="177" t="s">
        <v>765</v>
      </c>
      <c r="N665" s="150" t="s">
        <v>955</v>
      </c>
      <c r="O665" s="150">
        <v>22</v>
      </c>
      <c r="P665" s="154" t="s">
        <v>1946</v>
      </c>
      <c r="Q665" s="154">
        <v>29</v>
      </c>
      <c r="R665" s="3" t="s">
        <v>1284</v>
      </c>
      <c r="S665" s="150">
        <v>21</v>
      </c>
      <c r="T665" s="45" t="s">
        <v>1662</v>
      </c>
      <c r="U665" s="45" t="s">
        <v>1663</v>
      </c>
      <c r="V665" s="45" t="s">
        <v>1664</v>
      </c>
      <c r="W665" s="45" t="s">
        <v>1665</v>
      </c>
      <c r="X665" s="98">
        <v>44816</v>
      </c>
      <c r="Y665" s="98">
        <v>45086</v>
      </c>
      <c r="Z665" s="98"/>
      <c r="AA665" s="98"/>
      <c r="AB665" s="41" t="s">
        <v>1118</v>
      </c>
      <c r="AC665" s="41"/>
      <c r="AD665" s="42"/>
      <c r="AE665" s="42"/>
      <c r="AF665" s="42"/>
      <c r="AG665" s="42" t="s">
        <v>734</v>
      </c>
      <c r="AH665" s="42" t="s">
        <v>734</v>
      </c>
      <c r="AI665" s="42" t="s">
        <v>734</v>
      </c>
      <c r="AJ665" s="42" t="s">
        <v>734</v>
      </c>
      <c r="AK665" s="42" t="s">
        <v>734</v>
      </c>
      <c r="AL665" s="42" t="s">
        <v>734</v>
      </c>
      <c r="AM665" s="42" t="s">
        <v>734</v>
      </c>
      <c r="AN665" s="42"/>
      <c r="AO665" s="42"/>
      <c r="AP665" s="42"/>
      <c r="AQ665" s="42"/>
      <c r="AR665" s="42"/>
      <c r="AS665" s="42"/>
      <c r="AT665" s="42"/>
      <c r="AU665" s="42"/>
      <c r="AV665" s="42"/>
      <c r="AW665" s="42"/>
      <c r="AY665" s="37"/>
      <c r="BA665" s="39" t="s">
        <v>1013</v>
      </c>
      <c r="BB665" s="39"/>
      <c r="BC665" s="37">
        <v>41</v>
      </c>
      <c r="BD665" s="67">
        <f t="shared" si="238"/>
        <v>0</v>
      </c>
      <c r="BF665" s="37"/>
      <c r="BG665" s="73">
        <v>1</v>
      </c>
      <c r="BI665" s="67"/>
      <c r="BJ665" s="37"/>
      <c r="BN665" s="37"/>
      <c r="BO665" s="70">
        <f t="shared" si="225"/>
        <v>0</v>
      </c>
      <c r="BP665" s="37">
        <v>17</v>
      </c>
      <c r="BQ665" s="37">
        <v>25</v>
      </c>
      <c r="BR665" s="37">
        <v>25</v>
      </c>
      <c r="BS665" s="37">
        <v>18</v>
      </c>
      <c r="BT665" s="87">
        <f t="shared" si="226"/>
        <v>0</v>
      </c>
      <c r="BU665" s="87"/>
      <c r="BV665" s="87"/>
      <c r="BW665" s="87"/>
      <c r="BX665" s="87"/>
      <c r="BY665" s="87"/>
      <c r="BZ665" s="87"/>
      <c r="CA665" s="87"/>
      <c r="CB665" s="87"/>
      <c r="CC665" s="87"/>
      <c r="CD665" s="87"/>
      <c r="CF665" s="67">
        <f t="shared" si="227"/>
        <v>0</v>
      </c>
      <c r="CG665" s="67">
        <f t="shared" si="231"/>
        <v>0</v>
      </c>
      <c r="CH665" s="67">
        <f t="shared" si="239"/>
        <v>0</v>
      </c>
      <c r="CI665" s="67">
        <f t="shared" si="236"/>
        <v>0</v>
      </c>
      <c r="CJ665" s="37">
        <f t="shared" si="232"/>
        <v>328.1</v>
      </c>
      <c r="CK665" s="37">
        <f t="shared" si="233"/>
        <v>482.5</v>
      </c>
      <c r="CL665" s="37">
        <f t="shared" si="234"/>
        <v>482.5</v>
      </c>
      <c r="CM665" s="37">
        <f t="shared" si="235"/>
        <v>347.40000000000003</v>
      </c>
    </row>
    <row r="666" spans="1:91" ht="25.5">
      <c r="A666" s="3" t="s">
        <v>1180</v>
      </c>
      <c r="B666" s="156">
        <v>653</v>
      </c>
      <c r="C666" s="169">
        <v>335</v>
      </c>
      <c r="D666" s="169">
        <v>208</v>
      </c>
      <c r="E666" s="176">
        <v>0.8208333333333333</v>
      </c>
      <c r="F666" s="176">
        <v>0.82916666666666661</v>
      </c>
      <c r="G666" s="171" t="s">
        <v>37</v>
      </c>
      <c r="H666" s="160" t="s">
        <v>97</v>
      </c>
      <c r="I666" s="189">
        <v>19.3</v>
      </c>
      <c r="J666" s="172">
        <v>19</v>
      </c>
      <c r="K666" s="165">
        <v>208</v>
      </c>
      <c r="L666" s="166">
        <f t="shared" si="237"/>
        <v>4014.4</v>
      </c>
      <c r="M666" s="177" t="s">
        <v>765</v>
      </c>
      <c r="N666" s="150" t="s">
        <v>955</v>
      </c>
      <c r="O666" s="150">
        <v>22</v>
      </c>
      <c r="P666" s="154" t="s">
        <v>1946</v>
      </c>
      <c r="Q666" s="154">
        <v>29</v>
      </c>
      <c r="R666" s="3" t="s">
        <v>1284</v>
      </c>
      <c r="S666" s="150">
        <v>21</v>
      </c>
      <c r="T666" s="45" t="s">
        <v>1664</v>
      </c>
      <c r="U666" s="45" t="s">
        <v>1665</v>
      </c>
      <c r="V666" s="45" t="s">
        <v>1662</v>
      </c>
      <c r="W666" s="45" t="s">
        <v>1663</v>
      </c>
      <c r="X666" s="98">
        <v>44816</v>
      </c>
      <c r="Y666" s="98">
        <v>45086</v>
      </c>
      <c r="Z666" s="98"/>
      <c r="AA666" s="98"/>
      <c r="AB666" s="41" t="s">
        <v>1118</v>
      </c>
      <c r="AC666" s="41"/>
      <c r="AD666" s="42"/>
      <c r="AE666" s="42"/>
      <c r="AF666" s="42"/>
      <c r="AG666" s="42" t="s">
        <v>734</v>
      </c>
      <c r="AH666" s="42" t="s">
        <v>734</v>
      </c>
      <c r="AI666" s="42" t="s">
        <v>734</v>
      </c>
      <c r="AJ666" s="42" t="s">
        <v>734</v>
      </c>
      <c r="AK666" s="42" t="s">
        <v>734</v>
      </c>
      <c r="AL666" s="42" t="s">
        <v>734</v>
      </c>
      <c r="AM666" s="42" t="s">
        <v>734</v>
      </c>
      <c r="AN666" s="42"/>
      <c r="AO666" s="42"/>
      <c r="AP666" s="42"/>
      <c r="AQ666" s="42"/>
      <c r="AR666" s="42"/>
      <c r="AS666" s="42"/>
      <c r="AT666" s="42"/>
      <c r="AU666" s="42"/>
      <c r="AV666" s="42"/>
      <c r="AW666" s="42"/>
      <c r="AY666" s="37"/>
      <c r="BA666" s="39" t="s">
        <v>1013</v>
      </c>
      <c r="BB666" s="39"/>
      <c r="BC666" s="37">
        <v>42</v>
      </c>
      <c r="BD666" s="67">
        <f t="shared" si="238"/>
        <v>0</v>
      </c>
      <c r="BF666" s="37"/>
      <c r="BG666" s="73">
        <v>1</v>
      </c>
      <c r="BI666" s="67"/>
      <c r="BJ666" s="37"/>
      <c r="BN666" s="37"/>
      <c r="BO666" s="70">
        <f t="shared" si="225"/>
        <v>0</v>
      </c>
      <c r="BP666" s="37">
        <v>17</v>
      </c>
      <c r="BQ666" s="37">
        <v>25</v>
      </c>
      <c r="BR666" s="37">
        <v>25</v>
      </c>
      <c r="BS666" s="37">
        <v>18</v>
      </c>
      <c r="BT666" s="87">
        <f t="shared" si="226"/>
        <v>0</v>
      </c>
      <c r="BU666" s="87"/>
      <c r="BV666" s="87"/>
      <c r="BW666" s="87"/>
      <c r="BX666" s="87"/>
      <c r="BY666" s="87"/>
      <c r="BZ666" s="87"/>
      <c r="CA666" s="87"/>
      <c r="CB666" s="87"/>
      <c r="CC666" s="87"/>
      <c r="CD666" s="87"/>
      <c r="CF666" s="67">
        <f t="shared" si="227"/>
        <v>0</v>
      </c>
      <c r="CG666" s="67">
        <f t="shared" si="231"/>
        <v>0</v>
      </c>
      <c r="CH666" s="67">
        <f t="shared" si="239"/>
        <v>0</v>
      </c>
      <c r="CI666" s="67">
        <f t="shared" si="236"/>
        <v>0</v>
      </c>
      <c r="CJ666" s="37">
        <f t="shared" si="232"/>
        <v>328.1</v>
      </c>
      <c r="CK666" s="37">
        <f t="shared" si="233"/>
        <v>482.5</v>
      </c>
      <c r="CL666" s="37">
        <f t="shared" si="234"/>
        <v>482.5</v>
      </c>
      <c r="CM666" s="37">
        <f t="shared" si="235"/>
        <v>347.40000000000003</v>
      </c>
    </row>
    <row r="667" spans="1:91" ht="25.5">
      <c r="B667" s="156">
        <v>654</v>
      </c>
      <c r="C667" s="169">
        <v>335</v>
      </c>
      <c r="D667" s="169">
        <v>210</v>
      </c>
      <c r="E667" s="170">
        <v>0.83194444444444438</v>
      </c>
      <c r="F667" s="170">
        <v>0.8520833333333333</v>
      </c>
      <c r="G667" s="171" t="s">
        <v>36</v>
      </c>
      <c r="H667" s="160" t="s">
        <v>97</v>
      </c>
      <c r="I667" s="169">
        <v>19.3</v>
      </c>
      <c r="J667" s="172">
        <v>19</v>
      </c>
      <c r="K667" s="165">
        <v>208</v>
      </c>
      <c r="L667" s="166">
        <f t="shared" si="237"/>
        <v>4014.4</v>
      </c>
      <c r="M667" s="177" t="s">
        <v>765</v>
      </c>
      <c r="N667" s="150" t="s">
        <v>955</v>
      </c>
      <c r="O667" s="150">
        <v>22</v>
      </c>
      <c r="P667" s="154" t="s">
        <v>1946</v>
      </c>
      <c r="Q667" s="154">
        <v>29</v>
      </c>
      <c r="R667" s="3" t="s">
        <v>1284</v>
      </c>
      <c r="S667" s="150">
        <v>21</v>
      </c>
      <c r="T667" s="45" t="s">
        <v>1662</v>
      </c>
      <c r="U667" s="45" t="s">
        <v>1663</v>
      </c>
      <c r="V667" s="45" t="s">
        <v>1666</v>
      </c>
      <c r="W667" s="45" t="s">
        <v>1667</v>
      </c>
      <c r="X667" s="98">
        <v>44816</v>
      </c>
      <c r="Y667" s="98">
        <v>45086</v>
      </c>
      <c r="Z667" s="98"/>
      <c r="AA667" s="98"/>
      <c r="AB667" s="41" t="s">
        <v>1118</v>
      </c>
      <c r="AC667" s="41"/>
      <c r="AD667" s="42"/>
      <c r="AE667" s="42"/>
      <c r="AF667" s="42"/>
      <c r="AG667" s="42" t="s">
        <v>734</v>
      </c>
      <c r="AH667" s="42" t="s">
        <v>734</v>
      </c>
      <c r="AI667" s="42" t="s">
        <v>734</v>
      </c>
      <c r="AJ667" s="42" t="s">
        <v>734</v>
      </c>
      <c r="AK667" s="42" t="s">
        <v>734</v>
      </c>
      <c r="AL667" s="42" t="s">
        <v>734</v>
      </c>
      <c r="AM667" s="42" t="s">
        <v>734</v>
      </c>
      <c r="AN667" s="42"/>
      <c r="AO667" s="42"/>
      <c r="AP667" s="42"/>
      <c r="AQ667" s="42"/>
      <c r="AR667" s="42"/>
      <c r="AS667" s="42"/>
      <c r="AT667" s="42"/>
      <c r="AU667" s="42"/>
      <c r="AV667" s="42"/>
      <c r="AW667" s="42"/>
      <c r="AY667" s="37"/>
      <c r="BA667" s="39" t="s">
        <v>1013</v>
      </c>
      <c r="BB667" s="39"/>
      <c r="BC667" s="37">
        <v>43</v>
      </c>
      <c r="BD667" s="67">
        <f t="shared" si="238"/>
        <v>0</v>
      </c>
      <c r="BF667" s="37"/>
      <c r="BG667" s="73">
        <v>1</v>
      </c>
      <c r="BI667" s="67"/>
      <c r="BJ667" s="37"/>
      <c r="BN667" s="37"/>
      <c r="BO667" s="70">
        <f t="shared" si="225"/>
        <v>0</v>
      </c>
      <c r="BP667" s="37">
        <v>17</v>
      </c>
      <c r="BQ667" s="37">
        <v>25</v>
      </c>
      <c r="BR667" s="37">
        <v>25</v>
      </c>
      <c r="BS667" s="37">
        <v>18</v>
      </c>
      <c r="BT667" s="87">
        <f t="shared" si="226"/>
        <v>0</v>
      </c>
      <c r="BU667" s="87"/>
      <c r="BV667" s="87"/>
      <c r="BW667" s="87"/>
      <c r="BX667" s="87"/>
      <c r="BY667" s="87"/>
      <c r="BZ667" s="87"/>
      <c r="CA667" s="87"/>
      <c r="CB667" s="87"/>
      <c r="CC667" s="87"/>
      <c r="CD667" s="87"/>
      <c r="CF667" s="67">
        <f t="shared" si="227"/>
        <v>0</v>
      </c>
      <c r="CG667" s="67">
        <f t="shared" si="231"/>
        <v>0</v>
      </c>
      <c r="CH667" s="67">
        <f t="shared" si="239"/>
        <v>0</v>
      </c>
      <c r="CI667" s="67">
        <f t="shared" si="236"/>
        <v>0</v>
      </c>
      <c r="CJ667" s="37">
        <f t="shared" si="232"/>
        <v>328.1</v>
      </c>
      <c r="CK667" s="37">
        <f t="shared" si="233"/>
        <v>482.5</v>
      </c>
      <c r="CL667" s="37">
        <f t="shared" si="234"/>
        <v>482.5</v>
      </c>
      <c r="CM667" s="37">
        <f t="shared" si="235"/>
        <v>347.40000000000003</v>
      </c>
    </row>
    <row r="668" spans="1:91" ht="25.5">
      <c r="B668" s="156">
        <v>655</v>
      </c>
      <c r="C668" s="160">
        <v>336</v>
      </c>
      <c r="D668" s="164">
        <v>791</v>
      </c>
      <c r="E668" s="161">
        <v>0.27291666666666664</v>
      </c>
      <c r="F668" s="161">
        <v>0.28402777777777777</v>
      </c>
      <c r="G668" s="160" t="s">
        <v>235</v>
      </c>
      <c r="H668" s="160" t="s">
        <v>97</v>
      </c>
      <c r="I668" s="163">
        <v>9.5</v>
      </c>
      <c r="J668" s="164" t="s">
        <v>116</v>
      </c>
      <c r="K668" s="165">
        <v>208</v>
      </c>
      <c r="L668" s="166">
        <f t="shared" si="237"/>
        <v>1976</v>
      </c>
      <c r="M668" s="177" t="s">
        <v>769</v>
      </c>
      <c r="N668" s="154" t="s">
        <v>923</v>
      </c>
      <c r="O668" s="154">
        <v>9</v>
      </c>
      <c r="P668" s="154" t="s">
        <v>1285</v>
      </c>
      <c r="Q668" s="154">
        <v>9</v>
      </c>
      <c r="R668" s="154" t="s">
        <v>1286</v>
      </c>
      <c r="S668" s="151">
        <v>9</v>
      </c>
      <c r="T668" s="45" t="s">
        <v>1673</v>
      </c>
      <c r="U668" s="45" t="s">
        <v>1674</v>
      </c>
      <c r="V668" s="45" t="s">
        <v>1662</v>
      </c>
      <c r="W668" s="45" t="s">
        <v>1663</v>
      </c>
      <c r="X668" s="98">
        <v>44816</v>
      </c>
      <c r="Y668" s="98">
        <v>45086</v>
      </c>
      <c r="Z668" s="98"/>
      <c r="AA668" s="98"/>
      <c r="AB668" s="41" t="s">
        <v>1118</v>
      </c>
      <c r="AC668" s="41"/>
      <c r="AD668" s="42"/>
      <c r="AE668" s="42"/>
      <c r="AF668" s="42"/>
      <c r="AG668" s="42" t="s">
        <v>734</v>
      </c>
      <c r="AH668" s="42" t="s">
        <v>734</v>
      </c>
      <c r="AI668" s="42" t="s">
        <v>734</v>
      </c>
      <c r="AJ668" s="42" t="s">
        <v>734</v>
      </c>
      <c r="AK668" s="42" t="s">
        <v>734</v>
      </c>
      <c r="AL668" s="42" t="s">
        <v>734</v>
      </c>
      <c r="AM668" s="42" t="s">
        <v>734</v>
      </c>
      <c r="AN668" s="42"/>
      <c r="AO668" s="42"/>
      <c r="AP668" s="42"/>
      <c r="AQ668" s="42"/>
      <c r="AR668" s="42"/>
      <c r="AS668" s="42"/>
      <c r="AT668" s="42"/>
      <c r="AU668" s="42"/>
      <c r="AV668" s="42"/>
      <c r="AW668" s="42"/>
      <c r="AX668" s="68">
        <v>30.37</v>
      </c>
      <c r="AY668" s="37"/>
      <c r="BA668" s="68"/>
      <c r="BB668" s="68"/>
      <c r="BD668" s="67">
        <f t="shared" si="238"/>
        <v>6316.96</v>
      </c>
      <c r="BE668" s="67"/>
      <c r="BF668" s="37"/>
      <c r="BG668" s="73">
        <v>1</v>
      </c>
      <c r="BH668" s="67">
        <f t="shared" ref="BH668:BH676" si="240">IF(AND((AX668/I668)&lt;2,BG668=1),(I668*2)-AX668,0)</f>
        <v>0</v>
      </c>
      <c r="BI668" s="67">
        <f t="shared" ref="BI668:BI676" si="241">IF(AND((AX668/I668)&lt;3,BG668=2),(I668*3)-AX668,0)</f>
        <v>0</v>
      </c>
      <c r="BJ668" s="70">
        <f t="shared" ref="BJ668:BJ676" si="242">(BH668+BI668)*K668</f>
        <v>0</v>
      </c>
      <c r="BN668" s="67">
        <f>IF((AX668+AY668+AZ668)&lt;20,(20-(AX668+AY668+AZ668)),0)</f>
        <v>0</v>
      </c>
      <c r="BO668" s="70">
        <f t="shared" si="225"/>
        <v>0</v>
      </c>
      <c r="BP668" s="37">
        <v>17</v>
      </c>
      <c r="BQ668" s="37">
        <v>25</v>
      </c>
      <c r="BR668" s="37">
        <v>25</v>
      </c>
      <c r="BS668" s="37">
        <v>18</v>
      </c>
      <c r="BT668" s="87">
        <f t="shared" si="226"/>
        <v>30.37</v>
      </c>
      <c r="BU668" s="87"/>
      <c r="BV668" s="87"/>
      <c r="BW668" s="87"/>
      <c r="BX668" s="87"/>
      <c r="BY668" s="87"/>
      <c r="BZ668" s="87"/>
      <c r="CA668" s="87"/>
      <c r="CB668" s="87"/>
      <c r="CC668" s="87"/>
      <c r="CD668" s="87"/>
      <c r="CF668" s="67">
        <f t="shared" si="227"/>
        <v>516.29</v>
      </c>
      <c r="CG668" s="67">
        <f t="shared" si="231"/>
        <v>759.25</v>
      </c>
      <c r="CH668" s="67">
        <f t="shared" si="239"/>
        <v>759.25</v>
      </c>
      <c r="CI668" s="67">
        <f t="shared" si="236"/>
        <v>546.66</v>
      </c>
      <c r="CJ668" s="37">
        <f t="shared" si="232"/>
        <v>161.5</v>
      </c>
      <c r="CK668" s="37">
        <f t="shared" si="233"/>
        <v>237.5</v>
      </c>
      <c r="CL668" s="37">
        <f t="shared" si="234"/>
        <v>237.5</v>
      </c>
      <c r="CM668" s="37">
        <f t="shared" si="235"/>
        <v>171</v>
      </c>
    </row>
    <row r="669" spans="1:91" ht="25.5">
      <c r="B669" s="156">
        <v>656</v>
      </c>
      <c r="C669" s="160">
        <v>336</v>
      </c>
      <c r="D669" s="164">
        <v>786</v>
      </c>
      <c r="E669" s="161">
        <v>0.2951388888888889</v>
      </c>
      <c r="F669" s="161">
        <v>0.30486111111111108</v>
      </c>
      <c r="G669" s="160" t="s">
        <v>236</v>
      </c>
      <c r="H669" s="160" t="s">
        <v>479</v>
      </c>
      <c r="I669" s="163">
        <v>6.7</v>
      </c>
      <c r="J669" s="164" t="s">
        <v>234</v>
      </c>
      <c r="K669" s="165">
        <v>240</v>
      </c>
      <c r="L669" s="166">
        <f t="shared" si="237"/>
        <v>1608</v>
      </c>
      <c r="M669" s="177" t="s">
        <v>765</v>
      </c>
      <c r="N669" s="150" t="s">
        <v>955</v>
      </c>
      <c r="O669" s="150">
        <v>22</v>
      </c>
      <c r="P669" s="154" t="s">
        <v>1946</v>
      </c>
      <c r="Q669" s="154">
        <v>29</v>
      </c>
      <c r="R669" s="3" t="s">
        <v>1284</v>
      </c>
      <c r="S669" s="150">
        <v>21</v>
      </c>
      <c r="T669" s="45" t="s">
        <v>1662</v>
      </c>
      <c r="U669" s="45" t="s">
        <v>1663</v>
      </c>
      <c r="V669" s="45">
        <v>3337</v>
      </c>
      <c r="W669" s="45" t="s">
        <v>1675</v>
      </c>
      <c r="X669" s="99">
        <v>44816</v>
      </c>
      <c r="Y669" s="99">
        <v>45100</v>
      </c>
      <c r="Z669" s="99"/>
      <c r="AA669" s="99"/>
      <c r="AB669" s="45" t="s">
        <v>1124</v>
      </c>
      <c r="AC669" s="45"/>
      <c r="AD669" s="42" t="s">
        <v>734</v>
      </c>
      <c r="AE669" s="42"/>
      <c r="AF669" s="42" t="s">
        <v>734</v>
      </c>
      <c r="AG669" s="42"/>
      <c r="AH669" s="42" t="s">
        <v>734</v>
      </c>
      <c r="AI669" s="42" t="s">
        <v>734</v>
      </c>
      <c r="AJ669" s="42" t="s">
        <v>734</v>
      </c>
      <c r="AK669" s="42" t="s">
        <v>734</v>
      </c>
      <c r="AL669" s="42" t="s">
        <v>734</v>
      </c>
      <c r="AM669" s="42" t="s">
        <v>734</v>
      </c>
      <c r="AN669" s="42"/>
      <c r="AO669" s="42"/>
      <c r="AP669" s="42"/>
      <c r="AQ669" s="42"/>
      <c r="AR669" s="42"/>
      <c r="AS669" s="42"/>
      <c r="AT669" s="42"/>
      <c r="AU669" s="42"/>
      <c r="AV669" s="42"/>
      <c r="AW669" s="42"/>
      <c r="AX669" s="68">
        <v>21.77</v>
      </c>
      <c r="AY669" s="37"/>
      <c r="BA669" s="68"/>
      <c r="BB669" s="68"/>
      <c r="BD669" s="67">
        <f t="shared" si="238"/>
        <v>5224.8</v>
      </c>
      <c r="BE669" s="67"/>
      <c r="BF669" s="37"/>
      <c r="BG669" s="73">
        <v>1</v>
      </c>
      <c r="BH669" s="67">
        <f t="shared" si="240"/>
        <v>0</v>
      </c>
      <c r="BI669" s="67">
        <f t="shared" si="241"/>
        <v>0</v>
      </c>
      <c r="BJ669" s="70">
        <f t="shared" si="242"/>
        <v>0</v>
      </c>
      <c r="BN669" s="37"/>
      <c r="BO669" s="70">
        <f t="shared" si="225"/>
        <v>0</v>
      </c>
      <c r="BP669" s="37">
        <v>17</v>
      </c>
      <c r="BQ669" s="37">
        <v>26</v>
      </c>
      <c r="BR669" s="37">
        <v>25</v>
      </c>
      <c r="BS669" s="37">
        <v>25</v>
      </c>
      <c r="BT669" s="87">
        <f t="shared" si="226"/>
        <v>21.77</v>
      </c>
      <c r="BU669" s="87"/>
      <c r="BV669" s="87"/>
      <c r="BW669" s="87"/>
      <c r="BX669" s="87"/>
      <c r="BY669" s="87"/>
      <c r="BZ669" s="87"/>
      <c r="CA669" s="87"/>
      <c r="CB669" s="87"/>
      <c r="CC669" s="87"/>
      <c r="CD669" s="87"/>
      <c r="CF669" s="67">
        <f t="shared" si="227"/>
        <v>370.09</v>
      </c>
      <c r="CG669" s="67">
        <f t="shared" si="231"/>
        <v>566.02</v>
      </c>
      <c r="CH669" s="67">
        <f t="shared" si="239"/>
        <v>544.25</v>
      </c>
      <c r="CI669" s="67">
        <f t="shared" si="236"/>
        <v>544.25</v>
      </c>
      <c r="CJ669" s="37">
        <f t="shared" si="232"/>
        <v>113.9</v>
      </c>
      <c r="CK669" s="37">
        <f t="shared" si="233"/>
        <v>174.20000000000002</v>
      </c>
      <c r="CL669" s="37">
        <f t="shared" si="234"/>
        <v>167.5</v>
      </c>
      <c r="CM669" s="37">
        <f t="shared" si="235"/>
        <v>167.5</v>
      </c>
    </row>
    <row r="670" spans="1:91" ht="25.5">
      <c r="B670" s="156">
        <v>657</v>
      </c>
      <c r="C670" s="160">
        <v>336</v>
      </c>
      <c r="D670" s="164">
        <v>787</v>
      </c>
      <c r="E670" s="173">
        <v>0.30902777777777779</v>
      </c>
      <c r="F670" s="173">
        <v>0.32291666666666669</v>
      </c>
      <c r="G670" s="171" t="s">
        <v>235</v>
      </c>
      <c r="H670" s="160" t="s">
        <v>18</v>
      </c>
      <c r="I670" s="163">
        <v>7</v>
      </c>
      <c r="J670" s="164" t="s">
        <v>234</v>
      </c>
      <c r="K670" s="165">
        <v>304</v>
      </c>
      <c r="L670" s="166">
        <f t="shared" si="237"/>
        <v>2128</v>
      </c>
      <c r="M670" s="177" t="s">
        <v>765</v>
      </c>
      <c r="N670" s="150" t="s">
        <v>955</v>
      </c>
      <c r="O670" s="150">
        <v>22</v>
      </c>
      <c r="P670" s="154" t="s">
        <v>1946</v>
      </c>
      <c r="Q670" s="154">
        <v>29</v>
      </c>
      <c r="R670" s="3" t="s">
        <v>1284</v>
      </c>
      <c r="S670" s="150">
        <v>21</v>
      </c>
      <c r="T670" s="45" t="s">
        <v>1673</v>
      </c>
      <c r="U670" s="45" t="s">
        <v>1674</v>
      </c>
      <c r="V670" s="45" t="s">
        <v>1662</v>
      </c>
      <c r="W670" s="45" t="s">
        <v>1663</v>
      </c>
      <c r="X670" s="98">
        <v>44805</v>
      </c>
      <c r="Y670" s="98">
        <v>45169</v>
      </c>
      <c r="Z670" s="98"/>
      <c r="AA670" s="98"/>
      <c r="AB670" s="42" t="s">
        <v>1125</v>
      </c>
      <c r="AC670" s="42"/>
      <c r="AD670" s="42" t="s">
        <v>734</v>
      </c>
      <c r="AE670" s="42" t="s">
        <v>734</v>
      </c>
      <c r="AF670" s="42" t="s">
        <v>734</v>
      </c>
      <c r="AG670" s="42"/>
      <c r="AH670" s="42" t="s">
        <v>734</v>
      </c>
      <c r="AI670" s="42" t="s">
        <v>734</v>
      </c>
      <c r="AJ670" s="42" t="s">
        <v>734</v>
      </c>
      <c r="AK670" s="42" t="s">
        <v>734</v>
      </c>
      <c r="AL670" s="42" t="s">
        <v>734</v>
      </c>
      <c r="AM670" s="42" t="s">
        <v>734</v>
      </c>
      <c r="AN670" s="42"/>
      <c r="AO670" s="42"/>
      <c r="AP670" s="42"/>
      <c r="AQ670" s="42"/>
      <c r="AR670" s="42"/>
      <c r="AS670" s="42"/>
      <c r="AT670" s="42"/>
      <c r="AU670" s="42"/>
      <c r="AV670" s="42"/>
      <c r="AW670" s="42"/>
      <c r="AX670" s="68">
        <v>29.41</v>
      </c>
      <c r="AY670" s="37"/>
      <c r="BA670" s="68"/>
      <c r="BB670" s="68"/>
      <c r="BD670" s="67">
        <f t="shared" si="238"/>
        <v>8940.64</v>
      </c>
      <c r="BE670" s="67"/>
      <c r="BF670" s="37"/>
      <c r="BG670" s="73">
        <v>1</v>
      </c>
      <c r="BH670" s="67">
        <f t="shared" si="240"/>
        <v>0</v>
      </c>
      <c r="BI670" s="67">
        <f t="shared" si="241"/>
        <v>0</v>
      </c>
      <c r="BJ670" s="70">
        <f t="shared" si="242"/>
        <v>0</v>
      </c>
      <c r="BN670" s="37"/>
      <c r="BO670" s="70">
        <f t="shared" si="225"/>
        <v>0</v>
      </c>
      <c r="BP670" s="37">
        <v>26</v>
      </c>
      <c r="BQ670" s="37">
        <v>26</v>
      </c>
      <c r="BR670" s="37">
        <v>25</v>
      </c>
      <c r="BS670" s="37">
        <v>25</v>
      </c>
      <c r="BT670" s="87">
        <f t="shared" si="226"/>
        <v>29.41</v>
      </c>
      <c r="BU670" s="87"/>
      <c r="BV670" s="87"/>
      <c r="BW670" s="87"/>
      <c r="BX670" s="87"/>
      <c r="BY670" s="87"/>
      <c r="BZ670" s="87"/>
      <c r="CA670" s="87"/>
      <c r="CB670" s="87"/>
      <c r="CC670" s="87"/>
      <c r="CD670" s="87"/>
      <c r="CF670" s="67">
        <f t="shared" si="227"/>
        <v>764.66</v>
      </c>
      <c r="CG670" s="67">
        <f t="shared" si="231"/>
        <v>764.66</v>
      </c>
      <c r="CH670" s="67">
        <f t="shared" si="239"/>
        <v>735.25</v>
      </c>
      <c r="CI670" s="67">
        <f t="shared" si="236"/>
        <v>735.25</v>
      </c>
      <c r="CJ670" s="37">
        <f t="shared" si="232"/>
        <v>182</v>
      </c>
      <c r="CK670" s="37">
        <f t="shared" si="233"/>
        <v>182</v>
      </c>
      <c r="CL670" s="37">
        <f t="shared" si="234"/>
        <v>175</v>
      </c>
      <c r="CM670" s="37">
        <f t="shared" si="235"/>
        <v>175</v>
      </c>
    </row>
    <row r="671" spans="1:91" ht="25.5">
      <c r="B671" s="156">
        <v>658</v>
      </c>
      <c r="C671" s="160">
        <v>336</v>
      </c>
      <c r="D671" s="164">
        <v>788</v>
      </c>
      <c r="E671" s="161">
        <v>0.55069444444444449</v>
      </c>
      <c r="F671" s="173">
        <v>0.56388888888888888</v>
      </c>
      <c r="G671" s="171" t="s">
        <v>627</v>
      </c>
      <c r="H671" s="160" t="s">
        <v>18</v>
      </c>
      <c r="I671" s="163">
        <v>7.7</v>
      </c>
      <c r="J671" s="164" t="s">
        <v>234</v>
      </c>
      <c r="K671" s="165">
        <v>304</v>
      </c>
      <c r="L671" s="166">
        <f t="shared" si="237"/>
        <v>2340.8000000000002</v>
      </c>
      <c r="M671" s="177" t="s">
        <v>765</v>
      </c>
      <c r="N671" s="150" t="s">
        <v>955</v>
      </c>
      <c r="O671" s="150">
        <v>22</v>
      </c>
      <c r="P671" s="154" t="s">
        <v>1946</v>
      </c>
      <c r="Q671" s="154">
        <v>29</v>
      </c>
      <c r="R671" s="3" t="s">
        <v>1284</v>
      </c>
      <c r="S671" s="150">
        <v>21</v>
      </c>
      <c r="T671" s="45" t="s">
        <v>1662</v>
      </c>
      <c r="U671" s="45" t="s">
        <v>1663</v>
      </c>
      <c r="V671" s="45" t="s">
        <v>1673</v>
      </c>
      <c r="W671" s="45" t="s">
        <v>1674</v>
      </c>
      <c r="X671" s="98">
        <v>44805</v>
      </c>
      <c r="Y671" s="98">
        <v>45169</v>
      </c>
      <c r="Z671" s="98"/>
      <c r="AA671" s="98"/>
      <c r="AB671" s="42" t="s">
        <v>1125</v>
      </c>
      <c r="AC671" s="42"/>
      <c r="AD671" s="42" t="s">
        <v>734</v>
      </c>
      <c r="AE671" s="42" t="s">
        <v>734</v>
      </c>
      <c r="AF671" s="42" t="s">
        <v>734</v>
      </c>
      <c r="AG671" s="42"/>
      <c r="AH671" s="42" t="s">
        <v>734</v>
      </c>
      <c r="AI671" s="42" t="s">
        <v>734</v>
      </c>
      <c r="AJ671" s="42" t="s">
        <v>734</v>
      </c>
      <c r="AK671" s="42" t="s">
        <v>734</v>
      </c>
      <c r="AL671" s="42" t="s">
        <v>734</v>
      </c>
      <c r="AM671" s="42" t="s">
        <v>734</v>
      </c>
      <c r="AN671" s="42"/>
      <c r="AO671" s="42"/>
      <c r="AP671" s="42"/>
      <c r="AQ671" s="42"/>
      <c r="AR671" s="42"/>
      <c r="AS671" s="42"/>
      <c r="AT671" s="42"/>
      <c r="AU671" s="42"/>
      <c r="AV671" s="42"/>
      <c r="AW671" s="42"/>
      <c r="AX671" s="68">
        <v>29.41</v>
      </c>
      <c r="AY671" s="37"/>
      <c r="BA671" s="68"/>
      <c r="BB671" s="68"/>
      <c r="BD671" s="67">
        <f t="shared" si="238"/>
        <v>8940.64</v>
      </c>
      <c r="BE671" s="67"/>
      <c r="BF671" s="37"/>
      <c r="BG671" s="73">
        <v>1</v>
      </c>
      <c r="BH671" s="67">
        <f t="shared" si="240"/>
        <v>0</v>
      </c>
      <c r="BI671" s="67">
        <f t="shared" si="241"/>
        <v>0</v>
      </c>
      <c r="BJ671" s="70">
        <f t="shared" si="242"/>
        <v>0</v>
      </c>
      <c r="BN671" s="37"/>
      <c r="BO671" s="70">
        <f t="shared" si="225"/>
        <v>0</v>
      </c>
      <c r="BP671" s="37">
        <v>26</v>
      </c>
      <c r="BQ671" s="37">
        <v>26</v>
      </c>
      <c r="BR671" s="37">
        <v>25</v>
      </c>
      <c r="BS671" s="37">
        <v>25</v>
      </c>
      <c r="BT671" s="87">
        <f t="shared" si="226"/>
        <v>29.41</v>
      </c>
      <c r="BU671" s="87"/>
      <c r="BV671" s="87"/>
      <c r="BW671" s="87"/>
      <c r="BX671" s="87"/>
      <c r="BY671" s="87"/>
      <c r="BZ671" s="87"/>
      <c r="CA671" s="87"/>
      <c r="CB671" s="87"/>
      <c r="CC671" s="87"/>
      <c r="CD671" s="87"/>
      <c r="CF671" s="67">
        <f t="shared" si="227"/>
        <v>764.66</v>
      </c>
      <c r="CG671" s="67">
        <f t="shared" si="231"/>
        <v>764.66</v>
      </c>
      <c r="CH671" s="67">
        <f t="shared" si="239"/>
        <v>735.25</v>
      </c>
      <c r="CI671" s="67">
        <f t="shared" si="236"/>
        <v>735.25</v>
      </c>
      <c r="CJ671" s="37">
        <f t="shared" si="232"/>
        <v>200.20000000000002</v>
      </c>
      <c r="CK671" s="37">
        <f t="shared" si="233"/>
        <v>200.20000000000002</v>
      </c>
      <c r="CL671" s="37">
        <f t="shared" si="234"/>
        <v>192.5</v>
      </c>
      <c r="CM671" s="37">
        <f t="shared" si="235"/>
        <v>192.5</v>
      </c>
    </row>
    <row r="672" spans="1:91" ht="25.5">
      <c r="B672" s="156">
        <v>659</v>
      </c>
      <c r="C672" s="160">
        <v>336</v>
      </c>
      <c r="D672" s="164">
        <v>789</v>
      </c>
      <c r="E672" s="173">
        <v>0.56388888888888888</v>
      </c>
      <c r="F672" s="173">
        <v>0.57430555555555551</v>
      </c>
      <c r="G672" s="171" t="s">
        <v>628</v>
      </c>
      <c r="H672" s="160" t="s">
        <v>18</v>
      </c>
      <c r="I672" s="163">
        <v>7.7</v>
      </c>
      <c r="J672" s="164" t="s">
        <v>234</v>
      </c>
      <c r="K672" s="165">
        <v>304</v>
      </c>
      <c r="L672" s="166">
        <f t="shared" si="237"/>
        <v>2340.8000000000002</v>
      </c>
      <c r="M672" s="177" t="s">
        <v>765</v>
      </c>
      <c r="N672" s="150" t="s">
        <v>955</v>
      </c>
      <c r="O672" s="150">
        <v>22</v>
      </c>
      <c r="P672" s="154" t="s">
        <v>1946</v>
      </c>
      <c r="Q672" s="154">
        <v>29</v>
      </c>
      <c r="R672" s="3" t="s">
        <v>1284</v>
      </c>
      <c r="S672" s="150">
        <v>21</v>
      </c>
      <c r="T672" s="45" t="s">
        <v>1673</v>
      </c>
      <c r="U672" s="45" t="s">
        <v>1674</v>
      </c>
      <c r="V672" s="45" t="s">
        <v>1662</v>
      </c>
      <c r="W672" s="45" t="s">
        <v>1663</v>
      </c>
      <c r="X672" s="98">
        <v>44805</v>
      </c>
      <c r="Y672" s="98">
        <v>45169</v>
      </c>
      <c r="Z672" s="98"/>
      <c r="AA672" s="98"/>
      <c r="AB672" s="42" t="s">
        <v>1125</v>
      </c>
      <c r="AC672" s="42"/>
      <c r="AD672" s="42" t="s">
        <v>734</v>
      </c>
      <c r="AE672" s="42" t="s">
        <v>734</v>
      </c>
      <c r="AF672" s="42" t="s">
        <v>734</v>
      </c>
      <c r="AG672" s="42"/>
      <c r="AH672" s="42" t="s">
        <v>734</v>
      </c>
      <c r="AI672" s="42" t="s">
        <v>734</v>
      </c>
      <c r="AJ672" s="42" t="s">
        <v>734</v>
      </c>
      <c r="AK672" s="42" t="s">
        <v>734</v>
      </c>
      <c r="AL672" s="42" t="s">
        <v>734</v>
      </c>
      <c r="AM672" s="42" t="s">
        <v>734</v>
      </c>
      <c r="AN672" s="42"/>
      <c r="AO672" s="42"/>
      <c r="AP672" s="42"/>
      <c r="AQ672" s="42"/>
      <c r="AR672" s="42"/>
      <c r="AS672" s="42"/>
      <c r="AT672" s="42"/>
      <c r="AU672" s="42"/>
      <c r="AV672" s="42"/>
      <c r="AW672" s="42"/>
      <c r="AX672" s="68">
        <v>18.05</v>
      </c>
      <c r="AY672" s="37"/>
      <c r="BA672" s="68"/>
      <c r="BB672" s="68"/>
      <c r="BD672" s="67">
        <f t="shared" si="238"/>
        <v>5487.2</v>
      </c>
      <c r="BE672" s="67"/>
      <c r="BF672" s="37"/>
      <c r="BG672" s="73">
        <v>1</v>
      </c>
      <c r="BH672" s="67">
        <f t="shared" si="240"/>
        <v>0</v>
      </c>
      <c r="BI672" s="67">
        <f t="shared" si="241"/>
        <v>0</v>
      </c>
      <c r="BJ672" s="70">
        <f t="shared" si="242"/>
        <v>0</v>
      </c>
      <c r="BN672" s="37"/>
      <c r="BO672" s="70">
        <f t="shared" si="225"/>
        <v>0</v>
      </c>
      <c r="BP672" s="37">
        <v>26</v>
      </c>
      <c r="BQ672" s="37">
        <v>26</v>
      </c>
      <c r="BR672" s="37">
        <v>25</v>
      </c>
      <c r="BS672" s="37">
        <v>25</v>
      </c>
      <c r="BT672" s="87">
        <f t="shared" si="226"/>
        <v>18.05</v>
      </c>
      <c r="BU672" s="87"/>
      <c r="BV672" s="87"/>
      <c r="BW672" s="87"/>
      <c r="BX672" s="87"/>
      <c r="BY672" s="87"/>
      <c r="BZ672" s="87"/>
      <c r="CA672" s="87"/>
      <c r="CB672" s="87"/>
      <c r="CC672" s="87"/>
      <c r="CD672" s="87"/>
      <c r="CF672" s="67">
        <f t="shared" si="227"/>
        <v>469.3</v>
      </c>
      <c r="CG672" s="67">
        <f t="shared" si="231"/>
        <v>469.3</v>
      </c>
      <c r="CH672" s="67">
        <f t="shared" si="239"/>
        <v>451.25</v>
      </c>
      <c r="CI672" s="67">
        <f t="shared" si="236"/>
        <v>451.25</v>
      </c>
      <c r="CJ672" s="37">
        <f t="shared" si="232"/>
        <v>200.20000000000002</v>
      </c>
      <c r="CK672" s="37">
        <f t="shared" si="233"/>
        <v>200.20000000000002</v>
      </c>
      <c r="CL672" s="37">
        <f t="shared" si="234"/>
        <v>192.5</v>
      </c>
      <c r="CM672" s="37">
        <f t="shared" si="235"/>
        <v>192.5</v>
      </c>
    </row>
    <row r="673" spans="2:91" ht="25.5">
      <c r="B673" s="156">
        <v>660</v>
      </c>
      <c r="C673" s="160">
        <v>336</v>
      </c>
      <c r="D673" s="164">
        <v>794</v>
      </c>
      <c r="E673" s="161">
        <v>0.59027777777777779</v>
      </c>
      <c r="F673" s="173">
        <v>0.60416666666666663</v>
      </c>
      <c r="G673" s="160" t="s">
        <v>592</v>
      </c>
      <c r="H673" s="160" t="s">
        <v>97</v>
      </c>
      <c r="I673" s="163">
        <v>7.7</v>
      </c>
      <c r="J673" s="164" t="s">
        <v>116</v>
      </c>
      <c r="K673" s="165">
        <v>208</v>
      </c>
      <c r="L673" s="166">
        <f t="shared" si="237"/>
        <v>1601.6000000000001</v>
      </c>
      <c r="M673" s="177" t="s">
        <v>769</v>
      </c>
      <c r="N673" s="154" t="s">
        <v>923</v>
      </c>
      <c r="O673" s="154">
        <v>9</v>
      </c>
      <c r="P673" s="154" t="s">
        <v>1285</v>
      </c>
      <c r="Q673" s="154">
        <v>9</v>
      </c>
      <c r="R673" s="154" t="s">
        <v>1286</v>
      </c>
      <c r="S673" s="151">
        <v>9</v>
      </c>
      <c r="T673" s="45" t="s">
        <v>1662</v>
      </c>
      <c r="U673" s="45" t="s">
        <v>1663</v>
      </c>
      <c r="V673" s="45" t="s">
        <v>1673</v>
      </c>
      <c r="W673" s="45" t="s">
        <v>1674</v>
      </c>
      <c r="X673" s="98">
        <v>44816</v>
      </c>
      <c r="Y673" s="98">
        <v>45086</v>
      </c>
      <c r="Z673" s="98"/>
      <c r="AA673" s="98"/>
      <c r="AB673" s="41" t="s">
        <v>1118</v>
      </c>
      <c r="AC673" s="41"/>
      <c r="AD673" s="42"/>
      <c r="AE673" s="42"/>
      <c r="AF673" s="42"/>
      <c r="AG673" s="42" t="s">
        <v>734</v>
      </c>
      <c r="AH673" s="42" t="s">
        <v>734</v>
      </c>
      <c r="AI673" s="42" t="s">
        <v>734</v>
      </c>
      <c r="AJ673" s="42" t="s">
        <v>734</v>
      </c>
      <c r="AK673" s="42" t="s">
        <v>734</v>
      </c>
      <c r="AL673" s="42" t="s">
        <v>734</v>
      </c>
      <c r="AM673" s="42" t="s">
        <v>734</v>
      </c>
      <c r="AN673" s="42"/>
      <c r="AO673" s="42"/>
      <c r="AP673" s="42"/>
      <c r="AQ673" s="42"/>
      <c r="AR673" s="42"/>
      <c r="AS673" s="42"/>
      <c r="AT673" s="42"/>
      <c r="AU673" s="42"/>
      <c r="AV673" s="42"/>
      <c r="AW673" s="42"/>
      <c r="AX673" s="68">
        <v>13.86</v>
      </c>
      <c r="AY673" s="37"/>
      <c r="BA673" s="68"/>
      <c r="BB673" s="68"/>
      <c r="BD673" s="67">
        <f t="shared" si="238"/>
        <v>2882.88</v>
      </c>
      <c r="BE673" s="67"/>
      <c r="BF673" s="37"/>
      <c r="BG673" s="73">
        <v>1</v>
      </c>
      <c r="BH673" s="67">
        <f t="shared" si="240"/>
        <v>1.5400000000000009</v>
      </c>
      <c r="BI673" s="67">
        <f t="shared" si="241"/>
        <v>0</v>
      </c>
      <c r="BJ673" s="67">
        <f t="shared" si="242"/>
        <v>320.32000000000016</v>
      </c>
      <c r="BN673" s="37"/>
      <c r="BO673" s="70">
        <f t="shared" si="225"/>
        <v>0</v>
      </c>
      <c r="BP673" s="37">
        <v>17</v>
      </c>
      <c r="BQ673" s="37">
        <v>25</v>
      </c>
      <c r="BR673" s="37">
        <v>25</v>
      </c>
      <c r="BS673" s="37">
        <v>18</v>
      </c>
      <c r="BT673" s="87">
        <f t="shared" si="226"/>
        <v>15.4</v>
      </c>
      <c r="BU673" s="87"/>
      <c r="BV673" s="87"/>
      <c r="BW673" s="87"/>
      <c r="BX673" s="87"/>
      <c r="BY673" s="87"/>
      <c r="BZ673" s="87"/>
      <c r="CA673" s="87"/>
      <c r="CB673" s="87"/>
      <c r="CC673" s="87"/>
      <c r="CD673" s="87"/>
      <c r="CF673" s="67">
        <f t="shared" si="227"/>
        <v>261.8</v>
      </c>
      <c r="CG673" s="67">
        <f t="shared" si="231"/>
        <v>385</v>
      </c>
      <c r="CH673" s="67">
        <f t="shared" si="239"/>
        <v>385</v>
      </c>
      <c r="CI673" s="67">
        <f t="shared" si="236"/>
        <v>277.2</v>
      </c>
      <c r="CJ673" s="37">
        <f t="shared" si="232"/>
        <v>130.9</v>
      </c>
      <c r="CK673" s="37">
        <f t="shared" si="233"/>
        <v>192.5</v>
      </c>
      <c r="CL673" s="37">
        <f t="shared" si="234"/>
        <v>192.5</v>
      </c>
      <c r="CM673" s="37">
        <f t="shared" si="235"/>
        <v>138.6</v>
      </c>
    </row>
    <row r="674" spans="2:91" ht="25.5">
      <c r="B674" s="156">
        <v>661</v>
      </c>
      <c r="C674" s="160">
        <v>336</v>
      </c>
      <c r="D674" s="164">
        <v>803</v>
      </c>
      <c r="E674" s="161">
        <v>0.60416666666666663</v>
      </c>
      <c r="F674" s="173">
        <v>0.61458333333333337</v>
      </c>
      <c r="G674" s="160" t="s">
        <v>593</v>
      </c>
      <c r="H674" s="160" t="s">
        <v>97</v>
      </c>
      <c r="I674" s="163">
        <v>7.7</v>
      </c>
      <c r="J674" s="164" t="s">
        <v>116</v>
      </c>
      <c r="K674" s="165">
        <v>208</v>
      </c>
      <c r="L674" s="166">
        <f t="shared" si="237"/>
        <v>1601.6000000000001</v>
      </c>
      <c r="M674" s="177" t="s">
        <v>769</v>
      </c>
      <c r="N674" s="154" t="s">
        <v>923</v>
      </c>
      <c r="O674" s="154">
        <v>9</v>
      </c>
      <c r="P674" s="154" t="s">
        <v>1285</v>
      </c>
      <c r="Q674" s="154">
        <v>9</v>
      </c>
      <c r="R674" s="154" t="s">
        <v>1286</v>
      </c>
      <c r="S674" s="151">
        <v>9</v>
      </c>
      <c r="T674" s="45" t="s">
        <v>1673</v>
      </c>
      <c r="U674" s="45" t="s">
        <v>1674</v>
      </c>
      <c r="V674" s="45" t="s">
        <v>1662</v>
      </c>
      <c r="W674" s="45" t="s">
        <v>1663</v>
      </c>
      <c r="X674" s="98">
        <v>44816</v>
      </c>
      <c r="Y674" s="98">
        <v>45086</v>
      </c>
      <c r="Z674" s="98"/>
      <c r="AA674" s="98"/>
      <c r="AB674" s="41" t="s">
        <v>1118</v>
      </c>
      <c r="AC674" s="41"/>
      <c r="AD674" s="42"/>
      <c r="AE674" s="42"/>
      <c r="AF674" s="42"/>
      <c r="AG674" s="42" t="s">
        <v>734</v>
      </c>
      <c r="AH674" s="42" t="s">
        <v>734</v>
      </c>
      <c r="AI674" s="42" t="s">
        <v>734</v>
      </c>
      <c r="AJ674" s="42" t="s">
        <v>734</v>
      </c>
      <c r="AK674" s="42" t="s">
        <v>734</v>
      </c>
      <c r="AL674" s="42" t="s">
        <v>734</v>
      </c>
      <c r="AM674" s="42" t="s">
        <v>734</v>
      </c>
      <c r="AN674" s="42"/>
      <c r="AO674" s="42"/>
      <c r="AP674" s="42"/>
      <c r="AQ674" s="42"/>
      <c r="AR674" s="42"/>
      <c r="AS674" s="42"/>
      <c r="AT674" s="42"/>
      <c r="AU674" s="42"/>
      <c r="AV674" s="42"/>
      <c r="AW674" s="42"/>
      <c r="AX674" s="68">
        <v>13.86</v>
      </c>
      <c r="AY674" s="37"/>
      <c r="BA674" s="68"/>
      <c r="BB674" s="68"/>
      <c r="BD674" s="67">
        <f t="shared" si="238"/>
        <v>2882.88</v>
      </c>
      <c r="BE674" s="67"/>
      <c r="BF674" s="37"/>
      <c r="BG674" s="73">
        <v>1</v>
      </c>
      <c r="BH674" s="67">
        <f t="shared" si="240"/>
        <v>1.5400000000000009</v>
      </c>
      <c r="BI674" s="67">
        <f t="shared" si="241"/>
        <v>0</v>
      </c>
      <c r="BJ674" s="67">
        <f t="shared" si="242"/>
        <v>320.32000000000016</v>
      </c>
      <c r="BN674" s="37"/>
      <c r="BO674" s="70">
        <f t="shared" si="225"/>
        <v>0</v>
      </c>
      <c r="BP674" s="37">
        <v>17</v>
      </c>
      <c r="BQ674" s="37">
        <v>25</v>
      </c>
      <c r="BR674" s="37">
        <v>25</v>
      </c>
      <c r="BS674" s="37">
        <v>18</v>
      </c>
      <c r="BT674" s="87">
        <f t="shared" si="226"/>
        <v>15.4</v>
      </c>
      <c r="BU674" s="87"/>
      <c r="BV674" s="87"/>
      <c r="BW674" s="87"/>
      <c r="BX674" s="87"/>
      <c r="BY674" s="87"/>
      <c r="BZ674" s="87"/>
      <c r="CA674" s="87"/>
      <c r="CB674" s="87"/>
      <c r="CC674" s="87"/>
      <c r="CD674" s="87"/>
      <c r="CF674" s="67">
        <f t="shared" si="227"/>
        <v>261.8</v>
      </c>
      <c r="CG674" s="67">
        <f t="shared" si="231"/>
        <v>385</v>
      </c>
      <c r="CH674" s="67">
        <f t="shared" si="239"/>
        <v>385</v>
      </c>
      <c r="CI674" s="67">
        <f t="shared" si="236"/>
        <v>277.2</v>
      </c>
      <c r="CJ674" s="37">
        <f t="shared" si="232"/>
        <v>130.9</v>
      </c>
      <c r="CK674" s="37">
        <f t="shared" si="233"/>
        <v>192.5</v>
      </c>
      <c r="CL674" s="37">
        <f t="shared" si="234"/>
        <v>192.5</v>
      </c>
      <c r="CM674" s="37">
        <f t="shared" si="235"/>
        <v>138.6</v>
      </c>
    </row>
    <row r="675" spans="2:91" ht="51">
      <c r="B675" s="156">
        <v>662</v>
      </c>
      <c r="C675" s="160">
        <v>336</v>
      </c>
      <c r="D675" s="164">
        <v>790</v>
      </c>
      <c r="E675" s="173">
        <v>0.71527777777777779</v>
      </c>
      <c r="F675" s="173">
        <v>0.7270833333333333</v>
      </c>
      <c r="G675" s="160" t="s">
        <v>233</v>
      </c>
      <c r="H675" s="160" t="s">
        <v>594</v>
      </c>
      <c r="I675" s="163">
        <v>7.7</v>
      </c>
      <c r="J675" s="164" t="s">
        <v>116</v>
      </c>
      <c r="K675" s="165">
        <f>174+14</f>
        <v>188</v>
      </c>
      <c r="L675" s="166">
        <f t="shared" si="237"/>
        <v>1447.6000000000001</v>
      </c>
      <c r="M675" s="177" t="s">
        <v>765</v>
      </c>
      <c r="N675" s="150" t="s">
        <v>955</v>
      </c>
      <c r="O675" s="150">
        <v>22</v>
      </c>
      <c r="P675" s="154" t="s">
        <v>1946</v>
      </c>
      <c r="Q675" s="154">
        <v>29</v>
      </c>
      <c r="R675" s="3" t="s">
        <v>2120</v>
      </c>
      <c r="S675" s="150" t="s">
        <v>2121</v>
      </c>
      <c r="T675" s="45" t="s">
        <v>1662</v>
      </c>
      <c r="U675" s="45" t="s">
        <v>1663</v>
      </c>
      <c r="V675" s="45" t="s">
        <v>1673</v>
      </c>
      <c r="W675" s="45" t="s">
        <v>1674</v>
      </c>
      <c r="X675" s="98">
        <v>44816</v>
      </c>
      <c r="Y675" s="98">
        <v>45086</v>
      </c>
      <c r="Z675" s="98"/>
      <c r="AA675" s="98"/>
      <c r="AB675" s="42" t="s">
        <v>1163</v>
      </c>
      <c r="AC675" s="42"/>
      <c r="AD675" s="42"/>
      <c r="AE675" s="42"/>
      <c r="AF675" s="42"/>
      <c r="AG675" s="42" t="s">
        <v>734</v>
      </c>
      <c r="AH675" s="42" t="s">
        <v>734</v>
      </c>
      <c r="AI675" s="42" t="s">
        <v>734</v>
      </c>
      <c r="AJ675" s="42" t="s">
        <v>734</v>
      </c>
      <c r="AK675" s="42" t="s">
        <v>734</v>
      </c>
      <c r="AL675" s="42" t="s">
        <v>734</v>
      </c>
      <c r="AM675" s="42"/>
      <c r="AN675" s="42"/>
      <c r="AO675" s="42"/>
      <c r="AP675" s="42"/>
      <c r="AQ675" s="42"/>
      <c r="AR675" s="42" t="s">
        <v>734</v>
      </c>
      <c r="AS675" s="42"/>
      <c r="AT675" s="42" t="s">
        <v>734</v>
      </c>
      <c r="AU675" s="42"/>
      <c r="AV675" s="42" t="s">
        <v>734</v>
      </c>
      <c r="AW675" s="42"/>
      <c r="AX675" s="68">
        <v>24</v>
      </c>
      <c r="AY675" s="37"/>
      <c r="BA675" s="68"/>
      <c r="BB675" s="68"/>
      <c r="BD675" s="67">
        <f t="shared" si="238"/>
        <v>4512</v>
      </c>
      <c r="BE675" s="67"/>
      <c r="BF675" s="37"/>
      <c r="BG675" s="73">
        <v>1</v>
      </c>
      <c r="BH675" s="67">
        <f t="shared" si="240"/>
        <v>0</v>
      </c>
      <c r="BI675" s="67">
        <f t="shared" si="241"/>
        <v>0</v>
      </c>
      <c r="BJ675" s="70">
        <f t="shared" si="242"/>
        <v>0</v>
      </c>
      <c r="BN675" s="37"/>
      <c r="BO675" s="70">
        <f t="shared" si="225"/>
        <v>0</v>
      </c>
      <c r="BP675" s="37">
        <v>15</v>
      </c>
      <c r="BQ675" s="37">
        <v>21</v>
      </c>
      <c r="BR675" s="37">
        <v>21</v>
      </c>
      <c r="BS675" s="37">
        <v>18</v>
      </c>
      <c r="BT675" s="87">
        <f t="shared" si="226"/>
        <v>24</v>
      </c>
      <c r="BU675" s="87"/>
      <c r="BV675" s="87"/>
      <c r="BW675" s="87"/>
      <c r="BX675" s="87"/>
      <c r="BY675" s="87"/>
      <c r="BZ675" s="87"/>
      <c r="CA675" s="87"/>
      <c r="CB675" s="87"/>
      <c r="CC675" s="87"/>
      <c r="CD675" s="87"/>
      <c r="CF675" s="67">
        <f t="shared" si="227"/>
        <v>360</v>
      </c>
      <c r="CG675" s="67">
        <f t="shared" si="231"/>
        <v>504</v>
      </c>
      <c r="CH675" s="67">
        <f t="shared" si="239"/>
        <v>504</v>
      </c>
      <c r="CI675" s="67">
        <f t="shared" si="236"/>
        <v>432</v>
      </c>
      <c r="CJ675" s="37">
        <f t="shared" si="232"/>
        <v>115.5</v>
      </c>
      <c r="CK675" s="37">
        <f t="shared" si="233"/>
        <v>161.70000000000002</v>
      </c>
      <c r="CL675" s="37">
        <f t="shared" si="234"/>
        <v>161.70000000000002</v>
      </c>
      <c r="CM675" s="37">
        <f t="shared" si="235"/>
        <v>138.6</v>
      </c>
    </row>
    <row r="676" spans="2:91" ht="51">
      <c r="B676" s="156">
        <v>663</v>
      </c>
      <c r="C676" s="160">
        <v>336</v>
      </c>
      <c r="D676" s="164">
        <v>805</v>
      </c>
      <c r="E676" s="161">
        <v>0.7270833333333333</v>
      </c>
      <c r="F676" s="173">
        <v>0.73749999999999993</v>
      </c>
      <c r="G676" s="160" t="s">
        <v>1064</v>
      </c>
      <c r="H676" s="160" t="s">
        <v>594</v>
      </c>
      <c r="I676" s="163">
        <v>7.7</v>
      </c>
      <c r="J676" s="164" t="s">
        <v>116</v>
      </c>
      <c r="K676" s="165">
        <f>174+14</f>
        <v>188</v>
      </c>
      <c r="L676" s="166">
        <f t="shared" si="237"/>
        <v>1447.6000000000001</v>
      </c>
      <c r="M676" s="177" t="s">
        <v>765</v>
      </c>
      <c r="N676" s="150" t="s">
        <v>955</v>
      </c>
      <c r="O676" s="150">
        <v>22</v>
      </c>
      <c r="P676" s="154" t="s">
        <v>1946</v>
      </c>
      <c r="Q676" s="154">
        <v>29</v>
      </c>
      <c r="R676" s="3" t="s">
        <v>2120</v>
      </c>
      <c r="S676" s="150" t="s">
        <v>2121</v>
      </c>
      <c r="T676" s="45">
        <v>3337</v>
      </c>
      <c r="U676" s="45" t="s">
        <v>1675</v>
      </c>
      <c r="V676" s="45" t="s">
        <v>1662</v>
      </c>
      <c r="W676" s="45" t="s">
        <v>1663</v>
      </c>
      <c r="X676" s="98">
        <v>44816</v>
      </c>
      <c r="Y676" s="98">
        <v>45086</v>
      </c>
      <c r="Z676" s="98"/>
      <c r="AA676" s="98"/>
      <c r="AB676" s="42" t="s">
        <v>1163</v>
      </c>
      <c r="AC676" s="42"/>
      <c r="AD676" s="42"/>
      <c r="AE676" s="42"/>
      <c r="AF676" s="42"/>
      <c r="AG676" s="42" t="s">
        <v>734</v>
      </c>
      <c r="AH676" s="42" t="s">
        <v>734</v>
      </c>
      <c r="AI676" s="42" t="s">
        <v>734</v>
      </c>
      <c r="AJ676" s="42" t="s">
        <v>734</v>
      </c>
      <c r="AK676" s="42" t="s">
        <v>734</v>
      </c>
      <c r="AL676" s="42" t="s">
        <v>734</v>
      </c>
      <c r="AM676" s="42"/>
      <c r="AN676" s="42"/>
      <c r="AO676" s="42"/>
      <c r="AP676" s="42"/>
      <c r="AQ676" s="42"/>
      <c r="AR676" s="42" t="s">
        <v>734</v>
      </c>
      <c r="AS676" s="42"/>
      <c r="AT676" s="42" t="s">
        <v>734</v>
      </c>
      <c r="AU676" s="42"/>
      <c r="AV676" s="42" t="s">
        <v>734</v>
      </c>
      <c r="AW676" s="42"/>
      <c r="AX676" s="68">
        <v>15.4</v>
      </c>
      <c r="AY676" s="37"/>
      <c r="BA676" s="68"/>
      <c r="BB676" s="68"/>
      <c r="BD676" s="67">
        <f t="shared" si="238"/>
        <v>2895.2000000000003</v>
      </c>
      <c r="BE676" s="67"/>
      <c r="BF676" s="37"/>
      <c r="BG676" s="73">
        <v>1</v>
      </c>
      <c r="BH676" s="67">
        <f t="shared" si="240"/>
        <v>0</v>
      </c>
      <c r="BI676" s="67">
        <f t="shared" si="241"/>
        <v>0</v>
      </c>
      <c r="BJ676" s="70">
        <f t="shared" si="242"/>
        <v>0</v>
      </c>
      <c r="BN676" s="37"/>
      <c r="BO676" s="70">
        <f t="shared" si="225"/>
        <v>0</v>
      </c>
      <c r="BP676" s="37">
        <v>15</v>
      </c>
      <c r="BQ676" s="37">
        <v>21</v>
      </c>
      <c r="BR676" s="37">
        <v>21</v>
      </c>
      <c r="BS676" s="37">
        <v>18</v>
      </c>
      <c r="BT676" s="87">
        <f t="shared" si="226"/>
        <v>15.4</v>
      </c>
      <c r="BU676" s="87"/>
      <c r="BV676" s="87"/>
      <c r="BW676" s="87"/>
      <c r="BX676" s="87"/>
      <c r="BY676" s="87"/>
      <c r="BZ676" s="87"/>
      <c r="CA676" s="87"/>
      <c r="CB676" s="87"/>
      <c r="CC676" s="87"/>
      <c r="CD676" s="87"/>
      <c r="CF676" s="67">
        <f t="shared" si="227"/>
        <v>231</v>
      </c>
      <c r="CG676" s="67">
        <f t="shared" si="231"/>
        <v>323.40000000000003</v>
      </c>
      <c r="CH676" s="67">
        <f t="shared" si="239"/>
        <v>323.40000000000003</v>
      </c>
      <c r="CI676" s="67">
        <f t="shared" si="236"/>
        <v>277.2</v>
      </c>
      <c r="CJ676" s="37">
        <f t="shared" si="232"/>
        <v>115.5</v>
      </c>
      <c r="CK676" s="37">
        <f t="shared" si="233"/>
        <v>161.70000000000002</v>
      </c>
      <c r="CL676" s="37">
        <f t="shared" si="234"/>
        <v>161.70000000000002</v>
      </c>
      <c r="CM676" s="37">
        <f t="shared" si="235"/>
        <v>138.6</v>
      </c>
    </row>
    <row r="677" spans="2:91" ht="25.5">
      <c r="B677" s="156">
        <v>664</v>
      </c>
      <c r="C677" s="169">
        <v>401</v>
      </c>
      <c r="D677" s="169">
        <v>122</v>
      </c>
      <c r="E677" s="170">
        <v>0.28472222222222221</v>
      </c>
      <c r="F677" s="170">
        <v>0.30486111111111108</v>
      </c>
      <c r="G677" s="171" t="s">
        <v>13</v>
      </c>
      <c r="H677" s="160" t="s">
        <v>14</v>
      </c>
      <c r="I677" s="169">
        <v>17</v>
      </c>
      <c r="J677" s="172">
        <v>19</v>
      </c>
      <c r="K677" s="165">
        <v>34</v>
      </c>
      <c r="L677" s="166">
        <f t="shared" si="237"/>
        <v>578</v>
      </c>
      <c r="M677" s="177" t="s">
        <v>770</v>
      </c>
      <c r="N677" s="221" t="s">
        <v>897</v>
      </c>
      <c r="O677" s="221">
        <v>33</v>
      </c>
      <c r="P677" s="150" t="s">
        <v>1967</v>
      </c>
      <c r="Q677" s="154">
        <v>34</v>
      </c>
      <c r="T677" s="45">
        <v>4300</v>
      </c>
      <c r="U677" s="45" t="s">
        <v>1676</v>
      </c>
      <c r="V677" s="45" t="s">
        <v>1677</v>
      </c>
      <c r="W677" s="45" t="s">
        <v>1678</v>
      </c>
      <c r="X677" s="98">
        <v>44816</v>
      </c>
      <c r="Y677" s="98">
        <v>45086</v>
      </c>
      <c r="Z677" s="98"/>
      <c r="AA677" s="98"/>
      <c r="AB677" s="43" t="s">
        <v>1123</v>
      </c>
      <c r="AC677" s="43"/>
      <c r="AD677" s="42"/>
      <c r="AE677" s="42"/>
      <c r="AF677" s="42"/>
      <c r="AG677" s="42" t="s">
        <v>734</v>
      </c>
      <c r="AH677" s="42"/>
      <c r="AI677" s="42"/>
      <c r="AJ677" s="42"/>
      <c r="AK677" s="42"/>
      <c r="AL677" s="42"/>
      <c r="AM677" s="42" t="s">
        <v>734</v>
      </c>
      <c r="AN677" s="42"/>
      <c r="AO677" s="42"/>
      <c r="AP677" s="42"/>
      <c r="AQ677" s="42"/>
      <c r="AR677" s="42"/>
      <c r="AS677" s="42"/>
      <c r="AT677" s="42"/>
      <c r="AU677" s="42"/>
      <c r="AV677" s="42"/>
      <c r="AW677" s="42"/>
      <c r="AY677" s="37"/>
      <c r="BA677" s="38" t="s">
        <v>1188</v>
      </c>
      <c r="BB677" s="39"/>
      <c r="BD677" s="67">
        <f t="shared" si="238"/>
        <v>0</v>
      </c>
      <c r="BF677" s="37"/>
      <c r="BG677" s="73">
        <v>1</v>
      </c>
      <c r="BI677" s="67"/>
      <c r="BJ677" s="37"/>
      <c r="BO677" s="70">
        <f t="shared" si="225"/>
        <v>0</v>
      </c>
      <c r="BP677" s="37">
        <v>2</v>
      </c>
      <c r="BQ677" s="37">
        <v>5</v>
      </c>
      <c r="BR677" s="37">
        <v>4</v>
      </c>
      <c r="BS677" s="37">
        <v>3</v>
      </c>
      <c r="BT677" s="87">
        <f t="shared" si="226"/>
        <v>0</v>
      </c>
      <c r="BU677" s="87" t="s">
        <v>1123</v>
      </c>
      <c r="BV677" s="127">
        <v>2</v>
      </c>
      <c r="BW677" s="127"/>
      <c r="BX677" s="127">
        <v>5</v>
      </c>
      <c r="BY677" s="127"/>
      <c r="BZ677" s="127">
        <v>4</v>
      </c>
      <c r="CA677" s="127"/>
      <c r="CB677" s="127">
        <v>3</v>
      </c>
      <c r="CC677" s="127"/>
      <c r="CD677" s="87">
        <v>385</v>
      </c>
      <c r="CF677" s="67">
        <f t="shared" si="227"/>
        <v>770</v>
      </c>
      <c r="CG677" s="67">
        <f t="shared" si="231"/>
        <v>1925</v>
      </c>
      <c r="CH677" s="67">
        <f t="shared" si="239"/>
        <v>1540</v>
      </c>
      <c r="CI677" s="67">
        <f t="shared" si="236"/>
        <v>1155</v>
      </c>
      <c r="CJ677" s="37">
        <f t="shared" si="232"/>
        <v>34</v>
      </c>
      <c r="CK677" s="37">
        <f t="shared" si="233"/>
        <v>85</v>
      </c>
      <c r="CL677" s="37">
        <f t="shared" si="234"/>
        <v>68</v>
      </c>
      <c r="CM677" s="37">
        <f t="shared" si="235"/>
        <v>51</v>
      </c>
    </row>
    <row r="678" spans="2:91" ht="38.25">
      <c r="B678" s="156">
        <v>665</v>
      </c>
      <c r="C678" s="169">
        <v>401</v>
      </c>
      <c r="D678" s="169">
        <v>122</v>
      </c>
      <c r="E678" s="170">
        <v>0.28472222222222221</v>
      </c>
      <c r="F678" s="170">
        <v>0.30486111111111108</v>
      </c>
      <c r="G678" s="171" t="s">
        <v>13</v>
      </c>
      <c r="H678" s="160" t="s">
        <v>647</v>
      </c>
      <c r="I678" s="169">
        <v>17</v>
      </c>
      <c r="J678" s="172">
        <v>19</v>
      </c>
      <c r="K678" s="165">
        <v>26</v>
      </c>
      <c r="L678" s="166">
        <f t="shared" si="237"/>
        <v>442</v>
      </c>
      <c r="M678" s="177" t="s">
        <v>770</v>
      </c>
      <c r="N678" s="221" t="s">
        <v>897</v>
      </c>
      <c r="O678" s="221">
        <v>33</v>
      </c>
      <c r="P678" s="150" t="s">
        <v>1967</v>
      </c>
      <c r="Q678" s="154">
        <v>34</v>
      </c>
      <c r="T678" s="45">
        <v>4300</v>
      </c>
      <c r="U678" s="45" t="s">
        <v>1676</v>
      </c>
      <c r="V678" s="45" t="s">
        <v>1677</v>
      </c>
      <c r="W678" s="45" t="s">
        <v>1678</v>
      </c>
      <c r="X678" s="99">
        <v>44816</v>
      </c>
      <c r="Y678" s="99">
        <v>45100</v>
      </c>
      <c r="Z678" s="99"/>
      <c r="AA678" s="99"/>
      <c r="AB678" s="41" t="s">
        <v>1147</v>
      </c>
      <c r="AC678" s="41"/>
      <c r="AD678" s="42" t="s">
        <v>734</v>
      </c>
      <c r="AE678" s="42"/>
      <c r="AF678" s="42" t="s">
        <v>734</v>
      </c>
      <c r="AG678" s="42"/>
      <c r="AH678" s="42"/>
      <c r="AI678" s="42"/>
      <c r="AJ678" s="42"/>
      <c r="AK678" s="42"/>
      <c r="AL678" s="42"/>
      <c r="AM678" s="42"/>
      <c r="AN678" s="42"/>
      <c r="AO678" s="42"/>
      <c r="AP678" s="42"/>
      <c r="AQ678" s="42"/>
      <c r="AR678" s="42" t="s">
        <v>734</v>
      </c>
      <c r="AS678" s="42" t="s">
        <v>734</v>
      </c>
      <c r="AT678" s="42" t="s">
        <v>734</v>
      </c>
      <c r="AU678" s="42" t="s">
        <v>734</v>
      </c>
      <c r="AV678" s="42" t="s">
        <v>734</v>
      </c>
      <c r="AW678" s="42"/>
      <c r="AY678" s="37"/>
      <c r="BA678" s="38" t="s">
        <v>1187</v>
      </c>
      <c r="BB678" s="39"/>
      <c r="BD678" s="67">
        <f t="shared" si="238"/>
        <v>0</v>
      </c>
      <c r="BF678" s="37"/>
      <c r="BG678" s="73">
        <v>1</v>
      </c>
      <c r="BI678" s="67"/>
      <c r="BJ678" s="37"/>
      <c r="BO678" s="70">
        <f t="shared" si="225"/>
        <v>0</v>
      </c>
      <c r="BP678" s="37">
        <v>0</v>
      </c>
      <c r="BQ678" s="37">
        <v>1</v>
      </c>
      <c r="BR678" s="37">
        <v>0</v>
      </c>
      <c r="BS678" s="37">
        <v>5</v>
      </c>
      <c r="BT678" s="87">
        <f t="shared" si="226"/>
        <v>0</v>
      </c>
      <c r="BU678" s="87" t="s">
        <v>1122</v>
      </c>
      <c r="BV678" s="127">
        <v>0</v>
      </c>
      <c r="BW678" s="127"/>
      <c r="BX678" s="127">
        <v>1</v>
      </c>
      <c r="BY678" s="127"/>
      <c r="BZ678" s="127">
        <v>0</v>
      </c>
      <c r="CA678" s="127"/>
      <c r="CB678" s="127">
        <v>7</v>
      </c>
      <c r="CC678" s="127"/>
      <c r="CD678" s="87">
        <v>165</v>
      </c>
      <c r="CF678" s="67">
        <f t="shared" si="227"/>
        <v>0</v>
      </c>
      <c r="CG678" s="67">
        <f t="shared" si="231"/>
        <v>165</v>
      </c>
      <c r="CH678" s="67">
        <f t="shared" si="239"/>
        <v>0</v>
      </c>
      <c r="CI678" s="67">
        <f t="shared" si="236"/>
        <v>1155</v>
      </c>
      <c r="CJ678" s="37">
        <f t="shared" si="232"/>
        <v>0</v>
      </c>
      <c r="CK678" s="37">
        <f t="shared" si="233"/>
        <v>17</v>
      </c>
      <c r="CL678" s="37">
        <f t="shared" si="234"/>
        <v>0</v>
      </c>
      <c r="CM678" s="37">
        <f t="shared" si="235"/>
        <v>85</v>
      </c>
    </row>
    <row r="679" spans="2:91" ht="25.5">
      <c r="B679" s="156">
        <v>666</v>
      </c>
      <c r="C679" s="160">
        <v>401</v>
      </c>
      <c r="D679" s="160">
        <v>507</v>
      </c>
      <c r="E679" s="161">
        <v>0.3298611111111111</v>
      </c>
      <c r="F679" s="173">
        <v>0.36805555555555558</v>
      </c>
      <c r="G679" s="160" t="s">
        <v>511</v>
      </c>
      <c r="H679" s="160" t="s">
        <v>203</v>
      </c>
      <c r="I679" s="163">
        <v>49</v>
      </c>
      <c r="J679" s="164" t="s">
        <v>101</v>
      </c>
      <c r="K679" s="165">
        <v>202</v>
      </c>
      <c r="L679" s="166">
        <f t="shared" si="237"/>
        <v>9898</v>
      </c>
      <c r="M679" s="177" t="s">
        <v>771</v>
      </c>
      <c r="N679" s="150" t="s">
        <v>898</v>
      </c>
      <c r="O679" s="150">
        <v>61</v>
      </c>
      <c r="P679" s="150" t="s">
        <v>1947</v>
      </c>
      <c r="Q679" s="154">
        <v>62</v>
      </c>
      <c r="R679" s="154"/>
      <c r="S679" s="150"/>
      <c r="T679" s="45">
        <v>4400</v>
      </c>
      <c r="U679" s="45" t="s">
        <v>1679</v>
      </c>
      <c r="V679" s="45">
        <v>1</v>
      </c>
      <c r="W679" s="45" t="s">
        <v>1339</v>
      </c>
      <c r="X679" s="99">
        <v>44816</v>
      </c>
      <c r="Y679" s="99">
        <v>45100</v>
      </c>
      <c r="Z679" s="99"/>
      <c r="AA679" s="99"/>
      <c r="AB679" s="41" t="s">
        <v>1120</v>
      </c>
      <c r="AC679" s="41"/>
      <c r="AD679" s="42" t="s">
        <v>734</v>
      </c>
      <c r="AE679" s="42"/>
      <c r="AF679" s="42" t="s">
        <v>734</v>
      </c>
      <c r="AG679" s="42"/>
      <c r="AH679" s="42" t="s">
        <v>734</v>
      </c>
      <c r="AI679" s="42" t="s">
        <v>734</v>
      </c>
      <c r="AJ679" s="42" t="s">
        <v>734</v>
      </c>
      <c r="AK679" s="42" t="s">
        <v>734</v>
      </c>
      <c r="AL679" s="42" t="s">
        <v>734</v>
      </c>
      <c r="AM679" s="42"/>
      <c r="AN679" s="42"/>
      <c r="AO679" s="42"/>
      <c r="AP679" s="42"/>
      <c r="AQ679" s="42"/>
      <c r="AR679" s="42"/>
      <c r="AS679" s="42"/>
      <c r="AT679" s="42"/>
      <c r="AU679" s="42"/>
      <c r="AV679" s="42"/>
      <c r="AW679" s="42"/>
      <c r="AX679" s="67">
        <v>88.2</v>
      </c>
      <c r="AY679" s="37"/>
      <c r="BA679" s="67"/>
      <c r="BB679" s="67"/>
      <c r="BD679" s="67">
        <f t="shared" si="238"/>
        <v>17816.400000000001</v>
      </c>
      <c r="BE679" s="67"/>
      <c r="BF679" s="37"/>
      <c r="BG679" s="69">
        <v>2</v>
      </c>
      <c r="BH679" s="71"/>
      <c r="BI679" s="71"/>
      <c r="BJ679" s="71"/>
      <c r="BN679" s="37"/>
      <c r="BO679" s="70">
        <f t="shared" si="225"/>
        <v>0</v>
      </c>
      <c r="BP679" s="37">
        <v>15</v>
      </c>
      <c r="BQ679" s="37">
        <v>21</v>
      </c>
      <c r="BR679" s="37">
        <v>21</v>
      </c>
      <c r="BS679" s="37">
        <v>20</v>
      </c>
      <c r="BT679" s="87">
        <f t="shared" si="226"/>
        <v>88.2</v>
      </c>
      <c r="BU679" s="87"/>
      <c r="BV679" s="87"/>
      <c r="BW679" s="87"/>
      <c r="BX679" s="87"/>
      <c r="BY679" s="87"/>
      <c r="BZ679" s="87"/>
      <c r="CA679" s="87"/>
      <c r="CB679" s="87"/>
      <c r="CC679" s="87"/>
      <c r="CD679" s="87"/>
      <c r="CF679" s="67">
        <f t="shared" si="227"/>
        <v>1323</v>
      </c>
      <c r="CG679" s="67">
        <f t="shared" si="231"/>
        <v>1852.2</v>
      </c>
      <c r="CH679" s="67">
        <f t="shared" si="239"/>
        <v>1852.2</v>
      </c>
      <c r="CI679" s="67">
        <f t="shared" si="236"/>
        <v>1764</v>
      </c>
      <c r="CJ679" s="37">
        <f t="shared" si="232"/>
        <v>735</v>
      </c>
      <c r="CK679" s="37">
        <f t="shared" si="233"/>
        <v>1029</v>
      </c>
      <c r="CL679" s="37">
        <f t="shared" si="234"/>
        <v>1029</v>
      </c>
      <c r="CM679" s="37">
        <f t="shared" si="235"/>
        <v>980</v>
      </c>
    </row>
    <row r="680" spans="2:91" ht="25.5">
      <c r="B680" s="156">
        <v>667</v>
      </c>
      <c r="C680" s="160">
        <v>401</v>
      </c>
      <c r="D680" s="160">
        <v>134</v>
      </c>
      <c r="E680" s="161">
        <v>0.42708333333333331</v>
      </c>
      <c r="F680" s="161">
        <v>0.47291666666666665</v>
      </c>
      <c r="G680" s="160" t="s">
        <v>512</v>
      </c>
      <c r="H680" s="160" t="s">
        <v>550</v>
      </c>
      <c r="I680" s="163">
        <v>37</v>
      </c>
      <c r="J680" s="164" t="s">
        <v>406</v>
      </c>
      <c r="K680" s="165">
        <v>13</v>
      </c>
      <c r="L680" s="166">
        <f t="shared" si="237"/>
        <v>481</v>
      </c>
      <c r="M680" s="177" t="s">
        <v>747</v>
      </c>
      <c r="N680" s="154" t="s">
        <v>853</v>
      </c>
      <c r="O680" s="154">
        <v>42</v>
      </c>
      <c r="P680" s="150" t="s">
        <v>1970</v>
      </c>
      <c r="Q680" s="154">
        <v>45</v>
      </c>
      <c r="R680" s="150" t="s">
        <v>1242</v>
      </c>
      <c r="S680" s="152">
        <v>48</v>
      </c>
      <c r="T680" s="45">
        <v>1</v>
      </c>
      <c r="U680" s="45" t="s">
        <v>1336</v>
      </c>
      <c r="V680" s="45">
        <v>4400</v>
      </c>
      <c r="W680" s="45" t="s">
        <v>1679</v>
      </c>
      <c r="X680" s="99">
        <v>44562</v>
      </c>
      <c r="Y680" s="99">
        <v>44815</v>
      </c>
      <c r="Z680" s="99">
        <v>45101</v>
      </c>
      <c r="AA680" s="99">
        <v>45169</v>
      </c>
      <c r="AB680" s="36" t="s">
        <v>1116</v>
      </c>
      <c r="AC680" s="36"/>
      <c r="AD680" s="42"/>
      <c r="AE680" s="42" t="s">
        <v>734</v>
      </c>
      <c r="AF680" s="42"/>
      <c r="AG680" s="42"/>
      <c r="AH680" s="42"/>
      <c r="AI680" s="42"/>
      <c r="AJ680" s="42"/>
      <c r="AK680" s="42"/>
      <c r="AL680" s="42"/>
      <c r="AM680" s="42"/>
      <c r="AN680" s="42" t="s">
        <v>734</v>
      </c>
      <c r="AO680" s="42"/>
      <c r="AP680" s="42"/>
      <c r="AQ680" s="42"/>
      <c r="AR680" s="42"/>
      <c r="AS680" s="42"/>
      <c r="AT680" s="42"/>
      <c r="AU680" s="42"/>
      <c r="AV680" s="42"/>
      <c r="AW680" s="42"/>
      <c r="AX680" s="68">
        <v>111</v>
      </c>
      <c r="AY680" s="37"/>
      <c r="BA680" s="68"/>
      <c r="BB680" s="68"/>
      <c r="BD680" s="67">
        <f t="shared" si="238"/>
        <v>1443</v>
      </c>
      <c r="BE680" s="67"/>
      <c r="BF680" s="37"/>
      <c r="BG680" s="69">
        <v>2</v>
      </c>
      <c r="BH680" s="67">
        <f>IF(AND((AX680/I680)&lt;2,BG680=1),(I680*2)-AX680,0)</f>
        <v>0</v>
      </c>
      <c r="BI680" s="67">
        <f>IF(AND((AX680/I680)&lt;3,BG680=2),(I680*3)-AX680,0)</f>
        <v>0</v>
      </c>
      <c r="BJ680" s="70">
        <f>(BH680+BI680)*K680</f>
        <v>0</v>
      </c>
      <c r="BN680" s="37"/>
      <c r="BO680" s="70">
        <f t="shared" si="225"/>
        <v>0</v>
      </c>
      <c r="BP680" s="37">
        <v>2</v>
      </c>
      <c r="BQ680" s="37">
        <v>0</v>
      </c>
      <c r="BR680" s="37">
        <v>0</v>
      </c>
      <c r="BT680" s="87">
        <f t="shared" si="226"/>
        <v>111</v>
      </c>
      <c r="BU680" s="87"/>
      <c r="BV680" s="87"/>
      <c r="BW680" s="87"/>
      <c r="BX680" s="87"/>
      <c r="BY680" s="87"/>
      <c r="BZ680" s="87"/>
      <c r="CA680" s="87"/>
      <c r="CB680" s="87"/>
      <c r="CC680" s="87"/>
      <c r="CD680" s="87"/>
      <c r="CF680" s="67">
        <f t="shared" si="227"/>
        <v>222</v>
      </c>
      <c r="CG680" s="67">
        <f t="shared" si="231"/>
        <v>0</v>
      </c>
      <c r="CH680" s="67">
        <f t="shared" si="239"/>
        <v>0</v>
      </c>
      <c r="CI680" s="67">
        <f t="shared" si="236"/>
        <v>0</v>
      </c>
      <c r="CJ680" s="37">
        <f t="shared" si="232"/>
        <v>74</v>
      </c>
      <c r="CK680" s="37">
        <f t="shared" si="233"/>
        <v>0</v>
      </c>
      <c r="CL680" s="37">
        <f t="shared" si="234"/>
        <v>0</v>
      </c>
      <c r="CM680" s="37">
        <f t="shared" si="235"/>
        <v>0</v>
      </c>
    </row>
    <row r="681" spans="2:91" ht="25.5">
      <c r="B681" s="156">
        <v>668</v>
      </c>
      <c r="C681" s="160">
        <v>401</v>
      </c>
      <c r="D681" s="160">
        <v>147</v>
      </c>
      <c r="E681" s="161">
        <v>0.47916666666666669</v>
      </c>
      <c r="F681" s="161">
        <v>0.52986111111111112</v>
      </c>
      <c r="G681" s="160" t="s">
        <v>511</v>
      </c>
      <c r="H681" s="160" t="s">
        <v>550</v>
      </c>
      <c r="I681" s="163">
        <v>41</v>
      </c>
      <c r="J681" s="164" t="s">
        <v>406</v>
      </c>
      <c r="K681" s="165">
        <v>13</v>
      </c>
      <c r="L681" s="166">
        <f t="shared" si="237"/>
        <v>533</v>
      </c>
      <c r="M681" s="177" t="s">
        <v>747</v>
      </c>
      <c r="N681" s="154" t="s">
        <v>853</v>
      </c>
      <c r="O681" s="154">
        <v>42</v>
      </c>
      <c r="P681" s="150" t="s">
        <v>1970</v>
      </c>
      <c r="Q681" s="154">
        <v>45</v>
      </c>
      <c r="R681" s="150" t="s">
        <v>1242</v>
      </c>
      <c r="S681" s="152">
        <v>48</v>
      </c>
      <c r="T681" s="45">
        <v>4400</v>
      </c>
      <c r="U681" s="45" t="s">
        <v>1679</v>
      </c>
      <c r="V681" s="45">
        <v>1</v>
      </c>
      <c r="W681" s="45" t="s">
        <v>1339</v>
      </c>
      <c r="X681" s="99">
        <v>44562</v>
      </c>
      <c r="Y681" s="99">
        <v>44815</v>
      </c>
      <c r="Z681" s="99">
        <v>45101</v>
      </c>
      <c r="AA681" s="99">
        <v>45169</v>
      </c>
      <c r="AB681" s="36" t="s">
        <v>1116</v>
      </c>
      <c r="AC681" s="36"/>
      <c r="AD681" s="42"/>
      <c r="AE681" s="42" t="s">
        <v>734</v>
      </c>
      <c r="AF681" s="42"/>
      <c r="AG681" s="42"/>
      <c r="AH681" s="42"/>
      <c r="AI681" s="42"/>
      <c r="AJ681" s="42"/>
      <c r="AK681" s="42"/>
      <c r="AL681" s="42"/>
      <c r="AM681" s="42"/>
      <c r="AN681" s="42" t="s">
        <v>734</v>
      </c>
      <c r="AO681" s="42"/>
      <c r="AP681" s="42"/>
      <c r="AQ681" s="42"/>
      <c r="AR681" s="42"/>
      <c r="AS681" s="42"/>
      <c r="AT681" s="42"/>
      <c r="AU681" s="42"/>
      <c r="AV681" s="42"/>
      <c r="AW681" s="42"/>
      <c r="AX681" s="68">
        <v>123</v>
      </c>
      <c r="BA681" s="68"/>
      <c r="BB681" s="68"/>
      <c r="BD681" s="67">
        <f t="shared" si="238"/>
        <v>1599</v>
      </c>
      <c r="BE681" s="67"/>
      <c r="BF681" s="37"/>
      <c r="BG681" s="69">
        <v>2</v>
      </c>
      <c r="BH681" s="67">
        <f>IF(AND((AX681/I681)&lt;2,BG681=1),(I681*2)-AX681,0)</f>
        <v>0</v>
      </c>
      <c r="BI681" s="67">
        <f>IF(AND((AX681/I681)&lt;3,BG681=2),(I681*3)-AX681,0)</f>
        <v>0</v>
      </c>
      <c r="BJ681" s="70">
        <f>(BH681+BI681)*K681</f>
        <v>0</v>
      </c>
      <c r="BN681" s="37"/>
      <c r="BO681" s="70">
        <f t="shared" si="225"/>
        <v>0</v>
      </c>
      <c r="BP681" s="37">
        <v>2</v>
      </c>
      <c r="BQ681" s="37">
        <v>0</v>
      </c>
      <c r="BR681" s="37">
        <v>0</v>
      </c>
      <c r="BT681" s="87">
        <f t="shared" si="226"/>
        <v>123</v>
      </c>
      <c r="BU681" s="87"/>
      <c r="BV681" s="87"/>
      <c r="BW681" s="87"/>
      <c r="BX681" s="87"/>
      <c r="BY681" s="87"/>
      <c r="BZ681" s="87"/>
      <c r="CA681" s="87"/>
      <c r="CB681" s="87"/>
      <c r="CC681" s="87"/>
      <c r="CD681" s="87"/>
      <c r="CF681" s="67">
        <f t="shared" si="227"/>
        <v>246</v>
      </c>
      <c r="CG681" s="67">
        <f t="shared" si="231"/>
        <v>0</v>
      </c>
      <c r="CH681" s="67">
        <f t="shared" si="239"/>
        <v>0</v>
      </c>
      <c r="CI681" s="67">
        <f t="shared" si="236"/>
        <v>0</v>
      </c>
      <c r="CJ681" s="37">
        <f t="shared" si="232"/>
        <v>82</v>
      </c>
      <c r="CK681" s="37">
        <f t="shared" si="233"/>
        <v>0</v>
      </c>
      <c r="CL681" s="37">
        <f t="shared" si="234"/>
        <v>0</v>
      </c>
      <c r="CM681" s="37">
        <f t="shared" si="235"/>
        <v>0</v>
      </c>
    </row>
    <row r="682" spans="2:91" ht="25.5">
      <c r="B682" s="156">
        <v>669</v>
      </c>
      <c r="C682" s="160">
        <v>401</v>
      </c>
      <c r="D682" s="160">
        <v>507</v>
      </c>
      <c r="E682" s="161">
        <v>0.54861111111111105</v>
      </c>
      <c r="F682" s="161">
        <v>0.59722222222222221</v>
      </c>
      <c r="G682" s="160" t="s">
        <v>511</v>
      </c>
      <c r="H682" s="160" t="s">
        <v>567</v>
      </c>
      <c r="I682" s="163">
        <v>49</v>
      </c>
      <c r="J682" s="164" t="s">
        <v>101</v>
      </c>
      <c r="K682" s="165">
        <v>55</v>
      </c>
      <c r="L682" s="166">
        <f t="shared" si="237"/>
        <v>2695</v>
      </c>
      <c r="M682" s="177" t="s">
        <v>771</v>
      </c>
      <c r="N682" s="150" t="s">
        <v>898</v>
      </c>
      <c r="O682" s="150">
        <v>61</v>
      </c>
      <c r="P682" s="150" t="s">
        <v>1947</v>
      </c>
      <c r="Q682" s="154">
        <v>62</v>
      </c>
      <c r="S682" s="150"/>
      <c r="T682" s="45" t="s">
        <v>1677</v>
      </c>
      <c r="U682" s="45" t="s">
        <v>1678</v>
      </c>
      <c r="V682" s="45">
        <v>1</v>
      </c>
      <c r="W682" s="45" t="s">
        <v>1339</v>
      </c>
      <c r="X682" s="99">
        <v>44562</v>
      </c>
      <c r="Y682" s="99">
        <v>44815</v>
      </c>
      <c r="Z682" s="99">
        <v>45101</v>
      </c>
      <c r="AA682" s="99">
        <v>45169</v>
      </c>
      <c r="AB682" s="46" t="s">
        <v>1121</v>
      </c>
      <c r="AC682" s="46"/>
      <c r="AD682" s="42"/>
      <c r="AE682" s="42" t="s">
        <v>734</v>
      </c>
      <c r="AF682" s="42" t="s">
        <v>734</v>
      </c>
      <c r="AG682" s="42"/>
      <c r="AH682" s="42" t="s">
        <v>734</v>
      </c>
      <c r="AI682" s="42" t="s">
        <v>734</v>
      </c>
      <c r="AJ682" s="42" t="s">
        <v>734</v>
      </c>
      <c r="AK682" s="42" t="s">
        <v>734</v>
      </c>
      <c r="AL682" s="42" t="s">
        <v>734</v>
      </c>
      <c r="AM682" s="42"/>
      <c r="AN682" s="42"/>
      <c r="AO682" s="42"/>
      <c r="AP682" s="42"/>
      <c r="AQ682" s="42"/>
      <c r="AR682" s="42"/>
      <c r="AS682" s="42"/>
      <c r="AT682" s="42"/>
      <c r="AU682" s="42"/>
      <c r="AV682" s="42"/>
      <c r="AW682" s="42"/>
      <c r="AX682" s="67">
        <v>88.2</v>
      </c>
      <c r="BA682" s="67"/>
      <c r="BB682" s="67"/>
      <c r="BD682" s="67">
        <f t="shared" si="238"/>
        <v>4851</v>
      </c>
      <c r="BE682" s="67"/>
      <c r="BF682" s="37"/>
      <c r="BG682" s="69">
        <v>2</v>
      </c>
      <c r="BH682" s="71"/>
      <c r="BI682" s="71"/>
      <c r="BJ682" s="71"/>
      <c r="BN682" s="37"/>
      <c r="BO682" s="70">
        <f t="shared" si="225"/>
        <v>0</v>
      </c>
      <c r="BP682" s="37">
        <v>7</v>
      </c>
      <c r="BQ682" s="37">
        <v>0</v>
      </c>
      <c r="BR682" s="37">
        <v>0</v>
      </c>
      <c r="BT682" s="87">
        <f t="shared" si="226"/>
        <v>88.2</v>
      </c>
      <c r="BU682" s="87"/>
      <c r="BV682" s="87"/>
      <c r="BW682" s="87"/>
      <c r="BX682" s="87"/>
      <c r="BY682" s="87"/>
      <c r="BZ682" s="87"/>
      <c r="CA682" s="87"/>
      <c r="CB682" s="87"/>
      <c r="CC682" s="87"/>
      <c r="CD682" s="87"/>
      <c r="CF682" s="67">
        <f t="shared" si="227"/>
        <v>617.4</v>
      </c>
      <c r="CG682" s="67">
        <f t="shared" si="231"/>
        <v>0</v>
      </c>
      <c r="CH682" s="67">
        <f t="shared" si="239"/>
        <v>0</v>
      </c>
      <c r="CI682" s="67">
        <f t="shared" si="236"/>
        <v>0</v>
      </c>
      <c r="CJ682" s="37">
        <f t="shared" si="232"/>
        <v>343</v>
      </c>
      <c r="CK682" s="37">
        <f t="shared" si="233"/>
        <v>0</v>
      </c>
      <c r="CL682" s="37">
        <f t="shared" si="234"/>
        <v>0</v>
      </c>
      <c r="CM682" s="37">
        <f t="shared" si="235"/>
        <v>0</v>
      </c>
    </row>
    <row r="683" spans="2:91" ht="25.5">
      <c r="B683" s="156">
        <v>670</v>
      </c>
      <c r="C683" s="160">
        <v>401</v>
      </c>
      <c r="D683" s="160">
        <v>266</v>
      </c>
      <c r="E683" s="161">
        <v>0.70138888888888884</v>
      </c>
      <c r="F683" s="161">
        <v>0.71875</v>
      </c>
      <c r="G683" s="160" t="s">
        <v>268</v>
      </c>
      <c r="H683" s="160" t="s">
        <v>267</v>
      </c>
      <c r="I683" s="163">
        <v>17.5</v>
      </c>
      <c r="J683" s="164" t="s">
        <v>116</v>
      </c>
      <c r="K683" s="165">
        <v>55</v>
      </c>
      <c r="L683" s="166">
        <f t="shared" si="237"/>
        <v>962.5</v>
      </c>
      <c r="M683" s="177" t="s">
        <v>772</v>
      </c>
      <c r="N683" s="154" t="s">
        <v>896</v>
      </c>
      <c r="O683" s="154">
        <v>9</v>
      </c>
      <c r="P683" s="154" t="s">
        <v>1948</v>
      </c>
      <c r="Q683" s="154">
        <v>9</v>
      </c>
      <c r="S683" s="154"/>
      <c r="T683" s="45">
        <v>4300</v>
      </c>
      <c r="U683" s="45" t="s">
        <v>1676</v>
      </c>
      <c r="V683" s="45">
        <v>4400</v>
      </c>
      <c r="W683" s="45" t="s">
        <v>1679</v>
      </c>
      <c r="X683" s="99">
        <v>44562</v>
      </c>
      <c r="Y683" s="99">
        <v>44815</v>
      </c>
      <c r="Z683" s="99">
        <v>45101</v>
      </c>
      <c r="AA683" s="99">
        <v>45169</v>
      </c>
      <c r="AB683" s="41" t="s">
        <v>1121</v>
      </c>
      <c r="AC683" s="41"/>
      <c r="AD683" s="42"/>
      <c r="AE683" s="42" t="s">
        <v>734</v>
      </c>
      <c r="AF683" s="42" t="s">
        <v>734</v>
      </c>
      <c r="AG683" s="42"/>
      <c r="AH683" s="42" t="s">
        <v>734</v>
      </c>
      <c r="AI683" s="42" t="s">
        <v>734</v>
      </c>
      <c r="AJ683" s="42" t="s">
        <v>734</v>
      </c>
      <c r="AK683" s="42" t="s">
        <v>734</v>
      </c>
      <c r="AL683" s="42" t="s">
        <v>734</v>
      </c>
      <c r="AM683" s="42"/>
      <c r="AN683" s="42"/>
      <c r="AO683" s="42"/>
      <c r="AP683" s="42"/>
      <c r="AQ683" s="42"/>
      <c r="AR683" s="42"/>
      <c r="AS683" s="42"/>
      <c r="AT683" s="42"/>
      <c r="AU683" s="42"/>
      <c r="AV683" s="42"/>
      <c r="AW683" s="42"/>
      <c r="AX683" s="68">
        <v>35</v>
      </c>
      <c r="BA683" s="68"/>
      <c r="BB683" s="68"/>
      <c r="BD683" s="67">
        <f t="shared" si="238"/>
        <v>1925</v>
      </c>
      <c r="BE683" s="67"/>
      <c r="BF683" s="37"/>
      <c r="BG683" s="73">
        <v>1</v>
      </c>
      <c r="BH683" s="67">
        <f>IF(AND((AX683/I683)&lt;2,BG683=1),(I683*2)-AX683,0)</f>
        <v>0</v>
      </c>
      <c r="BI683" s="67">
        <f>IF(AND((AX683/I683)&lt;3,BG683=2),(I683*3)-AX683,0)</f>
        <v>0</v>
      </c>
      <c r="BJ683" s="70">
        <f>(BH683+BI683)*K683</f>
        <v>0</v>
      </c>
      <c r="BN683" s="37"/>
      <c r="BO683" s="70">
        <f t="shared" si="225"/>
        <v>0</v>
      </c>
      <c r="BP683" s="37">
        <v>7</v>
      </c>
      <c r="BQ683" s="37">
        <v>0</v>
      </c>
      <c r="BR683" s="37">
        <v>0</v>
      </c>
      <c r="BT683" s="87">
        <f t="shared" si="226"/>
        <v>35</v>
      </c>
      <c r="BU683" s="87"/>
      <c r="BV683" s="87"/>
      <c r="BW683" s="87"/>
      <c r="BX683" s="87"/>
      <c r="BY683" s="87"/>
      <c r="BZ683" s="87"/>
      <c r="CA683" s="87"/>
      <c r="CB683" s="87"/>
      <c r="CC683" s="87"/>
      <c r="CD683" s="87"/>
      <c r="CF683" s="67">
        <f t="shared" si="227"/>
        <v>245</v>
      </c>
      <c r="CG683" s="67">
        <f t="shared" si="231"/>
        <v>0</v>
      </c>
      <c r="CH683" s="67">
        <f t="shared" si="239"/>
        <v>0</v>
      </c>
      <c r="CI683" s="67">
        <f t="shared" si="236"/>
        <v>0</v>
      </c>
      <c r="CJ683" s="37">
        <f t="shared" si="232"/>
        <v>122.5</v>
      </c>
      <c r="CK683" s="37">
        <f t="shared" si="233"/>
        <v>0</v>
      </c>
      <c r="CL683" s="37">
        <f t="shared" si="234"/>
        <v>0</v>
      </c>
      <c r="CM683" s="37">
        <f t="shared" si="235"/>
        <v>0</v>
      </c>
    </row>
    <row r="684" spans="2:91" ht="25.5">
      <c r="B684" s="156">
        <v>671</v>
      </c>
      <c r="C684" s="160">
        <v>401</v>
      </c>
      <c r="D684" s="160">
        <v>410</v>
      </c>
      <c r="E684" s="161">
        <v>0.77430555555555547</v>
      </c>
      <c r="F684" s="161">
        <v>0.7895833333333333</v>
      </c>
      <c r="G684" s="160" t="s">
        <v>573</v>
      </c>
      <c r="H684" s="160" t="s">
        <v>425</v>
      </c>
      <c r="I684" s="163">
        <v>11.5</v>
      </c>
      <c r="J684" s="195">
        <v>50</v>
      </c>
      <c r="K684" s="165">
        <v>55</v>
      </c>
      <c r="L684" s="166">
        <f t="shared" si="237"/>
        <v>632.5</v>
      </c>
      <c r="M684" s="177" t="s">
        <v>723</v>
      </c>
      <c r="N684" s="154" t="s">
        <v>869</v>
      </c>
      <c r="O684" s="154" t="s">
        <v>990</v>
      </c>
      <c r="P684" s="154" t="s">
        <v>866</v>
      </c>
      <c r="Q684" s="154">
        <v>57</v>
      </c>
      <c r="R684" s="154" t="s">
        <v>1287</v>
      </c>
      <c r="S684" s="151">
        <v>56</v>
      </c>
      <c r="T684" s="45">
        <v>1</v>
      </c>
      <c r="U684" s="45" t="s">
        <v>1336</v>
      </c>
      <c r="V684" s="45" t="s">
        <v>1446</v>
      </c>
      <c r="W684" s="45" t="s">
        <v>1447</v>
      </c>
      <c r="X684" s="99">
        <v>44562</v>
      </c>
      <c r="Y684" s="99">
        <v>44815</v>
      </c>
      <c r="Z684" s="99">
        <v>45101</v>
      </c>
      <c r="AA684" s="99">
        <v>45169</v>
      </c>
      <c r="AB684" s="41" t="s">
        <v>1121</v>
      </c>
      <c r="AC684" s="41"/>
      <c r="AD684" s="42"/>
      <c r="AE684" s="42" t="s">
        <v>734</v>
      </c>
      <c r="AF684" s="42" t="s">
        <v>734</v>
      </c>
      <c r="AG684" s="42"/>
      <c r="AH684" s="42" t="s">
        <v>734</v>
      </c>
      <c r="AI684" s="42" t="s">
        <v>734</v>
      </c>
      <c r="AJ684" s="42" t="s">
        <v>734</v>
      </c>
      <c r="AK684" s="42" t="s">
        <v>734</v>
      </c>
      <c r="AL684" s="42" t="s">
        <v>734</v>
      </c>
      <c r="AM684" s="42"/>
      <c r="AN684" s="42"/>
      <c r="AO684" s="42"/>
      <c r="AP684" s="42"/>
      <c r="AQ684" s="42"/>
      <c r="AR684" s="42"/>
      <c r="AS684" s="42"/>
      <c r="AT684" s="42"/>
      <c r="AU684" s="42"/>
      <c r="AV684" s="42"/>
      <c r="AW684" s="42"/>
      <c r="AX684" s="68">
        <v>34.5</v>
      </c>
      <c r="BA684" s="68"/>
      <c r="BB684" s="68"/>
      <c r="BD684" s="67">
        <f t="shared" si="238"/>
        <v>1897.5</v>
      </c>
      <c r="BE684" s="67"/>
      <c r="BF684" s="37"/>
      <c r="BG684" s="69">
        <v>2</v>
      </c>
      <c r="BH684" s="67">
        <f>IF(AND((AX684/I684)&lt;2,BG684=1),(I684*2)-AX684,0)</f>
        <v>0</v>
      </c>
      <c r="BI684" s="67">
        <f>IF(AND((AX684/I684)&lt;3,BG684=2),(I684*3)-AX684,0)</f>
        <v>0</v>
      </c>
      <c r="BJ684" s="70">
        <f>(BH684+BI684)*K684</f>
        <v>0</v>
      </c>
      <c r="BN684" s="37"/>
      <c r="BO684" s="70">
        <f t="shared" si="225"/>
        <v>0</v>
      </c>
      <c r="BP684" s="37">
        <v>7</v>
      </c>
      <c r="BQ684" s="37">
        <v>0</v>
      </c>
      <c r="BR684" s="37">
        <v>0</v>
      </c>
      <c r="BT684" s="87">
        <f t="shared" si="226"/>
        <v>34.5</v>
      </c>
      <c r="BU684" s="87"/>
      <c r="BV684" s="87"/>
      <c r="BW684" s="87"/>
      <c r="BX684" s="87"/>
      <c r="BY684" s="87"/>
      <c r="BZ684" s="87"/>
      <c r="CA684" s="87"/>
      <c r="CB684" s="87"/>
      <c r="CC684" s="87"/>
      <c r="CD684" s="87"/>
      <c r="CF684" s="67">
        <f t="shared" si="227"/>
        <v>241.5</v>
      </c>
      <c r="CG684" s="67">
        <f t="shared" si="231"/>
        <v>0</v>
      </c>
      <c r="CH684" s="67">
        <f t="shared" si="239"/>
        <v>0</v>
      </c>
      <c r="CI684" s="67">
        <f t="shared" si="236"/>
        <v>0</v>
      </c>
      <c r="CJ684" s="37">
        <f t="shared" si="232"/>
        <v>80.5</v>
      </c>
      <c r="CK684" s="37">
        <f t="shared" si="233"/>
        <v>0</v>
      </c>
      <c r="CL684" s="37">
        <f t="shared" si="234"/>
        <v>0</v>
      </c>
      <c r="CM684" s="37">
        <f t="shared" si="235"/>
        <v>0</v>
      </c>
    </row>
    <row r="685" spans="2:91" ht="25.5">
      <c r="B685" s="156">
        <v>672</v>
      </c>
      <c r="C685" s="169">
        <v>401</v>
      </c>
      <c r="D685" s="189">
        <v>172</v>
      </c>
      <c r="E685" s="170">
        <v>0.80208333333333337</v>
      </c>
      <c r="F685" s="170">
        <v>0.84861111111111109</v>
      </c>
      <c r="G685" s="171" t="s">
        <v>12</v>
      </c>
      <c r="H685" s="160" t="s">
        <v>155</v>
      </c>
      <c r="I685" s="169">
        <v>41</v>
      </c>
      <c r="J685" s="172">
        <v>50</v>
      </c>
      <c r="K685" s="165">
        <v>252</v>
      </c>
      <c r="L685" s="166">
        <f t="shared" si="237"/>
        <v>10332</v>
      </c>
      <c r="M685" s="177" t="s">
        <v>770</v>
      </c>
      <c r="N685" s="150" t="s">
        <v>898</v>
      </c>
      <c r="O685" s="150">
        <v>61</v>
      </c>
      <c r="P685" s="150" t="s">
        <v>1947</v>
      </c>
      <c r="Q685" s="154">
        <v>62</v>
      </c>
      <c r="S685" s="150"/>
      <c r="T685" s="45">
        <v>1</v>
      </c>
      <c r="U685" s="45" t="s">
        <v>1336</v>
      </c>
      <c r="V685" s="45" t="s">
        <v>1677</v>
      </c>
      <c r="W685" s="45" t="s">
        <v>1678</v>
      </c>
      <c r="X685" s="98">
        <v>44805</v>
      </c>
      <c r="Y685" s="98">
        <v>45169</v>
      </c>
      <c r="Z685" s="98"/>
      <c r="AA685" s="98"/>
      <c r="AB685" s="41" t="s">
        <v>1113</v>
      </c>
      <c r="AC685" s="41"/>
      <c r="AD685" s="42" t="s">
        <v>734</v>
      </c>
      <c r="AE685" s="42" t="s">
        <v>734</v>
      </c>
      <c r="AF685" s="42" t="s">
        <v>734</v>
      </c>
      <c r="AG685" s="42"/>
      <c r="AH685" s="42" t="s">
        <v>734</v>
      </c>
      <c r="AI685" s="42" t="s">
        <v>734</v>
      </c>
      <c r="AJ685" s="42" t="s">
        <v>734</v>
      </c>
      <c r="AK685" s="42" t="s">
        <v>734</v>
      </c>
      <c r="AL685" s="42" t="s">
        <v>734</v>
      </c>
      <c r="AM685" s="42"/>
      <c r="AN685" s="42"/>
      <c r="AO685" s="42"/>
      <c r="AP685" s="42"/>
      <c r="AQ685" s="42"/>
      <c r="AR685" s="42"/>
      <c r="AS685" s="42"/>
      <c r="AT685" s="42"/>
      <c r="AU685" s="42"/>
      <c r="AV685" s="42"/>
      <c r="AW685" s="42"/>
      <c r="BA685" s="38" t="s">
        <v>1009</v>
      </c>
      <c r="BB685" s="39"/>
      <c r="BD685" s="67">
        <f t="shared" si="238"/>
        <v>0</v>
      </c>
      <c r="BF685" s="37"/>
      <c r="BG685" s="69">
        <v>2</v>
      </c>
      <c r="BI685" s="67"/>
      <c r="BJ685" s="37"/>
      <c r="BN685" s="37"/>
      <c r="BO685" s="70">
        <f t="shared" si="225"/>
        <v>0</v>
      </c>
      <c r="BP685" s="37">
        <v>22</v>
      </c>
      <c r="BQ685" s="37">
        <v>21</v>
      </c>
      <c r="BR685" s="37">
        <v>21</v>
      </c>
      <c r="BS685" s="37">
        <v>20</v>
      </c>
      <c r="BT685" s="87">
        <f t="shared" si="226"/>
        <v>0</v>
      </c>
      <c r="BU685" s="87" t="s">
        <v>1113</v>
      </c>
      <c r="BV685" s="127">
        <v>22</v>
      </c>
      <c r="BW685" s="127"/>
      <c r="BX685" s="127">
        <v>21</v>
      </c>
      <c r="BY685" s="127"/>
      <c r="BZ685" s="127">
        <v>21</v>
      </c>
      <c r="CA685" s="127"/>
      <c r="CB685" s="127">
        <v>20</v>
      </c>
      <c r="CC685" s="127"/>
      <c r="CD685" s="87">
        <v>220</v>
      </c>
      <c r="CF685" s="67">
        <f t="shared" si="227"/>
        <v>4840</v>
      </c>
      <c r="CG685" s="67">
        <f t="shared" si="231"/>
        <v>4620</v>
      </c>
      <c r="CH685" s="67">
        <f t="shared" si="239"/>
        <v>4620</v>
      </c>
      <c r="CI685" s="67">
        <f t="shared" si="236"/>
        <v>4400</v>
      </c>
      <c r="CJ685" s="37">
        <f t="shared" si="232"/>
        <v>902</v>
      </c>
      <c r="CK685" s="37">
        <f t="shared" si="233"/>
        <v>861</v>
      </c>
      <c r="CL685" s="37">
        <f t="shared" si="234"/>
        <v>861</v>
      </c>
      <c r="CM685" s="37">
        <f t="shared" si="235"/>
        <v>820</v>
      </c>
    </row>
    <row r="686" spans="2:91" ht="45">
      <c r="B686" s="156">
        <v>673</v>
      </c>
      <c r="C686" s="160">
        <v>401</v>
      </c>
      <c r="D686" s="160">
        <v>172</v>
      </c>
      <c r="E686" s="161">
        <v>0.80208333333333337</v>
      </c>
      <c r="F686" s="161">
        <v>0.84861111111111109</v>
      </c>
      <c r="G686" s="160" t="s">
        <v>491</v>
      </c>
      <c r="H686" s="160" t="s">
        <v>161</v>
      </c>
      <c r="I686" s="163">
        <v>41</v>
      </c>
      <c r="J686" s="164" t="s">
        <v>101</v>
      </c>
      <c r="K686" s="165">
        <v>38</v>
      </c>
      <c r="L686" s="166">
        <f t="shared" si="237"/>
        <v>1558</v>
      </c>
      <c r="M686" s="177" t="s">
        <v>761</v>
      </c>
      <c r="N686" s="154" t="s">
        <v>838</v>
      </c>
      <c r="O686" s="154">
        <v>57</v>
      </c>
      <c r="P686" s="154" t="s">
        <v>1288</v>
      </c>
      <c r="Q686" s="154">
        <v>57</v>
      </c>
      <c r="R686" s="154"/>
      <c r="S686" s="154"/>
      <c r="T686" s="45">
        <v>1</v>
      </c>
      <c r="U686" s="45" t="s">
        <v>1336</v>
      </c>
      <c r="V686" s="45" t="s">
        <v>1677</v>
      </c>
      <c r="W686" s="45" t="s">
        <v>1678</v>
      </c>
      <c r="X686" s="99">
        <v>44816</v>
      </c>
      <c r="Y686" s="99">
        <v>45100</v>
      </c>
      <c r="Z686" s="99"/>
      <c r="AA686" s="99"/>
      <c r="AB686" s="41" t="s">
        <v>1140</v>
      </c>
      <c r="AC686" s="41"/>
      <c r="AD686" s="42" t="s">
        <v>734</v>
      </c>
      <c r="AE686" s="42"/>
      <c r="AF686" s="42" t="s">
        <v>734</v>
      </c>
      <c r="AG686" s="42"/>
      <c r="AH686" s="42"/>
      <c r="AI686" s="42"/>
      <c r="AJ686" s="42"/>
      <c r="AK686" s="42"/>
      <c r="AL686" s="42"/>
      <c r="AM686" s="42" t="s">
        <v>734</v>
      </c>
      <c r="AN686" s="42"/>
      <c r="AO686" s="42"/>
      <c r="AP686" s="42"/>
      <c r="AQ686" s="42"/>
      <c r="AR686" s="42"/>
      <c r="AS686" s="42"/>
      <c r="AT686" s="42"/>
      <c r="AU686" s="42"/>
      <c r="AV686" s="42"/>
      <c r="AW686" s="42"/>
      <c r="AX686" s="68">
        <v>123</v>
      </c>
      <c r="BA686" s="68"/>
      <c r="BB686" s="68"/>
      <c r="BD686" s="67">
        <f t="shared" si="238"/>
        <v>4674</v>
      </c>
      <c r="BE686" s="67"/>
      <c r="BF686" s="37"/>
      <c r="BG686" s="69">
        <v>2</v>
      </c>
      <c r="BH686" s="67">
        <f>IF(AND((AX686/I686)&lt;2,BG686=1),(I686*2)-AX686,0)</f>
        <v>0</v>
      </c>
      <c r="BI686" s="67">
        <f>IF(AND((AX686/I686)&lt;3,BG686=2),(I686*3)-AX686,0)</f>
        <v>0</v>
      </c>
      <c r="BJ686" s="70">
        <f>(BH686+BI686)*K686</f>
        <v>0</v>
      </c>
      <c r="BN686" s="37"/>
      <c r="BO686" s="70">
        <f t="shared" si="225"/>
        <v>0</v>
      </c>
      <c r="BP686" s="37">
        <v>2</v>
      </c>
      <c r="BQ686" s="37">
        <v>5</v>
      </c>
      <c r="BR686" s="37">
        <v>4</v>
      </c>
      <c r="BS686" s="37">
        <v>5</v>
      </c>
      <c r="BT686" s="87">
        <f t="shared" si="226"/>
        <v>123</v>
      </c>
      <c r="BU686" s="87"/>
      <c r="BV686" s="87"/>
      <c r="BW686" s="87"/>
      <c r="BX686" s="87"/>
      <c r="BY686" s="87"/>
      <c r="BZ686" s="87"/>
      <c r="CA686" s="87"/>
      <c r="CB686" s="87"/>
      <c r="CC686" s="87"/>
      <c r="CD686" s="87"/>
      <c r="CF686" s="67">
        <f t="shared" si="227"/>
        <v>246</v>
      </c>
      <c r="CG686" s="67">
        <f t="shared" si="231"/>
        <v>615</v>
      </c>
      <c r="CH686" s="67">
        <f t="shared" si="239"/>
        <v>492</v>
      </c>
      <c r="CI686" s="67">
        <f t="shared" si="236"/>
        <v>615</v>
      </c>
      <c r="CJ686" s="37">
        <f t="shared" si="232"/>
        <v>82</v>
      </c>
      <c r="CK686" s="37">
        <f t="shared" si="233"/>
        <v>205</v>
      </c>
      <c r="CL686" s="37">
        <f t="shared" si="234"/>
        <v>164</v>
      </c>
      <c r="CM686" s="37">
        <f t="shared" si="235"/>
        <v>205</v>
      </c>
    </row>
    <row r="687" spans="2:91" ht="25.5">
      <c r="B687" s="156">
        <v>674</v>
      </c>
      <c r="C687" s="160">
        <v>402</v>
      </c>
      <c r="D687" s="160">
        <v>254</v>
      </c>
      <c r="E687" s="161">
        <v>0.26180555555555557</v>
      </c>
      <c r="F687" s="161">
        <v>0.27986111111111112</v>
      </c>
      <c r="G687" s="160" t="s">
        <v>433</v>
      </c>
      <c r="H687" s="160" t="s">
        <v>103</v>
      </c>
      <c r="I687" s="163">
        <v>2.4</v>
      </c>
      <c r="J687" s="164" t="s">
        <v>269</v>
      </c>
      <c r="K687" s="165">
        <v>174</v>
      </c>
      <c r="L687" s="166">
        <f t="shared" si="237"/>
        <v>417.59999999999997</v>
      </c>
      <c r="M687" s="177" t="s">
        <v>733</v>
      </c>
      <c r="N687" s="154" t="s">
        <v>880</v>
      </c>
      <c r="O687" s="154">
        <v>17</v>
      </c>
      <c r="P687" s="150" t="s">
        <v>1912</v>
      </c>
      <c r="Q687" s="150">
        <v>18</v>
      </c>
      <c r="R687" s="154" t="s">
        <v>882</v>
      </c>
      <c r="S687" s="151">
        <v>23</v>
      </c>
      <c r="T687" s="45" t="s">
        <v>1466</v>
      </c>
      <c r="U687" s="45" t="s">
        <v>1467</v>
      </c>
      <c r="V687" s="45">
        <v>4043</v>
      </c>
      <c r="W687" s="45" t="s">
        <v>1680</v>
      </c>
      <c r="X687" s="98">
        <v>44816</v>
      </c>
      <c r="Y687" s="98">
        <v>45086</v>
      </c>
      <c r="Z687" s="98"/>
      <c r="AA687" s="98"/>
      <c r="AB687" s="41" t="s">
        <v>1114</v>
      </c>
      <c r="AC687" s="41"/>
      <c r="AD687" s="42"/>
      <c r="AE687" s="42"/>
      <c r="AF687" s="42"/>
      <c r="AG687" s="42" t="s">
        <v>734</v>
      </c>
      <c r="AH687" s="42" t="s">
        <v>734</v>
      </c>
      <c r="AI687" s="42" t="s">
        <v>734</v>
      </c>
      <c r="AJ687" s="42" t="s">
        <v>734</v>
      </c>
      <c r="AK687" s="42" t="s">
        <v>734</v>
      </c>
      <c r="AL687" s="42" t="s">
        <v>734</v>
      </c>
      <c r="AM687" s="42"/>
      <c r="AN687" s="42"/>
      <c r="AO687" s="42"/>
      <c r="AP687" s="42"/>
      <c r="AQ687" s="42"/>
      <c r="AR687" s="42"/>
      <c r="AS687" s="42"/>
      <c r="AT687" s="42"/>
      <c r="AU687" s="42"/>
      <c r="AV687" s="42"/>
      <c r="AW687" s="42"/>
      <c r="AX687" s="68">
        <v>10</v>
      </c>
      <c r="BA687" s="68"/>
      <c r="BB687" s="68"/>
      <c r="BC687" s="39">
        <v>4</v>
      </c>
      <c r="BD687" s="67">
        <f t="shared" si="238"/>
        <v>1740</v>
      </c>
      <c r="BE687" s="67"/>
      <c r="BF687" s="37"/>
      <c r="BG687" s="73">
        <v>1</v>
      </c>
      <c r="BH687" s="67">
        <f>IF(AND((AX687/I687)&lt;2,BG687=1),(I687*2)-AX687,0)</f>
        <v>0</v>
      </c>
      <c r="BI687" s="67">
        <f>IF(AND((AX687/I687)&lt;3,BG687=2),(I687*3)-AX687,0)</f>
        <v>0</v>
      </c>
      <c r="BJ687" s="70">
        <f>(BH687+BI687)*K687</f>
        <v>0</v>
      </c>
      <c r="BN687" s="67">
        <f>IF((AX687+AY687+AZ687)&lt;20,(20-(AX687+AY687+AZ687)),0)</f>
        <v>10</v>
      </c>
      <c r="BO687" s="70">
        <f t="shared" si="225"/>
        <v>1740</v>
      </c>
      <c r="BP687" s="37">
        <v>15</v>
      </c>
      <c r="BQ687" s="37">
        <v>20</v>
      </c>
      <c r="BR687" s="37">
        <v>21</v>
      </c>
      <c r="BS687" s="37">
        <v>15</v>
      </c>
      <c r="BT687" s="87">
        <f t="shared" si="226"/>
        <v>20</v>
      </c>
      <c r="BU687" s="87"/>
      <c r="BV687" s="87"/>
      <c r="BW687" s="87"/>
      <c r="BX687" s="87"/>
      <c r="BY687" s="87"/>
      <c r="BZ687" s="87"/>
      <c r="CA687" s="87"/>
      <c r="CB687" s="87"/>
      <c r="CC687" s="87"/>
      <c r="CD687" s="87"/>
      <c r="CF687" s="67">
        <f t="shared" si="227"/>
        <v>300</v>
      </c>
      <c r="CG687" s="67">
        <f t="shared" si="231"/>
        <v>400</v>
      </c>
      <c r="CH687" s="67">
        <f t="shared" si="239"/>
        <v>420</v>
      </c>
      <c r="CI687" s="67">
        <f t="shared" si="236"/>
        <v>300</v>
      </c>
      <c r="CJ687" s="37">
        <f t="shared" si="232"/>
        <v>36</v>
      </c>
      <c r="CK687" s="37">
        <f t="shared" si="233"/>
        <v>48</v>
      </c>
      <c r="CL687" s="37">
        <f t="shared" si="234"/>
        <v>50.4</v>
      </c>
      <c r="CM687" s="37">
        <f t="shared" si="235"/>
        <v>36</v>
      </c>
    </row>
    <row r="688" spans="2:91" ht="25.5">
      <c r="B688" s="156">
        <v>675</v>
      </c>
      <c r="C688" s="160">
        <v>402</v>
      </c>
      <c r="D688" s="160">
        <v>254</v>
      </c>
      <c r="E688" s="161">
        <v>0.26527777777777778</v>
      </c>
      <c r="F688" s="161">
        <v>0.28472222222222221</v>
      </c>
      <c r="G688" s="160" t="s">
        <v>410</v>
      </c>
      <c r="H688" s="160" t="s">
        <v>103</v>
      </c>
      <c r="I688" s="163">
        <v>15.5</v>
      </c>
      <c r="J688" s="164" t="s">
        <v>269</v>
      </c>
      <c r="K688" s="165">
        <v>174</v>
      </c>
      <c r="L688" s="166">
        <f t="shared" si="237"/>
        <v>2697</v>
      </c>
      <c r="M688" s="177" t="s">
        <v>733</v>
      </c>
      <c r="N688" s="154" t="s">
        <v>880</v>
      </c>
      <c r="O688" s="154">
        <v>17</v>
      </c>
      <c r="P688" s="150" t="s">
        <v>1912</v>
      </c>
      <c r="Q688" s="150">
        <v>18</v>
      </c>
      <c r="R688" s="154" t="s">
        <v>882</v>
      </c>
      <c r="S688" s="151">
        <v>23</v>
      </c>
      <c r="T688" s="45">
        <v>4043</v>
      </c>
      <c r="U688" s="45" t="s">
        <v>1680</v>
      </c>
      <c r="V688" s="45">
        <v>1122</v>
      </c>
      <c r="W688" s="45" t="s">
        <v>1340</v>
      </c>
      <c r="X688" s="98">
        <v>44816</v>
      </c>
      <c r="Y688" s="98">
        <v>45086</v>
      </c>
      <c r="Z688" s="98"/>
      <c r="AA688" s="98"/>
      <c r="AB688" s="41" t="s">
        <v>1114</v>
      </c>
      <c r="AC688" s="41"/>
      <c r="AD688" s="42"/>
      <c r="AE688" s="42"/>
      <c r="AF688" s="42"/>
      <c r="AG688" s="42" t="s">
        <v>734</v>
      </c>
      <c r="AH688" s="42" t="s">
        <v>734</v>
      </c>
      <c r="AI688" s="42" t="s">
        <v>734</v>
      </c>
      <c r="AJ688" s="42" t="s">
        <v>734</v>
      </c>
      <c r="AK688" s="42" t="s">
        <v>734</v>
      </c>
      <c r="AL688" s="42" t="s">
        <v>734</v>
      </c>
      <c r="AM688" s="42"/>
      <c r="AN688" s="42"/>
      <c r="AO688" s="42"/>
      <c r="AP688" s="42"/>
      <c r="AQ688" s="42"/>
      <c r="AR688" s="42"/>
      <c r="AS688" s="42"/>
      <c r="AT688" s="42"/>
      <c r="AU688" s="42"/>
      <c r="AV688" s="42"/>
      <c r="AW688" s="42"/>
      <c r="AX688" s="68">
        <v>38.75</v>
      </c>
      <c r="BA688" s="68"/>
      <c r="BB688" s="68"/>
      <c r="BC688" s="39">
        <v>5</v>
      </c>
      <c r="BD688" s="67">
        <f t="shared" si="238"/>
        <v>6742.5</v>
      </c>
      <c r="BE688" s="67"/>
      <c r="BF688" s="37"/>
      <c r="BG688" s="73">
        <v>1</v>
      </c>
      <c r="BH688" s="67">
        <f>IF(AND((AX688/I688)&lt;2,BG688=1),(I688*2)-AX688,0)</f>
        <v>0</v>
      </c>
      <c r="BI688" s="67">
        <f>IF(AND((AX688/I688)&lt;3,BG688=2),(I688*3)-AX688,0)</f>
        <v>0</v>
      </c>
      <c r="BJ688" s="70">
        <f>(BH688+BI688)*K688</f>
        <v>0</v>
      </c>
      <c r="BN688" s="67">
        <f>IF((AX688+AY688+AZ688)&lt;20,(20-(AX688+AY688+AZ688)),0)</f>
        <v>0</v>
      </c>
      <c r="BO688" s="70">
        <f t="shared" si="225"/>
        <v>0</v>
      </c>
      <c r="BP688" s="37">
        <v>15</v>
      </c>
      <c r="BQ688" s="37">
        <v>20</v>
      </c>
      <c r="BR688" s="37">
        <v>21</v>
      </c>
      <c r="BS688" s="37">
        <v>15</v>
      </c>
      <c r="BT688" s="87">
        <f t="shared" si="226"/>
        <v>38.75</v>
      </c>
      <c r="BU688" s="87"/>
      <c r="BV688" s="87"/>
      <c r="BW688" s="87"/>
      <c r="BX688" s="87"/>
      <c r="BY688" s="87"/>
      <c r="BZ688" s="87"/>
      <c r="CA688" s="87"/>
      <c r="CB688" s="87"/>
      <c r="CC688" s="87"/>
      <c r="CD688" s="87"/>
      <c r="CF688" s="67">
        <f t="shared" si="227"/>
        <v>581.25</v>
      </c>
      <c r="CG688" s="67">
        <f t="shared" si="231"/>
        <v>775</v>
      </c>
      <c r="CH688" s="67">
        <f t="shared" si="239"/>
        <v>813.75</v>
      </c>
      <c r="CI688" s="67">
        <f t="shared" si="236"/>
        <v>581.25</v>
      </c>
      <c r="CJ688" s="37">
        <f t="shared" si="232"/>
        <v>232.5</v>
      </c>
      <c r="CK688" s="37">
        <f t="shared" si="233"/>
        <v>310</v>
      </c>
      <c r="CL688" s="37">
        <f t="shared" si="234"/>
        <v>325.5</v>
      </c>
      <c r="CM688" s="37">
        <f t="shared" si="235"/>
        <v>232.5</v>
      </c>
    </row>
    <row r="689" spans="2:91" ht="25.5">
      <c r="B689" s="156">
        <v>676</v>
      </c>
      <c r="C689" s="169">
        <v>402</v>
      </c>
      <c r="D689" s="169">
        <v>108</v>
      </c>
      <c r="E689" s="170">
        <v>0.51388888888888895</v>
      </c>
      <c r="F689" s="170">
        <v>0.54027777777777775</v>
      </c>
      <c r="G689" s="171" t="s">
        <v>24</v>
      </c>
      <c r="H689" s="160" t="s">
        <v>550</v>
      </c>
      <c r="I689" s="169">
        <v>18</v>
      </c>
      <c r="J689" s="172">
        <v>30</v>
      </c>
      <c r="K689" s="165">
        <v>13</v>
      </c>
      <c r="L689" s="166">
        <f t="shared" si="237"/>
        <v>234</v>
      </c>
      <c r="M689" s="177" t="s">
        <v>733</v>
      </c>
      <c r="N689" s="154" t="s">
        <v>881</v>
      </c>
      <c r="O689" s="154">
        <v>30</v>
      </c>
      <c r="P689" s="154" t="s">
        <v>1976</v>
      </c>
      <c r="Q689" s="154">
        <v>36</v>
      </c>
      <c r="S689" s="154"/>
      <c r="T689" s="45">
        <v>1</v>
      </c>
      <c r="U689" s="45" t="s">
        <v>1336</v>
      </c>
      <c r="V689" s="45" t="s">
        <v>1466</v>
      </c>
      <c r="W689" s="45" t="s">
        <v>1467</v>
      </c>
      <c r="X689" s="99">
        <v>44562</v>
      </c>
      <c r="Y689" s="99">
        <v>44815</v>
      </c>
      <c r="Z689" s="99">
        <v>45101</v>
      </c>
      <c r="AA689" s="99">
        <v>45169</v>
      </c>
      <c r="AB689" s="36" t="s">
        <v>1116</v>
      </c>
      <c r="AC689" s="36"/>
      <c r="AD689" s="42"/>
      <c r="AE689" s="42" t="s">
        <v>734</v>
      </c>
      <c r="AF689" s="42"/>
      <c r="AG689" s="42"/>
      <c r="AH689" s="42"/>
      <c r="AI689" s="42"/>
      <c r="AJ689" s="42"/>
      <c r="AK689" s="42"/>
      <c r="AL689" s="42"/>
      <c r="AM689" s="42"/>
      <c r="AN689" s="42" t="s">
        <v>734</v>
      </c>
      <c r="AO689" s="42"/>
      <c r="AP689" s="42"/>
      <c r="AQ689" s="42"/>
      <c r="AR689" s="42"/>
      <c r="AS689" s="42"/>
      <c r="AT689" s="42"/>
      <c r="AU689" s="42"/>
      <c r="AV689" s="42"/>
      <c r="AW689" s="42"/>
      <c r="BA689" s="39" t="s">
        <v>733</v>
      </c>
      <c r="BB689" s="39"/>
      <c r="BD689" s="67">
        <f t="shared" si="238"/>
        <v>0</v>
      </c>
      <c r="BF689" s="37"/>
      <c r="BG689" s="73">
        <v>1</v>
      </c>
      <c r="BI689" s="67"/>
      <c r="BJ689" s="37"/>
      <c r="BN689" s="37"/>
      <c r="BO689" s="70">
        <f t="shared" si="225"/>
        <v>0</v>
      </c>
      <c r="BP689" s="37">
        <v>2</v>
      </c>
      <c r="BQ689" s="37">
        <v>0</v>
      </c>
      <c r="BR689" s="37">
        <v>0</v>
      </c>
      <c r="BT689" s="87">
        <f t="shared" si="226"/>
        <v>0</v>
      </c>
      <c r="BU689" s="46" t="s">
        <v>1116</v>
      </c>
      <c r="BV689" s="46">
        <v>2</v>
      </c>
      <c r="BW689" s="46"/>
      <c r="BX689" s="127">
        <v>0</v>
      </c>
      <c r="BY689" s="127"/>
      <c r="BZ689" s="127">
        <v>0</v>
      </c>
      <c r="CA689" s="127"/>
      <c r="CB689" s="127">
        <v>0</v>
      </c>
      <c r="CC689" s="127"/>
      <c r="CD689" s="87">
        <v>350</v>
      </c>
      <c r="CF689" s="67">
        <f t="shared" si="227"/>
        <v>700</v>
      </c>
      <c r="CG689" s="67">
        <f t="shared" si="231"/>
        <v>0</v>
      </c>
      <c r="CH689" s="67">
        <f t="shared" si="239"/>
        <v>0</v>
      </c>
      <c r="CI689" s="67">
        <f t="shared" si="236"/>
        <v>0</v>
      </c>
      <c r="CJ689" s="37">
        <f t="shared" si="232"/>
        <v>36</v>
      </c>
      <c r="CK689" s="37">
        <f t="shared" si="233"/>
        <v>0</v>
      </c>
      <c r="CL689" s="37">
        <f t="shared" si="234"/>
        <v>0</v>
      </c>
      <c r="CM689" s="37">
        <f t="shared" si="235"/>
        <v>0</v>
      </c>
    </row>
    <row r="690" spans="2:91" ht="25.5">
      <c r="B690" s="156">
        <v>677</v>
      </c>
      <c r="C690" s="169">
        <v>402</v>
      </c>
      <c r="D690" s="169">
        <v>113</v>
      </c>
      <c r="E690" s="170">
        <v>0.56944444444444442</v>
      </c>
      <c r="F690" s="170">
        <v>0.59583333333333333</v>
      </c>
      <c r="G690" s="171" t="s">
        <v>15</v>
      </c>
      <c r="H690" s="160" t="s">
        <v>550</v>
      </c>
      <c r="I690" s="169">
        <v>18</v>
      </c>
      <c r="J690" s="172">
        <v>30</v>
      </c>
      <c r="K690" s="165">
        <v>13</v>
      </c>
      <c r="L690" s="166">
        <f t="shared" si="237"/>
        <v>234</v>
      </c>
      <c r="M690" s="177" t="s">
        <v>733</v>
      </c>
      <c r="N690" s="154" t="s">
        <v>881</v>
      </c>
      <c r="O690" s="154">
        <v>30</v>
      </c>
      <c r="P690" s="154" t="s">
        <v>1976</v>
      </c>
      <c r="Q690" s="154">
        <v>36</v>
      </c>
      <c r="S690" s="154"/>
      <c r="T690" s="45" t="s">
        <v>1466</v>
      </c>
      <c r="U690" s="45" t="s">
        <v>1467</v>
      </c>
      <c r="V690" s="45">
        <v>1</v>
      </c>
      <c r="W690" s="45" t="s">
        <v>1339</v>
      </c>
      <c r="X690" s="99">
        <v>44562</v>
      </c>
      <c r="Y690" s="99">
        <v>44815</v>
      </c>
      <c r="Z690" s="99">
        <v>45101</v>
      </c>
      <c r="AA690" s="99">
        <v>45169</v>
      </c>
      <c r="AB690" s="36" t="s">
        <v>1116</v>
      </c>
      <c r="AC690" s="36"/>
      <c r="AD690" s="42"/>
      <c r="AE690" s="42" t="s">
        <v>734</v>
      </c>
      <c r="AF690" s="42"/>
      <c r="AG690" s="42"/>
      <c r="AH690" s="42"/>
      <c r="AI690" s="42"/>
      <c r="AJ690" s="42"/>
      <c r="AK690" s="42"/>
      <c r="AL690" s="42"/>
      <c r="AM690" s="42"/>
      <c r="AN690" s="42" t="s">
        <v>734</v>
      </c>
      <c r="AO690" s="42"/>
      <c r="AP690" s="42"/>
      <c r="AQ690" s="42"/>
      <c r="AR690" s="42"/>
      <c r="AS690" s="42"/>
      <c r="AT690" s="42"/>
      <c r="AU690" s="42"/>
      <c r="AV690" s="42"/>
      <c r="AW690" s="42"/>
      <c r="BA690" s="39" t="s">
        <v>733</v>
      </c>
      <c r="BB690" s="39"/>
      <c r="BD690" s="67">
        <f t="shared" si="238"/>
        <v>0</v>
      </c>
      <c r="BF690" s="37"/>
      <c r="BG690" s="73">
        <v>1</v>
      </c>
      <c r="BI690" s="67"/>
      <c r="BJ690" s="37"/>
      <c r="BN690" s="37"/>
      <c r="BO690" s="70">
        <f t="shared" si="225"/>
        <v>0</v>
      </c>
      <c r="BP690" s="37">
        <v>2</v>
      </c>
      <c r="BQ690" s="37">
        <v>0</v>
      </c>
      <c r="BR690" s="37">
        <v>0</v>
      </c>
      <c r="BT690" s="87">
        <f t="shared" si="226"/>
        <v>0</v>
      </c>
      <c r="BU690" s="87"/>
      <c r="BV690" s="87"/>
      <c r="BW690" s="87"/>
      <c r="BX690" s="87"/>
      <c r="BY690" s="87"/>
      <c r="BZ690" s="87"/>
      <c r="CA690" s="87"/>
      <c r="CB690" s="87"/>
      <c r="CC690" s="87"/>
      <c r="CD690" s="87"/>
      <c r="CF690" s="67">
        <f t="shared" si="227"/>
        <v>0</v>
      </c>
      <c r="CG690" s="67">
        <f t="shared" si="231"/>
        <v>0</v>
      </c>
      <c r="CH690" s="67">
        <f t="shared" si="239"/>
        <v>0</v>
      </c>
      <c r="CI690" s="67">
        <f t="shared" si="236"/>
        <v>0</v>
      </c>
      <c r="CJ690" s="37">
        <f t="shared" si="232"/>
        <v>36</v>
      </c>
      <c r="CK690" s="37">
        <f t="shared" si="233"/>
        <v>0</v>
      </c>
      <c r="CL690" s="37">
        <f t="shared" si="234"/>
        <v>0</v>
      </c>
      <c r="CM690" s="37">
        <f t="shared" si="235"/>
        <v>0</v>
      </c>
    </row>
    <row r="691" spans="2:91" ht="45">
      <c r="B691" s="156">
        <v>678</v>
      </c>
      <c r="C691" s="169">
        <v>402</v>
      </c>
      <c r="D691" s="169">
        <v>639</v>
      </c>
      <c r="E691" s="170">
        <v>0.64930555555555558</v>
      </c>
      <c r="F691" s="176">
        <v>0.70347222222222217</v>
      </c>
      <c r="G691" s="171" t="s">
        <v>648</v>
      </c>
      <c r="H691" s="160" t="s">
        <v>103</v>
      </c>
      <c r="I691" s="169">
        <v>38.5</v>
      </c>
      <c r="J691" s="172">
        <v>50</v>
      </c>
      <c r="K691" s="165">
        <v>174</v>
      </c>
      <c r="L691" s="166">
        <f t="shared" si="237"/>
        <v>6699</v>
      </c>
      <c r="M691" s="177" t="s">
        <v>761</v>
      </c>
      <c r="N691" s="154" t="s">
        <v>838</v>
      </c>
      <c r="O691" s="154">
        <v>57</v>
      </c>
      <c r="P691" s="154" t="s">
        <v>1288</v>
      </c>
      <c r="Q691" s="154">
        <v>57</v>
      </c>
      <c r="R691" s="270" t="s">
        <v>2063</v>
      </c>
      <c r="S691" s="270">
        <v>44</v>
      </c>
      <c r="T691" s="45">
        <v>1</v>
      </c>
      <c r="U691" s="45" t="s">
        <v>1336</v>
      </c>
      <c r="V691" s="45">
        <v>4070</v>
      </c>
      <c r="W691" s="45" t="s">
        <v>1460</v>
      </c>
      <c r="X691" s="98">
        <v>44816</v>
      </c>
      <c r="Y691" s="98">
        <v>45086</v>
      </c>
      <c r="Z691" s="98"/>
      <c r="AA691" s="98"/>
      <c r="AB691" s="41" t="s">
        <v>1114</v>
      </c>
      <c r="AC691" s="41"/>
      <c r="AD691" s="42"/>
      <c r="AE691" s="42"/>
      <c r="AF691" s="42"/>
      <c r="AG691" s="42" t="s">
        <v>734</v>
      </c>
      <c r="AH691" s="42" t="s">
        <v>734</v>
      </c>
      <c r="AI691" s="42" t="s">
        <v>734</v>
      </c>
      <c r="AJ691" s="42" t="s">
        <v>734</v>
      </c>
      <c r="AK691" s="42" t="s">
        <v>734</v>
      </c>
      <c r="AL691" s="42" t="s">
        <v>734</v>
      </c>
      <c r="AM691" s="42"/>
      <c r="AN691" s="42"/>
      <c r="AO691" s="42"/>
      <c r="AP691" s="42"/>
      <c r="AQ691" s="42"/>
      <c r="AR691" s="42"/>
      <c r="AS691" s="42"/>
      <c r="AT691" s="42"/>
      <c r="AU691" s="42"/>
      <c r="AV691" s="42"/>
      <c r="AW691" s="42"/>
      <c r="AX691" s="71">
        <v>10.5</v>
      </c>
      <c r="AY691" s="71">
        <f>(1.9*35)</f>
        <v>66.5</v>
      </c>
      <c r="BD691" s="67">
        <f t="shared" si="238"/>
        <v>1827</v>
      </c>
      <c r="BE691" s="67">
        <f>AY691*K691</f>
        <v>11571</v>
      </c>
      <c r="BF691" s="37"/>
      <c r="BG691" s="69">
        <v>2</v>
      </c>
      <c r="BH691" s="71"/>
      <c r="BI691" s="71"/>
      <c r="BJ691" s="71"/>
      <c r="BK691" s="67">
        <f>IF(AND((AY691/I691)&lt;2,BG691=1),(I691*2)-AY691,0)</f>
        <v>0</v>
      </c>
      <c r="BL691" s="67">
        <f>IF(AND((AY691/I691)&lt;3,BG691=2),(I691*3)-(AY691+AX691),0)</f>
        <v>38.5</v>
      </c>
      <c r="BM691" s="70">
        <f>(BK691+BL691)*K691</f>
        <v>6699</v>
      </c>
      <c r="BN691" s="37"/>
      <c r="BO691" s="70">
        <f t="shared" si="225"/>
        <v>0</v>
      </c>
      <c r="BP691" s="37">
        <v>15</v>
      </c>
      <c r="BQ691" s="37">
        <v>20</v>
      </c>
      <c r="BR691" s="37">
        <v>21</v>
      </c>
      <c r="BS691" s="37">
        <v>15</v>
      </c>
      <c r="BT691" s="87">
        <f t="shared" si="226"/>
        <v>115.5</v>
      </c>
      <c r="BU691" s="87"/>
      <c r="BV691" s="87"/>
      <c r="BW691" s="87"/>
      <c r="BX691" s="87"/>
      <c r="BY691" s="87"/>
      <c r="BZ691" s="87"/>
      <c r="CA691" s="87"/>
      <c r="CB691" s="87"/>
      <c r="CC691" s="87"/>
      <c r="CD691" s="87"/>
      <c r="CF691" s="67">
        <f t="shared" si="227"/>
        <v>1732.5</v>
      </c>
      <c r="CG691" s="67">
        <f t="shared" si="231"/>
        <v>2310</v>
      </c>
      <c r="CH691" s="67">
        <f t="shared" si="239"/>
        <v>2425.5</v>
      </c>
      <c r="CI691" s="67">
        <f t="shared" si="236"/>
        <v>1732.5</v>
      </c>
      <c r="CJ691" s="37">
        <f t="shared" si="232"/>
        <v>577.5</v>
      </c>
      <c r="CK691" s="37">
        <f t="shared" si="233"/>
        <v>770</v>
      </c>
      <c r="CL691" s="37">
        <f t="shared" si="234"/>
        <v>808.5</v>
      </c>
      <c r="CM691" s="37">
        <f t="shared" si="235"/>
        <v>577.5</v>
      </c>
    </row>
    <row r="692" spans="2:91" ht="25.5">
      <c r="B692" s="156">
        <v>679</v>
      </c>
      <c r="C692" s="169">
        <v>403</v>
      </c>
      <c r="D692" s="169">
        <v>517</v>
      </c>
      <c r="E692" s="170">
        <v>0.74652777777777779</v>
      </c>
      <c r="F692" s="170">
        <v>0.78194444444444444</v>
      </c>
      <c r="G692" s="171" t="s">
        <v>15</v>
      </c>
      <c r="H692" s="160" t="s">
        <v>550</v>
      </c>
      <c r="I692" s="169">
        <v>25</v>
      </c>
      <c r="J692" s="172">
        <v>30</v>
      </c>
      <c r="K692" s="165">
        <v>13</v>
      </c>
      <c r="L692" s="166">
        <f t="shared" si="237"/>
        <v>325</v>
      </c>
      <c r="M692" s="177" t="s">
        <v>733</v>
      </c>
      <c r="N692" s="154" t="s">
        <v>881</v>
      </c>
      <c r="O692" s="154">
        <v>30</v>
      </c>
      <c r="P692" s="154" t="s">
        <v>1976</v>
      </c>
      <c r="Q692" s="154">
        <v>36</v>
      </c>
      <c r="S692" s="154"/>
      <c r="T692" s="45" t="s">
        <v>1466</v>
      </c>
      <c r="U692" s="45" t="s">
        <v>1467</v>
      </c>
      <c r="V692" s="45">
        <v>1</v>
      </c>
      <c r="W692" s="45" t="s">
        <v>1339</v>
      </c>
      <c r="X692" s="99">
        <v>44562</v>
      </c>
      <c r="Y692" s="99">
        <v>44815</v>
      </c>
      <c r="Z692" s="99">
        <v>45101</v>
      </c>
      <c r="AA692" s="99">
        <v>45169</v>
      </c>
      <c r="AB692" s="36" t="s">
        <v>1116</v>
      </c>
      <c r="AC692" s="36"/>
      <c r="AD692" s="42"/>
      <c r="AE692" s="42" t="s">
        <v>734</v>
      </c>
      <c r="AF692" s="42"/>
      <c r="AG692" s="42"/>
      <c r="AH692" s="42"/>
      <c r="AI692" s="42"/>
      <c r="AJ692" s="42"/>
      <c r="AK692" s="42"/>
      <c r="AL692" s="42"/>
      <c r="AM692" s="42"/>
      <c r="AN692" s="42" t="s">
        <v>734</v>
      </c>
      <c r="AO692" s="42"/>
      <c r="AP692" s="42"/>
      <c r="AQ692" s="42"/>
      <c r="AR692" s="42"/>
      <c r="AS692" s="42"/>
      <c r="AT692" s="42"/>
      <c r="AU692" s="42"/>
      <c r="AV692" s="42"/>
      <c r="AW692" s="42"/>
      <c r="BA692" s="39" t="s">
        <v>733</v>
      </c>
      <c r="BB692" s="39"/>
      <c r="BD692" s="67">
        <f t="shared" si="238"/>
        <v>0</v>
      </c>
      <c r="BF692" s="37"/>
      <c r="BG692" s="73">
        <v>1</v>
      </c>
      <c r="BI692" s="67"/>
      <c r="BJ692" s="37"/>
      <c r="BN692" s="37"/>
      <c r="BO692" s="70">
        <f t="shared" si="225"/>
        <v>0</v>
      </c>
      <c r="BP692" s="37">
        <v>2</v>
      </c>
      <c r="BQ692" s="37">
        <v>0</v>
      </c>
      <c r="BR692" s="37">
        <v>0</v>
      </c>
      <c r="BT692" s="87">
        <f t="shared" si="226"/>
        <v>0</v>
      </c>
      <c r="BU692" s="87"/>
      <c r="BV692" s="87"/>
      <c r="BW692" s="87"/>
      <c r="BX692" s="87"/>
      <c r="BY692" s="87"/>
      <c r="BZ692" s="87"/>
      <c r="CA692" s="87"/>
      <c r="CB692" s="87"/>
      <c r="CC692" s="87"/>
      <c r="CD692" s="87"/>
      <c r="CF692" s="67">
        <f t="shared" si="227"/>
        <v>0</v>
      </c>
      <c r="CG692" s="67">
        <f t="shared" si="231"/>
        <v>0</v>
      </c>
      <c r="CH692" s="67">
        <f t="shared" si="239"/>
        <v>0</v>
      </c>
      <c r="CI692" s="67">
        <f t="shared" si="236"/>
        <v>0</v>
      </c>
      <c r="CJ692" s="37">
        <f t="shared" si="232"/>
        <v>50</v>
      </c>
      <c r="CK692" s="37">
        <f t="shared" si="233"/>
        <v>0</v>
      </c>
      <c r="CL692" s="37">
        <f t="shared" si="234"/>
        <v>0</v>
      </c>
      <c r="CM692" s="37">
        <f t="shared" si="235"/>
        <v>0</v>
      </c>
    </row>
    <row r="693" spans="2:91" ht="25.5">
      <c r="B693" s="156">
        <v>680</v>
      </c>
      <c r="C693" s="160">
        <v>403</v>
      </c>
      <c r="D693" s="160">
        <v>410</v>
      </c>
      <c r="E693" s="161">
        <v>0.77430555555555547</v>
      </c>
      <c r="F693" s="161">
        <v>0.81111111111111101</v>
      </c>
      <c r="G693" s="160" t="s">
        <v>502</v>
      </c>
      <c r="H693" s="160" t="s">
        <v>550</v>
      </c>
      <c r="I693" s="163">
        <v>25</v>
      </c>
      <c r="J693" s="164" t="s">
        <v>406</v>
      </c>
      <c r="K693" s="165">
        <v>13</v>
      </c>
      <c r="L693" s="166">
        <f t="shared" si="237"/>
        <v>325</v>
      </c>
      <c r="M693" s="177" t="s">
        <v>747</v>
      </c>
      <c r="N693" s="154" t="s">
        <v>853</v>
      </c>
      <c r="O693" s="154">
        <v>42</v>
      </c>
      <c r="P693" s="150" t="s">
        <v>1970</v>
      </c>
      <c r="Q693" s="154">
        <v>45</v>
      </c>
      <c r="R693" s="150" t="s">
        <v>1242</v>
      </c>
      <c r="S693" s="152">
        <v>48</v>
      </c>
      <c r="T693" s="45">
        <v>1</v>
      </c>
      <c r="U693" s="45" t="s">
        <v>1336</v>
      </c>
      <c r="V693" s="45" t="s">
        <v>1466</v>
      </c>
      <c r="W693" s="45" t="s">
        <v>1467</v>
      </c>
      <c r="X693" s="99">
        <v>44562</v>
      </c>
      <c r="Y693" s="99">
        <v>44815</v>
      </c>
      <c r="Z693" s="99">
        <v>45101</v>
      </c>
      <c r="AA693" s="99">
        <v>45169</v>
      </c>
      <c r="AB693" s="36" t="s">
        <v>1116</v>
      </c>
      <c r="AC693" s="36"/>
      <c r="AD693" s="42"/>
      <c r="AE693" s="42" t="s">
        <v>734</v>
      </c>
      <c r="AF693" s="42"/>
      <c r="AG693" s="42"/>
      <c r="AH693" s="42"/>
      <c r="AI693" s="42"/>
      <c r="AJ693" s="42"/>
      <c r="AK693" s="42"/>
      <c r="AL693" s="42"/>
      <c r="AM693" s="42"/>
      <c r="AN693" s="42" t="s">
        <v>734</v>
      </c>
      <c r="AO693" s="42"/>
      <c r="AP693" s="42"/>
      <c r="AQ693" s="42"/>
      <c r="AR693" s="42"/>
      <c r="AS693" s="42"/>
      <c r="AT693" s="42"/>
      <c r="AU693" s="42"/>
      <c r="AV693" s="42"/>
      <c r="AW693" s="42"/>
      <c r="AX693" s="68">
        <v>75</v>
      </c>
      <c r="BA693" s="68"/>
      <c r="BB693" s="68"/>
      <c r="BD693" s="67">
        <f t="shared" ref="BD693:BD721" si="243">AX693*K693</f>
        <v>975</v>
      </c>
      <c r="BE693" s="67"/>
      <c r="BF693" s="37"/>
      <c r="BG693" s="69">
        <v>2</v>
      </c>
      <c r="BH693" s="67">
        <f>IF(AND((AX693/I693)&lt;2,BG693=1),(I693*2)-AX693,0)</f>
        <v>0</v>
      </c>
      <c r="BI693" s="67">
        <f>IF(AND((AX693/I693)&lt;3,BG693=2),(I693*3)-AX693,0)</f>
        <v>0</v>
      </c>
      <c r="BJ693" s="70">
        <f>(BH693+BI693)*K693</f>
        <v>0</v>
      </c>
      <c r="BN693" s="37"/>
      <c r="BO693" s="70">
        <f t="shared" si="225"/>
        <v>0</v>
      </c>
      <c r="BP693" s="37">
        <v>2</v>
      </c>
      <c r="BQ693" s="37">
        <v>0</v>
      </c>
      <c r="BR693" s="37">
        <v>0</v>
      </c>
      <c r="BT693" s="87">
        <f t="shared" si="226"/>
        <v>75</v>
      </c>
      <c r="BU693" s="87"/>
      <c r="BV693" s="87"/>
      <c r="BW693" s="87"/>
      <c r="BX693" s="87"/>
      <c r="BY693" s="87"/>
      <c r="BZ693" s="87"/>
      <c r="CA693" s="87"/>
      <c r="CB693" s="87"/>
      <c r="CC693" s="87"/>
      <c r="CD693" s="87"/>
      <c r="CF693" s="67">
        <f t="shared" si="227"/>
        <v>150</v>
      </c>
      <c r="CG693" s="67">
        <f t="shared" si="231"/>
        <v>0</v>
      </c>
      <c r="CH693" s="67">
        <f t="shared" si="239"/>
        <v>0</v>
      </c>
      <c r="CI693" s="67">
        <f t="shared" si="236"/>
        <v>0</v>
      </c>
      <c r="CJ693" s="37">
        <f t="shared" si="232"/>
        <v>50</v>
      </c>
      <c r="CK693" s="37">
        <f t="shared" si="233"/>
        <v>0</v>
      </c>
      <c r="CL693" s="37">
        <f t="shared" si="234"/>
        <v>0</v>
      </c>
      <c r="CM693" s="37">
        <f t="shared" si="235"/>
        <v>0</v>
      </c>
    </row>
    <row r="694" spans="2:91" ht="25.5">
      <c r="B694" s="156">
        <v>681</v>
      </c>
      <c r="C694" s="160">
        <v>404</v>
      </c>
      <c r="D694" s="160">
        <v>633</v>
      </c>
      <c r="E694" s="161">
        <v>0.28125</v>
      </c>
      <c r="F694" s="161">
        <v>0.28888888888888892</v>
      </c>
      <c r="G694" s="160" t="s">
        <v>174</v>
      </c>
      <c r="H694" s="160" t="s">
        <v>97</v>
      </c>
      <c r="I694" s="163">
        <v>3.5</v>
      </c>
      <c r="J694" s="164" t="s">
        <v>173</v>
      </c>
      <c r="K694" s="165">
        <v>208</v>
      </c>
      <c r="L694" s="166">
        <f t="shared" si="237"/>
        <v>728</v>
      </c>
      <c r="M694" s="177" t="s">
        <v>733</v>
      </c>
      <c r="N694" s="154" t="s">
        <v>883</v>
      </c>
      <c r="O694" s="154">
        <v>9</v>
      </c>
      <c r="P694" s="154" t="s">
        <v>1969</v>
      </c>
      <c r="Q694" s="154">
        <v>5</v>
      </c>
      <c r="R694" s="154" t="s">
        <v>884</v>
      </c>
      <c r="S694" s="154">
        <v>9</v>
      </c>
      <c r="T694" s="45">
        <v>4037</v>
      </c>
      <c r="U694" s="45" t="s">
        <v>1681</v>
      </c>
      <c r="V694" s="45" t="s">
        <v>1466</v>
      </c>
      <c r="W694" s="45" t="s">
        <v>1467</v>
      </c>
      <c r="X694" s="98">
        <v>44816</v>
      </c>
      <c r="Y694" s="98">
        <v>45086</v>
      </c>
      <c r="Z694" s="98"/>
      <c r="AA694" s="98"/>
      <c r="AB694" s="41" t="s">
        <v>1118</v>
      </c>
      <c r="AC694" s="41"/>
      <c r="AD694" s="42"/>
      <c r="AE694" s="42"/>
      <c r="AF694" s="42"/>
      <c r="AG694" s="42" t="s">
        <v>734</v>
      </c>
      <c r="AH694" s="42" t="s">
        <v>734</v>
      </c>
      <c r="AI694" s="42" t="s">
        <v>734</v>
      </c>
      <c r="AJ694" s="42" t="s">
        <v>734</v>
      </c>
      <c r="AK694" s="42" t="s">
        <v>734</v>
      </c>
      <c r="AL694" s="42" t="s">
        <v>734</v>
      </c>
      <c r="AM694" s="42" t="s">
        <v>734</v>
      </c>
      <c r="AN694" s="42"/>
      <c r="AO694" s="42"/>
      <c r="AP694" s="42"/>
      <c r="AQ694" s="42"/>
      <c r="AR694" s="42"/>
      <c r="AS694" s="42"/>
      <c r="AT694" s="42"/>
      <c r="AU694" s="42"/>
      <c r="AV694" s="42"/>
      <c r="AW694" s="42"/>
      <c r="AX694" s="68">
        <v>10</v>
      </c>
      <c r="BA694" s="68"/>
      <c r="BB694" s="68"/>
      <c r="BC694" s="39">
        <v>6</v>
      </c>
      <c r="BD694" s="67">
        <f t="shared" si="243"/>
        <v>2080</v>
      </c>
      <c r="BE694" s="67"/>
      <c r="BF694" s="37"/>
      <c r="BG694" s="73">
        <v>1</v>
      </c>
      <c r="BH694" s="67">
        <f>IF(AND((AX694/I694)&lt;2,BG694=1),(I694*2)-AX694,0)</f>
        <v>0</v>
      </c>
      <c r="BI694" s="67">
        <f>IF(AND((AX694/I694)&lt;3,BG694=2),(I694*3)-AX694,0)</f>
        <v>0</v>
      </c>
      <c r="BJ694" s="70">
        <f>(BH694+BI694)*K694</f>
        <v>0</v>
      </c>
      <c r="BN694" s="67">
        <f>IF((AX694+AY694+AZ694)&lt;20,(20-(AX694+AY694+AZ694)),0)</f>
        <v>10</v>
      </c>
      <c r="BO694" s="70">
        <f t="shared" ref="BO694:BO757" si="244">BN694*K694</f>
        <v>2080</v>
      </c>
      <c r="BP694" s="37">
        <v>17</v>
      </c>
      <c r="BQ694" s="37">
        <v>25</v>
      </c>
      <c r="BR694" s="37">
        <v>25</v>
      </c>
      <c r="BS694" s="37">
        <v>18</v>
      </c>
      <c r="BT694" s="87">
        <f t="shared" ref="BT694:BT757" si="245">SUM(AX694:AZ694)+SUM(BH694:BI694)+SUM(BK694:BL694)+BN694</f>
        <v>20</v>
      </c>
      <c r="BU694" s="87"/>
      <c r="BV694" s="87"/>
      <c r="BW694" s="87"/>
      <c r="BX694" s="87"/>
      <c r="BY694" s="87"/>
      <c r="BZ694" s="87"/>
      <c r="CA694" s="87"/>
      <c r="CB694" s="87"/>
      <c r="CC694" s="87"/>
      <c r="CD694" s="87"/>
      <c r="CF694" s="67">
        <f t="shared" ref="CF694:CF757" si="246">(BT694*BP694)+(BV694*CD694)</f>
        <v>340</v>
      </c>
      <c r="CG694" s="67">
        <f t="shared" si="231"/>
        <v>500</v>
      </c>
      <c r="CH694" s="67">
        <f t="shared" si="239"/>
        <v>500</v>
      </c>
      <c r="CI694" s="67">
        <f t="shared" si="236"/>
        <v>360</v>
      </c>
      <c r="CJ694" s="37">
        <f t="shared" si="232"/>
        <v>59.5</v>
      </c>
      <c r="CK694" s="37">
        <f t="shared" si="233"/>
        <v>87.5</v>
      </c>
      <c r="CL694" s="37">
        <f t="shared" si="234"/>
        <v>87.5</v>
      </c>
      <c r="CM694" s="37">
        <f t="shared" si="235"/>
        <v>63</v>
      </c>
    </row>
    <row r="695" spans="2:91" ht="25.5">
      <c r="B695" s="156">
        <v>682</v>
      </c>
      <c r="C695" s="160">
        <v>404</v>
      </c>
      <c r="D695" s="160">
        <v>638</v>
      </c>
      <c r="E695" s="161">
        <v>0.54861111111111105</v>
      </c>
      <c r="F695" s="161">
        <v>0.55625000000000002</v>
      </c>
      <c r="G695" s="160" t="s">
        <v>310</v>
      </c>
      <c r="H695" s="160" t="s">
        <v>649</v>
      </c>
      <c r="I695" s="163">
        <v>3.5</v>
      </c>
      <c r="J695" s="164" t="s">
        <v>116</v>
      </c>
      <c r="K695" s="165">
        <v>34</v>
      </c>
      <c r="L695" s="166">
        <f t="shared" si="237"/>
        <v>119</v>
      </c>
      <c r="M695" s="177" t="s">
        <v>733</v>
      </c>
      <c r="N695" s="154" t="s">
        <v>883</v>
      </c>
      <c r="O695" s="154">
        <v>9</v>
      </c>
      <c r="P695" s="154" t="s">
        <v>884</v>
      </c>
      <c r="Q695" s="154">
        <v>9</v>
      </c>
      <c r="R695" s="154" t="s">
        <v>1969</v>
      </c>
      <c r="S695" s="154">
        <v>5</v>
      </c>
      <c r="T695" s="45" t="s">
        <v>1466</v>
      </c>
      <c r="U695" s="45" t="s">
        <v>1467</v>
      </c>
      <c r="V695" s="45">
        <v>4037</v>
      </c>
      <c r="W695" s="45" t="s">
        <v>1681</v>
      </c>
      <c r="X695" s="98">
        <v>44816</v>
      </c>
      <c r="Y695" s="98">
        <v>45086</v>
      </c>
      <c r="Z695" s="98"/>
      <c r="AA695" s="98"/>
      <c r="AB695" s="45" t="s">
        <v>1123</v>
      </c>
      <c r="AC695" s="45"/>
      <c r="AD695" s="42"/>
      <c r="AE695" s="42"/>
      <c r="AF695" s="42"/>
      <c r="AG695" s="42" t="s">
        <v>734</v>
      </c>
      <c r="AH695" s="42"/>
      <c r="AI695" s="42"/>
      <c r="AJ695" s="42"/>
      <c r="AK695" s="42"/>
      <c r="AL695" s="42"/>
      <c r="AM695" s="42" t="s">
        <v>734</v>
      </c>
      <c r="AN695" s="42"/>
      <c r="AO695" s="42"/>
      <c r="AP695" s="42"/>
      <c r="AQ695" s="42"/>
      <c r="AR695" s="42"/>
      <c r="AS695" s="42"/>
      <c r="AT695" s="42"/>
      <c r="AU695" s="42"/>
      <c r="AV695" s="42"/>
      <c r="AW695" s="42"/>
      <c r="AX695" s="68">
        <v>6.3</v>
      </c>
      <c r="BA695" s="68"/>
      <c r="BB695" s="68"/>
      <c r="BC695" s="39">
        <v>7</v>
      </c>
      <c r="BD695" s="67">
        <f t="shared" si="243"/>
        <v>214.2</v>
      </c>
      <c r="BE695" s="67"/>
      <c r="BF695" s="37"/>
      <c r="BG695" s="73">
        <v>1</v>
      </c>
      <c r="BH695" s="71"/>
      <c r="BI695" s="71"/>
      <c r="BJ695" s="71"/>
      <c r="BN695" s="37"/>
      <c r="BO695" s="70">
        <f t="shared" si="244"/>
        <v>0</v>
      </c>
      <c r="BP695" s="37">
        <v>2</v>
      </c>
      <c r="BQ695" s="37">
        <v>5</v>
      </c>
      <c r="BR695" s="37">
        <v>4</v>
      </c>
      <c r="BS695" s="37">
        <v>3</v>
      </c>
      <c r="BT695" s="87">
        <f t="shared" si="245"/>
        <v>6.3</v>
      </c>
      <c r="BU695" s="87"/>
      <c r="BV695" s="87"/>
      <c r="BW695" s="87"/>
      <c r="BX695" s="87"/>
      <c r="BY695" s="87"/>
      <c r="BZ695" s="87"/>
      <c r="CA695" s="87"/>
      <c r="CB695" s="87"/>
      <c r="CC695" s="87"/>
      <c r="CD695" s="87"/>
      <c r="CF695" s="67">
        <f t="shared" si="246"/>
        <v>12.6</v>
      </c>
      <c r="CG695" s="67">
        <f t="shared" si="231"/>
        <v>31.5</v>
      </c>
      <c r="CH695" s="67">
        <f t="shared" si="239"/>
        <v>25.2</v>
      </c>
      <c r="CI695" s="67">
        <f t="shared" si="236"/>
        <v>18.899999999999999</v>
      </c>
      <c r="CJ695" s="37">
        <f t="shared" si="232"/>
        <v>7</v>
      </c>
      <c r="CK695" s="37">
        <f t="shared" si="233"/>
        <v>17.5</v>
      </c>
      <c r="CL695" s="37">
        <f t="shared" si="234"/>
        <v>14</v>
      </c>
      <c r="CM695" s="37">
        <f t="shared" si="235"/>
        <v>10.5</v>
      </c>
    </row>
    <row r="696" spans="2:91" ht="25.5">
      <c r="B696" s="156">
        <v>683</v>
      </c>
      <c r="C696" s="160">
        <v>404</v>
      </c>
      <c r="D696" s="160">
        <v>635</v>
      </c>
      <c r="E696" s="161">
        <v>0.55972222222222223</v>
      </c>
      <c r="F696" s="173">
        <v>0.56736111111111109</v>
      </c>
      <c r="G696" s="160" t="s">
        <v>174</v>
      </c>
      <c r="H696" s="160" t="s">
        <v>649</v>
      </c>
      <c r="I696" s="163">
        <v>4.5</v>
      </c>
      <c r="J696" s="164" t="s">
        <v>116</v>
      </c>
      <c r="K696" s="165">
        <v>34</v>
      </c>
      <c r="L696" s="166">
        <f t="shared" si="237"/>
        <v>153</v>
      </c>
      <c r="M696" s="177" t="s">
        <v>733</v>
      </c>
      <c r="N696" s="154" t="s">
        <v>883</v>
      </c>
      <c r="O696" s="154">
        <v>9</v>
      </c>
      <c r="P696" s="154" t="s">
        <v>884</v>
      </c>
      <c r="Q696" s="154">
        <v>9</v>
      </c>
      <c r="R696" s="154" t="s">
        <v>1969</v>
      </c>
      <c r="S696" s="154">
        <v>5</v>
      </c>
      <c r="T696" s="45">
        <v>4037</v>
      </c>
      <c r="U696" s="45" t="s">
        <v>1681</v>
      </c>
      <c r="V696" s="45" t="s">
        <v>1466</v>
      </c>
      <c r="W696" s="45" t="s">
        <v>1467</v>
      </c>
      <c r="X696" s="98">
        <v>44816</v>
      </c>
      <c r="Y696" s="98">
        <v>45086</v>
      </c>
      <c r="Z696" s="98"/>
      <c r="AA696" s="98"/>
      <c r="AB696" s="45" t="s">
        <v>1123</v>
      </c>
      <c r="AC696" s="45"/>
      <c r="AD696" s="42"/>
      <c r="AE696" s="42"/>
      <c r="AF696" s="42"/>
      <c r="AG696" s="42" t="s">
        <v>734</v>
      </c>
      <c r="AH696" s="42"/>
      <c r="AI696" s="42"/>
      <c r="AJ696" s="42"/>
      <c r="AK696" s="42"/>
      <c r="AL696" s="42"/>
      <c r="AM696" s="42" t="s">
        <v>734</v>
      </c>
      <c r="AN696" s="42"/>
      <c r="AO696" s="42"/>
      <c r="AP696" s="42"/>
      <c r="AQ696" s="42"/>
      <c r="AR696" s="42"/>
      <c r="AS696" s="42"/>
      <c r="AT696" s="42"/>
      <c r="AU696" s="42"/>
      <c r="AV696" s="42"/>
      <c r="AW696" s="42"/>
      <c r="AX696" s="68">
        <v>6.3</v>
      </c>
      <c r="BA696" s="68"/>
      <c r="BB696" s="68"/>
      <c r="BC696" s="39">
        <v>8</v>
      </c>
      <c r="BD696" s="67">
        <f t="shared" si="243"/>
        <v>214.2</v>
      </c>
      <c r="BE696" s="67"/>
      <c r="BF696" s="37"/>
      <c r="BG696" s="73">
        <v>1</v>
      </c>
      <c r="BH696" s="71"/>
      <c r="BI696" s="71"/>
      <c r="BJ696" s="71"/>
      <c r="BN696" s="37"/>
      <c r="BO696" s="70">
        <f t="shared" si="244"/>
        <v>0</v>
      </c>
      <c r="BP696" s="37">
        <v>2</v>
      </c>
      <c r="BQ696" s="37">
        <v>5</v>
      </c>
      <c r="BR696" s="37">
        <v>4</v>
      </c>
      <c r="BS696" s="37">
        <v>3</v>
      </c>
      <c r="BT696" s="87">
        <f t="shared" si="245"/>
        <v>6.3</v>
      </c>
      <c r="BU696" s="87"/>
      <c r="BV696" s="87"/>
      <c r="BW696" s="87"/>
      <c r="BX696" s="87"/>
      <c r="BY696" s="87"/>
      <c r="BZ696" s="87"/>
      <c r="CA696" s="87"/>
      <c r="CB696" s="87"/>
      <c r="CC696" s="87"/>
      <c r="CD696" s="87"/>
      <c r="CF696" s="67">
        <f t="shared" si="246"/>
        <v>12.6</v>
      </c>
      <c r="CG696" s="67">
        <f t="shared" si="231"/>
        <v>31.5</v>
      </c>
      <c r="CH696" s="67">
        <f t="shared" si="239"/>
        <v>25.2</v>
      </c>
      <c r="CI696" s="67">
        <f t="shared" si="236"/>
        <v>18.899999999999999</v>
      </c>
      <c r="CJ696" s="37">
        <f t="shared" si="232"/>
        <v>9</v>
      </c>
      <c r="CK696" s="37">
        <f t="shared" si="233"/>
        <v>22.5</v>
      </c>
      <c r="CL696" s="37">
        <f t="shared" si="234"/>
        <v>18</v>
      </c>
      <c r="CM696" s="37">
        <f t="shared" si="235"/>
        <v>13.5</v>
      </c>
    </row>
    <row r="697" spans="2:91" ht="25.5">
      <c r="B697" s="156">
        <v>684</v>
      </c>
      <c r="C697" s="160">
        <v>404</v>
      </c>
      <c r="D697" s="160">
        <v>640</v>
      </c>
      <c r="E697" s="161">
        <v>0.58680555555555558</v>
      </c>
      <c r="F697" s="161">
        <v>0.59444444444444444</v>
      </c>
      <c r="G697" s="160" t="s">
        <v>310</v>
      </c>
      <c r="H697" s="160" t="s">
        <v>103</v>
      </c>
      <c r="I697" s="163">
        <v>3.5</v>
      </c>
      <c r="J697" s="164" t="s">
        <v>116</v>
      </c>
      <c r="K697" s="165">
        <v>174</v>
      </c>
      <c r="L697" s="166">
        <f t="shared" si="237"/>
        <v>609</v>
      </c>
      <c r="M697" s="177" t="s">
        <v>733</v>
      </c>
      <c r="N697" s="154" t="s">
        <v>883</v>
      </c>
      <c r="O697" s="154">
        <v>9</v>
      </c>
      <c r="P697" s="154" t="s">
        <v>884</v>
      </c>
      <c r="Q697" s="154">
        <v>9</v>
      </c>
      <c r="R697" s="154" t="s">
        <v>1969</v>
      </c>
      <c r="S697" s="154">
        <v>5</v>
      </c>
      <c r="T697" s="45" t="s">
        <v>1466</v>
      </c>
      <c r="U697" s="45" t="s">
        <v>1467</v>
      </c>
      <c r="V697" s="45">
        <v>4037</v>
      </c>
      <c r="W697" s="45" t="s">
        <v>1681</v>
      </c>
      <c r="X697" s="98">
        <v>44816</v>
      </c>
      <c r="Y697" s="98">
        <v>45086</v>
      </c>
      <c r="Z697" s="98"/>
      <c r="AA697" s="98"/>
      <c r="AB697" s="41" t="s">
        <v>1114</v>
      </c>
      <c r="AC697" s="41"/>
      <c r="AD697" s="42"/>
      <c r="AE697" s="42"/>
      <c r="AF697" s="42"/>
      <c r="AG697" s="42" t="s">
        <v>734</v>
      </c>
      <c r="AH697" s="42" t="s">
        <v>734</v>
      </c>
      <c r="AI697" s="42" t="s">
        <v>734</v>
      </c>
      <c r="AJ697" s="42" t="s">
        <v>734</v>
      </c>
      <c r="AK697" s="42" t="s">
        <v>734</v>
      </c>
      <c r="AL697" s="42" t="s">
        <v>734</v>
      </c>
      <c r="AM697" s="42"/>
      <c r="AN697" s="42"/>
      <c r="AO697" s="42"/>
      <c r="AP697" s="42"/>
      <c r="AQ697" s="42"/>
      <c r="AR697" s="42"/>
      <c r="AS697" s="42"/>
      <c r="AT697" s="42"/>
      <c r="AU697" s="42"/>
      <c r="AV697" s="42"/>
      <c r="AW697" s="42"/>
      <c r="AX697" s="68">
        <v>6.3</v>
      </c>
      <c r="BA697" s="68"/>
      <c r="BB697" s="68"/>
      <c r="BC697" s="39">
        <v>9</v>
      </c>
      <c r="BD697" s="67">
        <f t="shared" si="243"/>
        <v>1096.2</v>
      </c>
      <c r="BE697" s="67"/>
      <c r="BF697" s="37"/>
      <c r="BG697" s="73">
        <v>1</v>
      </c>
      <c r="BH697" s="71"/>
      <c r="BI697" s="71"/>
      <c r="BJ697" s="71"/>
      <c r="BN697" s="37"/>
      <c r="BO697" s="70">
        <f t="shared" si="244"/>
        <v>0</v>
      </c>
      <c r="BP697" s="37">
        <v>15</v>
      </c>
      <c r="BQ697" s="37">
        <v>20</v>
      </c>
      <c r="BR697" s="37">
        <v>21</v>
      </c>
      <c r="BS697" s="37">
        <v>15</v>
      </c>
      <c r="BT697" s="87">
        <f t="shared" si="245"/>
        <v>6.3</v>
      </c>
      <c r="BU697" s="87"/>
      <c r="BV697" s="87"/>
      <c r="BW697" s="87"/>
      <c r="BX697" s="87"/>
      <c r="BY697" s="87"/>
      <c r="BZ697" s="87"/>
      <c r="CA697" s="87"/>
      <c r="CB697" s="87"/>
      <c r="CC697" s="87"/>
      <c r="CD697" s="87"/>
      <c r="CF697" s="67">
        <f t="shared" si="246"/>
        <v>94.5</v>
      </c>
      <c r="CG697" s="67">
        <f t="shared" si="231"/>
        <v>126</v>
      </c>
      <c r="CH697" s="67">
        <f t="shared" si="239"/>
        <v>132.29999999999998</v>
      </c>
      <c r="CI697" s="67">
        <f t="shared" si="236"/>
        <v>94.5</v>
      </c>
      <c r="CJ697" s="37">
        <f t="shared" si="232"/>
        <v>52.5</v>
      </c>
      <c r="CK697" s="37">
        <f t="shared" si="233"/>
        <v>70</v>
      </c>
      <c r="CL697" s="37">
        <f t="shared" si="234"/>
        <v>73.5</v>
      </c>
      <c r="CM697" s="37">
        <f t="shared" si="235"/>
        <v>52.5</v>
      </c>
    </row>
    <row r="698" spans="2:91" ht="25.5">
      <c r="B698" s="156">
        <v>685</v>
      </c>
      <c r="C698" s="160">
        <v>404</v>
      </c>
      <c r="D698" s="160">
        <v>637</v>
      </c>
      <c r="E698" s="161">
        <v>0.59444444444444444</v>
      </c>
      <c r="F698" s="161">
        <v>0.6020833333333333</v>
      </c>
      <c r="G698" s="160" t="s">
        <v>174</v>
      </c>
      <c r="H698" s="160" t="s">
        <v>103</v>
      </c>
      <c r="I698" s="163">
        <v>3.5</v>
      </c>
      <c r="J698" s="164" t="s">
        <v>116</v>
      </c>
      <c r="K698" s="165">
        <v>174</v>
      </c>
      <c r="L698" s="166">
        <f t="shared" si="237"/>
        <v>609</v>
      </c>
      <c r="M698" s="177" t="s">
        <v>733</v>
      </c>
      <c r="N698" s="154" t="s">
        <v>883</v>
      </c>
      <c r="O698" s="154">
        <v>9</v>
      </c>
      <c r="P698" s="154" t="s">
        <v>884</v>
      </c>
      <c r="Q698" s="154">
        <v>9</v>
      </c>
      <c r="R698" s="154" t="s">
        <v>1969</v>
      </c>
      <c r="S698" s="154">
        <v>5</v>
      </c>
      <c r="T698" s="45">
        <v>4037</v>
      </c>
      <c r="U698" s="45" t="s">
        <v>1681</v>
      </c>
      <c r="V698" s="45" t="s">
        <v>1466</v>
      </c>
      <c r="W698" s="45" t="s">
        <v>1467</v>
      </c>
      <c r="X698" s="98">
        <v>44816</v>
      </c>
      <c r="Y698" s="98">
        <v>45086</v>
      </c>
      <c r="Z698" s="98"/>
      <c r="AA698" s="98"/>
      <c r="AB698" s="41" t="s">
        <v>1114</v>
      </c>
      <c r="AC698" s="41"/>
      <c r="AD698" s="42"/>
      <c r="AE698" s="42"/>
      <c r="AF698" s="42"/>
      <c r="AG698" s="42" t="s">
        <v>734</v>
      </c>
      <c r="AH698" s="42" t="s">
        <v>734</v>
      </c>
      <c r="AI698" s="42" t="s">
        <v>734</v>
      </c>
      <c r="AJ698" s="42" t="s">
        <v>734</v>
      </c>
      <c r="AK698" s="42" t="s">
        <v>734</v>
      </c>
      <c r="AL698" s="42" t="s">
        <v>734</v>
      </c>
      <c r="AM698" s="42"/>
      <c r="AN698" s="42"/>
      <c r="AO698" s="42"/>
      <c r="AP698" s="42"/>
      <c r="AQ698" s="42"/>
      <c r="AR698" s="42"/>
      <c r="AS698" s="42"/>
      <c r="AT698" s="42"/>
      <c r="AU698" s="42"/>
      <c r="AV698" s="42"/>
      <c r="AW698" s="42"/>
      <c r="AX698" s="68">
        <v>6.3</v>
      </c>
      <c r="BA698" s="68"/>
      <c r="BB698" s="68"/>
      <c r="BC698" s="39">
        <v>10</v>
      </c>
      <c r="BD698" s="67">
        <f t="shared" si="243"/>
        <v>1096.2</v>
      </c>
      <c r="BE698" s="67"/>
      <c r="BF698" s="37"/>
      <c r="BG698" s="73">
        <v>1</v>
      </c>
      <c r="BH698" s="71"/>
      <c r="BI698" s="71"/>
      <c r="BJ698" s="71"/>
      <c r="BN698" s="37"/>
      <c r="BO698" s="70">
        <f t="shared" si="244"/>
        <v>0</v>
      </c>
      <c r="BP698" s="37">
        <v>15</v>
      </c>
      <c r="BQ698" s="37">
        <v>20</v>
      </c>
      <c r="BR698" s="37">
        <v>21</v>
      </c>
      <c r="BS698" s="37">
        <v>15</v>
      </c>
      <c r="BT698" s="87">
        <f t="shared" si="245"/>
        <v>6.3</v>
      </c>
      <c r="BU698" s="87"/>
      <c r="BV698" s="87"/>
      <c r="BW698" s="87"/>
      <c r="BX698" s="87"/>
      <c r="BY698" s="87"/>
      <c r="BZ698" s="87"/>
      <c r="CA698" s="87"/>
      <c r="CB698" s="87"/>
      <c r="CC698" s="87"/>
      <c r="CD698" s="87"/>
      <c r="CF698" s="67">
        <f t="shared" si="246"/>
        <v>94.5</v>
      </c>
      <c r="CG698" s="67">
        <f t="shared" si="231"/>
        <v>126</v>
      </c>
      <c r="CH698" s="67">
        <f t="shared" si="239"/>
        <v>132.29999999999998</v>
      </c>
      <c r="CI698" s="67">
        <f t="shared" si="236"/>
        <v>94.5</v>
      </c>
      <c r="CJ698" s="37">
        <f t="shared" si="232"/>
        <v>52.5</v>
      </c>
      <c r="CK698" s="37">
        <f t="shared" si="233"/>
        <v>70</v>
      </c>
      <c r="CL698" s="37">
        <f t="shared" si="234"/>
        <v>73.5</v>
      </c>
      <c r="CM698" s="37">
        <f t="shared" si="235"/>
        <v>52.5</v>
      </c>
    </row>
    <row r="699" spans="2:91" ht="25.5">
      <c r="B699" s="156">
        <v>686</v>
      </c>
      <c r="C699" s="169">
        <v>406</v>
      </c>
      <c r="D699" s="169">
        <v>27</v>
      </c>
      <c r="E699" s="170">
        <v>0.29166666666666669</v>
      </c>
      <c r="F699" s="170">
        <v>0.32291666666666669</v>
      </c>
      <c r="G699" s="171" t="s">
        <v>85</v>
      </c>
      <c r="H699" s="160" t="s">
        <v>509</v>
      </c>
      <c r="I699" s="169">
        <v>19</v>
      </c>
      <c r="J699" s="172">
        <v>19</v>
      </c>
      <c r="K699" s="165">
        <v>12</v>
      </c>
      <c r="L699" s="166">
        <f t="shared" si="237"/>
        <v>228</v>
      </c>
      <c r="M699" s="177" t="s">
        <v>770</v>
      </c>
      <c r="N699" s="221" t="s">
        <v>897</v>
      </c>
      <c r="O699" s="221">
        <v>33</v>
      </c>
      <c r="P699" s="150" t="s">
        <v>1967</v>
      </c>
      <c r="Q699" s="154">
        <v>34</v>
      </c>
      <c r="T699" s="45">
        <v>4497</v>
      </c>
      <c r="U699" s="45" t="s">
        <v>1682</v>
      </c>
      <c r="V699" s="45">
        <v>4400</v>
      </c>
      <c r="W699" s="45" t="s">
        <v>1679</v>
      </c>
      <c r="X699" s="99">
        <v>44562</v>
      </c>
      <c r="Y699" s="99">
        <v>44815</v>
      </c>
      <c r="Z699" s="99">
        <v>45101</v>
      </c>
      <c r="AA699" s="99">
        <v>45169</v>
      </c>
      <c r="AB699" s="41" t="s">
        <v>1131</v>
      </c>
      <c r="AC699" s="41"/>
      <c r="AD699" s="42"/>
      <c r="AE699" s="42" t="s">
        <v>734</v>
      </c>
      <c r="AF699" s="42" t="s">
        <v>734</v>
      </c>
      <c r="AG699" s="42"/>
      <c r="AH699" s="42"/>
      <c r="AI699" s="42"/>
      <c r="AJ699" s="42"/>
      <c r="AK699" s="42"/>
      <c r="AL699" s="42"/>
      <c r="AM699" s="42" t="s">
        <v>734</v>
      </c>
      <c r="AN699" s="42"/>
      <c r="AO699" s="42"/>
      <c r="AP699" s="42"/>
      <c r="AQ699" s="42"/>
      <c r="AR699" s="42"/>
      <c r="AS699" s="42"/>
      <c r="AT699" s="42"/>
      <c r="AU699" s="42"/>
      <c r="AV699" s="42"/>
      <c r="AW699" s="42"/>
      <c r="BA699" s="38" t="s">
        <v>1010</v>
      </c>
      <c r="BB699" s="39"/>
      <c r="BD699" s="67">
        <f t="shared" si="243"/>
        <v>0</v>
      </c>
      <c r="BF699" s="37"/>
      <c r="BG699" s="73">
        <v>1</v>
      </c>
      <c r="BI699" s="67"/>
      <c r="BJ699" s="37"/>
      <c r="BN699" s="37"/>
      <c r="BO699" s="70">
        <f t="shared" si="244"/>
        <v>0</v>
      </c>
      <c r="BP699" s="37">
        <v>2</v>
      </c>
      <c r="BQ699" s="37">
        <v>0</v>
      </c>
      <c r="BR699" s="37">
        <v>0</v>
      </c>
      <c r="BT699" s="87">
        <f t="shared" si="245"/>
        <v>0</v>
      </c>
      <c r="BU699" s="87" t="s">
        <v>1119</v>
      </c>
      <c r="BV699" s="127">
        <v>9</v>
      </c>
      <c r="BW699" s="127"/>
      <c r="BX699" s="127">
        <v>0</v>
      </c>
      <c r="BY699" s="127"/>
      <c r="BZ699" s="127">
        <v>0</v>
      </c>
      <c r="CA699" s="127"/>
      <c r="CB699" s="127">
        <v>0</v>
      </c>
      <c r="CC699" s="127"/>
      <c r="CD699" s="87">
        <v>165</v>
      </c>
      <c r="CF699" s="67">
        <f t="shared" si="246"/>
        <v>1485</v>
      </c>
      <c r="CG699" s="67">
        <f t="shared" si="231"/>
        <v>0</v>
      </c>
      <c r="CH699" s="67">
        <f t="shared" si="239"/>
        <v>0</v>
      </c>
      <c r="CI699" s="67">
        <f t="shared" si="236"/>
        <v>0</v>
      </c>
      <c r="CJ699" s="37">
        <f t="shared" si="232"/>
        <v>38</v>
      </c>
      <c r="CK699" s="37">
        <f t="shared" si="233"/>
        <v>0</v>
      </c>
      <c r="CL699" s="37">
        <f t="shared" si="234"/>
        <v>0</v>
      </c>
      <c r="CM699" s="37">
        <f t="shared" si="235"/>
        <v>0</v>
      </c>
    </row>
    <row r="700" spans="2:91" ht="25.5">
      <c r="B700" s="156">
        <v>687</v>
      </c>
      <c r="C700" s="169">
        <v>407</v>
      </c>
      <c r="D700" s="169">
        <v>74</v>
      </c>
      <c r="E700" s="170">
        <v>0.72222222222222221</v>
      </c>
      <c r="F700" s="170">
        <v>0.73958333333333337</v>
      </c>
      <c r="G700" s="171" t="s">
        <v>87</v>
      </c>
      <c r="H700" s="160" t="s">
        <v>425</v>
      </c>
      <c r="I700" s="169">
        <v>8</v>
      </c>
      <c r="J700" s="172">
        <v>30</v>
      </c>
      <c r="K700" s="165">
        <v>55</v>
      </c>
      <c r="L700" s="166">
        <f t="shared" si="237"/>
        <v>440</v>
      </c>
      <c r="M700" s="177" t="s">
        <v>770</v>
      </c>
      <c r="N700" s="150" t="s">
        <v>897</v>
      </c>
      <c r="O700" s="150">
        <v>33</v>
      </c>
      <c r="P700" s="150" t="s">
        <v>1967</v>
      </c>
      <c r="Q700" s="154">
        <v>34</v>
      </c>
      <c r="S700" s="150"/>
      <c r="T700" s="45">
        <v>4400</v>
      </c>
      <c r="U700" s="45" t="s">
        <v>1679</v>
      </c>
      <c r="V700" s="45">
        <v>4464</v>
      </c>
      <c r="W700" s="45" t="s">
        <v>1683</v>
      </c>
      <c r="X700" s="99">
        <v>44562</v>
      </c>
      <c r="Y700" s="99">
        <v>44815</v>
      </c>
      <c r="Z700" s="99">
        <v>45101</v>
      </c>
      <c r="AA700" s="99">
        <v>45169</v>
      </c>
      <c r="AB700" s="41" t="s">
        <v>1121</v>
      </c>
      <c r="AC700" s="41"/>
      <c r="AD700" s="42"/>
      <c r="AE700" s="42" t="s">
        <v>734</v>
      </c>
      <c r="AF700" s="42" t="s">
        <v>734</v>
      </c>
      <c r="AG700" s="42"/>
      <c r="AH700" s="42" t="s">
        <v>734</v>
      </c>
      <c r="AI700" s="42" t="s">
        <v>734</v>
      </c>
      <c r="AJ700" s="42" t="s">
        <v>734</v>
      </c>
      <c r="AK700" s="42" t="s">
        <v>734</v>
      </c>
      <c r="AL700" s="42" t="s">
        <v>734</v>
      </c>
      <c r="AM700" s="42"/>
      <c r="AN700" s="42"/>
      <c r="AO700" s="42"/>
      <c r="AP700" s="42"/>
      <c r="AQ700" s="42"/>
      <c r="AR700" s="42"/>
      <c r="AS700" s="42"/>
      <c r="AT700" s="42"/>
      <c r="AU700" s="42"/>
      <c r="AV700" s="42"/>
      <c r="AW700" s="42"/>
      <c r="BA700" s="38" t="s">
        <v>1010</v>
      </c>
      <c r="BB700" s="39"/>
      <c r="BD700" s="67">
        <f t="shared" si="243"/>
        <v>0</v>
      </c>
      <c r="BF700" s="37"/>
      <c r="BG700" s="73">
        <v>1</v>
      </c>
      <c r="BI700" s="67"/>
      <c r="BJ700" s="37"/>
      <c r="BN700" s="37"/>
      <c r="BO700" s="70">
        <f t="shared" si="244"/>
        <v>0</v>
      </c>
      <c r="BP700" s="37">
        <v>7</v>
      </c>
      <c r="BQ700" s="37">
        <v>0</v>
      </c>
      <c r="BR700" s="37">
        <v>0</v>
      </c>
      <c r="BT700" s="87">
        <f t="shared" si="245"/>
        <v>0</v>
      </c>
      <c r="BU700" s="87"/>
      <c r="BV700" s="87"/>
      <c r="BW700" s="87"/>
      <c r="BX700" s="87"/>
      <c r="BY700" s="87"/>
      <c r="BZ700" s="87"/>
      <c r="CA700" s="87"/>
      <c r="CB700" s="87"/>
      <c r="CC700" s="87"/>
      <c r="CD700" s="87"/>
      <c r="CF700" s="67">
        <f t="shared" si="246"/>
        <v>0</v>
      </c>
      <c r="CG700" s="67">
        <f t="shared" ref="CG700:CG763" si="247">(BT700*BQ700)+(BX700*CD700)</f>
        <v>0</v>
      </c>
      <c r="CH700" s="67">
        <f t="shared" si="239"/>
        <v>0</v>
      </c>
      <c r="CI700" s="67">
        <f t="shared" si="236"/>
        <v>0</v>
      </c>
      <c r="CJ700" s="37">
        <f t="shared" si="232"/>
        <v>56</v>
      </c>
      <c r="CK700" s="37">
        <f t="shared" si="233"/>
        <v>0</v>
      </c>
      <c r="CL700" s="37">
        <f t="shared" si="234"/>
        <v>0</v>
      </c>
      <c r="CM700" s="37">
        <f t="shared" si="235"/>
        <v>0</v>
      </c>
    </row>
    <row r="701" spans="2:91" ht="25.5">
      <c r="B701" s="156">
        <v>688</v>
      </c>
      <c r="C701" s="169">
        <v>407</v>
      </c>
      <c r="D701" s="169">
        <v>75</v>
      </c>
      <c r="E701" s="170">
        <v>0.74305555555555547</v>
      </c>
      <c r="F701" s="170">
        <v>0.75694444444444453</v>
      </c>
      <c r="G701" s="171" t="s">
        <v>86</v>
      </c>
      <c r="H701" s="160" t="s">
        <v>425</v>
      </c>
      <c r="I701" s="169">
        <v>8</v>
      </c>
      <c r="J701" s="172">
        <v>30</v>
      </c>
      <c r="K701" s="165">
        <v>55</v>
      </c>
      <c r="L701" s="166">
        <f t="shared" si="237"/>
        <v>440</v>
      </c>
      <c r="M701" s="177" t="s">
        <v>770</v>
      </c>
      <c r="N701" s="154" t="s">
        <v>897</v>
      </c>
      <c r="O701" s="154">
        <v>33</v>
      </c>
      <c r="P701" s="150" t="s">
        <v>1967</v>
      </c>
      <c r="Q701" s="154">
        <v>34</v>
      </c>
      <c r="S701" s="154"/>
      <c r="T701" s="45">
        <v>4464</v>
      </c>
      <c r="U701" s="45" t="s">
        <v>1683</v>
      </c>
      <c r="V701" s="45">
        <v>4400</v>
      </c>
      <c r="W701" s="45" t="s">
        <v>1679</v>
      </c>
      <c r="X701" s="99">
        <v>44562</v>
      </c>
      <c r="Y701" s="99">
        <v>44815</v>
      </c>
      <c r="Z701" s="99">
        <v>45101</v>
      </c>
      <c r="AA701" s="99">
        <v>45169</v>
      </c>
      <c r="AB701" s="41" t="s">
        <v>1121</v>
      </c>
      <c r="AC701" s="41"/>
      <c r="AD701" s="42"/>
      <c r="AE701" s="42" t="s">
        <v>734</v>
      </c>
      <c r="AF701" s="42" t="s">
        <v>734</v>
      </c>
      <c r="AG701" s="42"/>
      <c r="AH701" s="42" t="s">
        <v>734</v>
      </c>
      <c r="AI701" s="42" t="s">
        <v>734</v>
      </c>
      <c r="AJ701" s="42" t="s">
        <v>734</v>
      </c>
      <c r="AK701" s="42" t="s">
        <v>734</v>
      </c>
      <c r="AL701" s="42" t="s">
        <v>734</v>
      </c>
      <c r="AM701" s="42"/>
      <c r="AN701" s="42"/>
      <c r="AO701" s="42"/>
      <c r="AP701" s="42"/>
      <c r="AQ701" s="42"/>
      <c r="AR701" s="42"/>
      <c r="AS701" s="42"/>
      <c r="AT701" s="42"/>
      <c r="AU701" s="42"/>
      <c r="AV701" s="42"/>
      <c r="AW701" s="42"/>
      <c r="BA701" s="38" t="s">
        <v>1010</v>
      </c>
      <c r="BB701" s="39"/>
      <c r="BD701" s="67">
        <f t="shared" si="243"/>
        <v>0</v>
      </c>
      <c r="BF701" s="37"/>
      <c r="BG701" s="73">
        <v>1</v>
      </c>
      <c r="BI701" s="67"/>
      <c r="BJ701" s="37"/>
      <c r="BN701" s="37"/>
      <c r="BO701" s="70">
        <f t="shared" si="244"/>
        <v>0</v>
      </c>
      <c r="BP701" s="37">
        <v>7</v>
      </c>
      <c r="BQ701" s="37">
        <v>0</v>
      </c>
      <c r="BR701" s="37">
        <v>0</v>
      </c>
      <c r="BT701" s="87">
        <f t="shared" si="245"/>
        <v>0</v>
      </c>
      <c r="BU701" s="87"/>
      <c r="BV701" s="87"/>
      <c r="BW701" s="87"/>
      <c r="BX701" s="87"/>
      <c r="BY701" s="87"/>
      <c r="BZ701" s="87"/>
      <c r="CA701" s="87"/>
      <c r="CB701" s="87"/>
      <c r="CC701" s="87"/>
      <c r="CD701" s="87"/>
      <c r="CF701" s="67">
        <f t="shared" si="246"/>
        <v>0</v>
      </c>
      <c r="CG701" s="67">
        <f t="shared" si="247"/>
        <v>0</v>
      </c>
      <c r="CH701" s="67">
        <f t="shared" si="239"/>
        <v>0</v>
      </c>
      <c r="CI701" s="67">
        <f t="shared" si="236"/>
        <v>0</v>
      </c>
      <c r="CJ701" s="37">
        <f t="shared" si="232"/>
        <v>56</v>
      </c>
      <c r="CK701" s="37">
        <f t="shared" si="233"/>
        <v>0</v>
      </c>
      <c r="CL701" s="37">
        <f t="shared" si="234"/>
        <v>0</v>
      </c>
      <c r="CM701" s="37">
        <f t="shared" si="235"/>
        <v>0</v>
      </c>
    </row>
    <row r="702" spans="2:91" ht="25.5">
      <c r="B702" s="156">
        <v>689</v>
      </c>
      <c r="C702" s="169">
        <v>407</v>
      </c>
      <c r="D702" s="169">
        <v>79</v>
      </c>
      <c r="E702" s="170">
        <v>0.79513888888888884</v>
      </c>
      <c r="F702" s="170">
        <v>0.80902777777777779</v>
      </c>
      <c r="G702" s="171" t="s">
        <v>84</v>
      </c>
      <c r="H702" s="160" t="s">
        <v>203</v>
      </c>
      <c r="I702" s="169">
        <v>8</v>
      </c>
      <c r="J702" s="172">
        <v>19</v>
      </c>
      <c r="K702" s="165">
        <v>202</v>
      </c>
      <c r="L702" s="166">
        <f t="shared" si="237"/>
        <v>1616</v>
      </c>
      <c r="M702" s="177" t="s">
        <v>773</v>
      </c>
      <c r="N702" s="150" t="s">
        <v>833</v>
      </c>
      <c r="O702" s="150">
        <v>21</v>
      </c>
      <c r="P702" s="150" t="s">
        <v>1257</v>
      </c>
      <c r="Q702" s="150">
        <v>21</v>
      </c>
      <c r="R702" s="209"/>
      <c r="S702" s="150"/>
      <c r="T702" s="45">
        <v>4400</v>
      </c>
      <c r="U702" s="45" t="s">
        <v>1679</v>
      </c>
      <c r="V702" s="45">
        <v>4464</v>
      </c>
      <c r="W702" s="45" t="s">
        <v>1683</v>
      </c>
      <c r="X702" s="99">
        <v>44816</v>
      </c>
      <c r="Y702" s="99">
        <v>45100</v>
      </c>
      <c r="Z702" s="99"/>
      <c r="AA702" s="99"/>
      <c r="AB702" s="41" t="s">
        <v>1120</v>
      </c>
      <c r="AC702" s="41"/>
      <c r="AD702" s="42" t="s">
        <v>734</v>
      </c>
      <c r="AE702" s="42"/>
      <c r="AF702" s="42" t="s">
        <v>734</v>
      </c>
      <c r="AG702" s="42"/>
      <c r="AH702" s="42" t="s">
        <v>734</v>
      </c>
      <c r="AI702" s="42" t="s">
        <v>734</v>
      </c>
      <c r="AJ702" s="42" t="s">
        <v>734</v>
      </c>
      <c r="AK702" s="42" t="s">
        <v>734</v>
      </c>
      <c r="AL702" s="42" t="s">
        <v>734</v>
      </c>
      <c r="AM702" s="42"/>
      <c r="AN702" s="42"/>
      <c r="AO702" s="42"/>
      <c r="AP702" s="42"/>
      <c r="AQ702" s="42"/>
      <c r="AR702" s="42"/>
      <c r="AS702" s="42"/>
      <c r="AT702" s="42"/>
      <c r="AU702" s="42"/>
      <c r="AV702" s="42"/>
      <c r="AW702" s="42"/>
      <c r="AY702" s="68">
        <f>1.9*8</f>
        <v>15.2</v>
      </c>
      <c r="BD702" s="67">
        <f t="shared" si="243"/>
        <v>0</v>
      </c>
      <c r="BE702" s="67">
        <f>AY702*K702</f>
        <v>3070.3999999999996</v>
      </c>
      <c r="BF702" s="37"/>
      <c r="BG702" s="73">
        <v>1</v>
      </c>
      <c r="BI702" s="67"/>
      <c r="BJ702" s="37"/>
      <c r="BK702" s="67">
        <f>IF(AND((AY702/I702)&lt;2,BG702=1),(I702*2)-AY702,0)</f>
        <v>0.80000000000000071</v>
      </c>
      <c r="BL702" s="67">
        <f>IF(AND((AY702/I702)&lt;3,BG702=2),(I702*3)-AY702,0)</f>
        <v>0</v>
      </c>
      <c r="BM702" s="83">
        <f>(BK702+BL702)*K702</f>
        <v>161.60000000000014</v>
      </c>
      <c r="BN702" s="37"/>
      <c r="BO702" s="70">
        <f t="shared" si="244"/>
        <v>0</v>
      </c>
      <c r="BP702" s="37">
        <v>15</v>
      </c>
      <c r="BQ702" s="37">
        <v>21</v>
      </c>
      <c r="BR702" s="37">
        <v>21</v>
      </c>
      <c r="BS702" s="37">
        <v>20</v>
      </c>
      <c r="BT702" s="87">
        <f t="shared" si="245"/>
        <v>16</v>
      </c>
      <c r="BU702" s="87"/>
      <c r="BV702" s="87"/>
      <c r="BW702" s="87"/>
      <c r="BX702" s="87"/>
      <c r="BY702" s="87"/>
      <c r="BZ702" s="87"/>
      <c r="CA702" s="87"/>
      <c r="CB702" s="87"/>
      <c r="CC702" s="87"/>
      <c r="CD702" s="87"/>
      <c r="CF702" s="67">
        <f t="shared" si="246"/>
        <v>240</v>
      </c>
      <c r="CG702" s="67">
        <f t="shared" si="247"/>
        <v>336</v>
      </c>
      <c r="CH702" s="67">
        <f t="shared" si="239"/>
        <v>336</v>
      </c>
      <c r="CI702" s="67">
        <f t="shared" si="236"/>
        <v>320</v>
      </c>
      <c r="CJ702" s="37">
        <f t="shared" si="232"/>
        <v>120</v>
      </c>
      <c r="CK702" s="37">
        <f t="shared" si="233"/>
        <v>168</v>
      </c>
      <c r="CL702" s="37">
        <f t="shared" si="234"/>
        <v>168</v>
      </c>
      <c r="CM702" s="37">
        <f t="shared" si="235"/>
        <v>160</v>
      </c>
    </row>
    <row r="703" spans="2:91" ht="25.5">
      <c r="B703" s="156">
        <v>690</v>
      </c>
      <c r="C703" s="169">
        <v>408</v>
      </c>
      <c r="D703" s="169">
        <v>36</v>
      </c>
      <c r="E703" s="170">
        <v>0.30902777777777779</v>
      </c>
      <c r="F703" s="170">
        <v>0.31319444444444444</v>
      </c>
      <c r="G703" s="171" t="s">
        <v>81</v>
      </c>
      <c r="H703" s="160" t="s">
        <v>97</v>
      </c>
      <c r="I703" s="169">
        <v>3</v>
      </c>
      <c r="J703" s="172">
        <v>40</v>
      </c>
      <c r="K703" s="165">
        <v>208</v>
      </c>
      <c r="L703" s="166">
        <f t="shared" si="237"/>
        <v>624</v>
      </c>
      <c r="M703" s="177" t="s">
        <v>771</v>
      </c>
      <c r="N703" s="154" t="s">
        <v>898</v>
      </c>
      <c r="O703" s="154">
        <v>61</v>
      </c>
      <c r="P703" s="154" t="s">
        <v>1947</v>
      </c>
      <c r="Q703" s="154">
        <v>62</v>
      </c>
      <c r="R703" s="221" t="s">
        <v>897</v>
      </c>
      <c r="S703" s="221">
        <v>33</v>
      </c>
      <c r="T703" s="45">
        <v>4400</v>
      </c>
      <c r="U703" s="45" t="s">
        <v>1679</v>
      </c>
      <c r="V703" s="45">
        <v>4410</v>
      </c>
      <c r="W703" s="45" t="s">
        <v>1684</v>
      </c>
      <c r="X703" s="98">
        <v>44816</v>
      </c>
      <c r="Y703" s="98">
        <v>45086</v>
      </c>
      <c r="Z703" s="98"/>
      <c r="AA703" s="98"/>
      <c r="AB703" s="41" t="s">
        <v>1118</v>
      </c>
      <c r="AC703" s="41"/>
      <c r="AD703" s="42"/>
      <c r="AE703" s="42"/>
      <c r="AF703" s="42"/>
      <c r="AG703" s="42" t="s">
        <v>734</v>
      </c>
      <c r="AH703" s="42" t="s">
        <v>734</v>
      </c>
      <c r="AI703" s="42" t="s">
        <v>734</v>
      </c>
      <c r="AJ703" s="42" t="s">
        <v>734</v>
      </c>
      <c r="AK703" s="42" t="s">
        <v>734</v>
      </c>
      <c r="AL703" s="42" t="s">
        <v>734</v>
      </c>
      <c r="AM703" s="42" t="s">
        <v>734</v>
      </c>
      <c r="AN703" s="42"/>
      <c r="AO703" s="42"/>
      <c r="AP703" s="42"/>
      <c r="AQ703" s="42"/>
      <c r="AR703" s="42"/>
      <c r="AS703" s="42"/>
      <c r="AT703" s="42"/>
      <c r="AU703" s="42"/>
      <c r="AV703" s="42"/>
      <c r="AW703" s="42"/>
      <c r="BA703" s="38" t="s">
        <v>1009</v>
      </c>
      <c r="BB703" s="39"/>
      <c r="BD703" s="67">
        <f t="shared" si="243"/>
        <v>0</v>
      </c>
      <c r="BF703" s="37"/>
      <c r="BG703" s="69">
        <v>2</v>
      </c>
      <c r="BI703" s="67"/>
      <c r="BJ703" s="37"/>
      <c r="BN703" s="37"/>
      <c r="BO703" s="70">
        <f t="shared" si="244"/>
        <v>0</v>
      </c>
      <c r="BP703" s="37">
        <v>17</v>
      </c>
      <c r="BQ703" s="37">
        <v>25</v>
      </c>
      <c r="BR703" s="37">
        <v>25</v>
      </c>
      <c r="BS703" s="37">
        <v>18</v>
      </c>
      <c r="BT703" s="87">
        <f t="shared" si="245"/>
        <v>0</v>
      </c>
      <c r="BU703" s="87"/>
      <c r="BV703" s="87"/>
      <c r="BW703" s="87"/>
      <c r="BX703" s="87"/>
      <c r="BY703" s="87"/>
      <c r="BZ703" s="87"/>
      <c r="CA703" s="87"/>
      <c r="CB703" s="87"/>
      <c r="CC703" s="87"/>
      <c r="CD703" s="87"/>
      <c r="CF703" s="67">
        <f t="shared" si="246"/>
        <v>0</v>
      </c>
      <c r="CG703" s="67">
        <f t="shared" si="247"/>
        <v>0</v>
      </c>
      <c r="CH703" s="67">
        <f t="shared" si="239"/>
        <v>0</v>
      </c>
      <c r="CI703" s="67">
        <f t="shared" si="236"/>
        <v>0</v>
      </c>
      <c r="CJ703" s="37">
        <f t="shared" si="232"/>
        <v>51</v>
      </c>
      <c r="CK703" s="37">
        <f t="shared" si="233"/>
        <v>75</v>
      </c>
      <c r="CL703" s="37">
        <f t="shared" si="234"/>
        <v>75</v>
      </c>
      <c r="CM703" s="37">
        <f t="shared" si="235"/>
        <v>54</v>
      </c>
    </row>
    <row r="704" spans="2:91" ht="25.5">
      <c r="B704" s="156">
        <v>691</v>
      </c>
      <c r="C704" s="169">
        <v>408</v>
      </c>
      <c r="D704" s="169">
        <v>36</v>
      </c>
      <c r="E704" s="170">
        <v>0.30902777777777779</v>
      </c>
      <c r="F704" s="170">
        <v>0.31319444444444444</v>
      </c>
      <c r="G704" s="171" t="s">
        <v>81</v>
      </c>
      <c r="H704" s="160" t="s">
        <v>39</v>
      </c>
      <c r="I704" s="169">
        <v>3</v>
      </c>
      <c r="J704" s="172">
        <v>19</v>
      </c>
      <c r="K704" s="165">
        <v>29</v>
      </c>
      <c r="L704" s="166">
        <f t="shared" si="237"/>
        <v>87</v>
      </c>
      <c r="M704" s="177" t="s">
        <v>771</v>
      </c>
      <c r="N704" s="154" t="s">
        <v>898</v>
      </c>
      <c r="O704" s="154">
        <v>61</v>
      </c>
      <c r="P704" s="154" t="s">
        <v>1947</v>
      </c>
      <c r="Q704" s="154">
        <v>62</v>
      </c>
      <c r="R704" s="221" t="s">
        <v>897</v>
      </c>
      <c r="S704" s="221">
        <v>33</v>
      </c>
      <c r="T704" s="45">
        <v>4400</v>
      </c>
      <c r="U704" s="45" t="s">
        <v>1679</v>
      </c>
      <c r="V704" s="45">
        <v>4410</v>
      </c>
      <c r="W704" s="45" t="s">
        <v>1684</v>
      </c>
      <c r="X704" s="99">
        <v>44816</v>
      </c>
      <c r="Y704" s="99">
        <v>45100</v>
      </c>
      <c r="Z704" s="99"/>
      <c r="AA704" s="99"/>
      <c r="AB704" s="41" t="s">
        <v>1122</v>
      </c>
      <c r="AC704" s="41"/>
      <c r="AD704" s="42" t="s">
        <v>734</v>
      </c>
      <c r="AE704" s="42"/>
      <c r="AF704" s="42" t="s">
        <v>734</v>
      </c>
      <c r="AG704" s="42"/>
      <c r="AH704" s="42"/>
      <c r="AI704" s="42"/>
      <c r="AJ704" s="42"/>
      <c r="AK704" s="42"/>
      <c r="AL704" s="42"/>
      <c r="AM704" s="42"/>
      <c r="AN704" s="42"/>
      <c r="AO704" s="42"/>
      <c r="AP704" s="42"/>
      <c r="AQ704" s="42"/>
      <c r="AR704" s="42" t="s">
        <v>734</v>
      </c>
      <c r="AS704" s="42" t="s">
        <v>734</v>
      </c>
      <c r="AT704" s="42" t="s">
        <v>734</v>
      </c>
      <c r="AU704" s="42" t="s">
        <v>734</v>
      </c>
      <c r="AV704" s="42" t="s">
        <v>734</v>
      </c>
      <c r="AW704" s="42" t="s">
        <v>734</v>
      </c>
      <c r="BA704" s="38" t="s">
        <v>1187</v>
      </c>
      <c r="BB704" s="39"/>
      <c r="BD704" s="67">
        <f t="shared" si="243"/>
        <v>0</v>
      </c>
      <c r="BF704" s="37"/>
      <c r="BG704" s="73">
        <v>1</v>
      </c>
      <c r="BI704" s="67"/>
      <c r="BJ704" s="37"/>
      <c r="BN704" s="37"/>
      <c r="BO704" s="70">
        <f t="shared" si="244"/>
        <v>0</v>
      </c>
      <c r="BP704" s="37">
        <v>0</v>
      </c>
      <c r="BQ704" s="37">
        <v>1</v>
      </c>
      <c r="BR704" s="37">
        <v>0</v>
      </c>
      <c r="BS704" s="37">
        <v>7</v>
      </c>
      <c r="BT704" s="87">
        <f t="shared" si="245"/>
        <v>0</v>
      </c>
      <c r="BU704" s="87"/>
      <c r="BV704" s="87"/>
      <c r="BW704" s="87"/>
      <c r="BX704" s="87"/>
      <c r="BY704" s="87"/>
      <c r="BZ704" s="87"/>
      <c r="CA704" s="87"/>
      <c r="CB704" s="87"/>
      <c r="CC704" s="87"/>
      <c r="CD704" s="87"/>
      <c r="CF704" s="67">
        <f t="shared" si="246"/>
        <v>0</v>
      </c>
      <c r="CG704" s="67">
        <f t="shared" si="247"/>
        <v>0</v>
      </c>
      <c r="CH704" s="67">
        <f t="shared" si="239"/>
        <v>0</v>
      </c>
      <c r="CI704" s="67">
        <f t="shared" si="236"/>
        <v>0</v>
      </c>
      <c r="CJ704" s="37">
        <f t="shared" si="232"/>
        <v>0</v>
      </c>
      <c r="CK704" s="37">
        <f t="shared" si="233"/>
        <v>3</v>
      </c>
      <c r="CL704" s="37">
        <f t="shared" si="234"/>
        <v>0</v>
      </c>
      <c r="CM704" s="37">
        <f t="shared" si="235"/>
        <v>21</v>
      </c>
    </row>
    <row r="705" spans="1:91" ht="25.5">
      <c r="B705" s="156">
        <v>692</v>
      </c>
      <c r="C705" s="169">
        <v>408</v>
      </c>
      <c r="D705" s="169">
        <v>41</v>
      </c>
      <c r="E705" s="170">
        <v>0.31388888888888888</v>
      </c>
      <c r="F705" s="176">
        <v>0.31805555555555554</v>
      </c>
      <c r="G705" s="171" t="s">
        <v>80</v>
      </c>
      <c r="H705" s="160" t="s">
        <v>97</v>
      </c>
      <c r="I705" s="169">
        <v>3</v>
      </c>
      <c r="J705" s="172">
        <v>40</v>
      </c>
      <c r="K705" s="165">
        <v>208</v>
      </c>
      <c r="L705" s="166">
        <f t="shared" si="237"/>
        <v>624</v>
      </c>
      <c r="M705" s="177" t="s">
        <v>771</v>
      </c>
      <c r="N705" s="154" t="s">
        <v>898</v>
      </c>
      <c r="O705" s="154">
        <v>61</v>
      </c>
      <c r="P705" s="154" t="s">
        <v>1947</v>
      </c>
      <c r="Q705" s="154">
        <v>62</v>
      </c>
      <c r="R705" s="221" t="s">
        <v>897</v>
      </c>
      <c r="S705" s="221">
        <v>33</v>
      </c>
      <c r="T705" s="45">
        <v>4410</v>
      </c>
      <c r="U705" s="45" t="s">
        <v>1684</v>
      </c>
      <c r="V705" s="45">
        <v>4400</v>
      </c>
      <c r="W705" s="45" t="s">
        <v>1679</v>
      </c>
      <c r="X705" s="98">
        <v>44816</v>
      </c>
      <c r="Y705" s="98">
        <v>45086</v>
      </c>
      <c r="Z705" s="98"/>
      <c r="AA705" s="98"/>
      <c r="AB705" s="41" t="s">
        <v>1118</v>
      </c>
      <c r="AC705" s="41"/>
      <c r="AD705" s="42"/>
      <c r="AE705" s="42"/>
      <c r="AF705" s="42"/>
      <c r="AG705" s="42" t="s">
        <v>734</v>
      </c>
      <c r="AH705" s="42" t="s">
        <v>734</v>
      </c>
      <c r="AI705" s="42" t="s">
        <v>734</v>
      </c>
      <c r="AJ705" s="42" t="s">
        <v>734</v>
      </c>
      <c r="AK705" s="42" t="s">
        <v>734</v>
      </c>
      <c r="AL705" s="42" t="s">
        <v>734</v>
      </c>
      <c r="AM705" s="42" t="s">
        <v>734</v>
      </c>
      <c r="AN705" s="42"/>
      <c r="AO705" s="42"/>
      <c r="AP705" s="42"/>
      <c r="AQ705" s="42"/>
      <c r="AR705" s="42"/>
      <c r="AS705" s="42"/>
      <c r="AT705" s="42"/>
      <c r="AU705" s="42"/>
      <c r="AV705" s="42"/>
      <c r="AW705" s="42"/>
      <c r="BA705" s="38" t="s">
        <v>1009</v>
      </c>
      <c r="BB705" s="39"/>
      <c r="BD705" s="67">
        <f t="shared" si="243"/>
        <v>0</v>
      </c>
      <c r="BF705" s="37"/>
      <c r="BG705" s="69">
        <v>2</v>
      </c>
      <c r="BI705" s="67"/>
      <c r="BJ705" s="37"/>
      <c r="BN705" s="37"/>
      <c r="BO705" s="70">
        <f t="shared" si="244"/>
        <v>0</v>
      </c>
      <c r="BP705" s="37">
        <v>17</v>
      </c>
      <c r="BQ705" s="37">
        <v>25</v>
      </c>
      <c r="BR705" s="37">
        <v>25</v>
      </c>
      <c r="BS705" s="37">
        <v>18</v>
      </c>
      <c r="BT705" s="87">
        <f t="shared" si="245"/>
        <v>0</v>
      </c>
      <c r="BU705" s="87"/>
      <c r="BV705" s="87"/>
      <c r="BW705" s="87"/>
      <c r="BX705" s="87"/>
      <c r="BY705" s="87"/>
      <c r="BZ705" s="87"/>
      <c r="CA705" s="87"/>
      <c r="CB705" s="87"/>
      <c r="CC705" s="87"/>
      <c r="CD705" s="87"/>
      <c r="CF705" s="67">
        <f t="shared" si="246"/>
        <v>0</v>
      </c>
      <c r="CG705" s="67">
        <f t="shared" si="247"/>
        <v>0</v>
      </c>
      <c r="CH705" s="67">
        <f t="shared" si="239"/>
        <v>0</v>
      </c>
      <c r="CI705" s="67">
        <f t="shared" si="236"/>
        <v>0</v>
      </c>
      <c r="CJ705" s="37">
        <f t="shared" si="232"/>
        <v>51</v>
      </c>
      <c r="CK705" s="37">
        <f t="shared" si="233"/>
        <v>75</v>
      </c>
      <c r="CL705" s="37">
        <f t="shared" si="234"/>
        <v>75</v>
      </c>
      <c r="CM705" s="37">
        <f t="shared" si="235"/>
        <v>54</v>
      </c>
    </row>
    <row r="706" spans="1:91" ht="25.5">
      <c r="B706" s="156">
        <v>693</v>
      </c>
      <c r="C706" s="169">
        <v>408</v>
      </c>
      <c r="D706" s="169">
        <v>41</v>
      </c>
      <c r="E706" s="170">
        <v>0.31388888888888888</v>
      </c>
      <c r="F706" s="176">
        <v>0.31805555555555554</v>
      </c>
      <c r="G706" s="171" t="s">
        <v>80</v>
      </c>
      <c r="H706" s="160" t="s">
        <v>39</v>
      </c>
      <c r="I706" s="169">
        <v>3</v>
      </c>
      <c r="J706" s="172">
        <v>19</v>
      </c>
      <c r="K706" s="165">
        <v>29</v>
      </c>
      <c r="L706" s="166">
        <f t="shared" si="237"/>
        <v>87</v>
      </c>
      <c r="M706" s="177" t="s">
        <v>771</v>
      </c>
      <c r="N706" s="154" t="s">
        <v>898</v>
      </c>
      <c r="O706" s="154">
        <v>61</v>
      </c>
      <c r="P706" s="154" t="s">
        <v>1947</v>
      </c>
      <c r="Q706" s="154">
        <v>62</v>
      </c>
      <c r="R706" s="221" t="s">
        <v>897</v>
      </c>
      <c r="S706" s="221">
        <v>33</v>
      </c>
      <c r="T706" s="45">
        <v>4410</v>
      </c>
      <c r="U706" s="45" t="s">
        <v>1684</v>
      </c>
      <c r="V706" s="45">
        <v>4400</v>
      </c>
      <c r="W706" s="45" t="s">
        <v>1679</v>
      </c>
      <c r="X706" s="99">
        <v>44816</v>
      </c>
      <c r="Y706" s="99">
        <v>45100</v>
      </c>
      <c r="Z706" s="99"/>
      <c r="AA706" s="99"/>
      <c r="AB706" s="41" t="s">
        <v>1122</v>
      </c>
      <c r="AC706" s="41"/>
      <c r="AD706" s="42" t="s">
        <v>734</v>
      </c>
      <c r="AE706" s="42"/>
      <c r="AF706" s="42" t="s">
        <v>734</v>
      </c>
      <c r="AG706" s="42"/>
      <c r="AH706" s="42"/>
      <c r="AI706" s="42"/>
      <c r="AJ706" s="42"/>
      <c r="AK706" s="42"/>
      <c r="AL706" s="42"/>
      <c r="AM706" s="42"/>
      <c r="AN706" s="42"/>
      <c r="AO706" s="42"/>
      <c r="AP706" s="42"/>
      <c r="AQ706" s="42"/>
      <c r="AR706" s="42" t="s">
        <v>734</v>
      </c>
      <c r="AS706" s="42" t="s">
        <v>734</v>
      </c>
      <c r="AT706" s="42" t="s">
        <v>734</v>
      </c>
      <c r="AU706" s="42" t="s">
        <v>734</v>
      </c>
      <c r="AV706" s="42" t="s">
        <v>734</v>
      </c>
      <c r="AW706" s="42" t="s">
        <v>734</v>
      </c>
      <c r="BA706" s="38" t="s">
        <v>1187</v>
      </c>
      <c r="BB706" s="39"/>
      <c r="BD706" s="67">
        <f t="shared" si="243"/>
        <v>0</v>
      </c>
      <c r="BF706" s="37"/>
      <c r="BG706" s="73">
        <v>1</v>
      </c>
      <c r="BI706" s="67"/>
      <c r="BJ706" s="37"/>
      <c r="BN706" s="37"/>
      <c r="BO706" s="70">
        <f t="shared" si="244"/>
        <v>0</v>
      </c>
      <c r="BP706" s="37">
        <v>0</v>
      </c>
      <c r="BQ706" s="37">
        <v>1</v>
      </c>
      <c r="BR706" s="37">
        <v>0</v>
      </c>
      <c r="BS706" s="37">
        <v>7</v>
      </c>
      <c r="BT706" s="87">
        <f t="shared" si="245"/>
        <v>0</v>
      </c>
      <c r="BU706" s="87"/>
      <c r="BV706" s="87"/>
      <c r="BW706" s="87"/>
      <c r="BX706" s="87"/>
      <c r="BY706" s="87"/>
      <c r="BZ706" s="87"/>
      <c r="CA706" s="87"/>
      <c r="CB706" s="87"/>
      <c r="CC706" s="87"/>
      <c r="CD706" s="87"/>
      <c r="CF706" s="67">
        <f t="shared" si="246"/>
        <v>0</v>
      </c>
      <c r="CG706" s="67">
        <f t="shared" si="247"/>
        <v>0</v>
      </c>
      <c r="CH706" s="67">
        <f t="shared" si="239"/>
        <v>0</v>
      </c>
      <c r="CI706" s="67">
        <f t="shared" si="236"/>
        <v>0</v>
      </c>
      <c r="CJ706" s="37">
        <f t="shared" si="232"/>
        <v>0</v>
      </c>
      <c r="CK706" s="37">
        <f t="shared" si="233"/>
        <v>3</v>
      </c>
      <c r="CL706" s="37">
        <f t="shared" si="234"/>
        <v>0</v>
      </c>
      <c r="CM706" s="37">
        <f t="shared" si="235"/>
        <v>21</v>
      </c>
    </row>
    <row r="707" spans="1:91" ht="25.5">
      <c r="B707" s="156">
        <v>694</v>
      </c>
      <c r="C707" s="160">
        <v>409</v>
      </c>
      <c r="D707" s="160">
        <v>613</v>
      </c>
      <c r="E707" s="161">
        <v>0.3888888888888889</v>
      </c>
      <c r="F707" s="161">
        <v>0.41666666666666669</v>
      </c>
      <c r="G707" s="160" t="s">
        <v>340</v>
      </c>
      <c r="H707" s="160" t="s">
        <v>108</v>
      </c>
      <c r="I707" s="163">
        <v>20</v>
      </c>
      <c r="J707" s="164" t="s">
        <v>146</v>
      </c>
      <c r="K707" s="165">
        <v>52</v>
      </c>
      <c r="L707" s="166">
        <f t="shared" si="237"/>
        <v>1040</v>
      </c>
      <c r="M707" s="177" t="s">
        <v>747</v>
      </c>
      <c r="N707" s="154" t="s">
        <v>855</v>
      </c>
      <c r="O707" s="154">
        <v>17</v>
      </c>
      <c r="P707" s="154" t="s">
        <v>854</v>
      </c>
      <c r="Q707" s="154">
        <v>21</v>
      </c>
      <c r="R707" s="154"/>
      <c r="S707" s="154"/>
      <c r="T707" s="45">
        <v>4442</v>
      </c>
      <c r="U707" s="45" t="s">
        <v>1685</v>
      </c>
      <c r="V707" s="45" t="s">
        <v>1677</v>
      </c>
      <c r="W707" s="45" t="s">
        <v>1678</v>
      </c>
      <c r="X707" s="98">
        <v>44805</v>
      </c>
      <c r="Y707" s="98">
        <v>45169</v>
      </c>
      <c r="Z707" s="98"/>
      <c r="AA707" s="98"/>
      <c r="AB707" s="42" t="s">
        <v>1138</v>
      </c>
      <c r="AC707" s="42"/>
      <c r="AD707" s="42" t="s">
        <v>734</v>
      </c>
      <c r="AE707" s="42" t="s">
        <v>734</v>
      </c>
      <c r="AF707" s="42" t="s">
        <v>734</v>
      </c>
      <c r="AG707" s="42"/>
      <c r="AH707" s="42"/>
      <c r="AI707" s="42"/>
      <c r="AJ707" s="42" t="s">
        <v>734</v>
      </c>
      <c r="AK707" s="42"/>
      <c r="AL707" s="42"/>
      <c r="AM707" s="42"/>
      <c r="AN707" s="42"/>
      <c r="AO707" s="42"/>
      <c r="AP707" s="42"/>
      <c r="AQ707" s="42"/>
      <c r="AR707" s="42"/>
      <c r="AS707" s="42"/>
      <c r="AT707" s="42"/>
      <c r="AU707" s="42"/>
      <c r="AV707" s="42"/>
      <c r="AW707" s="42"/>
      <c r="AX707" s="68">
        <v>69.95</v>
      </c>
      <c r="BA707" s="68"/>
      <c r="BB707" s="68"/>
      <c r="BD707" s="67">
        <f t="shared" si="243"/>
        <v>3637.4</v>
      </c>
      <c r="BE707" s="67"/>
      <c r="BF707" s="37"/>
      <c r="BG707" s="73">
        <v>1</v>
      </c>
      <c r="BH707" s="67">
        <f>IF(AND((AX707/I707)&lt;2,BG707=1),(I707*2)-AX707,0)</f>
        <v>0</v>
      </c>
      <c r="BI707" s="67">
        <f>IF(AND((AX707/I707)&lt;3,BG707=2),(I707*3)-AX707,0)</f>
        <v>0</v>
      </c>
      <c r="BJ707" s="70">
        <f>(BH707+BI707)*K707</f>
        <v>0</v>
      </c>
      <c r="BN707" s="37"/>
      <c r="BO707" s="70">
        <f t="shared" si="244"/>
        <v>0</v>
      </c>
      <c r="BP707" s="37">
        <v>4</v>
      </c>
      <c r="BQ707" s="37">
        <v>4</v>
      </c>
      <c r="BR707" s="37">
        <v>5</v>
      </c>
      <c r="BS707" s="37">
        <v>4</v>
      </c>
      <c r="BT707" s="87">
        <f t="shared" si="245"/>
        <v>69.95</v>
      </c>
      <c r="BU707" s="87"/>
      <c r="BV707" s="87"/>
      <c r="BW707" s="87"/>
      <c r="BX707" s="87"/>
      <c r="BY707" s="87"/>
      <c r="BZ707" s="87"/>
      <c r="CA707" s="87"/>
      <c r="CB707" s="87"/>
      <c r="CC707" s="87"/>
      <c r="CD707" s="87"/>
      <c r="CF707" s="67">
        <f t="shared" si="246"/>
        <v>279.8</v>
      </c>
      <c r="CG707" s="67">
        <f t="shared" si="247"/>
        <v>279.8</v>
      </c>
      <c r="CH707" s="67">
        <f t="shared" si="239"/>
        <v>349.75</v>
      </c>
      <c r="CI707" s="67">
        <f t="shared" si="236"/>
        <v>279.8</v>
      </c>
      <c r="CJ707" s="37">
        <f t="shared" ref="CJ707:CJ770" si="248">BP707*I707</f>
        <v>80</v>
      </c>
      <c r="CK707" s="37">
        <f t="shared" ref="CK707:CK770" si="249">BQ707*I707</f>
        <v>80</v>
      </c>
      <c r="CL707" s="37">
        <f t="shared" ref="CL707:CL770" si="250">BR707*I707</f>
        <v>100</v>
      </c>
      <c r="CM707" s="37">
        <f t="shared" ref="CM707:CM770" si="251">BS707*I707</f>
        <v>80</v>
      </c>
    </row>
    <row r="708" spans="1:91" ht="25.5">
      <c r="B708" s="156">
        <v>695</v>
      </c>
      <c r="C708" s="160">
        <v>409</v>
      </c>
      <c r="D708" s="160">
        <v>612</v>
      </c>
      <c r="E708" s="161">
        <v>0.46875</v>
      </c>
      <c r="F708" s="161">
        <v>0.49652777777777773</v>
      </c>
      <c r="G708" s="160" t="s">
        <v>339</v>
      </c>
      <c r="H708" s="160" t="s">
        <v>108</v>
      </c>
      <c r="I708" s="163">
        <v>20</v>
      </c>
      <c r="J708" s="164" t="s">
        <v>146</v>
      </c>
      <c r="K708" s="165">
        <v>52</v>
      </c>
      <c r="L708" s="166">
        <f t="shared" si="237"/>
        <v>1040</v>
      </c>
      <c r="M708" s="177" t="s">
        <v>747</v>
      </c>
      <c r="N708" s="154" t="s">
        <v>855</v>
      </c>
      <c r="O708" s="154">
        <v>17</v>
      </c>
      <c r="P708" s="154" t="s">
        <v>854</v>
      </c>
      <c r="Q708" s="154">
        <v>21</v>
      </c>
      <c r="R708" s="154"/>
      <c r="S708" s="154"/>
      <c r="T708" s="45" t="s">
        <v>1677</v>
      </c>
      <c r="U708" s="45" t="s">
        <v>1678</v>
      </c>
      <c r="V708" s="45">
        <v>4442</v>
      </c>
      <c r="W708" s="45" t="s">
        <v>1685</v>
      </c>
      <c r="X708" s="98">
        <v>44805</v>
      </c>
      <c r="Y708" s="98">
        <v>45169</v>
      </c>
      <c r="Z708" s="98"/>
      <c r="AA708" s="98"/>
      <c r="AB708" s="42" t="s">
        <v>1138</v>
      </c>
      <c r="AC708" s="42"/>
      <c r="AD708" s="42" t="s">
        <v>734</v>
      </c>
      <c r="AE708" s="42" t="s">
        <v>734</v>
      </c>
      <c r="AF708" s="42" t="s">
        <v>734</v>
      </c>
      <c r="AG708" s="42"/>
      <c r="AH708" s="42"/>
      <c r="AI708" s="42"/>
      <c r="AJ708" s="42" t="s">
        <v>734</v>
      </c>
      <c r="AK708" s="42"/>
      <c r="AL708" s="42"/>
      <c r="AM708" s="42"/>
      <c r="AN708" s="42"/>
      <c r="AO708" s="42"/>
      <c r="AP708" s="42"/>
      <c r="AQ708" s="42"/>
      <c r="AR708" s="42"/>
      <c r="AS708" s="42"/>
      <c r="AT708" s="42"/>
      <c r="AU708" s="42"/>
      <c r="AV708" s="42"/>
      <c r="AW708" s="42"/>
      <c r="AX708" s="68">
        <v>69.95</v>
      </c>
      <c r="BA708" s="68"/>
      <c r="BB708" s="68"/>
      <c r="BD708" s="67">
        <f t="shared" si="243"/>
        <v>3637.4</v>
      </c>
      <c r="BE708" s="67"/>
      <c r="BF708" s="37"/>
      <c r="BG708" s="73">
        <v>1</v>
      </c>
      <c r="BH708" s="67">
        <f>IF(AND((AX708/I708)&lt;2,BG708=1),(I708*2)-AX708,0)</f>
        <v>0</v>
      </c>
      <c r="BI708" s="67">
        <f>IF(AND((AX708/I708)&lt;3,BG708=2),(I708*3)-AX708,0)</f>
        <v>0</v>
      </c>
      <c r="BJ708" s="70">
        <f>(BH708+BI708)*K708</f>
        <v>0</v>
      </c>
      <c r="BN708" s="37"/>
      <c r="BO708" s="70">
        <f t="shared" si="244"/>
        <v>0</v>
      </c>
      <c r="BP708" s="37">
        <v>4</v>
      </c>
      <c r="BQ708" s="37">
        <v>4</v>
      </c>
      <c r="BR708" s="37">
        <v>5</v>
      </c>
      <c r="BS708" s="37">
        <v>4</v>
      </c>
      <c r="BT708" s="87">
        <f t="shared" si="245"/>
        <v>69.95</v>
      </c>
      <c r="BU708" s="87"/>
      <c r="BV708" s="87"/>
      <c r="BW708" s="87"/>
      <c r="BX708" s="87"/>
      <c r="BY708" s="87"/>
      <c r="BZ708" s="87"/>
      <c r="CA708" s="87"/>
      <c r="CB708" s="87"/>
      <c r="CC708" s="87"/>
      <c r="CD708" s="87"/>
      <c r="CF708" s="67">
        <f t="shared" si="246"/>
        <v>279.8</v>
      </c>
      <c r="CG708" s="67">
        <f t="shared" si="247"/>
        <v>279.8</v>
      </c>
      <c r="CH708" s="67">
        <f t="shared" si="239"/>
        <v>349.75</v>
      </c>
      <c r="CI708" s="67">
        <f t="shared" ref="CI708:CI771" si="252">(BS708*BT708)+(CB708*CD708)</f>
        <v>279.8</v>
      </c>
      <c r="CJ708" s="37">
        <f t="shared" si="248"/>
        <v>80</v>
      </c>
      <c r="CK708" s="37">
        <f t="shared" si="249"/>
        <v>80</v>
      </c>
      <c r="CL708" s="37">
        <f t="shared" si="250"/>
        <v>100</v>
      </c>
      <c r="CM708" s="37">
        <f t="shared" si="251"/>
        <v>80</v>
      </c>
    </row>
    <row r="709" spans="1:91" ht="25.5">
      <c r="B709" s="156">
        <v>696</v>
      </c>
      <c r="C709" s="169">
        <v>409</v>
      </c>
      <c r="D709" s="169">
        <v>56</v>
      </c>
      <c r="E709" s="170">
        <v>0.76111111111111107</v>
      </c>
      <c r="F709" s="176">
        <v>0.77500000000000002</v>
      </c>
      <c r="G709" s="171" t="s">
        <v>83</v>
      </c>
      <c r="H709" s="160" t="s">
        <v>203</v>
      </c>
      <c r="I709" s="169">
        <v>10</v>
      </c>
      <c r="J709" s="172">
        <v>19</v>
      </c>
      <c r="K709" s="165">
        <v>202</v>
      </c>
      <c r="L709" s="166">
        <f t="shared" si="237"/>
        <v>2020</v>
      </c>
      <c r="M709" s="177" t="s">
        <v>773</v>
      </c>
      <c r="N709" s="150" t="s">
        <v>833</v>
      </c>
      <c r="O709" s="150">
        <v>21</v>
      </c>
      <c r="P709" s="150" t="s">
        <v>1257</v>
      </c>
      <c r="Q709" s="150">
        <v>21</v>
      </c>
      <c r="R709" s="209"/>
      <c r="S709" s="150"/>
      <c r="T709" s="45">
        <v>4400</v>
      </c>
      <c r="U709" s="45" t="s">
        <v>1679</v>
      </c>
      <c r="V709" s="45">
        <v>4440</v>
      </c>
      <c r="W709" s="45" t="s">
        <v>1686</v>
      </c>
      <c r="X709" s="99">
        <v>44816</v>
      </c>
      <c r="Y709" s="99">
        <v>45100</v>
      </c>
      <c r="Z709" s="99"/>
      <c r="AA709" s="99"/>
      <c r="AB709" s="41" t="s">
        <v>1120</v>
      </c>
      <c r="AC709" s="41"/>
      <c r="AD709" s="42" t="s">
        <v>734</v>
      </c>
      <c r="AE709" s="42"/>
      <c r="AF709" s="42" t="s">
        <v>734</v>
      </c>
      <c r="AG709" s="42"/>
      <c r="AH709" s="42" t="s">
        <v>734</v>
      </c>
      <c r="AI709" s="42" t="s">
        <v>734</v>
      </c>
      <c r="AJ709" s="42" t="s">
        <v>734</v>
      </c>
      <c r="AK709" s="42" t="s">
        <v>734</v>
      </c>
      <c r="AL709" s="42" t="s">
        <v>734</v>
      </c>
      <c r="AM709" s="42"/>
      <c r="AN709" s="42"/>
      <c r="AO709" s="42"/>
      <c r="AP709" s="42"/>
      <c r="AQ709" s="42"/>
      <c r="AR709" s="42"/>
      <c r="AS709" s="42"/>
      <c r="AT709" s="42"/>
      <c r="AU709" s="42"/>
      <c r="AV709" s="42"/>
      <c r="AW709" s="42"/>
      <c r="AX709" s="68"/>
      <c r="AY709" s="68">
        <f>1.9*10</f>
        <v>19</v>
      </c>
      <c r="BD709" s="67">
        <f t="shared" si="243"/>
        <v>0</v>
      </c>
      <c r="BE709" s="67">
        <f>AY709*K709</f>
        <v>3838</v>
      </c>
      <c r="BF709" s="37"/>
      <c r="BG709" s="73">
        <v>1</v>
      </c>
      <c r="BI709" s="67"/>
      <c r="BJ709" s="37"/>
      <c r="BK709" s="67">
        <f>IF(AND((AY709/I709)&lt;2,BG709=1),(I709*2)-AY709,0)</f>
        <v>1</v>
      </c>
      <c r="BL709" s="67">
        <f>IF(AND((AY709/I709)&lt;3,BG709=2),(I709*3)-AY709,0)</f>
        <v>0</v>
      </c>
      <c r="BM709" s="70">
        <f>(BK709+BL709)*K709</f>
        <v>202</v>
      </c>
      <c r="BN709" s="37"/>
      <c r="BO709" s="70">
        <f t="shared" si="244"/>
        <v>0</v>
      </c>
      <c r="BP709" s="37">
        <v>15</v>
      </c>
      <c r="BQ709" s="37">
        <v>21</v>
      </c>
      <c r="BR709" s="37">
        <v>21</v>
      </c>
      <c r="BS709" s="37">
        <v>20</v>
      </c>
      <c r="BT709" s="87">
        <f t="shared" si="245"/>
        <v>20</v>
      </c>
      <c r="BU709" s="87"/>
      <c r="BV709" s="87"/>
      <c r="BW709" s="87"/>
      <c r="BX709" s="87"/>
      <c r="BY709" s="87"/>
      <c r="BZ709" s="87"/>
      <c r="CA709" s="87"/>
      <c r="CB709" s="87"/>
      <c r="CC709" s="87"/>
      <c r="CD709" s="87"/>
      <c r="CF709" s="67">
        <f t="shared" si="246"/>
        <v>300</v>
      </c>
      <c r="CG709" s="67">
        <f t="shared" si="247"/>
        <v>420</v>
      </c>
      <c r="CH709" s="67">
        <f t="shared" si="239"/>
        <v>420</v>
      </c>
      <c r="CI709" s="67">
        <f t="shared" si="252"/>
        <v>400</v>
      </c>
      <c r="CJ709" s="37">
        <f t="shared" si="248"/>
        <v>150</v>
      </c>
      <c r="CK709" s="37">
        <f t="shared" si="249"/>
        <v>210</v>
      </c>
      <c r="CL709" s="37">
        <f t="shared" si="250"/>
        <v>210</v>
      </c>
      <c r="CM709" s="37">
        <f t="shared" si="251"/>
        <v>200</v>
      </c>
    </row>
    <row r="710" spans="1:91" ht="25.5">
      <c r="B710" s="156">
        <v>697</v>
      </c>
      <c r="C710" s="160">
        <v>409</v>
      </c>
      <c r="D710" s="160">
        <v>56</v>
      </c>
      <c r="E710" s="161">
        <v>0.76388888888888884</v>
      </c>
      <c r="F710" s="161">
        <v>0.77847222222222223</v>
      </c>
      <c r="G710" s="160" t="s">
        <v>571</v>
      </c>
      <c r="H710" s="160" t="s">
        <v>509</v>
      </c>
      <c r="I710" s="163">
        <v>10</v>
      </c>
      <c r="J710" s="195">
        <v>19</v>
      </c>
      <c r="K710" s="165">
        <v>12</v>
      </c>
      <c r="L710" s="166">
        <f t="shared" si="237"/>
        <v>120</v>
      </c>
      <c r="M710" s="177" t="s">
        <v>773</v>
      </c>
      <c r="N710" s="150" t="s">
        <v>833</v>
      </c>
      <c r="O710" s="150">
        <v>21</v>
      </c>
      <c r="P710" s="150" t="s">
        <v>1257</v>
      </c>
      <c r="Q710" s="150">
        <v>21</v>
      </c>
      <c r="R710" s="209"/>
      <c r="S710" s="150"/>
      <c r="T710" s="45">
        <v>4400</v>
      </c>
      <c r="U710" s="45" t="s">
        <v>1679</v>
      </c>
      <c r="V710" s="45">
        <v>4440</v>
      </c>
      <c r="W710" s="45" t="s">
        <v>1686</v>
      </c>
      <c r="X710" s="99">
        <v>44562</v>
      </c>
      <c r="Y710" s="99">
        <v>44815</v>
      </c>
      <c r="Z710" s="99">
        <v>45101</v>
      </c>
      <c r="AA710" s="99">
        <v>45169</v>
      </c>
      <c r="AB710" s="41" t="s">
        <v>1131</v>
      </c>
      <c r="AC710" s="41"/>
      <c r="AD710" s="42"/>
      <c r="AE710" s="42" t="s">
        <v>734</v>
      </c>
      <c r="AF710" s="42" t="s">
        <v>734</v>
      </c>
      <c r="AG710" s="42"/>
      <c r="AH710" s="42"/>
      <c r="AI710" s="42"/>
      <c r="AJ710" s="42"/>
      <c r="AK710" s="42"/>
      <c r="AL710" s="42"/>
      <c r="AM710" s="42" t="s">
        <v>734</v>
      </c>
      <c r="AN710" s="42"/>
      <c r="AO710" s="42"/>
      <c r="AP710" s="42"/>
      <c r="AQ710" s="42"/>
      <c r="AR710" s="42"/>
      <c r="AS710" s="42"/>
      <c r="AT710" s="42"/>
      <c r="AU710" s="42"/>
      <c r="AV710" s="42"/>
      <c r="AW710" s="42"/>
      <c r="AX710" s="68">
        <v>30</v>
      </c>
      <c r="BA710" s="68"/>
      <c r="BB710" s="68"/>
      <c r="BD710" s="67">
        <f t="shared" si="243"/>
        <v>360</v>
      </c>
      <c r="BE710" s="67"/>
      <c r="BF710" s="37"/>
      <c r="BG710" s="73">
        <v>1</v>
      </c>
      <c r="BH710" s="67">
        <f>IF(AND((AX710/I710)&lt;2,BG710=1),(I710*2)-AX710,0)</f>
        <v>0</v>
      </c>
      <c r="BI710" s="67">
        <f>IF(AND((AX710/I710)&lt;3,BG710=2),(I710*3)-AX710,0)</f>
        <v>0</v>
      </c>
      <c r="BJ710" s="70">
        <f>(BH710+BI710)*K710</f>
        <v>0</v>
      </c>
      <c r="BN710" s="37"/>
      <c r="BO710" s="70">
        <f t="shared" si="244"/>
        <v>0</v>
      </c>
      <c r="BP710" s="37">
        <v>2</v>
      </c>
      <c r="BQ710" s="37">
        <v>0</v>
      </c>
      <c r="BR710" s="37">
        <v>0</v>
      </c>
      <c r="BT710" s="87">
        <f t="shared" si="245"/>
        <v>30</v>
      </c>
      <c r="BU710" s="87"/>
      <c r="BV710" s="87"/>
      <c r="BW710" s="87"/>
      <c r="BX710" s="87"/>
      <c r="BY710" s="87"/>
      <c r="BZ710" s="87"/>
      <c r="CA710" s="87"/>
      <c r="CB710" s="87"/>
      <c r="CC710" s="87"/>
      <c r="CD710" s="87"/>
      <c r="CF710" s="67">
        <f t="shared" si="246"/>
        <v>60</v>
      </c>
      <c r="CG710" s="67">
        <f t="shared" si="247"/>
        <v>0</v>
      </c>
      <c r="CH710" s="67">
        <f t="shared" si="239"/>
        <v>0</v>
      </c>
      <c r="CI710" s="67">
        <f t="shared" si="252"/>
        <v>0</v>
      </c>
      <c r="CJ710" s="37">
        <f t="shared" si="248"/>
        <v>20</v>
      </c>
      <c r="CK710" s="37">
        <f t="shared" si="249"/>
        <v>0</v>
      </c>
      <c r="CL710" s="37">
        <f t="shared" si="250"/>
        <v>0</v>
      </c>
      <c r="CM710" s="37">
        <f t="shared" si="251"/>
        <v>0</v>
      </c>
    </row>
    <row r="711" spans="1:91" ht="25.5">
      <c r="B711" s="156">
        <v>698</v>
      </c>
      <c r="C711" s="169">
        <v>409</v>
      </c>
      <c r="D711" s="189">
        <v>55</v>
      </c>
      <c r="E711" s="170">
        <v>0.77777777777777779</v>
      </c>
      <c r="F711" s="170">
        <v>0.79166666666666663</v>
      </c>
      <c r="G711" s="171" t="s">
        <v>82</v>
      </c>
      <c r="H711" s="160" t="s">
        <v>203</v>
      </c>
      <c r="I711" s="169">
        <v>10</v>
      </c>
      <c r="J711" s="172">
        <v>19</v>
      </c>
      <c r="K711" s="165">
        <v>202</v>
      </c>
      <c r="L711" s="166">
        <f t="shared" si="237"/>
        <v>2020</v>
      </c>
      <c r="M711" s="177" t="s">
        <v>773</v>
      </c>
      <c r="N711" s="150" t="s">
        <v>833</v>
      </c>
      <c r="O711" s="150">
        <v>21</v>
      </c>
      <c r="P711" s="150" t="s">
        <v>1257</v>
      </c>
      <c r="Q711" s="150">
        <v>21</v>
      </c>
      <c r="R711" s="209"/>
      <c r="S711" s="150"/>
      <c r="T711" s="45">
        <v>4440</v>
      </c>
      <c r="U711" s="45" t="s">
        <v>1686</v>
      </c>
      <c r="V711" s="45">
        <v>4400</v>
      </c>
      <c r="W711" s="45" t="s">
        <v>1679</v>
      </c>
      <c r="X711" s="99">
        <v>44816</v>
      </c>
      <c r="Y711" s="99">
        <v>45100</v>
      </c>
      <c r="Z711" s="99"/>
      <c r="AA711" s="99"/>
      <c r="AB711" s="41" t="s">
        <v>1120</v>
      </c>
      <c r="AC711" s="41"/>
      <c r="AD711" s="42" t="s">
        <v>734</v>
      </c>
      <c r="AE711" s="42"/>
      <c r="AF711" s="42" t="s">
        <v>734</v>
      </c>
      <c r="AG711" s="42"/>
      <c r="AH711" s="42" t="s">
        <v>734</v>
      </c>
      <c r="AI711" s="42" t="s">
        <v>734</v>
      </c>
      <c r="AJ711" s="42" t="s">
        <v>734</v>
      </c>
      <c r="AK711" s="42" t="s">
        <v>734</v>
      </c>
      <c r="AL711" s="42" t="s">
        <v>734</v>
      </c>
      <c r="AM711" s="42"/>
      <c r="AN711" s="42"/>
      <c r="AO711" s="42"/>
      <c r="AP711" s="42"/>
      <c r="AQ711" s="42"/>
      <c r="AR711" s="42"/>
      <c r="AS711" s="42"/>
      <c r="AT711" s="42"/>
      <c r="AU711" s="42"/>
      <c r="AV711" s="42"/>
      <c r="AW711" s="42"/>
      <c r="AY711" s="68">
        <f>1.9*10</f>
        <v>19</v>
      </c>
      <c r="BD711" s="67">
        <f t="shared" si="243"/>
        <v>0</v>
      </c>
      <c r="BE711" s="67">
        <f>AY711*K711</f>
        <v>3838</v>
      </c>
      <c r="BF711" s="37"/>
      <c r="BG711" s="73">
        <v>1</v>
      </c>
      <c r="BI711" s="67"/>
      <c r="BJ711" s="37"/>
      <c r="BK711" s="67">
        <f>IF(AND((AY711/I711)&lt;2,BG711=1),(I711*2)-AY711,0)</f>
        <v>1</v>
      </c>
      <c r="BL711" s="67">
        <f>IF(AND((AY711/I711)&lt;3,BG711=2),(I711*3)-AY711,0)</f>
        <v>0</v>
      </c>
      <c r="BM711" s="70">
        <f>(BK711+BL711)*K711</f>
        <v>202</v>
      </c>
      <c r="BN711" s="37"/>
      <c r="BO711" s="70">
        <f t="shared" si="244"/>
        <v>0</v>
      </c>
      <c r="BP711" s="37">
        <v>15</v>
      </c>
      <c r="BQ711" s="37">
        <v>21</v>
      </c>
      <c r="BR711" s="37">
        <v>21</v>
      </c>
      <c r="BS711" s="37">
        <v>20</v>
      </c>
      <c r="BT711" s="87">
        <f t="shared" si="245"/>
        <v>20</v>
      </c>
      <c r="BU711" s="87"/>
      <c r="BV711" s="87"/>
      <c r="BW711" s="87"/>
      <c r="BX711" s="87"/>
      <c r="BY711" s="87"/>
      <c r="BZ711" s="87"/>
      <c r="CA711" s="87"/>
      <c r="CB711" s="87"/>
      <c r="CC711" s="87"/>
      <c r="CD711" s="87"/>
      <c r="CF711" s="67">
        <f t="shared" si="246"/>
        <v>300</v>
      </c>
      <c r="CG711" s="67">
        <f t="shared" si="247"/>
        <v>420</v>
      </c>
      <c r="CH711" s="67">
        <f t="shared" si="239"/>
        <v>420</v>
      </c>
      <c r="CI711" s="67">
        <f t="shared" si="252"/>
        <v>400</v>
      </c>
      <c r="CJ711" s="37">
        <f t="shared" si="248"/>
        <v>150</v>
      </c>
      <c r="CK711" s="37">
        <f t="shared" si="249"/>
        <v>210</v>
      </c>
      <c r="CL711" s="37">
        <f t="shared" si="250"/>
        <v>210</v>
      </c>
      <c r="CM711" s="37">
        <f t="shared" si="251"/>
        <v>200</v>
      </c>
    </row>
    <row r="712" spans="1:91" ht="25.5">
      <c r="B712" s="156">
        <v>699</v>
      </c>
      <c r="C712" s="160">
        <v>409</v>
      </c>
      <c r="D712" s="160">
        <v>55</v>
      </c>
      <c r="E712" s="161">
        <v>0.78055555555555556</v>
      </c>
      <c r="F712" s="161">
        <v>0.7944444444444444</v>
      </c>
      <c r="G712" s="160" t="s">
        <v>572</v>
      </c>
      <c r="H712" s="160" t="s">
        <v>509</v>
      </c>
      <c r="I712" s="163">
        <v>10</v>
      </c>
      <c r="J712" s="195">
        <v>19</v>
      </c>
      <c r="K712" s="165">
        <v>12</v>
      </c>
      <c r="L712" s="166">
        <f t="shared" si="237"/>
        <v>120</v>
      </c>
      <c r="M712" s="177" t="s">
        <v>773</v>
      </c>
      <c r="N712" s="150" t="s">
        <v>833</v>
      </c>
      <c r="O712" s="150">
        <v>21</v>
      </c>
      <c r="P712" s="150" t="s">
        <v>1257</v>
      </c>
      <c r="Q712" s="150">
        <v>21</v>
      </c>
      <c r="R712" s="209"/>
      <c r="S712" s="150"/>
      <c r="T712" s="45">
        <v>4440</v>
      </c>
      <c r="U712" s="45" t="s">
        <v>1686</v>
      </c>
      <c r="V712" s="45">
        <v>4400</v>
      </c>
      <c r="W712" s="45" t="s">
        <v>1679</v>
      </c>
      <c r="X712" s="99">
        <v>44562</v>
      </c>
      <c r="Y712" s="99">
        <v>44815</v>
      </c>
      <c r="Z712" s="99">
        <v>45101</v>
      </c>
      <c r="AA712" s="99">
        <v>45169</v>
      </c>
      <c r="AB712" s="41" t="s">
        <v>1131</v>
      </c>
      <c r="AC712" s="41"/>
      <c r="AD712" s="42"/>
      <c r="AE712" s="42" t="s">
        <v>734</v>
      </c>
      <c r="AF712" s="42" t="s">
        <v>734</v>
      </c>
      <c r="AG712" s="42"/>
      <c r="AH712" s="42"/>
      <c r="AI712" s="42"/>
      <c r="AJ712" s="42"/>
      <c r="AK712" s="42"/>
      <c r="AL712" s="42"/>
      <c r="AM712" s="42" t="s">
        <v>734</v>
      </c>
      <c r="AN712" s="42"/>
      <c r="AO712" s="42"/>
      <c r="AP712" s="42"/>
      <c r="AQ712" s="42"/>
      <c r="AR712" s="42"/>
      <c r="AS712" s="42"/>
      <c r="AT712" s="42"/>
      <c r="AU712" s="42"/>
      <c r="AV712" s="42"/>
      <c r="AW712" s="42"/>
      <c r="AX712" s="68">
        <v>30</v>
      </c>
      <c r="BA712" s="68"/>
      <c r="BB712" s="68"/>
      <c r="BD712" s="67">
        <f t="shared" si="243"/>
        <v>360</v>
      </c>
      <c r="BE712" s="67"/>
      <c r="BF712" s="37"/>
      <c r="BG712" s="73">
        <v>1</v>
      </c>
      <c r="BH712" s="67">
        <f t="shared" ref="BH712:BH717" si="253">IF(AND((AX712/I712)&lt;2,BG712=1),(I712*2)-AX712,0)</f>
        <v>0</v>
      </c>
      <c r="BI712" s="67">
        <f t="shared" ref="BI712:BI717" si="254">IF(AND((AX712/I712)&lt;3,BG712=2),(I712*3)-AX712,0)</f>
        <v>0</v>
      </c>
      <c r="BJ712" s="70">
        <f t="shared" ref="BJ712:BJ717" si="255">(BH712+BI712)*K712</f>
        <v>0</v>
      </c>
      <c r="BN712" s="37"/>
      <c r="BO712" s="70">
        <f t="shared" si="244"/>
        <v>0</v>
      </c>
      <c r="BP712" s="37">
        <v>2</v>
      </c>
      <c r="BQ712" s="37">
        <v>0</v>
      </c>
      <c r="BR712" s="37">
        <v>0</v>
      </c>
      <c r="BT712" s="87">
        <f t="shared" si="245"/>
        <v>30</v>
      </c>
      <c r="BU712" s="87"/>
      <c r="BV712" s="87"/>
      <c r="BW712" s="87"/>
      <c r="BX712" s="87"/>
      <c r="BY712" s="87"/>
      <c r="BZ712" s="87"/>
      <c r="CA712" s="87"/>
      <c r="CB712" s="87"/>
      <c r="CC712" s="87"/>
      <c r="CD712" s="87"/>
      <c r="CF712" s="67">
        <f t="shared" si="246"/>
        <v>60</v>
      </c>
      <c r="CG712" s="67">
        <f t="shared" si="247"/>
        <v>0</v>
      </c>
      <c r="CH712" s="67">
        <f t="shared" si="239"/>
        <v>0</v>
      </c>
      <c r="CI712" s="67">
        <f t="shared" si="252"/>
        <v>0</v>
      </c>
      <c r="CJ712" s="37">
        <f t="shared" si="248"/>
        <v>20</v>
      </c>
      <c r="CK712" s="37">
        <f t="shared" si="249"/>
        <v>0</v>
      </c>
      <c r="CL712" s="37">
        <f t="shared" si="250"/>
        <v>0</v>
      </c>
      <c r="CM712" s="37">
        <f t="shared" si="251"/>
        <v>0</v>
      </c>
    </row>
    <row r="713" spans="1:91" ht="25.5">
      <c r="B713" s="156">
        <v>700</v>
      </c>
      <c r="C713" s="160">
        <v>417</v>
      </c>
      <c r="D713" s="162">
        <v>225</v>
      </c>
      <c r="E713" s="161">
        <v>0.30277777777777776</v>
      </c>
      <c r="F713" s="173">
        <v>0.31875000000000003</v>
      </c>
      <c r="G713" s="160" t="s">
        <v>420</v>
      </c>
      <c r="H713" s="160" t="s">
        <v>103</v>
      </c>
      <c r="I713" s="163">
        <v>10.5</v>
      </c>
      <c r="J713" s="164" t="s">
        <v>254</v>
      </c>
      <c r="K713" s="165">
        <v>174</v>
      </c>
      <c r="L713" s="166">
        <f t="shared" si="237"/>
        <v>1827</v>
      </c>
      <c r="M713" s="177" t="s">
        <v>723</v>
      </c>
      <c r="N713" s="154" t="s">
        <v>869</v>
      </c>
      <c r="O713" s="154" t="s">
        <v>990</v>
      </c>
      <c r="P713" s="154" t="s">
        <v>1289</v>
      </c>
      <c r="Q713" s="154">
        <v>50</v>
      </c>
      <c r="S713" s="154"/>
      <c r="T713" s="45" t="s">
        <v>1687</v>
      </c>
      <c r="U713" s="45" t="s">
        <v>1688</v>
      </c>
      <c r="V713" s="45" t="s">
        <v>1689</v>
      </c>
      <c r="W713" s="45" t="s">
        <v>1690</v>
      </c>
      <c r="X713" s="98">
        <v>44816</v>
      </c>
      <c r="Y713" s="98">
        <v>45086</v>
      </c>
      <c r="Z713" s="98"/>
      <c r="AA713" s="98"/>
      <c r="AB713" s="41" t="s">
        <v>1114</v>
      </c>
      <c r="AC713" s="41"/>
      <c r="AD713" s="42"/>
      <c r="AE713" s="42"/>
      <c r="AF713" s="42"/>
      <c r="AG713" s="42" t="s">
        <v>734</v>
      </c>
      <c r="AH713" s="42" t="s">
        <v>734</v>
      </c>
      <c r="AI713" s="42" t="s">
        <v>734</v>
      </c>
      <c r="AJ713" s="42" t="s">
        <v>734</v>
      </c>
      <c r="AK713" s="42" t="s">
        <v>734</v>
      </c>
      <c r="AL713" s="42" t="s">
        <v>734</v>
      </c>
      <c r="AM713" s="42"/>
      <c r="AN713" s="42"/>
      <c r="AO713" s="42"/>
      <c r="AP713" s="42"/>
      <c r="AQ713" s="42"/>
      <c r="AR713" s="42"/>
      <c r="AS713" s="42"/>
      <c r="AT713" s="42"/>
      <c r="AU713" s="42"/>
      <c r="AV713" s="42"/>
      <c r="AW713" s="42"/>
      <c r="AX713" s="68">
        <v>217.02</v>
      </c>
      <c r="AY713" s="37"/>
      <c r="BA713" s="68"/>
      <c r="BB713" s="68"/>
      <c r="BD713" s="67">
        <f t="shared" si="243"/>
        <v>37761.480000000003</v>
      </c>
      <c r="BE713" s="67"/>
      <c r="BF713" s="37"/>
      <c r="BG713" s="69">
        <v>2</v>
      </c>
      <c r="BH713" s="67">
        <f t="shared" si="253"/>
        <v>0</v>
      </c>
      <c r="BI713" s="67">
        <f t="shared" si="254"/>
        <v>0</v>
      </c>
      <c r="BJ713" s="70">
        <f t="shared" si="255"/>
        <v>0</v>
      </c>
      <c r="BN713" s="37"/>
      <c r="BO713" s="70">
        <f t="shared" si="244"/>
        <v>0</v>
      </c>
      <c r="BP713" s="37">
        <v>15</v>
      </c>
      <c r="BQ713" s="37">
        <v>20</v>
      </c>
      <c r="BR713" s="37">
        <v>21</v>
      </c>
      <c r="BS713" s="37">
        <v>15</v>
      </c>
      <c r="BT713" s="87">
        <f t="shared" si="245"/>
        <v>217.02</v>
      </c>
      <c r="BU713" s="87"/>
      <c r="BV713" s="87"/>
      <c r="BW713" s="87"/>
      <c r="BX713" s="87"/>
      <c r="BY713" s="87"/>
      <c r="BZ713" s="87"/>
      <c r="CA713" s="87"/>
      <c r="CB713" s="87"/>
      <c r="CC713" s="87"/>
      <c r="CD713" s="87"/>
      <c r="CF713" s="67">
        <f t="shared" si="246"/>
        <v>3255.3</v>
      </c>
      <c r="CG713" s="67">
        <f t="shared" si="247"/>
        <v>4340.4000000000005</v>
      </c>
      <c r="CH713" s="67">
        <f t="shared" si="239"/>
        <v>4557.42</v>
      </c>
      <c r="CI713" s="67">
        <f t="shared" si="252"/>
        <v>3255.3</v>
      </c>
      <c r="CJ713" s="37">
        <f t="shared" si="248"/>
        <v>157.5</v>
      </c>
      <c r="CK713" s="37">
        <f t="shared" si="249"/>
        <v>210</v>
      </c>
      <c r="CL713" s="37">
        <f t="shared" si="250"/>
        <v>220.5</v>
      </c>
      <c r="CM713" s="37">
        <f t="shared" si="251"/>
        <v>157.5</v>
      </c>
    </row>
    <row r="714" spans="1:91" ht="25.5">
      <c r="B714" s="156">
        <v>701</v>
      </c>
      <c r="C714" s="160">
        <v>417</v>
      </c>
      <c r="D714" s="160">
        <v>225</v>
      </c>
      <c r="E714" s="173">
        <v>0.31666666666666665</v>
      </c>
      <c r="F714" s="173">
        <v>0.32430555555555557</v>
      </c>
      <c r="G714" s="160" t="s">
        <v>319</v>
      </c>
      <c r="H714" s="160" t="s">
        <v>103</v>
      </c>
      <c r="I714" s="163">
        <v>5.5</v>
      </c>
      <c r="J714" s="164" t="s">
        <v>93</v>
      </c>
      <c r="K714" s="165">
        <v>174</v>
      </c>
      <c r="L714" s="166">
        <f t="shared" si="237"/>
        <v>957</v>
      </c>
      <c r="M714" s="177" t="s">
        <v>775</v>
      </c>
      <c r="N714" s="154" t="s">
        <v>872</v>
      </c>
      <c r="O714" s="154">
        <v>21</v>
      </c>
      <c r="P714" s="154" t="s">
        <v>873</v>
      </c>
      <c r="Q714" s="154">
        <v>31</v>
      </c>
      <c r="R714" s="270" t="s">
        <v>2064</v>
      </c>
      <c r="S714" s="270">
        <v>38</v>
      </c>
      <c r="T714" s="45">
        <v>4120</v>
      </c>
      <c r="U714" s="45" t="s">
        <v>1691</v>
      </c>
      <c r="V714" s="45" t="s">
        <v>1446</v>
      </c>
      <c r="W714" s="45" t="s">
        <v>1447</v>
      </c>
      <c r="X714" s="98">
        <v>44816</v>
      </c>
      <c r="Y714" s="98">
        <v>45086</v>
      </c>
      <c r="Z714" s="98"/>
      <c r="AA714" s="98"/>
      <c r="AB714" s="41" t="s">
        <v>1114</v>
      </c>
      <c r="AC714" s="41"/>
      <c r="AD714" s="42"/>
      <c r="AE714" s="42"/>
      <c r="AF714" s="42"/>
      <c r="AG714" s="42" t="s">
        <v>734</v>
      </c>
      <c r="AH714" s="42" t="s">
        <v>734</v>
      </c>
      <c r="AI714" s="42" t="s">
        <v>734</v>
      </c>
      <c r="AJ714" s="42" t="s">
        <v>734</v>
      </c>
      <c r="AK714" s="42" t="s">
        <v>734</v>
      </c>
      <c r="AL714" s="42" t="s">
        <v>734</v>
      </c>
      <c r="AM714" s="42"/>
      <c r="AN714" s="42"/>
      <c r="AO714" s="42"/>
      <c r="AP714" s="42"/>
      <c r="AQ714" s="42"/>
      <c r="AR714" s="42"/>
      <c r="AS714" s="42"/>
      <c r="AT714" s="42"/>
      <c r="AU714" s="42"/>
      <c r="AV714" s="42"/>
      <c r="AW714" s="42"/>
      <c r="AX714" s="68">
        <v>9.9</v>
      </c>
      <c r="AY714" s="37"/>
      <c r="BA714" s="68"/>
      <c r="BB714" s="68"/>
      <c r="BD714" s="67">
        <f t="shared" si="243"/>
        <v>1722.6000000000001</v>
      </c>
      <c r="BE714" s="67"/>
      <c r="BF714" s="37"/>
      <c r="BG714" s="73">
        <v>1</v>
      </c>
      <c r="BH714" s="67">
        <f t="shared" si="253"/>
        <v>1.0999999999999996</v>
      </c>
      <c r="BI714" s="67">
        <f t="shared" si="254"/>
        <v>0</v>
      </c>
      <c r="BJ714" s="67">
        <f t="shared" si="255"/>
        <v>191.39999999999995</v>
      </c>
      <c r="BN714" s="37"/>
      <c r="BO714" s="70">
        <f t="shared" si="244"/>
        <v>0</v>
      </c>
      <c r="BP714" s="37">
        <v>15</v>
      </c>
      <c r="BQ714" s="37">
        <v>20</v>
      </c>
      <c r="BR714" s="37">
        <v>21</v>
      </c>
      <c r="BS714" s="37">
        <v>15</v>
      </c>
      <c r="BT714" s="87">
        <f t="shared" si="245"/>
        <v>11</v>
      </c>
      <c r="BU714" s="87"/>
      <c r="BV714" s="87"/>
      <c r="BW714" s="87"/>
      <c r="BX714" s="87"/>
      <c r="BY714" s="87"/>
      <c r="BZ714" s="87"/>
      <c r="CA714" s="87"/>
      <c r="CB714" s="87"/>
      <c r="CC714" s="87"/>
      <c r="CD714" s="87"/>
      <c r="CF714" s="67">
        <f t="shared" si="246"/>
        <v>165</v>
      </c>
      <c r="CG714" s="67">
        <f t="shared" si="247"/>
        <v>220</v>
      </c>
      <c r="CH714" s="67">
        <f t="shared" si="239"/>
        <v>231</v>
      </c>
      <c r="CI714" s="67">
        <f t="shared" si="252"/>
        <v>165</v>
      </c>
      <c r="CJ714" s="37">
        <f t="shared" si="248"/>
        <v>82.5</v>
      </c>
      <c r="CK714" s="37">
        <f t="shared" si="249"/>
        <v>110</v>
      </c>
      <c r="CL714" s="37">
        <f t="shared" si="250"/>
        <v>115.5</v>
      </c>
      <c r="CM714" s="37">
        <f t="shared" si="251"/>
        <v>82.5</v>
      </c>
    </row>
    <row r="715" spans="1:91" ht="25.5">
      <c r="B715" s="156">
        <v>702</v>
      </c>
      <c r="C715" s="160">
        <v>417</v>
      </c>
      <c r="D715" s="160">
        <v>307</v>
      </c>
      <c r="E715" s="161">
        <v>0.63888888888888895</v>
      </c>
      <c r="F715" s="161">
        <v>0.6645833333333333</v>
      </c>
      <c r="G715" s="160" t="s">
        <v>142</v>
      </c>
      <c r="H715" s="160" t="s">
        <v>103</v>
      </c>
      <c r="I715" s="163">
        <v>14.5</v>
      </c>
      <c r="J715" s="164" t="s">
        <v>269</v>
      </c>
      <c r="K715" s="165">
        <v>174</v>
      </c>
      <c r="L715" s="166">
        <f t="shared" si="237"/>
        <v>2523</v>
      </c>
      <c r="M715" s="177" t="s">
        <v>776</v>
      </c>
      <c r="N715" s="3" t="s">
        <v>944</v>
      </c>
      <c r="O715" s="3">
        <v>23</v>
      </c>
      <c r="P715" s="154" t="s">
        <v>1949</v>
      </c>
      <c r="Q715" s="154">
        <v>24</v>
      </c>
      <c r="R715" s="154" t="s">
        <v>1989</v>
      </c>
      <c r="S715" s="151">
        <v>23</v>
      </c>
      <c r="T715" s="45">
        <v>4126</v>
      </c>
      <c r="U715" s="45" t="s">
        <v>1692</v>
      </c>
      <c r="V715" s="45" t="s">
        <v>1446</v>
      </c>
      <c r="W715" s="45" t="s">
        <v>1447</v>
      </c>
      <c r="X715" s="98">
        <v>44816</v>
      </c>
      <c r="Y715" s="98">
        <v>45086</v>
      </c>
      <c r="Z715" s="98"/>
      <c r="AA715" s="98"/>
      <c r="AB715" s="41" t="s">
        <v>1114</v>
      </c>
      <c r="AC715" s="41"/>
      <c r="AD715" s="42"/>
      <c r="AE715" s="42"/>
      <c r="AF715" s="42"/>
      <c r="AG715" s="42" t="s">
        <v>734</v>
      </c>
      <c r="AH715" s="42" t="s">
        <v>734</v>
      </c>
      <c r="AI715" s="42" t="s">
        <v>734</v>
      </c>
      <c r="AJ715" s="42" t="s">
        <v>734</v>
      </c>
      <c r="AK715" s="42" t="s">
        <v>734</v>
      </c>
      <c r="AL715" s="42" t="s">
        <v>734</v>
      </c>
      <c r="AM715" s="42"/>
      <c r="AN715" s="42"/>
      <c r="AO715" s="42"/>
      <c r="AP715" s="42"/>
      <c r="AQ715" s="42"/>
      <c r="AR715" s="42"/>
      <c r="AS715" s="42"/>
      <c r="AT715" s="42"/>
      <c r="AU715" s="42"/>
      <c r="AV715" s="42"/>
      <c r="AW715" s="42"/>
      <c r="AX715" s="68">
        <v>26.1</v>
      </c>
      <c r="AY715" s="37"/>
      <c r="BA715" s="68"/>
      <c r="BB715" s="68"/>
      <c r="BD715" s="67">
        <f t="shared" si="243"/>
        <v>4541.4000000000005</v>
      </c>
      <c r="BE715" s="67"/>
      <c r="BF715" s="37"/>
      <c r="BG715" s="73">
        <v>1</v>
      </c>
      <c r="BH715" s="67">
        <f t="shared" si="253"/>
        <v>2.8999999999999986</v>
      </c>
      <c r="BI715" s="67">
        <f t="shared" si="254"/>
        <v>0</v>
      </c>
      <c r="BJ715" s="67">
        <f t="shared" si="255"/>
        <v>504.59999999999974</v>
      </c>
      <c r="BN715" s="37"/>
      <c r="BO715" s="70">
        <f t="shared" si="244"/>
        <v>0</v>
      </c>
      <c r="BP715" s="37">
        <v>15</v>
      </c>
      <c r="BQ715" s="37">
        <v>20</v>
      </c>
      <c r="BR715" s="37">
        <v>21</v>
      </c>
      <c r="BS715" s="37">
        <v>15</v>
      </c>
      <c r="BT715" s="87">
        <f t="shared" si="245"/>
        <v>29</v>
      </c>
      <c r="BU715" s="87"/>
      <c r="BV715" s="87"/>
      <c r="BW715" s="87"/>
      <c r="BX715" s="87"/>
      <c r="BY715" s="87"/>
      <c r="BZ715" s="87"/>
      <c r="CA715" s="87"/>
      <c r="CB715" s="87"/>
      <c r="CC715" s="87"/>
      <c r="CD715" s="87"/>
      <c r="CF715" s="67">
        <f t="shared" si="246"/>
        <v>435</v>
      </c>
      <c r="CG715" s="67">
        <f t="shared" si="247"/>
        <v>580</v>
      </c>
      <c r="CH715" s="67">
        <f t="shared" si="239"/>
        <v>609</v>
      </c>
      <c r="CI715" s="67">
        <f t="shared" si="252"/>
        <v>435</v>
      </c>
      <c r="CJ715" s="37">
        <f t="shared" si="248"/>
        <v>217.5</v>
      </c>
      <c r="CK715" s="37">
        <f t="shared" si="249"/>
        <v>290</v>
      </c>
      <c r="CL715" s="37">
        <f t="shared" si="250"/>
        <v>304.5</v>
      </c>
      <c r="CM715" s="37">
        <f t="shared" si="251"/>
        <v>217.5</v>
      </c>
    </row>
    <row r="716" spans="1:91" ht="25.5">
      <c r="B716" s="156">
        <v>703</v>
      </c>
      <c r="C716" s="160">
        <v>417</v>
      </c>
      <c r="D716" s="162">
        <v>256</v>
      </c>
      <c r="E716" s="161">
        <v>0.67152777777777783</v>
      </c>
      <c r="F716" s="161">
        <v>0.7006944444444444</v>
      </c>
      <c r="G716" s="160" t="s">
        <v>566</v>
      </c>
      <c r="H716" s="160" t="s">
        <v>103</v>
      </c>
      <c r="I716" s="163">
        <v>17.5</v>
      </c>
      <c r="J716" s="164" t="s">
        <v>188</v>
      </c>
      <c r="K716" s="165">
        <v>174</v>
      </c>
      <c r="L716" s="166">
        <f t="shared" si="237"/>
        <v>3045</v>
      </c>
      <c r="M716" s="177" t="s">
        <v>775</v>
      </c>
      <c r="N716" s="154" t="s">
        <v>873</v>
      </c>
      <c r="O716" s="154">
        <v>31</v>
      </c>
      <c r="P716" s="150" t="s">
        <v>872</v>
      </c>
      <c r="Q716" s="150">
        <v>21</v>
      </c>
      <c r="R716" s="270" t="s">
        <v>2064</v>
      </c>
      <c r="S716" s="270">
        <v>38</v>
      </c>
      <c r="T716" s="45" t="s">
        <v>1446</v>
      </c>
      <c r="U716" s="45" t="s">
        <v>1447</v>
      </c>
      <c r="V716" s="45" t="s">
        <v>1693</v>
      </c>
      <c r="W716" s="45" t="s">
        <v>1694</v>
      </c>
      <c r="X716" s="98">
        <v>44816</v>
      </c>
      <c r="Y716" s="98">
        <v>45086</v>
      </c>
      <c r="Z716" s="98"/>
      <c r="AA716" s="98"/>
      <c r="AB716" s="41" t="s">
        <v>1114</v>
      </c>
      <c r="AC716" s="41"/>
      <c r="AD716" s="42"/>
      <c r="AE716" s="42"/>
      <c r="AF716" s="42"/>
      <c r="AG716" s="42" t="s">
        <v>734</v>
      </c>
      <c r="AH716" s="42" t="s">
        <v>734</v>
      </c>
      <c r="AI716" s="42" t="s">
        <v>734</v>
      </c>
      <c r="AJ716" s="42" t="s">
        <v>734</v>
      </c>
      <c r="AK716" s="42" t="s">
        <v>734</v>
      </c>
      <c r="AL716" s="42" t="s">
        <v>734</v>
      </c>
      <c r="AM716" s="42"/>
      <c r="AN716" s="42"/>
      <c r="AO716" s="42"/>
      <c r="AP716" s="42"/>
      <c r="AQ716" s="42"/>
      <c r="AR716" s="42"/>
      <c r="AS716" s="42"/>
      <c r="AT716" s="42"/>
      <c r="AU716" s="42"/>
      <c r="AV716" s="42"/>
      <c r="AW716" s="42"/>
      <c r="AX716" s="68">
        <v>52.5</v>
      </c>
      <c r="AY716" s="37"/>
      <c r="BA716" s="68"/>
      <c r="BB716" s="68"/>
      <c r="BD716" s="67">
        <f t="shared" si="243"/>
        <v>9135</v>
      </c>
      <c r="BE716" s="67"/>
      <c r="BF716" s="37"/>
      <c r="BG716" s="73">
        <v>1</v>
      </c>
      <c r="BH716" s="67">
        <f t="shared" si="253"/>
        <v>0</v>
      </c>
      <c r="BI716" s="67">
        <f t="shared" si="254"/>
        <v>0</v>
      </c>
      <c r="BJ716" s="70">
        <f t="shared" si="255"/>
        <v>0</v>
      </c>
      <c r="BN716" s="37"/>
      <c r="BO716" s="70">
        <f t="shared" si="244"/>
        <v>0</v>
      </c>
      <c r="BP716" s="37">
        <v>15</v>
      </c>
      <c r="BQ716" s="37">
        <v>20</v>
      </c>
      <c r="BR716" s="37">
        <v>21</v>
      </c>
      <c r="BS716" s="37">
        <v>15</v>
      </c>
      <c r="BT716" s="87">
        <f t="shared" si="245"/>
        <v>52.5</v>
      </c>
      <c r="BU716" s="87"/>
      <c r="BV716" s="87"/>
      <c r="BW716" s="87"/>
      <c r="BX716" s="87"/>
      <c r="BY716" s="87"/>
      <c r="BZ716" s="87"/>
      <c r="CA716" s="87"/>
      <c r="CB716" s="87"/>
      <c r="CC716" s="87"/>
      <c r="CD716" s="87"/>
      <c r="CF716" s="67">
        <f t="shared" si="246"/>
        <v>787.5</v>
      </c>
      <c r="CG716" s="67">
        <f t="shared" si="247"/>
        <v>1050</v>
      </c>
      <c r="CH716" s="67">
        <f t="shared" si="239"/>
        <v>1102.5</v>
      </c>
      <c r="CI716" s="67">
        <f t="shared" si="252"/>
        <v>787.5</v>
      </c>
      <c r="CJ716" s="37">
        <f t="shared" si="248"/>
        <v>262.5</v>
      </c>
      <c r="CK716" s="37">
        <f t="shared" si="249"/>
        <v>350</v>
      </c>
      <c r="CL716" s="37">
        <f t="shared" si="250"/>
        <v>367.5</v>
      </c>
      <c r="CM716" s="37">
        <f t="shared" si="251"/>
        <v>262.5</v>
      </c>
    </row>
    <row r="717" spans="1:91" s="75" customFormat="1" ht="38.25">
      <c r="A717" s="178" t="s">
        <v>1179</v>
      </c>
      <c r="B717" s="156">
        <v>704</v>
      </c>
      <c r="C717" s="160">
        <v>418</v>
      </c>
      <c r="D717" s="162">
        <v>89</v>
      </c>
      <c r="E717" s="161">
        <v>0.25486111111111109</v>
      </c>
      <c r="F717" s="161">
        <v>0.25833333333333336</v>
      </c>
      <c r="G717" s="160" t="s">
        <v>432</v>
      </c>
      <c r="H717" s="174" t="s">
        <v>1050</v>
      </c>
      <c r="I717" s="163">
        <v>3</v>
      </c>
      <c r="J717" s="164" t="s">
        <v>167</v>
      </c>
      <c r="K717" s="179">
        <v>208</v>
      </c>
      <c r="L717" s="166">
        <f t="shared" si="237"/>
        <v>624</v>
      </c>
      <c r="M717" s="177" t="s">
        <v>777</v>
      </c>
      <c r="N717" s="154" t="s">
        <v>926</v>
      </c>
      <c r="O717" s="154">
        <v>9</v>
      </c>
      <c r="P717" s="154" t="s">
        <v>1950</v>
      </c>
      <c r="Q717" s="154">
        <v>9</v>
      </c>
      <c r="R717" s="3"/>
      <c r="S717" s="154"/>
      <c r="T717" s="45">
        <v>4116</v>
      </c>
      <c r="U717" s="45" t="s">
        <v>1695</v>
      </c>
      <c r="V717" s="45">
        <v>4115</v>
      </c>
      <c r="W717" s="45" t="s">
        <v>1696</v>
      </c>
      <c r="X717" s="98">
        <v>44816</v>
      </c>
      <c r="Y717" s="98">
        <v>45086</v>
      </c>
      <c r="Z717" s="98"/>
      <c r="AA717" s="98"/>
      <c r="AB717" s="42" t="s">
        <v>1118</v>
      </c>
      <c r="AC717" s="42"/>
      <c r="AD717" s="42"/>
      <c r="AE717" s="42"/>
      <c r="AF717" s="42"/>
      <c r="AG717" s="42" t="s">
        <v>734</v>
      </c>
      <c r="AH717" s="42" t="s">
        <v>734</v>
      </c>
      <c r="AI717" s="42" t="s">
        <v>734</v>
      </c>
      <c r="AJ717" s="42" t="s">
        <v>734</v>
      </c>
      <c r="AK717" s="42" t="s">
        <v>734</v>
      </c>
      <c r="AL717" s="42" t="s">
        <v>734</v>
      </c>
      <c r="AM717" s="42" t="s">
        <v>734</v>
      </c>
      <c r="AN717" s="42"/>
      <c r="AO717" s="42"/>
      <c r="AP717" s="42"/>
      <c r="AQ717" s="42"/>
      <c r="AR717" s="42"/>
      <c r="AS717" s="42"/>
      <c r="AT717" s="42"/>
      <c r="AU717" s="42"/>
      <c r="AV717" s="42"/>
      <c r="AW717" s="42"/>
      <c r="AX717" s="68">
        <v>10</v>
      </c>
      <c r="AY717" s="37"/>
      <c r="AZ717" s="37"/>
      <c r="BA717" s="68"/>
      <c r="BB717" s="68"/>
      <c r="BC717" s="37"/>
      <c r="BD717" s="67">
        <f t="shared" si="243"/>
        <v>2080</v>
      </c>
      <c r="BE717" s="67"/>
      <c r="BF717" s="37"/>
      <c r="BG717" s="73">
        <v>1</v>
      </c>
      <c r="BH717" s="67">
        <f t="shared" si="253"/>
        <v>0</v>
      </c>
      <c r="BI717" s="67">
        <f t="shared" si="254"/>
        <v>0</v>
      </c>
      <c r="BJ717" s="70">
        <f t="shared" si="255"/>
        <v>0</v>
      </c>
      <c r="BN717" s="67">
        <f t="shared" ref="BN717:BN722" si="256">IF((AX717+AY717+AZ717)&lt;20,(20-(AX717+AY717+AZ717)),0)</f>
        <v>10</v>
      </c>
      <c r="BO717" s="70">
        <f t="shared" si="244"/>
        <v>2080</v>
      </c>
      <c r="BP717" s="37">
        <v>17</v>
      </c>
      <c r="BQ717" s="37">
        <v>25</v>
      </c>
      <c r="BR717" s="37">
        <v>25</v>
      </c>
      <c r="BS717" s="37">
        <v>18</v>
      </c>
      <c r="BT717" s="87">
        <f t="shared" si="245"/>
        <v>20</v>
      </c>
      <c r="BU717" s="87"/>
      <c r="BV717" s="87"/>
      <c r="BW717" s="87"/>
      <c r="BX717" s="87"/>
      <c r="BY717" s="87"/>
      <c r="BZ717" s="87"/>
      <c r="CA717" s="87"/>
      <c r="CB717" s="87"/>
      <c r="CC717" s="87"/>
      <c r="CD717" s="87"/>
      <c r="CF717" s="67">
        <f t="shared" si="246"/>
        <v>340</v>
      </c>
      <c r="CG717" s="67">
        <f t="shared" si="247"/>
        <v>500</v>
      </c>
      <c r="CH717" s="67">
        <f t="shared" si="239"/>
        <v>500</v>
      </c>
      <c r="CI717" s="67">
        <f t="shared" si="252"/>
        <v>360</v>
      </c>
      <c r="CJ717" s="37">
        <f t="shared" si="248"/>
        <v>51</v>
      </c>
      <c r="CK717" s="37">
        <f t="shared" si="249"/>
        <v>75</v>
      </c>
      <c r="CL717" s="37">
        <f t="shared" si="250"/>
        <v>75</v>
      </c>
      <c r="CM717" s="37">
        <f t="shared" si="251"/>
        <v>54</v>
      </c>
    </row>
    <row r="718" spans="1:91" s="75" customFormat="1" ht="25.5">
      <c r="A718" s="3"/>
      <c r="B718" s="156">
        <v>705</v>
      </c>
      <c r="C718" s="169">
        <v>418</v>
      </c>
      <c r="D718" s="169">
        <v>169</v>
      </c>
      <c r="E718" s="170">
        <v>0.25694444444444448</v>
      </c>
      <c r="F718" s="176">
        <v>0.28125</v>
      </c>
      <c r="G718" s="171" t="s">
        <v>650</v>
      </c>
      <c r="H718" s="160" t="s">
        <v>97</v>
      </c>
      <c r="I718" s="169">
        <v>15.7</v>
      </c>
      <c r="J718" s="172">
        <v>30</v>
      </c>
      <c r="K718" s="165">
        <v>208</v>
      </c>
      <c r="L718" s="166">
        <f t="shared" si="237"/>
        <v>3265.6</v>
      </c>
      <c r="M718" s="177" t="s">
        <v>775</v>
      </c>
      <c r="N718" s="154" t="s">
        <v>873</v>
      </c>
      <c r="O718" s="154">
        <v>31</v>
      </c>
      <c r="P718" s="154" t="s">
        <v>872</v>
      </c>
      <c r="Q718" s="154">
        <v>21</v>
      </c>
      <c r="R718" s="270" t="s">
        <v>2064</v>
      </c>
      <c r="S718" s="270">
        <v>38</v>
      </c>
      <c r="T718" s="45">
        <v>4143</v>
      </c>
      <c r="U718" s="45" t="s">
        <v>1697</v>
      </c>
      <c r="V718" s="45" t="s">
        <v>1446</v>
      </c>
      <c r="W718" s="45" t="s">
        <v>1447</v>
      </c>
      <c r="X718" s="98">
        <v>44816</v>
      </c>
      <c r="Y718" s="98">
        <v>45086</v>
      </c>
      <c r="Z718" s="98"/>
      <c r="AA718" s="98"/>
      <c r="AB718" s="41" t="s">
        <v>1118</v>
      </c>
      <c r="AC718" s="41"/>
      <c r="AD718" s="42"/>
      <c r="AE718" s="42"/>
      <c r="AF718" s="42"/>
      <c r="AG718" s="42" t="s">
        <v>734</v>
      </c>
      <c r="AH718" s="42" t="s">
        <v>734</v>
      </c>
      <c r="AI718" s="42" t="s">
        <v>734</v>
      </c>
      <c r="AJ718" s="42" t="s">
        <v>734</v>
      </c>
      <c r="AK718" s="42" t="s">
        <v>734</v>
      </c>
      <c r="AL718" s="42" t="s">
        <v>734</v>
      </c>
      <c r="AM718" s="42" t="s">
        <v>734</v>
      </c>
      <c r="AN718" s="42"/>
      <c r="AO718" s="42"/>
      <c r="AP718" s="42"/>
      <c r="AQ718" s="42"/>
      <c r="AR718" s="42"/>
      <c r="AS718" s="42"/>
      <c r="AT718" s="42"/>
      <c r="AU718" s="42"/>
      <c r="AV718" s="42"/>
      <c r="AW718" s="42"/>
      <c r="AX718" s="67"/>
      <c r="AY718" s="67">
        <f>2.2*15.7</f>
        <v>34.54</v>
      </c>
      <c r="AZ718" s="37"/>
      <c r="BA718" s="76"/>
      <c r="BB718" s="76"/>
      <c r="BC718" s="37"/>
      <c r="BD718" s="67">
        <f t="shared" si="243"/>
        <v>0</v>
      </c>
      <c r="BE718" s="67">
        <f>AY718*K718</f>
        <v>7184.32</v>
      </c>
      <c r="BF718" s="37"/>
      <c r="BG718" s="73">
        <v>1</v>
      </c>
      <c r="BI718" s="67"/>
      <c r="BK718" s="67">
        <f>IF(AND((AY718/I718)&lt;2,BG718=1),(I718*2)-AY718,0)</f>
        <v>0</v>
      </c>
      <c r="BL718" s="67">
        <f>IF(AND((AY718/I718)&lt;3,BG718=2),(I718*3)-AY718,0)</f>
        <v>0</v>
      </c>
      <c r="BM718" s="70">
        <f>(BK718+BL718)*K718</f>
        <v>0</v>
      </c>
      <c r="BN718" s="67">
        <f t="shared" si="256"/>
        <v>0</v>
      </c>
      <c r="BO718" s="70">
        <f t="shared" si="244"/>
        <v>0</v>
      </c>
      <c r="BP718" s="37">
        <v>17</v>
      </c>
      <c r="BQ718" s="37">
        <v>25</v>
      </c>
      <c r="BR718" s="37">
        <v>25</v>
      </c>
      <c r="BS718" s="37">
        <v>18</v>
      </c>
      <c r="BT718" s="87">
        <f t="shared" si="245"/>
        <v>34.54</v>
      </c>
      <c r="BU718" s="87"/>
      <c r="BV718" s="87"/>
      <c r="BW718" s="87"/>
      <c r="BX718" s="87"/>
      <c r="BY718" s="87"/>
      <c r="BZ718" s="87"/>
      <c r="CA718" s="87"/>
      <c r="CB718" s="87"/>
      <c r="CC718" s="87"/>
      <c r="CD718" s="87"/>
      <c r="CF718" s="67">
        <f t="shared" si="246"/>
        <v>587.17999999999995</v>
      </c>
      <c r="CG718" s="67">
        <f t="shared" si="247"/>
        <v>863.5</v>
      </c>
      <c r="CH718" s="67">
        <f t="shared" si="239"/>
        <v>863.5</v>
      </c>
      <c r="CI718" s="67">
        <f t="shared" si="252"/>
        <v>621.72</v>
      </c>
      <c r="CJ718" s="37">
        <f t="shared" si="248"/>
        <v>266.89999999999998</v>
      </c>
      <c r="CK718" s="37">
        <f t="shared" si="249"/>
        <v>392.5</v>
      </c>
      <c r="CL718" s="37">
        <f t="shared" si="250"/>
        <v>392.5</v>
      </c>
      <c r="CM718" s="37">
        <f t="shared" si="251"/>
        <v>282.59999999999997</v>
      </c>
    </row>
    <row r="719" spans="1:91" s="75" customFormat="1" ht="25.5">
      <c r="A719" s="3"/>
      <c r="B719" s="156">
        <v>706</v>
      </c>
      <c r="C719" s="169">
        <v>418</v>
      </c>
      <c r="D719" s="169">
        <v>169</v>
      </c>
      <c r="E719" s="170">
        <v>0.25694444444444448</v>
      </c>
      <c r="F719" s="176">
        <v>0.28125</v>
      </c>
      <c r="G719" s="171" t="s">
        <v>651</v>
      </c>
      <c r="H719" s="160" t="s">
        <v>39</v>
      </c>
      <c r="I719" s="169">
        <v>14</v>
      </c>
      <c r="J719" s="172">
        <v>19</v>
      </c>
      <c r="K719" s="165">
        <v>29</v>
      </c>
      <c r="L719" s="166">
        <f t="shared" si="237"/>
        <v>406</v>
      </c>
      <c r="M719" s="177" t="s">
        <v>775</v>
      </c>
      <c r="N719" s="154" t="s">
        <v>872</v>
      </c>
      <c r="O719" s="154">
        <v>21</v>
      </c>
      <c r="P719" s="154" t="s">
        <v>873</v>
      </c>
      <c r="Q719" s="154">
        <v>31</v>
      </c>
      <c r="R719" s="270" t="s">
        <v>2064</v>
      </c>
      <c r="S719" s="270">
        <v>38</v>
      </c>
      <c r="T719" s="45">
        <v>4143</v>
      </c>
      <c r="U719" s="45" t="s">
        <v>1697</v>
      </c>
      <c r="V719" s="45" t="s">
        <v>1446</v>
      </c>
      <c r="W719" s="45" t="s">
        <v>1447</v>
      </c>
      <c r="X719" s="99">
        <v>44816</v>
      </c>
      <c r="Y719" s="99">
        <v>45100</v>
      </c>
      <c r="Z719" s="99"/>
      <c r="AA719" s="99"/>
      <c r="AB719" s="41" t="s">
        <v>1122</v>
      </c>
      <c r="AC719" s="41"/>
      <c r="AD719" s="42" t="s">
        <v>734</v>
      </c>
      <c r="AE719" s="42"/>
      <c r="AF719" s="42" t="s">
        <v>734</v>
      </c>
      <c r="AG719" s="42"/>
      <c r="AH719" s="42"/>
      <c r="AI719" s="42"/>
      <c r="AJ719" s="42"/>
      <c r="AK719" s="42"/>
      <c r="AL719" s="42"/>
      <c r="AM719" s="42"/>
      <c r="AN719" s="42"/>
      <c r="AO719" s="42"/>
      <c r="AP719" s="42"/>
      <c r="AQ719" s="42"/>
      <c r="AR719" s="42" t="s">
        <v>734</v>
      </c>
      <c r="AS719" s="42" t="s">
        <v>734</v>
      </c>
      <c r="AT719" s="42" t="s">
        <v>734</v>
      </c>
      <c r="AU719" s="42" t="s">
        <v>734</v>
      </c>
      <c r="AV719" s="42" t="s">
        <v>734</v>
      </c>
      <c r="AW719" s="42" t="s">
        <v>734</v>
      </c>
      <c r="AX719" s="67"/>
      <c r="AY719" s="67">
        <f>1.9*14</f>
        <v>26.599999999999998</v>
      </c>
      <c r="AZ719" s="37"/>
      <c r="BA719" s="76"/>
      <c r="BB719" s="76"/>
      <c r="BC719" s="37"/>
      <c r="BD719" s="67">
        <f t="shared" si="243"/>
        <v>0</v>
      </c>
      <c r="BE719" s="67">
        <f>AY719*K719</f>
        <v>771.4</v>
      </c>
      <c r="BF719" s="37"/>
      <c r="BG719" s="73">
        <v>1</v>
      </c>
      <c r="BI719" s="67"/>
      <c r="BK719" s="67">
        <f>IF(AND((AY719/I719)&lt;2,BG719=1),(I719*2)-AY719,0)</f>
        <v>1.4000000000000021</v>
      </c>
      <c r="BL719" s="67">
        <f>IF(AND((AY719/I719)&lt;3,BG719=2),(I719*3)-AY719,0)</f>
        <v>0</v>
      </c>
      <c r="BM719" s="70">
        <f>(BK719+BL719)*K719</f>
        <v>40.600000000000065</v>
      </c>
      <c r="BN719" s="67">
        <f t="shared" si="256"/>
        <v>0</v>
      </c>
      <c r="BO719" s="70">
        <f t="shared" si="244"/>
        <v>0</v>
      </c>
      <c r="BP719" s="37">
        <v>0</v>
      </c>
      <c r="BQ719" s="37">
        <v>1</v>
      </c>
      <c r="BR719" s="37">
        <v>0</v>
      </c>
      <c r="BS719" s="37">
        <v>7</v>
      </c>
      <c r="BT719" s="87">
        <f t="shared" si="245"/>
        <v>28</v>
      </c>
      <c r="BU719" s="87"/>
      <c r="BV719" s="87"/>
      <c r="BW719" s="87"/>
      <c r="BX719" s="87"/>
      <c r="BY719" s="87"/>
      <c r="BZ719" s="87"/>
      <c r="CA719" s="87"/>
      <c r="CB719" s="87"/>
      <c r="CC719" s="87"/>
      <c r="CD719" s="87"/>
      <c r="CF719" s="67">
        <f t="shared" si="246"/>
        <v>0</v>
      </c>
      <c r="CG719" s="67">
        <f t="shared" si="247"/>
        <v>28</v>
      </c>
      <c r="CH719" s="67">
        <f t="shared" si="239"/>
        <v>0</v>
      </c>
      <c r="CI719" s="67">
        <f t="shared" si="252"/>
        <v>196</v>
      </c>
      <c r="CJ719" s="37">
        <f t="shared" si="248"/>
        <v>0</v>
      </c>
      <c r="CK719" s="37">
        <f t="shared" si="249"/>
        <v>14</v>
      </c>
      <c r="CL719" s="37">
        <f t="shared" si="250"/>
        <v>0</v>
      </c>
      <c r="CM719" s="37">
        <f t="shared" si="251"/>
        <v>98</v>
      </c>
    </row>
    <row r="720" spans="1:91" s="75" customFormat="1" ht="22.5">
      <c r="A720" s="3"/>
      <c r="B720" s="156">
        <v>707</v>
      </c>
      <c r="C720" s="169">
        <v>418</v>
      </c>
      <c r="D720" s="169">
        <v>169</v>
      </c>
      <c r="E720" s="170">
        <v>0.25694444444444448</v>
      </c>
      <c r="F720" s="176">
        <v>0.28125</v>
      </c>
      <c r="G720" s="171" t="s">
        <v>41</v>
      </c>
      <c r="H720" s="160" t="s">
        <v>1</v>
      </c>
      <c r="I720" s="169">
        <v>14</v>
      </c>
      <c r="J720" s="172">
        <v>19</v>
      </c>
      <c r="K720" s="165">
        <v>67</v>
      </c>
      <c r="L720" s="166">
        <f t="shared" si="237"/>
        <v>938</v>
      </c>
      <c r="M720" s="177" t="s">
        <v>775</v>
      </c>
      <c r="N720" s="154" t="s">
        <v>872</v>
      </c>
      <c r="O720" s="154">
        <v>21</v>
      </c>
      <c r="P720" s="154" t="s">
        <v>873</v>
      </c>
      <c r="Q720" s="154">
        <v>31</v>
      </c>
      <c r="R720" s="270" t="s">
        <v>2064</v>
      </c>
      <c r="S720" s="270">
        <v>38</v>
      </c>
      <c r="T720" s="45">
        <v>4143</v>
      </c>
      <c r="U720" s="45" t="s">
        <v>1697</v>
      </c>
      <c r="V720" s="45" t="s">
        <v>1446</v>
      </c>
      <c r="W720" s="45" t="s">
        <v>1447</v>
      </c>
      <c r="X720" s="99">
        <v>44562</v>
      </c>
      <c r="Y720" s="99">
        <v>44815</v>
      </c>
      <c r="Z720" s="99">
        <v>45101</v>
      </c>
      <c r="AA720" s="99">
        <v>45169</v>
      </c>
      <c r="AB720" s="42" t="s">
        <v>1119</v>
      </c>
      <c r="AC720" s="42"/>
      <c r="AD720" s="42"/>
      <c r="AE720" s="42" t="s">
        <v>734</v>
      </c>
      <c r="AF720" s="42" t="s">
        <v>734</v>
      </c>
      <c r="AG720" s="42"/>
      <c r="AH720" s="42" t="s">
        <v>734</v>
      </c>
      <c r="AI720" s="42" t="s">
        <v>734</v>
      </c>
      <c r="AJ720" s="42" t="s">
        <v>734</v>
      </c>
      <c r="AK720" s="42" t="s">
        <v>734</v>
      </c>
      <c r="AL720" s="42" t="s">
        <v>734</v>
      </c>
      <c r="AM720" s="42" t="s">
        <v>734</v>
      </c>
      <c r="AN720" s="42"/>
      <c r="AO720" s="42"/>
      <c r="AP720" s="42"/>
      <c r="AQ720" s="42"/>
      <c r="AR720" s="42"/>
      <c r="AS720" s="42"/>
      <c r="AT720" s="42"/>
      <c r="AU720" s="42"/>
      <c r="AV720" s="42"/>
      <c r="AW720" s="42"/>
      <c r="AX720" s="67"/>
      <c r="AY720" s="67">
        <f>1.9*14</f>
        <v>26.599999999999998</v>
      </c>
      <c r="AZ720" s="37"/>
      <c r="BA720" s="76"/>
      <c r="BB720" s="76"/>
      <c r="BC720" s="37"/>
      <c r="BD720" s="67">
        <f t="shared" si="243"/>
        <v>0</v>
      </c>
      <c r="BE720" s="67">
        <f>AY720*K720</f>
        <v>1782.1999999999998</v>
      </c>
      <c r="BF720" s="37"/>
      <c r="BG720" s="73">
        <v>1</v>
      </c>
      <c r="BI720" s="67"/>
      <c r="BK720" s="67">
        <f>IF(AND((AY720/I720)&lt;2,BG720=1),(I720*2)-AY720,0)</f>
        <v>1.4000000000000021</v>
      </c>
      <c r="BL720" s="67">
        <f>IF(AND((AY720/I720)&lt;3,BG720=2),(I720*3)-AY720,0)</f>
        <v>0</v>
      </c>
      <c r="BM720" s="70">
        <f>(BK720+BL720)*K720</f>
        <v>93.800000000000139</v>
      </c>
      <c r="BN720" s="67">
        <f t="shared" si="256"/>
        <v>0</v>
      </c>
      <c r="BO720" s="70">
        <f t="shared" si="244"/>
        <v>0</v>
      </c>
      <c r="BP720" s="37">
        <v>9</v>
      </c>
      <c r="BQ720" s="37">
        <v>0</v>
      </c>
      <c r="BR720" s="37">
        <v>0</v>
      </c>
      <c r="BS720" s="37">
        <v>0</v>
      </c>
      <c r="BT720" s="87">
        <f t="shared" si="245"/>
        <v>28</v>
      </c>
      <c r="BU720" s="87"/>
      <c r="BV720" s="87"/>
      <c r="BW720" s="87"/>
      <c r="BX720" s="87"/>
      <c r="BY720" s="87"/>
      <c r="BZ720" s="87"/>
      <c r="CA720" s="87"/>
      <c r="CB720" s="87"/>
      <c r="CC720" s="87"/>
      <c r="CD720" s="87"/>
      <c r="CF720" s="67">
        <f t="shared" si="246"/>
        <v>252</v>
      </c>
      <c r="CG720" s="67">
        <f t="shared" si="247"/>
        <v>0</v>
      </c>
      <c r="CH720" s="67">
        <f t="shared" si="239"/>
        <v>0</v>
      </c>
      <c r="CI720" s="67">
        <f t="shared" si="252"/>
        <v>0</v>
      </c>
      <c r="CJ720" s="37">
        <f t="shared" si="248"/>
        <v>126</v>
      </c>
      <c r="CK720" s="37">
        <f t="shared" si="249"/>
        <v>0</v>
      </c>
      <c r="CL720" s="37">
        <f t="shared" si="250"/>
        <v>0</v>
      </c>
      <c r="CM720" s="37">
        <f t="shared" si="251"/>
        <v>0</v>
      </c>
    </row>
    <row r="721" spans="1:91" s="75" customFormat="1" ht="22.5">
      <c r="A721" s="3"/>
      <c r="B721" s="156">
        <v>708</v>
      </c>
      <c r="C721" s="160">
        <v>418</v>
      </c>
      <c r="D721" s="162">
        <v>89</v>
      </c>
      <c r="E721" s="161">
        <v>0.25833333333333336</v>
      </c>
      <c r="F721" s="161">
        <v>0.2673611111111111</v>
      </c>
      <c r="G721" s="171" t="s">
        <v>232</v>
      </c>
      <c r="H721" s="160" t="s">
        <v>18</v>
      </c>
      <c r="I721" s="163">
        <v>6</v>
      </c>
      <c r="J721" s="164" t="s">
        <v>93</v>
      </c>
      <c r="K721" s="165">
        <v>304</v>
      </c>
      <c r="L721" s="166">
        <f t="shared" si="237"/>
        <v>1824</v>
      </c>
      <c r="M721" s="177" t="s">
        <v>777</v>
      </c>
      <c r="N721" s="154" t="s">
        <v>926</v>
      </c>
      <c r="O721" s="154">
        <v>9</v>
      </c>
      <c r="P721" s="154" t="s">
        <v>1950</v>
      </c>
      <c r="Q721" s="154">
        <v>9</v>
      </c>
      <c r="R721" s="3"/>
      <c r="S721" s="154"/>
      <c r="T721" s="45">
        <v>4115</v>
      </c>
      <c r="U721" s="45" t="s">
        <v>1696</v>
      </c>
      <c r="V721" s="45">
        <v>4113</v>
      </c>
      <c r="W721" s="45" t="s">
        <v>1698</v>
      </c>
      <c r="X721" s="98">
        <v>44805</v>
      </c>
      <c r="Y721" s="98">
        <v>45169</v>
      </c>
      <c r="Z721" s="98"/>
      <c r="AA721" s="98"/>
      <c r="AB721" s="42" t="s">
        <v>1125</v>
      </c>
      <c r="AC721" s="42"/>
      <c r="AD721" s="42" t="s">
        <v>734</v>
      </c>
      <c r="AE721" s="42" t="s">
        <v>734</v>
      </c>
      <c r="AF721" s="42" t="s">
        <v>734</v>
      </c>
      <c r="AG721" s="42"/>
      <c r="AH721" s="42" t="s">
        <v>734</v>
      </c>
      <c r="AI721" s="42" t="s">
        <v>734</v>
      </c>
      <c r="AJ721" s="42" t="s">
        <v>734</v>
      </c>
      <c r="AK721" s="42" t="s">
        <v>734</v>
      </c>
      <c r="AL721" s="42" t="s">
        <v>734</v>
      </c>
      <c r="AM721" s="42" t="s">
        <v>734</v>
      </c>
      <c r="AN721" s="42"/>
      <c r="AO721" s="42"/>
      <c r="AP721" s="42"/>
      <c r="AQ721" s="42"/>
      <c r="AR721" s="42"/>
      <c r="AS721" s="42"/>
      <c r="AT721" s="42"/>
      <c r="AU721" s="42"/>
      <c r="AV721" s="42"/>
      <c r="AW721" s="42"/>
      <c r="AX721" s="68">
        <v>14.27</v>
      </c>
      <c r="AY721" s="37"/>
      <c r="AZ721" s="37"/>
      <c r="BA721" s="68"/>
      <c r="BB721" s="68"/>
      <c r="BC721" s="37"/>
      <c r="BD721" s="67">
        <f t="shared" si="243"/>
        <v>4338.08</v>
      </c>
      <c r="BE721" s="67"/>
      <c r="BF721" s="37"/>
      <c r="BG721" s="73">
        <v>1</v>
      </c>
      <c r="BH721" s="67">
        <f>IF(AND((AX721/I721)&lt;2,BG721=1),(I721*2)-AX721,0)</f>
        <v>0</v>
      </c>
      <c r="BI721" s="67">
        <f>IF(AND((AX721/I721)&lt;3,BG721=2),(I721*3)-AX721,0)</f>
        <v>0</v>
      </c>
      <c r="BJ721" s="70">
        <f>(BH721+BI721)*K721</f>
        <v>0</v>
      </c>
      <c r="BN721" s="67">
        <f t="shared" si="256"/>
        <v>5.73</v>
      </c>
      <c r="BO721" s="70">
        <f t="shared" si="244"/>
        <v>1741.92</v>
      </c>
      <c r="BP721" s="37">
        <v>26</v>
      </c>
      <c r="BQ721" s="37">
        <v>26</v>
      </c>
      <c r="BR721" s="37">
        <v>25</v>
      </c>
      <c r="BS721" s="37">
        <v>25</v>
      </c>
      <c r="BT721" s="87">
        <f t="shared" si="245"/>
        <v>20</v>
      </c>
      <c r="BU721" s="87"/>
      <c r="BV721" s="87"/>
      <c r="BW721" s="87"/>
      <c r="BX721" s="87"/>
      <c r="BY721" s="87"/>
      <c r="BZ721" s="87"/>
      <c r="CA721" s="87"/>
      <c r="CB721" s="87"/>
      <c r="CC721" s="87"/>
      <c r="CD721" s="87"/>
      <c r="CF721" s="67">
        <f t="shared" si="246"/>
        <v>520</v>
      </c>
      <c r="CG721" s="67">
        <f t="shared" si="247"/>
        <v>520</v>
      </c>
      <c r="CH721" s="67">
        <f t="shared" si="239"/>
        <v>500</v>
      </c>
      <c r="CI721" s="67">
        <f t="shared" si="252"/>
        <v>500</v>
      </c>
      <c r="CJ721" s="37">
        <f t="shared" si="248"/>
        <v>156</v>
      </c>
      <c r="CK721" s="37">
        <f t="shared" si="249"/>
        <v>156</v>
      </c>
      <c r="CL721" s="37">
        <f t="shared" si="250"/>
        <v>150</v>
      </c>
      <c r="CM721" s="37">
        <f t="shared" si="251"/>
        <v>150</v>
      </c>
    </row>
    <row r="722" spans="1:91" s="75" customFormat="1" ht="25.5">
      <c r="A722" s="3" t="s">
        <v>804</v>
      </c>
      <c r="B722" s="156">
        <v>709</v>
      </c>
      <c r="C722" s="160">
        <v>418</v>
      </c>
      <c r="D722" s="162"/>
      <c r="E722" s="161">
        <v>0.2902777777777778</v>
      </c>
      <c r="F722" s="161">
        <v>0.2951388888888889</v>
      </c>
      <c r="G722" s="160" t="s">
        <v>707</v>
      </c>
      <c r="H722" s="160" t="s">
        <v>103</v>
      </c>
      <c r="I722" s="163">
        <v>2.5</v>
      </c>
      <c r="J722" s="164" t="s">
        <v>701</v>
      </c>
      <c r="K722" s="165">
        <v>174</v>
      </c>
      <c r="L722" s="166">
        <f t="shared" si="237"/>
        <v>435</v>
      </c>
      <c r="M722" s="177" t="s">
        <v>775</v>
      </c>
      <c r="N722" s="150" t="s">
        <v>1074</v>
      </c>
      <c r="O722" s="150">
        <v>8</v>
      </c>
      <c r="P722" s="150" t="s">
        <v>872</v>
      </c>
      <c r="Q722" s="150">
        <v>21</v>
      </c>
      <c r="R722" s="150" t="s">
        <v>1290</v>
      </c>
      <c r="S722" s="152">
        <v>9</v>
      </c>
      <c r="T722" s="45" t="s">
        <v>1699</v>
      </c>
      <c r="U722" s="45" t="s">
        <v>1700</v>
      </c>
      <c r="V722" s="45">
        <v>4142</v>
      </c>
      <c r="W722" s="45" t="s">
        <v>1701</v>
      </c>
      <c r="X722" s="98">
        <v>44816</v>
      </c>
      <c r="Y722" s="98">
        <v>45086</v>
      </c>
      <c r="Z722" s="98"/>
      <c r="AA722" s="98"/>
      <c r="AB722" s="41" t="s">
        <v>1114</v>
      </c>
      <c r="AC722" s="41"/>
      <c r="AD722" s="42"/>
      <c r="AE722" s="42"/>
      <c r="AF722" s="42"/>
      <c r="AG722" s="42" t="s">
        <v>734</v>
      </c>
      <c r="AH722" s="42" t="s">
        <v>734</v>
      </c>
      <c r="AI722" s="42" t="s">
        <v>734</v>
      </c>
      <c r="AJ722" s="42" t="s">
        <v>734</v>
      </c>
      <c r="AK722" s="42" t="s">
        <v>734</v>
      </c>
      <c r="AL722" s="42" t="s">
        <v>734</v>
      </c>
      <c r="AM722" s="42"/>
      <c r="AN722" s="42"/>
      <c r="AO722" s="42"/>
      <c r="AP722" s="42"/>
      <c r="AQ722" s="42"/>
      <c r="AR722" s="42"/>
      <c r="AS722" s="42"/>
      <c r="AT722" s="42"/>
      <c r="AU722" s="42"/>
      <c r="AV722" s="42"/>
      <c r="AW722" s="42"/>
      <c r="AX722" s="68"/>
      <c r="AY722" s="67"/>
      <c r="AZ722" s="67">
        <f>3*I722</f>
        <v>7.5</v>
      </c>
      <c r="BA722" s="68"/>
      <c r="BB722" s="68"/>
      <c r="BC722" s="37"/>
      <c r="BD722" s="37"/>
      <c r="BE722" s="37"/>
      <c r="BF722" s="67">
        <f>AZ722*K722</f>
        <v>1305</v>
      </c>
      <c r="BG722" s="73">
        <v>1</v>
      </c>
      <c r="BH722" s="73"/>
      <c r="BI722" s="79"/>
      <c r="BJ722" s="73"/>
      <c r="BK722" s="73"/>
      <c r="BL722" s="73"/>
      <c r="BM722" s="73"/>
      <c r="BN722" s="67">
        <f t="shared" si="256"/>
        <v>12.5</v>
      </c>
      <c r="BO722" s="70">
        <f t="shared" si="244"/>
        <v>2175</v>
      </c>
      <c r="BP722" s="37">
        <v>15</v>
      </c>
      <c r="BQ722" s="37">
        <v>20</v>
      </c>
      <c r="BR722" s="37">
        <v>21</v>
      </c>
      <c r="BS722" s="37">
        <v>15</v>
      </c>
      <c r="BT722" s="87">
        <f t="shared" si="245"/>
        <v>20</v>
      </c>
      <c r="BU722" s="87"/>
      <c r="BV722" s="87"/>
      <c r="BW722" s="87"/>
      <c r="BX722" s="87"/>
      <c r="BY722" s="87"/>
      <c r="BZ722" s="87"/>
      <c r="CA722" s="87"/>
      <c r="CB722" s="87"/>
      <c r="CC722" s="87"/>
      <c r="CD722" s="87"/>
      <c r="CF722" s="67">
        <f t="shared" si="246"/>
        <v>300</v>
      </c>
      <c r="CG722" s="67">
        <f t="shared" si="247"/>
        <v>400</v>
      </c>
      <c r="CH722" s="67">
        <f t="shared" si="239"/>
        <v>420</v>
      </c>
      <c r="CI722" s="67">
        <f t="shared" si="252"/>
        <v>300</v>
      </c>
      <c r="CJ722" s="37">
        <f t="shared" si="248"/>
        <v>37.5</v>
      </c>
      <c r="CK722" s="37">
        <f t="shared" si="249"/>
        <v>50</v>
      </c>
      <c r="CL722" s="37">
        <f t="shared" si="250"/>
        <v>52.5</v>
      </c>
      <c r="CM722" s="37">
        <f t="shared" si="251"/>
        <v>37.5</v>
      </c>
    </row>
    <row r="723" spans="1:91" s="75" customFormat="1" ht="25.5">
      <c r="A723" s="3"/>
      <c r="B723" s="156">
        <v>710</v>
      </c>
      <c r="C723" s="160">
        <v>418</v>
      </c>
      <c r="D723" s="162">
        <v>95</v>
      </c>
      <c r="E723" s="161">
        <v>0.29305555555555557</v>
      </c>
      <c r="F723" s="161">
        <v>0.30555555555555552</v>
      </c>
      <c r="G723" s="160" t="s">
        <v>696</v>
      </c>
      <c r="H723" s="160" t="s">
        <v>97</v>
      </c>
      <c r="I723" s="163">
        <v>9</v>
      </c>
      <c r="J723" s="164" t="s">
        <v>93</v>
      </c>
      <c r="K723" s="165">
        <v>208</v>
      </c>
      <c r="L723" s="166">
        <f t="shared" si="237"/>
        <v>1872</v>
      </c>
      <c r="M723" s="177" t="s">
        <v>777</v>
      </c>
      <c r="N723" s="154" t="s">
        <v>926</v>
      </c>
      <c r="O723" s="150">
        <v>9</v>
      </c>
      <c r="P723" s="150" t="s">
        <v>1950</v>
      </c>
      <c r="Q723" s="150">
        <v>9</v>
      </c>
      <c r="R723" s="3"/>
      <c r="S723" s="150"/>
      <c r="T723" s="45">
        <v>4116</v>
      </c>
      <c r="U723" s="45" t="s">
        <v>1695</v>
      </c>
      <c r="V723" s="45">
        <v>4113</v>
      </c>
      <c r="W723" s="45" t="s">
        <v>1698</v>
      </c>
      <c r="X723" s="98">
        <v>44816</v>
      </c>
      <c r="Y723" s="98">
        <v>45086</v>
      </c>
      <c r="Z723" s="98"/>
      <c r="AA723" s="98"/>
      <c r="AB723" s="41" t="s">
        <v>1118</v>
      </c>
      <c r="AC723" s="41"/>
      <c r="AD723" s="42"/>
      <c r="AE723" s="42"/>
      <c r="AF723" s="42"/>
      <c r="AG723" s="42" t="s">
        <v>734</v>
      </c>
      <c r="AH723" s="42" t="s">
        <v>734</v>
      </c>
      <c r="AI723" s="42" t="s">
        <v>734</v>
      </c>
      <c r="AJ723" s="42" t="s">
        <v>734</v>
      </c>
      <c r="AK723" s="42" t="s">
        <v>734</v>
      </c>
      <c r="AL723" s="42" t="s">
        <v>734</v>
      </c>
      <c r="AM723" s="42" t="s">
        <v>734</v>
      </c>
      <c r="AN723" s="42"/>
      <c r="AO723" s="42"/>
      <c r="AP723" s="42"/>
      <c r="AQ723" s="42"/>
      <c r="AR723" s="42"/>
      <c r="AS723" s="42"/>
      <c r="AT723" s="42"/>
      <c r="AU723" s="42"/>
      <c r="AV723" s="42"/>
      <c r="AW723" s="42"/>
      <c r="AX723" s="68">
        <v>27</v>
      </c>
      <c r="AY723" s="37"/>
      <c r="AZ723" s="37"/>
      <c r="BA723" s="68"/>
      <c r="BB723" s="68"/>
      <c r="BC723" s="37"/>
      <c r="BD723" s="67">
        <f t="shared" ref="BD723:BD754" si="257">AX723*K723</f>
        <v>5616</v>
      </c>
      <c r="BE723" s="67"/>
      <c r="BF723" s="37"/>
      <c r="BG723" s="73">
        <v>1</v>
      </c>
      <c r="BH723" s="67">
        <f t="shared" ref="BH723:BH739" si="258">IF(AND((AX723/I723)&lt;2,BG723=1),(I723*2)-AX723,0)</f>
        <v>0</v>
      </c>
      <c r="BI723" s="67">
        <f t="shared" ref="BI723:BI739" si="259">IF(AND((AX723/I723)&lt;3,BG723=2),(I723*3)-AX723,0)</f>
        <v>0</v>
      </c>
      <c r="BJ723" s="70">
        <f t="shared" ref="BJ723:BJ739" si="260">(BH723+BI723)*K723</f>
        <v>0</v>
      </c>
      <c r="BO723" s="70">
        <f t="shared" si="244"/>
        <v>0</v>
      </c>
      <c r="BP723" s="37">
        <v>17</v>
      </c>
      <c r="BQ723" s="37">
        <v>25</v>
      </c>
      <c r="BR723" s="37">
        <v>25</v>
      </c>
      <c r="BS723" s="37">
        <v>18</v>
      </c>
      <c r="BT723" s="87">
        <f t="shared" si="245"/>
        <v>27</v>
      </c>
      <c r="BU723" s="87"/>
      <c r="BV723" s="87"/>
      <c r="BW723" s="87"/>
      <c r="BX723" s="87"/>
      <c r="BY723" s="87"/>
      <c r="BZ723" s="87"/>
      <c r="CA723" s="87"/>
      <c r="CB723" s="87"/>
      <c r="CC723" s="87"/>
      <c r="CD723" s="87"/>
      <c r="CF723" s="67">
        <f t="shared" si="246"/>
        <v>459</v>
      </c>
      <c r="CG723" s="67">
        <f t="shared" si="247"/>
        <v>675</v>
      </c>
      <c r="CH723" s="67">
        <f t="shared" si="239"/>
        <v>675</v>
      </c>
      <c r="CI723" s="67">
        <f t="shared" si="252"/>
        <v>486</v>
      </c>
      <c r="CJ723" s="37">
        <f t="shared" si="248"/>
        <v>153</v>
      </c>
      <c r="CK723" s="37">
        <f t="shared" si="249"/>
        <v>225</v>
      </c>
      <c r="CL723" s="37">
        <f t="shared" si="250"/>
        <v>225</v>
      </c>
      <c r="CM723" s="37">
        <f t="shared" si="251"/>
        <v>162</v>
      </c>
    </row>
    <row r="724" spans="1:91" s="75" customFormat="1" ht="38.25">
      <c r="A724" s="3"/>
      <c r="B724" s="156">
        <v>711</v>
      </c>
      <c r="C724" s="160">
        <v>418</v>
      </c>
      <c r="D724" s="162">
        <v>91</v>
      </c>
      <c r="E724" s="161">
        <v>0.3034722222222222</v>
      </c>
      <c r="F724" s="161">
        <v>0.32777777777777778</v>
      </c>
      <c r="G724" s="171" t="s">
        <v>595</v>
      </c>
      <c r="H724" s="160" t="s">
        <v>18</v>
      </c>
      <c r="I724" s="163">
        <f>13.5+1.8</f>
        <v>15.3</v>
      </c>
      <c r="J724" s="164" t="s">
        <v>228</v>
      </c>
      <c r="K724" s="165">
        <v>304</v>
      </c>
      <c r="L724" s="166">
        <f t="shared" si="237"/>
        <v>4651.2</v>
      </c>
      <c r="M724" s="177" t="s">
        <v>777</v>
      </c>
      <c r="N724" s="154" t="s">
        <v>928</v>
      </c>
      <c r="O724" s="150">
        <v>31</v>
      </c>
      <c r="P724" s="150" t="s">
        <v>927</v>
      </c>
      <c r="Q724" s="150">
        <v>20</v>
      </c>
      <c r="R724" s="3"/>
      <c r="S724" s="150"/>
      <c r="T724" s="45">
        <v>4115</v>
      </c>
      <c r="U724" s="45" t="s">
        <v>1696</v>
      </c>
      <c r="V724" s="45" t="s">
        <v>1446</v>
      </c>
      <c r="W724" s="45" t="s">
        <v>1447</v>
      </c>
      <c r="X724" s="98">
        <v>44805</v>
      </c>
      <c r="Y724" s="98">
        <v>45169</v>
      </c>
      <c r="Z724" s="98"/>
      <c r="AA724" s="98"/>
      <c r="AB724" s="42" t="s">
        <v>1125</v>
      </c>
      <c r="AC724" s="42"/>
      <c r="AD724" s="42" t="s">
        <v>734</v>
      </c>
      <c r="AE724" s="42" t="s">
        <v>734</v>
      </c>
      <c r="AF724" s="42" t="s">
        <v>734</v>
      </c>
      <c r="AG724" s="42"/>
      <c r="AH724" s="42" t="s">
        <v>734</v>
      </c>
      <c r="AI724" s="42" t="s">
        <v>734</v>
      </c>
      <c r="AJ724" s="42" t="s">
        <v>734</v>
      </c>
      <c r="AK724" s="42" t="s">
        <v>734</v>
      </c>
      <c r="AL724" s="42" t="s">
        <v>734</v>
      </c>
      <c r="AM724" s="42" t="s">
        <v>734</v>
      </c>
      <c r="AN724" s="42"/>
      <c r="AO724" s="42"/>
      <c r="AP724" s="42"/>
      <c r="AQ724" s="42"/>
      <c r="AR724" s="42"/>
      <c r="AS724" s="42"/>
      <c r="AT724" s="42"/>
      <c r="AU724" s="42"/>
      <c r="AV724" s="42"/>
      <c r="AW724" s="42"/>
      <c r="AX724" s="68">
        <v>35.35</v>
      </c>
      <c r="AY724" s="37"/>
      <c r="AZ724" s="37"/>
      <c r="BA724" s="68"/>
      <c r="BB724" s="68"/>
      <c r="BC724" s="37"/>
      <c r="BD724" s="67">
        <f t="shared" si="257"/>
        <v>10746.4</v>
      </c>
      <c r="BE724" s="67"/>
      <c r="BF724" s="37"/>
      <c r="BG724" s="73">
        <v>1</v>
      </c>
      <c r="BH724" s="67">
        <f t="shared" si="258"/>
        <v>0</v>
      </c>
      <c r="BI724" s="67">
        <f t="shared" si="259"/>
        <v>0</v>
      </c>
      <c r="BJ724" s="70">
        <f t="shared" si="260"/>
        <v>0</v>
      </c>
      <c r="BO724" s="70">
        <f t="shared" si="244"/>
        <v>0</v>
      </c>
      <c r="BP724" s="37">
        <v>26</v>
      </c>
      <c r="BQ724" s="37">
        <v>26</v>
      </c>
      <c r="BR724" s="37">
        <v>25</v>
      </c>
      <c r="BS724" s="37">
        <v>25</v>
      </c>
      <c r="BT724" s="87">
        <f t="shared" si="245"/>
        <v>35.35</v>
      </c>
      <c r="BU724" s="87"/>
      <c r="BV724" s="87"/>
      <c r="BW724" s="87"/>
      <c r="BX724" s="87"/>
      <c r="BY724" s="87"/>
      <c r="BZ724" s="87"/>
      <c r="CA724" s="87"/>
      <c r="CB724" s="87"/>
      <c r="CC724" s="87"/>
      <c r="CD724" s="87"/>
      <c r="CF724" s="67">
        <f t="shared" si="246"/>
        <v>919.1</v>
      </c>
      <c r="CG724" s="67">
        <f t="shared" si="247"/>
        <v>919.1</v>
      </c>
      <c r="CH724" s="67">
        <f t="shared" si="239"/>
        <v>883.75</v>
      </c>
      <c r="CI724" s="67">
        <f t="shared" si="252"/>
        <v>883.75</v>
      </c>
      <c r="CJ724" s="37">
        <f t="shared" si="248"/>
        <v>397.8</v>
      </c>
      <c r="CK724" s="37">
        <f t="shared" si="249"/>
        <v>397.8</v>
      </c>
      <c r="CL724" s="37">
        <f t="shared" si="250"/>
        <v>382.5</v>
      </c>
      <c r="CM724" s="37">
        <f t="shared" si="251"/>
        <v>382.5</v>
      </c>
    </row>
    <row r="725" spans="1:91" s="75" customFormat="1" ht="25.5">
      <c r="A725" s="3"/>
      <c r="B725" s="156">
        <v>712</v>
      </c>
      <c r="C725" s="160">
        <v>418</v>
      </c>
      <c r="D725" s="191" t="s">
        <v>1065</v>
      </c>
      <c r="E725" s="161">
        <v>0.36805555555555558</v>
      </c>
      <c r="F725" s="161">
        <v>0.42152777777777778</v>
      </c>
      <c r="G725" s="171" t="s">
        <v>428</v>
      </c>
      <c r="H725" s="160" t="s">
        <v>429</v>
      </c>
      <c r="I725" s="163">
        <f>16+16.5</f>
        <v>32.5</v>
      </c>
      <c r="J725" s="164" t="s">
        <v>188</v>
      </c>
      <c r="K725" s="165">
        <v>58</v>
      </c>
      <c r="L725" s="166">
        <f t="shared" ref="L725:L788" si="261">+K725*I725</f>
        <v>1885</v>
      </c>
      <c r="M725" s="177" t="s">
        <v>778</v>
      </c>
      <c r="N725" s="150" t="s">
        <v>991</v>
      </c>
      <c r="O725" s="150">
        <v>33</v>
      </c>
      <c r="P725" s="150" t="s">
        <v>1951</v>
      </c>
      <c r="Q725" s="150">
        <v>55</v>
      </c>
      <c r="R725" s="3"/>
      <c r="S725" s="150"/>
      <c r="T725" s="45" t="s">
        <v>1446</v>
      </c>
      <c r="U725" s="45" t="s">
        <v>1447</v>
      </c>
      <c r="V725" s="45" t="s">
        <v>1446</v>
      </c>
      <c r="W725" s="45" t="s">
        <v>1447</v>
      </c>
      <c r="X725" s="98">
        <v>44805</v>
      </c>
      <c r="Y725" s="98">
        <v>45169</v>
      </c>
      <c r="Z725" s="98"/>
      <c r="AA725" s="98"/>
      <c r="AB725" s="42" t="s">
        <v>1127</v>
      </c>
      <c r="AC725" s="42"/>
      <c r="AD725" s="42" t="s">
        <v>734</v>
      </c>
      <c r="AE725" s="42" t="s">
        <v>734</v>
      </c>
      <c r="AF725" s="42"/>
      <c r="AG725" s="42"/>
      <c r="AH725" s="42"/>
      <c r="AI725" s="42"/>
      <c r="AJ725" s="42"/>
      <c r="AK725" s="42"/>
      <c r="AL725" s="42"/>
      <c r="AM725" s="42"/>
      <c r="AN725" s="42" t="s">
        <v>734</v>
      </c>
      <c r="AO725" s="42"/>
      <c r="AP725" s="42"/>
      <c r="AQ725" s="42"/>
      <c r="AR725" s="42"/>
      <c r="AS725" s="42"/>
      <c r="AT725" s="42"/>
      <c r="AU725" s="42"/>
      <c r="AV725" s="42"/>
      <c r="AW725" s="42"/>
      <c r="AX725" s="68">
        <v>97.5</v>
      </c>
      <c r="AY725" s="37"/>
      <c r="AZ725" s="37"/>
      <c r="BA725" s="68"/>
      <c r="BB725" s="68"/>
      <c r="BC725" s="37"/>
      <c r="BD725" s="67">
        <f t="shared" si="257"/>
        <v>5655</v>
      </c>
      <c r="BE725" s="67"/>
      <c r="BF725" s="37"/>
      <c r="BG725" s="73">
        <v>1</v>
      </c>
      <c r="BH725" s="67">
        <f t="shared" si="258"/>
        <v>0</v>
      </c>
      <c r="BI725" s="67">
        <f t="shared" si="259"/>
        <v>0</v>
      </c>
      <c r="BJ725" s="70">
        <f t="shared" si="260"/>
        <v>0</v>
      </c>
      <c r="BO725" s="70">
        <f t="shared" si="244"/>
        <v>0</v>
      </c>
      <c r="BP725" s="37">
        <v>4</v>
      </c>
      <c r="BQ725" s="37">
        <v>5</v>
      </c>
      <c r="BR725" s="37">
        <v>5</v>
      </c>
      <c r="BS725" s="37">
        <v>6</v>
      </c>
      <c r="BT725" s="87">
        <f t="shared" si="245"/>
        <v>97.5</v>
      </c>
      <c r="BU725" s="87"/>
      <c r="BV725" s="87"/>
      <c r="BW725" s="87"/>
      <c r="BX725" s="87"/>
      <c r="BY725" s="87"/>
      <c r="BZ725" s="87"/>
      <c r="CA725" s="87"/>
      <c r="CB725" s="87"/>
      <c r="CC725" s="87"/>
      <c r="CD725" s="87"/>
      <c r="CF725" s="67">
        <f t="shared" si="246"/>
        <v>390</v>
      </c>
      <c r="CG725" s="67">
        <f t="shared" si="247"/>
        <v>487.5</v>
      </c>
      <c r="CH725" s="67">
        <f t="shared" ref="CH725:CH788" si="262">(BR725*BT725)+(BZ725*CD725)</f>
        <v>487.5</v>
      </c>
      <c r="CI725" s="67">
        <f t="shared" si="252"/>
        <v>585</v>
      </c>
      <c r="CJ725" s="37">
        <f t="shared" si="248"/>
        <v>130</v>
      </c>
      <c r="CK725" s="37">
        <f t="shared" si="249"/>
        <v>162.5</v>
      </c>
      <c r="CL725" s="37">
        <f t="shared" si="250"/>
        <v>162.5</v>
      </c>
      <c r="CM725" s="37">
        <f t="shared" si="251"/>
        <v>195</v>
      </c>
    </row>
    <row r="726" spans="1:91" s="75" customFormat="1" ht="22.5">
      <c r="A726" s="3"/>
      <c r="B726" s="156">
        <v>713</v>
      </c>
      <c r="C726" s="160">
        <v>418</v>
      </c>
      <c r="D726" s="162">
        <v>92</v>
      </c>
      <c r="E726" s="161">
        <v>0.52777777777777779</v>
      </c>
      <c r="F726" s="161">
        <v>0.55347222222222225</v>
      </c>
      <c r="G726" s="160" t="s">
        <v>229</v>
      </c>
      <c r="H726" s="160" t="s">
        <v>1</v>
      </c>
      <c r="I726" s="163">
        <v>13.5</v>
      </c>
      <c r="J726" s="164" t="s">
        <v>228</v>
      </c>
      <c r="K726" s="165">
        <v>67</v>
      </c>
      <c r="L726" s="166">
        <f t="shared" si="261"/>
        <v>904.5</v>
      </c>
      <c r="M726" s="177" t="s">
        <v>777</v>
      </c>
      <c r="N726" s="154" t="s">
        <v>928</v>
      </c>
      <c r="O726" s="150">
        <v>31</v>
      </c>
      <c r="P726" s="150" t="s">
        <v>927</v>
      </c>
      <c r="Q726" s="150">
        <v>20</v>
      </c>
      <c r="R726" s="3"/>
      <c r="S726" s="150"/>
      <c r="T726" s="45" t="s">
        <v>1446</v>
      </c>
      <c r="U726" s="45" t="s">
        <v>1447</v>
      </c>
      <c r="V726" s="45">
        <v>4115</v>
      </c>
      <c r="W726" s="45" t="s">
        <v>1696</v>
      </c>
      <c r="X726" s="99">
        <v>44562</v>
      </c>
      <c r="Y726" s="99">
        <v>44815</v>
      </c>
      <c r="Z726" s="99">
        <v>45101</v>
      </c>
      <c r="AA726" s="99">
        <v>45169</v>
      </c>
      <c r="AB726" s="42" t="s">
        <v>1119</v>
      </c>
      <c r="AC726" s="42"/>
      <c r="AD726" s="42"/>
      <c r="AE726" s="42" t="s">
        <v>734</v>
      </c>
      <c r="AF726" s="42" t="s">
        <v>734</v>
      </c>
      <c r="AG726" s="42"/>
      <c r="AH726" s="42" t="s">
        <v>734</v>
      </c>
      <c r="AI726" s="42" t="s">
        <v>734</v>
      </c>
      <c r="AJ726" s="42" t="s">
        <v>734</v>
      </c>
      <c r="AK726" s="42" t="s">
        <v>734</v>
      </c>
      <c r="AL726" s="42" t="s">
        <v>734</v>
      </c>
      <c r="AM726" s="42" t="s">
        <v>734</v>
      </c>
      <c r="AN726" s="42"/>
      <c r="AO726" s="42"/>
      <c r="AP726" s="42"/>
      <c r="AQ726" s="42"/>
      <c r="AR726" s="42"/>
      <c r="AS726" s="42"/>
      <c r="AT726" s="42"/>
      <c r="AU726" s="42"/>
      <c r="AV726" s="42"/>
      <c r="AW726" s="42"/>
      <c r="AX726" s="68">
        <v>32.11</v>
      </c>
      <c r="AY726" s="37"/>
      <c r="AZ726" s="37"/>
      <c r="BA726" s="68"/>
      <c r="BB726" s="68"/>
      <c r="BC726" s="37"/>
      <c r="BD726" s="67">
        <f t="shared" si="257"/>
        <v>2151.37</v>
      </c>
      <c r="BE726" s="67"/>
      <c r="BF726" s="37"/>
      <c r="BG726" s="73">
        <v>1</v>
      </c>
      <c r="BH726" s="67">
        <f t="shared" si="258"/>
        <v>0</v>
      </c>
      <c r="BI726" s="67">
        <f t="shared" si="259"/>
        <v>0</v>
      </c>
      <c r="BJ726" s="70">
        <f t="shared" si="260"/>
        <v>0</v>
      </c>
      <c r="BO726" s="70">
        <f t="shared" si="244"/>
        <v>0</v>
      </c>
      <c r="BP726" s="37">
        <v>9</v>
      </c>
      <c r="BQ726" s="37">
        <v>0</v>
      </c>
      <c r="BR726" s="37">
        <v>0</v>
      </c>
      <c r="BS726" s="37">
        <v>0</v>
      </c>
      <c r="BT726" s="87">
        <f t="shared" si="245"/>
        <v>32.11</v>
      </c>
      <c r="BU726" s="87"/>
      <c r="BV726" s="87"/>
      <c r="BW726" s="87"/>
      <c r="BX726" s="87"/>
      <c r="BY726" s="87"/>
      <c r="BZ726" s="87"/>
      <c r="CA726" s="87"/>
      <c r="CB726" s="87"/>
      <c r="CC726" s="87"/>
      <c r="CD726" s="87"/>
      <c r="CF726" s="67">
        <f t="shared" si="246"/>
        <v>288.99</v>
      </c>
      <c r="CG726" s="67">
        <f t="shared" si="247"/>
        <v>0</v>
      </c>
      <c r="CH726" s="67">
        <f t="shared" si="262"/>
        <v>0</v>
      </c>
      <c r="CI726" s="67">
        <f t="shared" si="252"/>
        <v>0</v>
      </c>
      <c r="CJ726" s="37">
        <f t="shared" si="248"/>
        <v>121.5</v>
      </c>
      <c r="CK726" s="37">
        <f t="shared" si="249"/>
        <v>0</v>
      </c>
      <c r="CL726" s="37">
        <f t="shared" si="250"/>
        <v>0</v>
      </c>
      <c r="CM726" s="37">
        <f t="shared" si="251"/>
        <v>0</v>
      </c>
    </row>
    <row r="727" spans="1:91" s="75" customFormat="1" ht="25.5">
      <c r="A727" s="3"/>
      <c r="B727" s="156">
        <v>714</v>
      </c>
      <c r="C727" s="160">
        <v>418</v>
      </c>
      <c r="D727" s="162">
        <v>92</v>
      </c>
      <c r="E727" s="161">
        <v>0.53125</v>
      </c>
      <c r="F727" s="173">
        <v>0.55555555555555558</v>
      </c>
      <c r="G727" s="160" t="s">
        <v>229</v>
      </c>
      <c r="H727" s="160" t="s">
        <v>479</v>
      </c>
      <c r="I727" s="163">
        <v>13.5</v>
      </c>
      <c r="J727" s="164" t="s">
        <v>228</v>
      </c>
      <c r="K727" s="165">
        <v>240</v>
      </c>
      <c r="L727" s="166">
        <f t="shared" si="261"/>
        <v>3240</v>
      </c>
      <c r="M727" s="177" t="s">
        <v>777</v>
      </c>
      <c r="N727" s="154" t="s">
        <v>928</v>
      </c>
      <c r="O727" s="150">
        <v>31</v>
      </c>
      <c r="P727" s="150" t="s">
        <v>927</v>
      </c>
      <c r="Q727" s="150">
        <v>20</v>
      </c>
      <c r="R727" s="3"/>
      <c r="S727" s="150"/>
      <c r="T727" s="45" t="s">
        <v>1446</v>
      </c>
      <c r="U727" s="45" t="s">
        <v>1447</v>
      </c>
      <c r="V727" s="45">
        <v>4115</v>
      </c>
      <c r="W727" s="45" t="s">
        <v>1696</v>
      </c>
      <c r="X727" s="99">
        <v>44816</v>
      </c>
      <c r="Y727" s="99">
        <v>45100</v>
      </c>
      <c r="Z727" s="99"/>
      <c r="AA727" s="99"/>
      <c r="AB727" s="45" t="s">
        <v>1124</v>
      </c>
      <c r="AC727" s="45"/>
      <c r="AD727" s="42" t="s">
        <v>734</v>
      </c>
      <c r="AE727" s="42"/>
      <c r="AF727" s="42" t="s">
        <v>734</v>
      </c>
      <c r="AG727" s="42"/>
      <c r="AH727" s="42" t="s">
        <v>734</v>
      </c>
      <c r="AI727" s="42" t="s">
        <v>734</v>
      </c>
      <c r="AJ727" s="42" t="s">
        <v>734</v>
      </c>
      <c r="AK727" s="42" t="s">
        <v>734</v>
      </c>
      <c r="AL727" s="42" t="s">
        <v>734</v>
      </c>
      <c r="AM727" s="42" t="s">
        <v>734</v>
      </c>
      <c r="AN727" s="42"/>
      <c r="AO727" s="42"/>
      <c r="AP727" s="42"/>
      <c r="AQ727" s="42"/>
      <c r="AR727" s="42"/>
      <c r="AS727" s="42"/>
      <c r="AT727" s="42"/>
      <c r="AU727" s="42"/>
      <c r="AV727" s="42"/>
      <c r="AW727" s="42"/>
      <c r="AX727" s="68">
        <v>32.11</v>
      </c>
      <c r="AY727" s="37"/>
      <c r="AZ727" s="37"/>
      <c r="BA727" s="68"/>
      <c r="BB727" s="68"/>
      <c r="BC727" s="37"/>
      <c r="BD727" s="67">
        <f t="shared" si="257"/>
        <v>7706.4</v>
      </c>
      <c r="BE727" s="67"/>
      <c r="BF727" s="37"/>
      <c r="BG727" s="73">
        <v>1</v>
      </c>
      <c r="BH727" s="67">
        <f t="shared" si="258"/>
        <v>0</v>
      </c>
      <c r="BI727" s="67">
        <f t="shared" si="259"/>
        <v>0</v>
      </c>
      <c r="BJ727" s="70">
        <f t="shared" si="260"/>
        <v>0</v>
      </c>
      <c r="BO727" s="70">
        <f t="shared" si="244"/>
        <v>0</v>
      </c>
      <c r="BP727" s="37">
        <v>17</v>
      </c>
      <c r="BQ727" s="37">
        <v>26</v>
      </c>
      <c r="BR727" s="37">
        <v>25</v>
      </c>
      <c r="BS727" s="37">
        <v>25</v>
      </c>
      <c r="BT727" s="87">
        <f t="shared" si="245"/>
        <v>32.11</v>
      </c>
      <c r="BU727" s="87"/>
      <c r="BV727" s="87"/>
      <c r="BW727" s="87"/>
      <c r="BX727" s="87"/>
      <c r="BY727" s="87"/>
      <c r="BZ727" s="87"/>
      <c r="CA727" s="87"/>
      <c r="CB727" s="87"/>
      <c r="CC727" s="87"/>
      <c r="CD727" s="87"/>
      <c r="CF727" s="67">
        <f t="shared" si="246"/>
        <v>545.87</v>
      </c>
      <c r="CG727" s="67">
        <f t="shared" si="247"/>
        <v>834.86</v>
      </c>
      <c r="CH727" s="67">
        <f t="shared" si="262"/>
        <v>802.75</v>
      </c>
      <c r="CI727" s="67">
        <f t="shared" si="252"/>
        <v>802.75</v>
      </c>
      <c r="CJ727" s="37">
        <f t="shared" si="248"/>
        <v>229.5</v>
      </c>
      <c r="CK727" s="37">
        <f t="shared" si="249"/>
        <v>351</v>
      </c>
      <c r="CL727" s="37">
        <f t="shared" si="250"/>
        <v>337.5</v>
      </c>
      <c r="CM727" s="37">
        <f t="shared" si="251"/>
        <v>337.5</v>
      </c>
    </row>
    <row r="728" spans="1:91" s="75" customFormat="1" ht="25.5">
      <c r="A728" s="3"/>
      <c r="B728" s="156">
        <v>715</v>
      </c>
      <c r="C728" s="160">
        <v>418</v>
      </c>
      <c r="D728" s="162">
        <v>180</v>
      </c>
      <c r="E728" s="161">
        <v>0.53819444444444442</v>
      </c>
      <c r="F728" s="173">
        <v>0.5625</v>
      </c>
      <c r="G728" s="160" t="s">
        <v>321</v>
      </c>
      <c r="H728" s="160" t="s">
        <v>97</v>
      </c>
      <c r="I728" s="163">
        <v>12</v>
      </c>
      <c r="J728" s="164" t="s">
        <v>269</v>
      </c>
      <c r="K728" s="165">
        <v>208</v>
      </c>
      <c r="L728" s="166">
        <f t="shared" si="261"/>
        <v>2496</v>
      </c>
      <c r="M728" s="177" t="s">
        <v>723</v>
      </c>
      <c r="N728" s="154" t="s">
        <v>870</v>
      </c>
      <c r="O728" s="150">
        <v>21</v>
      </c>
      <c r="P728" s="150" t="s">
        <v>867</v>
      </c>
      <c r="Q728" s="150">
        <v>17</v>
      </c>
      <c r="R728" s="3"/>
      <c r="S728" s="150"/>
      <c r="T728" s="45" t="s">
        <v>1446</v>
      </c>
      <c r="U728" s="45" t="s">
        <v>1447</v>
      </c>
      <c r="V728" s="45">
        <v>4143</v>
      </c>
      <c r="W728" s="45" t="s">
        <v>1697</v>
      </c>
      <c r="X728" s="98">
        <v>44816</v>
      </c>
      <c r="Y728" s="98">
        <v>45086</v>
      </c>
      <c r="Z728" s="98"/>
      <c r="AA728" s="98"/>
      <c r="AB728" s="41" t="s">
        <v>1118</v>
      </c>
      <c r="AC728" s="41"/>
      <c r="AD728" s="42"/>
      <c r="AE728" s="42"/>
      <c r="AF728" s="42"/>
      <c r="AG728" s="42" t="s">
        <v>734</v>
      </c>
      <c r="AH728" s="42" t="s">
        <v>734</v>
      </c>
      <c r="AI728" s="42" t="s">
        <v>734</v>
      </c>
      <c r="AJ728" s="42" t="s">
        <v>734</v>
      </c>
      <c r="AK728" s="42" t="s">
        <v>734</v>
      </c>
      <c r="AL728" s="42" t="s">
        <v>734</v>
      </c>
      <c r="AM728" s="42" t="s">
        <v>734</v>
      </c>
      <c r="AN728" s="42"/>
      <c r="AO728" s="42"/>
      <c r="AP728" s="42"/>
      <c r="AQ728" s="42"/>
      <c r="AR728" s="42"/>
      <c r="AS728" s="42"/>
      <c r="AT728" s="42"/>
      <c r="AU728" s="42"/>
      <c r="AV728" s="42"/>
      <c r="AW728" s="42"/>
      <c r="AX728" s="68">
        <v>37.74</v>
      </c>
      <c r="AY728" s="37"/>
      <c r="AZ728" s="37"/>
      <c r="BA728" s="68"/>
      <c r="BB728" s="68"/>
      <c r="BC728" s="37"/>
      <c r="BD728" s="67">
        <f t="shared" si="257"/>
        <v>7849.92</v>
      </c>
      <c r="BE728" s="67"/>
      <c r="BF728" s="37"/>
      <c r="BG728" s="73">
        <v>1</v>
      </c>
      <c r="BH728" s="67">
        <f t="shared" si="258"/>
        <v>0</v>
      </c>
      <c r="BI728" s="67">
        <f t="shared" si="259"/>
        <v>0</v>
      </c>
      <c r="BJ728" s="70">
        <f t="shared" si="260"/>
        <v>0</v>
      </c>
      <c r="BO728" s="70">
        <f t="shared" si="244"/>
        <v>0</v>
      </c>
      <c r="BP728" s="37">
        <v>17</v>
      </c>
      <c r="BQ728" s="37">
        <v>25</v>
      </c>
      <c r="BR728" s="37">
        <v>25</v>
      </c>
      <c r="BS728" s="37">
        <v>18</v>
      </c>
      <c r="BT728" s="87">
        <f t="shared" si="245"/>
        <v>37.74</v>
      </c>
      <c r="BU728" s="87"/>
      <c r="BV728" s="87"/>
      <c r="BW728" s="87"/>
      <c r="BX728" s="87"/>
      <c r="BY728" s="87"/>
      <c r="BZ728" s="87"/>
      <c r="CA728" s="87"/>
      <c r="CB728" s="87"/>
      <c r="CC728" s="87"/>
      <c r="CD728" s="87"/>
      <c r="CF728" s="67">
        <f t="shared" si="246"/>
        <v>641.58000000000004</v>
      </c>
      <c r="CG728" s="67">
        <f t="shared" si="247"/>
        <v>943.5</v>
      </c>
      <c r="CH728" s="67">
        <f t="shared" si="262"/>
        <v>943.5</v>
      </c>
      <c r="CI728" s="67">
        <f t="shared" si="252"/>
        <v>679.32</v>
      </c>
      <c r="CJ728" s="37">
        <f t="shared" si="248"/>
        <v>204</v>
      </c>
      <c r="CK728" s="37">
        <f t="shared" si="249"/>
        <v>300</v>
      </c>
      <c r="CL728" s="37">
        <f t="shared" si="250"/>
        <v>300</v>
      </c>
      <c r="CM728" s="37">
        <f t="shared" si="251"/>
        <v>216</v>
      </c>
    </row>
    <row r="729" spans="1:91" s="75" customFormat="1" ht="38.25">
      <c r="A729" s="3"/>
      <c r="B729" s="156">
        <v>716</v>
      </c>
      <c r="C729" s="160">
        <v>418</v>
      </c>
      <c r="D729" s="191" t="s">
        <v>1066</v>
      </c>
      <c r="E729" s="161">
        <v>0.54861111111111105</v>
      </c>
      <c r="F729" s="161">
        <v>0.6020833333333333</v>
      </c>
      <c r="G729" s="171" t="s">
        <v>630</v>
      </c>
      <c r="H729" s="160" t="s">
        <v>429</v>
      </c>
      <c r="I729" s="163">
        <f>16+16.5</f>
        <v>32.5</v>
      </c>
      <c r="J729" s="164" t="s">
        <v>188</v>
      </c>
      <c r="K729" s="165">
        <v>58</v>
      </c>
      <c r="L729" s="166">
        <f t="shared" si="261"/>
        <v>1885</v>
      </c>
      <c r="M729" s="177" t="s">
        <v>778</v>
      </c>
      <c r="N729" s="150" t="s">
        <v>991</v>
      </c>
      <c r="O729" s="150">
        <v>33</v>
      </c>
      <c r="P729" s="154" t="s">
        <v>1951</v>
      </c>
      <c r="Q729" s="154">
        <v>55</v>
      </c>
      <c r="R729" s="3"/>
      <c r="S729" s="150"/>
      <c r="T729" s="45" t="s">
        <v>1446</v>
      </c>
      <c r="U729" s="45" t="s">
        <v>1447</v>
      </c>
      <c r="V729" s="45" t="s">
        <v>1446</v>
      </c>
      <c r="W729" s="45" t="s">
        <v>1447</v>
      </c>
      <c r="X729" s="98">
        <v>44805</v>
      </c>
      <c r="Y729" s="98">
        <v>45169</v>
      </c>
      <c r="Z729" s="98"/>
      <c r="AA729" s="98"/>
      <c r="AB729" s="42" t="s">
        <v>1127</v>
      </c>
      <c r="AC729" s="42"/>
      <c r="AD729" s="42" t="s">
        <v>734</v>
      </c>
      <c r="AE729" s="42" t="s">
        <v>734</v>
      </c>
      <c r="AF729" s="42"/>
      <c r="AG729" s="42"/>
      <c r="AH729" s="42"/>
      <c r="AI729" s="42"/>
      <c r="AJ729" s="42"/>
      <c r="AK729" s="42"/>
      <c r="AL729" s="42"/>
      <c r="AM729" s="42"/>
      <c r="AN729" s="42" t="s">
        <v>734</v>
      </c>
      <c r="AO729" s="42"/>
      <c r="AP729" s="42"/>
      <c r="AQ729" s="42"/>
      <c r="AR729" s="42"/>
      <c r="AS729" s="42"/>
      <c r="AT729" s="42"/>
      <c r="AU729" s="42"/>
      <c r="AV729" s="42"/>
      <c r="AW729" s="42"/>
      <c r="AX729" s="68">
        <v>97.5</v>
      </c>
      <c r="AY729" s="37"/>
      <c r="AZ729" s="37"/>
      <c r="BA729" s="68"/>
      <c r="BB729" s="68"/>
      <c r="BC729" s="37"/>
      <c r="BD729" s="67">
        <f t="shared" si="257"/>
        <v>5655</v>
      </c>
      <c r="BE729" s="67"/>
      <c r="BF729" s="37"/>
      <c r="BG729" s="73">
        <v>1</v>
      </c>
      <c r="BH729" s="67">
        <f t="shared" si="258"/>
        <v>0</v>
      </c>
      <c r="BI729" s="67">
        <f t="shared" si="259"/>
        <v>0</v>
      </c>
      <c r="BJ729" s="70">
        <f t="shared" si="260"/>
        <v>0</v>
      </c>
      <c r="BO729" s="70">
        <f t="shared" si="244"/>
        <v>0</v>
      </c>
      <c r="BP729" s="37">
        <v>4</v>
      </c>
      <c r="BQ729" s="37">
        <v>5</v>
      </c>
      <c r="BR729" s="37">
        <v>5</v>
      </c>
      <c r="BS729" s="37">
        <v>6</v>
      </c>
      <c r="BT729" s="87">
        <f t="shared" si="245"/>
        <v>97.5</v>
      </c>
      <c r="BU729" s="87"/>
      <c r="BV729" s="87"/>
      <c r="BW729" s="87"/>
      <c r="BX729" s="87"/>
      <c r="BY729" s="87"/>
      <c r="BZ729" s="87"/>
      <c r="CA729" s="87"/>
      <c r="CB729" s="87"/>
      <c r="CC729" s="87"/>
      <c r="CD729" s="87"/>
      <c r="CF729" s="67">
        <f t="shared" si="246"/>
        <v>390</v>
      </c>
      <c r="CG729" s="67">
        <f t="shared" si="247"/>
        <v>487.5</v>
      </c>
      <c r="CH729" s="67">
        <f t="shared" si="262"/>
        <v>487.5</v>
      </c>
      <c r="CI729" s="67">
        <f t="shared" si="252"/>
        <v>585</v>
      </c>
      <c r="CJ729" s="37">
        <f t="shared" si="248"/>
        <v>130</v>
      </c>
      <c r="CK729" s="37">
        <f t="shared" si="249"/>
        <v>162.5</v>
      </c>
      <c r="CL729" s="37">
        <f t="shared" si="250"/>
        <v>162.5</v>
      </c>
      <c r="CM729" s="37">
        <f t="shared" si="251"/>
        <v>195</v>
      </c>
    </row>
    <row r="730" spans="1:91" s="75" customFormat="1" ht="25.5">
      <c r="A730" s="3"/>
      <c r="B730" s="156">
        <v>717</v>
      </c>
      <c r="C730" s="174">
        <v>418</v>
      </c>
      <c r="D730" s="162">
        <v>456</v>
      </c>
      <c r="E730" s="161">
        <v>0.56597222222222221</v>
      </c>
      <c r="F730" s="161">
        <v>0.57500000000000007</v>
      </c>
      <c r="G730" s="160" t="s">
        <v>230</v>
      </c>
      <c r="H730" s="160" t="s">
        <v>97</v>
      </c>
      <c r="I730" s="163">
        <v>6</v>
      </c>
      <c r="J730" s="164" t="s">
        <v>93</v>
      </c>
      <c r="K730" s="165">
        <v>208</v>
      </c>
      <c r="L730" s="166">
        <f t="shared" si="261"/>
        <v>1248</v>
      </c>
      <c r="M730" s="177" t="s">
        <v>777</v>
      </c>
      <c r="N730" s="154" t="s">
        <v>927</v>
      </c>
      <c r="O730" s="154">
        <v>20</v>
      </c>
      <c r="P730" s="154" t="s">
        <v>1950</v>
      </c>
      <c r="Q730" s="154">
        <v>9</v>
      </c>
      <c r="R730" s="3"/>
      <c r="S730" s="154"/>
      <c r="T730" s="45">
        <v>4113</v>
      </c>
      <c r="U730" s="45" t="s">
        <v>1698</v>
      </c>
      <c r="V730" s="45">
        <v>4115</v>
      </c>
      <c r="W730" s="45" t="s">
        <v>1696</v>
      </c>
      <c r="X730" s="98">
        <v>44816</v>
      </c>
      <c r="Y730" s="98">
        <v>45086</v>
      </c>
      <c r="Z730" s="98"/>
      <c r="AA730" s="98"/>
      <c r="AB730" s="41" t="s">
        <v>1118</v>
      </c>
      <c r="AC730" s="41"/>
      <c r="AD730" s="42"/>
      <c r="AE730" s="42"/>
      <c r="AF730" s="42"/>
      <c r="AG730" s="42" t="s">
        <v>734</v>
      </c>
      <c r="AH730" s="42" t="s">
        <v>734</v>
      </c>
      <c r="AI730" s="42" t="s">
        <v>734</v>
      </c>
      <c r="AJ730" s="42" t="s">
        <v>734</v>
      </c>
      <c r="AK730" s="42" t="s">
        <v>734</v>
      </c>
      <c r="AL730" s="42" t="s">
        <v>734</v>
      </c>
      <c r="AM730" s="42" t="s">
        <v>734</v>
      </c>
      <c r="AN730" s="42"/>
      <c r="AO730" s="42"/>
      <c r="AP730" s="42"/>
      <c r="AQ730" s="42"/>
      <c r="AR730" s="42"/>
      <c r="AS730" s="42"/>
      <c r="AT730" s="42"/>
      <c r="AU730" s="42"/>
      <c r="AV730" s="42"/>
      <c r="AW730" s="42"/>
      <c r="AX730" s="68">
        <v>10.8</v>
      </c>
      <c r="AY730" s="37"/>
      <c r="AZ730" s="37"/>
      <c r="BA730" s="68"/>
      <c r="BB730" s="68"/>
      <c r="BC730" s="37"/>
      <c r="BD730" s="67">
        <f t="shared" si="257"/>
        <v>2246.4</v>
      </c>
      <c r="BE730" s="67"/>
      <c r="BF730" s="37"/>
      <c r="BG730" s="73">
        <v>1</v>
      </c>
      <c r="BH730" s="67">
        <f t="shared" si="258"/>
        <v>1.1999999999999993</v>
      </c>
      <c r="BI730" s="67">
        <f t="shared" si="259"/>
        <v>0</v>
      </c>
      <c r="BJ730" s="67">
        <f t="shared" si="260"/>
        <v>249.59999999999985</v>
      </c>
      <c r="BO730" s="70">
        <f t="shared" si="244"/>
        <v>0</v>
      </c>
      <c r="BP730" s="37">
        <v>17</v>
      </c>
      <c r="BQ730" s="37">
        <v>25</v>
      </c>
      <c r="BR730" s="37">
        <v>25</v>
      </c>
      <c r="BS730" s="37">
        <v>18</v>
      </c>
      <c r="BT730" s="87">
        <f t="shared" si="245"/>
        <v>12</v>
      </c>
      <c r="BU730" s="87"/>
      <c r="BV730" s="87"/>
      <c r="BW730" s="87"/>
      <c r="BX730" s="87"/>
      <c r="BY730" s="87"/>
      <c r="BZ730" s="87"/>
      <c r="CA730" s="87"/>
      <c r="CB730" s="87"/>
      <c r="CC730" s="87"/>
      <c r="CD730" s="87"/>
      <c r="CF730" s="67">
        <f t="shared" si="246"/>
        <v>204</v>
      </c>
      <c r="CG730" s="67">
        <f t="shared" si="247"/>
        <v>300</v>
      </c>
      <c r="CH730" s="67">
        <f t="shared" si="262"/>
        <v>300</v>
      </c>
      <c r="CI730" s="67">
        <f t="shared" si="252"/>
        <v>216</v>
      </c>
      <c r="CJ730" s="37">
        <f t="shared" si="248"/>
        <v>102</v>
      </c>
      <c r="CK730" s="37">
        <f t="shared" si="249"/>
        <v>150</v>
      </c>
      <c r="CL730" s="37">
        <f t="shared" si="250"/>
        <v>150</v>
      </c>
      <c r="CM730" s="37">
        <f t="shared" si="251"/>
        <v>108</v>
      </c>
    </row>
    <row r="731" spans="1:91" s="75" customFormat="1" ht="22.5">
      <c r="A731" s="3"/>
      <c r="B731" s="156">
        <v>718</v>
      </c>
      <c r="C731" s="160">
        <v>418</v>
      </c>
      <c r="D731" s="162">
        <v>93</v>
      </c>
      <c r="E731" s="161">
        <v>0.58263888888888882</v>
      </c>
      <c r="F731" s="161">
        <v>0.59166666666666667</v>
      </c>
      <c r="G731" s="171" t="s">
        <v>231</v>
      </c>
      <c r="H731" s="160" t="s">
        <v>18</v>
      </c>
      <c r="I731" s="163">
        <v>6</v>
      </c>
      <c r="J731" s="164" t="s">
        <v>99</v>
      </c>
      <c r="K731" s="165">
        <v>304</v>
      </c>
      <c r="L731" s="166">
        <f t="shared" si="261"/>
        <v>1824</v>
      </c>
      <c r="M731" s="177" t="s">
        <v>777</v>
      </c>
      <c r="N731" s="154" t="s">
        <v>926</v>
      </c>
      <c r="O731" s="154">
        <v>9</v>
      </c>
      <c r="P731" s="154" t="s">
        <v>1950</v>
      </c>
      <c r="Q731" s="154">
        <v>9</v>
      </c>
      <c r="R731" s="3"/>
      <c r="S731" s="154"/>
      <c r="T731" s="45">
        <v>4115</v>
      </c>
      <c r="U731" s="45" t="s">
        <v>1696</v>
      </c>
      <c r="V731" s="45">
        <v>4113</v>
      </c>
      <c r="W731" s="45" t="s">
        <v>1698</v>
      </c>
      <c r="X731" s="98">
        <v>44805</v>
      </c>
      <c r="Y731" s="98">
        <v>45169</v>
      </c>
      <c r="Z731" s="98"/>
      <c r="AA731" s="98"/>
      <c r="AB731" s="42" t="s">
        <v>1125</v>
      </c>
      <c r="AC731" s="42"/>
      <c r="AD731" s="42" t="s">
        <v>734</v>
      </c>
      <c r="AE731" s="42" t="s">
        <v>734</v>
      </c>
      <c r="AF731" s="42" t="s">
        <v>734</v>
      </c>
      <c r="AG731" s="42"/>
      <c r="AH731" s="42" t="s">
        <v>734</v>
      </c>
      <c r="AI731" s="42" t="s">
        <v>734</v>
      </c>
      <c r="AJ731" s="42" t="s">
        <v>734</v>
      </c>
      <c r="AK731" s="42" t="s">
        <v>734</v>
      </c>
      <c r="AL731" s="42" t="s">
        <v>734</v>
      </c>
      <c r="AM731" s="42" t="s">
        <v>734</v>
      </c>
      <c r="AN731" s="42"/>
      <c r="AO731" s="42"/>
      <c r="AP731" s="42"/>
      <c r="AQ731" s="42"/>
      <c r="AR731" s="42"/>
      <c r="AS731" s="42"/>
      <c r="AT731" s="42"/>
      <c r="AU731" s="42"/>
      <c r="AV731" s="42"/>
      <c r="AW731" s="42"/>
      <c r="AX731" s="68">
        <v>14.27</v>
      </c>
      <c r="AY731" s="37"/>
      <c r="AZ731" s="37"/>
      <c r="BA731" s="68"/>
      <c r="BB731" s="68"/>
      <c r="BC731" s="37"/>
      <c r="BD731" s="67">
        <f t="shared" si="257"/>
        <v>4338.08</v>
      </c>
      <c r="BE731" s="67"/>
      <c r="BF731" s="37"/>
      <c r="BG731" s="73">
        <v>1</v>
      </c>
      <c r="BH731" s="67">
        <f t="shared" si="258"/>
        <v>0</v>
      </c>
      <c r="BI731" s="67">
        <f t="shared" si="259"/>
        <v>0</v>
      </c>
      <c r="BJ731" s="70">
        <f t="shared" si="260"/>
        <v>0</v>
      </c>
      <c r="BO731" s="70">
        <f t="shared" si="244"/>
        <v>0</v>
      </c>
      <c r="BP731" s="37">
        <v>26</v>
      </c>
      <c r="BQ731" s="37">
        <v>26</v>
      </c>
      <c r="BR731" s="37">
        <v>25</v>
      </c>
      <c r="BS731" s="37">
        <v>25</v>
      </c>
      <c r="BT731" s="87">
        <f t="shared" si="245"/>
        <v>14.27</v>
      </c>
      <c r="BU731" s="87"/>
      <c r="BV731" s="87"/>
      <c r="BW731" s="87"/>
      <c r="BX731" s="87"/>
      <c r="BY731" s="87"/>
      <c r="BZ731" s="87"/>
      <c r="CA731" s="87"/>
      <c r="CB731" s="87"/>
      <c r="CC731" s="87"/>
      <c r="CD731" s="87"/>
      <c r="CF731" s="67">
        <f t="shared" si="246"/>
        <v>371.02</v>
      </c>
      <c r="CG731" s="67">
        <f t="shared" si="247"/>
        <v>371.02</v>
      </c>
      <c r="CH731" s="67">
        <f t="shared" si="262"/>
        <v>356.75</v>
      </c>
      <c r="CI731" s="67">
        <f t="shared" si="252"/>
        <v>356.75</v>
      </c>
      <c r="CJ731" s="37">
        <f t="shared" si="248"/>
        <v>156</v>
      </c>
      <c r="CK731" s="37">
        <f t="shared" si="249"/>
        <v>156</v>
      </c>
      <c r="CL731" s="37">
        <f t="shared" si="250"/>
        <v>150</v>
      </c>
      <c r="CM731" s="37">
        <f t="shared" si="251"/>
        <v>150</v>
      </c>
    </row>
    <row r="732" spans="1:91" s="75" customFormat="1" ht="25.5">
      <c r="A732" s="3"/>
      <c r="B732" s="156">
        <v>719</v>
      </c>
      <c r="C732" s="160">
        <v>418</v>
      </c>
      <c r="D732" s="162">
        <v>458</v>
      </c>
      <c r="E732" s="161">
        <v>0.59166666666666667</v>
      </c>
      <c r="F732" s="161">
        <v>0.60069444444444442</v>
      </c>
      <c r="G732" s="160" t="s">
        <v>230</v>
      </c>
      <c r="H732" s="160" t="s">
        <v>97</v>
      </c>
      <c r="I732" s="163">
        <v>6</v>
      </c>
      <c r="J732" s="164" t="s">
        <v>116</v>
      </c>
      <c r="K732" s="165">
        <v>208</v>
      </c>
      <c r="L732" s="166">
        <f t="shared" si="261"/>
        <v>1248</v>
      </c>
      <c r="M732" s="177" t="s">
        <v>777</v>
      </c>
      <c r="N732" s="154" t="s">
        <v>926</v>
      </c>
      <c r="O732" s="154">
        <v>9</v>
      </c>
      <c r="P732" s="154" t="s">
        <v>1950</v>
      </c>
      <c r="Q732" s="154">
        <v>9</v>
      </c>
      <c r="R732" s="3"/>
      <c r="S732" s="154"/>
      <c r="T732" s="45">
        <v>4113</v>
      </c>
      <c r="U732" s="45" t="s">
        <v>1698</v>
      </c>
      <c r="V732" s="45">
        <v>4115</v>
      </c>
      <c r="W732" s="45" t="s">
        <v>1696</v>
      </c>
      <c r="X732" s="98">
        <v>44816</v>
      </c>
      <c r="Y732" s="98">
        <v>45086</v>
      </c>
      <c r="Z732" s="98"/>
      <c r="AA732" s="98"/>
      <c r="AB732" s="41" t="s">
        <v>1118</v>
      </c>
      <c r="AC732" s="41"/>
      <c r="AD732" s="42"/>
      <c r="AE732" s="42"/>
      <c r="AF732" s="42"/>
      <c r="AG732" s="42" t="s">
        <v>734</v>
      </c>
      <c r="AH732" s="42" t="s">
        <v>734</v>
      </c>
      <c r="AI732" s="42" t="s">
        <v>734</v>
      </c>
      <c r="AJ732" s="42" t="s">
        <v>734</v>
      </c>
      <c r="AK732" s="42" t="s">
        <v>734</v>
      </c>
      <c r="AL732" s="42" t="s">
        <v>734</v>
      </c>
      <c r="AM732" s="42" t="s">
        <v>734</v>
      </c>
      <c r="AN732" s="42"/>
      <c r="AO732" s="42"/>
      <c r="AP732" s="42"/>
      <c r="AQ732" s="42"/>
      <c r="AR732" s="42"/>
      <c r="AS732" s="42"/>
      <c r="AT732" s="42"/>
      <c r="AU732" s="42"/>
      <c r="AV732" s="42"/>
      <c r="AW732" s="42"/>
      <c r="AX732" s="68">
        <v>16.649999999999999</v>
      </c>
      <c r="AY732" s="37"/>
      <c r="AZ732" s="37"/>
      <c r="BA732" s="68"/>
      <c r="BB732" s="68"/>
      <c r="BC732" s="37"/>
      <c r="BD732" s="67">
        <f t="shared" si="257"/>
        <v>3463.2</v>
      </c>
      <c r="BE732" s="67"/>
      <c r="BF732" s="37"/>
      <c r="BG732" s="73">
        <v>1</v>
      </c>
      <c r="BH732" s="67">
        <f t="shared" si="258"/>
        <v>0</v>
      </c>
      <c r="BI732" s="67">
        <f t="shared" si="259"/>
        <v>0</v>
      </c>
      <c r="BJ732" s="70">
        <f t="shared" si="260"/>
        <v>0</v>
      </c>
      <c r="BO732" s="70">
        <f t="shared" si="244"/>
        <v>0</v>
      </c>
      <c r="BP732" s="37">
        <v>17</v>
      </c>
      <c r="BQ732" s="37">
        <v>25</v>
      </c>
      <c r="BR732" s="37">
        <v>25</v>
      </c>
      <c r="BS732" s="37">
        <v>18</v>
      </c>
      <c r="BT732" s="87">
        <f t="shared" si="245"/>
        <v>16.649999999999999</v>
      </c>
      <c r="BU732" s="87"/>
      <c r="BV732" s="87"/>
      <c r="BW732" s="87"/>
      <c r="BX732" s="87"/>
      <c r="BY732" s="87"/>
      <c r="BZ732" s="87"/>
      <c r="CA732" s="87"/>
      <c r="CB732" s="87"/>
      <c r="CC732" s="87"/>
      <c r="CD732" s="87"/>
      <c r="CF732" s="67">
        <f t="shared" si="246"/>
        <v>283.04999999999995</v>
      </c>
      <c r="CG732" s="67">
        <f t="shared" si="247"/>
        <v>416.24999999999994</v>
      </c>
      <c r="CH732" s="67">
        <f t="shared" si="262"/>
        <v>416.24999999999994</v>
      </c>
      <c r="CI732" s="67">
        <f t="shared" si="252"/>
        <v>299.7</v>
      </c>
      <c r="CJ732" s="37">
        <f t="shared" si="248"/>
        <v>102</v>
      </c>
      <c r="CK732" s="37">
        <f t="shared" si="249"/>
        <v>150</v>
      </c>
      <c r="CL732" s="37">
        <f t="shared" si="250"/>
        <v>150</v>
      </c>
      <c r="CM732" s="37">
        <f t="shared" si="251"/>
        <v>108</v>
      </c>
    </row>
    <row r="733" spans="1:91" ht="25.5">
      <c r="B733" s="156">
        <v>720</v>
      </c>
      <c r="C733" s="160">
        <v>418</v>
      </c>
      <c r="D733" s="162">
        <v>458</v>
      </c>
      <c r="E733" s="161">
        <v>0.60069444444444442</v>
      </c>
      <c r="F733" s="161">
        <v>0.60416666666666663</v>
      </c>
      <c r="G733" s="160" t="s">
        <v>227</v>
      </c>
      <c r="H733" s="160" t="s">
        <v>97</v>
      </c>
      <c r="I733" s="163">
        <v>3</v>
      </c>
      <c r="J733" s="164" t="s">
        <v>116</v>
      </c>
      <c r="K733" s="165">
        <v>208</v>
      </c>
      <c r="L733" s="166">
        <f t="shared" si="261"/>
        <v>624</v>
      </c>
      <c r="M733" s="177" t="s">
        <v>777</v>
      </c>
      <c r="N733" s="154" t="s">
        <v>926</v>
      </c>
      <c r="O733" s="154">
        <v>9</v>
      </c>
      <c r="P733" s="154" t="s">
        <v>1950</v>
      </c>
      <c r="Q733" s="154">
        <v>9</v>
      </c>
      <c r="S733" s="154"/>
      <c r="T733" s="45">
        <v>4115</v>
      </c>
      <c r="U733" s="45" t="s">
        <v>1696</v>
      </c>
      <c r="V733" s="45">
        <v>4116</v>
      </c>
      <c r="W733" s="45" t="s">
        <v>1695</v>
      </c>
      <c r="X733" s="98">
        <v>44816</v>
      </c>
      <c r="Y733" s="98">
        <v>45086</v>
      </c>
      <c r="Z733" s="98"/>
      <c r="AA733" s="98"/>
      <c r="AB733" s="41" t="s">
        <v>1118</v>
      </c>
      <c r="AC733" s="41"/>
      <c r="AD733" s="42"/>
      <c r="AE733" s="42"/>
      <c r="AF733" s="42"/>
      <c r="AG733" s="42" t="s">
        <v>734</v>
      </c>
      <c r="AH733" s="42" t="s">
        <v>734</v>
      </c>
      <c r="AI733" s="42" t="s">
        <v>734</v>
      </c>
      <c r="AJ733" s="42" t="s">
        <v>734</v>
      </c>
      <c r="AK733" s="42" t="s">
        <v>734</v>
      </c>
      <c r="AL733" s="42" t="s">
        <v>734</v>
      </c>
      <c r="AM733" s="42" t="s">
        <v>734</v>
      </c>
      <c r="AN733" s="42"/>
      <c r="AO733" s="42"/>
      <c r="AP733" s="42"/>
      <c r="AQ733" s="42"/>
      <c r="AR733" s="42"/>
      <c r="AS733" s="42"/>
      <c r="AT733" s="42"/>
      <c r="AU733" s="42"/>
      <c r="AV733" s="42"/>
      <c r="AW733" s="42"/>
      <c r="AX733" s="68">
        <v>8.33</v>
      </c>
      <c r="AY733" s="37"/>
      <c r="BA733" s="68"/>
      <c r="BB733" s="68"/>
      <c r="BD733" s="67">
        <f t="shared" si="257"/>
        <v>1732.64</v>
      </c>
      <c r="BE733" s="67"/>
      <c r="BF733" s="37"/>
      <c r="BG733" s="73">
        <v>1</v>
      </c>
      <c r="BH733" s="67">
        <f t="shared" si="258"/>
        <v>0</v>
      </c>
      <c r="BI733" s="67">
        <f t="shared" si="259"/>
        <v>0</v>
      </c>
      <c r="BJ733" s="70">
        <f t="shared" si="260"/>
        <v>0</v>
      </c>
      <c r="BN733" s="37"/>
      <c r="BO733" s="70">
        <f t="shared" si="244"/>
        <v>0</v>
      </c>
      <c r="BP733" s="37">
        <v>17</v>
      </c>
      <c r="BQ733" s="37">
        <v>25</v>
      </c>
      <c r="BR733" s="37">
        <v>25</v>
      </c>
      <c r="BS733" s="37">
        <v>18</v>
      </c>
      <c r="BT733" s="87">
        <f t="shared" si="245"/>
        <v>8.33</v>
      </c>
      <c r="BU733" s="87"/>
      <c r="BV733" s="87"/>
      <c r="BW733" s="87"/>
      <c r="BX733" s="87"/>
      <c r="BY733" s="87"/>
      <c r="BZ733" s="87"/>
      <c r="CA733" s="87"/>
      <c r="CB733" s="87"/>
      <c r="CC733" s="87"/>
      <c r="CD733" s="87"/>
      <c r="CF733" s="67">
        <f t="shared" si="246"/>
        <v>141.61000000000001</v>
      </c>
      <c r="CG733" s="67">
        <f t="shared" si="247"/>
        <v>208.25</v>
      </c>
      <c r="CH733" s="67">
        <f t="shared" si="262"/>
        <v>208.25</v>
      </c>
      <c r="CI733" s="67">
        <f t="shared" si="252"/>
        <v>149.94</v>
      </c>
      <c r="CJ733" s="37">
        <f t="shared" si="248"/>
        <v>51</v>
      </c>
      <c r="CK733" s="37">
        <f t="shared" si="249"/>
        <v>75</v>
      </c>
      <c r="CL733" s="37">
        <f t="shared" si="250"/>
        <v>75</v>
      </c>
      <c r="CM733" s="37">
        <f t="shared" si="251"/>
        <v>54</v>
      </c>
    </row>
    <row r="734" spans="1:91" ht="25.5">
      <c r="B734" s="156">
        <v>721</v>
      </c>
      <c r="C734" s="160">
        <v>418</v>
      </c>
      <c r="D734" s="160">
        <v>306</v>
      </c>
      <c r="E734" s="161">
        <v>0.61111111111111105</v>
      </c>
      <c r="F734" s="161">
        <v>0.63888888888888895</v>
      </c>
      <c r="G734" s="160" t="s">
        <v>141</v>
      </c>
      <c r="H734" s="160" t="s">
        <v>103</v>
      </c>
      <c r="I734" s="163">
        <v>19.5</v>
      </c>
      <c r="J734" s="164" t="s">
        <v>269</v>
      </c>
      <c r="K734" s="165">
        <v>174</v>
      </c>
      <c r="L734" s="166">
        <f t="shared" si="261"/>
        <v>3393</v>
      </c>
      <c r="M734" s="177" t="s">
        <v>776</v>
      </c>
      <c r="N734" s="3" t="s">
        <v>944</v>
      </c>
      <c r="O734" s="3">
        <v>23</v>
      </c>
      <c r="P734" s="154" t="s">
        <v>1949</v>
      </c>
      <c r="Q734" s="154">
        <v>24</v>
      </c>
      <c r="R734" s="154" t="s">
        <v>1989</v>
      </c>
      <c r="S734" s="151">
        <v>23</v>
      </c>
      <c r="T734" s="45" t="s">
        <v>1446</v>
      </c>
      <c r="U734" s="45" t="s">
        <v>1447</v>
      </c>
      <c r="V734" s="45">
        <v>4126</v>
      </c>
      <c r="W734" s="45" t="s">
        <v>1692</v>
      </c>
      <c r="X734" s="98">
        <v>44816</v>
      </c>
      <c r="Y734" s="98">
        <v>45086</v>
      </c>
      <c r="Z734" s="98"/>
      <c r="AA734" s="98"/>
      <c r="AB734" s="41" t="s">
        <v>1114</v>
      </c>
      <c r="AC734" s="41"/>
      <c r="AD734" s="42"/>
      <c r="AE734" s="42"/>
      <c r="AF734" s="42"/>
      <c r="AG734" s="42" t="s">
        <v>734</v>
      </c>
      <c r="AH734" s="42" t="s">
        <v>734</v>
      </c>
      <c r="AI734" s="42" t="s">
        <v>734</v>
      </c>
      <c r="AJ734" s="42" t="s">
        <v>734</v>
      </c>
      <c r="AK734" s="42" t="s">
        <v>734</v>
      </c>
      <c r="AL734" s="42" t="s">
        <v>734</v>
      </c>
      <c r="AM734" s="42"/>
      <c r="AN734" s="42"/>
      <c r="AO734" s="42"/>
      <c r="AP734" s="42"/>
      <c r="AQ734" s="42"/>
      <c r="AR734" s="42"/>
      <c r="AS734" s="42"/>
      <c r="AT734" s="42"/>
      <c r="AU734" s="42"/>
      <c r="AV734" s="42"/>
      <c r="AW734" s="42"/>
      <c r="AX734" s="68">
        <v>35.1</v>
      </c>
      <c r="AY734" s="37"/>
      <c r="BA734" s="68"/>
      <c r="BB734" s="68"/>
      <c r="BD734" s="67">
        <f t="shared" si="257"/>
        <v>6107.4000000000005</v>
      </c>
      <c r="BE734" s="67"/>
      <c r="BF734" s="37"/>
      <c r="BG734" s="73">
        <v>1</v>
      </c>
      <c r="BH734" s="67">
        <f t="shared" si="258"/>
        <v>3.8999999999999986</v>
      </c>
      <c r="BI734" s="67">
        <f t="shared" si="259"/>
        <v>0</v>
      </c>
      <c r="BJ734" s="67">
        <f t="shared" si="260"/>
        <v>678.5999999999998</v>
      </c>
      <c r="BN734" s="37"/>
      <c r="BO734" s="70">
        <f t="shared" si="244"/>
        <v>0</v>
      </c>
      <c r="BP734" s="37">
        <v>15</v>
      </c>
      <c r="BQ734" s="37">
        <v>20</v>
      </c>
      <c r="BR734" s="37">
        <v>21</v>
      </c>
      <c r="BS734" s="37">
        <v>15</v>
      </c>
      <c r="BT734" s="87">
        <f t="shared" si="245"/>
        <v>39</v>
      </c>
      <c r="BU734" s="87"/>
      <c r="BV734" s="87"/>
      <c r="BW734" s="87"/>
      <c r="BX734" s="87"/>
      <c r="BY734" s="87"/>
      <c r="BZ734" s="87"/>
      <c r="CA734" s="87"/>
      <c r="CB734" s="87"/>
      <c r="CC734" s="87"/>
      <c r="CD734" s="87"/>
      <c r="CF734" s="67">
        <f t="shared" si="246"/>
        <v>585</v>
      </c>
      <c r="CG734" s="67">
        <f t="shared" si="247"/>
        <v>780</v>
      </c>
      <c r="CH734" s="67">
        <f t="shared" si="262"/>
        <v>819</v>
      </c>
      <c r="CI734" s="67">
        <f t="shared" si="252"/>
        <v>585</v>
      </c>
      <c r="CJ734" s="37">
        <f t="shared" si="248"/>
        <v>292.5</v>
      </c>
      <c r="CK734" s="37">
        <f t="shared" si="249"/>
        <v>390</v>
      </c>
      <c r="CL734" s="37">
        <f t="shared" si="250"/>
        <v>409.5</v>
      </c>
      <c r="CM734" s="37">
        <f t="shared" si="251"/>
        <v>292.5</v>
      </c>
    </row>
    <row r="735" spans="1:91" ht="25.5">
      <c r="B735" s="156">
        <v>722</v>
      </c>
      <c r="C735" s="160">
        <v>418</v>
      </c>
      <c r="D735" s="162">
        <v>460</v>
      </c>
      <c r="E735" s="161">
        <v>0.625</v>
      </c>
      <c r="F735" s="161">
        <v>0.63750000000000007</v>
      </c>
      <c r="G735" s="160" t="s">
        <v>536</v>
      </c>
      <c r="H735" s="160" t="s">
        <v>103</v>
      </c>
      <c r="I735" s="163">
        <v>9</v>
      </c>
      <c r="J735" s="164" t="s">
        <v>93</v>
      </c>
      <c r="K735" s="165">
        <v>174</v>
      </c>
      <c r="L735" s="166">
        <f t="shared" si="261"/>
        <v>1566</v>
      </c>
      <c r="M735" s="177" t="s">
        <v>777</v>
      </c>
      <c r="N735" s="150" t="s">
        <v>926</v>
      </c>
      <c r="O735" s="150">
        <v>9</v>
      </c>
      <c r="P735" s="154" t="s">
        <v>1950</v>
      </c>
      <c r="Q735" s="154">
        <v>9</v>
      </c>
      <c r="S735" s="150"/>
      <c r="T735" s="45">
        <v>4113</v>
      </c>
      <c r="U735" s="45" t="s">
        <v>1698</v>
      </c>
      <c r="V735" s="45">
        <v>4116</v>
      </c>
      <c r="W735" s="45" t="s">
        <v>1695</v>
      </c>
      <c r="X735" s="98">
        <v>44816</v>
      </c>
      <c r="Y735" s="98">
        <v>45086</v>
      </c>
      <c r="Z735" s="98"/>
      <c r="AA735" s="98"/>
      <c r="AB735" s="41" t="s">
        <v>1114</v>
      </c>
      <c r="AC735" s="41"/>
      <c r="AD735" s="42"/>
      <c r="AE735" s="42"/>
      <c r="AF735" s="42"/>
      <c r="AG735" s="42" t="s">
        <v>734</v>
      </c>
      <c r="AH735" s="42" t="s">
        <v>734</v>
      </c>
      <c r="AI735" s="42" t="s">
        <v>734</v>
      </c>
      <c r="AJ735" s="42" t="s">
        <v>734</v>
      </c>
      <c r="AK735" s="42" t="s">
        <v>734</v>
      </c>
      <c r="AL735" s="42" t="s">
        <v>734</v>
      </c>
      <c r="AM735" s="42"/>
      <c r="AN735" s="42"/>
      <c r="AO735" s="42"/>
      <c r="AP735" s="42"/>
      <c r="AQ735" s="42"/>
      <c r="AR735" s="42"/>
      <c r="AS735" s="42"/>
      <c r="AT735" s="42"/>
      <c r="AU735" s="42"/>
      <c r="AV735" s="42"/>
      <c r="AW735" s="42"/>
      <c r="AX735" s="68">
        <v>27</v>
      </c>
      <c r="AY735" s="37"/>
      <c r="BA735" s="68"/>
      <c r="BB735" s="68"/>
      <c r="BD735" s="67">
        <f t="shared" si="257"/>
        <v>4698</v>
      </c>
      <c r="BE735" s="67"/>
      <c r="BF735" s="37"/>
      <c r="BG735" s="73">
        <v>1</v>
      </c>
      <c r="BH735" s="67">
        <f t="shared" si="258"/>
        <v>0</v>
      </c>
      <c r="BI735" s="67">
        <f t="shared" si="259"/>
        <v>0</v>
      </c>
      <c r="BJ735" s="70">
        <f t="shared" si="260"/>
        <v>0</v>
      </c>
      <c r="BN735" s="37"/>
      <c r="BO735" s="70">
        <f t="shared" si="244"/>
        <v>0</v>
      </c>
      <c r="BP735" s="37">
        <v>15</v>
      </c>
      <c r="BQ735" s="37">
        <v>20</v>
      </c>
      <c r="BR735" s="37">
        <v>21</v>
      </c>
      <c r="BS735" s="37">
        <v>15</v>
      </c>
      <c r="BT735" s="87">
        <f t="shared" si="245"/>
        <v>27</v>
      </c>
      <c r="BU735" s="87"/>
      <c r="BV735" s="87"/>
      <c r="BW735" s="87"/>
      <c r="BX735" s="87"/>
      <c r="BY735" s="87"/>
      <c r="BZ735" s="87"/>
      <c r="CA735" s="87"/>
      <c r="CB735" s="87"/>
      <c r="CC735" s="87"/>
      <c r="CD735" s="87"/>
      <c r="CF735" s="67">
        <f t="shared" si="246"/>
        <v>405</v>
      </c>
      <c r="CG735" s="67">
        <f t="shared" si="247"/>
        <v>540</v>
      </c>
      <c r="CH735" s="67">
        <f t="shared" si="262"/>
        <v>567</v>
      </c>
      <c r="CI735" s="67">
        <f t="shared" si="252"/>
        <v>405</v>
      </c>
      <c r="CJ735" s="37">
        <f t="shared" si="248"/>
        <v>135</v>
      </c>
      <c r="CK735" s="37">
        <f t="shared" si="249"/>
        <v>180</v>
      </c>
      <c r="CL735" s="37">
        <f t="shared" si="250"/>
        <v>189</v>
      </c>
      <c r="CM735" s="37">
        <f t="shared" si="251"/>
        <v>135</v>
      </c>
    </row>
    <row r="736" spans="1:91" ht="25.5">
      <c r="B736" s="156">
        <v>723</v>
      </c>
      <c r="C736" s="160">
        <v>418</v>
      </c>
      <c r="D736" s="162">
        <v>272</v>
      </c>
      <c r="E736" s="161">
        <v>0.67152777777777783</v>
      </c>
      <c r="F736" s="161">
        <v>0.6958333333333333</v>
      </c>
      <c r="G736" s="160" t="s">
        <v>40</v>
      </c>
      <c r="H736" s="160" t="s">
        <v>103</v>
      </c>
      <c r="I736" s="163">
        <v>14</v>
      </c>
      <c r="J736" s="164" t="s">
        <v>93</v>
      </c>
      <c r="K736" s="165">
        <v>174</v>
      </c>
      <c r="L736" s="166">
        <f t="shared" si="261"/>
        <v>2436</v>
      </c>
      <c r="M736" s="177" t="s">
        <v>775</v>
      </c>
      <c r="N736" s="150" t="s">
        <v>872</v>
      </c>
      <c r="O736" s="150">
        <v>21</v>
      </c>
      <c r="P736" s="154" t="s">
        <v>873</v>
      </c>
      <c r="Q736" s="154">
        <v>31</v>
      </c>
      <c r="R736" s="270" t="s">
        <v>2064</v>
      </c>
      <c r="S736" s="270">
        <v>38</v>
      </c>
      <c r="T736" s="45" t="s">
        <v>1446</v>
      </c>
      <c r="U736" s="45" t="s">
        <v>1447</v>
      </c>
      <c r="V736" s="45">
        <v>4143</v>
      </c>
      <c r="W736" s="45" t="s">
        <v>1697</v>
      </c>
      <c r="X736" s="98">
        <v>44816</v>
      </c>
      <c r="Y736" s="98">
        <v>45086</v>
      </c>
      <c r="Z736" s="98"/>
      <c r="AA736" s="98"/>
      <c r="AB736" s="41" t="s">
        <v>1114</v>
      </c>
      <c r="AC736" s="41"/>
      <c r="AD736" s="42"/>
      <c r="AE736" s="42"/>
      <c r="AF736" s="42"/>
      <c r="AG736" s="42" t="s">
        <v>734</v>
      </c>
      <c r="AH736" s="42" t="s">
        <v>734</v>
      </c>
      <c r="AI736" s="42" t="s">
        <v>734</v>
      </c>
      <c r="AJ736" s="42" t="s">
        <v>734</v>
      </c>
      <c r="AK736" s="42" t="s">
        <v>734</v>
      </c>
      <c r="AL736" s="42" t="s">
        <v>734</v>
      </c>
      <c r="AM736" s="42"/>
      <c r="AN736" s="42"/>
      <c r="AO736" s="42"/>
      <c r="AP736" s="42"/>
      <c r="AQ736" s="42"/>
      <c r="AR736" s="42"/>
      <c r="AS736" s="42"/>
      <c r="AT736" s="42"/>
      <c r="AU736" s="42"/>
      <c r="AV736" s="42"/>
      <c r="AW736" s="42"/>
      <c r="AX736" s="67">
        <v>42</v>
      </c>
      <c r="AY736" s="37"/>
      <c r="BA736" s="67"/>
      <c r="BB736" s="67"/>
      <c r="BD736" s="67">
        <f t="shared" si="257"/>
        <v>7308</v>
      </c>
      <c r="BE736" s="67"/>
      <c r="BF736" s="37"/>
      <c r="BG736" s="73">
        <v>1</v>
      </c>
      <c r="BH736" s="67">
        <f t="shared" si="258"/>
        <v>0</v>
      </c>
      <c r="BI736" s="67">
        <f t="shared" si="259"/>
        <v>0</v>
      </c>
      <c r="BJ736" s="70">
        <f t="shared" si="260"/>
        <v>0</v>
      </c>
      <c r="BN736" s="37"/>
      <c r="BO736" s="70">
        <f t="shared" si="244"/>
        <v>0</v>
      </c>
      <c r="BP736" s="37">
        <v>15</v>
      </c>
      <c r="BQ736" s="37">
        <v>20</v>
      </c>
      <c r="BR736" s="37">
        <v>21</v>
      </c>
      <c r="BS736" s="37">
        <v>15</v>
      </c>
      <c r="BT736" s="87">
        <f t="shared" si="245"/>
        <v>42</v>
      </c>
      <c r="BU736" s="87"/>
      <c r="BV736" s="87"/>
      <c r="BW736" s="87"/>
      <c r="BX736" s="87"/>
      <c r="BY736" s="87"/>
      <c r="BZ736" s="87"/>
      <c r="CA736" s="87"/>
      <c r="CB736" s="87"/>
      <c r="CC736" s="87"/>
      <c r="CD736" s="87"/>
      <c r="CF736" s="67">
        <f t="shared" si="246"/>
        <v>630</v>
      </c>
      <c r="CG736" s="67">
        <f t="shared" si="247"/>
        <v>840</v>
      </c>
      <c r="CH736" s="67">
        <f t="shared" si="262"/>
        <v>882</v>
      </c>
      <c r="CI736" s="67">
        <f t="shared" si="252"/>
        <v>630</v>
      </c>
      <c r="CJ736" s="37">
        <f t="shared" si="248"/>
        <v>210</v>
      </c>
      <c r="CK736" s="37">
        <f t="shared" si="249"/>
        <v>280</v>
      </c>
      <c r="CL736" s="37">
        <f t="shared" si="250"/>
        <v>294</v>
      </c>
      <c r="CM736" s="37">
        <f t="shared" si="251"/>
        <v>210</v>
      </c>
    </row>
    <row r="737" spans="2:91" ht="25.5">
      <c r="B737" s="156">
        <v>724</v>
      </c>
      <c r="C737" s="160">
        <v>418</v>
      </c>
      <c r="D737" s="191" t="s">
        <v>1067</v>
      </c>
      <c r="E737" s="161">
        <v>0.73611111111111116</v>
      </c>
      <c r="F737" s="161">
        <v>0.7895833333333333</v>
      </c>
      <c r="G737" s="171" t="s">
        <v>428</v>
      </c>
      <c r="H737" s="160" t="s">
        <v>429</v>
      </c>
      <c r="I737" s="163">
        <f>16+16.5</f>
        <v>32.5</v>
      </c>
      <c r="J737" s="164" t="s">
        <v>188</v>
      </c>
      <c r="K737" s="165">
        <v>58</v>
      </c>
      <c r="L737" s="166">
        <f t="shared" si="261"/>
        <v>1885</v>
      </c>
      <c r="M737" s="177" t="s">
        <v>778</v>
      </c>
      <c r="N737" s="150" t="s">
        <v>991</v>
      </c>
      <c r="O737" s="150">
        <v>33</v>
      </c>
      <c r="P737" s="150" t="s">
        <v>1951</v>
      </c>
      <c r="Q737" s="150">
        <v>55</v>
      </c>
      <c r="S737" s="150"/>
      <c r="T737" s="45" t="s">
        <v>1446</v>
      </c>
      <c r="U737" s="45" t="s">
        <v>1447</v>
      </c>
      <c r="V737" s="45" t="s">
        <v>1446</v>
      </c>
      <c r="W737" s="45" t="s">
        <v>1447</v>
      </c>
      <c r="X737" s="98">
        <v>44805</v>
      </c>
      <c r="Y737" s="98">
        <v>45169</v>
      </c>
      <c r="Z737" s="98"/>
      <c r="AA737" s="98"/>
      <c r="AB737" s="42" t="s">
        <v>1127</v>
      </c>
      <c r="AC737" s="42"/>
      <c r="AD737" s="42" t="s">
        <v>734</v>
      </c>
      <c r="AE737" s="42" t="s">
        <v>734</v>
      </c>
      <c r="AF737" s="42"/>
      <c r="AG737" s="42"/>
      <c r="AH737" s="42"/>
      <c r="AI737" s="42"/>
      <c r="AJ737" s="42"/>
      <c r="AK737" s="42"/>
      <c r="AL737" s="42"/>
      <c r="AM737" s="42"/>
      <c r="AN737" s="42" t="s">
        <v>734</v>
      </c>
      <c r="AO737" s="42"/>
      <c r="AP737" s="42"/>
      <c r="AQ737" s="42"/>
      <c r="AR737" s="42"/>
      <c r="AS737" s="42"/>
      <c r="AT737" s="42"/>
      <c r="AU737" s="42"/>
      <c r="AV737" s="42"/>
      <c r="AW737" s="42"/>
      <c r="AX737" s="68">
        <v>97.5</v>
      </c>
      <c r="AY737" s="37"/>
      <c r="BA737" s="68"/>
      <c r="BB737" s="68"/>
      <c r="BD737" s="67">
        <f t="shared" si="257"/>
        <v>5655</v>
      </c>
      <c r="BE737" s="67"/>
      <c r="BF737" s="37"/>
      <c r="BG737" s="73">
        <v>1</v>
      </c>
      <c r="BH737" s="67">
        <f t="shared" si="258"/>
        <v>0</v>
      </c>
      <c r="BI737" s="67">
        <f t="shared" si="259"/>
        <v>0</v>
      </c>
      <c r="BJ737" s="70">
        <f t="shared" si="260"/>
        <v>0</v>
      </c>
      <c r="BN737" s="37"/>
      <c r="BO737" s="70">
        <f t="shared" si="244"/>
        <v>0</v>
      </c>
      <c r="BP737" s="37">
        <v>4</v>
      </c>
      <c r="BQ737" s="37">
        <v>5</v>
      </c>
      <c r="BR737" s="37">
        <v>5</v>
      </c>
      <c r="BS737" s="37">
        <v>6</v>
      </c>
      <c r="BT737" s="87">
        <f t="shared" si="245"/>
        <v>97.5</v>
      </c>
      <c r="BU737" s="87"/>
      <c r="BV737" s="87"/>
      <c r="BW737" s="87"/>
      <c r="BX737" s="87"/>
      <c r="BY737" s="87"/>
      <c r="BZ737" s="87"/>
      <c r="CA737" s="87"/>
      <c r="CB737" s="87"/>
      <c r="CC737" s="87"/>
      <c r="CD737" s="87"/>
      <c r="CF737" s="67">
        <f t="shared" si="246"/>
        <v>390</v>
      </c>
      <c r="CG737" s="67">
        <f t="shared" si="247"/>
        <v>487.5</v>
      </c>
      <c r="CH737" s="67">
        <f t="shared" si="262"/>
        <v>487.5</v>
      </c>
      <c r="CI737" s="67">
        <f t="shared" si="252"/>
        <v>585</v>
      </c>
      <c r="CJ737" s="37">
        <f t="shared" si="248"/>
        <v>130</v>
      </c>
      <c r="CK737" s="37">
        <f t="shared" si="249"/>
        <v>162.5</v>
      </c>
      <c r="CL737" s="37">
        <f t="shared" si="250"/>
        <v>162.5</v>
      </c>
      <c r="CM737" s="37">
        <f t="shared" si="251"/>
        <v>195</v>
      </c>
    </row>
    <row r="738" spans="2:91" ht="25.5">
      <c r="B738" s="156">
        <v>725</v>
      </c>
      <c r="C738" s="160">
        <v>418</v>
      </c>
      <c r="D738" s="162">
        <v>168</v>
      </c>
      <c r="E738" s="161">
        <v>0.73611111111111116</v>
      </c>
      <c r="F738" s="161">
        <v>0.76041666666666663</v>
      </c>
      <c r="G738" s="160" t="s">
        <v>40</v>
      </c>
      <c r="H738" s="160" t="s">
        <v>103</v>
      </c>
      <c r="I738" s="163">
        <v>14</v>
      </c>
      <c r="J738" s="164" t="s">
        <v>93</v>
      </c>
      <c r="K738" s="165">
        <v>174</v>
      </c>
      <c r="L738" s="166">
        <f t="shared" si="261"/>
        <v>2436</v>
      </c>
      <c r="M738" s="177" t="s">
        <v>777</v>
      </c>
      <c r="N738" s="150" t="s">
        <v>927</v>
      </c>
      <c r="O738" s="150">
        <v>20</v>
      </c>
      <c r="P738" s="150" t="s">
        <v>928</v>
      </c>
      <c r="Q738" s="150">
        <v>31</v>
      </c>
      <c r="S738" s="150"/>
      <c r="T738" s="45" t="s">
        <v>1446</v>
      </c>
      <c r="U738" s="45" t="s">
        <v>1447</v>
      </c>
      <c r="V738" s="45">
        <v>4143</v>
      </c>
      <c r="W738" s="45" t="s">
        <v>1697</v>
      </c>
      <c r="X738" s="98">
        <v>44816</v>
      </c>
      <c r="Y738" s="98">
        <v>45086</v>
      </c>
      <c r="Z738" s="98"/>
      <c r="AA738" s="98"/>
      <c r="AB738" s="41" t="s">
        <v>1114</v>
      </c>
      <c r="AC738" s="41"/>
      <c r="AD738" s="42"/>
      <c r="AE738" s="42"/>
      <c r="AF738" s="42"/>
      <c r="AG738" s="42" t="s">
        <v>734</v>
      </c>
      <c r="AH738" s="42" t="s">
        <v>734</v>
      </c>
      <c r="AI738" s="42" t="s">
        <v>734</v>
      </c>
      <c r="AJ738" s="42" t="s">
        <v>734</v>
      </c>
      <c r="AK738" s="42" t="s">
        <v>734</v>
      </c>
      <c r="AL738" s="42" t="s">
        <v>734</v>
      </c>
      <c r="AM738" s="42"/>
      <c r="AN738" s="42"/>
      <c r="AO738" s="42"/>
      <c r="AP738" s="42"/>
      <c r="AQ738" s="42"/>
      <c r="AR738" s="42"/>
      <c r="AS738" s="42"/>
      <c r="AT738" s="42"/>
      <c r="AU738" s="42"/>
      <c r="AV738" s="42"/>
      <c r="AW738" s="42"/>
      <c r="AX738" s="68">
        <f>((35*105)+(25.2*69))/174</f>
        <v>31.113793103448277</v>
      </c>
      <c r="AY738" s="37"/>
      <c r="BA738" s="68"/>
      <c r="BB738" s="68"/>
      <c r="BD738" s="67">
        <f t="shared" si="257"/>
        <v>5413.8</v>
      </c>
      <c r="BE738" s="67"/>
      <c r="BF738" s="37"/>
      <c r="BG738" s="73">
        <v>1</v>
      </c>
      <c r="BH738" s="67">
        <f t="shared" si="258"/>
        <v>0</v>
      </c>
      <c r="BI738" s="67">
        <f t="shared" si="259"/>
        <v>0</v>
      </c>
      <c r="BJ738" s="70">
        <f t="shared" si="260"/>
        <v>0</v>
      </c>
      <c r="BN738" s="37"/>
      <c r="BO738" s="70">
        <f t="shared" si="244"/>
        <v>0</v>
      </c>
      <c r="BP738" s="37">
        <v>15</v>
      </c>
      <c r="BQ738" s="37">
        <v>20</v>
      </c>
      <c r="BR738" s="37">
        <v>21</v>
      </c>
      <c r="BS738" s="37">
        <v>15</v>
      </c>
      <c r="BT738" s="87">
        <f t="shared" si="245"/>
        <v>31.113793103448277</v>
      </c>
      <c r="BU738" s="87"/>
      <c r="BV738" s="87"/>
      <c r="BW738" s="87"/>
      <c r="BX738" s="87"/>
      <c r="BY738" s="87"/>
      <c r="BZ738" s="87"/>
      <c r="CA738" s="87"/>
      <c r="CB738" s="87"/>
      <c r="CC738" s="87"/>
      <c r="CD738" s="87"/>
      <c r="CF738" s="67">
        <f t="shared" si="246"/>
        <v>466.70689655172413</v>
      </c>
      <c r="CG738" s="67">
        <f t="shared" si="247"/>
        <v>622.27586206896558</v>
      </c>
      <c r="CH738" s="67">
        <f t="shared" si="262"/>
        <v>653.38965517241377</v>
      </c>
      <c r="CI738" s="67">
        <f t="shared" si="252"/>
        <v>466.70689655172413</v>
      </c>
      <c r="CJ738" s="37">
        <f t="shared" si="248"/>
        <v>210</v>
      </c>
      <c r="CK738" s="37">
        <f t="shared" si="249"/>
        <v>280</v>
      </c>
      <c r="CL738" s="37">
        <f t="shared" si="250"/>
        <v>294</v>
      </c>
      <c r="CM738" s="37">
        <f t="shared" si="251"/>
        <v>210</v>
      </c>
    </row>
    <row r="739" spans="2:91" ht="22.5">
      <c r="B739" s="156">
        <v>726</v>
      </c>
      <c r="C739" s="174">
        <v>418</v>
      </c>
      <c r="D739" s="162">
        <v>94</v>
      </c>
      <c r="E739" s="161">
        <v>0.77430555555555547</v>
      </c>
      <c r="F739" s="161">
        <v>0.79513888888888884</v>
      </c>
      <c r="G739" s="171" t="s">
        <v>229</v>
      </c>
      <c r="H739" s="160" t="s">
        <v>18</v>
      </c>
      <c r="I739" s="163">
        <v>13.5</v>
      </c>
      <c r="J739" s="164" t="s">
        <v>228</v>
      </c>
      <c r="K739" s="165">
        <v>304</v>
      </c>
      <c r="L739" s="166">
        <f t="shared" si="261"/>
        <v>4104</v>
      </c>
      <c r="M739" s="177" t="s">
        <v>777</v>
      </c>
      <c r="N739" s="150" t="s">
        <v>928</v>
      </c>
      <c r="O739" s="150">
        <v>31</v>
      </c>
      <c r="P739" s="150" t="s">
        <v>927</v>
      </c>
      <c r="Q739" s="150">
        <v>20</v>
      </c>
      <c r="S739" s="150"/>
      <c r="T739" s="45" t="s">
        <v>1446</v>
      </c>
      <c r="U739" s="45" t="s">
        <v>1447</v>
      </c>
      <c r="V739" s="45">
        <v>4115</v>
      </c>
      <c r="W739" s="45" t="s">
        <v>1696</v>
      </c>
      <c r="X739" s="98">
        <v>44805</v>
      </c>
      <c r="Y739" s="98">
        <v>45169</v>
      </c>
      <c r="Z739" s="98"/>
      <c r="AA739" s="98"/>
      <c r="AB739" s="42" t="s">
        <v>1125</v>
      </c>
      <c r="AC739" s="42"/>
      <c r="AD739" s="42" t="s">
        <v>734</v>
      </c>
      <c r="AE739" s="42" t="s">
        <v>734</v>
      </c>
      <c r="AF739" s="42" t="s">
        <v>734</v>
      </c>
      <c r="AG739" s="42"/>
      <c r="AH739" s="42" t="s">
        <v>734</v>
      </c>
      <c r="AI739" s="42" t="s">
        <v>734</v>
      </c>
      <c r="AJ739" s="42" t="s">
        <v>734</v>
      </c>
      <c r="AK739" s="42" t="s">
        <v>734</v>
      </c>
      <c r="AL739" s="42" t="s">
        <v>734</v>
      </c>
      <c r="AM739" s="42" t="s">
        <v>734</v>
      </c>
      <c r="AN739" s="42"/>
      <c r="AO739" s="42"/>
      <c r="AP739" s="42"/>
      <c r="AQ739" s="42"/>
      <c r="AR739" s="42"/>
      <c r="AS739" s="42"/>
      <c r="AT739" s="42"/>
      <c r="AU739" s="42"/>
      <c r="AV739" s="42"/>
      <c r="AW739" s="42"/>
      <c r="AX739" s="68">
        <v>32.11</v>
      </c>
      <c r="AY739" s="37"/>
      <c r="BA739" s="68"/>
      <c r="BB739" s="68"/>
      <c r="BD739" s="67">
        <f t="shared" si="257"/>
        <v>9761.44</v>
      </c>
      <c r="BE739" s="67"/>
      <c r="BF739" s="37"/>
      <c r="BG739" s="73">
        <v>1</v>
      </c>
      <c r="BH739" s="67">
        <f t="shared" si="258"/>
        <v>0</v>
      </c>
      <c r="BI739" s="67">
        <f t="shared" si="259"/>
        <v>0</v>
      </c>
      <c r="BJ739" s="70">
        <f t="shared" si="260"/>
        <v>0</v>
      </c>
      <c r="BN739" s="37"/>
      <c r="BO739" s="70">
        <f t="shared" si="244"/>
        <v>0</v>
      </c>
      <c r="BP739" s="37">
        <v>26</v>
      </c>
      <c r="BQ739" s="37">
        <v>26</v>
      </c>
      <c r="BR739" s="37">
        <v>25</v>
      </c>
      <c r="BS739" s="37">
        <v>25</v>
      </c>
      <c r="BT739" s="87">
        <f t="shared" si="245"/>
        <v>32.11</v>
      </c>
      <c r="BU739" s="87"/>
      <c r="BV739" s="87"/>
      <c r="BW739" s="87"/>
      <c r="BX739" s="87"/>
      <c r="BY739" s="87"/>
      <c r="BZ739" s="87"/>
      <c r="CA739" s="87"/>
      <c r="CB739" s="87"/>
      <c r="CC739" s="87"/>
      <c r="CD739" s="87"/>
      <c r="CF739" s="67">
        <f t="shared" si="246"/>
        <v>834.86</v>
      </c>
      <c r="CG739" s="67">
        <f t="shared" si="247"/>
        <v>834.86</v>
      </c>
      <c r="CH739" s="67">
        <f t="shared" si="262"/>
        <v>802.75</v>
      </c>
      <c r="CI739" s="67">
        <f t="shared" si="252"/>
        <v>802.75</v>
      </c>
      <c r="CJ739" s="37">
        <f t="shared" si="248"/>
        <v>351</v>
      </c>
      <c r="CK739" s="37">
        <f t="shared" si="249"/>
        <v>351</v>
      </c>
      <c r="CL739" s="37">
        <f t="shared" si="250"/>
        <v>337.5</v>
      </c>
      <c r="CM739" s="37">
        <f t="shared" si="251"/>
        <v>337.5</v>
      </c>
    </row>
    <row r="740" spans="2:91" ht="22.5">
      <c r="B740" s="156">
        <v>727</v>
      </c>
      <c r="C740" s="169">
        <v>418</v>
      </c>
      <c r="D740" s="169">
        <v>184</v>
      </c>
      <c r="E740" s="170">
        <v>0.79375000000000007</v>
      </c>
      <c r="F740" s="176">
        <v>0.81805555555555554</v>
      </c>
      <c r="G740" s="171" t="s">
        <v>697</v>
      </c>
      <c r="H740" s="171" t="s">
        <v>18</v>
      </c>
      <c r="I740" s="169">
        <v>14</v>
      </c>
      <c r="J740" s="172">
        <v>19</v>
      </c>
      <c r="K740" s="165">
        <v>304</v>
      </c>
      <c r="L740" s="166">
        <f t="shared" si="261"/>
        <v>4256</v>
      </c>
      <c r="M740" s="177" t="s">
        <v>775</v>
      </c>
      <c r="N740" s="150" t="s">
        <v>872</v>
      </c>
      <c r="O740" s="150">
        <v>21</v>
      </c>
      <c r="P740" s="150" t="s">
        <v>873</v>
      </c>
      <c r="Q740" s="150">
        <v>31</v>
      </c>
      <c r="R740" s="270" t="s">
        <v>2064</v>
      </c>
      <c r="S740" s="270">
        <v>38</v>
      </c>
      <c r="T740" s="45" t="s">
        <v>1446</v>
      </c>
      <c r="U740" s="45" t="s">
        <v>1447</v>
      </c>
      <c r="V740" s="45">
        <v>4143</v>
      </c>
      <c r="W740" s="45" t="s">
        <v>1697</v>
      </c>
      <c r="X740" s="98">
        <v>44805</v>
      </c>
      <c r="Y740" s="98">
        <v>45169</v>
      </c>
      <c r="Z740" s="98"/>
      <c r="AA740" s="98"/>
      <c r="AB740" s="42" t="s">
        <v>1125</v>
      </c>
      <c r="AC740" s="42"/>
      <c r="AD740" s="42" t="s">
        <v>734</v>
      </c>
      <c r="AE740" s="42" t="s">
        <v>734</v>
      </c>
      <c r="AF740" s="42" t="s">
        <v>734</v>
      </c>
      <c r="AG740" s="42"/>
      <c r="AH740" s="42" t="s">
        <v>734</v>
      </c>
      <c r="AI740" s="42" t="s">
        <v>734</v>
      </c>
      <c r="AJ740" s="42" t="s">
        <v>734</v>
      </c>
      <c r="AK740" s="42" t="s">
        <v>734</v>
      </c>
      <c r="AL740" s="42" t="s">
        <v>734</v>
      </c>
      <c r="AM740" s="42" t="s">
        <v>734</v>
      </c>
      <c r="AN740" s="42"/>
      <c r="AO740" s="42"/>
      <c r="AP740" s="42"/>
      <c r="AQ740" s="42"/>
      <c r="AR740" s="42"/>
      <c r="AS740" s="42"/>
      <c r="AT740" s="42"/>
      <c r="AU740" s="42"/>
      <c r="AV740" s="42"/>
      <c r="AW740" s="42"/>
      <c r="AY740" s="67">
        <f>1.9*14</f>
        <v>26.599999999999998</v>
      </c>
      <c r="BD740" s="67">
        <f t="shared" si="257"/>
        <v>0</v>
      </c>
      <c r="BE740" s="67">
        <f>AY740*K740</f>
        <v>8086.4</v>
      </c>
      <c r="BF740" s="37"/>
      <c r="BG740" s="73">
        <v>1</v>
      </c>
      <c r="BI740" s="67"/>
      <c r="BJ740" s="37"/>
      <c r="BK740" s="67">
        <f>IF(AND((AY740/I740)&lt;2,BG740=1),(I740*2)-AY740,0)</f>
        <v>1.4000000000000021</v>
      </c>
      <c r="BL740" s="67">
        <f>IF(AND((AY740/I740)&lt;3,BG740=2),(I740*3)-AY740,0)</f>
        <v>0</v>
      </c>
      <c r="BM740" s="70">
        <f>(BK740+BL740)*K740</f>
        <v>425.60000000000065</v>
      </c>
      <c r="BN740" s="37"/>
      <c r="BO740" s="70">
        <f t="shared" si="244"/>
        <v>0</v>
      </c>
      <c r="BP740" s="37">
        <v>26</v>
      </c>
      <c r="BQ740" s="37">
        <v>26</v>
      </c>
      <c r="BR740" s="37">
        <v>25</v>
      </c>
      <c r="BS740" s="37">
        <v>25</v>
      </c>
      <c r="BT740" s="87">
        <f t="shared" si="245"/>
        <v>28</v>
      </c>
      <c r="BU740" s="87"/>
      <c r="BV740" s="87"/>
      <c r="BW740" s="87"/>
      <c r="BX740" s="87"/>
      <c r="BY740" s="87"/>
      <c r="BZ740" s="87"/>
      <c r="CA740" s="87"/>
      <c r="CB740" s="87"/>
      <c r="CC740" s="87"/>
      <c r="CD740" s="87"/>
      <c r="CF740" s="67">
        <f t="shared" si="246"/>
        <v>728</v>
      </c>
      <c r="CG740" s="67">
        <f t="shared" si="247"/>
        <v>728</v>
      </c>
      <c r="CH740" s="67">
        <f t="shared" si="262"/>
        <v>700</v>
      </c>
      <c r="CI740" s="67">
        <f t="shared" si="252"/>
        <v>700</v>
      </c>
      <c r="CJ740" s="37">
        <f t="shared" si="248"/>
        <v>364</v>
      </c>
      <c r="CK740" s="37">
        <f t="shared" si="249"/>
        <v>364</v>
      </c>
      <c r="CL740" s="37">
        <f t="shared" si="250"/>
        <v>350</v>
      </c>
      <c r="CM740" s="37">
        <f t="shared" si="251"/>
        <v>350</v>
      </c>
    </row>
    <row r="741" spans="2:91" ht="25.5">
      <c r="B741" s="156">
        <v>728</v>
      </c>
      <c r="C741" s="174">
        <v>418</v>
      </c>
      <c r="D741" s="162">
        <v>94</v>
      </c>
      <c r="E741" s="161">
        <v>0.79513888888888884</v>
      </c>
      <c r="F741" s="161">
        <v>0.79999999999999993</v>
      </c>
      <c r="G741" s="160" t="s">
        <v>227</v>
      </c>
      <c r="H741" s="160" t="s">
        <v>97</v>
      </c>
      <c r="I741" s="163">
        <v>3</v>
      </c>
      <c r="J741" s="164" t="s">
        <v>116</v>
      </c>
      <c r="K741" s="165">
        <v>208</v>
      </c>
      <c r="L741" s="166">
        <f t="shared" si="261"/>
        <v>624</v>
      </c>
      <c r="M741" s="177" t="s">
        <v>777</v>
      </c>
      <c r="N741" s="150" t="s">
        <v>927</v>
      </c>
      <c r="O741" s="150">
        <v>20</v>
      </c>
      <c r="P741" s="150" t="s">
        <v>1950</v>
      </c>
      <c r="Q741" s="150">
        <v>9</v>
      </c>
      <c r="S741" s="150"/>
      <c r="T741" s="45">
        <v>4115</v>
      </c>
      <c r="U741" s="45" t="s">
        <v>1696</v>
      </c>
      <c r="V741" s="45">
        <v>4116</v>
      </c>
      <c r="W741" s="45" t="s">
        <v>1695</v>
      </c>
      <c r="X741" s="98">
        <v>44816</v>
      </c>
      <c r="Y741" s="98">
        <v>45086</v>
      </c>
      <c r="Z741" s="98"/>
      <c r="AA741" s="98"/>
      <c r="AB741" s="41" t="s">
        <v>1118</v>
      </c>
      <c r="AC741" s="41"/>
      <c r="AD741" s="42"/>
      <c r="AE741" s="42"/>
      <c r="AF741" s="42"/>
      <c r="AG741" s="42" t="s">
        <v>734</v>
      </c>
      <c r="AH741" s="42" t="s">
        <v>734</v>
      </c>
      <c r="AI741" s="42" t="s">
        <v>734</v>
      </c>
      <c r="AJ741" s="42" t="s">
        <v>734</v>
      </c>
      <c r="AK741" s="42" t="s">
        <v>734</v>
      </c>
      <c r="AL741" s="42" t="s">
        <v>734</v>
      </c>
      <c r="AM741" s="42" t="s">
        <v>734</v>
      </c>
      <c r="AN741" s="42"/>
      <c r="AO741" s="42"/>
      <c r="AP741" s="42"/>
      <c r="AQ741" s="42"/>
      <c r="AR741" s="42"/>
      <c r="AS741" s="42"/>
      <c r="AT741" s="42"/>
      <c r="AU741" s="42"/>
      <c r="AV741" s="42"/>
      <c r="AW741" s="42"/>
      <c r="AX741" s="68">
        <v>8.93</v>
      </c>
      <c r="AY741" s="37"/>
      <c r="BA741" s="68"/>
      <c r="BB741" s="68"/>
      <c r="BD741" s="67">
        <f t="shared" si="257"/>
        <v>1857.44</v>
      </c>
      <c r="BE741" s="67"/>
      <c r="BF741" s="37"/>
      <c r="BG741" s="73">
        <v>1</v>
      </c>
      <c r="BH741" s="67">
        <f t="shared" ref="BH741:BH764" si="263">IF(AND((AX741/I741)&lt;2,BG741=1),(I741*2)-AX741,0)</f>
        <v>0</v>
      </c>
      <c r="BI741" s="67">
        <f t="shared" ref="BI741:BI764" si="264">IF(AND((AX741/I741)&lt;3,BG741=2),(I741*3)-AX741,0)</f>
        <v>0</v>
      </c>
      <c r="BJ741" s="70">
        <f t="shared" ref="BJ741:BJ764" si="265">(BH741+BI741)*K741</f>
        <v>0</v>
      </c>
      <c r="BN741" s="37"/>
      <c r="BO741" s="70">
        <f t="shared" si="244"/>
        <v>0</v>
      </c>
      <c r="BP741" s="37">
        <v>17</v>
      </c>
      <c r="BQ741" s="37">
        <v>25</v>
      </c>
      <c r="BR741" s="37">
        <v>25</v>
      </c>
      <c r="BS741" s="37">
        <v>18</v>
      </c>
      <c r="BT741" s="87">
        <f t="shared" si="245"/>
        <v>8.93</v>
      </c>
      <c r="BU741" s="87"/>
      <c r="BV741" s="87"/>
      <c r="BW741" s="87"/>
      <c r="BX741" s="87"/>
      <c r="BY741" s="87"/>
      <c r="BZ741" s="87"/>
      <c r="CA741" s="87"/>
      <c r="CB741" s="87"/>
      <c r="CC741" s="87"/>
      <c r="CD741" s="87"/>
      <c r="CF741" s="67">
        <f t="shared" si="246"/>
        <v>151.81</v>
      </c>
      <c r="CG741" s="67">
        <f t="shared" si="247"/>
        <v>223.25</v>
      </c>
      <c r="CH741" s="67">
        <f t="shared" si="262"/>
        <v>223.25</v>
      </c>
      <c r="CI741" s="67">
        <f t="shared" si="252"/>
        <v>160.74</v>
      </c>
      <c r="CJ741" s="37">
        <f t="shared" si="248"/>
        <v>51</v>
      </c>
      <c r="CK741" s="37">
        <f t="shared" si="249"/>
        <v>75</v>
      </c>
      <c r="CL741" s="37">
        <f t="shared" si="250"/>
        <v>75</v>
      </c>
      <c r="CM741" s="37">
        <f t="shared" si="251"/>
        <v>54</v>
      </c>
    </row>
    <row r="742" spans="2:91" ht="25.5">
      <c r="B742" s="156">
        <v>729</v>
      </c>
      <c r="C742" s="160">
        <v>423</v>
      </c>
      <c r="D742" s="164">
        <v>177</v>
      </c>
      <c r="E742" s="161">
        <v>0.31874999999999998</v>
      </c>
      <c r="F742" s="161">
        <v>0.32569444444444445</v>
      </c>
      <c r="G742" s="160" t="s">
        <v>304</v>
      </c>
      <c r="H742" s="160" t="s">
        <v>103</v>
      </c>
      <c r="I742" s="163">
        <v>6</v>
      </c>
      <c r="J742" s="164" t="s">
        <v>93</v>
      </c>
      <c r="K742" s="165">
        <v>174</v>
      </c>
      <c r="L742" s="166">
        <f t="shared" si="261"/>
        <v>1044</v>
      </c>
      <c r="M742" s="177" t="s">
        <v>730</v>
      </c>
      <c r="N742" s="150" t="s">
        <v>885</v>
      </c>
      <c r="O742" s="150">
        <v>21</v>
      </c>
      <c r="P742" s="150" t="s">
        <v>1257</v>
      </c>
      <c r="Q742" s="150">
        <v>21</v>
      </c>
      <c r="S742" s="150"/>
      <c r="T742" s="45">
        <v>4210</v>
      </c>
      <c r="U742" s="45" t="s">
        <v>1702</v>
      </c>
      <c r="V742" s="45" t="s">
        <v>1446</v>
      </c>
      <c r="W742" s="45" t="s">
        <v>1447</v>
      </c>
      <c r="X742" s="98">
        <v>44816</v>
      </c>
      <c r="Y742" s="98">
        <v>45086</v>
      </c>
      <c r="Z742" s="98"/>
      <c r="AA742" s="98"/>
      <c r="AB742" s="41" t="s">
        <v>1114</v>
      </c>
      <c r="AC742" s="41"/>
      <c r="AD742" s="42"/>
      <c r="AE742" s="42"/>
      <c r="AF742" s="42"/>
      <c r="AG742" s="42" t="s">
        <v>734</v>
      </c>
      <c r="AH742" s="42" t="s">
        <v>734</v>
      </c>
      <c r="AI742" s="42" t="s">
        <v>734</v>
      </c>
      <c r="AJ742" s="42" t="s">
        <v>734</v>
      </c>
      <c r="AK742" s="42" t="s">
        <v>734</v>
      </c>
      <c r="AL742" s="42" t="s">
        <v>734</v>
      </c>
      <c r="AM742" s="42"/>
      <c r="AN742" s="42"/>
      <c r="AO742" s="42"/>
      <c r="AP742" s="42"/>
      <c r="AQ742" s="42"/>
      <c r="AR742" s="42"/>
      <c r="AS742" s="42"/>
      <c r="AT742" s="42"/>
      <c r="AU742" s="42"/>
      <c r="AV742" s="42"/>
      <c r="AW742" s="42"/>
      <c r="AX742" s="68">
        <v>10.8</v>
      </c>
      <c r="AY742" s="37"/>
      <c r="BA742" s="68"/>
      <c r="BB742" s="68"/>
      <c r="BD742" s="67">
        <f t="shared" si="257"/>
        <v>1879.2</v>
      </c>
      <c r="BE742" s="67"/>
      <c r="BF742" s="37"/>
      <c r="BG742" s="73">
        <v>1</v>
      </c>
      <c r="BH742" s="67">
        <f t="shared" si="263"/>
        <v>1.1999999999999993</v>
      </c>
      <c r="BI742" s="67">
        <f t="shared" si="264"/>
        <v>0</v>
      </c>
      <c r="BJ742" s="67">
        <f t="shared" si="265"/>
        <v>208.79999999999987</v>
      </c>
      <c r="BN742" s="37"/>
      <c r="BO742" s="70">
        <f t="shared" si="244"/>
        <v>0</v>
      </c>
      <c r="BP742" s="37">
        <v>15</v>
      </c>
      <c r="BQ742" s="37">
        <v>20</v>
      </c>
      <c r="BR742" s="37">
        <v>21</v>
      </c>
      <c r="BS742" s="37">
        <v>15</v>
      </c>
      <c r="BT742" s="87">
        <f t="shared" si="245"/>
        <v>12</v>
      </c>
      <c r="BU742" s="87"/>
      <c r="BV742" s="87"/>
      <c r="BW742" s="87"/>
      <c r="BX742" s="87"/>
      <c r="BY742" s="87"/>
      <c r="BZ742" s="87"/>
      <c r="CA742" s="87"/>
      <c r="CB742" s="87"/>
      <c r="CC742" s="87"/>
      <c r="CD742" s="87"/>
      <c r="CF742" s="67">
        <f t="shared" si="246"/>
        <v>180</v>
      </c>
      <c r="CG742" s="67">
        <f t="shared" si="247"/>
        <v>240</v>
      </c>
      <c r="CH742" s="67">
        <f t="shared" si="262"/>
        <v>252</v>
      </c>
      <c r="CI742" s="67">
        <f t="shared" si="252"/>
        <v>180</v>
      </c>
      <c r="CJ742" s="37">
        <f t="shared" si="248"/>
        <v>90</v>
      </c>
      <c r="CK742" s="37">
        <f t="shared" si="249"/>
        <v>120</v>
      </c>
      <c r="CL742" s="37">
        <f t="shared" si="250"/>
        <v>126</v>
      </c>
      <c r="CM742" s="37">
        <f t="shared" si="251"/>
        <v>90</v>
      </c>
    </row>
    <row r="743" spans="2:91" ht="25.5">
      <c r="B743" s="156">
        <v>730</v>
      </c>
      <c r="C743" s="160">
        <v>423</v>
      </c>
      <c r="D743" s="160">
        <v>202</v>
      </c>
      <c r="E743" s="161">
        <v>0.81805555555555554</v>
      </c>
      <c r="F743" s="161">
        <v>0.83750000000000002</v>
      </c>
      <c r="G743" s="160" t="s">
        <v>140</v>
      </c>
      <c r="H743" s="160" t="s">
        <v>103</v>
      </c>
      <c r="I743" s="163">
        <v>14</v>
      </c>
      <c r="J743" s="164" t="s">
        <v>93</v>
      </c>
      <c r="K743" s="165">
        <v>174</v>
      </c>
      <c r="L743" s="166">
        <f t="shared" si="261"/>
        <v>2436</v>
      </c>
      <c r="M743" s="177" t="s">
        <v>776</v>
      </c>
      <c r="N743" s="3" t="s">
        <v>944</v>
      </c>
      <c r="O743" s="3">
        <v>23</v>
      </c>
      <c r="P743" s="154" t="s">
        <v>1949</v>
      </c>
      <c r="Q743" s="154">
        <v>24</v>
      </c>
      <c r="R743" s="154" t="s">
        <v>1989</v>
      </c>
      <c r="S743" s="151">
        <v>23</v>
      </c>
      <c r="T743" s="45" t="s">
        <v>1446</v>
      </c>
      <c r="U743" s="45" t="s">
        <v>1447</v>
      </c>
      <c r="V743" s="45" t="s">
        <v>1703</v>
      </c>
      <c r="W743" s="45" t="s">
        <v>1704</v>
      </c>
      <c r="X743" s="98">
        <v>44816</v>
      </c>
      <c r="Y743" s="98">
        <v>45086</v>
      </c>
      <c r="Z743" s="98"/>
      <c r="AA743" s="98"/>
      <c r="AB743" s="41" t="s">
        <v>1114</v>
      </c>
      <c r="AC743" s="41"/>
      <c r="AD743" s="42"/>
      <c r="AE743" s="42"/>
      <c r="AF743" s="42"/>
      <c r="AG743" s="42" t="s">
        <v>734</v>
      </c>
      <c r="AH743" s="42" t="s">
        <v>734</v>
      </c>
      <c r="AI743" s="42" t="s">
        <v>734</v>
      </c>
      <c r="AJ743" s="42" t="s">
        <v>734</v>
      </c>
      <c r="AK743" s="42" t="s">
        <v>734</v>
      </c>
      <c r="AL743" s="42" t="s">
        <v>734</v>
      </c>
      <c r="AM743" s="42"/>
      <c r="AN743" s="42"/>
      <c r="AO743" s="42"/>
      <c r="AP743" s="42"/>
      <c r="AQ743" s="42"/>
      <c r="AR743" s="42"/>
      <c r="AS743" s="42"/>
      <c r="AT743" s="42"/>
      <c r="AU743" s="42"/>
      <c r="AV743" s="42"/>
      <c r="AW743" s="42"/>
      <c r="AX743" s="68">
        <v>48.25</v>
      </c>
      <c r="AY743" s="37"/>
      <c r="BA743" s="68"/>
      <c r="BB743" s="68"/>
      <c r="BD743" s="67">
        <f t="shared" si="257"/>
        <v>8395.5</v>
      </c>
      <c r="BE743" s="67"/>
      <c r="BF743" s="37"/>
      <c r="BG743" s="73">
        <v>1</v>
      </c>
      <c r="BH743" s="67">
        <f t="shared" si="263"/>
        <v>0</v>
      </c>
      <c r="BI743" s="67">
        <f t="shared" si="264"/>
        <v>0</v>
      </c>
      <c r="BJ743" s="70">
        <f t="shared" si="265"/>
        <v>0</v>
      </c>
      <c r="BN743" s="37"/>
      <c r="BO743" s="70">
        <f t="shared" si="244"/>
        <v>0</v>
      </c>
      <c r="BP743" s="37">
        <v>15</v>
      </c>
      <c r="BQ743" s="37">
        <v>20</v>
      </c>
      <c r="BR743" s="37">
        <v>21</v>
      </c>
      <c r="BS743" s="37">
        <v>15</v>
      </c>
      <c r="BT743" s="87">
        <f t="shared" si="245"/>
        <v>48.25</v>
      </c>
      <c r="BU743" s="87"/>
      <c r="BV743" s="87"/>
      <c r="BW743" s="87"/>
      <c r="BX743" s="87"/>
      <c r="BY743" s="87"/>
      <c r="BZ743" s="87"/>
      <c r="CA743" s="87"/>
      <c r="CB743" s="87"/>
      <c r="CC743" s="87"/>
      <c r="CD743" s="87"/>
      <c r="CF743" s="67">
        <f t="shared" si="246"/>
        <v>723.75</v>
      </c>
      <c r="CG743" s="67">
        <f t="shared" si="247"/>
        <v>965</v>
      </c>
      <c r="CH743" s="67">
        <f t="shared" si="262"/>
        <v>1013.25</v>
      </c>
      <c r="CI743" s="67">
        <f t="shared" si="252"/>
        <v>723.75</v>
      </c>
      <c r="CJ743" s="37">
        <f t="shared" si="248"/>
        <v>210</v>
      </c>
      <c r="CK743" s="37">
        <f t="shared" si="249"/>
        <v>280</v>
      </c>
      <c r="CL743" s="37">
        <f t="shared" si="250"/>
        <v>294</v>
      </c>
      <c r="CM743" s="37">
        <f t="shared" si="251"/>
        <v>210</v>
      </c>
    </row>
    <row r="744" spans="2:91" ht="45">
      <c r="B744" s="156">
        <v>731</v>
      </c>
      <c r="C744" s="160">
        <v>425</v>
      </c>
      <c r="D744" s="160">
        <v>438</v>
      </c>
      <c r="E744" s="161">
        <v>0.39930555555555558</v>
      </c>
      <c r="F744" s="161">
        <v>0.4145833333333333</v>
      </c>
      <c r="G744" s="171" t="s">
        <v>295</v>
      </c>
      <c r="H744" s="160" t="s">
        <v>293</v>
      </c>
      <c r="I744" s="163">
        <v>12.5</v>
      </c>
      <c r="J744" s="164" t="s">
        <v>99</v>
      </c>
      <c r="K744" s="165">
        <f>39+11</f>
        <v>50</v>
      </c>
      <c r="L744" s="166">
        <f t="shared" si="261"/>
        <v>625</v>
      </c>
      <c r="M744" s="167" t="s">
        <v>732</v>
      </c>
      <c r="N744" s="154" t="s">
        <v>797</v>
      </c>
      <c r="O744" s="154">
        <v>21</v>
      </c>
      <c r="P744" s="154" t="s">
        <v>1952</v>
      </c>
      <c r="Q744" s="154">
        <v>24</v>
      </c>
      <c r="S744" s="150"/>
      <c r="T744" s="45" t="s">
        <v>1446</v>
      </c>
      <c r="U744" s="45" t="s">
        <v>1447</v>
      </c>
      <c r="V744" s="45">
        <v>4136</v>
      </c>
      <c r="W744" s="45" t="s">
        <v>1705</v>
      </c>
      <c r="X744" s="98">
        <v>44805</v>
      </c>
      <c r="Y744" s="98">
        <v>45169</v>
      </c>
      <c r="Z744" s="98"/>
      <c r="AA744" s="98"/>
      <c r="AB744" s="42" t="s">
        <v>1164</v>
      </c>
      <c r="AC744" s="42"/>
      <c r="AD744" s="42" t="s">
        <v>734</v>
      </c>
      <c r="AE744" s="42" t="s">
        <v>734</v>
      </c>
      <c r="AF744" s="42" t="s">
        <v>734</v>
      </c>
      <c r="AG744" s="42"/>
      <c r="AH744" s="42"/>
      <c r="AI744" s="42"/>
      <c r="AJ744" s="42"/>
      <c r="AK744" s="42" t="s">
        <v>734</v>
      </c>
      <c r="AL744" s="42"/>
      <c r="AM744" s="42"/>
      <c r="AN744" s="42"/>
      <c r="AO744" s="42"/>
      <c r="AP744" s="42"/>
      <c r="AQ744" s="42"/>
      <c r="AR744" s="42"/>
      <c r="AS744" s="42"/>
      <c r="AT744" s="42"/>
      <c r="AU744" s="42"/>
      <c r="AV744" s="42"/>
      <c r="AW744" s="42"/>
      <c r="AX744" s="68">
        <v>17.600000000000001</v>
      </c>
      <c r="BA744" s="68"/>
      <c r="BB744" s="68"/>
      <c r="BD744" s="67">
        <f t="shared" si="257"/>
        <v>880.00000000000011</v>
      </c>
      <c r="BE744" s="67"/>
      <c r="BF744" s="37"/>
      <c r="BG744" s="73">
        <v>1</v>
      </c>
      <c r="BH744" s="67">
        <f t="shared" si="263"/>
        <v>7.3999999999999986</v>
      </c>
      <c r="BI744" s="67">
        <f t="shared" si="264"/>
        <v>0</v>
      </c>
      <c r="BJ744" s="67">
        <f t="shared" si="265"/>
        <v>369.99999999999994</v>
      </c>
      <c r="BN744" s="37"/>
      <c r="BO744" s="70">
        <f t="shared" si="244"/>
        <v>0</v>
      </c>
      <c r="BP744" s="37">
        <v>5</v>
      </c>
      <c r="BQ744" s="37">
        <v>4</v>
      </c>
      <c r="BR744" s="37">
        <v>4</v>
      </c>
      <c r="BS744" s="37">
        <v>4</v>
      </c>
      <c r="BT744" s="87">
        <f t="shared" si="245"/>
        <v>25</v>
      </c>
      <c r="BU744" s="87"/>
      <c r="BV744" s="87"/>
      <c r="BW744" s="87"/>
      <c r="BX744" s="87"/>
      <c r="BY744" s="87"/>
      <c r="BZ744" s="87"/>
      <c r="CA744" s="87"/>
      <c r="CB744" s="87"/>
      <c r="CC744" s="87"/>
      <c r="CD744" s="87"/>
      <c r="CF744" s="67">
        <f t="shared" si="246"/>
        <v>125</v>
      </c>
      <c r="CG744" s="67">
        <f t="shared" si="247"/>
        <v>100</v>
      </c>
      <c r="CH744" s="67">
        <f t="shared" si="262"/>
        <v>100</v>
      </c>
      <c r="CI744" s="67">
        <f t="shared" si="252"/>
        <v>100</v>
      </c>
      <c r="CJ744" s="37">
        <f t="shared" si="248"/>
        <v>62.5</v>
      </c>
      <c r="CK744" s="37">
        <f t="shared" si="249"/>
        <v>50</v>
      </c>
      <c r="CL744" s="37">
        <f t="shared" si="250"/>
        <v>50</v>
      </c>
      <c r="CM744" s="37">
        <f t="shared" si="251"/>
        <v>50</v>
      </c>
    </row>
    <row r="745" spans="2:91" ht="45">
      <c r="B745" s="156">
        <v>732</v>
      </c>
      <c r="C745" s="160">
        <v>425</v>
      </c>
      <c r="D745" s="160">
        <v>465</v>
      </c>
      <c r="E745" s="161">
        <v>0.41666666666666669</v>
      </c>
      <c r="F745" s="161">
        <v>0.43194444444444446</v>
      </c>
      <c r="G745" s="171" t="s">
        <v>294</v>
      </c>
      <c r="H745" s="160" t="s">
        <v>293</v>
      </c>
      <c r="I745" s="163">
        <v>12.5</v>
      </c>
      <c r="J745" s="164" t="s">
        <v>99</v>
      </c>
      <c r="K745" s="165">
        <f>39+11</f>
        <v>50</v>
      </c>
      <c r="L745" s="166">
        <f t="shared" si="261"/>
        <v>625</v>
      </c>
      <c r="M745" s="167" t="s">
        <v>732</v>
      </c>
      <c r="N745" s="154" t="s">
        <v>797</v>
      </c>
      <c r="O745" s="154">
        <v>21</v>
      </c>
      <c r="P745" s="154" t="s">
        <v>1952</v>
      </c>
      <c r="Q745" s="154">
        <v>24</v>
      </c>
      <c r="S745" s="154"/>
      <c r="T745" s="45">
        <v>4136</v>
      </c>
      <c r="U745" s="45" t="s">
        <v>1705</v>
      </c>
      <c r="V745" s="45" t="s">
        <v>1446</v>
      </c>
      <c r="W745" s="45" t="s">
        <v>1447</v>
      </c>
      <c r="X745" s="98">
        <v>44805</v>
      </c>
      <c r="Y745" s="98">
        <v>45169</v>
      </c>
      <c r="Z745" s="98"/>
      <c r="AA745" s="98"/>
      <c r="AB745" s="42" t="s">
        <v>1164</v>
      </c>
      <c r="AC745" s="42"/>
      <c r="AD745" s="42" t="s">
        <v>734</v>
      </c>
      <c r="AE745" s="42" t="s">
        <v>734</v>
      </c>
      <c r="AF745" s="42" t="s">
        <v>734</v>
      </c>
      <c r="AG745" s="42"/>
      <c r="AH745" s="42"/>
      <c r="AI745" s="42"/>
      <c r="AJ745" s="42"/>
      <c r="AK745" s="42" t="s">
        <v>734</v>
      </c>
      <c r="AL745" s="42"/>
      <c r="AM745" s="42"/>
      <c r="AN745" s="42"/>
      <c r="AO745" s="42"/>
      <c r="AP745" s="42"/>
      <c r="AQ745" s="42"/>
      <c r="AR745" s="42"/>
      <c r="AS745" s="42"/>
      <c r="AT745" s="42"/>
      <c r="AU745" s="42"/>
      <c r="AV745" s="42"/>
      <c r="AW745" s="42"/>
      <c r="AX745" s="68">
        <v>17.600000000000001</v>
      </c>
      <c r="BA745" s="68"/>
      <c r="BB745" s="68"/>
      <c r="BD745" s="67">
        <f t="shared" si="257"/>
        <v>880.00000000000011</v>
      </c>
      <c r="BE745" s="67"/>
      <c r="BF745" s="37"/>
      <c r="BG745" s="73">
        <v>1</v>
      </c>
      <c r="BH745" s="67">
        <f t="shared" si="263"/>
        <v>7.3999999999999986</v>
      </c>
      <c r="BI745" s="67">
        <f t="shared" si="264"/>
        <v>0</v>
      </c>
      <c r="BJ745" s="67">
        <f t="shared" si="265"/>
        <v>369.99999999999994</v>
      </c>
      <c r="BN745" s="37"/>
      <c r="BO745" s="70">
        <f t="shared" si="244"/>
        <v>0</v>
      </c>
      <c r="BP745" s="37">
        <v>5</v>
      </c>
      <c r="BQ745" s="37">
        <v>4</v>
      </c>
      <c r="BR745" s="37">
        <v>4</v>
      </c>
      <c r="BS745" s="37">
        <v>4</v>
      </c>
      <c r="BT745" s="87">
        <f t="shared" si="245"/>
        <v>25</v>
      </c>
      <c r="BU745" s="87"/>
      <c r="BV745" s="87"/>
      <c r="BW745" s="87"/>
      <c r="BX745" s="87"/>
      <c r="BY745" s="87"/>
      <c r="BZ745" s="87"/>
      <c r="CA745" s="87"/>
      <c r="CB745" s="87"/>
      <c r="CC745" s="87"/>
      <c r="CD745" s="87"/>
      <c r="CF745" s="67">
        <f t="shared" si="246"/>
        <v>125</v>
      </c>
      <c r="CG745" s="67">
        <f t="shared" si="247"/>
        <v>100</v>
      </c>
      <c r="CH745" s="67">
        <f t="shared" si="262"/>
        <v>100</v>
      </c>
      <c r="CI745" s="67">
        <f t="shared" si="252"/>
        <v>100</v>
      </c>
      <c r="CJ745" s="37">
        <f t="shared" si="248"/>
        <v>62.5</v>
      </c>
      <c r="CK745" s="37">
        <f t="shared" si="249"/>
        <v>50</v>
      </c>
      <c r="CL745" s="37">
        <f t="shared" si="250"/>
        <v>50</v>
      </c>
      <c r="CM745" s="37">
        <f t="shared" si="251"/>
        <v>50</v>
      </c>
    </row>
    <row r="746" spans="2:91" ht="45">
      <c r="B746" s="156">
        <v>733</v>
      </c>
      <c r="C746" s="160">
        <v>425</v>
      </c>
      <c r="D746" s="160">
        <v>440</v>
      </c>
      <c r="E746" s="161">
        <v>0.48958333333333331</v>
      </c>
      <c r="F746" s="161">
        <v>0.50486111111111109</v>
      </c>
      <c r="G746" s="171" t="s">
        <v>295</v>
      </c>
      <c r="H746" s="160" t="s">
        <v>293</v>
      </c>
      <c r="I746" s="163">
        <v>12.5</v>
      </c>
      <c r="J746" s="164" t="s">
        <v>99</v>
      </c>
      <c r="K746" s="165">
        <f>39+11</f>
        <v>50</v>
      </c>
      <c r="L746" s="166">
        <f t="shared" si="261"/>
        <v>625</v>
      </c>
      <c r="M746" s="167" t="s">
        <v>732</v>
      </c>
      <c r="N746" s="154" t="s">
        <v>797</v>
      </c>
      <c r="O746" s="154">
        <v>21</v>
      </c>
      <c r="P746" s="154" t="s">
        <v>1952</v>
      </c>
      <c r="Q746" s="154">
        <v>24</v>
      </c>
      <c r="R746" s="182"/>
      <c r="S746" s="154"/>
      <c r="T746" s="45" t="s">
        <v>1446</v>
      </c>
      <c r="U746" s="45" t="s">
        <v>1447</v>
      </c>
      <c r="V746" s="45">
        <v>4136</v>
      </c>
      <c r="W746" s="45" t="s">
        <v>1705</v>
      </c>
      <c r="X746" s="98">
        <v>44805</v>
      </c>
      <c r="Y746" s="98">
        <v>45169</v>
      </c>
      <c r="Z746" s="98"/>
      <c r="AA746" s="98"/>
      <c r="AB746" s="42" t="s">
        <v>1164</v>
      </c>
      <c r="AC746" s="42"/>
      <c r="AD746" s="42" t="s">
        <v>734</v>
      </c>
      <c r="AE746" s="42" t="s">
        <v>734</v>
      </c>
      <c r="AF746" s="42" t="s">
        <v>734</v>
      </c>
      <c r="AG746" s="42"/>
      <c r="AH746" s="42"/>
      <c r="AI746" s="42"/>
      <c r="AJ746" s="42"/>
      <c r="AK746" s="42" t="s">
        <v>734</v>
      </c>
      <c r="AL746" s="44"/>
      <c r="AM746" s="44"/>
      <c r="AN746" s="44"/>
      <c r="AO746" s="44"/>
      <c r="AP746" s="44"/>
      <c r="AQ746" s="44"/>
      <c r="AR746" s="42"/>
      <c r="AS746" s="42"/>
      <c r="AT746" s="42"/>
      <c r="AU746" s="42"/>
      <c r="AV746" s="44"/>
      <c r="AW746" s="44"/>
      <c r="AX746" s="68">
        <v>17.600000000000001</v>
      </c>
      <c r="AY746" s="75"/>
      <c r="AZ746" s="75"/>
      <c r="BA746" s="68"/>
      <c r="BB746" s="68"/>
      <c r="BC746" s="75"/>
      <c r="BD746" s="67">
        <f t="shared" si="257"/>
        <v>880.00000000000011</v>
      </c>
      <c r="BE746" s="67"/>
      <c r="BF746" s="75"/>
      <c r="BG746" s="73">
        <v>1</v>
      </c>
      <c r="BH746" s="67">
        <f t="shared" si="263"/>
        <v>7.3999999999999986</v>
      </c>
      <c r="BI746" s="67">
        <f t="shared" si="264"/>
        <v>0</v>
      </c>
      <c r="BJ746" s="67">
        <f t="shared" si="265"/>
        <v>369.99999999999994</v>
      </c>
      <c r="BN746" s="37"/>
      <c r="BO746" s="70">
        <f t="shared" si="244"/>
        <v>0</v>
      </c>
      <c r="BP746" s="37">
        <v>5</v>
      </c>
      <c r="BQ746" s="37">
        <v>4</v>
      </c>
      <c r="BR746" s="37">
        <v>4</v>
      </c>
      <c r="BS746" s="37">
        <v>4</v>
      </c>
      <c r="BT746" s="87">
        <f t="shared" si="245"/>
        <v>25</v>
      </c>
      <c r="BU746" s="87"/>
      <c r="BV746" s="87"/>
      <c r="BW746" s="87"/>
      <c r="BX746" s="87"/>
      <c r="BY746" s="87"/>
      <c r="BZ746" s="87"/>
      <c r="CA746" s="87"/>
      <c r="CB746" s="87"/>
      <c r="CC746" s="87"/>
      <c r="CD746" s="87"/>
      <c r="CF746" s="67">
        <f t="shared" si="246"/>
        <v>125</v>
      </c>
      <c r="CG746" s="67">
        <f t="shared" si="247"/>
        <v>100</v>
      </c>
      <c r="CH746" s="67">
        <f t="shared" si="262"/>
        <v>100</v>
      </c>
      <c r="CI746" s="67">
        <f t="shared" si="252"/>
        <v>100</v>
      </c>
      <c r="CJ746" s="37">
        <f t="shared" si="248"/>
        <v>62.5</v>
      </c>
      <c r="CK746" s="37">
        <f t="shared" si="249"/>
        <v>50</v>
      </c>
      <c r="CL746" s="37">
        <f t="shared" si="250"/>
        <v>50</v>
      </c>
      <c r="CM746" s="37">
        <f t="shared" si="251"/>
        <v>50</v>
      </c>
    </row>
    <row r="747" spans="2:91" ht="45">
      <c r="B747" s="156">
        <v>734</v>
      </c>
      <c r="C747" s="160">
        <v>425</v>
      </c>
      <c r="D747" s="160">
        <v>467</v>
      </c>
      <c r="E747" s="161">
        <v>0.50694444444444442</v>
      </c>
      <c r="F747" s="161">
        <v>0.52222222222222225</v>
      </c>
      <c r="G747" s="171" t="s">
        <v>294</v>
      </c>
      <c r="H747" s="160" t="s">
        <v>293</v>
      </c>
      <c r="I747" s="163">
        <v>12.5</v>
      </c>
      <c r="J747" s="164" t="s">
        <v>99</v>
      </c>
      <c r="K747" s="165">
        <f>39+11</f>
        <v>50</v>
      </c>
      <c r="L747" s="166">
        <f t="shared" si="261"/>
        <v>625</v>
      </c>
      <c r="M747" s="167" t="s">
        <v>732</v>
      </c>
      <c r="N747" s="154" t="s">
        <v>797</v>
      </c>
      <c r="O747" s="154">
        <v>21</v>
      </c>
      <c r="P747" s="154" t="s">
        <v>1952</v>
      </c>
      <c r="Q747" s="154">
        <v>24</v>
      </c>
      <c r="R747" s="182"/>
      <c r="S747" s="154"/>
      <c r="T747" s="45">
        <v>4136</v>
      </c>
      <c r="U747" s="45" t="s">
        <v>1705</v>
      </c>
      <c r="V747" s="45" t="s">
        <v>1446</v>
      </c>
      <c r="W747" s="45" t="s">
        <v>1447</v>
      </c>
      <c r="X747" s="98">
        <v>44805</v>
      </c>
      <c r="Y747" s="98">
        <v>45169</v>
      </c>
      <c r="Z747" s="98"/>
      <c r="AA747" s="98"/>
      <c r="AB747" s="42" t="s">
        <v>1164</v>
      </c>
      <c r="AC747" s="42"/>
      <c r="AD747" s="42" t="s">
        <v>734</v>
      </c>
      <c r="AE747" s="42" t="s">
        <v>734</v>
      </c>
      <c r="AF747" s="42" t="s">
        <v>734</v>
      </c>
      <c r="AG747" s="42"/>
      <c r="AH747" s="42"/>
      <c r="AI747" s="42"/>
      <c r="AJ747" s="42"/>
      <c r="AK747" s="42" t="s">
        <v>734</v>
      </c>
      <c r="AL747" s="44"/>
      <c r="AM747" s="44"/>
      <c r="AN747" s="44"/>
      <c r="AO747" s="44"/>
      <c r="AP747" s="44"/>
      <c r="AQ747" s="44"/>
      <c r="AR747" s="42"/>
      <c r="AS747" s="42"/>
      <c r="AT747" s="42"/>
      <c r="AU747" s="42"/>
      <c r="AV747" s="44"/>
      <c r="AW747" s="44"/>
      <c r="AX747" s="68">
        <v>17.600000000000001</v>
      </c>
      <c r="AY747" s="75"/>
      <c r="AZ747" s="75"/>
      <c r="BA747" s="68"/>
      <c r="BB747" s="68"/>
      <c r="BC747" s="75"/>
      <c r="BD747" s="67">
        <f t="shared" si="257"/>
        <v>880.00000000000011</v>
      </c>
      <c r="BE747" s="67"/>
      <c r="BF747" s="75"/>
      <c r="BG747" s="73">
        <v>1</v>
      </c>
      <c r="BH747" s="67">
        <f t="shared" si="263"/>
        <v>7.3999999999999986</v>
      </c>
      <c r="BI747" s="67">
        <f t="shared" si="264"/>
        <v>0</v>
      </c>
      <c r="BJ747" s="67">
        <f t="shared" si="265"/>
        <v>369.99999999999994</v>
      </c>
      <c r="BN747" s="37"/>
      <c r="BO747" s="70">
        <f t="shared" si="244"/>
        <v>0</v>
      </c>
      <c r="BP747" s="37">
        <v>5</v>
      </c>
      <c r="BQ747" s="37">
        <v>4</v>
      </c>
      <c r="BR747" s="37">
        <v>4</v>
      </c>
      <c r="BS747" s="37">
        <v>4</v>
      </c>
      <c r="BT747" s="87">
        <f t="shared" si="245"/>
        <v>25</v>
      </c>
      <c r="BU747" s="87"/>
      <c r="BV747" s="87"/>
      <c r="BW747" s="87"/>
      <c r="BX747" s="87"/>
      <c r="BY747" s="87"/>
      <c r="BZ747" s="87"/>
      <c r="CA747" s="87"/>
      <c r="CB747" s="87"/>
      <c r="CC747" s="87"/>
      <c r="CD747" s="87"/>
      <c r="CF747" s="67">
        <f t="shared" si="246"/>
        <v>125</v>
      </c>
      <c r="CG747" s="67">
        <f t="shared" si="247"/>
        <v>100</v>
      </c>
      <c r="CH747" s="67">
        <f t="shared" si="262"/>
        <v>100</v>
      </c>
      <c r="CI747" s="67">
        <f t="shared" si="252"/>
        <v>100</v>
      </c>
      <c r="CJ747" s="37">
        <f t="shared" si="248"/>
        <v>62.5</v>
      </c>
      <c r="CK747" s="37">
        <f t="shared" si="249"/>
        <v>50</v>
      </c>
      <c r="CL747" s="37">
        <f t="shared" si="250"/>
        <v>50</v>
      </c>
      <c r="CM747" s="37">
        <f t="shared" si="251"/>
        <v>50</v>
      </c>
    </row>
    <row r="748" spans="2:91" ht="25.5">
      <c r="B748" s="156">
        <v>735</v>
      </c>
      <c r="C748" s="160">
        <v>429</v>
      </c>
      <c r="D748" s="160">
        <v>19</v>
      </c>
      <c r="E748" s="161">
        <v>0.2902777777777778</v>
      </c>
      <c r="F748" s="161">
        <v>0.2951388888888889</v>
      </c>
      <c r="G748" s="160" t="s">
        <v>306</v>
      </c>
      <c r="H748" s="160" t="s">
        <v>97</v>
      </c>
      <c r="I748" s="163">
        <v>3</v>
      </c>
      <c r="J748" s="164" t="s">
        <v>93</v>
      </c>
      <c r="K748" s="165">
        <v>208</v>
      </c>
      <c r="L748" s="166">
        <f t="shared" si="261"/>
        <v>624</v>
      </c>
      <c r="M748" s="167" t="s">
        <v>774</v>
      </c>
      <c r="N748" s="221" t="s">
        <v>1907</v>
      </c>
      <c r="O748" s="221">
        <v>17</v>
      </c>
      <c r="P748" s="154" t="s">
        <v>937</v>
      </c>
      <c r="Q748" s="154">
        <v>9</v>
      </c>
      <c r="R748" s="182"/>
      <c r="S748" s="154"/>
      <c r="T748" s="45" t="s">
        <v>1706</v>
      </c>
      <c r="U748" s="45" t="s">
        <v>1707</v>
      </c>
      <c r="V748" s="45">
        <v>4046</v>
      </c>
      <c r="W748" s="45" t="s">
        <v>1708</v>
      </c>
      <c r="X748" s="98">
        <v>44816</v>
      </c>
      <c r="Y748" s="98">
        <v>45086</v>
      </c>
      <c r="Z748" s="98"/>
      <c r="AA748" s="98"/>
      <c r="AB748" s="41" t="s">
        <v>1118</v>
      </c>
      <c r="AC748" s="41"/>
      <c r="AD748" s="44"/>
      <c r="AE748" s="44"/>
      <c r="AF748" s="44"/>
      <c r="AG748" s="42" t="s">
        <v>734</v>
      </c>
      <c r="AH748" s="42" t="s">
        <v>734</v>
      </c>
      <c r="AI748" s="42" t="s">
        <v>734</v>
      </c>
      <c r="AJ748" s="42" t="s">
        <v>734</v>
      </c>
      <c r="AK748" s="42" t="s">
        <v>734</v>
      </c>
      <c r="AL748" s="42" t="s">
        <v>734</v>
      </c>
      <c r="AM748" s="42" t="s">
        <v>734</v>
      </c>
      <c r="AN748" s="44"/>
      <c r="AO748" s="44"/>
      <c r="AP748" s="44"/>
      <c r="AQ748" s="44"/>
      <c r="AR748" s="42"/>
      <c r="AS748" s="42"/>
      <c r="AT748" s="42"/>
      <c r="AU748" s="42"/>
      <c r="AV748" s="42"/>
      <c r="AW748" s="42"/>
      <c r="AX748" s="68">
        <v>10</v>
      </c>
      <c r="AY748" s="75"/>
      <c r="AZ748" s="75"/>
      <c r="BA748" s="68"/>
      <c r="BB748" s="68"/>
      <c r="BC748" s="75"/>
      <c r="BD748" s="67">
        <f t="shared" si="257"/>
        <v>2080</v>
      </c>
      <c r="BE748" s="67"/>
      <c r="BF748" s="75"/>
      <c r="BG748" s="73">
        <v>1</v>
      </c>
      <c r="BH748" s="67">
        <f t="shared" si="263"/>
        <v>0</v>
      </c>
      <c r="BI748" s="67">
        <f t="shared" si="264"/>
        <v>0</v>
      </c>
      <c r="BJ748" s="70">
        <f t="shared" si="265"/>
        <v>0</v>
      </c>
      <c r="BN748" s="67">
        <f>IF((AX748+AY748+AZ748)&lt;20,(20-(AX748+AY748+AZ748)),0)</f>
        <v>10</v>
      </c>
      <c r="BO748" s="70">
        <f t="shared" si="244"/>
        <v>2080</v>
      </c>
      <c r="BP748" s="37">
        <v>17</v>
      </c>
      <c r="BQ748" s="37">
        <v>25</v>
      </c>
      <c r="BR748" s="37">
        <v>25</v>
      </c>
      <c r="BS748" s="37">
        <v>18</v>
      </c>
      <c r="BT748" s="87">
        <f t="shared" si="245"/>
        <v>20</v>
      </c>
      <c r="BU748" s="87"/>
      <c r="BV748" s="87"/>
      <c r="BW748" s="87"/>
      <c r="BX748" s="87"/>
      <c r="BY748" s="87"/>
      <c r="BZ748" s="87"/>
      <c r="CA748" s="87"/>
      <c r="CB748" s="87"/>
      <c r="CC748" s="87"/>
      <c r="CD748" s="87"/>
      <c r="CF748" s="67">
        <f t="shared" si="246"/>
        <v>340</v>
      </c>
      <c r="CG748" s="67">
        <f t="shared" si="247"/>
        <v>500</v>
      </c>
      <c r="CH748" s="67">
        <f t="shared" si="262"/>
        <v>500</v>
      </c>
      <c r="CI748" s="67">
        <f t="shared" si="252"/>
        <v>360</v>
      </c>
      <c r="CJ748" s="37">
        <f t="shared" si="248"/>
        <v>51</v>
      </c>
      <c r="CK748" s="37">
        <f t="shared" si="249"/>
        <v>75</v>
      </c>
      <c r="CL748" s="37">
        <f t="shared" si="250"/>
        <v>75</v>
      </c>
      <c r="CM748" s="37">
        <f t="shared" si="251"/>
        <v>54</v>
      </c>
    </row>
    <row r="749" spans="2:91" ht="25.5">
      <c r="B749" s="156">
        <v>736</v>
      </c>
      <c r="C749" s="160">
        <v>429</v>
      </c>
      <c r="D749" s="174">
        <v>21</v>
      </c>
      <c r="E749" s="161">
        <v>0.55208333333333337</v>
      </c>
      <c r="F749" s="161">
        <v>0.55555555555555558</v>
      </c>
      <c r="G749" s="160" t="s">
        <v>168</v>
      </c>
      <c r="H749" s="160" t="s">
        <v>103</v>
      </c>
      <c r="I749" s="163">
        <v>2</v>
      </c>
      <c r="J749" s="164" t="s">
        <v>167</v>
      </c>
      <c r="K749" s="165">
        <v>174</v>
      </c>
      <c r="L749" s="166">
        <f t="shared" si="261"/>
        <v>348</v>
      </c>
      <c r="M749" s="167" t="s">
        <v>774</v>
      </c>
      <c r="N749" s="221" t="s">
        <v>1907</v>
      </c>
      <c r="O749" s="221">
        <v>17</v>
      </c>
      <c r="P749" s="154" t="s">
        <v>937</v>
      </c>
      <c r="Q749" s="154">
        <v>9</v>
      </c>
      <c r="R749" s="182"/>
      <c r="S749" s="154"/>
      <c r="T749" s="45">
        <v>4048</v>
      </c>
      <c r="U749" s="45" t="s">
        <v>1709</v>
      </c>
      <c r="V749" s="45">
        <v>4046</v>
      </c>
      <c r="W749" s="45" t="s">
        <v>1708</v>
      </c>
      <c r="X749" s="98">
        <v>44816</v>
      </c>
      <c r="Y749" s="98">
        <v>45086</v>
      </c>
      <c r="Z749" s="98"/>
      <c r="AA749" s="98"/>
      <c r="AB749" s="41" t="s">
        <v>1114</v>
      </c>
      <c r="AC749" s="41"/>
      <c r="AD749" s="44"/>
      <c r="AE749" s="44"/>
      <c r="AF749" s="44"/>
      <c r="AG749" s="42" t="s">
        <v>734</v>
      </c>
      <c r="AH749" s="42" t="s">
        <v>734</v>
      </c>
      <c r="AI749" s="42" t="s">
        <v>734</v>
      </c>
      <c r="AJ749" s="42" t="s">
        <v>734</v>
      </c>
      <c r="AK749" s="42" t="s">
        <v>734</v>
      </c>
      <c r="AL749" s="42" t="s">
        <v>734</v>
      </c>
      <c r="AM749" s="44"/>
      <c r="AN749" s="44"/>
      <c r="AO749" s="44"/>
      <c r="AP749" s="44"/>
      <c r="AQ749" s="44"/>
      <c r="AR749" s="42"/>
      <c r="AS749" s="42"/>
      <c r="AT749" s="42"/>
      <c r="AU749" s="42"/>
      <c r="AV749" s="42"/>
      <c r="AW749" s="44"/>
      <c r="AX749" s="68">
        <v>3.6</v>
      </c>
      <c r="AY749" s="75"/>
      <c r="AZ749" s="75"/>
      <c r="BA749" s="68"/>
      <c r="BB749" s="68"/>
      <c r="BC749" s="75"/>
      <c r="BD749" s="67">
        <f t="shared" si="257"/>
        <v>626.4</v>
      </c>
      <c r="BE749" s="67"/>
      <c r="BF749" s="75"/>
      <c r="BG749" s="73">
        <v>1</v>
      </c>
      <c r="BH749" s="67">
        <f t="shared" si="263"/>
        <v>0.39999999999999991</v>
      </c>
      <c r="BI749" s="67">
        <f t="shared" si="264"/>
        <v>0</v>
      </c>
      <c r="BJ749" s="67">
        <f t="shared" si="265"/>
        <v>69.59999999999998</v>
      </c>
      <c r="BN749" s="37"/>
      <c r="BO749" s="70">
        <f t="shared" si="244"/>
        <v>0</v>
      </c>
      <c r="BP749" s="37">
        <v>15</v>
      </c>
      <c r="BQ749" s="37">
        <v>20</v>
      </c>
      <c r="BR749" s="37">
        <v>21</v>
      </c>
      <c r="BS749" s="37">
        <v>15</v>
      </c>
      <c r="BT749" s="87">
        <f t="shared" si="245"/>
        <v>4</v>
      </c>
      <c r="BU749" s="87"/>
      <c r="BV749" s="87"/>
      <c r="BW749" s="87"/>
      <c r="BX749" s="87"/>
      <c r="BY749" s="87"/>
      <c r="BZ749" s="87"/>
      <c r="CA749" s="87"/>
      <c r="CB749" s="87"/>
      <c r="CC749" s="87"/>
      <c r="CD749" s="87"/>
      <c r="CF749" s="67">
        <f t="shared" si="246"/>
        <v>60</v>
      </c>
      <c r="CG749" s="67">
        <f t="shared" si="247"/>
        <v>80</v>
      </c>
      <c r="CH749" s="67">
        <f t="shared" si="262"/>
        <v>84</v>
      </c>
      <c r="CI749" s="67">
        <f t="shared" si="252"/>
        <v>60</v>
      </c>
      <c r="CJ749" s="37">
        <f t="shared" si="248"/>
        <v>30</v>
      </c>
      <c r="CK749" s="37">
        <f t="shared" si="249"/>
        <v>40</v>
      </c>
      <c r="CL749" s="37">
        <f t="shared" si="250"/>
        <v>42</v>
      </c>
      <c r="CM749" s="37">
        <f t="shared" si="251"/>
        <v>30</v>
      </c>
    </row>
    <row r="750" spans="2:91" ht="25.5">
      <c r="B750" s="156">
        <v>737</v>
      </c>
      <c r="C750" s="160">
        <v>429</v>
      </c>
      <c r="D750" s="174">
        <v>16</v>
      </c>
      <c r="E750" s="161">
        <v>0.56597222222222221</v>
      </c>
      <c r="F750" s="161">
        <v>0.56944444444444442</v>
      </c>
      <c r="G750" s="160" t="s">
        <v>169</v>
      </c>
      <c r="H750" s="160" t="s">
        <v>103</v>
      </c>
      <c r="I750" s="163">
        <v>2</v>
      </c>
      <c r="J750" s="164" t="s">
        <v>167</v>
      </c>
      <c r="K750" s="165">
        <v>174</v>
      </c>
      <c r="L750" s="166">
        <f t="shared" si="261"/>
        <v>348</v>
      </c>
      <c r="M750" s="167" t="s">
        <v>774</v>
      </c>
      <c r="N750" s="221" t="s">
        <v>1907</v>
      </c>
      <c r="O750" s="221">
        <v>17</v>
      </c>
      <c r="P750" s="154" t="s">
        <v>937</v>
      </c>
      <c r="Q750" s="154">
        <v>9</v>
      </c>
      <c r="R750" s="182"/>
      <c r="S750" s="154"/>
      <c r="T750" s="45">
        <v>4046</v>
      </c>
      <c r="U750" s="45" t="s">
        <v>1708</v>
      </c>
      <c r="V750" s="45">
        <v>4048</v>
      </c>
      <c r="W750" s="45" t="s">
        <v>1709</v>
      </c>
      <c r="X750" s="98">
        <v>44816</v>
      </c>
      <c r="Y750" s="98">
        <v>45086</v>
      </c>
      <c r="Z750" s="98"/>
      <c r="AA750" s="98"/>
      <c r="AB750" s="41" t="s">
        <v>1114</v>
      </c>
      <c r="AC750" s="41"/>
      <c r="AD750" s="44"/>
      <c r="AE750" s="44"/>
      <c r="AF750" s="44"/>
      <c r="AG750" s="42" t="s">
        <v>734</v>
      </c>
      <c r="AH750" s="42" t="s">
        <v>734</v>
      </c>
      <c r="AI750" s="42" t="s">
        <v>734</v>
      </c>
      <c r="AJ750" s="42" t="s">
        <v>734</v>
      </c>
      <c r="AK750" s="42" t="s">
        <v>734</v>
      </c>
      <c r="AL750" s="42" t="s">
        <v>734</v>
      </c>
      <c r="AM750" s="44"/>
      <c r="AN750" s="44"/>
      <c r="AO750" s="44"/>
      <c r="AP750" s="44"/>
      <c r="AQ750" s="44"/>
      <c r="AR750" s="42"/>
      <c r="AS750" s="42"/>
      <c r="AT750" s="42"/>
      <c r="AU750" s="42"/>
      <c r="AV750" s="42"/>
      <c r="AW750" s="44"/>
      <c r="AX750" s="68">
        <v>3.6</v>
      </c>
      <c r="AY750" s="75"/>
      <c r="AZ750" s="75"/>
      <c r="BA750" s="68"/>
      <c r="BB750" s="68"/>
      <c r="BC750" s="75"/>
      <c r="BD750" s="67">
        <f t="shared" si="257"/>
        <v>626.4</v>
      </c>
      <c r="BE750" s="67"/>
      <c r="BF750" s="75"/>
      <c r="BG750" s="73">
        <v>1</v>
      </c>
      <c r="BH750" s="67">
        <f t="shared" si="263"/>
        <v>0.39999999999999991</v>
      </c>
      <c r="BI750" s="67">
        <f t="shared" si="264"/>
        <v>0</v>
      </c>
      <c r="BJ750" s="67">
        <f t="shared" si="265"/>
        <v>69.59999999999998</v>
      </c>
      <c r="BN750" s="37"/>
      <c r="BO750" s="70">
        <f t="shared" si="244"/>
        <v>0</v>
      </c>
      <c r="BP750" s="37">
        <v>15</v>
      </c>
      <c r="BQ750" s="37">
        <v>20</v>
      </c>
      <c r="BR750" s="37">
        <v>21</v>
      </c>
      <c r="BS750" s="37">
        <v>15</v>
      </c>
      <c r="BT750" s="87">
        <f t="shared" si="245"/>
        <v>4</v>
      </c>
      <c r="BU750" s="87"/>
      <c r="BV750" s="87"/>
      <c r="BW750" s="87"/>
      <c r="BX750" s="87"/>
      <c r="BY750" s="87"/>
      <c r="BZ750" s="87"/>
      <c r="CA750" s="87"/>
      <c r="CB750" s="87"/>
      <c r="CC750" s="87"/>
      <c r="CD750" s="87"/>
      <c r="CF750" s="67">
        <f t="shared" si="246"/>
        <v>60</v>
      </c>
      <c r="CG750" s="67">
        <f t="shared" si="247"/>
        <v>80</v>
      </c>
      <c r="CH750" s="67">
        <f t="shared" si="262"/>
        <v>84</v>
      </c>
      <c r="CI750" s="67">
        <f t="shared" si="252"/>
        <v>60</v>
      </c>
      <c r="CJ750" s="37">
        <f t="shared" si="248"/>
        <v>30</v>
      </c>
      <c r="CK750" s="37">
        <f t="shared" si="249"/>
        <v>40</v>
      </c>
      <c r="CL750" s="37">
        <f t="shared" si="250"/>
        <v>42</v>
      </c>
      <c r="CM750" s="37">
        <f t="shared" si="251"/>
        <v>30</v>
      </c>
    </row>
    <row r="751" spans="2:91" ht="25.5">
      <c r="B751" s="156">
        <v>738</v>
      </c>
      <c r="C751" s="160">
        <v>431</v>
      </c>
      <c r="D751" s="160">
        <v>1</v>
      </c>
      <c r="E751" s="161">
        <v>0.29166666666666669</v>
      </c>
      <c r="F751" s="161">
        <v>0.2986111111111111</v>
      </c>
      <c r="G751" s="160" t="s">
        <v>308</v>
      </c>
      <c r="H751" s="160" t="s">
        <v>97</v>
      </c>
      <c r="I751" s="163">
        <v>4.5</v>
      </c>
      <c r="J751" s="164" t="s">
        <v>269</v>
      </c>
      <c r="K751" s="165">
        <v>208</v>
      </c>
      <c r="L751" s="166">
        <f t="shared" si="261"/>
        <v>936</v>
      </c>
      <c r="M751" s="167" t="s">
        <v>733</v>
      </c>
      <c r="N751" s="154" t="s">
        <v>884</v>
      </c>
      <c r="O751" s="154">
        <v>9</v>
      </c>
      <c r="P751" s="154" t="s">
        <v>1985</v>
      </c>
      <c r="Q751" s="154">
        <v>9</v>
      </c>
      <c r="R751" s="154" t="s">
        <v>883</v>
      </c>
      <c r="S751" s="154">
        <v>9</v>
      </c>
      <c r="T751" s="45">
        <v>4030</v>
      </c>
      <c r="U751" s="45" t="s">
        <v>1710</v>
      </c>
      <c r="V751" s="45">
        <v>4025</v>
      </c>
      <c r="W751" s="45" t="s">
        <v>1711</v>
      </c>
      <c r="X751" s="98">
        <v>44816</v>
      </c>
      <c r="Y751" s="98">
        <v>45086</v>
      </c>
      <c r="Z751" s="98"/>
      <c r="AA751" s="98"/>
      <c r="AB751" s="41" t="s">
        <v>1118</v>
      </c>
      <c r="AC751" s="41"/>
      <c r="AD751" s="44"/>
      <c r="AE751" s="44"/>
      <c r="AF751" s="44"/>
      <c r="AG751" s="42" t="s">
        <v>734</v>
      </c>
      <c r="AH751" s="42" t="s">
        <v>734</v>
      </c>
      <c r="AI751" s="42" t="s">
        <v>734</v>
      </c>
      <c r="AJ751" s="42" t="s">
        <v>734</v>
      </c>
      <c r="AK751" s="42" t="s">
        <v>734</v>
      </c>
      <c r="AL751" s="42" t="s">
        <v>734</v>
      </c>
      <c r="AM751" s="42" t="s">
        <v>734</v>
      </c>
      <c r="AN751" s="44"/>
      <c r="AO751" s="44"/>
      <c r="AP751" s="44"/>
      <c r="AQ751" s="44"/>
      <c r="AR751" s="42"/>
      <c r="AS751" s="42"/>
      <c r="AT751" s="42"/>
      <c r="AU751" s="42"/>
      <c r="AV751" s="42"/>
      <c r="AW751" s="42"/>
      <c r="AX751" s="68">
        <v>24.38</v>
      </c>
      <c r="AY751" s="75"/>
      <c r="AZ751" s="75"/>
      <c r="BA751" s="68"/>
      <c r="BB751" s="68"/>
      <c r="BC751" s="39">
        <v>11</v>
      </c>
      <c r="BD751" s="67">
        <f t="shared" si="257"/>
        <v>5071.04</v>
      </c>
      <c r="BE751" s="67"/>
      <c r="BF751" s="75"/>
      <c r="BG751" s="73">
        <v>1</v>
      </c>
      <c r="BH751" s="67">
        <f t="shared" si="263"/>
        <v>0</v>
      </c>
      <c r="BI751" s="67">
        <f t="shared" si="264"/>
        <v>0</v>
      </c>
      <c r="BJ751" s="70">
        <f t="shared" si="265"/>
        <v>0</v>
      </c>
      <c r="BN751" s="37"/>
      <c r="BO751" s="70">
        <f t="shared" si="244"/>
        <v>0</v>
      </c>
      <c r="BP751" s="37">
        <v>17</v>
      </c>
      <c r="BQ751" s="37">
        <v>25</v>
      </c>
      <c r="BR751" s="37">
        <v>25</v>
      </c>
      <c r="BS751" s="37">
        <v>18</v>
      </c>
      <c r="BT751" s="87">
        <f t="shared" si="245"/>
        <v>24.38</v>
      </c>
      <c r="BU751" s="87"/>
      <c r="BV751" s="87"/>
      <c r="BW751" s="87"/>
      <c r="BX751" s="87"/>
      <c r="BY751" s="87"/>
      <c r="BZ751" s="87"/>
      <c r="CA751" s="87"/>
      <c r="CB751" s="87"/>
      <c r="CC751" s="87"/>
      <c r="CD751" s="87"/>
      <c r="CF751" s="67">
        <f t="shared" si="246"/>
        <v>414.46</v>
      </c>
      <c r="CG751" s="67">
        <f t="shared" si="247"/>
        <v>609.5</v>
      </c>
      <c r="CH751" s="67">
        <f t="shared" si="262"/>
        <v>609.5</v>
      </c>
      <c r="CI751" s="67">
        <f t="shared" si="252"/>
        <v>438.84</v>
      </c>
      <c r="CJ751" s="37">
        <f t="shared" si="248"/>
        <v>76.5</v>
      </c>
      <c r="CK751" s="37">
        <f t="shared" si="249"/>
        <v>112.5</v>
      </c>
      <c r="CL751" s="37">
        <f t="shared" si="250"/>
        <v>112.5</v>
      </c>
      <c r="CM751" s="37">
        <f t="shared" si="251"/>
        <v>81</v>
      </c>
    </row>
    <row r="752" spans="2:91" ht="25.5">
      <c r="B752" s="156">
        <v>739</v>
      </c>
      <c r="C752" s="160">
        <v>431</v>
      </c>
      <c r="D752" s="160">
        <v>4</v>
      </c>
      <c r="E752" s="161">
        <v>0.74097222222222225</v>
      </c>
      <c r="F752" s="161">
        <v>0.74861111111111101</v>
      </c>
      <c r="G752" s="160" t="s">
        <v>307</v>
      </c>
      <c r="H752" s="160" t="s">
        <v>103</v>
      </c>
      <c r="I752" s="163">
        <v>4.5</v>
      </c>
      <c r="J752" s="164" t="s">
        <v>269</v>
      </c>
      <c r="K752" s="165">
        <v>174</v>
      </c>
      <c r="L752" s="166">
        <f t="shared" si="261"/>
        <v>783</v>
      </c>
      <c r="M752" s="167" t="s">
        <v>733</v>
      </c>
      <c r="N752" s="154" t="s">
        <v>882</v>
      </c>
      <c r="O752" s="154">
        <v>23</v>
      </c>
      <c r="P752" s="154" t="s">
        <v>881</v>
      </c>
      <c r="Q752" s="154">
        <v>30</v>
      </c>
      <c r="R752" s="182"/>
      <c r="S752" s="154"/>
      <c r="T752" s="45">
        <v>4025</v>
      </c>
      <c r="U752" s="45" t="s">
        <v>1711</v>
      </c>
      <c r="V752" s="45">
        <v>4030</v>
      </c>
      <c r="W752" s="45" t="s">
        <v>1710</v>
      </c>
      <c r="X752" s="98">
        <v>44816</v>
      </c>
      <c r="Y752" s="98">
        <v>45086</v>
      </c>
      <c r="Z752" s="98"/>
      <c r="AA752" s="98"/>
      <c r="AB752" s="41" t="s">
        <v>1114</v>
      </c>
      <c r="AC752" s="41"/>
      <c r="AD752" s="44"/>
      <c r="AE752" s="44"/>
      <c r="AF752" s="44"/>
      <c r="AG752" s="42" t="s">
        <v>734</v>
      </c>
      <c r="AH752" s="42" t="s">
        <v>734</v>
      </c>
      <c r="AI752" s="42" t="s">
        <v>734</v>
      </c>
      <c r="AJ752" s="42" t="s">
        <v>734</v>
      </c>
      <c r="AK752" s="42" t="s">
        <v>734</v>
      </c>
      <c r="AL752" s="42" t="s">
        <v>734</v>
      </c>
      <c r="AM752" s="44"/>
      <c r="AN752" s="44"/>
      <c r="AO752" s="44"/>
      <c r="AP752" s="44"/>
      <c r="AQ752" s="44"/>
      <c r="AR752" s="42"/>
      <c r="AS752" s="42"/>
      <c r="AT752" s="42"/>
      <c r="AU752" s="42"/>
      <c r="AV752" s="42"/>
      <c r="AW752" s="44"/>
      <c r="AX752" s="68">
        <v>22.82</v>
      </c>
      <c r="AY752" s="75"/>
      <c r="AZ752" s="75"/>
      <c r="BA752" s="68"/>
      <c r="BB752" s="68"/>
      <c r="BC752" s="39">
        <v>12</v>
      </c>
      <c r="BD752" s="67">
        <f t="shared" si="257"/>
        <v>3970.68</v>
      </c>
      <c r="BE752" s="67"/>
      <c r="BF752" s="75"/>
      <c r="BG752" s="73">
        <v>1</v>
      </c>
      <c r="BH752" s="67">
        <f t="shared" si="263"/>
        <v>0</v>
      </c>
      <c r="BI752" s="67">
        <f t="shared" si="264"/>
        <v>0</v>
      </c>
      <c r="BJ752" s="70">
        <f t="shared" si="265"/>
        <v>0</v>
      </c>
      <c r="BN752" s="37"/>
      <c r="BO752" s="70">
        <f t="shared" si="244"/>
        <v>0</v>
      </c>
      <c r="BP752" s="37">
        <v>15</v>
      </c>
      <c r="BQ752" s="37">
        <v>20</v>
      </c>
      <c r="BR752" s="37">
        <v>21</v>
      </c>
      <c r="BS752" s="37">
        <v>15</v>
      </c>
      <c r="BT752" s="87">
        <f t="shared" si="245"/>
        <v>22.82</v>
      </c>
      <c r="BU752" s="87"/>
      <c r="BV752" s="87"/>
      <c r="BW752" s="87"/>
      <c r="BX752" s="87"/>
      <c r="BY752" s="87"/>
      <c r="BZ752" s="87"/>
      <c r="CA752" s="87"/>
      <c r="CB752" s="87"/>
      <c r="CC752" s="87"/>
      <c r="CD752" s="87"/>
      <c r="CF752" s="67">
        <f t="shared" si="246"/>
        <v>342.3</v>
      </c>
      <c r="CG752" s="67">
        <f t="shared" si="247"/>
        <v>456.4</v>
      </c>
      <c r="CH752" s="67">
        <f t="shared" si="262"/>
        <v>479.22</v>
      </c>
      <c r="CI752" s="67">
        <f t="shared" si="252"/>
        <v>342.3</v>
      </c>
      <c r="CJ752" s="37">
        <f t="shared" si="248"/>
        <v>67.5</v>
      </c>
      <c r="CK752" s="37">
        <f t="shared" si="249"/>
        <v>90</v>
      </c>
      <c r="CL752" s="37">
        <f t="shared" si="250"/>
        <v>94.5</v>
      </c>
      <c r="CM752" s="37">
        <f t="shared" si="251"/>
        <v>67.5</v>
      </c>
    </row>
    <row r="753" spans="2:91" ht="76.5">
      <c r="B753" s="156">
        <v>740</v>
      </c>
      <c r="C753" s="160">
        <v>433</v>
      </c>
      <c r="D753" s="160">
        <v>530</v>
      </c>
      <c r="E753" s="161">
        <v>0.33333333333333331</v>
      </c>
      <c r="F753" s="161">
        <v>0.36944444444444446</v>
      </c>
      <c r="G753" s="160" t="s">
        <v>704</v>
      </c>
      <c r="H753" s="160" t="s">
        <v>400</v>
      </c>
      <c r="I753" s="163">
        <v>17</v>
      </c>
      <c r="J753" s="164">
        <v>20</v>
      </c>
      <c r="K753" s="165">
        <v>22</v>
      </c>
      <c r="L753" s="166">
        <f t="shared" si="261"/>
        <v>374</v>
      </c>
      <c r="M753" s="167" t="s">
        <v>773</v>
      </c>
      <c r="N753" s="150" t="s">
        <v>833</v>
      </c>
      <c r="O753" s="150">
        <v>21</v>
      </c>
      <c r="P753" s="150" t="s">
        <v>1257</v>
      </c>
      <c r="Q753" s="150">
        <v>21</v>
      </c>
      <c r="R753" s="209"/>
      <c r="S753" s="150"/>
      <c r="T753" s="45">
        <v>4380</v>
      </c>
      <c r="U753" s="45" t="s">
        <v>1712</v>
      </c>
      <c r="V753" s="45" t="s">
        <v>1713</v>
      </c>
      <c r="W753" s="45" t="s">
        <v>1714</v>
      </c>
      <c r="X753" s="99">
        <v>44562</v>
      </c>
      <c r="Y753" s="99">
        <v>44815</v>
      </c>
      <c r="Z753" s="99">
        <v>45101</v>
      </c>
      <c r="AA753" s="99">
        <v>45169</v>
      </c>
      <c r="AB753" s="41" t="s">
        <v>1165</v>
      </c>
      <c r="AC753" s="41"/>
      <c r="AD753" s="44"/>
      <c r="AE753" s="44" t="s">
        <v>734</v>
      </c>
      <c r="AF753" s="44" t="s">
        <v>734</v>
      </c>
      <c r="AG753" s="44"/>
      <c r="AH753" s="44" t="s">
        <v>734</v>
      </c>
      <c r="AI753" s="44"/>
      <c r="AJ753" s="44" t="s">
        <v>734</v>
      </c>
      <c r="AK753" s="44"/>
      <c r="AL753" s="44"/>
      <c r="AM753" s="44"/>
      <c r="AN753" s="44"/>
      <c r="AO753" s="44"/>
      <c r="AP753" s="44"/>
      <c r="AQ753" s="44"/>
      <c r="AR753" s="44"/>
      <c r="AS753" s="44"/>
      <c r="AT753" s="44"/>
      <c r="AU753" s="44"/>
      <c r="AV753" s="44"/>
      <c r="AW753" s="44"/>
      <c r="AX753" s="68">
        <v>50.28</v>
      </c>
      <c r="AY753" s="75"/>
      <c r="AZ753" s="75"/>
      <c r="BA753" s="68"/>
      <c r="BB753" s="68"/>
      <c r="BC753" s="75"/>
      <c r="BD753" s="67">
        <f t="shared" si="257"/>
        <v>1106.1600000000001</v>
      </c>
      <c r="BE753" s="67"/>
      <c r="BF753" s="75"/>
      <c r="BG753" s="73">
        <v>1</v>
      </c>
      <c r="BH753" s="67">
        <f t="shared" si="263"/>
        <v>0</v>
      </c>
      <c r="BI753" s="67">
        <f t="shared" si="264"/>
        <v>0</v>
      </c>
      <c r="BJ753" s="70">
        <f t="shared" si="265"/>
        <v>0</v>
      </c>
      <c r="BN753" s="37"/>
      <c r="BO753" s="70">
        <f t="shared" si="244"/>
        <v>0</v>
      </c>
      <c r="BP753" s="37">
        <v>2</v>
      </c>
      <c r="BQ753" s="37">
        <v>0</v>
      </c>
      <c r="BR753" s="37">
        <v>0</v>
      </c>
      <c r="BS753" s="37">
        <v>0</v>
      </c>
      <c r="BT753" s="87">
        <f t="shared" si="245"/>
        <v>50.28</v>
      </c>
      <c r="BU753" s="87"/>
      <c r="BV753" s="87"/>
      <c r="BW753" s="87"/>
      <c r="BX753" s="87"/>
      <c r="BY753" s="87"/>
      <c r="BZ753" s="87"/>
      <c r="CA753" s="87"/>
      <c r="CB753" s="87"/>
      <c r="CC753" s="87"/>
      <c r="CD753" s="87"/>
      <c r="CF753" s="67">
        <f t="shared" si="246"/>
        <v>100.56</v>
      </c>
      <c r="CG753" s="67">
        <f t="shared" si="247"/>
        <v>0</v>
      </c>
      <c r="CH753" s="67">
        <f t="shared" si="262"/>
        <v>0</v>
      </c>
      <c r="CI753" s="67">
        <f t="shared" si="252"/>
        <v>0</v>
      </c>
      <c r="CJ753" s="37">
        <f t="shared" si="248"/>
        <v>34</v>
      </c>
      <c r="CK753" s="37">
        <f t="shared" si="249"/>
        <v>0</v>
      </c>
      <c r="CL753" s="37">
        <f t="shared" si="250"/>
        <v>0</v>
      </c>
      <c r="CM753" s="37">
        <f t="shared" si="251"/>
        <v>0</v>
      </c>
    </row>
    <row r="754" spans="2:91" ht="38.25">
      <c r="B754" s="156">
        <v>741</v>
      </c>
      <c r="C754" s="160">
        <v>433</v>
      </c>
      <c r="D754" s="160">
        <v>530</v>
      </c>
      <c r="E754" s="161">
        <v>0.375</v>
      </c>
      <c r="F754" s="161">
        <v>0.41111111111111115</v>
      </c>
      <c r="G754" s="160" t="s">
        <v>399</v>
      </c>
      <c r="H754" s="160" t="s">
        <v>398</v>
      </c>
      <c r="I754" s="163">
        <v>17</v>
      </c>
      <c r="J754" s="164">
        <v>20</v>
      </c>
      <c r="K754" s="165">
        <v>78</v>
      </c>
      <c r="L754" s="166">
        <f t="shared" si="261"/>
        <v>1326</v>
      </c>
      <c r="M754" s="167" t="s">
        <v>773</v>
      </c>
      <c r="N754" s="150" t="s">
        <v>833</v>
      </c>
      <c r="O754" s="150">
        <v>21</v>
      </c>
      <c r="P754" s="150" t="s">
        <v>1257</v>
      </c>
      <c r="Q754" s="150">
        <v>21</v>
      </c>
      <c r="R754" s="209"/>
      <c r="S754" s="150"/>
      <c r="T754" s="45">
        <v>4380</v>
      </c>
      <c r="U754" s="45" t="s">
        <v>1712</v>
      </c>
      <c r="V754" s="45" t="s">
        <v>1713</v>
      </c>
      <c r="W754" s="45" t="s">
        <v>1714</v>
      </c>
      <c r="X754" s="99">
        <v>44816</v>
      </c>
      <c r="Y754" s="99">
        <v>45100</v>
      </c>
      <c r="Z754" s="99"/>
      <c r="AA754" s="99"/>
      <c r="AB754" s="41" t="s">
        <v>1166</v>
      </c>
      <c r="AC754" s="41"/>
      <c r="AD754" s="44" t="s">
        <v>734</v>
      </c>
      <c r="AE754" s="44"/>
      <c r="AF754" s="44" t="s">
        <v>734</v>
      </c>
      <c r="AG754" s="44"/>
      <c r="AH754" s="44" t="s">
        <v>734</v>
      </c>
      <c r="AI754" s="44"/>
      <c r="AJ754" s="44" t="s">
        <v>734</v>
      </c>
      <c r="AK754" s="44"/>
      <c r="AL754" s="44"/>
      <c r="AM754" s="44"/>
      <c r="AN754" s="44"/>
      <c r="AO754" s="44"/>
      <c r="AP754" s="44"/>
      <c r="AQ754" s="44"/>
      <c r="AR754" s="44"/>
      <c r="AS754" s="44"/>
      <c r="AT754" s="44"/>
      <c r="AU754" s="44"/>
      <c r="AV754" s="44"/>
      <c r="AW754" s="44"/>
      <c r="AX754" s="68">
        <v>46.43</v>
      </c>
      <c r="AY754" s="75"/>
      <c r="AZ754" s="75"/>
      <c r="BA754" s="68"/>
      <c r="BB754" s="68"/>
      <c r="BC754" s="75"/>
      <c r="BD754" s="67">
        <f t="shared" si="257"/>
        <v>3621.54</v>
      </c>
      <c r="BE754" s="67"/>
      <c r="BF754" s="75"/>
      <c r="BG754" s="73">
        <v>1</v>
      </c>
      <c r="BH754" s="67">
        <f t="shared" si="263"/>
        <v>0</v>
      </c>
      <c r="BI754" s="67">
        <f t="shared" si="264"/>
        <v>0</v>
      </c>
      <c r="BJ754" s="70">
        <f t="shared" si="265"/>
        <v>0</v>
      </c>
      <c r="BN754" s="37"/>
      <c r="BO754" s="70">
        <f t="shared" si="244"/>
        <v>0</v>
      </c>
      <c r="BP754" s="37">
        <v>6</v>
      </c>
      <c r="BQ754" s="37">
        <v>9</v>
      </c>
      <c r="BR754" s="37">
        <v>9</v>
      </c>
      <c r="BS754" s="37">
        <v>7</v>
      </c>
      <c r="BT754" s="87">
        <f t="shared" si="245"/>
        <v>46.43</v>
      </c>
      <c r="BU754" s="87"/>
      <c r="BV754" s="87"/>
      <c r="BW754" s="87"/>
      <c r="BX754" s="87"/>
      <c r="BY754" s="87"/>
      <c r="BZ754" s="87"/>
      <c r="CA754" s="87"/>
      <c r="CB754" s="87"/>
      <c r="CC754" s="87"/>
      <c r="CD754" s="87"/>
      <c r="CF754" s="67">
        <f t="shared" si="246"/>
        <v>278.58</v>
      </c>
      <c r="CG754" s="67">
        <f t="shared" si="247"/>
        <v>417.87</v>
      </c>
      <c r="CH754" s="67">
        <f t="shared" si="262"/>
        <v>417.87</v>
      </c>
      <c r="CI754" s="67">
        <f t="shared" si="252"/>
        <v>325.01</v>
      </c>
      <c r="CJ754" s="37">
        <f t="shared" si="248"/>
        <v>102</v>
      </c>
      <c r="CK754" s="37">
        <f t="shared" si="249"/>
        <v>153</v>
      </c>
      <c r="CL754" s="37">
        <f t="shared" si="250"/>
        <v>153</v>
      </c>
      <c r="CM754" s="37">
        <f t="shared" si="251"/>
        <v>119</v>
      </c>
    </row>
    <row r="755" spans="2:91" ht="25.5">
      <c r="B755" s="156">
        <v>742</v>
      </c>
      <c r="C755" s="160">
        <v>433</v>
      </c>
      <c r="D755" s="160">
        <v>532</v>
      </c>
      <c r="E755" s="161">
        <v>0.46875</v>
      </c>
      <c r="F755" s="173">
        <v>0.50486111111111109</v>
      </c>
      <c r="G755" s="160" t="s">
        <v>397</v>
      </c>
      <c r="H755" s="160" t="s">
        <v>396</v>
      </c>
      <c r="I755" s="163">
        <v>17</v>
      </c>
      <c r="J755" s="164">
        <v>20</v>
      </c>
      <c r="K755" s="165">
        <f>48+52</f>
        <v>100</v>
      </c>
      <c r="L755" s="166">
        <f t="shared" si="261"/>
        <v>1700</v>
      </c>
      <c r="M755" s="167" t="s">
        <v>773</v>
      </c>
      <c r="N755" s="150" t="s">
        <v>833</v>
      </c>
      <c r="O755" s="150">
        <v>21</v>
      </c>
      <c r="P755" s="150" t="s">
        <v>1257</v>
      </c>
      <c r="Q755" s="150">
        <v>21</v>
      </c>
      <c r="R755" s="209"/>
      <c r="S755" s="150"/>
      <c r="T755" s="45" t="s">
        <v>1713</v>
      </c>
      <c r="U755" s="45" t="s">
        <v>1714</v>
      </c>
      <c r="V755" s="45">
        <v>4380</v>
      </c>
      <c r="W755" s="45" t="s">
        <v>1712</v>
      </c>
      <c r="X755" s="98">
        <v>44805</v>
      </c>
      <c r="Y755" s="98">
        <v>45169</v>
      </c>
      <c r="Z755" s="98"/>
      <c r="AA755" s="98"/>
      <c r="AB755" s="41" t="s">
        <v>1843</v>
      </c>
      <c r="AC755" s="41"/>
      <c r="AD755" s="44" t="s">
        <v>734</v>
      </c>
      <c r="AE755" s="44" t="s">
        <v>734</v>
      </c>
      <c r="AF755" s="44" t="s">
        <v>734</v>
      </c>
      <c r="AG755" s="44"/>
      <c r="AH755" s="44" t="s">
        <v>734</v>
      </c>
      <c r="AI755" s="44"/>
      <c r="AJ755" s="44" t="s">
        <v>734</v>
      </c>
      <c r="AK755" s="44"/>
      <c r="AL755" s="44"/>
      <c r="AM755" s="44"/>
      <c r="AN755" s="44"/>
      <c r="AO755" s="44"/>
      <c r="AP755" s="44"/>
      <c r="AQ755" s="44"/>
      <c r="AR755" s="44"/>
      <c r="AS755" s="44"/>
      <c r="AT755" s="44"/>
      <c r="AU755" s="44"/>
      <c r="AV755" s="44"/>
      <c r="AW755" s="44"/>
      <c r="AX755" s="68">
        <v>47.23</v>
      </c>
      <c r="AY755" s="75"/>
      <c r="AZ755" s="75"/>
      <c r="BA755" s="68"/>
      <c r="BB755" s="68"/>
      <c r="BC755" s="75"/>
      <c r="BD755" s="67">
        <f t="shared" ref="BD755:BD786" si="266">AX755*K755</f>
        <v>4723</v>
      </c>
      <c r="BE755" s="67"/>
      <c r="BF755" s="75"/>
      <c r="BG755" s="73">
        <v>1</v>
      </c>
      <c r="BH755" s="67">
        <f t="shared" si="263"/>
        <v>0</v>
      </c>
      <c r="BI755" s="67">
        <f t="shared" si="264"/>
        <v>0</v>
      </c>
      <c r="BJ755" s="70">
        <f t="shared" si="265"/>
        <v>0</v>
      </c>
      <c r="BN755" s="37"/>
      <c r="BO755" s="70">
        <f t="shared" si="244"/>
        <v>0</v>
      </c>
      <c r="BP755" s="37">
        <v>8</v>
      </c>
      <c r="BQ755" s="37">
        <v>9</v>
      </c>
      <c r="BR755" s="37">
        <v>9</v>
      </c>
      <c r="BS755" s="37">
        <v>7</v>
      </c>
      <c r="BT755" s="87">
        <f t="shared" si="245"/>
        <v>47.23</v>
      </c>
      <c r="BU755" s="87"/>
      <c r="BV755" s="87"/>
      <c r="BW755" s="87"/>
      <c r="BX755" s="87"/>
      <c r="BY755" s="87"/>
      <c r="BZ755" s="87"/>
      <c r="CA755" s="87"/>
      <c r="CB755" s="87"/>
      <c r="CC755" s="87"/>
      <c r="CD755" s="87"/>
      <c r="CF755" s="67">
        <f t="shared" si="246"/>
        <v>377.84</v>
      </c>
      <c r="CG755" s="67">
        <f t="shared" si="247"/>
        <v>425.07</v>
      </c>
      <c r="CH755" s="67">
        <f t="shared" si="262"/>
        <v>425.07</v>
      </c>
      <c r="CI755" s="67">
        <f t="shared" si="252"/>
        <v>330.60999999999996</v>
      </c>
      <c r="CJ755" s="37">
        <f t="shared" si="248"/>
        <v>136</v>
      </c>
      <c r="CK755" s="37">
        <f t="shared" si="249"/>
        <v>153</v>
      </c>
      <c r="CL755" s="37">
        <f t="shared" si="250"/>
        <v>153</v>
      </c>
      <c r="CM755" s="37">
        <f t="shared" si="251"/>
        <v>119</v>
      </c>
    </row>
    <row r="756" spans="2:91" ht="25.5">
      <c r="B756" s="156">
        <v>743</v>
      </c>
      <c r="C756" s="160">
        <v>504</v>
      </c>
      <c r="D756" s="160">
        <v>8</v>
      </c>
      <c r="E756" s="173">
        <v>0.72152777777777777</v>
      </c>
      <c r="F756" s="173">
        <v>0.73055555555555562</v>
      </c>
      <c r="G756" s="174" t="s">
        <v>1068</v>
      </c>
      <c r="H756" s="160" t="s">
        <v>103</v>
      </c>
      <c r="I756" s="163">
        <v>5</v>
      </c>
      <c r="J756" s="164">
        <v>16</v>
      </c>
      <c r="K756" s="165">
        <v>174</v>
      </c>
      <c r="L756" s="166">
        <f t="shared" si="261"/>
        <v>870</v>
      </c>
      <c r="M756" s="167" t="s">
        <v>741</v>
      </c>
      <c r="N756" s="154" t="s">
        <v>888</v>
      </c>
      <c r="O756" s="154">
        <v>21</v>
      </c>
      <c r="P756" s="154" t="s">
        <v>887</v>
      </c>
      <c r="Q756" s="154">
        <v>8</v>
      </c>
      <c r="R756" s="182"/>
      <c r="S756" s="154"/>
      <c r="T756" s="45">
        <v>5117</v>
      </c>
      <c r="U756" s="45" t="s">
        <v>1715</v>
      </c>
      <c r="V756" s="45">
        <v>5119</v>
      </c>
      <c r="W756" s="45" t="s">
        <v>1716</v>
      </c>
      <c r="X756" s="98">
        <v>44816</v>
      </c>
      <c r="Y756" s="98">
        <v>45086</v>
      </c>
      <c r="Z756" s="98"/>
      <c r="AA756" s="98"/>
      <c r="AB756" s="41" t="s">
        <v>1114</v>
      </c>
      <c r="AC756" s="41"/>
      <c r="AD756" s="44"/>
      <c r="AE756" s="44"/>
      <c r="AF756" s="44"/>
      <c r="AG756" s="42" t="s">
        <v>734</v>
      </c>
      <c r="AH756" s="42" t="s">
        <v>734</v>
      </c>
      <c r="AI756" s="42" t="s">
        <v>734</v>
      </c>
      <c r="AJ756" s="42" t="s">
        <v>734</v>
      </c>
      <c r="AK756" s="42" t="s">
        <v>734</v>
      </c>
      <c r="AL756" s="42" t="s">
        <v>734</v>
      </c>
      <c r="AM756" s="44"/>
      <c r="AN756" s="44"/>
      <c r="AO756" s="44"/>
      <c r="AP756" s="44"/>
      <c r="AQ756" s="44"/>
      <c r="AR756" s="42"/>
      <c r="AS756" s="42"/>
      <c r="AT756" s="42"/>
      <c r="AU756" s="42"/>
      <c r="AV756" s="42"/>
      <c r="AW756" s="44"/>
      <c r="AX756" s="68">
        <v>48.42</v>
      </c>
      <c r="AY756" s="75"/>
      <c r="AZ756" s="75"/>
      <c r="BA756" s="68"/>
      <c r="BB756" s="68"/>
      <c r="BC756" s="75"/>
      <c r="BD756" s="67">
        <f t="shared" si="266"/>
        <v>8425.08</v>
      </c>
      <c r="BE756" s="67"/>
      <c r="BF756" s="75"/>
      <c r="BG756" s="73">
        <v>1</v>
      </c>
      <c r="BH756" s="67">
        <f t="shared" si="263"/>
        <v>0</v>
      </c>
      <c r="BI756" s="67">
        <f t="shared" si="264"/>
        <v>0</v>
      </c>
      <c r="BJ756" s="70">
        <f t="shared" si="265"/>
        <v>0</v>
      </c>
      <c r="BN756" s="37"/>
      <c r="BO756" s="70">
        <f t="shared" si="244"/>
        <v>0</v>
      </c>
      <c r="BP756" s="37">
        <v>15</v>
      </c>
      <c r="BQ756" s="37">
        <v>20</v>
      </c>
      <c r="BR756" s="37">
        <v>21</v>
      </c>
      <c r="BS756" s="37">
        <v>15</v>
      </c>
      <c r="BT756" s="87">
        <f t="shared" si="245"/>
        <v>48.42</v>
      </c>
      <c r="BU756" s="87"/>
      <c r="BV756" s="87"/>
      <c r="BW756" s="87"/>
      <c r="BX756" s="87"/>
      <c r="BY756" s="87"/>
      <c r="BZ756" s="87"/>
      <c r="CA756" s="87"/>
      <c r="CB756" s="87"/>
      <c r="CC756" s="87"/>
      <c r="CD756" s="87"/>
      <c r="CF756" s="67">
        <f t="shared" si="246"/>
        <v>726.30000000000007</v>
      </c>
      <c r="CG756" s="67">
        <f t="shared" si="247"/>
        <v>968.40000000000009</v>
      </c>
      <c r="CH756" s="67">
        <f t="shared" si="262"/>
        <v>1016.82</v>
      </c>
      <c r="CI756" s="67">
        <f t="shared" si="252"/>
        <v>726.30000000000007</v>
      </c>
      <c r="CJ756" s="37">
        <f t="shared" si="248"/>
        <v>75</v>
      </c>
      <c r="CK756" s="37">
        <f t="shared" si="249"/>
        <v>100</v>
      </c>
      <c r="CL756" s="37">
        <f t="shared" si="250"/>
        <v>105</v>
      </c>
      <c r="CM756" s="37">
        <f t="shared" si="251"/>
        <v>75</v>
      </c>
    </row>
    <row r="757" spans="2:91" ht="25.5">
      <c r="B757" s="156">
        <v>744</v>
      </c>
      <c r="C757" s="160">
        <v>512</v>
      </c>
      <c r="D757" s="162">
        <v>476</v>
      </c>
      <c r="E757" s="161">
        <v>0.24444444444444446</v>
      </c>
      <c r="F757" s="161">
        <v>0.2673611111111111</v>
      </c>
      <c r="G757" s="160" t="s">
        <v>466</v>
      </c>
      <c r="H757" s="160" t="s">
        <v>467</v>
      </c>
      <c r="I757" s="163">
        <v>25</v>
      </c>
      <c r="J757" s="164" t="s">
        <v>191</v>
      </c>
      <c r="K757" s="165">
        <v>36</v>
      </c>
      <c r="L757" s="166">
        <f t="shared" si="261"/>
        <v>900</v>
      </c>
      <c r="M757" s="167" t="s">
        <v>723</v>
      </c>
      <c r="N757" s="154" t="s">
        <v>866</v>
      </c>
      <c r="O757" s="154">
        <v>57</v>
      </c>
      <c r="P757" s="154" t="s">
        <v>1289</v>
      </c>
      <c r="Q757" s="154">
        <v>50</v>
      </c>
      <c r="S757" s="154"/>
      <c r="T757" s="45" t="s">
        <v>1329</v>
      </c>
      <c r="U757" s="45" t="s">
        <v>1330</v>
      </c>
      <c r="V757" s="45" t="s">
        <v>1717</v>
      </c>
      <c r="W757" s="45" t="s">
        <v>1718</v>
      </c>
      <c r="X757" s="98">
        <v>44816</v>
      </c>
      <c r="Y757" s="98">
        <v>45086</v>
      </c>
      <c r="Z757" s="98"/>
      <c r="AA757" s="98"/>
      <c r="AB757" s="42" t="s">
        <v>1136</v>
      </c>
      <c r="AC757" s="42"/>
      <c r="AD757" s="42"/>
      <c r="AE757" s="42"/>
      <c r="AF757" s="42"/>
      <c r="AG757" s="42" t="s">
        <v>734</v>
      </c>
      <c r="AH757" s="42" t="s">
        <v>734</v>
      </c>
      <c r="AI757" s="42"/>
      <c r="AJ757" s="42"/>
      <c r="AK757" s="42"/>
      <c r="AL757" s="42"/>
      <c r="AM757" s="42"/>
      <c r="AN757" s="42"/>
      <c r="AO757" s="42" t="s">
        <v>734</v>
      </c>
      <c r="AP757" s="42"/>
      <c r="AQ757" s="42"/>
      <c r="AR757" s="42"/>
      <c r="AS757" s="42"/>
      <c r="AT757" s="42"/>
      <c r="AU757" s="42"/>
      <c r="AV757" s="42"/>
      <c r="AW757" s="42"/>
      <c r="AX757" s="68">
        <v>75</v>
      </c>
      <c r="BA757" s="68"/>
      <c r="BB757" s="68"/>
      <c r="BD757" s="67">
        <f t="shared" si="266"/>
        <v>2700</v>
      </c>
      <c r="BE757" s="67"/>
      <c r="BF757" s="37"/>
      <c r="BG757" s="69">
        <v>2</v>
      </c>
      <c r="BH757" s="67">
        <f t="shared" si="263"/>
        <v>0</v>
      </c>
      <c r="BI757" s="67">
        <f t="shared" si="264"/>
        <v>0</v>
      </c>
      <c r="BJ757" s="70">
        <f t="shared" si="265"/>
        <v>0</v>
      </c>
      <c r="BN757" s="67">
        <f>IF((AX757+AY757+AZ757)&lt;20,(20-(AX757+AY757+AZ757)),0)</f>
        <v>0</v>
      </c>
      <c r="BO757" s="70">
        <f t="shared" si="244"/>
        <v>0</v>
      </c>
      <c r="BP757" s="37">
        <v>3</v>
      </c>
      <c r="BQ757" s="37">
        <v>4</v>
      </c>
      <c r="BR757" s="37">
        <v>5</v>
      </c>
      <c r="BS757" s="37">
        <v>4</v>
      </c>
      <c r="BT757" s="87">
        <f t="shared" si="245"/>
        <v>75</v>
      </c>
      <c r="BU757" s="87"/>
      <c r="BV757" s="87"/>
      <c r="BW757" s="87"/>
      <c r="BX757" s="87"/>
      <c r="BY757" s="87"/>
      <c r="BZ757" s="87"/>
      <c r="CA757" s="87"/>
      <c r="CB757" s="87"/>
      <c r="CC757" s="87"/>
      <c r="CD757" s="87"/>
      <c r="CF757" s="67">
        <f t="shared" si="246"/>
        <v>225</v>
      </c>
      <c r="CG757" s="67">
        <f t="shared" si="247"/>
        <v>300</v>
      </c>
      <c r="CH757" s="67">
        <f t="shared" si="262"/>
        <v>375</v>
      </c>
      <c r="CI757" s="67">
        <f t="shared" si="252"/>
        <v>300</v>
      </c>
      <c r="CJ757" s="37">
        <f t="shared" si="248"/>
        <v>75</v>
      </c>
      <c r="CK757" s="37">
        <f t="shared" si="249"/>
        <v>100</v>
      </c>
      <c r="CL757" s="37">
        <f t="shared" si="250"/>
        <v>125</v>
      </c>
      <c r="CM757" s="37">
        <f t="shared" si="251"/>
        <v>100</v>
      </c>
    </row>
    <row r="758" spans="2:91" ht="25.5">
      <c r="B758" s="156">
        <v>745</v>
      </c>
      <c r="C758" s="160">
        <v>512</v>
      </c>
      <c r="D758" s="162">
        <v>476</v>
      </c>
      <c r="E758" s="173">
        <v>0.2673611111111111</v>
      </c>
      <c r="F758" s="173">
        <v>0.33333333333333331</v>
      </c>
      <c r="G758" s="160" t="s">
        <v>320</v>
      </c>
      <c r="H758" s="160" t="s">
        <v>97</v>
      </c>
      <c r="I758" s="163">
        <f>63+2.8</f>
        <v>65.8</v>
      </c>
      <c r="J758" s="164" t="s">
        <v>191</v>
      </c>
      <c r="K758" s="165">
        <v>208</v>
      </c>
      <c r="L758" s="166">
        <f t="shared" si="261"/>
        <v>13686.4</v>
      </c>
      <c r="M758" s="167" t="s">
        <v>723</v>
      </c>
      <c r="N758" s="154" t="s">
        <v>866</v>
      </c>
      <c r="O758" s="154">
        <v>57</v>
      </c>
      <c r="P758" s="154" t="s">
        <v>1289</v>
      </c>
      <c r="Q758" s="154">
        <v>50</v>
      </c>
      <c r="S758" s="154"/>
      <c r="T758" s="45" t="s">
        <v>1717</v>
      </c>
      <c r="U758" s="45" t="s">
        <v>1719</v>
      </c>
      <c r="V758" s="45">
        <v>5015</v>
      </c>
      <c r="W758" s="45" t="s">
        <v>1720</v>
      </c>
      <c r="X758" s="98">
        <v>44816</v>
      </c>
      <c r="Y758" s="98">
        <v>45086</v>
      </c>
      <c r="Z758" s="98"/>
      <c r="AA758" s="98"/>
      <c r="AB758" s="41" t="s">
        <v>1118</v>
      </c>
      <c r="AC758" s="41"/>
      <c r="AD758" s="42"/>
      <c r="AE758" s="42"/>
      <c r="AF758" s="42"/>
      <c r="AG758" s="42" t="s">
        <v>734</v>
      </c>
      <c r="AH758" s="42" t="s">
        <v>734</v>
      </c>
      <c r="AI758" s="42" t="s">
        <v>734</v>
      </c>
      <c r="AJ758" s="42" t="s">
        <v>734</v>
      </c>
      <c r="AK758" s="42" t="s">
        <v>734</v>
      </c>
      <c r="AL758" s="42" t="s">
        <v>734</v>
      </c>
      <c r="AM758" s="42" t="s">
        <v>734</v>
      </c>
      <c r="AN758" s="42"/>
      <c r="AO758" s="42"/>
      <c r="AP758" s="42"/>
      <c r="AQ758" s="42"/>
      <c r="AR758" s="42"/>
      <c r="AS758" s="42"/>
      <c r="AT758" s="42"/>
      <c r="AU758" s="42"/>
      <c r="AV758" s="42"/>
      <c r="AW758" s="42"/>
      <c r="AX758" s="68">
        <v>263.24</v>
      </c>
      <c r="BA758" s="68"/>
      <c r="BB758" s="68"/>
      <c r="BD758" s="67">
        <f t="shared" si="266"/>
        <v>54753.919999999998</v>
      </c>
      <c r="BE758" s="67"/>
      <c r="BF758" s="37"/>
      <c r="BG758" s="69">
        <v>2</v>
      </c>
      <c r="BH758" s="67">
        <f t="shared" si="263"/>
        <v>0</v>
      </c>
      <c r="BI758" s="67">
        <f t="shared" si="264"/>
        <v>0</v>
      </c>
      <c r="BJ758" s="70">
        <f t="shared" si="265"/>
        <v>0</v>
      </c>
      <c r="BN758" s="67">
        <f>IF((AX758+AY758+AZ758)&lt;20,(20-(AX758+AY758+AZ758)),0)</f>
        <v>0</v>
      </c>
      <c r="BO758" s="70">
        <f t="shared" ref="BO758:BO821" si="267">BN758*K758</f>
        <v>0</v>
      </c>
      <c r="BP758" s="37">
        <v>17</v>
      </c>
      <c r="BQ758" s="37">
        <v>25</v>
      </c>
      <c r="BR758" s="37">
        <v>25</v>
      </c>
      <c r="BS758" s="37">
        <v>19</v>
      </c>
      <c r="BT758" s="87">
        <f t="shared" ref="BT758:BT821" si="268">SUM(AX758:AZ758)+SUM(BH758:BI758)+SUM(BK758:BL758)+BN758</f>
        <v>263.24</v>
      </c>
      <c r="BU758" s="87"/>
      <c r="BV758" s="87"/>
      <c r="BW758" s="87"/>
      <c r="BX758" s="87"/>
      <c r="BY758" s="87"/>
      <c r="BZ758" s="87"/>
      <c r="CA758" s="87"/>
      <c r="CB758" s="87"/>
      <c r="CC758" s="87"/>
      <c r="CD758" s="87"/>
      <c r="CF758" s="67">
        <f t="shared" ref="CF758:CF821" si="269">(BT758*BP758)+(BV758*CD758)</f>
        <v>4475.08</v>
      </c>
      <c r="CG758" s="67">
        <f t="shared" si="247"/>
        <v>6581</v>
      </c>
      <c r="CH758" s="67">
        <f t="shared" si="262"/>
        <v>6581</v>
      </c>
      <c r="CI758" s="67">
        <f t="shared" si="252"/>
        <v>5001.5600000000004</v>
      </c>
      <c r="CJ758" s="37">
        <f t="shared" si="248"/>
        <v>1118.5999999999999</v>
      </c>
      <c r="CK758" s="37">
        <f t="shared" si="249"/>
        <v>1645</v>
      </c>
      <c r="CL758" s="37">
        <f t="shared" si="250"/>
        <v>1645</v>
      </c>
      <c r="CM758" s="37">
        <f t="shared" si="251"/>
        <v>1250.2</v>
      </c>
    </row>
    <row r="759" spans="2:91" ht="25.5">
      <c r="B759" s="156">
        <v>746</v>
      </c>
      <c r="C759" s="160">
        <v>601</v>
      </c>
      <c r="D759" s="160">
        <v>695</v>
      </c>
      <c r="E759" s="161">
        <v>0.2722222222222222</v>
      </c>
      <c r="F759" s="161">
        <v>0.29375000000000001</v>
      </c>
      <c r="G759" s="160" t="s">
        <v>494</v>
      </c>
      <c r="H759" s="174" t="s">
        <v>103</v>
      </c>
      <c r="I759" s="163">
        <v>21.5</v>
      </c>
      <c r="J759" s="164" t="s">
        <v>188</v>
      </c>
      <c r="K759" s="179">
        <f>208-K760</f>
        <v>174</v>
      </c>
      <c r="L759" s="166">
        <f t="shared" si="261"/>
        <v>3741</v>
      </c>
      <c r="M759" s="167" t="s">
        <v>1226</v>
      </c>
      <c r="N759" s="150" t="s">
        <v>861</v>
      </c>
      <c r="O759" s="150">
        <v>56</v>
      </c>
      <c r="P759" s="154" t="s">
        <v>1291</v>
      </c>
      <c r="Q759" s="154">
        <v>60</v>
      </c>
      <c r="R759" s="154" t="s">
        <v>1983</v>
      </c>
      <c r="S759" s="150">
        <v>54</v>
      </c>
      <c r="T759" s="45">
        <v>6200</v>
      </c>
      <c r="U759" s="45" t="s">
        <v>1721</v>
      </c>
      <c r="V759" s="45" t="s">
        <v>1435</v>
      </c>
      <c r="W759" s="45" t="s">
        <v>1436</v>
      </c>
      <c r="X759" s="98">
        <v>44816</v>
      </c>
      <c r="Y759" s="98">
        <v>45086</v>
      </c>
      <c r="Z759" s="98"/>
      <c r="AA759" s="98"/>
      <c r="AB759" s="64" t="s">
        <v>1114</v>
      </c>
      <c r="AC759" s="41"/>
      <c r="AD759" s="42"/>
      <c r="AE759" s="42"/>
      <c r="AF759" s="42"/>
      <c r="AG759" s="42" t="s">
        <v>734</v>
      </c>
      <c r="AH759" s="42" t="s">
        <v>734</v>
      </c>
      <c r="AI759" s="42" t="s">
        <v>734</v>
      </c>
      <c r="AJ759" s="42" t="s">
        <v>734</v>
      </c>
      <c r="AK759" s="42" t="s">
        <v>734</v>
      </c>
      <c r="AL759" s="42" t="s">
        <v>734</v>
      </c>
      <c r="AM759" s="42"/>
      <c r="AN759" s="42"/>
      <c r="AO759" s="42"/>
      <c r="AP759" s="42"/>
      <c r="AQ759" s="42"/>
      <c r="AR759" s="42"/>
      <c r="AS759" s="42"/>
      <c r="AT759" s="42"/>
      <c r="AU759" s="42"/>
      <c r="AV759" s="42"/>
      <c r="AW759" s="42"/>
      <c r="AX759" s="68">
        <v>64.5</v>
      </c>
      <c r="BA759" s="68"/>
      <c r="BB759" s="68"/>
      <c r="BD759" s="67">
        <f t="shared" si="266"/>
        <v>11223</v>
      </c>
      <c r="BE759" s="67"/>
      <c r="BF759" s="37"/>
      <c r="BG759" s="73">
        <v>1</v>
      </c>
      <c r="BH759" s="67">
        <f t="shared" si="263"/>
        <v>0</v>
      </c>
      <c r="BI759" s="67">
        <f t="shared" si="264"/>
        <v>0</v>
      </c>
      <c r="BJ759" s="70">
        <f t="shared" si="265"/>
        <v>0</v>
      </c>
      <c r="BN759" s="67">
        <f>IF((AX759+AY759+AZ759)&lt;20,(20-(AX759+AY759+AZ759)),0)</f>
        <v>0</v>
      </c>
      <c r="BO759" s="70">
        <f t="shared" si="267"/>
        <v>0</v>
      </c>
      <c r="BP759" s="37">
        <v>15</v>
      </c>
      <c r="BQ759" s="37">
        <v>20</v>
      </c>
      <c r="BR759" s="37">
        <v>21</v>
      </c>
      <c r="BS759" s="37">
        <v>15</v>
      </c>
      <c r="BT759" s="87">
        <f t="shared" si="268"/>
        <v>64.5</v>
      </c>
      <c r="BU759" s="87"/>
      <c r="BV759" s="87"/>
      <c r="BW759" s="87"/>
      <c r="BX759" s="87"/>
      <c r="BY759" s="87"/>
      <c r="BZ759" s="87"/>
      <c r="CA759" s="87"/>
      <c r="CB759" s="87"/>
      <c r="CC759" s="87"/>
      <c r="CD759" s="87"/>
      <c r="CF759" s="67">
        <f t="shared" si="269"/>
        <v>967.5</v>
      </c>
      <c r="CG759" s="67">
        <f t="shared" si="247"/>
        <v>1290</v>
      </c>
      <c r="CH759" s="67">
        <f t="shared" si="262"/>
        <v>1354.5</v>
      </c>
      <c r="CI759" s="67">
        <f t="shared" si="252"/>
        <v>967.5</v>
      </c>
      <c r="CJ759" s="37">
        <f t="shared" si="248"/>
        <v>322.5</v>
      </c>
      <c r="CK759" s="37">
        <f t="shared" si="249"/>
        <v>430</v>
      </c>
      <c r="CL759" s="37">
        <f t="shared" si="250"/>
        <v>451.5</v>
      </c>
      <c r="CM759" s="37">
        <f t="shared" si="251"/>
        <v>322.5</v>
      </c>
    </row>
    <row r="760" spans="2:91" ht="25.5">
      <c r="B760" s="181" t="s">
        <v>1221</v>
      </c>
      <c r="C760" s="160">
        <v>601</v>
      </c>
      <c r="D760" s="160">
        <v>695</v>
      </c>
      <c r="E760" s="161">
        <v>0.2722222222222222</v>
      </c>
      <c r="F760" s="161">
        <v>0.29375000000000001</v>
      </c>
      <c r="G760" s="160" t="s">
        <v>494</v>
      </c>
      <c r="H760" s="174" t="s">
        <v>1222</v>
      </c>
      <c r="I760" s="163">
        <v>21.5</v>
      </c>
      <c r="J760" s="164" t="s">
        <v>188</v>
      </c>
      <c r="K760" s="179">
        <v>34</v>
      </c>
      <c r="L760" s="166">
        <f t="shared" si="261"/>
        <v>731</v>
      </c>
      <c r="M760" s="167" t="s">
        <v>737</v>
      </c>
      <c r="N760" s="150" t="s">
        <v>983</v>
      </c>
      <c r="O760" s="150">
        <v>31</v>
      </c>
      <c r="P760" s="154" t="s">
        <v>1975</v>
      </c>
      <c r="Q760" s="154">
        <v>31</v>
      </c>
      <c r="R760" s="154"/>
      <c r="S760" s="150"/>
      <c r="T760" s="45">
        <v>6200</v>
      </c>
      <c r="U760" s="45" t="s">
        <v>1721</v>
      </c>
      <c r="V760" s="45" t="s">
        <v>1435</v>
      </c>
      <c r="W760" s="45" t="s">
        <v>1436</v>
      </c>
      <c r="X760" s="98">
        <v>44816</v>
      </c>
      <c r="Y760" s="98">
        <v>45086</v>
      </c>
      <c r="Z760" s="98"/>
      <c r="AA760" s="98"/>
      <c r="AB760" s="64" t="s">
        <v>1123</v>
      </c>
      <c r="AC760" s="41"/>
      <c r="AD760" s="42"/>
      <c r="AE760" s="42"/>
      <c r="AF760" s="42"/>
      <c r="AG760" s="42" t="s">
        <v>734</v>
      </c>
      <c r="AH760" s="42"/>
      <c r="AI760" s="42"/>
      <c r="AJ760" s="42"/>
      <c r="AK760" s="42"/>
      <c r="AL760" s="42"/>
      <c r="AM760" s="42" t="s">
        <v>734</v>
      </c>
      <c r="AN760" s="42"/>
      <c r="AO760" s="42"/>
      <c r="AP760" s="42"/>
      <c r="AQ760" s="42"/>
      <c r="AR760" s="42"/>
      <c r="AS760" s="42"/>
      <c r="AT760" s="42"/>
      <c r="AU760" s="42"/>
      <c r="AV760" s="42"/>
      <c r="AW760" s="42"/>
      <c r="AX760" s="68">
        <v>64.5</v>
      </c>
      <c r="BA760" s="68"/>
      <c r="BB760" s="68"/>
      <c r="BD760" s="67">
        <f t="shared" si="266"/>
        <v>2193</v>
      </c>
      <c r="BE760" s="67"/>
      <c r="BF760" s="37"/>
      <c r="BG760" s="73">
        <v>1</v>
      </c>
      <c r="BH760" s="67">
        <f t="shared" si="263"/>
        <v>0</v>
      </c>
      <c r="BI760" s="67">
        <f t="shared" si="264"/>
        <v>0</v>
      </c>
      <c r="BJ760" s="70">
        <f t="shared" si="265"/>
        <v>0</v>
      </c>
      <c r="BN760" s="67">
        <f>IF((AX760+AY760+AZ760)&lt;20,(20-(AX760+AY760+AZ760)),0)</f>
        <v>0</v>
      </c>
      <c r="BO760" s="70">
        <f t="shared" si="267"/>
        <v>0</v>
      </c>
      <c r="BP760" s="37">
        <v>2</v>
      </c>
      <c r="BQ760" s="37">
        <v>5</v>
      </c>
      <c r="BR760" s="37">
        <v>4</v>
      </c>
      <c r="BS760" s="37">
        <v>3</v>
      </c>
      <c r="BT760" s="87">
        <f t="shared" si="268"/>
        <v>64.5</v>
      </c>
      <c r="BU760" s="87"/>
      <c r="BV760" s="87"/>
      <c r="BW760" s="87"/>
      <c r="BX760" s="87"/>
      <c r="BY760" s="87"/>
      <c r="BZ760" s="87"/>
      <c r="CA760" s="87"/>
      <c r="CB760" s="87"/>
      <c r="CC760" s="87"/>
      <c r="CD760" s="87"/>
      <c r="CF760" s="67">
        <f t="shared" si="269"/>
        <v>129</v>
      </c>
      <c r="CG760" s="67">
        <f t="shared" si="247"/>
        <v>322.5</v>
      </c>
      <c r="CH760" s="67">
        <f t="shared" si="262"/>
        <v>258</v>
      </c>
      <c r="CI760" s="67">
        <f t="shared" si="252"/>
        <v>193.5</v>
      </c>
      <c r="CJ760" s="37">
        <f t="shared" si="248"/>
        <v>43</v>
      </c>
      <c r="CK760" s="37">
        <f t="shared" si="249"/>
        <v>107.5</v>
      </c>
      <c r="CL760" s="37">
        <f t="shared" si="250"/>
        <v>86</v>
      </c>
      <c r="CM760" s="37">
        <f t="shared" si="251"/>
        <v>64.5</v>
      </c>
    </row>
    <row r="761" spans="2:91" ht="25.5">
      <c r="B761" s="156">
        <v>747</v>
      </c>
      <c r="C761" s="160">
        <v>601</v>
      </c>
      <c r="D761" s="160">
        <v>616</v>
      </c>
      <c r="E761" s="161">
        <v>0.86458333333333337</v>
      </c>
      <c r="F761" s="161">
        <v>0.88680555555555562</v>
      </c>
      <c r="G761" s="160" t="s">
        <v>426</v>
      </c>
      <c r="H761" s="160" t="s">
        <v>424</v>
      </c>
      <c r="I761" s="163">
        <v>22</v>
      </c>
      <c r="J761" s="164" t="s">
        <v>93</v>
      </c>
      <c r="K761" s="165">
        <v>67</v>
      </c>
      <c r="L761" s="166">
        <f t="shared" si="261"/>
        <v>1474</v>
      </c>
      <c r="M761" s="167" t="s">
        <v>737</v>
      </c>
      <c r="N761" s="154" t="s">
        <v>913</v>
      </c>
      <c r="O761" s="154">
        <v>24</v>
      </c>
      <c r="P761" s="154" t="s">
        <v>912</v>
      </c>
      <c r="Q761" s="154">
        <v>21</v>
      </c>
      <c r="R761" s="154" t="s">
        <v>914</v>
      </c>
      <c r="S761" s="154">
        <v>21</v>
      </c>
      <c r="T761" s="45" t="s">
        <v>1329</v>
      </c>
      <c r="U761" s="45" t="s">
        <v>1330</v>
      </c>
      <c r="V761" s="45">
        <v>6120</v>
      </c>
      <c r="W761" s="45" t="s">
        <v>1341</v>
      </c>
      <c r="X761" s="99">
        <v>44562</v>
      </c>
      <c r="Y761" s="99">
        <v>44815</v>
      </c>
      <c r="Z761" s="99">
        <v>45101</v>
      </c>
      <c r="AA761" s="99">
        <v>45169</v>
      </c>
      <c r="AB761" s="42" t="s">
        <v>1119</v>
      </c>
      <c r="AC761" s="42"/>
      <c r="AD761" s="42"/>
      <c r="AE761" s="42" t="s">
        <v>734</v>
      </c>
      <c r="AF761" s="42" t="s">
        <v>734</v>
      </c>
      <c r="AG761" s="42"/>
      <c r="AH761" s="42" t="s">
        <v>734</v>
      </c>
      <c r="AI761" s="42" t="s">
        <v>734</v>
      </c>
      <c r="AJ761" s="42" t="s">
        <v>734</v>
      </c>
      <c r="AK761" s="42" t="s">
        <v>734</v>
      </c>
      <c r="AL761" s="42" t="s">
        <v>734</v>
      </c>
      <c r="AM761" s="42" t="s">
        <v>734</v>
      </c>
      <c r="AN761" s="42"/>
      <c r="AO761" s="42"/>
      <c r="AP761" s="42"/>
      <c r="AQ761" s="42"/>
      <c r="AR761" s="42"/>
      <c r="AS761" s="42"/>
      <c r="AT761" s="42"/>
      <c r="AU761" s="42"/>
      <c r="AV761" s="42"/>
      <c r="AW761" s="42"/>
      <c r="AX761" s="68">
        <v>55</v>
      </c>
      <c r="BA761" s="68"/>
      <c r="BB761" s="68"/>
      <c r="BD761" s="67">
        <f t="shared" si="266"/>
        <v>3685</v>
      </c>
      <c r="BE761" s="67"/>
      <c r="BF761" s="37"/>
      <c r="BG761" s="73">
        <v>1</v>
      </c>
      <c r="BH761" s="67">
        <f t="shared" si="263"/>
        <v>0</v>
      </c>
      <c r="BI761" s="67">
        <f t="shared" si="264"/>
        <v>0</v>
      </c>
      <c r="BJ761" s="70">
        <f t="shared" si="265"/>
        <v>0</v>
      </c>
      <c r="BN761" s="37"/>
      <c r="BO761" s="70">
        <f t="shared" si="267"/>
        <v>0</v>
      </c>
      <c r="BP761" s="37">
        <v>9</v>
      </c>
      <c r="BQ761" s="37">
        <v>0</v>
      </c>
      <c r="BR761" s="37">
        <v>0</v>
      </c>
      <c r="BS761" s="37">
        <v>0</v>
      </c>
      <c r="BT761" s="87">
        <f t="shared" si="268"/>
        <v>55</v>
      </c>
      <c r="BU761" s="87"/>
      <c r="BV761" s="87"/>
      <c r="BW761" s="87"/>
      <c r="BX761" s="87"/>
      <c r="BY761" s="87"/>
      <c r="BZ761" s="87"/>
      <c r="CA761" s="87"/>
      <c r="CB761" s="87"/>
      <c r="CC761" s="87"/>
      <c r="CD761" s="87"/>
      <c r="CF761" s="67">
        <f t="shared" si="269"/>
        <v>495</v>
      </c>
      <c r="CG761" s="67">
        <f t="shared" si="247"/>
        <v>0</v>
      </c>
      <c r="CH761" s="67">
        <f t="shared" si="262"/>
        <v>0</v>
      </c>
      <c r="CI761" s="67">
        <f t="shared" si="252"/>
        <v>0</v>
      </c>
      <c r="CJ761" s="37">
        <f t="shared" si="248"/>
        <v>198</v>
      </c>
      <c r="CK761" s="37">
        <f t="shared" si="249"/>
        <v>0</v>
      </c>
      <c r="CL761" s="37">
        <f t="shared" si="250"/>
        <v>0</v>
      </c>
      <c r="CM761" s="37">
        <f t="shared" si="251"/>
        <v>0</v>
      </c>
    </row>
    <row r="762" spans="2:91" ht="33.75">
      <c r="B762" s="156">
        <v>748</v>
      </c>
      <c r="C762" s="160">
        <v>611</v>
      </c>
      <c r="D762" s="160">
        <v>387</v>
      </c>
      <c r="E762" s="161">
        <v>0.26041666666666669</v>
      </c>
      <c r="F762" s="161">
        <v>0.28472222222222221</v>
      </c>
      <c r="G762" s="160" t="s">
        <v>698</v>
      </c>
      <c r="H762" s="160" t="s">
        <v>97</v>
      </c>
      <c r="I762" s="163">
        <v>19.100000000000001</v>
      </c>
      <c r="J762" s="164" t="s">
        <v>101</v>
      </c>
      <c r="K762" s="165">
        <v>208</v>
      </c>
      <c r="L762" s="166">
        <f t="shared" si="261"/>
        <v>3972.8</v>
      </c>
      <c r="M762" s="167" t="s">
        <v>750</v>
      </c>
      <c r="N762" s="150" t="s">
        <v>1185</v>
      </c>
      <c r="O762" s="150">
        <v>55</v>
      </c>
      <c r="P762" s="154" t="s">
        <v>1292</v>
      </c>
      <c r="Q762" s="154">
        <v>55</v>
      </c>
      <c r="R762" s="154" t="s">
        <v>1293</v>
      </c>
      <c r="S762" s="151">
        <v>46</v>
      </c>
      <c r="T762" s="45">
        <v>6133</v>
      </c>
      <c r="U762" s="45" t="s">
        <v>1722</v>
      </c>
      <c r="V762" s="45" t="s">
        <v>1525</v>
      </c>
      <c r="W762" s="45" t="s">
        <v>1526</v>
      </c>
      <c r="X762" s="98">
        <v>44816</v>
      </c>
      <c r="Y762" s="98">
        <v>45086</v>
      </c>
      <c r="Z762" s="98"/>
      <c r="AA762" s="98"/>
      <c r="AB762" s="41" t="s">
        <v>1118</v>
      </c>
      <c r="AC762" s="41"/>
      <c r="AD762" s="42"/>
      <c r="AE762" s="42"/>
      <c r="AF762" s="42"/>
      <c r="AG762" s="42" t="s">
        <v>734</v>
      </c>
      <c r="AH762" s="42" t="s">
        <v>734</v>
      </c>
      <c r="AI762" s="42" t="s">
        <v>734</v>
      </c>
      <c r="AJ762" s="42" t="s">
        <v>734</v>
      </c>
      <c r="AK762" s="42" t="s">
        <v>734</v>
      </c>
      <c r="AL762" s="42" t="s">
        <v>734</v>
      </c>
      <c r="AM762" s="42" t="s">
        <v>734</v>
      </c>
      <c r="AN762" s="42"/>
      <c r="AO762" s="42"/>
      <c r="AP762" s="42"/>
      <c r="AQ762" s="42"/>
      <c r="AR762" s="42"/>
      <c r="AS762" s="42"/>
      <c r="AT762" s="42"/>
      <c r="AU762" s="42"/>
      <c r="AV762" s="42"/>
      <c r="AW762" s="42"/>
      <c r="AX762" s="68">
        <f>15.3+14+14</f>
        <v>43.3</v>
      </c>
      <c r="BA762" s="68"/>
      <c r="BB762" s="68"/>
      <c r="BD762" s="67">
        <f t="shared" si="266"/>
        <v>9006.4</v>
      </c>
      <c r="BE762" s="67"/>
      <c r="BF762" s="37"/>
      <c r="BG762" s="69">
        <v>2</v>
      </c>
      <c r="BH762" s="67">
        <f t="shared" si="263"/>
        <v>0</v>
      </c>
      <c r="BI762" s="67">
        <f t="shared" si="264"/>
        <v>14.000000000000007</v>
      </c>
      <c r="BJ762" s="70">
        <f t="shared" si="265"/>
        <v>2912.0000000000014</v>
      </c>
      <c r="BN762" s="67">
        <f>IF((AX762+AY762+AZ762)&lt;20,(20-(AX762+AY762+AZ762)),0)</f>
        <v>0</v>
      </c>
      <c r="BO762" s="70">
        <f t="shared" si="267"/>
        <v>0</v>
      </c>
      <c r="BP762" s="37">
        <v>17</v>
      </c>
      <c r="BQ762" s="37">
        <v>25</v>
      </c>
      <c r="BR762" s="37">
        <v>25</v>
      </c>
      <c r="BS762" s="37">
        <v>18</v>
      </c>
      <c r="BT762" s="87">
        <f t="shared" si="268"/>
        <v>57.300000000000004</v>
      </c>
      <c r="BU762" s="87"/>
      <c r="BV762" s="87"/>
      <c r="BW762" s="87"/>
      <c r="BX762" s="87"/>
      <c r="BY762" s="87"/>
      <c r="BZ762" s="87"/>
      <c r="CA762" s="87"/>
      <c r="CB762" s="87"/>
      <c r="CC762" s="87"/>
      <c r="CD762" s="87"/>
      <c r="CF762" s="67">
        <f t="shared" si="269"/>
        <v>974.1</v>
      </c>
      <c r="CG762" s="67">
        <f t="shared" si="247"/>
        <v>1432.5</v>
      </c>
      <c r="CH762" s="67">
        <f t="shared" si="262"/>
        <v>1432.5</v>
      </c>
      <c r="CI762" s="67">
        <f t="shared" si="252"/>
        <v>1031.4000000000001</v>
      </c>
      <c r="CJ762" s="37">
        <f t="shared" si="248"/>
        <v>324.70000000000005</v>
      </c>
      <c r="CK762" s="37">
        <f t="shared" si="249"/>
        <v>477.50000000000006</v>
      </c>
      <c r="CL762" s="37">
        <f t="shared" si="250"/>
        <v>477.50000000000006</v>
      </c>
      <c r="CM762" s="37">
        <f t="shared" si="251"/>
        <v>343.8</v>
      </c>
    </row>
    <row r="763" spans="2:91" ht="25.5">
      <c r="B763" s="156">
        <v>749</v>
      </c>
      <c r="C763" s="160">
        <v>611</v>
      </c>
      <c r="D763" s="164">
        <v>71</v>
      </c>
      <c r="E763" s="161">
        <v>0.26041666666666669</v>
      </c>
      <c r="F763" s="161">
        <v>0.29791666666666666</v>
      </c>
      <c r="G763" s="160" t="s">
        <v>17</v>
      </c>
      <c r="H763" s="160" t="s">
        <v>424</v>
      </c>
      <c r="I763" s="163">
        <v>27</v>
      </c>
      <c r="J763" s="164" t="s">
        <v>93</v>
      </c>
      <c r="K763" s="165">
        <v>67</v>
      </c>
      <c r="L763" s="166">
        <f t="shared" si="261"/>
        <v>1809</v>
      </c>
      <c r="M763" s="167" t="s">
        <v>737</v>
      </c>
      <c r="N763" s="154" t="s">
        <v>913</v>
      </c>
      <c r="O763" s="154">
        <v>24</v>
      </c>
      <c r="P763" s="154" t="s">
        <v>912</v>
      </c>
      <c r="Q763" s="154">
        <v>21</v>
      </c>
      <c r="R763" s="154" t="s">
        <v>914</v>
      </c>
      <c r="S763" s="154">
        <v>21</v>
      </c>
      <c r="T763" s="45" t="s">
        <v>1525</v>
      </c>
      <c r="U763" s="45" t="s">
        <v>1526</v>
      </c>
      <c r="V763" s="45" t="s">
        <v>1435</v>
      </c>
      <c r="W763" s="45" t="s">
        <v>1436</v>
      </c>
      <c r="X763" s="99">
        <v>44562</v>
      </c>
      <c r="Y763" s="99">
        <v>44815</v>
      </c>
      <c r="Z763" s="99">
        <v>45101</v>
      </c>
      <c r="AA763" s="99">
        <v>45169</v>
      </c>
      <c r="AB763" s="42" t="s">
        <v>1119</v>
      </c>
      <c r="AC763" s="42"/>
      <c r="AD763" s="42"/>
      <c r="AE763" s="42" t="s">
        <v>734</v>
      </c>
      <c r="AF763" s="42" t="s">
        <v>734</v>
      </c>
      <c r="AG763" s="42"/>
      <c r="AH763" s="42" t="s">
        <v>734</v>
      </c>
      <c r="AI763" s="42" t="s">
        <v>734</v>
      </c>
      <c r="AJ763" s="42" t="s">
        <v>734</v>
      </c>
      <c r="AK763" s="42" t="s">
        <v>734</v>
      </c>
      <c r="AL763" s="42" t="s">
        <v>734</v>
      </c>
      <c r="AM763" s="42" t="s">
        <v>734</v>
      </c>
      <c r="AN763" s="42"/>
      <c r="AO763" s="42"/>
      <c r="AP763" s="42"/>
      <c r="AQ763" s="42"/>
      <c r="AR763" s="42"/>
      <c r="AS763" s="42"/>
      <c r="AT763" s="42"/>
      <c r="AU763" s="42"/>
      <c r="AV763" s="42"/>
      <c r="AW763" s="42"/>
      <c r="AX763" s="68">
        <v>67.5</v>
      </c>
      <c r="BA763" s="68"/>
      <c r="BB763" s="68"/>
      <c r="BD763" s="67">
        <f t="shared" si="266"/>
        <v>4522.5</v>
      </c>
      <c r="BE763" s="67"/>
      <c r="BF763" s="37"/>
      <c r="BG763" s="73">
        <v>1</v>
      </c>
      <c r="BH763" s="67">
        <f t="shared" si="263"/>
        <v>0</v>
      </c>
      <c r="BI763" s="67">
        <f t="shared" si="264"/>
        <v>0</v>
      </c>
      <c r="BJ763" s="70">
        <f t="shared" si="265"/>
        <v>0</v>
      </c>
      <c r="BN763" s="67">
        <f>IF((AX763+AY763+AZ763)&lt;20,(20-(AX763+AY763+AZ763)),0)</f>
        <v>0</v>
      </c>
      <c r="BO763" s="70">
        <f t="shared" si="267"/>
        <v>0</v>
      </c>
      <c r="BP763" s="37">
        <v>9</v>
      </c>
      <c r="BQ763" s="37">
        <v>0</v>
      </c>
      <c r="BR763" s="37">
        <v>0</v>
      </c>
      <c r="BS763" s="37">
        <v>0</v>
      </c>
      <c r="BT763" s="87">
        <f t="shared" si="268"/>
        <v>67.5</v>
      </c>
      <c r="BU763" s="87"/>
      <c r="BV763" s="87"/>
      <c r="BW763" s="87"/>
      <c r="BX763" s="87"/>
      <c r="BY763" s="87"/>
      <c r="BZ763" s="87"/>
      <c r="CA763" s="87"/>
      <c r="CB763" s="87"/>
      <c r="CC763" s="87"/>
      <c r="CD763" s="87"/>
      <c r="CF763" s="67">
        <f t="shared" si="269"/>
        <v>607.5</v>
      </c>
      <c r="CG763" s="67">
        <f t="shared" si="247"/>
        <v>0</v>
      </c>
      <c r="CH763" s="67">
        <f t="shared" si="262"/>
        <v>0</v>
      </c>
      <c r="CI763" s="67">
        <f t="shared" si="252"/>
        <v>0</v>
      </c>
      <c r="CJ763" s="37">
        <f t="shared" si="248"/>
        <v>243</v>
      </c>
      <c r="CK763" s="37">
        <f t="shared" si="249"/>
        <v>0</v>
      </c>
      <c r="CL763" s="37">
        <f t="shared" si="250"/>
        <v>0</v>
      </c>
      <c r="CM763" s="37">
        <f t="shared" si="251"/>
        <v>0</v>
      </c>
    </row>
    <row r="764" spans="2:91" ht="25.5">
      <c r="B764" s="156">
        <v>750</v>
      </c>
      <c r="C764" s="160">
        <v>611</v>
      </c>
      <c r="D764" s="160">
        <v>49</v>
      </c>
      <c r="E764" s="161">
        <v>0.27291666666666664</v>
      </c>
      <c r="F764" s="161">
        <v>0.29375000000000001</v>
      </c>
      <c r="G764" s="160" t="s">
        <v>252</v>
      </c>
      <c r="H764" s="160" t="s">
        <v>251</v>
      </c>
      <c r="I764" s="163">
        <v>14</v>
      </c>
      <c r="J764" s="164" t="s">
        <v>93</v>
      </c>
      <c r="K764" s="165">
        <v>55</v>
      </c>
      <c r="L764" s="166">
        <f t="shared" si="261"/>
        <v>770</v>
      </c>
      <c r="M764" s="167" t="s">
        <v>738</v>
      </c>
      <c r="N764" s="3" t="s">
        <v>911</v>
      </c>
      <c r="O764" s="150">
        <v>21</v>
      </c>
      <c r="P764" s="150" t="s">
        <v>910</v>
      </c>
      <c r="Q764" s="150">
        <v>24</v>
      </c>
      <c r="R764" s="221" t="s">
        <v>2077</v>
      </c>
      <c r="S764" s="221">
        <v>42</v>
      </c>
      <c r="T764" s="45">
        <v>6136</v>
      </c>
      <c r="U764" s="45" t="s">
        <v>1723</v>
      </c>
      <c r="V764" s="45">
        <v>6120</v>
      </c>
      <c r="W764" s="45" t="s">
        <v>1341</v>
      </c>
      <c r="X764" s="99">
        <v>44562</v>
      </c>
      <c r="Y764" s="99">
        <v>44815</v>
      </c>
      <c r="Z764" s="99">
        <v>45101</v>
      </c>
      <c r="AA764" s="99">
        <v>45169</v>
      </c>
      <c r="AB764" s="41" t="s">
        <v>1121</v>
      </c>
      <c r="AC764" s="41"/>
      <c r="AD764" s="42"/>
      <c r="AE764" s="42" t="s">
        <v>734</v>
      </c>
      <c r="AF764" s="42" t="s">
        <v>734</v>
      </c>
      <c r="AG764" s="42"/>
      <c r="AH764" s="42" t="s">
        <v>734</v>
      </c>
      <c r="AI764" s="42" t="s">
        <v>734</v>
      </c>
      <c r="AJ764" s="42" t="s">
        <v>734</v>
      </c>
      <c r="AK764" s="42" t="s">
        <v>734</v>
      </c>
      <c r="AL764" s="42" t="s">
        <v>734</v>
      </c>
      <c r="AM764" s="42"/>
      <c r="AN764" s="42"/>
      <c r="AO764" s="42"/>
      <c r="AP764" s="42"/>
      <c r="AQ764" s="42"/>
      <c r="AR764" s="42"/>
      <c r="AS764" s="42"/>
      <c r="AT764" s="42"/>
      <c r="AU764" s="42"/>
      <c r="AV764" s="42"/>
      <c r="AW764" s="42"/>
      <c r="AX764" s="68">
        <v>0</v>
      </c>
      <c r="BA764" s="68"/>
      <c r="BB764" s="68"/>
      <c r="BD764" s="67">
        <f t="shared" si="266"/>
        <v>0</v>
      </c>
      <c r="BE764" s="67"/>
      <c r="BF764" s="37"/>
      <c r="BG764" s="73">
        <v>1</v>
      </c>
      <c r="BH764" s="67">
        <f t="shared" si="263"/>
        <v>28</v>
      </c>
      <c r="BI764" s="67">
        <f t="shared" si="264"/>
        <v>0</v>
      </c>
      <c r="BJ764" s="67">
        <f t="shared" si="265"/>
        <v>1540</v>
      </c>
      <c r="BO764" s="70">
        <f t="shared" si="267"/>
        <v>0</v>
      </c>
      <c r="BP764" s="37">
        <v>7</v>
      </c>
      <c r="BQ764" s="37">
        <v>0</v>
      </c>
      <c r="BR764" s="37">
        <v>0</v>
      </c>
      <c r="BT764" s="87">
        <f t="shared" si="268"/>
        <v>28</v>
      </c>
      <c r="BU764" s="87"/>
      <c r="BV764" s="87"/>
      <c r="BW764" s="87"/>
      <c r="BX764" s="87"/>
      <c r="BY764" s="87"/>
      <c r="BZ764" s="87"/>
      <c r="CA764" s="87"/>
      <c r="CB764" s="87"/>
      <c r="CC764" s="87"/>
      <c r="CD764" s="87"/>
      <c r="CF764" s="67">
        <f t="shared" si="269"/>
        <v>196</v>
      </c>
      <c r="CG764" s="67">
        <f t="shared" ref="CG764:CG827" si="270">(BT764*BQ764)+(BX764*CD764)</f>
        <v>0</v>
      </c>
      <c r="CH764" s="67">
        <f t="shared" si="262"/>
        <v>0</v>
      </c>
      <c r="CI764" s="67">
        <f t="shared" si="252"/>
        <v>0</v>
      </c>
      <c r="CJ764" s="37">
        <f t="shared" si="248"/>
        <v>98</v>
      </c>
      <c r="CK764" s="37">
        <f t="shared" si="249"/>
        <v>0</v>
      </c>
      <c r="CL764" s="37">
        <f t="shared" si="250"/>
        <v>0</v>
      </c>
      <c r="CM764" s="37">
        <f t="shared" si="251"/>
        <v>0</v>
      </c>
    </row>
    <row r="765" spans="2:91">
      <c r="B765" s="156">
        <v>751</v>
      </c>
      <c r="C765" s="159">
        <v>611</v>
      </c>
      <c r="D765" s="169">
        <v>71</v>
      </c>
      <c r="E765" s="170">
        <v>0.28055555555555556</v>
      </c>
      <c r="F765" s="170">
        <v>0.30833333333333335</v>
      </c>
      <c r="G765" s="171" t="s">
        <v>402</v>
      </c>
      <c r="H765" s="171" t="s">
        <v>403</v>
      </c>
      <c r="I765" s="169">
        <v>26.5</v>
      </c>
      <c r="J765" s="172">
        <v>50</v>
      </c>
      <c r="K765" s="165">
        <v>33</v>
      </c>
      <c r="L765" s="166">
        <f t="shared" si="261"/>
        <v>874.5</v>
      </c>
      <c r="M765" s="167" t="s">
        <v>719</v>
      </c>
      <c r="N765" s="150" t="s">
        <v>899</v>
      </c>
      <c r="O765" s="150">
        <v>53</v>
      </c>
      <c r="P765" s="168" t="s">
        <v>1254</v>
      </c>
      <c r="Q765" s="168">
        <v>54</v>
      </c>
      <c r="R765" s="3" t="s">
        <v>1255</v>
      </c>
      <c r="S765" s="153">
        <v>53</v>
      </c>
      <c r="T765" s="45">
        <v>6131</v>
      </c>
      <c r="U765" s="45" t="s">
        <v>1724</v>
      </c>
      <c r="V765" s="45">
        <v>1</v>
      </c>
      <c r="W765" s="45" t="s">
        <v>1339</v>
      </c>
      <c r="X765" s="98">
        <v>44816</v>
      </c>
      <c r="Y765" s="98">
        <v>45086</v>
      </c>
      <c r="Z765" s="98"/>
      <c r="AA765" s="98"/>
      <c r="AB765" s="42" t="s">
        <v>1132</v>
      </c>
      <c r="AC765" s="42"/>
      <c r="AD765" s="42"/>
      <c r="AE765" s="42"/>
      <c r="AF765" s="42"/>
      <c r="AG765" s="42" t="s">
        <v>734</v>
      </c>
      <c r="AH765" s="42" t="s">
        <v>734</v>
      </c>
      <c r="AI765" s="42"/>
      <c r="AJ765" s="42"/>
      <c r="AK765" s="42"/>
      <c r="AL765" s="42"/>
      <c r="AM765" s="42"/>
      <c r="AN765" s="42"/>
      <c r="AO765" s="42"/>
      <c r="AP765" s="42"/>
      <c r="AQ765" s="42"/>
      <c r="AR765" s="42"/>
      <c r="AS765" s="42"/>
      <c r="AT765" s="42"/>
      <c r="AU765" s="42"/>
      <c r="AV765" s="42"/>
      <c r="AW765" s="42"/>
      <c r="BA765" s="38" t="s">
        <v>719</v>
      </c>
      <c r="BB765" s="38"/>
      <c r="BD765" s="67">
        <f t="shared" si="266"/>
        <v>0</v>
      </c>
      <c r="BF765" s="37"/>
      <c r="BG765" s="69">
        <v>2</v>
      </c>
      <c r="BI765" s="67"/>
      <c r="BJ765" s="37"/>
      <c r="BO765" s="70">
        <f t="shared" si="267"/>
        <v>0</v>
      </c>
      <c r="BP765" s="37">
        <v>3</v>
      </c>
      <c r="BQ765" s="37">
        <v>4</v>
      </c>
      <c r="BR765" s="37">
        <v>4</v>
      </c>
      <c r="BS765" s="37">
        <v>3</v>
      </c>
      <c r="BT765" s="87">
        <f t="shared" si="268"/>
        <v>0</v>
      </c>
      <c r="BU765" s="87"/>
      <c r="BV765" s="87"/>
      <c r="BW765" s="87"/>
      <c r="BX765" s="87"/>
      <c r="BY765" s="87"/>
      <c r="BZ765" s="87"/>
      <c r="CA765" s="87"/>
      <c r="CB765" s="87"/>
      <c r="CC765" s="87"/>
      <c r="CD765" s="87"/>
      <c r="CF765" s="67">
        <f t="shared" si="269"/>
        <v>0</v>
      </c>
      <c r="CG765" s="67">
        <f t="shared" si="270"/>
        <v>0</v>
      </c>
      <c r="CH765" s="67">
        <f t="shared" si="262"/>
        <v>0</v>
      </c>
      <c r="CI765" s="67">
        <f t="shared" si="252"/>
        <v>0</v>
      </c>
      <c r="CJ765" s="37">
        <f t="shared" si="248"/>
        <v>79.5</v>
      </c>
      <c r="CK765" s="37">
        <f t="shared" si="249"/>
        <v>106</v>
      </c>
      <c r="CL765" s="37">
        <f t="shared" si="250"/>
        <v>106</v>
      </c>
      <c r="CM765" s="37">
        <f t="shared" si="251"/>
        <v>79.5</v>
      </c>
    </row>
    <row r="766" spans="2:91" ht="33.75">
      <c r="B766" s="156">
        <v>752</v>
      </c>
      <c r="C766" s="160">
        <v>611</v>
      </c>
      <c r="D766" s="160">
        <v>229</v>
      </c>
      <c r="E766" s="161">
        <v>0.30555555555555552</v>
      </c>
      <c r="F766" s="161">
        <v>0.30833333333333335</v>
      </c>
      <c r="G766" s="160" t="s">
        <v>510</v>
      </c>
      <c r="H766" s="160" t="s">
        <v>425</v>
      </c>
      <c r="I766" s="163">
        <v>4</v>
      </c>
      <c r="J766" s="164" t="s">
        <v>93</v>
      </c>
      <c r="K766" s="165">
        <v>55</v>
      </c>
      <c r="L766" s="166">
        <f t="shared" si="261"/>
        <v>220</v>
      </c>
      <c r="M766" s="167" t="s">
        <v>737</v>
      </c>
      <c r="N766" s="154" t="s">
        <v>913</v>
      </c>
      <c r="O766" s="154">
        <v>24</v>
      </c>
      <c r="P766" s="150" t="s">
        <v>912</v>
      </c>
      <c r="Q766" s="150">
        <v>21</v>
      </c>
      <c r="R766" s="150" t="s">
        <v>914</v>
      </c>
      <c r="S766" s="154">
        <v>21</v>
      </c>
      <c r="T766" s="45" t="s">
        <v>1435</v>
      </c>
      <c r="U766" s="45" t="s">
        <v>1436</v>
      </c>
      <c r="V766" s="45">
        <v>954</v>
      </c>
      <c r="W766" s="45" t="s">
        <v>1400</v>
      </c>
      <c r="X766" s="99">
        <v>44562</v>
      </c>
      <c r="Y766" s="99">
        <v>44815</v>
      </c>
      <c r="Z766" s="99">
        <v>45101</v>
      </c>
      <c r="AA766" s="99">
        <v>45169</v>
      </c>
      <c r="AB766" s="41" t="s">
        <v>1121</v>
      </c>
      <c r="AC766" s="41"/>
      <c r="AD766" s="42"/>
      <c r="AE766" s="42" t="s">
        <v>734</v>
      </c>
      <c r="AF766" s="42" t="s">
        <v>734</v>
      </c>
      <c r="AG766" s="42"/>
      <c r="AH766" s="42" t="s">
        <v>734</v>
      </c>
      <c r="AI766" s="42" t="s">
        <v>734</v>
      </c>
      <c r="AJ766" s="42" t="s">
        <v>734</v>
      </c>
      <c r="AK766" s="42" t="s">
        <v>734</v>
      </c>
      <c r="AL766" s="42" t="s">
        <v>734</v>
      </c>
      <c r="AM766" s="42"/>
      <c r="AN766" s="42"/>
      <c r="AO766" s="42"/>
      <c r="AP766" s="42"/>
      <c r="AQ766" s="42"/>
      <c r="AR766" s="42"/>
      <c r="AS766" s="42"/>
      <c r="AT766" s="42"/>
      <c r="AU766" s="42"/>
      <c r="AV766" s="42"/>
      <c r="AW766" s="42"/>
      <c r="AX766" s="68">
        <v>12</v>
      </c>
      <c r="AY766" s="68"/>
      <c r="BA766" s="37"/>
      <c r="BB766" s="37"/>
      <c r="BD766" s="67">
        <f t="shared" si="266"/>
        <v>660</v>
      </c>
      <c r="BE766" s="67"/>
      <c r="BF766" s="37"/>
      <c r="BG766" s="73">
        <v>1</v>
      </c>
      <c r="BH766" s="67">
        <f>IF(AND((AX766/I766)&lt;2,BG766=1),(I766*2)-AX766,0)</f>
        <v>0</v>
      </c>
      <c r="BI766" s="67">
        <f>IF(AND((AX766/I766)&lt;3,BG766=2),(I766*3)-AX766,0)</f>
        <v>0</v>
      </c>
      <c r="BJ766" s="70">
        <f>(BH766+BI766)*K766</f>
        <v>0</v>
      </c>
      <c r="BN766" s="37"/>
      <c r="BO766" s="70">
        <f t="shared" si="267"/>
        <v>0</v>
      </c>
      <c r="BP766" s="37">
        <v>7</v>
      </c>
      <c r="BQ766" s="37">
        <v>0</v>
      </c>
      <c r="BR766" s="37">
        <v>0</v>
      </c>
      <c r="BT766" s="87">
        <f t="shared" si="268"/>
        <v>12</v>
      </c>
      <c r="BU766" s="87"/>
      <c r="BV766" s="87"/>
      <c r="BW766" s="87"/>
      <c r="BX766" s="87"/>
      <c r="BY766" s="87"/>
      <c r="BZ766" s="87"/>
      <c r="CA766" s="87"/>
      <c r="CB766" s="87"/>
      <c r="CC766" s="87"/>
      <c r="CD766" s="87"/>
      <c r="CF766" s="67">
        <f t="shared" si="269"/>
        <v>84</v>
      </c>
      <c r="CG766" s="67">
        <f t="shared" si="270"/>
        <v>0</v>
      </c>
      <c r="CH766" s="67">
        <f t="shared" si="262"/>
        <v>0</v>
      </c>
      <c r="CI766" s="67">
        <f t="shared" si="252"/>
        <v>0</v>
      </c>
      <c r="CJ766" s="37">
        <f t="shared" si="248"/>
        <v>28</v>
      </c>
      <c r="CK766" s="37">
        <f t="shared" si="249"/>
        <v>0</v>
      </c>
      <c r="CL766" s="37">
        <f t="shared" si="250"/>
        <v>0</v>
      </c>
      <c r="CM766" s="37">
        <f t="shared" si="251"/>
        <v>0</v>
      </c>
    </row>
    <row r="767" spans="2:91" ht="25.5">
      <c r="B767" s="156">
        <v>753</v>
      </c>
      <c r="C767" s="160">
        <v>611</v>
      </c>
      <c r="D767" s="160">
        <v>620</v>
      </c>
      <c r="E767" s="161">
        <v>0.54166666666666663</v>
      </c>
      <c r="F767" s="161">
        <v>0.56944444444444442</v>
      </c>
      <c r="G767" s="160" t="s">
        <v>480</v>
      </c>
      <c r="H767" s="160" t="s">
        <v>97</v>
      </c>
      <c r="I767" s="163">
        <v>21</v>
      </c>
      <c r="J767" s="164" t="s">
        <v>93</v>
      </c>
      <c r="K767" s="165">
        <v>208</v>
      </c>
      <c r="L767" s="166">
        <f t="shared" si="261"/>
        <v>4368</v>
      </c>
      <c r="M767" s="167" t="s">
        <v>750</v>
      </c>
      <c r="N767" s="154" t="s">
        <v>863</v>
      </c>
      <c r="O767" s="154">
        <v>23</v>
      </c>
      <c r="P767" s="154" t="s">
        <v>1294</v>
      </c>
      <c r="Q767" s="154">
        <v>21</v>
      </c>
      <c r="R767" s="154" t="s">
        <v>1269</v>
      </c>
      <c r="S767" s="154">
        <v>37</v>
      </c>
      <c r="T767" s="45">
        <v>6140</v>
      </c>
      <c r="U767" s="45" t="s">
        <v>1725</v>
      </c>
      <c r="V767" s="45" t="s">
        <v>1525</v>
      </c>
      <c r="W767" s="45" t="s">
        <v>1526</v>
      </c>
      <c r="X767" s="98">
        <v>44816</v>
      </c>
      <c r="Y767" s="98">
        <v>45086</v>
      </c>
      <c r="Z767" s="98"/>
      <c r="AA767" s="98"/>
      <c r="AB767" s="41" t="s">
        <v>1118</v>
      </c>
      <c r="AC767" s="41"/>
      <c r="AD767" s="42"/>
      <c r="AE767" s="42"/>
      <c r="AF767" s="42"/>
      <c r="AG767" s="42" t="s">
        <v>734</v>
      </c>
      <c r="AH767" s="42" t="s">
        <v>734</v>
      </c>
      <c r="AI767" s="42" t="s">
        <v>734</v>
      </c>
      <c r="AJ767" s="42" t="s">
        <v>734</v>
      </c>
      <c r="AK767" s="42" t="s">
        <v>734</v>
      </c>
      <c r="AL767" s="42" t="s">
        <v>734</v>
      </c>
      <c r="AM767" s="42" t="s">
        <v>734</v>
      </c>
      <c r="AN767" s="42"/>
      <c r="AO767" s="42"/>
      <c r="AP767" s="42"/>
      <c r="AQ767" s="42"/>
      <c r="AR767" s="42"/>
      <c r="AS767" s="42"/>
      <c r="AT767" s="42"/>
      <c r="AU767" s="42"/>
      <c r="AV767" s="42"/>
      <c r="AW767" s="42"/>
      <c r="AX767" s="68">
        <v>63</v>
      </c>
      <c r="AY767" s="68"/>
      <c r="BA767" s="37"/>
      <c r="BB767" s="37"/>
      <c r="BD767" s="67">
        <f t="shared" si="266"/>
        <v>13104</v>
      </c>
      <c r="BE767" s="67"/>
      <c r="BF767" s="37"/>
      <c r="BG767" s="73">
        <v>1</v>
      </c>
      <c r="BH767" s="67">
        <f>IF(AND((AX767/I767)&lt;2,BG767=1),(I767*2)-AX767,0)</f>
        <v>0</v>
      </c>
      <c r="BI767" s="67">
        <f>IF(AND((AX767/I767)&lt;3,BG767=2),(I767*3)-AX767,0)</f>
        <v>0</v>
      </c>
      <c r="BJ767" s="70">
        <f>(BH767+BI767)*K767</f>
        <v>0</v>
      </c>
      <c r="BN767" s="37"/>
      <c r="BO767" s="70">
        <f t="shared" si="267"/>
        <v>0</v>
      </c>
      <c r="BP767" s="37">
        <v>17</v>
      </c>
      <c r="BQ767" s="37">
        <v>25</v>
      </c>
      <c r="BR767" s="37">
        <v>25</v>
      </c>
      <c r="BS767" s="37">
        <v>18</v>
      </c>
      <c r="BT767" s="87">
        <f t="shared" si="268"/>
        <v>63</v>
      </c>
      <c r="BU767" s="87"/>
      <c r="BV767" s="87"/>
      <c r="BW767" s="87"/>
      <c r="BX767" s="87"/>
      <c r="BY767" s="87"/>
      <c r="BZ767" s="87"/>
      <c r="CA767" s="87"/>
      <c r="CB767" s="87"/>
      <c r="CC767" s="87"/>
      <c r="CD767" s="87"/>
      <c r="CF767" s="67">
        <f t="shared" si="269"/>
        <v>1071</v>
      </c>
      <c r="CG767" s="67">
        <f t="shared" si="270"/>
        <v>1575</v>
      </c>
      <c r="CH767" s="67">
        <f t="shared" si="262"/>
        <v>1575</v>
      </c>
      <c r="CI767" s="67">
        <f t="shared" si="252"/>
        <v>1134</v>
      </c>
      <c r="CJ767" s="37">
        <f t="shared" si="248"/>
        <v>357</v>
      </c>
      <c r="CK767" s="37">
        <f t="shared" si="249"/>
        <v>525</v>
      </c>
      <c r="CL767" s="37">
        <f t="shared" si="250"/>
        <v>525</v>
      </c>
      <c r="CM767" s="37">
        <f t="shared" si="251"/>
        <v>378</v>
      </c>
    </row>
    <row r="768" spans="2:91" ht="25.5">
      <c r="B768" s="156">
        <v>754</v>
      </c>
      <c r="C768" s="160">
        <v>611</v>
      </c>
      <c r="D768" s="160">
        <v>60</v>
      </c>
      <c r="E768" s="161">
        <v>0.54166666666666663</v>
      </c>
      <c r="F768" s="161">
        <v>0.58472222222222225</v>
      </c>
      <c r="G768" s="160" t="s">
        <v>522</v>
      </c>
      <c r="H768" s="160" t="s">
        <v>103</v>
      </c>
      <c r="I768" s="163">
        <v>30</v>
      </c>
      <c r="J768" s="164" t="s">
        <v>523</v>
      </c>
      <c r="K768" s="165">
        <v>174</v>
      </c>
      <c r="L768" s="166">
        <f t="shared" si="261"/>
        <v>5220</v>
      </c>
      <c r="M768" s="167" t="s">
        <v>750</v>
      </c>
      <c r="N768" s="154" t="s">
        <v>864</v>
      </c>
      <c r="O768" s="154">
        <v>55</v>
      </c>
      <c r="P768" s="154" t="s">
        <v>1268</v>
      </c>
      <c r="Q768" s="154">
        <v>57</v>
      </c>
      <c r="R768" s="154" t="s">
        <v>1269</v>
      </c>
      <c r="S768" s="154">
        <v>37</v>
      </c>
      <c r="T768" s="45" t="s">
        <v>1480</v>
      </c>
      <c r="U768" s="45" t="s">
        <v>1481</v>
      </c>
      <c r="V768" s="45" t="s">
        <v>1525</v>
      </c>
      <c r="W768" s="45" t="s">
        <v>1526</v>
      </c>
      <c r="X768" s="98">
        <v>44816</v>
      </c>
      <c r="Y768" s="98">
        <v>45086</v>
      </c>
      <c r="Z768" s="98"/>
      <c r="AA768" s="98"/>
      <c r="AB768" s="41" t="s">
        <v>1114</v>
      </c>
      <c r="AC768" s="41"/>
      <c r="AD768" s="42"/>
      <c r="AE768" s="42"/>
      <c r="AF768" s="42"/>
      <c r="AG768" s="42" t="s">
        <v>734</v>
      </c>
      <c r="AH768" s="42" t="s">
        <v>734</v>
      </c>
      <c r="AI768" s="42" t="s">
        <v>734</v>
      </c>
      <c r="AJ768" s="42" t="s">
        <v>734</v>
      </c>
      <c r="AK768" s="42" t="s">
        <v>734</v>
      </c>
      <c r="AL768" s="42" t="s">
        <v>734</v>
      </c>
      <c r="AM768" s="42"/>
      <c r="AN768" s="42"/>
      <c r="AO768" s="42"/>
      <c r="AP768" s="42"/>
      <c r="AQ768" s="42"/>
      <c r="AR768" s="42"/>
      <c r="AS768" s="42"/>
      <c r="AT768" s="42"/>
      <c r="AU768" s="42"/>
      <c r="AV768" s="42"/>
      <c r="AW768" s="42"/>
      <c r="AX768" s="68">
        <v>90</v>
      </c>
      <c r="AY768" s="68"/>
      <c r="BA768" s="37"/>
      <c r="BB768" s="37"/>
      <c r="BD768" s="67">
        <f t="shared" si="266"/>
        <v>15660</v>
      </c>
      <c r="BE768" s="67"/>
      <c r="BF768" s="37"/>
      <c r="BG768" s="69">
        <v>2</v>
      </c>
      <c r="BH768" s="67">
        <f>IF(AND((AX768/I768)&lt;2,BG768=1),(I768*2)-AX768,0)</f>
        <v>0</v>
      </c>
      <c r="BI768" s="67">
        <f>IF(AND((AX768/I768)&lt;3,BG768=2),(I768*3)-AX768,0)</f>
        <v>0</v>
      </c>
      <c r="BJ768" s="70">
        <f>(BH768+BI768)*K768</f>
        <v>0</v>
      </c>
      <c r="BN768" s="37"/>
      <c r="BO768" s="70">
        <f t="shared" si="267"/>
        <v>0</v>
      </c>
      <c r="BP768" s="37">
        <v>15</v>
      </c>
      <c r="BQ768" s="37">
        <v>20</v>
      </c>
      <c r="BR768" s="37">
        <v>21</v>
      </c>
      <c r="BS768" s="37">
        <v>15</v>
      </c>
      <c r="BT768" s="87">
        <f t="shared" si="268"/>
        <v>90</v>
      </c>
      <c r="BU768" s="87"/>
      <c r="BV768" s="87"/>
      <c r="BW768" s="87"/>
      <c r="BX768" s="87"/>
      <c r="BY768" s="87"/>
      <c r="BZ768" s="87"/>
      <c r="CA768" s="87"/>
      <c r="CB768" s="87"/>
      <c r="CC768" s="87"/>
      <c r="CD768" s="87"/>
      <c r="CF768" s="67">
        <f t="shared" si="269"/>
        <v>1350</v>
      </c>
      <c r="CG768" s="67">
        <f t="shared" si="270"/>
        <v>1800</v>
      </c>
      <c r="CH768" s="67">
        <f t="shared" si="262"/>
        <v>1890</v>
      </c>
      <c r="CI768" s="67">
        <f t="shared" si="252"/>
        <v>1350</v>
      </c>
      <c r="CJ768" s="37">
        <f t="shared" si="248"/>
        <v>450</v>
      </c>
      <c r="CK768" s="37">
        <f t="shared" si="249"/>
        <v>600</v>
      </c>
      <c r="CL768" s="37">
        <f t="shared" si="250"/>
        <v>630</v>
      </c>
      <c r="CM768" s="37">
        <f t="shared" si="251"/>
        <v>450</v>
      </c>
    </row>
    <row r="769" spans="1:91" ht="51">
      <c r="B769" s="156">
        <v>755</v>
      </c>
      <c r="C769" s="174">
        <v>132</v>
      </c>
      <c r="D769" s="164">
        <v>641</v>
      </c>
      <c r="E769" s="161">
        <v>0.55833333333333335</v>
      </c>
      <c r="F769" s="161">
        <v>0.56180555555555556</v>
      </c>
      <c r="G769" s="160" t="s">
        <v>532</v>
      </c>
      <c r="H769" s="160" t="s">
        <v>103</v>
      </c>
      <c r="I769" s="163">
        <v>3</v>
      </c>
      <c r="J769" s="164" t="s">
        <v>254</v>
      </c>
      <c r="K769" s="165">
        <v>174</v>
      </c>
      <c r="L769" s="166">
        <f t="shared" si="261"/>
        <v>522</v>
      </c>
      <c r="M769" s="167" t="s">
        <v>724</v>
      </c>
      <c r="N769" s="150" t="s">
        <v>985</v>
      </c>
      <c r="O769" s="184">
        <v>46</v>
      </c>
      <c r="P769" s="150" t="s">
        <v>902</v>
      </c>
      <c r="Q769" s="184">
        <v>47</v>
      </c>
      <c r="S769" s="184"/>
      <c r="T769" s="45" t="s">
        <v>1435</v>
      </c>
      <c r="U769" s="45" t="s">
        <v>1436</v>
      </c>
      <c r="V769" s="45" t="s">
        <v>1480</v>
      </c>
      <c r="W769" s="45" t="s">
        <v>1481</v>
      </c>
      <c r="X769" s="98">
        <v>44816</v>
      </c>
      <c r="Y769" s="98">
        <v>45086</v>
      </c>
      <c r="Z769" s="98"/>
      <c r="AA769" s="98"/>
      <c r="AB769" s="41" t="s">
        <v>1114</v>
      </c>
      <c r="AC769" s="41"/>
      <c r="AD769" s="42"/>
      <c r="AE769" s="42"/>
      <c r="AF769" s="42"/>
      <c r="AG769" s="42" t="s">
        <v>734</v>
      </c>
      <c r="AH769" s="42" t="s">
        <v>734</v>
      </c>
      <c r="AI769" s="42" t="s">
        <v>734</v>
      </c>
      <c r="AJ769" s="42" t="s">
        <v>734</v>
      </c>
      <c r="AK769" s="42" t="s">
        <v>734</v>
      </c>
      <c r="AL769" s="42" t="s">
        <v>734</v>
      </c>
      <c r="AM769" s="42"/>
      <c r="AN769" s="42"/>
      <c r="AO769" s="42"/>
      <c r="AP769" s="42"/>
      <c r="AQ769" s="42"/>
      <c r="AR769" s="42"/>
      <c r="AS769" s="42"/>
      <c r="AT769" s="42"/>
      <c r="AU769" s="42"/>
      <c r="AV769" s="42"/>
      <c r="AW769" s="42"/>
      <c r="AX769" s="68">
        <v>9</v>
      </c>
      <c r="AY769" s="68"/>
      <c r="BA769" s="37"/>
      <c r="BB769" s="37"/>
      <c r="BD769" s="67">
        <f t="shared" si="266"/>
        <v>1566</v>
      </c>
      <c r="BE769" s="67"/>
      <c r="BF769" s="37"/>
      <c r="BG769" s="69">
        <v>2</v>
      </c>
      <c r="BH769" s="67">
        <f>IF(AND((AX769/I769)&lt;2,BG769=1),(I769*2)-AX769,0)</f>
        <v>0</v>
      </c>
      <c r="BI769" s="67">
        <f>IF(AND((AX769/I769)&lt;3,BG769=2),(I769*3)-AX769,0)</f>
        <v>0</v>
      </c>
      <c r="BJ769" s="70">
        <f>(BH769+BI769)*K769</f>
        <v>0</v>
      </c>
      <c r="BN769" s="37"/>
      <c r="BO769" s="70">
        <f t="shared" si="267"/>
        <v>0</v>
      </c>
      <c r="BP769" s="37">
        <v>15</v>
      </c>
      <c r="BQ769" s="37">
        <v>20</v>
      </c>
      <c r="BR769" s="37">
        <v>21</v>
      </c>
      <c r="BS769" s="37">
        <v>15</v>
      </c>
      <c r="BT769" s="87">
        <f t="shared" si="268"/>
        <v>9</v>
      </c>
      <c r="BU769" s="87"/>
      <c r="BV769" s="87"/>
      <c r="BW769" s="87"/>
      <c r="BX769" s="87"/>
      <c r="BY769" s="87"/>
      <c r="BZ769" s="87"/>
      <c r="CA769" s="87"/>
      <c r="CB769" s="87"/>
      <c r="CC769" s="87"/>
      <c r="CD769" s="87"/>
      <c r="CF769" s="67">
        <f t="shared" si="269"/>
        <v>135</v>
      </c>
      <c r="CG769" s="67">
        <f t="shared" si="270"/>
        <v>180</v>
      </c>
      <c r="CH769" s="67">
        <f t="shared" si="262"/>
        <v>189</v>
      </c>
      <c r="CI769" s="67">
        <f t="shared" si="252"/>
        <v>135</v>
      </c>
      <c r="CJ769" s="37">
        <f t="shared" si="248"/>
        <v>45</v>
      </c>
      <c r="CK769" s="37">
        <f t="shared" si="249"/>
        <v>60</v>
      </c>
      <c r="CL769" s="37">
        <f t="shared" si="250"/>
        <v>63</v>
      </c>
      <c r="CM769" s="37">
        <f t="shared" si="251"/>
        <v>45</v>
      </c>
    </row>
    <row r="770" spans="1:91" ht="25.5">
      <c r="B770" s="156">
        <v>756</v>
      </c>
      <c r="C770" s="160">
        <v>611</v>
      </c>
      <c r="D770" s="160">
        <v>577</v>
      </c>
      <c r="E770" s="161">
        <v>0.69444444444444453</v>
      </c>
      <c r="F770" s="161">
        <v>0.72569444444444453</v>
      </c>
      <c r="G770" s="160" t="s">
        <v>442</v>
      </c>
      <c r="H770" s="160" t="s">
        <v>203</v>
      </c>
      <c r="I770" s="163">
        <v>23</v>
      </c>
      <c r="J770" s="164" t="s">
        <v>101</v>
      </c>
      <c r="K770" s="165">
        <v>202</v>
      </c>
      <c r="L770" s="166">
        <f t="shared" si="261"/>
        <v>4646</v>
      </c>
      <c r="M770" s="167" t="s">
        <v>750</v>
      </c>
      <c r="N770" s="154" t="s">
        <v>865</v>
      </c>
      <c r="O770" s="154">
        <v>46</v>
      </c>
      <c r="P770" s="154" t="s">
        <v>1294</v>
      </c>
      <c r="Q770" s="154">
        <v>21</v>
      </c>
      <c r="R770" s="154" t="s">
        <v>1269</v>
      </c>
      <c r="S770" s="154">
        <v>37</v>
      </c>
      <c r="T770" s="45" t="s">
        <v>1525</v>
      </c>
      <c r="U770" s="45" t="s">
        <v>1526</v>
      </c>
      <c r="V770" s="45">
        <v>6120</v>
      </c>
      <c r="W770" s="45" t="s">
        <v>1341</v>
      </c>
      <c r="X770" s="99">
        <v>44816</v>
      </c>
      <c r="Y770" s="99">
        <v>45100</v>
      </c>
      <c r="Z770" s="99"/>
      <c r="AA770" s="99"/>
      <c r="AB770" s="41" t="s">
        <v>1120</v>
      </c>
      <c r="AC770" s="41"/>
      <c r="AD770" s="42" t="s">
        <v>734</v>
      </c>
      <c r="AE770" s="42"/>
      <c r="AF770" s="42" t="s">
        <v>734</v>
      </c>
      <c r="AG770" s="42"/>
      <c r="AH770" s="42" t="s">
        <v>734</v>
      </c>
      <c r="AI770" s="42" t="s">
        <v>734</v>
      </c>
      <c r="AJ770" s="42" t="s">
        <v>734</v>
      </c>
      <c r="AK770" s="42" t="s">
        <v>734</v>
      </c>
      <c r="AL770" s="42" t="s">
        <v>734</v>
      </c>
      <c r="AM770" s="42"/>
      <c r="AN770" s="42"/>
      <c r="AO770" s="42"/>
      <c r="AP770" s="42"/>
      <c r="AQ770" s="42"/>
      <c r="AR770" s="42"/>
      <c r="AS770" s="42"/>
      <c r="AT770" s="42"/>
      <c r="AU770" s="42"/>
      <c r="AV770" s="42"/>
      <c r="AW770" s="42"/>
      <c r="AX770" s="68">
        <v>69</v>
      </c>
      <c r="AY770" s="68"/>
      <c r="BA770" s="37"/>
      <c r="BB770" s="37"/>
      <c r="BD770" s="67">
        <f t="shared" si="266"/>
        <v>13938</v>
      </c>
      <c r="BE770" s="67"/>
      <c r="BF770" s="37"/>
      <c r="BG770" s="69">
        <v>2</v>
      </c>
      <c r="BH770" s="67">
        <f>IF(AND((AX770/I770)&lt;2,BG770=1),(I770*2)-AX770,0)</f>
        <v>0</v>
      </c>
      <c r="BI770" s="67">
        <f>IF(AND((AX770/I770)&lt;3,BG770=2),(I770*3)-AX770,0)</f>
        <v>0</v>
      </c>
      <c r="BJ770" s="70">
        <f>(BH770+BI770)*K770</f>
        <v>0</v>
      </c>
      <c r="BN770" s="37"/>
      <c r="BO770" s="70">
        <f t="shared" si="267"/>
        <v>0</v>
      </c>
      <c r="BP770" s="37">
        <v>15</v>
      </c>
      <c r="BQ770" s="37">
        <v>21</v>
      </c>
      <c r="BR770" s="37">
        <v>21</v>
      </c>
      <c r="BS770" s="37">
        <v>20</v>
      </c>
      <c r="BT770" s="87">
        <f t="shared" si="268"/>
        <v>69</v>
      </c>
      <c r="BU770" s="87"/>
      <c r="BV770" s="87"/>
      <c r="BW770" s="87"/>
      <c r="BX770" s="87"/>
      <c r="BY770" s="87"/>
      <c r="BZ770" s="87"/>
      <c r="CA770" s="87"/>
      <c r="CB770" s="87"/>
      <c r="CC770" s="87"/>
      <c r="CD770" s="87"/>
      <c r="CF770" s="67">
        <f t="shared" si="269"/>
        <v>1035</v>
      </c>
      <c r="CG770" s="67">
        <f t="shared" si="270"/>
        <v>1449</v>
      </c>
      <c r="CH770" s="67">
        <f t="shared" si="262"/>
        <v>1449</v>
      </c>
      <c r="CI770" s="67">
        <f t="shared" si="252"/>
        <v>1380</v>
      </c>
      <c r="CJ770" s="37">
        <f t="shared" si="248"/>
        <v>345</v>
      </c>
      <c r="CK770" s="37">
        <f t="shared" si="249"/>
        <v>483</v>
      </c>
      <c r="CL770" s="37">
        <f t="shared" si="250"/>
        <v>483</v>
      </c>
      <c r="CM770" s="37">
        <f t="shared" si="251"/>
        <v>460</v>
      </c>
    </row>
    <row r="771" spans="1:91" ht="25.5">
      <c r="B771" s="156">
        <v>757</v>
      </c>
      <c r="C771" s="169">
        <v>611</v>
      </c>
      <c r="D771" s="169">
        <v>95</v>
      </c>
      <c r="E771" s="170">
        <v>0.73611111111111116</v>
      </c>
      <c r="F771" s="170">
        <v>0.7715277777777777</v>
      </c>
      <c r="G771" s="171" t="s">
        <v>705</v>
      </c>
      <c r="H771" s="160" t="s">
        <v>103</v>
      </c>
      <c r="I771" s="169">
        <v>27</v>
      </c>
      <c r="J771" s="172">
        <v>30</v>
      </c>
      <c r="K771" s="165">
        <v>174</v>
      </c>
      <c r="L771" s="166">
        <f t="shared" si="261"/>
        <v>4698</v>
      </c>
      <c r="M771" s="167" t="s">
        <v>750</v>
      </c>
      <c r="N771" s="154" t="s">
        <v>864</v>
      </c>
      <c r="O771" s="154">
        <v>55</v>
      </c>
      <c r="P771" s="154" t="s">
        <v>1268</v>
      </c>
      <c r="Q771" s="154">
        <v>57</v>
      </c>
      <c r="R771" s="154" t="s">
        <v>1269</v>
      </c>
      <c r="S771" s="154">
        <v>37</v>
      </c>
      <c r="T771" s="45" t="s">
        <v>1525</v>
      </c>
      <c r="U771" s="45" t="s">
        <v>1526</v>
      </c>
      <c r="V771" s="45" t="s">
        <v>1435</v>
      </c>
      <c r="W771" s="45" t="s">
        <v>1436</v>
      </c>
      <c r="X771" s="98">
        <v>44816</v>
      </c>
      <c r="Y771" s="98">
        <v>45086</v>
      </c>
      <c r="Z771" s="98"/>
      <c r="AA771" s="98"/>
      <c r="AB771" s="41" t="s">
        <v>1114</v>
      </c>
      <c r="AC771" s="41"/>
      <c r="AD771" s="42"/>
      <c r="AE771" s="42"/>
      <c r="AF771" s="42"/>
      <c r="AG771" s="42" t="s">
        <v>734</v>
      </c>
      <c r="AH771" s="42" t="s">
        <v>734</v>
      </c>
      <c r="AI771" s="42" t="s">
        <v>734</v>
      </c>
      <c r="AJ771" s="42" t="s">
        <v>734</v>
      </c>
      <c r="AK771" s="42" t="s">
        <v>734</v>
      </c>
      <c r="AL771" s="42" t="s">
        <v>734</v>
      </c>
      <c r="AM771" s="42"/>
      <c r="AN771" s="42"/>
      <c r="AO771" s="42"/>
      <c r="AP771" s="42"/>
      <c r="AQ771" s="42"/>
      <c r="AR771" s="42"/>
      <c r="AS771" s="42"/>
      <c r="AT771" s="42"/>
      <c r="AU771" s="42"/>
      <c r="AV771" s="42"/>
      <c r="AW771" s="42"/>
      <c r="AY771" s="67">
        <f>2.2*27</f>
        <v>59.400000000000006</v>
      </c>
      <c r="BA771" s="37"/>
      <c r="BB771" s="37"/>
      <c r="BD771" s="67">
        <f t="shared" si="266"/>
        <v>0</v>
      </c>
      <c r="BE771" s="67">
        <f>AY771*K771</f>
        <v>10335.6</v>
      </c>
      <c r="BF771" s="37"/>
      <c r="BG771" s="73">
        <v>1</v>
      </c>
      <c r="BI771" s="67"/>
      <c r="BJ771" s="37"/>
      <c r="BK771" s="67">
        <f>IF(AND((AY771/I771)&lt;2,BG771=1),(I771*2)-AY771,0)</f>
        <v>0</v>
      </c>
      <c r="BL771" s="67">
        <f>IF(AND((AY771/I771)&lt;3,BG771=2),(I771*3)-AY771,0)</f>
        <v>0</v>
      </c>
      <c r="BM771" s="70">
        <f>(BK771+BL771)*K771</f>
        <v>0</v>
      </c>
      <c r="BN771" s="37"/>
      <c r="BO771" s="70">
        <f t="shared" si="267"/>
        <v>0</v>
      </c>
      <c r="BP771" s="37">
        <v>15</v>
      </c>
      <c r="BQ771" s="37">
        <v>20</v>
      </c>
      <c r="BR771" s="37">
        <v>21</v>
      </c>
      <c r="BS771" s="37">
        <v>15</v>
      </c>
      <c r="BT771" s="87">
        <f t="shared" si="268"/>
        <v>59.400000000000006</v>
      </c>
      <c r="BU771" s="87"/>
      <c r="BV771" s="87"/>
      <c r="BW771" s="87"/>
      <c r="BX771" s="87"/>
      <c r="BY771" s="87"/>
      <c r="BZ771" s="87"/>
      <c r="CA771" s="87"/>
      <c r="CB771" s="87"/>
      <c r="CC771" s="87"/>
      <c r="CD771" s="87"/>
      <c r="CF771" s="67">
        <f t="shared" si="269"/>
        <v>891.00000000000011</v>
      </c>
      <c r="CG771" s="67">
        <f t="shared" si="270"/>
        <v>1188</v>
      </c>
      <c r="CH771" s="67">
        <f t="shared" si="262"/>
        <v>1247.4000000000001</v>
      </c>
      <c r="CI771" s="67">
        <f t="shared" si="252"/>
        <v>891.00000000000011</v>
      </c>
      <c r="CJ771" s="37">
        <f t="shared" ref="CJ771:CJ834" si="271">BP771*I771</f>
        <v>405</v>
      </c>
      <c r="CK771" s="37">
        <f t="shared" ref="CK771:CK834" si="272">BQ771*I771</f>
        <v>540</v>
      </c>
      <c r="CL771" s="37">
        <f t="shared" ref="CL771:CL834" si="273">BR771*I771</f>
        <v>567</v>
      </c>
      <c r="CM771" s="37">
        <f t="shared" ref="CM771:CM834" si="274">BS771*I771</f>
        <v>405</v>
      </c>
    </row>
    <row r="772" spans="1:91" ht="33.75">
      <c r="B772" s="156">
        <v>758</v>
      </c>
      <c r="C772" s="169">
        <v>611</v>
      </c>
      <c r="D772" s="169">
        <v>92</v>
      </c>
      <c r="E772" s="170">
        <v>0.74722222222222223</v>
      </c>
      <c r="F772" s="176">
        <v>0.76458333333333339</v>
      </c>
      <c r="G772" s="171" t="s">
        <v>16</v>
      </c>
      <c r="H772" s="160" t="s">
        <v>103</v>
      </c>
      <c r="I772" s="169">
        <v>14</v>
      </c>
      <c r="J772" s="172">
        <v>19</v>
      </c>
      <c r="K772" s="165">
        <v>174</v>
      </c>
      <c r="L772" s="166">
        <f t="shared" si="261"/>
        <v>2436</v>
      </c>
      <c r="M772" s="167" t="s">
        <v>750</v>
      </c>
      <c r="N772" s="154" t="s">
        <v>865</v>
      </c>
      <c r="O772" s="154">
        <v>46</v>
      </c>
      <c r="P772" s="154" t="s">
        <v>1295</v>
      </c>
      <c r="Q772" s="154">
        <v>21</v>
      </c>
      <c r="R772" s="154" t="s">
        <v>1269</v>
      </c>
      <c r="S772" s="154">
        <v>37</v>
      </c>
      <c r="T772" s="45">
        <v>6120</v>
      </c>
      <c r="U772" s="45" t="s">
        <v>1341</v>
      </c>
      <c r="V772" s="45">
        <v>6136</v>
      </c>
      <c r="W772" s="45" t="s">
        <v>1723</v>
      </c>
      <c r="X772" s="98">
        <v>44816</v>
      </c>
      <c r="Y772" s="98">
        <v>45086</v>
      </c>
      <c r="Z772" s="98"/>
      <c r="AA772" s="98"/>
      <c r="AB772" s="41" t="s">
        <v>1114</v>
      </c>
      <c r="AC772" s="41"/>
      <c r="AD772" s="42"/>
      <c r="AE772" s="42"/>
      <c r="AF772" s="42"/>
      <c r="AG772" s="42" t="s">
        <v>734</v>
      </c>
      <c r="AH772" s="42" t="s">
        <v>734</v>
      </c>
      <c r="AI772" s="42" t="s">
        <v>734</v>
      </c>
      <c r="AJ772" s="42" t="s">
        <v>734</v>
      </c>
      <c r="AK772" s="42" t="s">
        <v>734</v>
      </c>
      <c r="AL772" s="42" t="s">
        <v>734</v>
      </c>
      <c r="AM772" s="42"/>
      <c r="AN772" s="42"/>
      <c r="AO772" s="42"/>
      <c r="AP772" s="42"/>
      <c r="AQ772" s="42"/>
      <c r="AR772" s="42"/>
      <c r="AS772" s="42"/>
      <c r="AT772" s="42"/>
      <c r="AU772" s="42"/>
      <c r="AV772" s="42"/>
      <c r="AW772" s="42"/>
      <c r="AY772" s="67">
        <f>1.9*14</f>
        <v>26.599999999999998</v>
      </c>
      <c r="BA772" s="37"/>
      <c r="BB772" s="37"/>
      <c r="BD772" s="67">
        <f t="shared" si="266"/>
        <v>0</v>
      </c>
      <c r="BE772" s="67">
        <f>AY772*K772</f>
        <v>4628.3999999999996</v>
      </c>
      <c r="BF772" s="37"/>
      <c r="BG772" s="73">
        <v>1</v>
      </c>
      <c r="BI772" s="67"/>
      <c r="BJ772" s="37"/>
      <c r="BK772" s="67">
        <f>IF(AND((AY772/I772)&lt;2,BG772=1),(I772*2)-AY772,0)</f>
        <v>1.4000000000000021</v>
      </c>
      <c r="BL772" s="67">
        <f>IF(AND((AY772/I772)&lt;3,BG772=2),(I772*3)-AY772,0)</f>
        <v>0</v>
      </c>
      <c r="BM772" s="70">
        <f>(BK772+BL772)*K772</f>
        <v>243.60000000000036</v>
      </c>
      <c r="BN772" s="37"/>
      <c r="BO772" s="70">
        <f t="shared" si="267"/>
        <v>0</v>
      </c>
      <c r="BP772" s="37">
        <v>15</v>
      </c>
      <c r="BQ772" s="37">
        <v>20</v>
      </c>
      <c r="BR772" s="37">
        <v>21</v>
      </c>
      <c r="BS772" s="37">
        <v>15</v>
      </c>
      <c r="BT772" s="87">
        <f t="shared" si="268"/>
        <v>28</v>
      </c>
      <c r="BU772" s="87"/>
      <c r="BV772" s="87"/>
      <c r="BW772" s="87"/>
      <c r="BX772" s="87"/>
      <c r="BY772" s="87"/>
      <c r="BZ772" s="87"/>
      <c r="CA772" s="87"/>
      <c r="CB772" s="87"/>
      <c r="CC772" s="87"/>
      <c r="CD772" s="87"/>
      <c r="CF772" s="67">
        <f t="shared" si="269"/>
        <v>420</v>
      </c>
      <c r="CG772" s="67">
        <f t="shared" si="270"/>
        <v>560</v>
      </c>
      <c r="CH772" s="67">
        <f t="shared" si="262"/>
        <v>588</v>
      </c>
      <c r="CI772" s="67">
        <f t="shared" ref="CI772:CI835" si="275">(BS772*BT772)+(CB772*CD772)</f>
        <v>420</v>
      </c>
      <c r="CJ772" s="37">
        <f t="shared" si="271"/>
        <v>210</v>
      </c>
      <c r="CK772" s="37">
        <f t="shared" si="272"/>
        <v>280</v>
      </c>
      <c r="CL772" s="37">
        <f t="shared" si="273"/>
        <v>294</v>
      </c>
      <c r="CM772" s="37">
        <f t="shared" si="274"/>
        <v>210</v>
      </c>
    </row>
    <row r="773" spans="1:91" ht="33.75">
      <c r="B773" s="156">
        <v>759</v>
      </c>
      <c r="C773" s="169">
        <v>611</v>
      </c>
      <c r="D773" s="169">
        <v>98</v>
      </c>
      <c r="E773" s="170">
        <v>0.78472222222222221</v>
      </c>
      <c r="F773" s="176">
        <v>0.81944444444444453</v>
      </c>
      <c r="G773" s="171" t="s">
        <v>706</v>
      </c>
      <c r="H773" s="160" t="s">
        <v>103</v>
      </c>
      <c r="I773" s="169">
        <v>27</v>
      </c>
      <c r="J773" s="172">
        <v>30</v>
      </c>
      <c r="K773" s="165">
        <v>174</v>
      </c>
      <c r="L773" s="166">
        <f t="shared" si="261"/>
        <v>4698</v>
      </c>
      <c r="M773" s="167" t="s">
        <v>750</v>
      </c>
      <c r="N773" s="154" t="s">
        <v>865</v>
      </c>
      <c r="O773" s="154">
        <v>46</v>
      </c>
      <c r="P773" s="154" t="s">
        <v>864</v>
      </c>
      <c r="Q773" s="154">
        <v>55</v>
      </c>
      <c r="R773" s="154" t="s">
        <v>1269</v>
      </c>
      <c r="S773" s="154">
        <v>37</v>
      </c>
      <c r="T773" s="45" t="s">
        <v>1435</v>
      </c>
      <c r="U773" s="45" t="s">
        <v>1436</v>
      </c>
      <c r="V773" s="45" t="s">
        <v>1525</v>
      </c>
      <c r="W773" s="45" t="s">
        <v>1526</v>
      </c>
      <c r="X773" s="98">
        <v>44816</v>
      </c>
      <c r="Y773" s="98">
        <v>45086</v>
      </c>
      <c r="Z773" s="98"/>
      <c r="AA773" s="98"/>
      <c r="AB773" s="41" t="s">
        <v>1114</v>
      </c>
      <c r="AC773" s="41"/>
      <c r="AD773" s="42"/>
      <c r="AE773" s="42"/>
      <c r="AF773" s="42"/>
      <c r="AG773" s="42" t="s">
        <v>734</v>
      </c>
      <c r="AH773" s="42" t="s">
        <v>734</v>
      </c>
      <c r="AI773" s="42" t="s">
        <v>734</v>
      </c>
      <c r="AJ773" s="42" t="s">
        <v>734</v>
      </c>
      <c r="AK773" s="42" t="s">
        <v>734</v>
      </c>
      <c r="AL773" s="42" t="s">
        <v>734</v>
      </c>
      <c r="AM773" s="42"/>
      <c r="AN773" s="42"/>
      <c r="AO773" s="42"/>
      <c r="AP773" s="42"/>
      <c r="AQ773" s="42"/>
      <c r="AR773" s="42"/>
      <c r="AS773" s="42"/>
      <c r="AT773" s="42"/>
      <c r="AU773" s="42"/>
      <c r="AV773" s="42"/>
      <c r="AW773" s="42"/>
      <c r="AY773" s="67">
        <f>2.2*27</f>
        <v>59.400000000000006</v>
      </c>
      <c r="BA773" s="37"/>
      <c r="BB773" s="37"/>
      <c r="BD773" s="67">
        <f t="shared" si="266"/>
        <v>0</v>
      </c>
      <c r="BE773" s="67">
        <f>AY773*K773</f>
        <v>10335.6</v>
      </c>
      <c r="BF773" s="37"/>
      <c r="BG773" s="73">
        <v>1</v>
      </c>
      <c r="BI773" s="67"/>
      <c r="BJ773" s="37"/>
      <c r="BK773" s="67">
        <f>IF(AND((AY773/I773)&lt;2,BG773=1),(I773*2)-AY773,0)</f>
        <v>0</v>
      </c>
      <c r="BL773" s="67">
        <f>IF(AND((AY773/I773)&lt;3,BG773=2),(I773*3)-AY773,0)</f>
        <v>0</v>
      </c>
      <c r="BM773" s="70">
        <f>(BK773+BL773)*K773</f>
        <v>0</v>
      </c>
      <c r="BN773" s="37"/>
      <c r="BO773" s="70">
        <f t="shared" si="267"/>
        <v>0</v>
      </c>
      <c r="BP773" s="37">
        <v>15</v>
      </c>
      <c r="BQ773" s="37">
        <v>20</v>
      </c>
      <c r="BR773" s="37">
        <v>21</v>
      </c>
      <c r="BS773" s="37">
        <v>15</v>
      </c>
      <c r="BT773" s="87">
        <f t="shared" si="268"/>
        <v>59.400000000000006</v>
      </c>
      <c r="BU773" s="87"/>
      <c r="BV773" s="87"/>
      <c r="BW773" s="87"/>
      <c r="BX773" s="87"/>
      <c r="BY773" s="87"/>
      <c r="BZ773" s="87"/>
      <c r="CA773" s="87"/>
      <c r="CB773" s="87"/>
      <c r="CC773" s="87"/>
      <c r="CD773" s="87"/>
      <c r="CF773" s="67">
        <f t="shared" si="269"/>
        <v>891.00000000000011</v>
      </c>
      <c r="CG773" s="67">
        <f t="shared" si="270"/>
        <v>1188</v>
      </c>
      <c r="CH773" s="67">
        <f t="shared" si="262"/>
        <v>1247.4000000000001</v>
      </c>
      <c r="CI773" s="67">
        <f t="shared" si="275"/>
        <v>891.00000000000011</v>
      </c>
      <c r="CJ773" s="37">
        <f t="shared" si="271"/>
        <v>405</v>
      </c>
      <c r="CK773" s="37">
        <f t="shared" si="272"/>
        <v>540</v>
      </c>
      <c r="CL773" s="37">
        <f t="shared" si="273"/>
        <v>567</v>
      </c>
      <c r="CM773" s="37">
        <f t="shared" si="274"/>
        <v>405</v>
      </c>
    </row>
    <row r="774" spans="1:91" ht="33.75">
      <c r="B774" s="156">
        <v>760</v>
      </c>
      <c r="C774" s="169">
        <v>611</v>
      </c>
      <c r="D774" s="169">
        <v>100</v>
      </c>
      <c r="E774" s="170">
        <v>0.78819444444444453</v>
      </c>
      <c r="F774" s="176">
        <v>0.80902777777777779</v>
      </c>
      <c r="G774" s="171" t="s">
        <v>652</v>
      </c>
      <c r="H774" s="160" t="s">
        <v>203</v>
      </c>
      <c r="I774" s="169">
        <v>17</v>
      </c>
      <c r="J774" s="172">
        <v>19</v>
      </c>
      <c r="K774" s="165">
        <v>202</v>
      </c>
      <c r="L774" s="166">
        <f t="shared" si="261"/>
        <v>3434</v>
      </c>
      <c r="M774" s="167" t="s">
        <v>738</v>
      </c>
      <c r="N774" s="150" t="s">
        <v>911</v>
      </c>
      <c r="O774" s="150">
        <v>21</v>
      </c>
      <c r="P774" s="221" t="s">
        <v>2077</v>
      </c>
      <c r="Q774" s="221">
        <v>42</v>
      </c>
      <c r="R774" s="150" t="s">
        <v>910</v>
      </c>
      <c r="S774" s="151">
        <v>24</v>
      </c>
      <c r="T774" s="45">
        <v>6120</v>
      </c>
      <c r="U774" s="45" t="s">
        <v>1341</v>
      </c>
      <c r="V774" s="45" t="s">
        <v>1726</v>
      </c>
      <c r="W774" s="45" t="s">
        <v>1727</v>
      </c>
      <c r="X774" s="99">
        <v>44816</v>
      </c>
      <c r="Y774" s="99">
        <v>45100</v>
      </c>
      <c r="Z774" s="99"/>
      <c r="AA774" s="99"/>
      <c r="AB774" s="41" t="s">
        <v>1120</v>
      </c>
      <c r="AC774" s="41"/>
      <c r="AD774" s="42" t="s">
        <v>734</v>
      </c>
      <c r="AE774" s="42"/>
      <c r="AF774" s="42" t="s">
        <v>734</v>
      </c>
      <c r="AG774" s="42"/>
      <c r="AH774" s="42" t="s">
        <v>734</v>
      </c>
      <c r="AI774" s="42" t="s">
        <v>734</v>
      </c>
      <c r="AJ774" s="42" t="s">
        <v>734</v>
      </c>
      <c r="AK774" s="42" t="s">
        <v>734</v>
      </c>
      <c r="AL774" s="42" t="s">
        <v>734</v>
      </c>
      <c r="AM774" s="42"/>
      <c r="AN774" s="42"/>
      <c r="AO774" s="42"/>
      <c r="AP774" s="42"/>
      <c r="AQ774" s="42"/>
      <c r="AR774" s="42"/>
      <c r="AS774" s="42"/>
      <c r="AT774" s="42"/>
      <c r="AU774" s="42"/>
      <c r="AV774" s="42"/>
      <c r="AW774" s="42"/>
      <c r="BA774" s="39" t="s">
        <v>738</v>
      </c>
      <c r="BB774" s="39"/>
      <c r="BD774" s="67">
        <f t="shared" si="266"/>
        <v>0</v>
      </c>
      <c r="BF774" s="37"/>
      <c r="BG774" s="73">
        <v>1</v>
      </c>
      <c r="BI774" s="67"/>
      <c r="BJ774" s="37"/>
      <c r="BN774" s="37"/>
      <c r="BO774" s="70">
        <f t="shared" si="267"/>
        <v>0</v>
      </c>
      <c r="BP774" s="37">
        <v>15</v>
      </c>
      <c r="BQ774" s="37">
        <v>21</v>
      </c>
      <c r="BR774" s="37">
        <v>21</v>
      </c>
      <c r="BS774" s="37">
        <v>20</v>
      </c>
      <c r="BT774" s="87">
        <f t="shared" si="268"/>
        <v>0</v>
      </c>
      <c r="BU774" s="87"/>
      <c r="BV774" s="87"/>
      <c r="BW774" s="87"/>
      <c r="BX774" s="87"/>
      <c r="BY774" s="87"/>
      <c r="BZ774" s="87"/>
      <c r="CA774" s="87"/>
      <c r="CB774" s="87"/>
      <c r="CC774" s="87"/>
      <c r="CD774" s="87"/>
      <c r="CF774" s="67">
        <f t="shared" si="269"/>
        <v>0</v>
      </c>
      <c r="CG774" s="67">
        <f t="shared" si="270"/>
        <v>0</v>
      </c>
      <c r="CH774" s="67">
        <f t="shared" si="262"/>
        <v>0</v>
      </c>
      <c r="CI774" s="67">
        <f t="shared" si="275"/>
        <v>0</v>
      </c>
      <c r="CJ774" s="37">
        <f t="shared" si="271"/>
        <v>255</v>
      </c>
      <c r="CK774" s="37">
        <f t="shared" si="272"/>
        <v>357</v>
      </c>
      <c r="CL774" s="37">
        <f t="shared" si="273"/>
        <v>357</v>
      </c>
      <c r="CM774" s="37">
        <f t="shared" si="274"/>
        <v>340</v>
      </c>
    </row>
    <row r="775" spans="1:91" ht="33.75">
      <c r="B775" s="156">
        <v>761</v>
      </c>
      <c r="C775" s="169">
        <v>611</v>
      </c>
      <c r="D775" s="169">
        <v>100</v>
      </c>
      <c r="E775" s="170">
        <v>0.80208333333333337</v>
      </c>
      <c r="F775" s="210">
        <v>0.82291666666666663</v>
      </c>
      <c r="G775" s="171" t="s">
        <v>652</v>
      </c>
      <c r="H775" s="171" t="s">
        <v>653</v>
      </c>
      <c r="I775" s="169">
        <v>17</v>
      </c>
      <c r="J775" s="172">
        <v>19</v>
      </c>
      <c r="K775" s="165">
        <v>38</v>
      </c>
      <c r="L775" s="166">
        <f t="shared" si="261"/>
        <v>646</v>
      </c>
      <c r="M775" s="167" t="s">
        <v>738</v>
      </c>
      <c r="N775" s="150" t="s">
        <v>911</v>
      </c>
      <c r="O775" s="150">
        <v>21</v>
      </c>
      <c r="P775" s="221" t="s">
        <v>2077</v>
      </c>
      <c r="Q775" s="221">
        <v>42</v>
      </c>
      <c r="R775" s="150" t="s">
        <v>910</v>
      </c>
      <c r="S775" s="151">
        <v>24</v>
      </c>
      <c r="T775" s="45">
        <v>6120</v>
      </c>
      <c r="U775" s="45" t="s">
        <v>1341</v>
      </c>
      <c r="V775" s="45" t="s">
        <v>1726</v>
      </c>
      <c r="W775" s="45" t="s">
        <v>1727</v>
      </c>
      <c r="X775" s="99">
        <v>44816</v>
      </c>
      <c r="Y775" s="99">
        <v>45100</v>
      </c>
      <c r="Z775" s="99"/>
      <c r="AA775" s="99"/>
      <c r="AB775" s="45" t="s">
        <v>1140</v>
      </c>
      <c r="AC775" s="45"/>
      <c r="AD775" s="42" t="s">
        <v>734</v>
      </c>
      <c r="AE775" s="42"/>
      <c r="AF775" s="42" t="s">
        <v>734</v>
      </c>
      <c r="AG775" s="42"/>
      <c r="AH775" s="42"/>
      <c r="AI775" s="42"/>
      <c r="AJ775" s="42"/>
      <c r="AK775" s="42"/>
      <c r="AL775" s="42"/>
      <c r="AM775" s="42" t="s">
        <v>734</v>
      </c>
      <c r="AN775" s="42"/>
      <c r="AO775" s="42"/>
      <c r="AP775" s="42"/>
      <c r="AQ775" s="42"/>
      <c r="AR775" s="42"/>
      <c r="AS775" s="42"/>
      <c r="AT775" s="42"/>
      <c r="AU775" s="42"/>
      <c r="AV775" s="42"/>
      <c r="AW775" s="42"/>
      <c r="BA775" s="39" t="s">
        <v>738</v>
      </c>
      <c r="BB775" s="39"/>
      <c r="BD775" s="67">
        <f t="shared" si="266"/>
        <v>0</v>
      </c>
      <c r="BF775" s="37"/>
      <c r="BG775" s="73">
        <v>1</v>
      </c>
      <c r="BI775" s="67"/>
      <c r="BJ775" s="37"/>
      <c r="BN775" s="37"/>
      <c r="BO775" s="70">
        <f t="shared" si="267"/>
        <v>0</v>
      </c>
      <c r="BP775" s="37">
        <v>2</v>
      </c>
      <c r="BQ775" s="37">
        <v>5</v>
      </c>
      <c r="BR775" s="37">
        <v>4</v>
      </c>
      <c r="BS775" s="37">
        <v>5</v>
      </c>
      <c r="BT775" s="87">
        <f t="shared" si="268"/>
        <v>0</v>
      </c>
      <c r="BU775" s="87"/>
      <c r="BV775" s="87"/>
      <c r="BW775" s="87"/>
      <c r="BX775" s="87"/>
      <c r="BY775" s="87"/>
      <c r="BZ775" s="87"/>
      <c r="CA775" s="87"/>
      <c r="CB775" s="87"/>
      <c r="CC775" s="87"/>
      <c r="CD775" s="87"/>
      <c r="CF775" s="67">
        <f t="shared" si="269"/>
        <v>0</v>
      </c>
      <c r="CG775" s="67">
        <f t="shared" si="270"/>
        <v>0</v>
      </c>
      <c r="CH775" s="67">
        <f t="shared" si="262"/>
        <v>0</v>
      </c>
      <c r="CI775" s="67">
        <f t="shared" si="275"/>
        <v>0</v>
      </c>
      <c r="CJ775" s="37">
        <f t="shared" si="271"/>
        <v>34</v>
      </c>
      <c r="CK775" s="37">
        <f t="shared" si="272"/>
        <v>85</v>
      </c>
      <c r="CL775" s="37">
        <f t="shared" si="273"/>
        <v>68</v>
      </c>
      <c r="CM775" s="37">
        <f t="shared" si="274"/>
        <v>85</v>
      </c>
    </row>
    <row r="776" spans="1:91" ht="25.5">
      <c r="B776" s="156">
        <v>762</v>
      </c>
      <c r="C776" s="169">
        <v>615</v>
      </c>
      <c r="D776" s="189" t="s">
        <v>1069</v>
      </c>
      <c r="E776" s="176">
        <v>0.25208333333333333</v>
      </c>
      <c r="F776" s="176">
        <v>0.27291666666666664</v>
      </c>
      <c r="G776" s="171" t="s">
        <v>48</v>
      </c>
      <c r="H776" s="160" t="s">
        <v>103</v>
      </c>
      <c r="I776" s="169">
        <f>10+3</f>
        <v>13</v>
      </c>
      <c r="J776" s="172">
        <v>19</v>
      </c>
      <c r="K776" s="165">
        <v>174</v>
      </c>
      <c r="L776" s="166">
        <f t="shared" si="261"/>
        <v>2262</v>
      </c>
      <c r="M776" s="167" t="s">
        <v>738</v>
      </c>
      <c r="N776" s="3" t="s">
        <v>911</v>
      </c>
      <c r="O776" s="154">
        <v>21</v>
      </c>
      <c r="P776" s="154" t="s">
        <v>910</v>
      </c>
      <c r="Q776" s="154">
        <v>24</v>
      </c>
      <c r="S776" s="154"/>
      <c r="T776" s="45" t="s">
        <v>1728</v>
      </c>
      <c r="U776" s="45" t="s">
        <v>1729</v>
      </c>
      <c r="V776" s="45">
        <v>6120</v>
      </c>
      <c r="W776" s="45" t="s">
        <v>1341</v>
      </c>
      <c r="X776" s="98">
        <v>44816</v>
      </c>
      <c r="Y776" s="98">
        <v>45086</v>
      </c>
      <c r="Z776" s="98"/>
      <c r="AA776" s="98"/>
      <c r="AB776" s="41" t="s">
        <v>1114</v>
      </c>
      <c r="AC776" s="41"/>
      <c r="AD776" s="42"/>
      <c r="AE776" s="42"/>
      <c r="AF776" s="42"/>
      <c r="AG776" s="42" t="s">
        <v>734</v>
      </c>
      <c r="AH776" s="42" t="s">
        <v>734</v>
      </c>
      <c r="AI776" s="42" t="s">
        <v>734</v>
      </c>
      <c r="AJ776" s="42" t="s">
        <v>734</v>
      </c>
      <c r="AK776" s="42" t="s">
        <v>734</v>
      </c>
      <c r="AL776" s="42" t="s">
        <v>734</v>
      </c>
      <c r="AM776" s="42"/>
      <c r="AN776" s="42"/>
      <c r="AO776" s="42"/>
      <c r="AP776" s="42"/>
      <c r="AQ776" s="42"/>
      <c r="AR776" s="42"/>
      <c r="AS776" s="42"/>
      <c r="AT776" s="42"/>
      <c r="AU776" s="42"/>
      <c r="AV776" s="42"/>
      <c r="AW776" s="42"/>
      <c r="BA776" s="39" t="s">
        <v>738</v>
      </c>
      <c r="BB776" s="39"/>
      <c r="BD776" s="67">
        <f t="shared" si="266"/>
        <v>0</v>
      </c>
      <c r="BF776" s="37"/>
      <c r="BG776" s="73">
        <v>1</v>
      </c>
      <c r="BI776" s="67"/>
      <c r="BJ776" s="37"/>
      <c r="BO776" s="70">
        <f t="shared" si="267"/>
        <v>0</v>
      </c>
      <c r="BP776" s="37">
        <v>15</v>
      </c>
      <c r="BQ776" s="37">
        <v>20</v>
      </c>
      <c r="BR776" s="37">
        <v>21</v>
      </c>
      <c r="BS776" s="37">
        <v>15</v>
      </c>
      <c r="BT776" s="87">
        <f t="shared" si="268"/>
        <v>0</v>
      </c>
      <c r="BU776" s="87"/>
      <c r="BV776" s="87"/>
      <c r="BW776" s="87"/>
      <c r="BX776" s="87"/>
      <c r="BY776" s="87"/>
      <c r="BZ776" s="87"/>
      <c r="CA776" s="87"/>
      <c r="CB776" s="87"/>
      <c r="CC776" s="87"/>
      <c r="CD776" s="87"/>
      <c r="CF776" s="67">
        <f t="shared" si="269"/>
        <v>0</v>
      </c>
      <c r="CG776" s="67">
        <f t="shared" si="270"/>
        <v>0</v>
      </c>
      <c r="CH776" s="67">
        <f t="shared" si="262"/>
        <v>0</v>
      </c>
      <c r="CI776" s="67">
        <f t="shared" si="275"/>
        <v>0</v>
      </c>
      <c r="CJ776" s="37">
        <f t="shared" si="271"/>
        <v>195</v>
      </c>
      <c r="CK776" s="37">
        <f t="shared" si="272"/>
        <v>260</v>
      </c>
      <c r="CL776" s="37">
        <f t="shared" si="273"/>
        <v>273</v>
      </c>
      <c r="CM776" s="37">
        <f t="shared" si="274"/>
        <v>195</v>
      </c>
    </row>
    <row r="777" spans="1:91" ht="33.75">
      <c r="A777" s="3" t="s">
        <v>1180</v>
      </c>
      <c r="B777" s="156">
        <v>763</v>
      </c>
      <c r="C777" s="160">
        <v>615</v>
      </c>
      <c r="D777" s="160">
        <v>510</v>
      </c>
      <c r="E777" s="161">
        <v>0.28541666666666665</v>
      </c>
      <c r="F777" s="161">
        <v>0.29583333333333334</v>
      </c>
      <c r="G777" s="160" t="s">
        <v>47</v>
      </c>
      <c r="H777" s="160" t="s">
        <v>509</v>
      </c>
      <c r="I777" s="188">
        <v>10</v>
      </c>
      <c r="J777" s="164" t="s">
        <v>93</v>
      </c>
      <c r="K777" s="165">
        <v>12</v>
      </c>
      <c r="L777" s="166">
        <f t="shared" si="261"/>
        <v>120</v>
      </c>
      <c r="M777" s="167" t="s">
        <v>738</v>
      </c>
      <c r="N777" s="3" t="s">
        <v>911</v>
      </c>
      <c r="O777" s="154">
        <v>21</v>
      </c>
      <c r="P777" s="221" t="s">
        <v>2077</v>
      </c>
      <c r="Q777" s="221">
        <v>42</v>
      </c>
      <c r="R777" s="150" t="s">
        <v>910</v>
      </c>
      <c r="S777" s="151">
        <v>24</v>
      </c>
      <c r="T777" s="45">
        <v>6120</v>
      </c>
      <c r="U777" s="45" t="s">
        <v>1341</v>
      </c>
      <c r="V777" s="45">
        <v>6127</v>
      </c>
      <c r="W777" s="45" t="s">
        <v>1730</v>
      </c>
      <c r="X777" s="99">
        <v>44562</v>
      </c>
      <c r="Y777" s="99">
        <v>44815</v>
      </c>
      <c r="Z777" s="99">
        <v>45101</v>
      </c>
      <c r="AA777" s="99">
        <v>45169</v>
      </c>
      <c r="AB777" s="41" t="s">
        <v>1131</v>
      </c>
      <c r="AC777" s="41"/>
      <c r="AD777" s="42"/>
      <c r="AE777" s="42" t="s">
        <v>734</v>
      </c>
      <c r="AF777" s="42" t="s">
        <v>734</v>
      </c>
      <c r="AG777" s="42"/>
      <c r="AH777" s="42"/>
      <c r="AI777" s="42"/>
      <c r="AJ777" s="42"/>
      <c r="AK777" s="42"/>
      <c r="AL777" s="42"/>
      <c r="AM777" s="42" t="s">
        <v>734</v>
      </c>
      <c r="AN777" s="42"/>
      <c r="AO777" s="42"/>
      <c r="AP777" s="42"/>
      <c r="AQ777" s="42"/>
      <c r="AR777" s="42"/>
      <c r="AS777" s="42"/>
      <c r="AT777" s="42"/>
      <c r="AU777" s="42"/>
      <c r="AV777" s="42"/>
      <c r="AW777" s="42"/>
      <c r="AX777" s="68">
        <v>25</v>
      </c>
      <c r="AY777" s="68"/>
      <c r="BA777" s="37"/>
      <c r="BB777" s="37"/>
      <c r="BD777" s="67">
        <f t="shared" si="266"/>
        <v>300</v>
      </c>
      <c r="BE777" s="67"/>
      <c r="BF777" s="37"/>
      <c r="BG777" s="73">
        <v>1</v>
      </c>
      <c r="BH777" s="67">
        <f t="shared" ref="BH777:BH783" si="276">IF(AND((AX777/I777)&lt;2,BG777=1),(I777*2)-AX777,0)</f>
        <v>0</v>
      </c>
      <c r="BI777" s="67">
        <f t="shared" ref="BI777:BI783" si="277">IF(AND((AX777/I777)&lt;3,BG777=2),(I777*3)-AX777,0)</f>
        <v>0</v>
      </c>
      <c r="BJ777" s="70">
        <f t="shared" ref="BJ777:BJ783" si="278">(BH777+BI777)*K777</f>
        <v>0</v>
      </c>
      <c r="BN777" s="67">
        <f>IF((AX777+AY777+AZ777)&lt;20,(20-(AX777+AY777+AZ777)),0)</f>
        <v>0</v>
      </c>
      <c r="BO777" s="70">
        <f t="shared" si="267"/>
        <v>0</v>
      </c>
      <c r="BP777" s="37">
        <v>2</v>
      </c>
      <c r="BQ777" s="37">
        <v>0</v>
      </c>
      <c r="BR777" s="37">
        <v>0</v>
      </c>
      <c r="BT777" s="87">
        <f t="shared" si="268"/>
        <v>25</v>
      </c>
      <c r="BU777" s="87"/>
      <c r="BV777" s="87"/>
      <c r="BW777" s="87"/>
      <c r="BX777" s="87"/>
      <c r="BY777" s="87"/>
      <c r="BZ777" s="87"/>
      <c r="CA777" s="87"/>
      <c r="CB777" s="87"/>
      <c r="CC777" s="87"/>
      <c r="CD777" s="87"/>
      <c r="CF777" s="67">
        <f t="shared" si="269"/>
        <v>50</v>
      </c>
      <c r="CG777" s="67">
        <f t="shared" si="270"/>
        <v>0</v>
      </c>
      <c r="CH777" s="67">
        <f t="shared" si="262"/>
        <v>0</v>
      </c>
      <c r="CI777" s="67">
        <f t="shared" si="275"/>
        <v>0</v>
      </c>
      <c r="CJ777" s="37">
        <f t="shared" si="271"/>
        <v>20</v>
      </c>
      <c r="CK777" s="37">
        <f t="shared" si="272"/>
        <v>0</v>
      </c>
      <c r="CL777" s="37">
        <f t="shared" si="273"/>
        <v>0</v>
      </c>
      <c r="CM777" s="37">
        <f t="shared" si="274"/>
        <v>0</v>
      </c>
    </row>
    <row r="778" spans="1:91" ht="25.5">
      <c r="A778" s="3" t="s">
        <v>1180</v>
      </c>
      <c r="B778" s="156">
        <v>764</v>
      </c>
      <c r="C778" s="160">
        <v>615</v>
      </c>
      <c r="D778" s="160">
        <v>511</v>
      </c>
      <c r="E778" s="161">
        <v>0.29652777777777778</v>
      </c>
      <c r="F778" s="161">
        <v>0.31180555555555556</v>
      </c>
      <c r="G778" s="160" t="s">
        <v>46</v>
      </c>
      <c r="H778" s="160" t="s">
        <v>509</v>
      </c>
      <c r="I778" s="188">
        <v>12</v>
      </c>
      <c r="J778" s="164" t="s">
        <v>93</v>
      </c>
      <c r="K778" s="165">
        <v>12</v>
      </c>
      <c r="L778" s="166">
        <f t="shared" si="261"/>
        <v>144</v>
      </c>
      <c r="M778" s="167" t="s">
        <v>738</v>
      </c>
      <c r="N778" s="154" t="s">
        <v>911</v>
      </c>
      <c r="O778" s="154">
        <v>21</v>
      </c>
      <c r="P778" s="221" t="s">
        <v>2077</v>
      </c>
      <c r="Q778" s="221">
        <v>42</v>
      </c>
      <c r="R778" s="150" t="s">
        <v>910</v>
      </c>
      <c r="S778" s="151">
        <v>24</v>
      </c>
      <c r="T778" s="45">
        <v>6127</v>
      </c>
      <c r="U778" s="45" t="s">
        <v>1730</v>
      </c>
      <c r="V778" s="45">
        <v>6120</v>
      </c>
      <c r="W778" s="45" t="s">
        <v>1341</v>
      </c>
      <c r="X778" s="99">
        <v>44562</v>
      </c>
      <c r="Y778" s="99">
        <v>44815</v>
      </c>
      <c r="Z778" s="99">
        <v>45101</v>
      </c>
      <c r="AA778" s="99">
        <v>45169</v>
      </c>
      <c r="AB778" s="41" t="s">
        <v>1131</v>
      </c>
      <c r="AC778" s="41"/>
      <c r="AD778" s="42"/>
      <c r="AE778" s="42" t="s">
        <v>734</v>
      </c>
      <c r="AF778" s="42" t="s">
        <v>734</v>
      </c>
      <c r="AG778" s="42"/>
      <c r="AH778" s="42"/>
      <c r="AI778" s="42"/>
      <c r="AJ778" s="42"/>
      <c r="AK778" s="42"/>
      <c r="AL778" s="42"/>
      <c r="AM778" s="42" t="s">
        <v>734</v>
      </c>
      <c r="AN778" s="42"/>
      <c r="AO778" s="42"/>
      <c r="AP778" s="42"/>
      <c r="AQ778" s="42"/>
      <c r="AR778" s="42"/>
      <c r="AS778" s="42"/>
      <c r="AT778" s="42"/>
      <c r="AU778" s="42"/>
      <c r="AV778" s="42"/>
      <c r="AW778" s="42"/>
      <c r="AX778" s="68">
        <v>30</v>
      </c>
      <c r="AY778" s="68"/>
      <c r="BA778" s="37"/>
      <c r="BB778" s="37"/>
      <c r="BD778" s="67">
        <f t="shared" si="266"/>
        <v>360</v>
      </c>
      <c r="BE778" s="67"/>
      <c r="BF778" s="37"/>
      <c r="BG778" s="73">
        <v>1</v>
      </c>
      <c r="BH778" s="67">
        <f t="shared" si="276"/>
        <v>0</v>
      </c>
      <c r="BI778" s="67">
        <f t="shared" si="277"/>
        <v>0</v>
      </c>
      <c r="BJ778" s="70">
        <f t="shared" si="278"/>
        <v>0</v>
      </c>
      <c r="BN778" s="37"/>
      <c r="BO778" s="70">
        <f t="shared" si="267"/>
        <v>0</v>
      </c>
      <c r="BP778" s="37">
        <v>2</v>
      </c>
      <c r="BQ778" s="37">
        <v>0</v>
      </c>
      <c r="BR778" s="37">
        <v>0</v>
      </c>
      <c r="BT778" s="87">
        <f t="shared" si="268"/>
        <v>30</v>
      </c>
      <c r="BU778" s="87"/>
      <c r="BV778" s="87"/>
      <c r="BW778" s="87"/>
      <c r="BX778" s="87"/>
      <c r="BY778" s="87"/>
      <c r="BZ778" s="87"/>
      <c r="CA778" s="87"/>
      <c r="CB778" s="87"/>
      <c r="CC778" s="87"/>
      <c r="CD778" s="87"/>
      <c r="CF778" s="67">
        <f t="shared" si="269"/>
        <v>60</v>
      </c>
      <c r="CG778" s="67">
        <f t="shared" si="270"/>
        <v>0</v>
      </c>
      <c r="CH778" s="67">
        <f t="shared" si="262"/>
        <v>0</v>
      </c>
      <c r="CI778" s="67">
        <f t="shared" si="275"/>
        <v>0</v>
      </c>
      <c r="CJ778" s="37">
        <f t="shared" si="271"/>
        <v>24</v>
      </c>
      <c r="CK778" s="37">
        <f t="shared" si="272"/>
        <v>0</v>
      </c>
      <c r="CL778" s="37">
        <f t="shared" si="273"/>
        <v>0</v>
      </c>
      <c r="CM778" s="37">
        <f t="shared" si="274"/>
        <v>0</v>
      </c>
    </row>
    <row r="779" spans="1:91" ht="33.75">
      <c r="B779" s="156">
        <v>765</v>
      </c>
      <c r="C779" s="160">
        <v>615</v>
      </c>
      <c r="D779" s="160">
        <v>546</v>
      </c>
      <c r="E779" s="161">
        <v>0.57638888888888895</v>
      </c>
      <c r="F779" s="161">
        <v>0.59027777777777779</v>
      </c>
      <c r="G779" s="160" t="s">
        <v>460</v>
      </c>
      <c r="H779" s="160" t="s">
        <v>424</v>
      </c>
      <c r="I779" s="163">
        <v>10</v>
      </c>
      <c r="J779" s="164" t="s">
        <v>93</v>
      </c>
      <c r="K779" s="165">
        <v>67</v>
      </c>
      <c r="L779" s="166">
        <f t="shared" si="261"/>
        <v>670</v>
      </c>
      <c r="M779" s="177" t="s">
        <v>737</v>
      </c>
      <c r="N779" s="154" t="s">
        <v>912</v>
      </c>
      <c r="O779" s="154">
        <v>21</v>
      </c>
      <c r="P779" s="150" t="s">
        <v>913</v>
      </c>
      <c r="Q779" s="150">
        <v>24</v>
      </c>
      <c r="R779" s="150" t="s">
        <v>914</v>
      </c>
      <c r="S779" s="154">
        <v>21</v>
      </c>
      <c r="T779" s="45">
        <v>6120</v>
      </c>
      <c r="U779" s="45" t="s">
        <v>1341</v>
      </c>
      <c r="V779" s="45">
        <v>6127</v>
      </c>
      <c r="W779" s="45" t="s">
        <v>1730</v>
      </c>
      <c r="X779" s="99">
        <v>44562</v>
      </c>
      <c r="Y779" s="99">
        <v>44815</v>
      </c>
      <c r="Z779" s="99">
        <v>45101</v>
      </c>
      <c r="AA779" s="99">
        <v>45169</v>
      </c>
      <c r="AB779" s="42" t="s">
        <v>1119</v>
      </c>
      <c r="AC779" s="42"/>
      <c r="AD779" s="42"/>
      <c r="AE779" s="42" t="s">
        <v>734</v>
      </c>
      <c r="AF779" s="42" t="s">
        <v>734</v>
      </c>
      <c r="AG779" s="42"/>
      <c r="AH779" s="42" t="s">
        <v>734</v>
      </c>
      <c r="AI779" s="42" t="s">
        <v>734</v>
      </c>
      <c r="AJ779" s="42" t="s">
        <v>734</v>
      </c>
      <c r="AK779" s="42" t="s">
        <v>734</v>
      </c>
      <c r="AL779" s="42" t="s">
        <v>734</v>
      </c>
      <c r="AM779" s="42" t="s">
        <v>734</v>
      </c>
      <c r="AN779" s="42"/>
      <c r="AO779" s="42"/>
      <c r="AP779" s="42"/>
      <c r="AQ779" s="42"/>
      <c r="AR779" s="42"/>
      <c r="AS779" s="42"/>
      <c r="AT779" s="42"/>
      <c r="AU779" s="42"/>
      <c r="AV779" s="42"/>
      <c r="AW779" s="42"/>
      <c r="AX779" s="68">
        <v>30</v>
      </c>
      <c r="AY779" s="68"/>
      <c r="BA779" s="37"/>
      <c r="BB779" s="37"/>
      <c r="BD779" s="67">
        <f t="shared" si="266"/>
        <v>2010</v>
      </c>
      <c r="BE779" s="67"/>
      <c r="BF779" s="37"/>
      <c r="BG779" s="73">
        <v>1</v>
      </c>
      <c r="BH779" s="67">
        <f t="shared" si="276"/>
        <v>0</v>
      </c>
      <c r="BI779" s="67">
        <f t="shared" si="277"/>
        <v>0</v>
      </c>
      <c r="BJ779" s="70">
        <f t="shared" si="278"/>
        <v>0</v>
      </c>
      <c r="BN779" s="37"/>
      <c r="BO779" s="70">
        <f t="shared" si="267"/>
        <v>0</v>
      </c>
      <c r="BP779" s="37">
        <v>9</v>
      </c>
      <c r="BQ779" s="37">
        <v>0</v>
      </c>
      <c r="BR779" s="37">
        <v>0</v>
      </c>
      <c r="BS779" s="37">
        <v>0</v>
      </c>
      <c r="BT779" s="87">
        <f t="shared" si="268"/>
        <v>30</v>
      </c>
      <c r="BU779" s="87"/>
      <c r="BV779" s="87"/>
      <c r="BW779" s="87"/>
      <c r="BX779" s="87"/>
      <c r="BY779" s="87"/>
      <c r="BZ779" s="87"/>
      <c r="CA779" s="87"/>
      <c r="CB779" s="87"/>
      <c r="CC779" s="87"/>
      <c r="CD779" s="87"/>
      <c r="CF779" s="67">
        <f t="shared" si="269"/>
        <v>270</v>
      </c>
      <c r="CG779" s="67">
        <f t="shared" si="270"/>
        <v>0</v>
      </c>
      <c r="CH779" s="67">
        <f t="shared" si="262"/>
        <v>0</v>
      </c>
      <c r="CI779" s="67">
        <f t="shared" si="275"/>
        <v>0</v>
      </c>
      <c r="CJ779" s="37">
        <f t="shared" si="271"/>
        <v>90</v>
      </c>
      <c r="CK779" s="37">
        <f t="shared" si="272"/>
        <v>0</v>
      </c>
      <c r="CL779" s="37">
        <f t="shared" si="273"/>
        <v>0</v>
      </c>
      <c r="CM779" s="37">
        <f t="shared" si="274"/>
        <v>0</v>
      </c>
    </row>
    <row r="780" spans="1:91" ht="25.5">
      <c r="A780" s="3" t="s">
        <v>1180</v>
      </c>
      <c r="B780" s="156">
        <v>766</v>
      </c>
      <c r="C780" s="174">
        <v>615</v>
      </c>
      <c r="D780" s="160">
        <v>524</v>
      </c>
      <c r="E780" s="161">
        <v>0.57847222222222217</v>
      </c>
      <c r="F780" s="161">
        <v>0.59027777777777779</v>
      </c>
      <c r="G780" s="160" t="s">
        <v>526</v>
      </c>
      <c r="H780" s="160" t="s">
        <v>103</v>
      </c>
      <c r="I780" s="188">
        <v>8</v>
      </c>
      <c r="J780" s="164" t="s">
        <v>93</v>
      </c>
      <c r="K780" s="165">
        <v>174</v>
      </c>
      <c r="L780" s="166">
        <f t="shared" si="261"/>
        <v>1392</v>
      </c>
      <c r="M780" s="167" t="s">
        <v>738</v>
      </c>
      <c r="N780" s="154" t="s">
        <v>910</v>
      </c>
      <c r="O780" s="154">
        <v>24</v>
      </c>
      <c r="P780" s="150" t="s">
        <v>911</v>
      </c>
      <c r="Q780" s="150">
        <v>21</v>
      </c>
      <c r="R780" s="221" t="s">
        <v>2077</v>
      </c>
      <c r="S780" s="221">
        <v>42</v>
      </c>
      <c r="T780" s="45" t="s">
        <v>1731</v>
      </c>
      <c r="U780" s="45" t="s">
        <v>1732</v>
      </c>
      <c r="V780" s="45">
        <v>6127</v>
      </c>
      <c r="W780" s="45" t="s">
        <v>1730</v>
      </c>
      <c r="X780" s="98">
        <v>44816</v>
      </c>
      <c r="Y780" s="98">
        <v>45086</v>
      </c>
      <c r="Z780" s="98"/>
      <c r="AA780" s="98"/>
      <c r="AB780" s="41" t="s">
        <v>1114</v>
      </c>
      <c r="AC780" s="41"/>
      <c r="AD780" s="42"/>
      <c r="AE780" s="42"/>
      <c r="AF780" s="42"/>
      <c r="AG780" s="42" t="s">
        <v>734</v>
      </c>
      <c r="AH780" s="42" t="s">
        <v>734</v>
      </c>
      <c r="AI780" s="42" t="s">
        <v>734</v>
      </c>
      <c r="AJ780" s="42" t="s">
        <v>734</v>
      </c>
      <c r="AK780" s="42" t="s">
        <v>734</v>
      </c>
      <c r="AL780" s="42" t="s">
        <v>734</v>
      </c>
      <c r="AM780" s="42"/>
      <c r="AN780" s="42"/>
      <c r="AO780" s="42"/>
      <c r="AP780" s="42"/>
      <c r="AQ780" s="42"/>
      <c r="AR780" s="42"/>
      <c r="AS780" s="42"/>
      <c r="AT780" s="42"/>
      <c r="AU780" s="42"/>
      <c r="AV780" s="42"/>
      <c r="AW780" s="42"/>
      <c r="AX780" s="68">
        <v>24</v>
      </c>
      <c r="AY780" s="68"/>
      <c r="BA780" s="37"/>
      <c r="BB780" s="37"/>
      <c r="BD780" s="67">
        <f t="shared" si="266"/>
        <v>4176</v>
      </c>
      <c r="BE780" s="67"/>
      <c r="BF780" s="37"/>
      <c r="BG780" s="73">
        <v>1</v>
      </c>
      <c r="BH780" s="67">
        <f t="shared" si="276"/>
        <v>0</v>
      </c>
      <c r="BI780" s="67">
        <f t="shared" si="277"/>
        <v>0</v>
      </c>
      <c r="BJ780" s="70">
        <f t="shared" si="278"/>
        <v>0</v>
      </c>
      <c r="BN780" s="37"/>
      <c r="BO780" s="70">
        <f t="shared" si="267"/>
        <v>0</v>
      </c>
      <c r="BP780" s="37">
        <v>15</v>
      </c>
      <c r="BQ780" s="37">
        <v>20</v>
      </c>
      <c r="BR780" s="37">
        <v>21</v>
      </c>
      <c r="BS780" s="37">
        <v>15</v>
      </c>
      <c r="BT780" s="87">
        <f t="shared" si="268"/>
        <v>24</v>
      </c>
      <c r="BU780" s="87"/>
      <c r="BV780" s="87"/>
      <c r="BW780" s="87"/>
      <c r="BX780" s="87"/>
      <c r="BY780" s="87"/>
      <c r="BZ780" s="87"/>
      <c r="CA780" s="87"/>
      <c r="CB780" s="87"/>
      <c r="CC780" s="87"/>
      <c r="CD780" s="87"/>
      <c r="CF780" s="67">
        <f t="shared" si="269"/>
        <v>360</v>
      </c>
      <c r="CG780" s="67">
        <f t="shared" si="270"/>
        <v>480</v>
      </c>
      <c r="CH780" s="67">
        <f t="shared" si="262"/>
        <v>504</v>
      </c>
      <c r="CI780" s="67">
        <f t="shared" si="275"/>
        <v>360</v>
      </c>
      <c r="CJ780" s="37">
        <f t="shared" si="271"/>
        <v>120</v>
      </c>
      <c r="CK780" s="37">
        <f t="shared" si="272"/>
        <v>160</v>
      </c>
      <c r="CL780" s="37">
        <f t="shared" si="273"/>
        <v>168</v>
      </c>
      <c r="CM780" s="37">
        <f t="shared" si="274"/>
        <v>120</v>
      </c>
    </row>
    <row r="781" spans="1:91" ht="38.25">
      <c r="B781" s="156">
        <v>767</v>
      </c>
      <c r="C781" s="160">
        <v>615</v>
      </c>
      <c r="D781" s="160">
        <v>524</v>
      </c>
      <c r="E781" s="161">
        <v>0.59027777777777779</v>
      </c>
      <c r="F781" s="161">
        <v>0.59375</v>
      </c>
      <c r="G781" s="160" t="s">
        <v>559</v>
      </c>
      <c r="H781" s="162" t="s">
        <v>558</v>
      </c>
      <c r="I781" s="163">
        <v>2.6</v>
      </c>
      <c r="J781" s="164" t="s">
        <v>93</v>
      </c>
      <c r="K781" s="165">
        <f>33+36+36</f>
        <v>105</v>
      </c>
      <c r="L781" s="166">
        <f t="shared" si="261"/>
        <v>273</v>
      </c>
      <c r="M781" s="167" t="s">
        <v>738</v>
      </c>
      <c r="N781" s="150" t="s">
        <v>910</v>
      </c>
      <c r="O781" s="150">
        <v>24</v>
      </c>
      <c r="P781" s="150" t="s">
        <v>911</v>
      </c>
      <c r="Q781" s="150">
        <v>21</v>
      </c>
      <c r="R781" s="221" t="s">
        <v>2077</v>
      </c>
      <c r="S781" s="221">
        <v>42</v>
      </c>
      <c r="T781" s="45">
        <v>6127</v>
      </c>
      <c r="U781" s="45" t="s">
        <v>1730</v>
      </c>
      <c r="V781" s="45" t="s">
        <v>1728</v>
      </c>
      <c r="W781" s="45" t="s">
        <v>1729</v>
      </c>
      <c r="X781" s="98">
        <v>44816</v>
      </c>
      <c r="Y781" s="98">
        <v>45086</v>
      </c>
      <c r="Z781" s="98"/>
      <c r="AA781" s="98"/>
      <c r="AB781" s="45" t="s">
        <v>1144</v>
      </c>
      <c r="AC781" s="45"/>
      <c r="AD781" s="42"/>
      <c r="AE781" s="42"/>
      <c r="AF781" s="42"/>
      <c r="AG781" s="42" t="s">
        <v>734</v>
      </c>
      <c r="AH781" s="42" t="s">
        <v>734</v>
      </c>
      <c r="AI781" s="42"/>
      <c r="AJ781" s="42" t="s">
        <v>734</v>
      </c>
      <c r="AK781" s="42"/>
      <c r="AL781" s="42" t="s">
        <v>734</v>
      </c>
      <c r="AM781" s="42"/>
      <c r="AN781" s="42"/>
      <c r="AO781" s="42"/>
      <c r="AP781" s="42"/>
      <c r="AQ781" s="42"/>
      <c r="AR781" s="42"/>
      <c r="AS781" s="42"/>
      <c r="AT781" s="42"/>
      <c r="AU781" s="42"/>
      <c r="AV781" s="42"/>
      <c r="AW781" s="42"/>
      <c r="AX781" s="68">
        <v>7.8</v>
      </c>
      <c r="AY781" s="68"/>
      <c r="BA781" s="37"/>
      <c r="BB781" s="37"/>
      <c r="BD781" s="67">
        <f t="shared" si="266"/>
        <v>819</v>
      </c>
      <c r="BE781" s="67"/>
      <c r="BF781" s="37"/>
      <c r="BG781" s="73">
        <v>1</v>
      </c>
      <c r="BH781" s="67">
        <f t="shared" si="276"/>
        <v>0</v>
      </c>
      <c r="BI781" s="67">
        <f t="shared" si="277"/>
        <v>0</v>
      </c>
      <c r="BJ781" s="70">
        <f t="shared" si="278"/>
        <v>0</v>
      </c>
      <c r="BN781" s="37"/>
      <c r="BO781" s="70">
        <f t="shared" si="267"/>
        <v>0</v>
      </c>
      <c r="BP781" s="37">
        <v>9</v>
      </c>
      <c r="BQ781" s="37">
        <v>12</v>
      </c>
      <c r="BR781" s="37">
        <v>13</v>
      </c>
      <c r="BS781" s="37">
        <v>9</v>
      </c>
      <c r="BT781" s="87">
        <f t="shared" si="268"/>
        <v>7.8</v>
      </c>
      <c r="BU781" s="87"/>
      <c r="BV781" s="87"/>
      <c r="BW781" s="87"/>
      <c r="BX781" s="87"/>
      <c r="BY781" s="87"/>
      <c r="BZ781" s="87"/>
      <c r="CA781" s="87"/>
      <c r="CB781" s="87"/>
      <c r="CC781" s="87"/>
      <c r="CD781" s="87"/>
      <c r="CF781" s="67">
        <f t="shared" si="269"/>
        <v>70.2</v>
      </c>
      <c r="CG781" s="67">
        <f t="shared" si="270"/>
        <v>93.6</v>
      </c>
      <c r="CH781" s="67">
        <f t="shared" si="262"/>
        <v>101.39999999999999</v>
      </c>
      <c r="CI781" s="67">
        <f t="shared" si="275"/>
        <v>70.2</v>
      </c>
      <c r="CJ781" s="37">
        <f t="shared" si="271"/>
        <v>23.400000000000002</v>
      </c>
      <c r="CK781" s="37">
        <f t="shared" si="272"/>
        <v>31.200000000000003</v>
      </c>
      <c r="CL781" s="37">
        <f t="shared" si="273"/>
        <v>33.800000000000004</v>
      </c>
      <c r="CM781" s="37">
        <f t="shared" si="274"/>
        <v>23.400000000000002</v>
      </c>
    </row>
    <row r="782" spans="1:91" ht="33.75">
      <c r="B782" s="156">
        <v>768</v>
      </c>
      <c r="C782" s="160">
        <v>615</v>
      </c>
      <c r="D782" s="160">
        <v>522</v>
      </c>
      <c r="E782" s="161">
        <v>0.71527777777777779</v>
      </c>
      <c r="F782" s="161">
        <v>0.72916666666666663</v>
      </c>
      <c r="G782" s="160" t="s">
        <v>47</v>
      </c>
      <c r="H782" s="160" t="s">
        <v>103</v>
      </c>
      <c r="I782" s="163">
        <v>10</v>
      </c>
      <c r="J782" s="164" t="s">
        <v>125</v>
      </c>
      <c r="K782" s="165">
        <v>174</v>
      </c>
      <c r="L782" s="166">
        <f t="shared" si="261"/>
        <v>1740</v>
      </c>
      <c r="M782" s="167" t="s">
        <v>738</v>
      </c>
      <c r="N782" s="154" t="s">
        <v>910</v>
      </c>
      <c r="O782" s="154">
        <v>24</v>
      </c>
      <c r="P782" s="150" t="s">
        <v>1980</v>
      </c>
      <c r="Q782" s="154">
        <v>24</v>
      </c>
      <c r="S782" s="154"/>
      <c r="T782" s="45">
        <v>6120</v>
      </c>
      <c r="U782" s="45" t="s">
        <v>1341</v>
      </c>
      <c r="V782" s="45">
        <v>6127</v>
      </c>
      <c r="W782" s="45" t="s">
        <v>1730</v>
      </c>
      <c r="X782" s="98">
        <v>44816</v>
      </c>
      <c r="Y782" s="98">
        <v>45086</v>
      </c>
      <c r="Z782" s="98"/>
      <c r="AA782" s="98"/>
      <c r="AB782" s="41" t="s">
        <v>1114</v>
      </c>
      <c r="AC782" s="41"/>
      <c r="AD782" s="42"/>
      <c r="AE782" s="42"/>
      <c r="AF782" s="42"/>
      <c r="AG782" s="42" t="s">
        <v>734</v>
      </c>
      <c r="AH782" s="42" t="s">
        <v>734</v>
      </c>
      <c r="AI782" s="42" t="s">
        <v>734</v>
      </c>
      <c r="AJ782" s="42" t="s">
        <v>734</v>
      </c>
      <c r="AK782" s="42" t="s">
        <v>734</v>
      </c>
      <c r="AL782" s="42" t="s">
        <v>734</v>
      </c>
      <c r="AM782" s="42"/>
      <c r="AN782" s="42"/>
      <c r="AO782" s="42"/>
      <c r="AP782" s="42"/>
      <c r="AQ782" s="42"/>
      <c r="AR782" s="42"/>
      <c r="AS782" s="42"/>
      <c r="AT782" s="42"/>
      <c r="AU782" s="42"/>
      <c r="AV782" s="42"/>
      <c r="AW782" s="42"/>
      <c r="AX782" s="68">
        <v>30</v>
      </c>
      <c r="AY782" s="68"/>
      <c r="BA782" s="37"/>
      <c r="BB782" s="37"/>
      <c r="BD782" s="67">
        <f t="shared" si="266"/>
        <v>5220</v>
      </c>
      <c r="BE782" s="67"/>
      <c r="BF782" s="37"/>
      <c r="BG782" s="73">
        <v>1</v>
      </c>
      <c r="BH782" s="67">
        <f t="shared" si="276"/>
        <v>0</v>
      </c>
      <c r="BI782" s="67">
        <f t="shared" si="277"/>
        <v>0</v>
      </c>
      <c r="BJ782" s="70">
        <f t="shared" si="278"/>
        <v>0</v>
      </c>
      <c r="BN782" s="37"/>
      <c r="BO782" s="70">
        <f t="shared" si="267"/>
        <v>0</v>
      </c>
      <c r="BP782" s="37">
        <v>15</v>
      </c>
      <c r="BQ782" s="37">
        <v>20</v>
      </c>
      <c r="BR782" s="37">
        <v>21</v>
      </c>
      <c r="BS782" s="37">
        <v>15</v>
      </c>
      <c r="BT782" s="87">
        <f t="shared" si="268"/>
        <v>30</v>
      </c>
      <c r="BU782" s="87"/>
      <c r="BV782" s="87"/>
      <c r="BW782" s="87"/>
      <c r="BX782" s="87"/>
      <c r="BY782" s="87"/>
      <c r="BZ782" s="87"/>
      <c r="CA782" s="87"/>
      <c r="CB782" s="87"/>
      <c r="CC782" s="87"/>
      <c r="CD782" s="87"/>
      <c r="CF782" s="67">
        <f t="shared" si="269"/>
        <v>450</v>
      </c>
      <c r="CG782" s="67">
        <f t="shared" si="270"/>
        <v>600</v>
      </c>
      <c r="CH782" s="67">
        <f t="shared" si="262"/>
        <v>630</v>
      </c>
      <c r="CI782" s="67">
        <f t="shared" si="275"/>
        <v>450</v>
      </c>
      <c r="CJ782" s="37">
        <f t="shared" si="271"/>
        <v>150</v>
      </c>
      <c r="CK782" s="37">
        <f t="shared" si="272"/>
        <v>200</v>
      </c>
      <c r="CL782" s="37">
        <f t="shared" si="273"/>
        <v>210</v>
      </c>
      <c r="CM782" s="37">
        <f t="shared" si="274"/>
        <v>150</v>
      </c>
    </row>
    <row r="783" spans="1:91" ht="33.75">
      <c r="B783" s="156">
        <v>769</v>
      </c>
      <c r="C783" s="160">
        <v>615</v>
      </c>
      <c r="D783" s="174">
        <v>520</v>
      </c>
      <c r="E783" s="173">
        <v>0.75347222222222221</v>
      </c>
      <c r="F783" s="173">
        <v>0.76736111111111116</v>
      </c>
      <c r="G783" s="160" t="s">
        <v>47</v>
      </c>
      <c r="H783" s="160" t="s">
        <v>509</v>
      </c>
      <c r="I783" s="163">
        <v>22</v>
      </c>
      <c r="J783" s="164" t="s">
        <v>93</v>
      </c>
      <c r="K783" s="165">
        <v>12</v>
      </c>
      <c r="L783" s="166">
        <f t="shared" si="261"/>
        <v>264</v>
      </c>
      <c r="M783" s="177" t="s">
        <v>737</v>
      </c>
      <c r="N783" s="154" t="s">
        <v>913</v>
      </c>
      <c r="O783" s="154">
        <v>24</v>
      </c>
      <c r="P783" s="150" t="s">
        <v>912</v>
      </c>
      <c r="Q783" s="150">
        <v>21</v>
      </c>
      <c r="R783" s="150"/>
      <c r="S783" s="154"/>
      <c r="T783" s="45">
        <v>6120</v>
      </c>
      <c r="U783" s="45" t="s">
        <v>1341</v>
      </c>
      <c r="V783" s="45">
        <v>6127</v>
      </c>
      <c r="W783" s="45" t="s">
        <v>1730</v>
      </c>
      <c r="X783" s="99">
        <v>44562</v>
      </c>
      <c r="Y783" s="99">
        <v>44815</v>
      </c>
      <c r="Z783" s="99">
        <v>45101</v>
      </c>
      <c r="AA783" s="99">
        <v>45169</v>
      </c>
      <c r="AB783" s="41" t="s">
        <v>1131</v>
      </c>
      <c r="AC783" s="41"/>
      <c r="AD783" s="42"/>
      <c r="AE783" s="42" t="s">
        <v>734</v>
      </c>
      <c r="AF783" s="42" t="s">
        <v>734</v>
      </c>
      <c r="AG783" s="42"/>
      <c r="AH783" s="42"/>
      <c r="AI783" s="42"/>
      <c r="AJ783" s="42"/>
      <c r="AK783" s="42"/>
      <c r="AL783" s="42"/>
      <c r="AM783" s="42" t="s">
        <v>734</v>
      </c>
      <c r="AN783" s="42"/>
      <c r="AO783" s="42"/>
      <c r="AP783" s="42"/>
      <c r="AQ783" s="42"/>
      <c r="AR783" s="42"/>
      <c r="AS783" s="42"/>
      <c r="AT783" s="42"/>
      <c r="AU783" s="42"/>
      <c r="AV783" s="42"/>
      <c r="AW783" s="42"/>
      <c r="AX783" s="68">
        <v>55</v>
      </c>
      <c r="AY783" s="68"/>
      <c r="BA783" s="37"/>
      <c r="BB783" s="37"/>
      <c r="BD783" s="67">
        <f t="shared" si="266"/>
        <v>660</v>
      </c>
      <c r="BE783" s="67"/>
      <c r="BF783" s="37"/>
      <c r="BG783" s="73">
        <v>1</v>
      </c>
      <c r="BH783" s="67">
        <f t="shared" si="276"/>
        <v>0</v>
      </c>
      <c r="BI783" s="67">
        <f t="shared" si="277"/>
        <v>0</v>
      </c>
      <c r="BJ783" s="70">
        <f t="shared" si="278"/>
        <v>0</v>
      </c>
      <c r="BN783" s="37"/>
      <c r="BO783" s="70">
        <f t="shared" si="267"/>
        <v>0</v>
      </c>
      <c r="BP783" s="37">
        <v>2</v>
      </c>
      <c r="BQ783" s="37">
        <v>0</v>
      </c>
      <c r="BR783" s="37">
        <v>0</v>
      </c>
      <c r="BT783" s="87">
        <f t="shared" si="268"/>
        <v>55</v>
      </c>
      <c r="BU783" s="87"/>
      <c r="BV783" s="87"/>
      <c r="BW783" s="87"/>
      <c r="BX783" s="87"/>
      <c r="BY783" s="87"/>
      <c r="BZ783" s="87"/>
      <c r="CA783" s="87"/>
      <c r="CB783" s="87"/>
      <c r="CC783" s="87"/>
      <c r="CD783" s="87"/>
      <c r="CF783" s="67">
        <f t="shared" si="269"/>
        <v>110</v>
      </c>
      <c r="CG783" s="67">
        <f t="shared" si="270"/>
        <v>0</v>
      </c>
      <c r="CH783" s="67">
        <f t="shared" si="262"/>
        <v>0</v>
      </c>
      <c r="CI783" s="67">
        <f t="shared" si="275"/>
        <v>0</v>
      </c>
      <c r="CJ783" s="37">
        <f t="shared" si="271"/>
        <v>44</v>
      </c>
      <c r="CK783" s="37">
        <f t="shared" si="272"/>
        <v>0</v>
      </c>
      <c r="CL783" s="37">
        <f t="shared" si="273"/>
        <v>0</v>
      </c>
      <c r="CM783" s="37">
        <f t="shared" si="274"/>
        <v>0</v>
      </c>
    </row>
    <row r="784" spans="1:91" ht="33.75">
      <c r="B784" s="156">
        <v>770</v>
      </c>
      <c r="C784" s="169">
        <v>615</v>
      </c>
      <c r="D784" s="169">
        <v>520</v>
      </c>
      <c r="E784" s="170">
        <v>0.75347222222222221</v>
      </c>
      <c r="F784" s="170">
        <v>0.76736111111111116</v>
      </c>
      <c r="G784" s="171" t="s">
        <v>47</v>
      </c>
      <c r="H784" s="160" t="s">
        <v>479</v>
      </c>
      <c r="I784" s="169">
        <v>10</v>
      </c>
      <c r="J784" s="172">
        <v>19</v>
      </c>
      <c r="K784" s="165">
        <v>240</v>
      </c>
      <c r="L784" s="166">
        <f t="shared" si="261"/>
        <v>2400</v>
      </c>
      <c r="M784" s="167" t="s">
        <v>738</v>
      </c>
      <c r="N784" s="150" t="s">
        <v>910</v>
      </c>
      <c r="O784" s="150">
        <v>24</v>
      </c>
      <c r="P784" s="221" t="s">
        <v>2077</v>
      </c>
      <c r="Q784" s="221">
        <v>42</v>
      </c>
      <c r="S784" s="150"/>
      <c r="T784" s="45">
        <v>6120</v>
      </c>
      <c r="U784" s="45" t="s">
        <v>1341</v>
      </c>
      <c r="V784" s="45">
        <v>6127</v>
      </c>
      <c r="W784" s="45" t="s">
        <v>1730</v>
      </c>
      <c r="X784" s="99">
        <v>44816</v>
      </c>
      <c r="Y784" s="99">
        <v>45100</v>
      </c>
      <c r="Z784" s="99"/>
      <c r="AA784" s="99"/>
      <c r="AB784" s="45" t="s">
        <v>1124</v>
      </c>
      <c r="AC784" s="45"/>
      <c r="AD784" s="42" t="s">
        <v>734</v>
      </c>
      <c r="AE784" s="42"/>
      <c r="AF784" s="42" t="s">
        <v>734</v>
      </c>
      <c r="AG784" s="42"/>
      <c r="AH784" s="42" t="s">
        <v>734</v>
      </c>
      <c r="AI784" s="42" t="s">
        <v>734</v>
      </c>
      <c r="AJ784" s="42" t="s">
        <v>734</v>
      </c>
      <c r="AK784" s="42" t="s">
        <v>734</v>
      </c>
      <c r="AL784" s="42" t="s">
        <v>734</v>
      </c>
      <c r="AM784" s="42" t="s">
        <v>734</v>
      </c>
      <c r="AN784" s="42"/>
      <c r="AO784" s="42"/>
      <c r="AP784" s="42"/>
      <c r="AQ784" s="42"/>
      <c r="AR784" s="42"/>
      <c r="AS784" s="42"/>
      <c r="AT784" s="42"/>
      <c r="AU784" s="42"/>
      <c r="AV784" s="42"/>
      <c r="AW784" s="42"/>
      <c r="BA784" s="39" t="s">
        <v>738</v>
      </c>
      <c r="BB784" s="39"/>
      <c r="BD784" s="67">
        <f t="shared" si="266"/>
        <v>0</v>
      </c>
      <c r="BF784" s="37"/>
      <c r="BG784" s="73">
        <v>1</v>
      </c>
      <c r="BI784" s="67"/>
      <c r="BJ784" s="37"/>
      <c r="BN784" s="37"/>
      <c r="BO784" s="70">
        <f t="shared" si="267"/>
        <v>0</v>
      </c>
      <c r="BP784" s="37">
        <v>17</v>
      </c>
      <c r="BQ784" s="37">
        <v>26</v>
      </c>
      <c r="BR784" s="37">
        <v>25</v>
      </c>
      <c r="BS784" s="37">
        <v>25</v>
      </c>
      <c r="BT784" s="87">
        <f t="shared" si="268"/>
        <v>0</v>
      </c>
      <c r="BU784" s="87"/>
      <c r="BV784" s="87"/>
      <c r="BW784" s="87"/>
      <c r="BX784" s="87"/>
      <c r="BY784" s="87"/>
      <c r="BZ784" s="87"/>
      <c r="CA784" s="87"/>
      <c r="CB784" s="87"/>
      <c r="CC784" s="87"/>
      <c r="CD784" s="87"/>
      <c r="CF784" s="67">
        <f t="shared" si="269"/>
        <v>0</v>
      </c>
      <c r="CG784" s="67">
        <f t="shared" si="270"/>
        <v>0</v>
      </c>
      <c r="CH784" s="67">
        <f t="shared" si="262"/>
        <v>0</v>
      </c>
      <c r="CI784" s="67">
        <f t="shared" si="275"/>
        <v>0</v>
      </c>
      <c r="CJ784" s="37">
        <f t="shared" si="271"/>
        <v>170</v>
      </c>
      <c r="CK784" s="37">
        <f t="shared" si="272"/>
        <v>260</v>
      </c>
      <c r="CL784" s="37">
        <f t="shared" si="273"/>
        <v>250</v>
      </c>
      <c r="CM784" s="37">
        <f t="shared" si="274"/>
        <v>250</v>
      </c>
    </row>
    <row r="785" spans="2:91" ht="25.5">
      <c r="B785" s="156">
        <v>771</v>
      </c>
      <c r="C785" s="169">
        <v>615</v>
      </c>
      <c r="D785" s="169">
        <v>515</v>
      </c>
      <c r="E785" s="170">
        <v>0.7680555555555556</v>
      </c>
      <c r="F785" s="170">
        <v>0.78541666666666676</v>
      </c>
      <c r="G785" s="171" t="s">
        <v>46</v>
      </c>
      <c r="H785" s="160" t="s">
        <v>479</v>
      </c>
      <c r="I785" s="169">
        <v>12</v>
      </c>
      <c r="J785" s="172">
        <v>19</v>
      </c>
      <c r="K785" s="165">
        <v>240</v>
      </c>
      <c r="L785" s="166">
        <f t="shared" si="261"/>
        <v>2880</v>
      </c>
      <c r="M785" s="167" t="s">
        <v>738</v>
      </c>
      <c r="N785" s="150" t="s">
        <v>910</v>
      </c>
      <c r="O785" s="150">
        <v>24</v>
      </c>
      <c r="P785" s="221" t="s">
        <v>2077</v>
      </c>
      <c r="Q785" s="221">
        <v>42</v>
      </c>
      <c r="S785" s="150"/>
      <c r="T785" s="45">
        <v>6127</v>
      </c>
      <c r="U785" s="45" t="s">
        <v>1730</v>
      </c>
      <c r="V785" s="45">
        <v>6120</v>
      </c>
      <c r="W785" s="45" t="s">
        <v>1341</v>
      </c>
      <c r="X785" s="99">
        <v>44816</v>
      </c>
      <c r="Y785" s="99">
        <v>45100</v>
      </c>
      <c r="Z785" s="99"/>
      <c r="AA785" s="99"/>
      <c r="AB785" s="45" t="s">
        <v>1124</v>
      </c>
      <c r="AC785" s="45"/>
      <c r="AD785" s="42" t="s">
        <v>734</v>
      </c>
      <c r="AE785" s="42"/>
      <c r="AF785" s="42" t="s">
        <v>734</v>
      </c>
      <c r="AG785" s="42"/>
      <c r="AH785" s="42" t="s">
        <v>734</v>
      </c>
      <c r="AI785" s="42" t="s">
        <v>734</v>
      </c>
      <c r="AJ785" s="42" t="s">
        <v>734</v>
      </c>
      <c r="AK785" s="42" t="s">
        <v>734</v>
      </c>
      <c r="AL785" s="42" t="s">
        <v>734</v>
      </c>
      <c r="AM785" s="42" t="s">
        <v>734</v>
      </c>
      <c r="AN785" s="42"/>
      <c r="AO785" s="42"/>
      <c r="AP785" s="42"/>
      <c r="AQ785" s="42"/>
      <c r="AR785" s="42"/>
      <c r="AS785" s="42"/>
      <c r="AT785" s="42"/>
      <c r="AU785" s="42"/>
      <c r="AV785" s="42"/>
      <c r="AW785" s="42"/>
      <c r="BA785" s="39" t="s">
        <v>738</v>
      </c>
      <c r="BB785" s="39"/>
      <c r="BD785" s="67">
        <f t="shared" si="266"/>
        <v>0</v>
      </c>
      <c r="BF785" s="37"/>
      <c r="BG785" s="73">
        <v>1</v>
      </c>
      <c r="BI785" s="67"/>
      <c r="BJ785" s="37"/>
      <c r="BN785" s="37"/>
      <c r="BO785" s="70">
        <f t="shared" si="267"/>
        <v>0</v>
      </c>
      <c r="BP785" s="37">
        <v>17</v>
      </c>
      <c r="BQ785" s="37">
        <v>26</v>
      </c>
      <c r="BR785" s="37">
        <v>25</v>
      </c>
      <c r="BS785" s="37">
        <v>25</v>
      </c>
      <c r="BT785" s="87">
        <f t="shared" si="268"/>
        <v>0</v>
      </c>
      <c r="BU785" s="87"/>
      <c r="BV785" s="87"/>
      <c r="BW785" s="87"/>
      <c r="BX785" s="87"/>
      <c r="BY785" s="87"/>
      <c r="BZ785" s="87"/>
      <c r="CA785" s="87"/>
      <c r="CB785" s="87"/>
      <c r="CC785" s="87"/>
      <c r="CD785" s="87"/>
      <c r="CF785" s="67">
        <f t="shared" si="269"/>
        <v>0</v>
      </c>
      <c r="CG785" s="67">
        <f t="shared" si="270"/>
        <v>0</v>
      </c>
      <c r="CH785" s="67">
        <f t="shared" si="262"/>
        <v>0</v>
      </c>
      <c r="CI785" s="67">
        <f t="shared" si="275"/>
        <v>0</v>
      </c>
      <c r="CJ785" s="37">
        <f t="shared" si="271"/>
        <v>204</v>
      </c>
      <c r="CK785" s="37">
        <f t="shared" si="272"/>
        <v>312</v>
      </c>
      <c r="CL785" s="37">
        <f t="shared" si="273"/>
        <v>300</v>
      </c>
      <c r="CM785" s="37">
        <f t="shared" si="274"/>
        <v>300</v>
      </c>
    </row>
    <row r="786" spans="2:91" ht="25.5">
      <c r="B786" s="156">
        <v>772</v>
      </c>
      <c r="C786" s="160">
        <v>615</v>
      </c>
      <c r="D786" s="174">
        <v>517</v>
      </c>
      <c r="E786" s="161">
        <v>0.7680555555555556</v>
      </c>
      <c r="F786" s="161">
        <v>0.78541666666666676</v>
      </c>
      <c r="G786" s="160" t="s">
        <v>46</v>
      </c>
      <c r="H786" s="160" t="s">
        <v>509</v>
      </c>
      <c r="I786" s="163">
        <v>22</v>
      </c>
      <c r="J786" s="164" t="s">
        <v>93</v>
      </c>
      <c r="K786" s="165">
        <v>12</v>
      </c>
      <c r="L786" s="166">
        <f t="shared" si="261"/>
        <v>264</v>
      </c>
      <c r="M786" s="167" t="s">
        <v>737</v>
      </c>
      <c r="N786" s="154" t="s">
        <v>913</v>
      </c>
      <c r="O786" s="154">
        <v>24</v>
      </c>
      <c r="P786" s="150" t="s">
        <v>912</v>
      </c>
      <c r="Q786" s="150">
        <v>21</v>
      </c>
      <c r="R786" s="150"/>
      <c r="S786" s="154"/>
      <c r="T786" s="45">
        <v>6127</v>
      </c>
      <c r="U786" s="45" t="s">
        <v>1730</v>
      </c>
      <c r="V786" s="45">
        <v>6120</v>
      </c>
      <c r="W786" s="45" t="s">
        <v>1341</v>
      </c>
      <c r="X786" s="99">
        <v>44562</v>
      </c>
      <c r="Y786" s="99">
        <v>44815</v>
      </c>
      <c r="Z786" s="99">
        <v>45101</v>
      </c>
      <c r="AA786" s="99">
        <v>45169</v>
      </c>
      <c r="AB786" s="41" t="s">
        <v>1131</v>
      </c>
      <c r="AC786" s="41"/>
      <c r="AD786" s="42"/>
      <c r="AE786" s="42" t="s">
        <v>734</v>
      </c>
      <c r="AF786" s="42" t="s">
        <v>734</v>
      </c>
      <c r="AG786" s="42"/>
      <c r="AH786" s="42"/>
      <c r="AI786" s="42"/>
      <c r="AJ786" s="42"/>
      <c r="AK786" s="42"/>
      <c r="AL786" s="42"/>
      <c r="AM786" s="42" t="s">
        <v>734</v>
      </c>
      <c r="AN786" s="42"/>
      <c r="AO786" s="42"/>
      <c r="AP786" s="42"/>
      <c r="AQ786" s="42"/>
      <c r="AR786" s="42"/>
      <c r="AS786" s="42"/>
      <c r="AT786" s="42"/>
      <c r="AU786" s="42"/>
      <c r="AV786" s="42"/>
      <c r="AW786" s="42"/>
      <c r="AX786" s="68">
        <v>55</v>
      </c>
      <c r="AY786" s="68"/>
      <c r="BA786" s="37"/>
      <c r="BB786" s="37"/>
      <c r="BD786" s="67">
        <f t="shared" si="266"/>
        <v>660</v>
      </c>
      <c r="BE786" s="67"/>
      <c r="BF786" s="37"/>
      <c r="BG786" s="73">
        <v>1</v>
      </c>
      <c r="BH786" s="67">
        <f t="shared" ref="BH786:BH811" si="279">IF(AND((AX786/I786)&lt;2,BG786=1),(I786*2)-AX786,0)</f>
        <v>0</v>
      </c>
      <c r="BI786" s="67">
        <f t="shared" ref="BI786:BI811" si="280">IF(AND((AX786/I786)&lt;3,BG786=2),(I786*3)-AX786,0)</f>
        <v>0</v>
      </c>
      <c r="BJ786" s="70">
        <f t="shared" ref="BJ786:BJ811" si="281">(BH786+BI786)*K786</f>
        <v>0</v>
      </c>
      <c r="BN786" s="37"/>
      <c r="BO786" s="70">
        <f t="shared" si="267"/>
        <v>0</v>
      </c>
      <c r="BP786" s="37">
        <v>2</v>
      </c>
      <c r="BQ786" s="37">
        <v>0</v>
      </c>
      <c r="BR786" s="37">
        <v>0</v>
      </c>
      <c r="BT786" s="87">
        <f t="shared" si="268"/>
        <v>55</v>
      </c>
      <c r="BU786" s="87"/>
      <c r="BV786" s="87"/>
      <c r="BW786" s="87"/>
      <c r="BX786" s="87"/>
      <c r="BY786" s="87"/>
      <c r="BZ786" s="87"/>
      <c r="CA786" s="87"/>
      <c r="CB786" s="87"/>
      <c r="CC786" s="87"/>
      <c r="CD786" s="87"/>
      <c r="CF786" s="67">
        <f t="shared" si="269"/>
        <v>110</v>
      </c>
      <c r="CG786" s="67">
        <f t="shared" si="270"/>
        <v>0</v>
      </c>
      <c r="CH786" s="67">
        <f t="shared" si="262"/>
        <v>0</v>
      </c>
      <c r="CI786" s="67">
        <f t="shared" si="275"/>
        <v>0</v>
      </c>
      <c r="CJ786" s="37">
        <f t="shared" si="271"/>
        <v>44</v>
      </c>
      <c r="CK786" s="37">
        <f t="shared" si="272"/>
        <v>0</v>
      </c>
      <c r="CL786" s="37">
        <f t="shared" si="273"/>
        <v>0</v>
      </c>
      <c r="CM786" s="37">
        <f t="shared" si="274"/>
        <v>0</v>
      </c>
    </row>
    <row r="787" spans="2:91" ht="25.5">
      <c r="B787" s="156">
        <v>773</v>
      </c>
      <c r="C787" s="160">
        <v>620</v>
      </c>
      <c r="D787" s="160">
        <v>230</v>
      </c>
      <c r="E787" s="173">
        <v>0.25972222222222224</v>
      </c>
      <c r="F787" s="161">
        <v>0.2902777777777778</v>
      </c>
      <c r="G787" s="160" t="s">
        <v>1070</v>
      </c>
      <c r="H787" s="160" t="s">
        <v>103</v>
      </c>
      <c r="I787" s="163">
        <v>18</v>
      </c>
      <c r="J787" s="164" t="s">
        <v>93</v>
      </c>
      <c r="K787" s="165">
        <v>174</v>
      </c>
      <c r="L787" s="166">
        <f t="shared" si="261"/>
        <v>3132</v>
      </c>
      <c r="M787" s="167" t="s">
        <v>750</v>
      </c>
      <c r="N787" s="187" t="s">
        <v>863</v>
      </c>
      <c r="O787" s="154">
        <v>23</v>
      </c>
      <c r="P787" s="154" t="s">
        <v>1295</v>
      </c>
      <c r="Q787" s="154">
        <v>21</v>
      </c>
      <c r="S787" s="154"/>
      <c r="T787" s="45">
        <v>6146</v>
      </c>
      <c r="U787" s="45" t="s">
        <v>1733</v>
      </c>
      <c r="V787" s="45">
        <v>6220</v>
      </c>
      <c r="W787" s="45" t="s">
        <v>1384</v>
      </c>
      <c r="X787" s="98">
        <v>44816</v>
      </c>
      <c r="Y787" s="98">
        <v>45086</v>
      </c>
      <c r="Z787" s="98"/>
      <c r="AA787" s="98"/>
      <c r="AB787" s="41" t="s">
        <v>1114</v>
      </c>
      <c r="AC787" s="41"/>
      <c r="AD787" s="42"/>
      <c r="AE787" s="42"/>
      <c r="AF787" s="42"/>
      <c r="AG787" s="42" t="s">
        <v>734</v>
      </c>
      <c r="AH787" s="42" t="s">
        <v>734</v>
      </c>
      <c r="AI787" s="42" t="s">
        <v>734</v>
      </c>
      <c r="AJ787" s="42" t="s">
        <v>734</v>
      </c>
      <c r="AK787" s="42" t="s">
        <v>734</v>
      </c>
      <c r="AL787" s="42" t="s">
        <v>734</v>
      </c>
      <c r="AM787" s="42"/>
      <c r="AN787" s="42"/>
      <c r="AO787" s="42"/>
      <c r="AP787" s="42"/>
      <c r="AQ787" s="42"/>
      <c r="AR787" s="42"/>
      <c r="AS787" s="42"/>
      <c r="AT787" s="42"/>
      <c r="AU787" s="42"/>
      <c r="AV787" s="42"/>
      <c r="AW787" s="42"/>
      <c r="AX787" s="68">
        <v>56.400000000000006</v>
      </c>
      <c r="AY787" s="68"/>
      <c r="BA787" s="37"/>
      <c r="BB787" s="37"/>
      <c r="BD787" s="67">
        <f t="shared" ref="BD787:BD818" si="282">AX787*K787</f>
        <v>9813.6</v>
      </c>
      <c r="BE787" s="67"/>
      <c r="BF787" s="37"/>
      <c r="BG787" s="73">
        <v>1</v>
      </c>
      <c r="BH787" s="67">
        <f t="shared" si="279"/>
        <v>0</v>
      </c>
      <c r="BI787" s="67">
        <f t="shared" si="280"/>
        <v>0</v>
      </c>
      <c r="BJ787" s="70">
        <f t="shared" si="281"/>
        <v>0</v>
      </c>
      <c r="BN787" s="67">
        <f>IF((AX787+AY787+AZ787)&lt;20,(20-(AX787+AY787+AZ787)),0)</f>
        <v>0</v>
      </c>
      <c r="BO787" s="70">
        <f t="shared" si="267"/>
        <v>0</v>
      </c>
      <c r="BP787" s="37">
        <v>15</v>
      </c>
      <c r="BQ787" s="37">
        <v>20</v>
      </c>
      <c r="BR787" s="37">
        <v>21</v>
      </c>
      <c r="BS787" s="37">
        <v>15</v>
      </c>
      <c r="BT787" s="87">
        <f t="shared" si="268"/>
        <v>56.400000000000006</v>
      </c>
      <c r="BU787" s="87"/>
      <c r="BV787" s="87"/>
      <c r="BW787" s="87"/>
      <c r="BX787" s="87"/>
      <c r="BY787" s="87"/>
      <c r="BZ787" s="87"/>
      <c r="CA787" s="87"/>
      <c r="CB787" s="87"/>
      <c r="CC787" s="87"/>
      <c r="CD787" s="87"/>
      <c r="CF787" s="67">
        <f t="shared" si="269"/>
        <v>846.00000000000011</v>
      </c>
      <c r="CG787" s="67">
        <f t="shared" si="270"/>
        <v>1128</v>
      </c>
      <c r="CH787" s="67">
        <f t="shared" si="262"/>
        <v>1184.4000000000001</v>
      </c>
      <c r="CI787" s="67">
        <f t="shared" si="275"/>
        <v>846.00000000000011</v>
      </c>
      <c r="CJ787" s="37">
        <f t="shared" si="271"/>
        <v>270</v>
      </c>
      <c r="CK787" s="37">
        <f t="shared" si="272"/>
        <v>360</v>
      </c>
      <c r="CL787" s="37">
        <f t="shared" si="273"/>
        <v>378</v>
      </c>
      <c r="CM787" s="37">
        <f t="shared" si="274"/>
        <v>270</v>
      </c>
    </row>
    <row r="788" spans="2:91" ht="25.5">
      <c r="B788" s="156">
        <v>774</v>
      </c>
      <c r="C788" s="174">
        <v>620</v>
      </c>
      <c r="D788" s="160">
        <v>223</v>
      </c>
      <c r="E788" s="161">
        <v>0.26944444444444443</v>
      </c>
      <c r="F788" s="161">
        <v>0.31527777777777777</v>
      </c>
      <c r="G788" s="160" t="s">
        <v>474</v>
      </c>
      <c r="H788" s="160" t="s">
        <v>425</v>
      </c>
      <c r="I788" s="163">
        <v>32.5</v>
      </c>
      <c r="J788" s="164" t="s">
        <v>188</v>
      </c>
      <c r="K788" s="165">
        <v>55</v>
      </c>
      <c r="L788" s="166">
        <f t="shared" si="261"/>
        <v>1787.5</v>
      </c>
      <c r="M788" s="167" t="s">
        <v>737</v>
      </c>
      <c r="N788" s="154" t="s">
        <v>983</v>
      </c>
      <c r="O788" s="154">
        <v>31</v>
      </c>
      <c r="P788" s="150" t="s">
        <v>1983</v>
      </c>
      <c r="Q788" s="150">
        <v>54</v>
      </c>
      <c r="S788" s="154"/>
      <c r="T788" s="45">
        <v>6220</v>
      </c>
      <c r="U788" s="45" t="s">
        <v>1384</v>
      </c>
      <c r="V788" s="45" t="s">
        <v>1435</v>
      </c>
      <c r="W788" s="45" t="s">
        <v>1436</v>
      </c>
      <c r="X788" s="99">
        <v>44562</v>
      </c>
      <c r="Y788" s="99">
        <v>44815</v>
      </c>
      <c r="Z788" s="99">
        <v>45101</v>
      </c>
      <c r="AA788" s="99">
        <v>45169</v>
      </c>
      <c r="AB788" s="41" t="s">
        <v>1121</v>
      </c>
      <c r="AC788" s="41"/>
      <c r="AD788" s="42"/>
      <c r="AE788" s="42" t="s">
        <v>734</v>
      </c>
      <c r="AF788" s="42" t="s">
        <v>734</v>
      </c>
      <c r="AG788" s="42"/>
      <c r="AH788" s="42" t="s">
        <v>734</v>
      </c>
      <c r="AI788" s="42" t="s">
        <v>734</v>
      </c>
      <c r="AJ788" s="42" t="s">
        <v>734</v>
      </c>
      <c r="AK788" s="42" t="s">
        <v>734</v>
      </c>
      <c r="AL788" s="42" t="s">
        <v>734</v>
      </c>
      <c r="AM788" s="42"/>
      <c r="AN788" s="42"/>
      <c r="AO788" s="42"/>
      <c r="AP788" s="42"/>
      <c r="AQ788" s="42"/>
      <c r="AR788" s="42"/>
      <c r="AS788" s="42"/>
      <c r="AT788" s="42"/>
      <c r="AU788" s="42"/>
      <c r="AV788" s="42"/>
      <c r="AW788" s="42"/>
      <c r="AX788" s="68">
        <v>97.5</v>
      </c>
      <c r="AY788" s="68"/>
      <c r="BA788" s="37"/>
      <c r="BB788" s="37"/>
      <c r="BD788" s="67">
        <f t="shared" si="282"/>
        <v>5362.5</v>
      </c>
      <c r="BE788" s="67"/>
      <c r="BF788" s="37"/>
      <c r="BG788" s="73">
        <v>1</v>
      </c>
      <c r="BH788" s="67">
        <f t="shared" si="279"/>
        <v>0</v>
      </c>
      <c r="BI788" s="67">
        <f t="shared" si="280"/>
        <v>0</v>
      </c>
      <c r="BJ788" s="70">
        <f t="shared" si="281"/>
        <v>0</v>
      </c>
      <c r="BN788" s="67">
        <f>IF((AX788+AY788+AZ788)&lt;20,(20-(AX788+AY788+AZ788)),0)</f>
        <v>0</v>
      </c>
      <c r="BO788" s="70">
        <f t="shared" si="267"/>
        <v>0</v>
      </c>
      <c r="BP788" s="37">
        <v>7</v>
      </c>
      <c r="BQ788" s="37">
        <v>0</v>
      </c>
      <c r="BR788" s="37">
        <v>0</v>
      </c>
      <c r="BT788" s="87">
        <f t="shared" si="268"/>
        <v>97.5</v>
      </c>
      <c r="BU788" s="87"/>
      <c r="BV788" s="87"/>
      <c r="BW788" s="87"/>
      <c r="BX788" s="87"/>
      <c r="BY788" s="87"/>
      <c r="BZ788" s="87"/>
      <c r="CA788" s="87"/>
      <c r="CB788" s="87"/>
      <c r="CC788" s="87"/>
      <c r="CD788" s="87"/>
      <c r="CF788" s="67">
        <f t="shared" si="269"/>
        <v>682.5</v>
      </c>
      <c r="CG788" s="67">
        <f t="shared" si="270"/>
        <v>0</v>
      </c>
      <c r="CH788" s="67">
        <f t="shared" si="262"/>
        <v>0</v>
      </c>
      <c r="CI788" s="67">
        <f t="shared" si="275"/>
        <v>0</v>
      </c>
      <c r="CJ788" s="37">
        <f t="shared" si="271"/>
        <v>227.5</v>
      </c>
      <c r="CK788" s="37">
        <f t="shared" si="272"/>
        <v>0</v>
      </c>
      <c r="CL788" s="37">
        <f t="shared" si="273"/>
        <v>0</v>
      </c>
      <c r="CM788" s="37">
        <f t="shared" si="274"/>
        <v>0</v>
      </c>
    </row>
    <row r="789" spans="2:91" ht="33.75">
      <c r="B789" s="156">
        <v>775</v>
      </c>
      <c r="C789" s="160">
        <v>620</v>
      </c>
      <c r="D789" s="160">
        <v>237</v>
      </c>
      <c r="E789" s="161">
        <v>0.53749999999999998</v>
      </c>
      <c r="F789" s="161">
        <v>0.54166666666666663</v>
      </c>
      <c r="G789" s="160" t="s">
        <v>179</v>
      </c>
      <c r="H789" s="160" t="s">
        <v>97</v>
      </c>
      <c r="I789" s="163">
        <v>3</v>
      </c>
      <c r="J789" s="164" t="s">
        <v>116</v>
      </c>
      <c r="K789" s="165">
        <v>208</v>
      </c>
      <c r="L789" s="166">
        <f t="shared" ref="L789:L852" si="283">+K789*I789</f>
        <v>624</v>
      </c>
      <c r="M789" s="167" t="s">
        <v>781</v>
      </c>
      <c r="N789" s="154" t="s">
        <v>930</v>
      </c>
      <c r="O789" s="154">
        <v>9</v>
      </c>
      <c r="P789" s="154" t="s">
        <v>931</v>
      </c>
      <c r="Q789" s="154">
        <v>9</v>
      </c>
      <c r="R789" s="154" t="s">
        <v>1296</v>
      </c>
      <c r="S789" s="151">
        <v>9</v>
      </c>
      <c r="T789" s="45">
        <v>6144</v>
      </c>
      <c r="U789" s="45" t="s">
        <v>1734</v>
      </c>
      <c r="V789" s="45">
        <v>6143</v>
      </c>
      <c r="W789" s="45" t="s">
        <v>1735</v>
      </c>
      <c r="X789" s="98">
        <v>44816</v>
      </c>
      <c r="Y789" s="98">
        <v>45086</v>
      </c>
      <c r="Z789" s="98"/>
      <c r="AA789" s="98"/>
      <c r="AB789" s="41" t="s">
        <v>1118</v>
      </c>
      <c r="AC789" s="41"/>
      <c r="AD789" s="42"/>
      <c r="AE789" s="42"/>
      <c r="AF789" s="42"/>
      <c r="AG789" s="42" t="s">
        <v>734</v>
      </c>
      <c r="AH789" s="42" t="s">
        <v>734</v>
      </c>
      <c r="AI789" s="42" t="s">
        <v>734</v>
      </c>
      <c r="AJ789" s="42" t="s">
        <v>734</v>
      </c>
      <c r="AK789" s="42" t="s">
        <v>734</v>
      </c>
      <c r="AL789" s="42" t="s">
        <v>734</v>
      </c>
      <c r="AM789" s="42" t="s">
        <v>734</v>
      </c>
      <c r="AN789" s="42"/>
      <c r="AO789" s="42"/>
      <c r="AP789" s="42"/>
      <c r="AQ789" s="42"/>
      <c r="AR789" s="42"/>
      <c r="AS789" s="42"/>
      <c r="AT789" s="42"/>
      <c r="AU789" s="42"/>
      <c r="AV789" s="42"/>
      <c r="AW789" s="42"/>
      <c r="AX789" s="68">
        <v>7.91</v>
      </c>
      <c r="AY789" s="68"/>
      <c r="BA789" s="37"/>
      <c r="BB789" s="37"/>
      <c r="BD789" s="67">
        <f t="shared" si="282"/>
        <v>1645.28</v>
      </c>
      <c r="BE789" s="67"/>
      <c r="BF789" s="37"/>
      <c r="BG789" s="73">
        <v>1</v>
      </c>
      <c r="BH789" s="67">
        <f t="shared" si="279"/>
        <v>0</v>
      </c>
      <c r="BI789" s="67">
        <f t="shared" si="280"/>
        <v>0</v>
      </c>
      <c r="BJ789" s="70">
        <f t="shared" si="281"/>
        <v>0</v>
      </c>
      <c r="BN789" s="37"/>
      <c r="BO789" s="70">
        <f t="shared" si="267"/>
        <v>0</v>
      </c>
      <c r="BP789" s="37">
        <v>17</v>
      </c>
      <c r="BQ789" s="37">
        <v>25</v>
      </c>
      <c r="BR789" s="37">
        <v>25</v>
      </c>
      <c r="BS789" s="37">
        <v>18</v>
      </c>
      <c r="BT789" s="87">
        <f t="shared" si="268"/>
        <v>7.91</v>
      </c>
      <c r="BU789" s="87"/>
      <c r="BV789" s="87"/>
      <c r="BW789" s="87"/>
      <c r="BX789" s="87"/>
      <c r="BY789" s="87"/>
      <c r="BZ789" s="87"/>
      <c r="CA789" s="87"/>
      <c r="CB789" s="87"/>
      <c r="CC789" s="87"/>
      <c r="CD789" s="87"/>
      <c r="CF789" s="67">
        <f t="shared" si="269"/>
        <v>134.47</v>
      </c>
      <c r="CG789" s="67">
        <f t="shared" si="270"/>
        <v>197.75</v>
      </c>
      <c r="CH789" s="67">
        <f t="shared" ref="CH789:CH852" si="284">(BR789*BT789)+(BZ789*CD789)</f>
        <v>197.75</v>
      </c>
      <c r="CI789" s="67">
        <f t="shared" si="275"/>
        <v>142.38</v>
      </c>
      <c r="CJ789" s="37">
        <f t="shared" si="271"/>
        <v>51</v>
      </c>
      <c r="CK789" s="37">
        <f t="shared" si="272"/>
        <v>75</v>
      </c>
      <c r="CL789" s="37">
        <f t="shared" si="273"/>
        <v>75</v>
      </c>
      <c r="CM789" s="37">
        <f t="shared" si="274"/>
        <v>54</v>
      </c>
    </row>
    <row r="790" spans="2:91" ht="33.75">
      <c r="B790" s="156">
        <v>776</v>
      </c>
      <c r="C790" s="160">
        <v>620</v>
      </c>
      <c r="D790" s="160">
        <v>420</v>
      </c>
      <c r="E790" s="161">
        <v>0.56111111111111112</v>
      </c>
      <c r="F790" s="161">
        <v>0.57291666666666663</v>
      </c>
      <c r="G790" s="160" t="s">
        <v>177</v>
      </c>
      <c r="H790" s="160" t="s">
        <v>97</v>
      </c>
      <c r="I790" s="163">
        <v>11.4</v>
      </c>
      <c r="J790" s="164" t="s">
        <v>116</v>
      </c>
      <c r="K790" s="165">
        <v>208</v>
      </c>
      <c r="L790" s="166">
        <f t="shared" si="283"/>
        <v>2371.2000000000003</v>
      </c>
      <c r="M790" s="167" t="s">
        <v>781</v>
      </c>
      <c r="N790" s="154" t="s">
        <v>931</v>
      </c>
      <c r="O790" s="154">
        <v>9</v>
      </c>
      <c r="P790" s="154" t="s">
        <v>1296</v>
      </c>
      <c r="Q790" s="154">
        <v>9</v>
      </c>
      <c r="R790" s="154" t="s">
        <v>1297</v>
      </c>
      <c r="S790" s="151">
        <v>9</v>
      </c>
      <c r="T790" s="45">
        <v>6140</v>
      </c>
      <c r="U790" s="45" t="s">
        <v>1725</v>
      </c>
      <c r="V790" s="45">
        <v>6143</v>
      </c>
      <c r="W790" s="45" t="s">
        <v>1735</v>
      </c>
      <c r="X790" s="98">
        <v>44816</v>
      </c>
      <c r="Y790" s="98">
        <v>45086</v>
      </c>
      <c r="Z790" s="98"/>
      <c r="AA790" s="98"/>
      <c r="AB790" s="41" t="s">
        <v>1118</v>
      </c>
      <c r="AC790" s="41"/>
      <c r="AD790" s="42"/>
      <c r="AE790" s="42"/>
      <c r="AF790" s="42"/>
      <c r="AG790" s="42" t="s">
        <v>734</v>
      </c>
      <c r="AH790" s="42" t="s">
        <v>734</v>
      </c>
      <c r="AI790" s="42" t="s">
        <v>734</v>
      </c>
      <c r="AJ790" s="42" t="s">
        <v>734</v>
      </c>
      <c r="AK790" s="42" t="s">
        <v>734</v>
      </c>
      <c r="AL790" s="42" t="s">
        <v>734</v>
      </c>
      <c r="AM790" s="42" t="s">
        <v>734</v>
      </c>
      <c r="AN790" s="42"/>
      <c r="AO790" s="42"/>
      <c r="AP790" s="42"/>
      <c r="AQ790" s="42"/>
      <c r="AR790" s="42"/>
      <c r="AS790" s="42"/>
      <c r="AT790" s="42"/>
      <c r="AU790" s="42"/>
      <c r="AV790" s="42"/>
      <c r="AW790" s="42"/>
      <c r="AX790" s="68">
        <v>38.65</v>
      </c>
      <c r="AY790" s="68"/>
      <c r="BA790" s="37"/>
      <c r="BB790" s="37"/>
      <c r="BD790" s="67">
        <f t="shared" si="282"/>
        <v>8039.2</v>
      </c>
      <c r="BE790" s="67"/>
      <c r="BF790" s="37"/>
      <c r="BG790" s="73">
        <v>1</v>
      </c>
      <c r="BH790" s="67">
        <f t="shared" si="279"/>
        <v>0</v>
      </c>
      <c r="BI790" s="67">
        <f t="shared" si="280"/>
        <v>0</v>
      </c>
      <c r="BJ790" s="70">
        <f t="shared" si="281"/>
        <v>0</v>
      </c>
      <c r="BN790" s="37"/>
      <c r="BO790" s="70">
        <f t="shared" si="267"/>
        <v>0</v>
      </c>
      <c r="BP790" s="37">
        <v>17</v>
      </c>
      <c r="BQ790" s="37">
        <v>25</v>
      </c>
      <c r="BR790" s="37">
        <v>25</v>
      </c>
      <c r="BS790" s="37">
        <v>18</v>
      </c>
      <c r="BT790" s="87">
        <f t="shared" si="268"/>
        <v>38.65</v>
      </c>
      <c r="BU790" s="87"/>
      <c r="BV790" s="87"/>
      <c r="BW790" s="87"/>
      <c r="BX790" s="87"/>
      <c r="BY790" s="87"/>
      <c r="BZ790" s="87"/>
      <c r="CA790" s="87"/>
      <c r="CB790" s="87"/>
      <c r="CC790" s="87"/>
      <c r="CD790" s="87"/>
      <c r="CF790" s="67">
        <f t="shared" si="269"/>
        <v>657.05</v>
      </c>
      <c r="CG790" s="67">
        <f t="shared" si="270"/>
        <v>966.25</v>
      </c>
      <c r="CH790" s="67">
        <f t="shared" si="284"/>
        <v>966.25</v>
      </c>
      <c r="CI790" s="67">
        <f t="shared" si="275"/>
        <v>695.69999999999993</v>
      </c>
      <c r="CJ790" s="37">
        <f t="shared" si="271"/>
        <v>193.8</v>
      </c>
      <c r="CK790" s="37">
        <f t="shared" si="272"/>
        <v>285</v>
      </c>
      <c r="CL790" s="37">
        <f t="shared" si="273"/>
        <v>285</v>
      </c>
      <c r="CM790" s="37">
        <f t="shared" si="274"/>
        <v>205.20000000000002</v>
      </c>
    </row>
    <row r="791" spans="2:91" ht="33.75">
      <c r="B791" s="156">
        <v>777</v>
      </c>
      <c r="C791" s="160">
        <v>620</v>
      </c>
      <c r="D791" s="160">
        <v>420</v>
      </c>
      <c r="E791" s="161">
        <v>0.56111111111111112</v>
      </c>
      <c r="F791" s="161">
        <v>0.56597222222222221</v>
      </c>
      <c r="G791" s="160" t="s">
        <v>178</v>
      </c>
      <c r="H791" s="160" t="s">
        <v>97</v>
      </c>
      <c r="I791" s="163">
        <v>3.9</v>
      </c>
      <c r="J791" s="164" t="s">
        <v>116</v>
      </c>
      <c r="K791" s="165">
        <v>208</v>
      </c>
      <c r="L791" s="166">
        <f t="shared" si="283"/>
        <v>811.19999999999993</v>
      </c>
      <c r="M791" s="167" t="s">
        <v>781</v>
      </c>
      <c r="N791" s="154" t="s">
        <v>930</v>
      </c>
      <c r="O791" s="154">
        <v>9</v>
      </c>
      <c r="P791" s="154" t="s">
        <v>1296</v>
      </c>
      <c r="Q791" s="154">
        <v>9</v>
      </c>
      <c r="R791" s="154" t="s">
        <v>1297</v>
      </c>
      <c r="S791" s="151">
        <v>9</v>
      </c>
      <c r="T791" s="45">
        <v>6140</v>
      </c>
      <c r="U791" s="45" t="s">
        <v>1725</v>
      </c>
      <c r="V791" s="45">
        <v>6143</v>
      </c>
      <c r="W791" s="45" t="s">
        <v>1735</v>
      </c>
      <c r="X791" s="98">
        <v>44816</v>
      </c>
      <c r="Y791" s="98">
        <v>45086</v>
      </c>
      <c r="Z791" s="98"/>
      <c r="AA791" s="98"/>
      <c r="AB791" s="41" t="s">
        <v>1118</v>
      </c>
      <c r="AC791" s="41"/>
      <c r="AD791" s="42"/>
      <c r="AE791" s="42"/>
      <c r="AF791" s="42"/>
      <c r="AG791" s="42" t="s">
        <v>734</v>
      </c>
      <c r="AH791" s="42" t="s">
        <v>734</v>
      </c>
      <c r="AI791" s="42" t="s">
        <v>734</v>
      </c>
      <c r="AJ791" s="42" t="s">
        <v>734</v>
      </c>
      <c r="AK791" s="42" t="s">
        <v>734</v>
      </c>
      <c r="AL791" s="42" t="s">
        <v>734</v>
      </c>
      <c r="AM791" s="42" t="s">
        <v>734</v>
      </c>
      <c r="AN791" s="42"/>
      <c r="AO791" s="42"/>
      <c r="AP791" s="42"/>
      <c r="AQ791" s="42"/>
      <c r="AR791" s="42"/>
      <c r="AS791" s="42"/>
      <c r="AT791" s="42"/>
      <c r="AU791" s="42"/>
      <c r="AV791" s="42"/>
      <c r="AW791" s="42"/>
      <c r="AX791" s="68">
        <v>11.7</v>
      </c>
      <c r="AY791" s="68"/>
      <c r="BA791" s="37"/>
      <c r="BB791" s="37"/>
      <c r="BD791" s="67">
        <f t="shared" si="282"/>
        <v>2433.6</v>
      </c>
      <c r="BE791" s="67"/>
      <c r="BF791" s="37"/>
      <c r="BG791" s="73">
        <v>1</v>
      </c>
      <c r="BH791" s="67">
        <f t="shared" si="279"/>
        <v>0</v>
      </c>
      <c r="BI791" s="67">
        <f t="shared" si="280"/>
        <v>0</v>
      </c>
      <c r="BJ791" s="70">
        <f t="shared" si="281"/>
        <v>0</v>
      </c>
      <c r="BN791" s="37"/>
      <c r="BO791" s="70">
        <f t="shared" si="267"/>
        <v>0</v>
      </c>
      <c r="BP791" s="37">
        <v>17</v>
      </c>
      <c r="BQ791" s="37">
        <v>25</v>
      </c>
      <c r="BR791" s="37">
        <v>25</v>
      </c>
      <c r="BS791" s="37">
        <v>18</v>
      </c>
      <c r="BT791" s="87">
        <f t="shared" si="268"/>
        <v>11.7</v>
      </c>
      <c r="BU791" s="87"/>
      <c r="BV791" s="87"/>
      <c r="BW791" s="87"/>
      <c r="BX791" s="87"/>
      <c r="BY791" s="87"/>
      <c r="BZ791" s="87"/>
      <c r="CA791" s="87"/>
      <c r="CB791" s="87"/>
      <c r="CC791" s="87"/>
      <c r="CD791" s="87"/>
      <c r="CF791" s="67">
        <f t="shared" si="269"/>
        <v>198.89999999999998</v>
      </c>
      <c r="CG791" s="67">
        <f t="shared" si="270"/>
        <v>292.5</v>
      </c>
      <c r="CH791" s="67">
        <f t="shared" si="284"/>
        <v>292.5</v>
      </c>
      <c r="CI791" s="67">
        <f t="shared" si="275"/>
        <v>210.6</v>
      </c>
      <c r="CJ791" s="37">
        <f t="shared" si="271"/>
        <v>66.3</v>
      </c>
      <c r="CK791" s="37">
        <f t="shared" si="272"/>
        <v>97.5</v>
      </c>
      <c r="CL791" s="37">
        <f t="shared" si="273"/>
        <v>97.5</v>
      </c>
      <c r="CM791" s="37">
        <f t="shared" si="274"/>
        <v>70.2</v>
      </c>
    </row>
    <row r="792" spans="2:91" ht="25.5">
      <c r="B792" s="156">
        <v>778</v>
      </c>
      <c r="C792" s="160">
        <v>620</v>
      </c>
      <c r="D792" s="160">
        <v>973</v>
      </c>
      <c r="E792" s="161">
        <v>0.58194444444444449</v>
      </c>
      <c r="F792" s="161">
        <v>0.62777777777777777</v>
      </c>
      <c r="G792" s="160" t="s">
        <v>474</v>
      </c>
      <c r="H792" s="160" t="s">
        <v>509</v>
      </c>
      <c r="I792" s="163">
        <v>32.5</v>
      </c>
      <c r="J792" s="164" t="s">
        <v>188</v>
      </c>
      <c r="K792" s="165">
        <v>12</v>
      </c>
      <c r="L792" s="166">
        <f t="shared" si="283"/>
        <v>390</v>
      </c>
      <c r="M792" s="167" t="s">
        <v>780</v>
      </c>
      <c r="N792" s="150" t="s">
        <v>1076</v>
      </c>
      <c r="O792" s="150">
        <v>23</v>
      </c>
      <c r="P792" s="150" t="s">
        <v>877</v>
      </c>
      <c r="Q792" s="150">
        <v>23</v>
      </c>
      <c r="R792" s="150" t="s">
        <v>879</v>
      </c>
      <c r="S792" s="151">
        <v>21</v>
      </c>
      <c r="T792" s="45">
        <v>6220</v>
      </c>
      <c r="U792" s="45" t="s">
        <v>1384</v>
      </c>
      <c r="V792" s="45" t="s">
        <v>1435</v>
      </c>
      <c r="W792" s="45" t="s">
        <v>1436</v>
      </c>
      <c r="X792" s="99">
        <v>44562</v>
      </c>
      <c r="Y792" s="99">
        <v>44815</v>
      </c>
      <c r="Z792" s="99">
        <v>45101</v>
      </c>
      <c r="AA792" s="99">
        <v>45169</v>
      </c>
      <c r="AB792" s="41" t="s">
        <v>1131</v>
      </c>
      <c r="AC792" s="41"/>
      <c r="AD792" s="42"/>
      <c r="AE792" s="42" t="s">
        <v>734</v>
      </c>
      <c r="AF792" s="42" t="s">
        <v>734</v>
      </c>
      <c r="AG792" s="42"/>
      <c r="AH792" s="42"/>
      <c r="AI792" s="42"/>
      <c r="AJ792" s="42"/>
      <c r="AK792" s="42"/>
      <c r="AL792" s="42"/>
      <c r="AM792" s="42" t="s">
        <v>734</v>
      </c>
      <c r="AN792" s="42"/>
      <c r="AO792" s="42"/>
      <c r="AP792" s="42"/>
      <c r="AQ792" s="42"/>
      <c r="AR792" s="42"/>
      <c r="AS792" s="42"/>
      <c r="AT792" s="42"/>
      <c r="AU792" s="42"/>
      <c r="AV792" s="42"/>
      <c r="AW792" s="42"/>
      <c r="AX792" s="68">
        <v>97.5</v>
      </c>
      <c r="AY792" s="68"/>
      <c r="BA792" s="37"/>
      <c r="BB792" s="37"/>
      <c r="BD792" s="67">
        <f t="shared" si="282"/>
        <v>1170</v>
      </c>
      <c r="BE792" s="67"/>
      <c r="BF792" s="37"/>
      <c r="BG792" s="73">
        <v>1</v>
      </c>
      <c r="BH792" s="67">
        <f t="shared" si="279"/>
        <v>0</v>
      </c>
      <c r="BI792" s="67">
        <f t="shared" si="280"/>
        <v>0</v>
      </c>
      <c r="BJ792" s="70">
        <f t="shared" si="281"/>
        <v>0</v>
      </c>
      <c r="BN792" s="37"/>
      <c r="BO792" s="70">
        <f t="shared" si="267"/>
        <v>0</v>
      </c>
      <c r="BP792" s="37">
        <v>2</v>
      </c>
      <c r="BQ792" s="37">
        <v>0</v>
      </c>
      <c r="BR792" s="37">
        <v>0</v>
      </c>
      <c r="BT792" s="87">
        <f t="shared" si="268"/>
        <v>97.5</v>
      </c>
      <c r="BU792" s="87"/>
      <c r="BV792" s="87"/>
      <c r="BW792" s="87"/>
      <c r="BX792" s="87"/>
      <c r="BY792" s="87"/>
      <c r="BZ792" s="87"/>
      <c r="CA792" s="87"/>
      <c r="CB792" s="87"/>
      <c r="CC792" s="87"/>
      <c r="CD792" s="87"/>
      <c r="CF792" s="67">
        <f t="shared" si="269"/>
        <v>195</v>
      </c>
      <c r="CG792" s="67">
        <f t="shared" si="270"/>
        <v>0</v>
      </c>
      <c r="CH792" s="67">
        <f t="shared" si="284"/>
        <v>0</v>
      </c>
      <c r="CI792" s="67">
        <f t="shared" si="275"/>
        <v>0</v>
      </c>
      <c r="CJ792" s="37">
        <f t="shared" si="271"/>
        <v>65</v>
      </c>
      <c r="CK792" s="37">
        <f t="shared" si="272"/>
        <v>0</v>
      </c>
      <c r="CL792" s="37">
        <f t="shared" si="273"/>
        <v>0</v>
      </c>
      <c r="CM792" s="37">
        <f t="shared" si="274"/>
        <v>0</v>
      </c>
    </row>
    <row r="793" spans="2:91" ht="33.75">
      <c r="B793" s="156">
        <v>779</v>
      </c>
      <c r="C793" s="160">
        <v>620</v>
      </c>
      <c r="D793" s="160">
        <v>646</v>
      </c>
      <c r="E793" s="161">
        <v>0.58194444444444449</v>
      </c>
      <c r="F793" s="161">
        <v>0.58680555555555558</v>
      </c>
      <c r="G793" s="160" t="s">
        <v>176</v>
      </c>
      <c r="H793" s="160" t="s">
        <v>97</v>
      </c>
      <c r="I793" s="163">
        <v>3.9</v>
      </c>
      <c r="J793" s="164" t="s">
        <v>116</v>
      </c>
      <c r="K793" s="165">
        <v>208</v>
      </c>
      <c r="L793" s="166">
        <f t="shared" si="283"/>
        <v>811.19999999999993</v>
      </c>
      <c r="M793" s="167" t="s">
        <v>781</v>
      </c>
      <c r="N793" s="154" t="s">
        <v>930</v>
      </c>
      <c r="O793" s="154">
        <v>9</v>
      </c>
      <c r="P793" s="154" t="s">
        <v>931</v>
      </c>
      <c r="Q793" s="154">
        <v>9</v>
      </c>
      <c r="R793" s="154" t="s">
        <v>1296</v>
      </c>
      <c r="S793" s="151">
        <v>9</v>
      </c>
      <c r="T793" s="45">
        <v>6140</v>
      </c>
      <c r="U793" s="45" t="s">
        <v>1725</v>
      </c>
      <c r="V793" s="45" t="s">
        <v>1736</v>
      </c>
      <c r="W793" s="45" t="s">
        <v>1737</v>
      </c>
      <c r="X793" s="98">
        <v>44816</v>
      </c>
      <c r="Y793" s="98">
        <v>45086</v>
      </c>
      <c r="Z793" s="98"/>
      <c r="AA793" s="98"/>
      <c r="AB793" s="41" t="s">
        <v>1118</v>
      </c>
      <c r="AC793" s="41"/>
      <c r="AD793" s="42"/>
      <c r="AE793" s="42"/>
      <c r="AF793" s="42"/>
      <c r="AG793" s="42" t="s">
        <v>734</v>
      </c>
      <c r="AH793" s="42" t="s">
        <v>734</v>
      </c>
      <c r="AI793" s="42" t="s">
        <v>734</v>
      </c>
      <c r="AJ793" s="42" t="s">
        <v>734</v>
      </c>
      <c r="AK793" s="42" t="s">
        <v>734</v>
      </c>
      <c r="AL793" s="42" t="s">
        <v>734</v>
      </c>
      <c r="AM793" s="42" t="s">
        <v>734</v>
      </c>
      <c r="AN793" s="42"/>
      <c r="AO793" s="42"/>
      <c r="AP793" s="42"/>
      <c r="AQ793" s="42"/>
      <c r="AR793" s="42"/>
      <c r="AS793" s="42"/>
      <c r="AT793" s="42"/>
      <c r="AU793" s="42"/>
      <c r="AV793" s="42"/>
      <c r="AW793" s="42"/>
      <c r="AX793" s="68">
        <v>12.88</v>
      </c>
      <c r="AY793" s="68"/>
      <c r="BA793" s="37"/>
      <c r="BB793" s="37"/>
      <c r="BD793" s="67">
        <f t="shared" si="282"/>
        <v>2679.04</v>
      </c>
      <c r="BE793" s="67"/>
      <c r="BF793" s="37"/>
      <c r="BG793" s="73">
        <v>1</v>
      </c>
      <c r="BH793" s="67">
        <f t="shared" si="279"/>
        <v>0</v>
      </c>
      <c r="BI793" s="67">
        <f t="shared" si="280"/>
        <v>0</v>
      </c>
      <c r="BJ793" s="70">
        <f t="shared" si="281"/>
        <v>0</v>
      </c>
      <c r="BN793" s="37"/>
      <c r="BO793" s="70">
        <f t="shared" si="267"/>
        <v>0</v>
      </c>
      <c r="BP793" s="37">
        <v>17</v>
      </c>
      <c r="BQ793" s="37">
        <v>25</v>
      </c>
      <c r="BR793" s="37">
        <v>25</v>
      </c>
      <c r="BS793" s="37">
        <v>18</v>
      </c>
      <c r="BT793" s="87">
        <f t="shared" si="268"/>
        <v>12.88</v>
      </c>
      <c r="BU793" s="87"/>
      <c r="BV793" s="87"/>
      <c r="BW793" s="87"/>
      <c r="BX793" s="87"/>
      <c r="BY793" s="87"/>
      <c r="BZ793" s="87"/>
      <c r="CA793" s="87"/>
      <c r="CB793" s="87"/>
      <c r="CC793" s="87"/>
      <c r="CD793" s="87"/>
      <c r="CF793" s="67">
        <f t="shared" si="269"/>
        <v>218.96</v>
      </c>
      <c r="CG793" s="67">
        <f t="shared" si="270"/>
        <v>322</v>
      </c>
      <c r="CH793" s="67">
        <f t="shared" si="284"/>
        <v>322</v>
      </c>
      <c r="CI793" s="67">
        <f t="shared" si="275"/>
        <v>231.84</v>
      </c>
      <c r="CJ793" s="37">
        <f t="shared" si="271"/>
        <v>66.3</v>
      </c>
      <c r="CK793" s="37">
        <f t="shared" si="272"/>
        <v>97.5</v>
      </c>
      <c r="CL793" s="37">
        <f t="shared" si="273"/>
        <v>97.5</v>
      </c>
      <c r="CM793" s="37">
        <f t="shared" si="274"/>
        <v>70.2</v>
      </c>
    </row>
    <row r="794" spans="2:91" ht="33.75">
      <c r="B794" s="156">
        <v>780</v>
      </c>
      <c r="C794" s="160">
        <v>620</v>
      </c>
      <c r="D794" s="160">
        <v>426</v>
      </c>
      <c r="E794" s="173">
        <v>0.60625000000000007</v>
      </c>
      <c r="F794" s="173">
        <v>0.61111111111111105</v>
      </c>
      <c r="G794" s="160" t="s">
        <v>176</v>
      </c>
      <c r="H794" s="160" t="s">
        <v>97</v>
      </c>
      <c r="I794" s="163">
        <v>3.9</v>
      </c>
      <c r="J794" s="164" t="s">
        <v>116</v>
      </c>
      <c r="K794" s="165">
        <v>208</v>
      </c>
      <c r="L794" s="166">
        <f t="shared" si="283"/>
        <v>811.19999999999993</v>
      </c>
      <c r="M794" s="167" t="s">
        <v>781</v>
      </c>
      <c r="N794" s="154" t="s">
        <v>930</v>
      </c>
      <c r="O794" s="154">
        <v>9</v>
      </c>
      <c r="P794" s="154" t="s">
        <v>931</v>
      </c>
      <c r="Q794" s="154">
        <v>9</v>
      </c>
      <c r="R794" s="154" t="s">
        <v>1296</v>
      </c>
      <c r="S794" s="151">
        <v>9</v>
      </c>
      <c r="T794" s="45">
        <v>6140</v>
      </c>
      <c r="U794" s="45" t="s">
        <v>1725</v>
      </c>
      <c r="V794" s="45" t="s">
        <v>1736</v>
      </c>
      <c r="W794" s="45" t="s">
        <v>1737</v>
      </c>
      <c r="X794" s="98">
        <v>44816</v>
      </c>
      <c r="Y794" s="98">
        <v>45086</v>
      </c>
      <c r="Z794" s="98"/>
      <c r="AA794" s="98"/>
      <c r="AB794" s="41" t="s">
        <v>1118</v>
      </c>
      <c r="AC794" s="41"/>
      <c r="AD794" s="42"/>
      <c r="AE794" s="42"/>
      <c r="AF794" s="42"/>
      <c r="AG794" s="42" t="s">
        <v>734</v>
      </c>
      <c r="AH794" s="42" t="s">
        <v>734</v>
      </c>
      <c r="AI794" s="42" t="s">
        <v>734</v>
      </c>
      <c r="AJ794" s="42" t="s">
        <v>734</v>
      </c>
      <c r="AK794" s="42" t="s">
        <v>734</v>
      </c>
      <c r="AL794" s="42" t="s">
        <v>734</v>
      </c>
      <c r="AM794" s="42" t="s">
        <v>734</v>
      </c>
      <c r="AN794" s="42"/>
      <c r="AO794" s="42"/>
      <c r="AP794" s="42"/>
      <c r="AQ794" s="42"/>
      <c r="AR794" s="42"/>
      <c r="AS794" s="42"/>
      <c r="AT794" s="42"/>
      <c r="AU794" s="42"/>
      <c r="AV794" s="42"/>
      <c r="AW794" s="42"/>
      <c r="AX794" s="68">
        <v>12.88</v>
      </c>
      <c r="AY794" s="68"/>
      <c r="BA794" s="37"/>
      <c r="BB794" s="37"/>
      <c r="BD794" s="67">
        <f t="shared" si="282"/>
        <v>2679.04</v>
      </c>
      <c r="BE794" s="67"/>
      <c r="BF794" s="37"/>
      <c r="BG794" s="73">
        <v>1</v>
      </c>
      <c r="BH794" s="67">
        <f t="shared" si="279"/>
        <v>0</v>
      </c>
      <c r="BI794" s="67">
        <f t="shared" si="280"/>
        <v>0</v>
      </c>
      <c r="BJ794" s="70">
        <f t="shared" si="281"/>
        <v>0</v>
      </c>
      <c r="BN794" s="37"/>
      <c r="BO794" s="70">
        <f t="shared" si="267"/>
        <v>0</v>
      </c>
      <c r="BP794" s="37">
        <v>17</v>
      </c>
      <c r="BQ794" s="37">
        <v>25</v>
      </c>
      <c r="BR794" s="37">
        <v>25</v>
      </c>
      <c r="BS794" s="37">
        <v>18</v>
      </c>
      <c r="BT794" s="87">
        <f t="shared" si="268"/>
        <v>12.88</v>
      </c>
      <c r="BU794" s="87"/>
      <c r="BV794" s="87"/>
      <c r="BW794" s="87"/>
      <c r="BX794" s="87"/>
      <c r="BY794" s="87"/>
      <c r="BZ794" s="87"/>
      <c r="CA794" s="87"/>
      <c r="CB794" s="87"/>
      <c r="CC794" s="87"/>
      <c r="CD794" s="87"/>
      <c r="CF794" s="67">
        <f t="shared" si="269"/>
        <v>218.96</v>
      </c>
      <c r="CG794" s="67">
        <f t="shared" si="270"/>
        <v>322</v>
      </c>
      <c r="CH794" s="67">
        <f t="shared" si="284"/>
        <v>322</v>
      </c>
      <c r="CI794" s="67">
        <f t="shared" si="275"/>
        <v>231.84</v>
      </c>
      <c r="CJ794" s="37">
        <f t="shared" si="271"/>
        <v>66.3</v>
      </c>
      <c r="CK794" s="37">
        <f t="shared" si="272"/>
        <v>97.5</v>
      </c>
      <c r="CL794" s="37">
        <f t="shared" si="273"/>
        <v>97.5</v>
      </c>
      <c r="CM794" s="37">
        <f t="shared" si="274"/>
        <v>70.2</v>
      </c>
    </row>
    <row r="795" spans="2:91" ht="33.75">
      <c r="B795" s="156">
        <v>781</v>
      </c>
      <c r="C795" s="160">
        <v>620</v>
      </c>
      <c r="D795" s="160">
        <v>982</v>
      </c>
      <c r="E795" s="161">
        <v>0.62013888888888891</v>
      </c>
      <c r="F795" s="161">
        <v>0.66597222222222219</v>
      </c>
      <c r="G795" s="160" t="s">
        <v>472</v>
      </c>
      <c r="H795" s="160" t="s">
        <v>501</v>
      </c>
      <c r="I795" s="163">
        <v>32.5</v>
      </c>
      <c r="J795" s="164" t="s">
        <v>188</v>
      </c>
      <c r="K795" s="165">
        <v>67</v>
      </c>
      <c r="L795" s="166">
        <f t="shared" si="283"/>
        <v>2177.5</v>
      </c>
      <c r="M795" s="167" t="s">
        <v>737</v>
      </c>
      <c r="N795" s="154" t="s">
        <v>983</v>
      </c>
      <c r="O795" s="154">
        <v>31</v>
      </c>
      <c r="P795" s="150" t="s">
        <v>1983</v>
      </c>
      <c r="Q795" s="150">
        <v>54</v>
      </c>
      <c r="S795" s="154"/>
      <c r="T795" s="45" t="s">
        <v>1435</v>
      </c>
      <c r="U795" s="45" t="s">
        <v>1436</v>
      </c>
      <c r="V795" s="45">
        <v>6220</v>
      </c>
      <c r="W795" s="45" t="s">
        <v>1384</v>
      </c>
      <c r="X795" s="99">
        <v>44562</v>
      </c>
      <c r="Y795" s="99">
        <v>44815</v>
      </c>
      <c r="Z795" s="99">
        <v>45101</v>
      </c>
      <c r="AA795" s="99">
        <v>45169</v>
      </c>
      <c r="AB795" s="42" t="s">
        <v>1119</v>
      </c>
      <c r="AC795" s="42"/>
      <c r="AD795" s="42"/>
      <c r="AE795" s="42" t="s">
        <v>734</v>
      </c>
      <c r="AF795" s="42" t="s">
        <v>734</v>
      </c>
      <c r="AG795" s="42"/>
      <c r="AH795" s="42" t="s">
        <v>734</v>
      </c>
      <c r="AI795" s="42" t="s">
        <v>734</v>
      </c>
      <c r="AJ795" s="42" t="s">
        <v>734</v>
      </c>
      <c r="AK795" s="42" t="s">
        <v>734</v>
      </c>
      <c r="AL795" s="42" t="s">
        <v>734</v>
      </c>
      <c r="AM795" s="42" t="s">
        <v>734</v>
      </c>
      <c r="AN795" s="42"/>
      <c r="AO795" s="42"/>
      <c r="AP795" s="42"/>
      <c r="AQ795" s="42"/>
      <c r="AR795" s="42"/>
      <c r="AS795" s="42"/>
      <c r="AT795" s="42"/>
      <c r="AU795" s="42"/>
      <c r="AV795" s="42"/>
      <c r="AW795" s="42"/>
      <c r="AX795" s="68">
        <v>97.5</v>
      </c>
      <c r="AY795" s="68"/>
      <c r="BA795" s="37"/>
      <c r="BB795" s="37"/>
      <c r="BD795" s="67">
        <f t="shared" si="282"/>
        <v>6532.5</v>
      </c>
      <c r="BE795" s="67"/>
      <c r="BF795" s="37"/>
      <c r="BG795" s="73">
        <v>1</v>
      </c>
      <c r="BH795" s="67">
        <f t="shared" si="279"/>
        <v>0</v>
      </c>
      <c r="BI795" s="67">
        <f t="shared" si="280"/>
        <v>0</v>
      </c>
      <c r="BJ795" s="70">
        <f t="shared" si="281"/>
        <v>0</v>
      </c>
      <c r="BN795" s="37"/>
      <c r="BO795" s="70">
        <f t="shared" si="267"/>
        <v>0</v>
      </c>
      <c r="BP795" s="37">
        <v>9</v>
      </c>
      <c r="BQ795" s="37">
        <v>0</v>
      </c>
      <c r="BR795" s="37">
        <v>0</v>
      </c>
      <c r="BS795" s="37">
        <v>0</v>
      </c>
      <c r="BT795" s="87">
        <f t="shared" si="268"/>
        <v>97.5</v>
      </c>
      <c r="BU795" s="87"/>
      <c r="BV795" s="87"/>
      <c r="BW795" s="87"/>
      <c r="BX795" s="87"/>
      <c r="BY795" s="87"/>
      <c r="BZ795" s="87"/>
      <c r="CA795" s="87"/>
      <c r="CB795" s="87"/>
      <c r="CC795" s="87"/>
      <c r="CD795" s="87"/>
      <c r="CF795" s="67">
        <f t="shared" si="269"/>
        <v>877.5</v>
      </c>
      <c r="CG795" s="67">
        <f t="shared" si="270"/>
        <v>0</v>
      </c>
      <c r="CH795" s="67">
        <f t="shared" si="284"/>
        <v>0</v>
      </c>
      <c r="CI795" s="67">
        <f t="shared" si="275"/>
        <v>0</v>
      </c>
      <c r="CJ795" s="37">
        <f t="shared" si="271"/>
        <v>292.5</v>
      </c>
      <c r="CK795" s="37">
        <f t="shared" si="272"/>
        <v>0</v>
      </c>
      <c r="CL795" s="37">
        <f t="shared" si="273"/>
        <v>0</v>
      </c>
      <c r="CM795" s="37">
        <f t="shared" si="274"/>
        <v>0</v>
      </c>
    </row>
    <row r="796" spans="2:91" ht="33.75">
      <c r="B796" s="156">
        <v>782</v>
      </c>
      <c r="C796" s="160">
        <v>620</v>
      </c>
      <c r="D796" s="160">
        <v>982</v>
      </c>
      <c r="E796" s="161">
        <v>0.62013888888888891</v>
      </c>
      <c r="F796" s="161">
        <v>0.66597222222222219</v>
      </c>
      <c r="G796" s="160" t="s">
        <v>472</v>
      </c>
      <c r="H796" s="160" t="s">
        <v>479</v>
      </c>
      <c r="I796" s="163">
        <v>32.5</v>
      </c>
      <c r="J796" s="164" t="s">
        <v>188</v>
      </c>
      <c r="K796" s="165">
        <v>240</v>
      </c>
      <c r="L796" s="166">
        <f t="shared" si="283"/>
        <v>7800</v>
      </c>
      <c r="M796" s="167" t="s">
        <v>737</v>
      </c>
      <c r="N796" s="154" t="s">
        <v>983</v>
      </c>
      <c r="O796" s="154">
        <v>31</v>
      </c>
      <c r="P796" s="150" t="s">
        <v>1983</v>
      </c>
      <c r="Q796" s="150">
        <v>54</v>
      </c>
      <c r="S796" s="154"/>
      <c r="T796" s="45" t="s">
        <v>1435</v>
      </c>
      <c r="U796" s="45" t="s">
        <v>1436</v>
      </c>
      <c r="V796" s="45">
        <v>6220</v>
      </c>
      <c r="W796" s="45" t="s">
        <v>1384</v>
      </c>
      <c r="X796" s="99">
        <v>44816</v>
      </c>
      <c r="Y796" s="99">
        <v>45100</v>
      </c>
      <c r="Z796" s="99"/>
      <c r="AA796" s="99"/>
      <c r="AB796" s="45" t="s">
        <v>1124</v>
      </c>
      <c r="AC796" s="45"/>
      <c r="AD796" s="42" t="s">
        <v>734</v>
      </c>
      <c r="AE796" s="42"/>
      <c r="AF796" s="42" t="s">
        <v>734</v>
      </c>
      <c r="AG796" s="42"/>
      <c r="AH796" s="42" t="s">
        <v>734</v>
      </c>
      <c r="AI796" s="42" t="s">
        <v>734</v>
      </c>
      <c r="AJ796" s="42" t="s">
        <v>734</v>
      </c>
      <c r="AK796" s="42" t="s">
        <v>734</v>
      </c>
      <c r="AL796" s="42" t="s">
        <v>734</v>
      </c>
      <c r="AM796" s="42" t="s">
        <v>734</v>
      </c>
      <c r="AN796" s="42"/>
      <c r="AO796" s="42"/>
      <c r="AP796" s="42"/>
      <c r="AQ796" s="42"/>
      <c r="AR796" s="42"/>
      <c r="AS796" s="42"/>
      <c r="AT796" s="42"/>
      <c r="AU796" s="42"/>
      <c r="AV796" s="42"/>
      <c r="AW796" s="42"/>
      <c r="AX796" s="68">
        <v>97.5</v>
      </c>
      <c r="AY796" s="68"/>
      <c r="BA796" s="37"/>
      <c r="BB796" s="37"/>
      <c r="BD796" s="67">
        <f t="shared" si="282"/>
        <v>23400</v>
      </c>
      <c r="BE796" s="67"/>
      <c r="BF796" s="37"/>
      <c r="BG796" s="73">
        <v>1</v>
      </c>
      <c r="BH796" s="67">
        <f t="shared" si="279"/>
        <v>0</v>
      </c>
      <c r="BI796" s="67">
        <f t="shared" si="280"/>
        <v>0</v>
      </c>
      <c r="BJ796" s="70">
        <f t="shared" si="281"/>
        <v>0</v>
      </c>
      <c r="BN796" s="37"/>
      <c r="BO796" s="70">
        <f t="shared" si="267"/>
        <v>0</v>
      </c>
      <c r="BP796" s="37">
        <v>17</v>
      </c>
      <c r="BQ796" s="37">
        <v>26</v>
      </c>
      <c r="BR796" s="37">
        <v>25</v>
      </c>
      <c r="BS796" s="37">
        <v>25</v>
      </c>
      <c r="BT796" s="87">
        <f t="shared" si="268"/>
        <v>97.5</v>
      </c>
      <c r="BU796" s="87"/>
      <c r="BV796" s="87"/>
      <c r="BW796" s="87"/>
      <c r="BX796" s="87"/>
      <c r="BY796" s="87"/>
      <c r="BZ796" s="87"/>
      <c r="CA796" s="87"/>
      <c r="CB796" s="87"/>
      <c r="CC796" s="87"/>
      <c r="CD796" s="87"/>
      <c r="CF796" s="67">
        <f t="shared" si="269"/>
        <v>1657.5</v>
      </c>
      <c r="CG796" s="67">
        <f t="shared" si="270"/>
        <v>2535</v>
      </c>
      <c r="CH796" s="67">
        <f t="shared" si="284"/>
        <v>2437.5</v>
      </c>
      <c r="CI796" s="67">
        <f t="shared" si="275"/>
        <v>2437.5</v>
      </c>
      <c r="CJ796" s="37">
        <f t="shared" si="271"/>
        <v>552.5</v>
      </c>
      <c r="CK796" s="37">
        <f t="shared" si="272"/>
        <v>845</v>
      </c>
      <c r="CL796" s="37">
        <f t="shared" si="273"/>
        <v>812.5</v>
      </c>
      <c r="CM796" s="37">
        <f t="shared" si="274"/>
        <v>812.5</v>
      </c>
    </row>
    <row r="797" spans="2:91" ht="33.75">
      <c r="B797" s="156">
        <v>783</v>
      </c>
      <c r="C797" s="160">
        <v>620</v>
      </c>
      <c r="D797" s="160">
        <v>984</v>
      </c>
      <c r="E797" s="161">
        <v>0.66180555555555554</v>
      </c>
      <c r="F797" s="161">
        <v>0.69513888888888886</v>
      </c>
      <c r="G797" s="160" t="s">
        <v>530</v>
      </c>
      <c r="H797" s="160" t="s">
        <v>509</v>
      </c>
      <c r="I797" s="163">
        <v>29</v>
      </c>
      <c r="J797" s="164" t="s">
        <v>93</v>
      </c>
      <c r="K797" s="165">
        <v>12</v>
      </c>
      <c r="L797" s="166">
        <f t="shared" si="283"/>
        <v>348</v>
      </c>
      <c r="M797" s="167" t="s">
        <v>780</v>
      </c>
      <c r="N797" s="150" t="s">
        <v>1076</v>
      </c>
      <c r="O797" s="150">
        <v>23</v>
      </c>
      <c r="P797" s="154" t="s">
        <v>877</v>
      </c>
      <c r="Q797" s="154">
        <v>23</v>
      </c>
      <c r="R797" s="154" t="s">
        <v>879</v>
      </c>
      <c r="S797" s="151">
        <v>21</v>
      </c>
      <c r="T797" s="45" t="s">
        <v>1435</v>
      </c>
      <c r="U797" s="45" t="s">
        <v>1436</v>
      </c>
      <c r="V797" s="45">
        <v>6220</v>
      </c>
      <c r="W797" s="45" t="s">
        <v>1384</v>
      </c>
      <c r="X797" s="99">
        <v>44562</v>
      </c>
      <c r="Y797" s="99">
        <v>44815</v>
      </c>
      <c r="Z797" s="99">
        <v>45101</v>
      </c>
      <c r="AA797" s="99">
        <v>45169</v>
      </c>
      <c r="AB797" s="41" t="s">
        <v>1131</v>
      </c>
      <c r="AC797" s="41"/>
      <c r="AD797" s="42"/>
      <c r="AE797" s="42" t="s">
        <v>734</v>
      </c>
      <c r="AF797" s="42" t="s">
        <v>734</v>
      </c>
      <c r="AG797" s="42"/>
      <c r="AH797" s="42"/>
      <c r="AI797" s="42"/>
      <c r="AJ797" s="42"/>
      <c r="AK797" s="42"/>
      <c r="AL797" s="42"/>
      <c r="AM797" s="42" t="s">
        <v>734</v>
      </c>
      <c r="AN797" s="42"/>
      <c r="AO797" s="42"/>
      <c r="AP797" s="42"/>
      <c r="AQ797" s="42"/>
      <c r="AR797" s="42"/>
      <c r="AS797" s="42"/>
      <c r="AT797" s="42"/>
      <c r="AU797" s="42"/>
      <c r="AV797" s="42"/>
      <c r="AW797" s="42"/>
      <c r="AX797" s="68">
        <v>87</v>
      </c>
      <c r="AY797" s="68"/>
      <c r="BA797" s="37"/>
      <c r="BB797" s="37"/>
      <c r="BD797" s="67">
        <f t="shared" si="282"/>
        <v>1044</v>
      </c>
      <c r="BE797" s="67"/>
      <c r="BF797" s="37"/>
      <c r="BG797" s="73">
        <v>1</v>
      </c>
      <c r="BH797" s="67">
        <f t="shared" si="279"/>
        <v>0</v>
      </c>
      <c r="BI797" s="67">
        <f t="shared" si="280"/>
        <v>0</v>
      </c>
      <c r="BJ797" s="70">
        <f t="shared" si="281"/>
        <v>0</v>
      </c>
      <c r="BN797" s="37"/>
      <c r="BO797" s="70">
        <f t="shared" si="267"/>
        <v>0</v>
      </c>
      <c r="BP797" s="37">
        <v>2</v>
      </c>
      <c r="BQ797" s="37">
        <v>0</v>
      </c>
      <c r="BR797" s="37">
        <v>0</v>
      </c>
      <c r="BT797" s="87">
        <f t="shared" si="268"/>
        <v>87</v>
      </c>
      <c r="BU797" s="87"/>
      <c r="BV797" s="87"/>
      <c r="BW797" s="87"/>
      <c r="BX797" s="87"/>
      <c r="BY797" s="87"/>
      <c r="BZ797" s="87"/>
      <c r="CA797" s="87"/>
      <c r="CB797" s="87"/>
      <c r="CC797" s="87"/>
      <c r="CD797" s="87"/>
      <c r="CF797" s="67">
        <f t="shared" si="269"/>
        <v>174</v>
      </c>
      <c r="CG797" s="67">
        <f t="shared" si="270"/>
        <v>0</v>
      </c>
      <c r="CH797" s="67">
        <f t="shared" si="284"/>
        <v>0</v>
      </c>
      <c r="CI797" s="67">
        <f t="shared" si="275"/>
        <v>0</v>
      </c>
      <c r="CJ797" s="37">
        <f t="shared" si="271"/>
        <v>58</v>
      </c>
      <c r="CK797" s="37">
        <f t="shared" si="272"/>
        <v>0</v>
      </c>
      <c r="CL797" s="37">
        <f t="shared" si="273"/>
        <v>0</v>
      </c>
      <c r="CM797" s="37">
        <f t="shared" si="274"/>
        <v>0</v>
      </c>
    </row>
    <row r="798" spans="2:91" ht="25.5">
      <c r="B798" s="156">
        <v>784</v>
      </c>
      <c r="C798" s="160">
        <v>620</v>
      </c>
      <c r="D798" s="160">
        <v>979</v>
      </c>
      <c r="E798" s="161">
        <v>0.66875000000000007</v>
      </c>
      <c r="F798" s="161">
        <v>0.71458333333333324</v>
      </c>
      <c r="G798" s="160" t="s">
        <v>474</v>
      </c>
      <c r="H798" s="160" t="s">
        <v>501</v>
      </c>
      <c r="I798" s="163">
        <v>32.5</v>
      </c>
      <c r="J798" s="164" t="s">
        <v>188</v>
      </c>
      <c r="K798" s="165">
        <v>67</v>
      </c>
      <c r="L798" s="166">
        <f t="shared" si="283"/>
        <v>2177.5</v>
      </c>
      <c r="M798" s="167" t="s">
        <v>737</v>
      </c>
      <c r="N798" s="154" t="s">
        <v>983</v>
      </c>
      <c r="O798" s="154">
        <v>31</v>
      </c>
      <c r="P798" s="150" t="s">
        <v>1983</v>
      </c>
      <c r="Q798" s="150">
        <v>54</v>
      </c>
      <c r="S798" s="154"/>
      <c r="T798" s="45">
        <v>6220</v>
      </c>
      <c r="U798" s="45" t="s">
        <v>1384</v>
      </c>
      <c r="V798" s="45" t="s">
        <v>1435</v>
      </c>
      <c r="W798" s="45" t="s">
        <v>1436</v>
      </c>
      <c r="X798" s="99">
        <v>44562</v>
      </c>
      <c r="Y798" s="99">
        <v>44815</v>
      </c>
      <c r="Z798" s="99">
        <v>45101</v>
      </c>
      <c r="AA798" s="99">
        <v>45169</v>
      </c>
      <c r="AB798" s="42" t="s">
        <v>1119</v>
      </c>
      <c r="AC798" s="42"/>
      <c r="AD798" s="42"/>
      <c r="AE798" s="42" t="s">
        <v>734</v>
      </c>
      <c r="AF798" s="42" t="s">
        <v>734</v>
      </c>
      <c r="AG798" s="42"/>
      <c r="AH798" s="42" t="s">
        <v>734</v>
      </c>
      <c r="AI798" s="42" t="s">
        <v>734</v>
      </c>
      <c r="AJ798" s="42" t="s">
        <v>734</v>
      </c>
      <c r="AK798" s="42" t="s">
        <v>734</v>
      </c>
      <c r="AL798" s="42" t="s">
        <v>734</v>
      </c>
      <c r="AM798" s="42" t="s">
        <v>734</v>
      </c>
      <c r="AN798" s="42"/>
      <c r="AO798" s="42"/>
      <c r="AP798" s="42"/>
      <c r="AQ798" s="42"/>
      <c r="AR798" s="42"/>
      <c r="AS798" s="42"/>
      <c r="AT798" s="42"/>
      <c r="AU798" s="42"/>
      <c r="AV798" s="42"/>
      <c r="AW798" s="42"/>
      <c r="AX798" s="68">
        <v>97.5</v>
      </c>
      <c r="AY798" s="68"/>
      <c r="BA798" s="37"/>
      <c r="BB798" s="37"/>
      <c r="BD798" s="67">
        <f t="shared" si="282"/>
        <v>6532.5</v>
      </c>
      <c r="BE798" s="67"/>
      <c r="BF798" s="37"/>
      <c r="BG798" s="73">
        <v>1</v>
      </c>
      <c r="BH798" s="67">
        <f t="shared" si="279"/>
        <v>0</v>
      </c>
      <c r="BI798" s="67">
        <f t="shared" si="280"/>
        <v>0</v>
      </c>
      <c r="BJ798" s="70">
        <f t="shared" si="281"/>
        <v>0</v>
      </c>
      <c r="BN798" s="37"/>
      <c r="BO798" s="70">
        <f t="shared" si="267"/>
        <v>0</v>
      </c>
      <c r="BP798" s="37">
        <v>9</v>
      </c>
      <c r="BQ798" s="37">
        <v>0</v>
      </c>
      <c r="BR798" s="37">
        <v>0</v>
      </c>
      <c r="BS798" s="37">
        <v>0</v>
      </c>
      <c r="BT798" s="87">
        <f t="shared" si="268"/>
        <v>97.5</v>
      </c>
      <c r="BU798" s="87"/>
      <c r="BV798" s="87"/>
      <c r="BW798" s="87"/>
      <c r="BX798" s="87"/>
      <c r="BY798" s="87"/>
      <c r="BZ798" s="87"/>
      <c r="CA798" s="87"/>
      <c r="CB798" s="87"/>
      <c r="CC798" s="87"/>
      <c r="CD798" s="87"/>
      <c r="CF798" s="67">
        <f t="shared" si="269"/>
        <v>877.5</v>
      </c>
      <c r="CG798" s="67">
        <f t="shared" si="270"/>
        <v>0</v>
      </c>
      <c r="CH798" s="67">
        <f t="shared" si="284"/>
        <v>0</v>
      </c>
      <c r="CI798" s="67">
        <f t="shared" si="275"/>
        <v>0</v>
      </c>
      <c r="CJ798" s="37">
        <f t="shared" si="271"/>
        <v>292.5</v>
      </c>
      <c r="CK798" s="37">
        <f t="shared" si="272"/>
        <v>0</v>
      </c>
      <c r="CL798" s="37">
        <f t="shared" si="273"/>
        <v>0</v>
      </c>
      <c r="CM798" s="37">
        <f t="shared" si="274"/>
        <v>0</v>
      </c>
    </row>
    <row r="799" spans="2:91" ht="25.5">
      <c r="B799" s="156">
        <v>785</v>
      </c>
      <c r="C799" s="160">
        <v>620</v>
      </c>
      <c r="D799" s="160">
        <v>979</v>
      </c>
      <c r="E799" s="161">
        <v>0.66875000000000007</v>
      </c>
      <c r="F799" s="161">
        <v>0.71458333333333324</v>
      </c>
      <c r="G799" s="160" t="s">
        <v>474</v>
      </c>
      <c r="H799" s="160" t="s">
        <v>479</v>
      </c>
      <c r="I799" s="163">
        <v>32.5</v>
      </c>
      <c r="J799" s="164" t="s">
        <v>188</v>
      </c>
      <c r="K799" s="165">
        <v>240</v>
      </c>
      <c r="L799" s="166">
        <f t="shared" si="283"/>
        <v>7800</v>
      </c>
      <c r="M799" s="167" t="s">
        <v>737</v>
      </c>
      <c r="N799" s="154" t="s">
        <v>983</v>
      </c>
      <c r="O799" s="154">
        <v>31</v>
      </c>
      <c r="P799" s="150" t="s">
        <v>1983</v>
      </c>
      <c r="Q799" s="150">
        <v>54</v>
      </c>
      <c r="S799" s="154"/>
      <c r="T799" s="45">
        <v>6220</v>
      </c>
      <c r="U799" s="45" t="s">
        <v>1384</v>
      </c>
      <c r="V799" s="45" t="s">
        <v>1435</v>
      </c>
      <c r="W799" s="45" t="s">
        <v>1436</v>
      </c>
      <c r="X799" s="99">
        <v>44816</v>
      </c>
      <c r="Y799" s="99">
        <v>45100</v>
      </c>
      <c r="Z799" s="99"/>
      <c r="AA799" s="99"/>
      <c r="AB799" s="45" t="s">
        <v>1124</v>
      </c>
      <c r="AC799" s="45"/>
      <c r="AD799" s="42" t="s">
        <v>734</v>
      </c>
      <c r="AE799" s="42"/>
      <c r="AF799" s="42" t="s">
        <v>734</v>
      </c>
      <c r="AG799" s="42"/>
      <c r="AH799" s="42" t="s">
        <v>734</v>
      </c>
      <c r="AI799" s="42" t="s">
        <v>734</v>
      </c>
      <c r="AJ799" s="42" t="s">
        <v>734</v>
      </c>
      <c r="AK799" s="42" t="s">
        <v>734</v>
      </c>
      <c r="AL799" s="42" t="s">
        <v>734</v>
      </c>
      <c r="AM799" s="42" t="s">
        <v>734</v>
      </c>
      <c r="AN799" s="42"/>
      <c r="AO799" s="42"/>
      <c r="AP799" s="42"/>
      <c r="AQ799" s="42"/>
      <c r="AR799" s="42"/>
      <c r="AS799" s="42"/>
      <c r="AT799" s="42"/>
      <c r="AU799" s="42"/>
      <c r="AV799" s="42"/>
      <c r="AW799" s="42"/>
      <c r="AX799" s="68">
        <v>97.5</v>
      </c>
      <c r="AY799" s="68"/>
      <c r="BA799" s="37"/>
      <c r="BB799" s="37"/>
      <c r="BD799" s="67">
        <f t="shared" si="282"/>
        <v>23400</v>
      </c>
      <c r="BE799" s="67"/>
      <c r="BF799" s="37"/>
      <c r="BG799" s="73">
        <v>1</v>
      </c>
      <c r="BH799" s="67">
        <f t="shared" si="279"/>
        <v>0</v>
      </c>
      <c r="BI799" s="67">
        <f t="shared" si="280"/>
        <v>0</v>
      </c>
      <c r="BJ799" s="70">
        <f t="shared" si="281"/>
        <v>0</v>
      </c>
      <c r="BN799" s="37"/>
      <c r="BO799" s="70">
        <f t="shared" si="267"/>
        <v>0</v>
      </c>
      <c r="BP799" s="37">
        <v>17</v>
      </c>
      <c r="BQ799" s="37">
        <v>26</v>
      </c>
      <c r="BR799" s="37">
        <v>25</v>
      </c>
      <c r="BS799" s="37">
        <v>25</v>
      </c>
      <c r="BT799" s="87">
        <f t="shared" si="268"/>
        <v>97.5</v>
      </c>
      <c r="BU799" s="87"/>
      <c r="BV799" s="87"/>
      <c r="BW799" s="87"/>
      <c r="BX799" s="87"/>
      <c r="BY799" s="87"/>
      <c r="BZ799" s="87"/>
      <c r="CA799" s="87"/>
      <c r="CB799" s="87"/>
      <c r="CC799" s="87"/>
      <c r="CD799" s="87"/>
      <c r="CF799" s="67">
        <f t="shared" si="269"/>
        <v>1657.5</v>
      </c>
      <c r="CG799" s="67">
        <f t="shared" si="270"/>
        <v>2535</v>
      </c>
      <c r="CH799" s="67">
        <f t="shared" si="284"/>
        <v>2437.5</v>
      </c>
      <c r="CI799" s="67">
        <f t="shared" si="275"/>
        <v>2437.5</v>
      </c>
      <c r="CJ799" s="37">
        <f t="shared" si="271"/>
        <v>552.5</v>
      </c>
      <c r="CK799" s="37">
        <f t="shared" si="272"/>
        <v>845</v>
      </c>
      <c r="CL799" s="37">
        <f t="shared" si="273"/>
        <v>812.5</v>
      </c>
      <c r="CM799" s="37">
        <f t="shared" si="274"/>
        <v>812.5</v>
      </c>
    </row>
    <row r="800" spans="2:91" ht="25.5">
      <c r="B800" s="156">
        <v>786</v>
      </c>
      <c r="C800" s="160">
        <v>620</v>
      </c>
      <c r="D800" s="160">
        <v>226</v>
      </c>
      <c r="E800" s="161">
        <v>0.70277777777777783</v>
      </c>
      <c r="F800" s="161">
        <v>0.71458333333333324</v>
      </c>
      <c r="G800" s="160" t="s">
        <v>564</v>
      </c>
      <c r="H800" s="160" t="s">
        <v>103</v>
      </c>
      <c r="I800" s="163">
        <v>9.4</v>
      </c>
      <c r="J800" s="164" t="s">
        <v>93</v>
      </c>
      <c r="K800" s="165">
        <v>174</v>
      </c>
      <c r="L800" s="166">
        <f t="shared" si="283"/>
        <v>1635.6000000000001</v>
      </c>
      <c r="M800" s="167" t="s">
        <v>738</v>
      </c>
      <c r="N800" s="150" t="s">
        <v>911</v>
      </c>
      <c r="O800" s="154">
        <v>21</v>
      </c>
      <c r="P800" s="150" t="s">
        <v>1980</v>
      </c>
      <c r="Q800" s="154">
        <v>24</v>
      </c>
      <c r="S800" s="154"/>
      <c r="T800" s="45">
        <v>6140</v>
      </c>
      <c r="U800" s="45" t="s">
        <v>1725</v>
      </c>
      <c r="V800" s="45">
        <v>6143</v>
      </c>
      <c r="W800" s="45" t="s">
        <v>1735</v>
      </c>
      <c r="X800" s="98">
        <v>44816</v>
      </c>
      <c r="Y800" s="98">
        <v>45086</v>
      </c>
      <c r="Z800" s="98"/>
      <c r="AA800" s="98"/>
      <c r="AB800" s="41" t="s">
        <v>1114</v>
      </c>
      <c r="AC800" s="41"/>
      <c r="AD800" s="42"/>
      <c r="AE800" s="42"/>
      <c r="AF800" s="42"/>
      <c r="AG800" s="42" t="s">
        <v>734</v>
      </c>
      <c r="AH800" s="42" t="s">
        <v>734</v>
      </c>
      <c r="AI800" s="42" t="s">
        <v>734</v>
      </c>
      <c r="AJ800" s="42" t="s">
        <v>734</v>
      </c>
      <c r="AK800" s="42" t="s">
        <v>734</v>
      </c>
      <c r="AL800" s="42" t="s">
        <v>734</v>
      </c>
      <c r="AM800" s="42"/>
      <c r="AN800" s="42"/>
      <c r="AO800" s="42"/>
      <c r="AP800" s="42"/>
      <c r="AQ800" s="42"/>
      <c r="AR800" s="42"/>
      <c r="AS800" s="42"/>
      <c r="AT800" s="42"/>
      <c r="AU800" s="42"/>
      <c r="AV800" s="42"/>
      <c r="AW800" s="42"/>
      <c r="AX800" s="68">
        <v>34.200000000000003</v>
      </c>
      <c r="AY800" s="68"/>
      <c r="BA800" s="37"/>
      <c r="BB800" s="37"/>
      <c r="BD800" s="67">
        <f t="shared" si="282"/>
        <v>5950.8</v>
      </c>
      <c r="BE800" s="67"/>
      <c r="BF800" s="37"/>
      <c r="BG800" s="73">
        <v>1</v>
      </c>
      <c r="BH800" s="67">
        <f t="shared" si="279"/>
        <v>0</v>
      </c>
      <c r="BI800" s="67">
        <f t="shared" si="280"/>
        <v>0</v>
      </c>
      <c r="BJ800" s="70">
        <f t="shared" si="281"/>
        <v>0</v>
      </c>
      <c r="BN800" s="37"/>
      <c r="BO800" s="70">
        <f t="shared" si="267"/>
        <v>0</v>
      </c>
      <c r="BP800" s="37">
        <v>15</v>
      </c>
      <c r="BQ800" s="37">
        <v>20</v>
      </c>
      <c r="BR800" s="37">
        <v>21</v>
      </c>
      <c r="BS800" s="37">
        <v>15</v>
      </c>
      <c r="BT800" s="87">
        <f t="shared" si="268"/>
        <v>34.200000000000003</v>
      </c>
      <c r="BU800" s="87"/>
      <c r="BV800" s="87"/>
      <c r="BW800" s="87"/>
      <c r="BX800" s="87"/>
      <c r="BY800" s="87"/>
      <c r="BZ800" s="87"/>
      <c r="CA800" s="87"/>
      <c r="CB800" s="87"/>
      <c r="CC800" s="87"/>
      <c r="CD800" s="87"/>
      <c r="CF800" s="67">
        <f t="shared" si="269"/>
        <v>513</v>
      </c>
      <c r="CG800" s="67">
        <f t="shared" si="270"/>
        <v>684</v>
      </c>
      <c r="CH800" s="67">
        <f t="shared" si="284"/>
        <v>718.2</v>
      </c>
      <c r="CI800" s="67">
        <f t="shared" si="275"/>
        <v>513</v>
      </c>
      <c r="CJ800" s="37">
        <f t="shared" si="271"/>
        <v>141</v>
      </c>
      <c r="CK800" s="37">
        <f t="shared" si="272"/>
        <v>188</v>
      </c>
      <c r="CL800" s="37">
        <f t="shared" si="273"/>
        <v>197.4</v>
      </c>
      <c r="CM800" s="37">
        <f t="shared" si="274"/>
        <v>141</v>
      </c>
    </row>
    <row r="801" spans="2:91" ht="33.75">
      <c r="B801" s="156">
        <v>787</v>
      </c>
      <c r="C801" s="160">
        <v>620</v>
      </c>
      <c r="D801" s="160">
        <v>228</v>
      </c>
      <c r="E801" s="161">
        <v>0.74305555555555547</v>
      </c>
      <c r="F801" s="173">
        <v>0.77222222222222225</v>
      </c>
      <c r="G801" s="160" t="s">
        <v>473</v>
      </c>
      <c r="H801" s="160" t="s">
        <v>476</v>
      </c>
      <c r="I801" s="163">
        <v>26</v>
      </c>
      <c r="J801" s="164" t="s">
        <v>188</v>
      </c>
      <c r="K801" s="165">
        <v>38</v>
      </c>
      <c r="L801" s="166">
        <f t="shared" si="283"/>
        <v>988</v>
      </c>
      <c r="M801" s="167" t="s">
        <v>737</v>
      </c>
      <c r="N801" s="154" t="s">
        <v>983</v>
      </c>
      <c r="O801" s="154">
        <v>31</v>
      </c>
      <c r="P801" s="150" t="s">
        <v>1983</v>
      </c>
      <c r="Q801" s="150">
        <v>54</v>
      </c>
      <c r="S801" s="154"/>
      <c r="T801" s="45">
        <v>6120</v>
      </c>
      <c r="U801" s="45" t="s">
        <v>1341</v>
      </c>
      <c r="V801" s="45">
        <v>6220</v>
      </c>
      <c r="W801" s="45" t="s">
        <v>1384</v>
      </c>
      <c r="X801" s="99">
        <v>44816</v>
      </c>
      <c r="Y801" s="99">
        <v>45100</v>
      </c>
      <c r="Z801" s="99"/>
      <c r="AA801" s="99"/>
      <c r="AB801" s="42" t="s">
        <v>1140</v>
      </c>
      <c r="AC801" s="42"/>
      <c r="AD801" s="42" t="s">
        <v>734</v>
      </c>
      <c r="AE801" s="42"/>
      <c r="AF801" s="42" t="s">
        <v>734</v>
      </c>
      <c r="AG801" s="42"/>
      <c r="AH801" s="42"/>
      <c r="AI801" s="42"/>
      <c r="AJ801" s="42"/>
      <c r="AK801" s="42"/>
      <c r="AL801" s="42"/>
      <c r="AM801" s="42" t="s">
        <v>734</v>
      </c>
      <c r="AN801" s="42"/>
      <c r="AO801" s="42"/>
      <c r="AP801" s="42"/>
      <c r="AQ801" s="42"/>
      <c r="AR801" s="42"/>
      <c r="AS801" s="42"/>
      <c r="AT801" s="42"/>
      <c r="AU801" s="42"/>
      <c r="AV801" s="42"/>
      <c r="AW801" s="42"/>
      <c r="AX801" s="68">
        <v>78</v>
      </c>
      <c r="AY801" s="68"/>
      <c r="BA801" s="37"/>
      <c r="BB801" s="37"/>
      <c r="BD801" s="67">
        <f t="shared" si="282"/>
        <v>2964</v>
      </c>
      <c r="BE801" s="67"/>
      <c r="BF801" s="37"/>
      <c r="BG801" s="73">
        <v>1</v>
      </c>
      <c r="BH801" s="67">
        <f t="shared" si="279"/>
        <v>0</v>
      </c>
      <c r="BI801" s="67">
        <f t="shared" si="280"/>
        <v>0</v>
      </c>
      <c r="BJ801" s="70">
        <f t="shared" si="281"/>
        <v>0</v>
      </c>
      <c r="BN801" s="37"/>
      <c r="BO801" s="70">
        <f t="shared" si="267"/>
        <v>0</v>
      </c>
      <c r="BP801" s="37">
        <v>2</v>
      </c>
      <c r="BQ801" s="37">
        <v>5</v>
      </c>
      <c r="BR801" s="37">
        <v>4</v>
      </c>
      <c r="BS801" s="37">
        <v>5</v>
      </c>
      <c r="BT801" s="87">
        <f t="shared" si="268"/>
        <v>78</v>
      </c>
      <c r="BU801" s="87"/>
      <c r="BV801" s="87"/>
      <c r="BW801" s="87"/>
      <c r="BX801" s="87"/>
      <c r="BY801" s="87"/>
      <c r="BZ801" s="87"/>
      <c r="CA801" s="87"/>
      <c r="CB801" s="87"/>
      <c r="CC801" s="87"/>
      <c r="CD801" s="87"/>
      <c r="CF801" s="67">
        <f t="shared" si="269"/>
        <v>156</v>
      </c>
      <c r="CG801" s="67">
        <f t="shared" si="270"/>
        <v>390</v>
      </c>
      <c r="CH801" s="67">
        <f t="shared" si="284"/>
        <v>312</v>
      </c>
      <c r="CI801" s="67">
        <f t="shared" si="275"/>
        <v>390</v>
      </c>
      <c r="CJ801" s="37">
        <f t="shared" si="271"/>
        <v>52</v>
      </c>
      <c r="CK801" s="37">
        <f t="shared" si="272"/>
        <v>130</v>
      </c>
      <c r="CL801" s="37">
        <f t="shared" si="273"/>
        <v>104</v>
      </c>
      <c r="CM801" s="37">
        <f t="shared" si="274"/>
        <v>130</v>
      </c>
    </row>
    <row r="802" spans="2:91" ht="33.75">
      <c r="B802" s="156">
        <v>788</v>
      </c>
      <c r="C802" s="160">
        <v>620</v>
      </c>
      <c r="D802" s="160">
        <v>228</v>
      </c>
      <c r="E802" s="161">
        <v>0.74305555555555547</v>
      </c>
      <c r="F802" s="161">
        <v>0.77013888888888893</v>
      </c>
      <c r="G802" s="160" t="s">
        <v>508</v>
      </c>
      <c r="H802" s="160" t="s">
        <v>509</v>
      </c>
      <c r="I802" s="163">
        <v>26</v>
      </c>
      <c r="J802" s="164" t="s">
        <v>188</v>
      </c>
      <c r="K802" s="165">
        <v>12</v>
      </c>
      <c r="L802" s="166">
        <f t="shared" si="283"/>
        <v>312</v>
      </c>
      <c r="M802" s="167" t="s">
        <v>737</v>
      </c>
      <c r="N802" s="154" t="s">
        <v>983</v>
      </c>
      <c r="O802" s="154">
        <v>31</v>
      </c>
      <c r="P802" s="150" t="s">
        <v>1983</v>
      </c>
      <c r="Q802" s="150">
        <v>54</v>
      </c>
      <c r="S802" s="154"/>
      <c r="T802" s="45">
        <v>6120</v>
      </c>
      <c r="U802" s="45" t="s">
        <v>1341</v>
      </c>
      <c r="V802" s="45">
        <v>6220</v>
      </c>
      <c r="W802" s="45" t="s">
        <v>1384</v>
      </c>
      <c r="X802" s="99">
        <v>44562</v>
      </c>
      <c r="Y802" s="99">
        <v>44815</v>
      </c>
      <c r="Z802" s="99">
        <v>45101</v>
      </c>
      <c r="AA802" s="99">
        <v>45169</v>
      </c>
      <c r="AB802" s="41" t="s">
        <v>1131</v>
      </c>
      <c r="AC802" s="41"/>
      <c r="AD802" s="42"/>
      <c r="AE802" s="42" t="s">
        <v>734</v>
      </c>
      <c r="AF802" s="42" t="s">
        <v>734</v>
      </c>
      <c r="AG802" s="42"/>
      <c r="AH802" s="42"/>
      <c r="AI802" s="42"/>
      <c r="AJ802" s="42"/>
      <c r="AK802" s="42"/>
      <c r="AL802" s="42"/>
      <c r="AM802" s="42" t="s">
        <v>734</v>
      </c>
      <c r="AN802" s="42"/>
      <c r="AO802" s="42"/>
      <c r="AP802" s="42"/>
      <c r="AQ802" s="42"/>
      <c r="AR802" s="42"/>
      <c r="AS802" s="42"/>
      <c r="AT802" s="42"/>
      <c r="AU802" s="42"/>
      <c r="AV802" s="42"/>
      <c r="AW802" s="42"/>
      <c r="AX802" s="68">
        <v>78</v>
      </c>
      <c r="AY802" s="68"/>
      <c r="BA802" s="37"/>
      <c r="BB802" s="37"/>
      <c r="BD802" s="67">
        <f t="shared" si="282"/>
        <v>936</v>
      </c>
      <c r="BE802" s="67"/>
      <c r="BF802" s="37"/>
      <c r="BG802" s="73">
        <v>1</v>
      </c>
      <c r="BH802" s="67">
        <f t="shared" si="279"/>
        <v>0</v>
      </c>
      <c r="BI802" s="67">
        <f t="shared" si="280"/>
        <v>0</v>
      </c>
      <c r="BJ802" s="70">
        <f t="shared" si="281"/>
        <v>0</v>
      </c>
      <c r="BN802" s="37"/>
      <c r="BO802" s="70">
        <f t="shared" si="267"/>
        <v>0</v>
      </c>
      <c r="BP802" s="37">
        <v>2</v>
      </c>
      <c r="BQ802" s="37">
        <v>0</v>
      </c>
      <c r="BR802" s="37">
        <v>0</v>
      </c>
      <c r="BT802" s="87">
        <f t="shared" si="268"/>
        <v>78</v>
      </c>
      <c r="BU802" s="87"/>
      <c r="BV802" s="87"/>
      <c r="BW802" s="87"/>
      <c r="BX802" s="87"/>
      <c r="BY802" s="87"/>
      <c r="BZ802" s="87"/>
      <c r="CA802" s="87"/>
      <c r="CB802" s="87"/>
      <c r="CC802" s="87"/>
      <c r="CD802" s="87"/>
      <c r="CF802" s="67">
        <f t="shared" si="269"/>
        <v>156</v>
      </c>
      <c r="CG802" s="67">
        <f t="shared" si="270"/>
        <v>0</v>
      </c>
      <c r="CH802" s="67">
        <f t="shared" si="284"/>
        <v>0</v>
      </c>
      <c r="CI802" s="67">
        <f t="shared" si="275"/>
        <v>0</v>
      </c>
      <c r="CJ802" s="37">
        <f t="shared" si="271"/>
        <v>52</v>
      </c>
      <c r="CK802" s="37">
        <f t="shared" si="272"/>
        <v>0</v>
      </c>
      <c r="CL802" s="37">
        <f t="shared" si="273"/>
        <v>0</v>
      </c>
      <c r="CM802" s="37">
        <f t="shared" si="274"/>
        <v>0</v>
      </c>
    </row>
    <row r="803" spans="2:91" ht="33.75">
      <c r="B803" s="156">
        <v>789</v>
      </c>
      <c r="C803" s="160">
        <v>620</v>
      </c>
      <c r="D803" s="160">
        <v>988</v>
      </c>
      <c r="E803" s="161">
        <v>0.77222222222222225</v>
      </c>
      <c r="F803" s="161">
        <v>0.79652777777777783</v>
      </c>
      <c r="G803" s="160" t="s">
        <v>527</v>
      </c>
      <c r="H803" s="160" t="s">
        <v>479</v>
      </c>
      <c r="I803" s="163">
        <v>16</v>
      </c>
      <c r="J803" s="164" t="s">
        <v>93</v>
      </c>
      <c r="K803" s="165">
        <v>240</v>
      </c>
      <c r="L803" s="166">
        <f t="shared" si="283"/>
        <v>3840</v>
      </c>
      <c r="M803" s="167" t="s">
        <v>737</v>
      </c>
      <c r="N803" s="154" t="s">
        <v>912</v>
      </c>
      <c r="O803" s="154">
        <v>21</v>
      </c>
      <c r="P803" s="150" t="s">
        <v>983</v>
      </c>
      <c r="Q803" s="150">
        <v>31</v>
      </c>
      <c r="R803" s="154" t="s">
        <v>1983</v>
      </c>
      <c r="S803" s="150">
        <v>54</v>
      </c>
      <c r="T803" s="45">
        <v>6120</v>
      </c>
      <c r="U803" s="45" t="s">
        <v>1341</v>
      </c>
      <c r="V803" s="45">
        <v>6147</v>
      </c>
      <c r="W803" s="45" t="s">
        <v>1738</v>
      </c>
      <c r="X803" s="99">
        <v>44816</v>
      </c>
      <c r="Y803" s="99">
        <v>45100</v>
      </c>
      <c r="Z803" s="99"/>
      <c r="AA803" s="99"/>
      <c r="AB803" s="45" t="s">
        <v>1124</v>
      </c>
      <c r="AC803" s="45"/>
      <c r="AD803" s="42" t="s">
        <v>734</v>
      </c>
      <c r="AE803" s="42"/>
      <c r="AF803" s="42" t="s">
        <v>734</v>
      </c>
      <c r="AG803" s="42"/>
      <c r="AH803" s="42" t="s">
        <v>734</v>
      </c>
      <c r="AI803" s="42" t="s">
        <v>734</v>
      </c>
      <c r="AJ803" s="42" t="s">
        <v>734</v>
      </c>
      <c r="AK803" s="42" t="s">
        <v>734</v>
      </c>
      <c r="AL803" s="42" t="s">
        <v>734</v>
      </c>
      <c r="AM803" s="42" t="s">
        <v>734</v>
      </c>
      <c r="AN803" s="42"/>
      <c r="AO803" s="42"/>
      <c r="AP803" s="42"/>
      <c r="AQ803" s="42"/>
      <c r="AR803" s="42"/>
      <c r="AS803" s="42"/>
      <c r="AT803" s="42"/>
      <c r="AU803" s="42"/>
      <c r="AV803" s="42"/>
      <c r="AW803" s="42"/>
      <c r="AX803" s="68">
        <v>48</v>
      </c>
      <c r="AY803" s="68"/>
      <c r="BA803" s="37"/>
      <c r="BB803" s="37"/>
      <c r="BD803" s="67">
        <f t="shared" si="282"/>
        <v>11520</v>
      </c>
      <c r="BE803" s="67"/>
      <c r="BF803" s="37"/>
      <c r="BG803" s="73">
        <v>1</v>
      </c>
      <c r="BH803" s="67">
        <f t="shared" si="279"/>
        <v>0</v>
      </c>
      <c r="BI803" s="67">
        <f t="shared" si="280"/>
        <v>0</v>
      </c>
      <c r="BJ803" s="70">
        <f t="shared" si="281"/>
        <v>0</v>
      </c>
      <c r="BN803" s="37"/>
      <c r="BO803" s="70">
        <f t="shared" si="267"/>
        <v>0</v>
      </c>
      <c r="BP803" s="37">
        <v>17</v>
      </c>
      <c r="BQ803" s="37">
        <v>26</v>
      </c>
      <c r="BR803" s="37">
        <v>25</v>
      </c>
      <c r="BS803" s="37">
        <v>25</v>
      </c>
      <c r="BT803" s="87">
        <f t="shared" si="268"/>
        <v>48</v>
      </c>
      <c r="BU803" s="87"/>
      <c r="BV803" s="87"/>
      <c r="BW803" s="87"/>
      <c r="BX803" s="87"/>
      <c r="BY803" s="87"/>
      <c r="BZ803" s="87"/>
      <c r="CA803" s="87"/>
      <c r="CB803" s="87"/>
      <c r="CC803" s="87"/>
      <c r="CD803" s="87"/>
      <c r="CF803" s="67">
        <f t="shared" si="269"/>
        <v>816</v>
      </c>
      <c r="CG803" s="67">
        <f t="shared" si="270"/>
        <v>1248</v>
      </c>
      <c r="CH803" s="67">
        <f t="shared" si="284"/>
        <v>1200</v>
      </c>
      <c r="CI803" s="67">
        <f t="shared" si="275"/>
        <v>1200</v>
      </c>
      <c r="CJ803" s="37">
        <f t="shared" si="271"/>
        <v>272</v>
      </c>
      <c r="CK803" s="37">
        <f t="shared" si="272"/>
        <v>416</v>
      </c>
      <c r="CL803" s="37">
        <f t="shared" si="273"/>
        <v>400</v>
      </c>
      <c r="CM803" s="37">
        <f t="shared" si="274"/>
        <v>400</v>
      </c>
    </row>
    <row r="804" spans="2:91" ht="33.75">
      <c r="B804" s="156">
        <v>790</v>
      </c>
      <c r="C804" s="160">
        <v>620</v>
      </c>
      <c r="D804" s="160">
        <v>988</v>
      </c>
      <c r="E804" s="161">
        <v>0.77430555555555547</v>
      </c>
      <c r="F804" s="161">
        <v>0.79861111111111116</v>
      </c>
      <c r="G804" s="160" t="s">
        <v>507</v>
      </c>
      <c r="H804" s="160" t="s">
        <v>501</v>
      </c>
      <c r="I804" s="163">
        <v>16</v>
      </c>
      <c r="J804" s="164" t="s">
        <v>93</v>
      </c>
      <c r="K804" s="165">
        <v>67</v>
      </c>
      <c r="L804" s="166">
        <f t="shared" si="283"/>
        <v>1072</v>
      </c>
      <c r="M804" s="167" t="s">
        <v>737</v>
      </c>
      <c r="N804" s="154" t="s">
        <v>914</v>
      </c>
      <c r="O804" s="154">
        <v>21</v>
      </c>
      <c r="P804" s="150" t="s">
        <v>912</v>
      </c>
      <c r="Q804" s="150">
        <v>21</v>
      </c>
      <c r="S804" s="154"/>
      <c r="T804" s="45">
        <v>6120</v>
      </c>
      <c r="U804" s="45" t="s">
        <v>1341</v>
      </c>
      <c r="V804" s="45">
        <v>6147</v>
      </c>
      <c r="W804" s="45" t="s">
        <v>1738</v>
      </c>
      <c r="X804" s="99">
        <v>44562</v>
      </c>
      <c r="Y804" s="99">
        <v>44815</v>
      </c>
      <c r="Z804" s="99">
        <v>45101</v>
      </c>
      <c r="AA804" s="99">
        <v>45169</v>
      </c>
      <c r="AB804" s="42" t="s">
        <v>1119</v>
      </c>
      <c r="AC804" s="42"/>
      <c r="AD804" s="42"/>
      <c r="AE804" s="42" t="s">
        <v>734</v>
      </c>
      <c r="AF804" s="42" t="s">
        <v>734</v>
      </c>
      <c r="AG804" s="42"/>
      <c r="AH804" s="42" t="s">
        <v>734</v>
      </c>
      <c r="AI804" s="42" t="s">
        <v>734</v>
      </c>
      <c r="AJ804" s="42" t="s">
        <v>734</v>
      </c>
      <c r="AK804" s="42" t="s">
        <v>734</v>
      </c>
      <c r="AL804" s="42" t="s">
        <v>734</v>
      </c>
      <c r="AM804" s="42" t="s">
        <v>734</v>
      </c>
      <c r="AN804" s="42"/>
      <c r="AO804" s="42"/>
      <c r="AP804" s="42"/>
      <c r="AQ804" s="42"/>
      <c r="AR804" s="42"/>
      <c r="AS804" s="42"/>
      <c r="AT804" s="42"/>
      <c r="AU804" s="42"/>
      <c r="AV804" s="42"/>
      <c r="AW804" s="42"/>
      <c r="AX804" s="68">
        <v>48</v>
      </c>
      <c r="AY804" s="68"/>
      <c r="BA804" s="37"/>
      <c r="BB804" s="37"/>
      <c r="BD804" s="67">
        <f t="shared" si="282"/>
        <v>3216</v>
      </c>
      <c r="BE804" s="67"/>
      <c r="BF804" s="37"/>
      <c r="BG804" s="73">
        <v>1</v>
      </c>
      <c r="BH804" s="67">
        <f t="shared" si="279"/>
        <v>0</v>
      </c>
      <c r="BI804" s="67">
        <f t="shared" si="280"/>
        <v>0</v>
      </c>
      <c r="BJ804" s="70">
        <f t="shared" si="281"/>
        <v>0</v>
      </c>
      <c r="BN804" s="37"/>
      <c r="BO804" s="70">
        <f t="shared" si="267"/>
        <v>0</v>
      </c>
      <c r="BP804" s="37">
        <v>9</v>
      </c>
      <c r="BQ804" s="37">
        <v>0</v>
      </c>
      <c r="BR804" s="37">
        <v>0</v>
      </c>
      <c r="BS804" s="37">
        <v>0</v>
      </c>
      <c r="BT804" s="87">
        <f t="shared" si="268"/>
        <v>48</v>
      </c>
      <c r="BU804" s="87"/>
      <c r="BV804" s="87"/>
      <c r="BW804" s="87"/>
      <c r="BX804" s="87"/>
      <c r="BY804" s="87"/>
      <c r="BZ804" s="87"/>
      <c r="CA804" s="87"/>
      <c r="CB804" s="87"/>
      <c r="CC804" s="87"/>
      <c r="CD804" s="87"/>
      <c r="CF804" s="67">
        <f t="shared" si="269"/>
        <v>432</v>
      </c>
      <c r="CG804" s="67">
        <f t="shared" si="270"/>
        <v>0</v>
      </c>
      <c r="CH804" s="67">
        <f t="shared" si="284"/>
        <v>0</v>
      </c>
      <c r="CI804" s="67">
        <f t="shared" si="275"/>
        <v>0</v>
      </c>
      <c r="CJ804" s="37">
        <f t="shared" si="271"/>
        <v>144</v>
      </c>
      <c r="CK804" s="37">
        <f t="shared" si="272"/>
        <v>0</v>
      </c>
      <c r="CL804" s="37">
        <f t="shared" si="273"/>
        <v>0</v>
      </c>
      <c r="CM804" s="37">
        <f t="shared" si="274"/>
        <v>0</v>
      </c>
    </row>
    <row r="805" spans="2:91" ht="25.5">
      <c r="B805" s="156">
        <v>791</v>
      </c>
      <c r="C805" s="160">
        <v>620</v>
      </c>
      <c r="D805" s="160">
        <v>983</v>
      </c>
      <c r="E805" s="161">
        <v>0.79513888888888884</v>
      </c>
      <c r="F805" s="161">
        <v>0.84027777777777779</v>
      </c>
      <c r="G805" s="160" t="s">
        <v>474</v>
      </c>
      <c r="H805" s="160" t="s">
        <v>509</v>
      </c>
      <c r="I805" s="163">
        <v>32.5</v>
      </c>
      <c r="J805" s="164" t="s">
        <v>188</v>
      </c>
      <c r="K805" s="165">
        <v>12</v>
      </c>
      <c r="L805" s="166">
        <f t="shared" si="283"/>
        <v>390</v>
      </c>
      <c r="M805" s="167" t="s">
        <v>737</v>
      </c>
      <c r="N805" s="154" t="s">
        <v>983</v>
      </c>
      <c r="O805" s="154">
        <v>31</v>
      </c>
      <c r="P805" s="150" t="s">
        <v>1983</v>
      </c>
      <c r="Q805" s="150">
        <v>54</v>
      </c>
      <c r="S805" s="154"/>
      <c r="T805" s="45">
        <v>6220</v>
      </c>
      <c r="U805" s="45" t="s">
        <v>1384</v>
      </c>
      <c r="V805" s="45" t="s">
        <v>1435</v>
      </c>
      <c r="W805" s="45" t="s">
        <v>1436</v>
      </c>
      <c r="X805" s="99">
        <v>44562</v>
      </c>
      <c r="Y805" s="99">
        <v>44815</v>
      </c>
      <c r="Z805" s="99">
        <v>45101</v>
      </c>
      <c r="AA805" s="99">
        <v>45169</v>
      </c>
      <c r="AB805" s="41" t="s">
        <v>1131</v>
      </c>
      <c r="AC805" s="41"/>
      <c r="AD805" s="42"/>
      <c r="AE805" s="42" t="s">
        <v>734</v>
      </c>
      <c r="AF805" s="42" t="s">
        <v>734</v>
      </c>
      <c r="AG805" s="42"/>
      <c r="AH805" s="42"/>
      <c r="AI805" s="42"/>
      <c r="AJ805" s="42"/>
      <c r="AK805" s="42"/>
      <c r="AL805" s="42"/>
      <c r="AM805" s="42" t="s">
        <v>734</v>
      </c>
      <c r="AN805" s="42"/>
      <c r="AO805" s="42"/>
      <c r="AP805" s="42"/>
      <c r="AQ805" s="42"/>
      <c r="AR805" s="42"/>
      <c r="AS805" s="42"/>
      <c r="AT805" s="42"/>
      <c r="AU805" s="42"/>
      <c r="AV805" s="42"/>
      <c r="AW805" s="42"/>
      <c r="AX805" s="68">
        <v>97.5</v>
      </c>
      <c r="AY805" s="68"/>
      <c r="BA805" s="37"/>
      <c r="BB805" s="37"/>
      <c r="BD805" s="67">
        <f t="shared" si="282"/>
        <v>1170</v>
      </c>
      <c r="BE805" s="67"/>
      <c r="BF805" s="37"/>
      <c r="BG805" s="73">
        <v>1</v>
      </c>
      <c r="BH805" s="67">
        <f t="shared" si="279"/>
        <v>0</v>
      </c>
      <c r="BI805" s="67">
        <f t="shared" si="280"/>
        <v>0</v>
      </c>
      <c r="BJ805" s="70">
        <f t="shared" si="281"/>
        <v>0</v>
      </c>
      <c r="BN805" s="37"/>
      <c r="BO805" s="70">
        <f t="shared" si="267"/>
        <v>0</v>
      </c>
      <c r="BP805" s="37">
        <v>2</v>
      </c>
      <c r="BQ805" s="37">
        <v>0</v>
      </c>
      <c r="BR805" s="37">
        <v>0</v>
      </c>
      <c r="BT805" s="87">
        <f t="shared" si="268"/>
        <v>97.5</v>
      </c>
      <c r="BU805" s="87"/>
      <c r="BV805" s="87"/>
      <c r="BW805" s="87"/>
      <c r="BX805" s="87"/>
      <c r="BY805" s="87"/>
      <c r="BZ805" s="87"/>
      <c r="CA805" s="87"/>
      <c r="CB805" s="87"/>
      <c r="CC805" s="87"/>
      <c r="CD805" s="87"/>
      <c r="CF805" s="67">
        <f t="shared" si="269"/>
        <v>195</v>
      </c>
      <c r="CG805" s="67">
        <f t="shared" si="270"/>
        <v>0</v>
      </c>
      <c r="CH805" s="67">
        <f t="shared" si="284"/>
        <v>0</v>
      </c>
      <c r="CI805" s="67">
        <f t="shared" si="275"/>
        <v>0</v>
      </c>
      <c r="CJ805" s="37">
        <f t="shared" si="271"/>
        <v>65</v>
      </c>
      <c r="CK805" s="37">
        <f t="shared" si="272"/>
        <v>0</v>
      </c>
      <c r="CL805" s="37">
        <f t="shared" si="273"/>
        <v>0</v>
      </c>
      <c r="CM805" s="37">
        <f t="shared" si="274"/>
        <v>0</v>
      </c>
    </row>
    <row r="806" spans="2:91" ht="25.5">
      <c r="B806" s="156">
        <v>792</v>
      </c>
      <c r="C806" s="160">
        <v>620</v>
      </c>
      <c r="D806" s="160">
        <v>983</v>
      </c>
      <c r="E806" s="161">
        <v>0.79513888888888884</v>
      </c>
      <c r="F806" s="161">
        <v>0.84097222222222223</v>
      </c>
      <c r="G806" s="160" t="s">
        <v>474</v>
      </c>
      <c r="H806" s="160" t="s">
        <v>97</v>
      </c>
      <c r="I806" s="163">
        <v>32.5</v>
      </c>
      <c r="J806" s="164" t="s">
        <v>188</v>
      </c>
      <c r="K806" s="165">
        <v>208</v>
      </c>
      <c r="L806" s="166">
        <f t="shared" si="283"/>
        <v>6760</v>
      </c>
      <c r="M806" s="167" t="s">
        <v>737</v>
      </c>
      <c r="N806" s="154" t="s">
        <v>912</v>
      </c>
      <c r="O806" s="154">
        <v>21</v>
      </c>
      <c r="P806" s="154" t="s">
        <v>983</v>
      </c>
      <c r="Q806" s="154">
        <v>31</v>
      </c>
      <c r="R806" s="154" t="s">
        <v>914</v>
      </c>
      <c r="S806" s="154">
        <v>21</v>
      </c>
      <c r="T806" s="45">
        <v>6220</v>
      </c>
      <c r="U806" s="45" t="s">
        <v>1384</v>
      </c>
      <c r="V806" s="45" t="s">
        <v>1435</v>
      </c>
      <c r="W806" s="45" t="s">
        <v>1436</v>
      </c>
      <c r="X806" s="98">
        <v>44816</v>
      </c>
      <c r="Y806" s="98">
        <v>45086</v>
      </c>
      <c r="Z806" s="98"/>
      <c r="AA806" s="98"/>
      <c r="AB806" s="41" t="s">
        <v>1118</v>
      </c>
      <c r="AC806" s="41"/>
      <c r="AD806" s="42"/>
      <c r="AE806" s="42"/>
      <c r="AF806" s="42"/>
      <c r="AG806" s="42" t="s">
        <v>734</v>
      </c>
      <c r="AH806" s="42" t="s">
        <v>734</v>
      </c>
      <c r="AI806" s="42" t="s">
        <v>734</v>
      </c>
      <c r="AJ806" s="42" t="s">
        <v>734</v>
      </c>
      <c r="AK806" s="42" t="s">
        <v>734</v>
      </c>
      <c r="AL806" s="42" t="s">
        <v>734</v>
      </c>
      <c r="AM806" s="42" t="s">
        <v>734</v>
      </c>
      <c r="AN806" s="42"/>
      <c r="AO806" s="42"/>
      <c r="AP806" s="42"/>
      <c r="AQ806" s="42"/>
      <c r="AR806" s="42"/>
      <c r="AS806" s="42"/>
      <c r="AT806" s="42"/>
      <c r="AU806" s="42"/>
      <c r="AV806" s="42"/>
      <c r="AW806" s="42"/>
      <c r="AX806" s="68">
        <v>97.5</v>
      </c>
      <c r="AY806" s="68"/>
      <c r="BA806" s="37"/>
      <c r="BB806" s="37"/>
      <c r="BD806" s="67">
        <f t="shared" si="282"/>
        <v>20280</v>
      </c>
      <c r="BE806" s="67"/>
      <c r="BF806" s="37"/>
      <c r="BG806" s="73">
        <v>1</v>
      </c>
      <c r="BH806" s="67">
        <f t="shared" si="279"/>
        <v>0</v>
      </c>
      <c r="BI806" s="67">
        <f t="shared" si="280"/>
        <v>0</v>
      </c>
      <c r="BJ806" s="70">
        <f t="shared" si="281"/>
        <v>0</v>
      </c>
      <c r="BN806" s="37"/>
      <c r="BO806" s="70">
        <f t="shared" si="267"/>
        <v>0</v>
      </c>
      <c r="BP806" s="37">
        <v>17</v>
      </c>
      <c r="BQ806" s="37">
        <v>25</v>
      </c>
      <c r="BR806" s="37">
        <v>25</v>
      </c>
      <c r="BS806" s="37">
        <v>18</v>
      </c>
      <c r="BT806" s="87">
        <f t="shared" si="268"/>
        <v>97.5</v>
      </c>
      <c r="BU806" s="87"/>
      <c r="BV806" s="87"/>
      <c r="BW806" s="87"/>
      <c r="BX806" s="87"/>
      <c r="BY806" s="87"/>
      <c r="BZ806" s="87"/>
      <c r="CA806" s="87"/>
      <c r="CB806" s="87"/>
      <c r="CC806" s="87"/>
      <c r="CD806" s="87"/>
      <c r="CF806" s="67">
        <f t="shared" si="269"/>
        <v>1657.5</v>
      </c>
      <c r="CG806" s="67">
        <f t="shared" si="270"/>
        <v>2437.5</v>
      </c>
      <c r="CH806" s="67">
        <f t="shared" si="284"/>
        <v>2437.5</v>
      </c>
      <c r="CI806" s="67">
        <f t="shared" si="275"/>
        <v>1755</v>
      </c>
      <c r="CJ806" s="37">
        <f t="shared" si="271"/>
        <v>552.5</v>
      </c>
      <c r="CK806" s="37">
        <f t="shared" si="272"/>
        <v>812.5</v>
      </c>
      <c r="CL806" s="37">
        <f t="shared" si="273"/>
        <v>812.5</v>
      </c>
      <c r="CM806" s="37">
        <f t="shared" si="274"/>
        <v>585</v>
      </c>
    </row>
    <row r="807" spans="2:91" ht="33.75">
      <c r="B807" s="156">
        <v>793</v>
      </c>
      <c r="C807" s="160">
        <v>620</v>
      </c>
      <c r="D807" s="160">
        <v>214</v>
      </c>
      <c r="E807" s="161">
        <v>0.87013888888888891</v>
      </c>
      <c r="F807" s="161">
        <v>0.90347222222222223</v>
      </c>
      <c r="G807" s="160" t="s">
        <v>530</v>
      </c>
      <c r="H807" s="160" t="s">
        <v>103</v>
      </c>
      <c r="I807" s="163">
        <v>29</v>
      </c>
      <c r="J807" s="164" t="s">
        <v>146</v>
      </c>
      <c r="K807" s="165">
        <v>174</v>
      </c>
      <c r="L807" s="166">
        <f t="shared" si="283"/>
        <v>5046</v>
      </c>
      <c r="M807" s="167" t="s">
        <v>737</v>
      </c>
      <c r="N807" s="154" t="s">
        <v>912</v>
      </c>
      <c r="O807" s="154">
        <v>21</v>
      </c>
      <c r="P807" s="154" t="s">
        <v>983</v>
      </c>
      <c r="Q807" s="154">
        <v>31</v>
      </c>
      <c r="R807" s="154" t="s">
        <v>914</v>
      </c>
      <c r="S807" s="154">
        <v>21</v>
      </c>
      <c r="T807" s="45" t="s">
        <v>1435</v>
      </c>
      <c r="U807" s="45" t="s">
        <v>1436</v>
      </c>
      <c r="V807" s="45">
        <v>6220</v>
      </c>
      <c r="W807" s="45" t="s">
        <v>1384</v>
      </c>
      <c r="X807" s="98">
        <v>44816</v>
      </c>
      <c r="Y807" s="98">
        <v>45086</v>
      </c>
      <c r="Z807" s="98"/>
      <c r="AA807" s="98"/>
      <c r="AB807" s="41" t="s">
        <v>1114</v>
      </c>
      <c r="AC807" s="41"/>
      <c r="AD807" s="42"/>
      <c r="AE807" s="42"/>
      <c r="AF807" s="42"/>
      <c r="AG807" s="42" t="s">
        <v>734</v>
      </c>
      <c r="AH807" s="42" t="s">
        <v>734</v>
      </c>
      <c r="AI807" s="42" t="s">
        <v>734</v>
      </c>
      <c r="AJ807" s="42" t="s">
        <v>734</v>
      </c>
      <c r="AK807" s="42" t="s">
        <v>734</v>
      </c>
      <c r="AL807" s="42" t="s">
        <v>734</v>
      </c>
      <c r="AM807" s="42"/>
      <c r="AN807" s="42"/>
      <c r="AO807" s="42"/>
      <c r="AP807" s="42"/>
      <c r="AQ807" s="42"/>
      <c r="AR807" s="42"/>
      <c r="AS807" s="42"/>
      <c r="AT807" s="42"/>
      <c r="AU807" s="42"/>
      <c r="AV807" s="42"/>
      <c r="AW807" s="42"/>
      <c r="AX807" s="68">
        <v>87</v>
      </c>
      <c r="AY807" s="68"/>
      <c r="BA807" s="37"/>
      <c r="BB807" s="37"/>
      <c r="BD807" s="67">
        <f t="shared" si="282"/>
        <v>15138</v>
      </c>
      <c r="BE807" s="67"/>
      <c r="BF807" s="37"/>
      <c r="BG807" s="73">
        <v>1</v>
      </c>
      <c r="BH807" s="67">
        <f t="shared" si="279"/>
        <v>0</v>
      </c>
      <c r="BI807" s="67">
        <f t="shared" si="280"/>
        <v>0</v>
      </c>
      <c r="BJ807" s="70">
        <f t="shared" si="281"/>
        <v>0</v>
      </c>
      <c r="BN807" s="37"/>
      <c r="BO807" s="70">
        <f t="shared" si="267"/>
        <v>0</v>
      </c>
      <c r="BP807" s="37">
        <v>15</v>
      </c>
      <c r="BQ807" s="37">
        <v>20</v>
      </c>
      <c r="BR807" s="37">
        <v>21</v>
      </c>
      <c r="BS807" s="37">
        <v>15</v>
      </c>
      <c r="BT807" s="87">
        <f t="shared" si="268"/>
        <v>87</v>
      </c>
      <c r="BU807" s="87"/>
      <c r="BV807" s="87"/>
      <c r="BW807" s="87"/>
      <c r="BX807" s="87"/>
      <c r="BY807" s="87"/>
      <c r="BZ807" s="87"/>
      <c r="CA807" s="87"/>
      <c r="CB807" s="87"/>
      <c r="CC807" s="87"/>
      <c r="CD807" s="87"/>
      <c r="CF807" s="67">
        <f t="shared" si="269"/>
        <v>1305</v>
      </c>
      <c r="CG807" s="67">
        <f t="shared" si="270"/>
        <v>1740</v>
      </c>
      <c r="CH807" s="67">
        <f t="shared" si="284"/>
        <v>1827</v>
      </c>
      <c r="CI807" s="67">
        <f t="shared" si="275"/>
        <v>1305</v>
      </c>
      <c r="CJ807" s="37">
        <f t="shared" si="271"/>
        <v>435</v>
      </c>
      <c r="CK807" s="37">
        <f t="shared" si="272"/>
        <v>580</v>
      </c>
      <c r="CL807" s="37">
        <f t="shared" si="273"/>
        <v>609</v>
      </c>
      <c r="CM807" s="37">
        <f t="shared" si="274"/>
        <v>435</v>
      </c>
    </row>
    <row r="808" spans="2:91" ht="33.75">
      <c r="B808" s="156">
        <v>794</v>
      </c>
      <c r="C808" s="160">
        <v>621</v>
      </c>
      <c r="D808" s="174" t="s">
        <v>1071</v>
      </c>
      <c r="E808" s="161">
        <v>0.29930555555555555</v>
      </c>
      <c r="F808" s="161">
        <v>0.32083333333333336</v>
      </c>
      <c r="G808" s="171" t="s">
        <v>407</v>
      </c>
      <c r="H808" s="160" t="s">
        <v>103</v>
      </c>
      <c r="I808" s="163">
        <v>15</v>
      </c>
      <c r="J808" s="164" t="s">
        <v>111</v>
      </c>
      <c r="K808" s="165">
        <v>174</v>
      </c>
      <c r="L808" s="166">
        <f t="shared" si="283"/>
        <v>2610</v>
      </c>
      <c r="M808" s="167" t="s">
        <v>779</v>
      </c>
      <c r="N808" s="154" t="s">
        <v>861</v>
      </c>
      <c r="O808" s="154">
        <v>57</v>
      </c>
      <c r="P808" s="211" t="s">
        <v>1298</v>
      </c>
      <c r="Q808" s="211" t="s">
        <v>1299</v>
      </c>
      <c r="R808" s="154" t="s">
        <v>1300</v>
      </c>
      <c r="S808" s="154">
        <v>31</v>
      </c>
      <c r="T808" s="45">
        <v>6120</v>
      </c>
      <c r="U808" s="45" t="s">
        <v>1341</v>
      </c>
      <c r="V808" s="45" t="s">
        <v>1739</v>
      </c>
      <c r="W808" s="45" t="s">
        <v>1740</v>
      </c>
      <c r="X808" s="98">
        <v>44816</v>
      </c>
      <c r="Y808" s="98">
        <v>45086</v>
      </c>
      <c r="Z808" s="98"/>
      <c r="AA808" s="98"/>
      <c r="AB808" s="41" t="s">
        <v>1114</v>
      </c>
      <c r="AC808" s="41"/>
      <c r="AD808" s="42"/>
      <c r="AE808" s="42"/>
      <c r="AF808" s="42"/>
      <c r="AG808" s="42" t="s">
        <v>734</v>
      </c>
      <c r="AH808" s="42" t="s">
        <v>734</v>
      </c>
      <c r="AI808" s="42" t="s">
        <v>734</v>
      </c>
      <c r="AJ808" s="42" t="s">
        <v>734</v>
      </c>
      <c r="AK808" s="42" t="s">
        <v>734</v>
      </c>
      <c r="AL808" s="42" t="s">
        <v>734</v>
      </c>
      <c r="AM808" s="42"/>
      <c r="AN808" s="42"/>
      <c r="AO808" s="42"/>
      <c r="AP808" s="42"/>
      <c r="AQ808" s="42"/>
      <c r="AR808" s="42"/>
      <c r="AS808" s="42"/>
      <c r="AT808" s="42"/>
      <c r="AU808" s="42"/>
      <c r="AV808" s="42"/>
      <c r="AW808" s="42"/>
      <c r="AX808" s="68">
        <v>218.07</v>
      </c>
      <c r="AY808" s="68"/>
      <c r="BD808" s="67">
        <f t="shared" si="282"/>
        <v>37944.18</v>
      </c>
      <c r="BE808" s="67"/>
      <c r="BF808" s="37"/>
      <c r="BG808" s="69">
        <v>2</v>
      </c>
      <c r="BH808" s="67">
        <f t="shared" si="279"/>
        <v>0</v>
      </c>
      <c r="BI808" s="67">
        <f t="shared" si="280"/>
        <v>0</v>
      </c>
      <c r="BJ808" s="70">
        <f t="shared" si="281"/>
        <v>0</v>
      </c>
      <c r="BN808" s="37"/>
      <c r="BO808" s="70">
        <f t="shared" si="267"/>
        <v>0</v>
      </c>
      <c r="BP808" s="37">
        <v>15</v>
      </c>
      <c r="BQ808" s="37">
        <v>20</v>
      </c>
      <c r="BR808" s="37">
        <v>21</v>
      </c>
      <c r="BS808" s="37">
        <v>15</v>
      </c>
      <c r="BT808" s="87">
        <f t="shared" si="268"/>
        <v>218.07</v>
      </c>
      <c r="BU808" s="87"/>
      <c r="BV808" s="87"/>
      <c r="BW808" s="87"/>
      <c r="BX808" s="87"/>
      <c r="BY808" s="87"/>
      <c r="BZ808" s="87"/>
      <c r="CA808" s="87"/>
      <c r="CB808" s="87"/>
      <c r="CC808" s="87"/>
      <c r="CD808" s="87"/>
      <c r="CF808" s="67">
        <f t="shared" si="269"/>
        <v>3271.0499999999997</v>
      </c>
      <c r="CG808" s="67">
        <f t="shared" si="270"/>
        <v>4361.3999999999996</v>
      </c>
      <c r="CH808" s="67">
        <f t="shared" si="284"/>
        <v>4579.47</v>
      </c>
      <c r="CI808" s="67">
        <f t="shared" si="275"/>
        <v>3271.0499999999997</v>
      </c>
      <c r="CJ808" s="37">
        <f t="shared" si="271"/>
        <v>225</v>
      </c>
      <c r="CK808" s="37">
        <f t="shared" si="272"/>
        <v>300</v>
      </c>
      <c r="CL808" s="37">
        <f t="shared" si="273"/>
        <v>315</v>
      </c>
      <c r="CM808" s="37">
        <f t="shared" si="274"/>
        <v>225</v>
      </c>
    </row>
    <row r="809" spans="2:91" ht="25.5">
      <c r="B809" s="156">
        <v>795</v>
      </c>
      <c r="C809" s="160">
        <v>621</v>
      </c>
      <c r="D809" s="160">
        <v>968</v>
      </c>
      <c r="E809" s="161">
        <v>0.41319444444444442</v>
      </c>
      <c r="F809" s="161">
        <v>0.42986111111111108</v>
      </c>
      <c r="G809" s="160" t="s">
        <v>477</v>
      </c>
      <c r="H809" s="160" t="s">
        <v>479</v>
      </c>
      <c r="I809" s="163">
        <v>13.2</v>
      </c>
      <c r="J809" s="164" t="s">
        <v>93</v>
      </c>
      <c r="K809" s="165">
        <v>240</v>
      </c>
      <c r="L809" s="166">
        <f t="shared" si="283"/>
        <v>3168</v>
      </c>
      <c r="M809" s="167" t="s">
        <v>738</v>
      </c>
      <c r="N809" s="150" t="s">
        <v>911</v>
      </c>
      <c r="O809" s="150">
        <v>21</v>
      </c>
      <c r="P809" s="221" t="s">
        <v>2077</v>
      </c>
      <c r="Q809" s="221">
        <v>42</v>
      </c>
      <c r="R809" s="150" t="s">
        <v>910</v>
      </c>
      <c r="S809" s="151">
        <v>24</v>
      </c>
      <c r="T809" s="45" t="s">
        <v>1379</v>
      </c>
      <c r="U809" s="45" t="s">
        <v>1380</v>
      </c>
      <c r="V809" s="45">
        <v>6120</v>
      </c>
      <c r="W809" s="45" t="s">
        <v>1341</v>
      </c>
      <c r="X809" s="99">
        <v>44816</v>
      </c>
      <c r="Y809" s="99">
        <v>45100</v>
      </c>
      <c r="Z809" s="99"/>
      <c r="AA809" s="99"/>
      <c r="AB809" s="45" t="s">
        <v>1124</v>
      </c>
      <c r="AC809" s="45"/>
      <c r="AD809" s="42" t="s">
        <v>734</v>
      </c>
      <c r="AE809" s="42"/>
      <c r="AF809" s="42" t="s">
        <v>734</v>
      </c>
      <c r="AG809" s="42"/>
      <c r="AH809" s="42" t="s">
        <v>734</v>
      </c>
      <c r="AI809" s="42" t="s">
        <v>734</v>
      </c>
      <c r="AJ809" s="42" t="s">
        <v>734</v>
      </c>
      <c r="AK809" s="42" t="s">
        <v>734</v>
      </c>
      <c r="AL809" s="42" t="s">
        <v>734</v>
      </c>
      <c r="AM809" s="42" t="s">
        <v>734</v>
      </c>
      <c r="AN809" s="42"/>
      <c r="AO809" s="42"/>
      <c r="AP809" s="42"/>
      <c r="AQ809" s="42"/>
      <c r="AR809" s="42"/>
      <c r="AS809" s="42"/>
      <c r="AT809" s="42"/>
      <c r="AU809" s="42"/>
      <c r="AV809" s="42"/>
      <c r="AW809" s="42"/>
      <c r="AX809" s="68">
        <v>39.6</v>
      </c>
      <c r="AY809" s="68"/>
      <c r="BA809" s="37"/>
      <c r="BB809" s="37"/>
      <c r="BD809" s="67">
        <f t="shared" si="282"/>
        <v>9504</v>
      </c>
      <c r="BE809" s="67"/>
      <c r="BF809" s="37"/>
      <c r="BG809" s="73">
        <v>1</v>
      </c>
      <c r="BH809" s="67">
        <f t="shared" si="279"/>
        <v>0</v>
      </c>
      <c r="BI809" s="67">
        <f t="shared" si="280"/>
        <v>0</v>
      </c>
      <c r="BJ809" s="70">
        <f t="shared" si="281"/>
        <v>0</v>
      </c>
      <c r="BN809" s="37"/>
      <c r="BO809" s="70">
        <f t="shared" si="267"/>
        <v>0</v>
      </c>
      <c r="BP809" s="37">
        <v>17</v>
      </c>
      <c r="BQ809" s="37">
        <v>26</v>
      </c>
      <c r="BR809" s="37">
        <v>25</v>
      </c>
      <c r="BS809" s="37">
        <v>25</v>
      </c>
      <c r="BT809" s="87">
        <f t="shared" si="268"/>
        <v>39.6</v>
      </c>
      <c r="BU809" s="87"/>
      <c r="BV809" s="87"/>
      <c r="BW809" s="87"/>
      <c r="BX809" s="87"/>
      <c r="BY809" s="87"/>
      <c r="BZ809" s="87"/>
      <c r="CA809" s="87"/>
      <c r="CB809" s="87"/>
      <c r="CC809" s="87"/>
      <c r="CD809" s="87"/>
      <c r="CF809" s="67">
        <f t="shared" si="269"/>
        <v>673.2</v>
      </c>
      <c r="CG809" s="67">
        <f t="shared" si="270"/>
        <v>1029.6000000000001</v>
      </c>
      <c r="CH809" s="67">
        <f t="shared" si="284"/>
        <v>990</v>
      </c>
      <c r="CI809" s="67">
        <f t="shared" si="275"/>
        <v>990</v>
      </c>
      <c r="CJ809" s="37">
        <f t="shared" si="271"/>
        <v>224.39999999999998</v>
      </c>
      <c r="CK809" s="37">
        <f t="shared" si="272"/>
        <v>343.2</v>
      </c>
      <c r="CL809" s="37">
        <f t="shared" si="273"/>
        <v>330</v>
      </c>
      <c r="CM809" s="37">
        <f t="shared" si="274"/>
        <v>330</v>
      </c>
    </row>
    <row r="810" spans="2:91" ht="33.75">
      <c r="B810" s="156">
        <v>796</v>
      </c>
      <c r="C810" s="160">
        <v>621</v>
      </c>
      <c r="D810" s="160">
        <v>989</v>
      </c>
      <c r="E810" s="161">
        <v>0.47916666666666669</v>
      </c>
      <c r="F810" s="161">
        <v>0.49236111111111108</v>
      </c>
      <c r="G810" s="160" t="s">
        <v>478</v>
      </c>
      <c r="H810" s="160" t="s">
        <v>479</v>
      </c>
      <c r="I810" s="163">
        <v>11.3</v>
      </c>
      <c r="J810" s="164" t="s">
        <v>93</v>
      </c>
      <c r="K810" s="165">
        <v>240</v>
      </c>
      <c r="L810" s="166">
        <f t="shared" si="283"/>
        <v>2712</v>
      </c>
      <c r="M810" s="167" t="s">
        <v>738</v>
      </c>
      <c r="N810" s="150" t="s">
        <v>911</v>
      </c>
      <c r="O810" s="150">
        <v>21</v>
      </c>
      <c r="P810" s="221" t="s">
        <v>2077</v>
      </c>
      <c r="Q810" s="221">
        <v>42</v>
      </c>
      <c r="R810" s="150" t="s">
        <v>910</v>
      </c>
      <c r="S810" s="151">
        <v>24</v>
      </c>
      <c r="T810" s="45">
        <v>6120</v>
      </c>
      <c r="U810" s="45" t="s">
        <v>1341</v>
      </c>
      <c r="V810" s="45" t="s">
        <v>1379</v>
      </c>
      <c r="W810" s="45" t="s">
        <v>1380</v>
      </c>
      <c r="X810" s="99">
        <v>44816</v>
      </c>
      <c r="Y810" s="99">
        <v>45100</v>
      </c>
      <c r="Z810" s="99"/>
      <c r="AA810" s="99"/>
      <c r="AB810" s="45" t="s">
        <v>1124</v>
      </c>
      <c r="AC810" s="45"/>
      <c r="AD810" s="42" t="s">
        <v>734</v>
      </c>
      <c r="AE810" s="42"/>
      <c r="AF810" s="42" t="s">
        <v>734</v>
      </c>
      <c r="AG810" s="42"/>
      <c r="AH810" s="42" t="s">
        <v>734</v>
      </c>
      <c r="AI810" s="42" t="s">
        <v>734</v>
      </c>
      <c r="AJ810" s="42" t="s">
        <v>734</v>
      </c>
      <c r="AK810" s="42" t="s">
        <v>734</v>
      </c>
      <c r="AL810" s="42" t="s">
        <v>734</v>
      </c>
      <c r="AM810" s="42" t="s">
        <v>734</v>
      </c>
      <c r="AN810" s="42"/>
      <c r="AO810" s="42"/>
      <c r="AP810" s="42"/>
      <c r="AQ810" s="42"/>
      <c r="AR810" s="42"/>
      <c r="AS810" s="42"/>
      <c r="AT810" s="42"/>
      <c r="AU810" s="42"/>
      <c r="AV810" s="42"/>
      <c r="AW810" s="42"/>
      <c r="AX810" s="68">
        <v>33.9</v>
      </c>
      <c r="AY810" s="68"/>
      <c r="BA810" s="37"/>
      <c r="BB810" s="37"/>
      <c r="BD810" s="67">
        <f t="shared" si="282"/>
        <v>8136</v>
      </c>
      <c r="BE810" s="67"/>
      <c r="BF810" s="37"/>
      <c r="BG810" s="73">
        <v>1</v>
      </c>
      <c r="BH810" s="67">
        <f t="shared" si="279"/>
        <v>0</v>
      </c>
      <c r="BI810" s="67">
        <f t="shared" si="280"/>
        <v>0</v>
      </c>
      <c r="BJ810" s="70">
        <f t="shared" si="281"/>
        <v>0</v>
      </c>
      <c r="BN810" s="37"/>
      <c r="BO810" s="70">
        <f t="shared" si="267"/>
        <v>0</v>
      </c>
      <c r="BP810" s="37">
        <v>17</v>
      </c>
      <c r="BQ810" s="37">
        <v>26</v>
      </c>
      <c r="BR810" s="37">
        <v>25</v>
      </c>
      <c r="BS810" s="37">
        <v>25</v>
      </c>
      <c r="BT810" s="87">
        <f t="shared" si="268"/>
        <v>33.9</v>
      </c>
      <c r="BU810" s="87"/>
      <c r="BV810" s="87"/>
      <c r="BW810" s="87"/>
      <c r="BX810" s="87"/>
      <c r="BY810" s="87"/>
      <c r="BZ810" s="87"/>
      <c r="CA810" s="87"/>
      <c r="CB810" s="87"/>
      <c r="CC810" s="87"/>
      <c r="CD810" s="87"/>
      <c r="CF810" s="67">
        <f t="shared" si="269"/>
        <v>576.29999999999995</v>
      </c>
      <c r="CG810" s="67">
        <f t="shared" si="270"/>
        <v>881.4</v>
      </c>
      <c r="CH810" s="67">
        <f t="shared" si="284"/>
        <v>847.5</v>
      </c>
      <c r="CI810" s="67">
        <f t="shared" si="275"/>
        <v>847.5</v>
      </c>
      <c r="CJ810" s="37">
        <f t="shared" si="271"/>
        <v>192.10000000000002</v>
      </c>
      <c r="CK810" s="37">
        <f t="shared" si="272"/>
        <v>293.8</v>
      </c>
      <c r="CL810" s="37">
        <f t="shared" si="273"/>
        <v>282.5</v>
      </c>
      <c r="CM810" s="37">
        <f t="shared" si="274"/>
        <v>282.5</v>
      </c>
    </row>
    <row r="811" spans="2:91" ht="33.75">
      <c r="B811" s="156">
        <v>797</v>
      </c>
      <c r="C811" s="160">
        <v>621</v>
      </c>
      <c r="D811" s="160">
        <v>991</v>
      </c>
      <c r="E811" s="161">
        <v>0.72569444444444453</v>
      </c>
      <c r="F811" s="161">
        <v>0.73888888888888893</v>
      </c>
      <c r="G811" s="160" t="s">
        <v>478</v>
      </c>
      <c r="H811" s="160" t="s">
        <v>501</v>
      </c>
      <c r="I811" s="163">
        <v>11.3</v>
      </c>
      <c r="J811" s="164" t="s">
        <v>93</v>
      </c>
      <c r="K811" s="165">
        <v>67</v>
      </c>
      <c r="L811" s="166">
        <f t="shared" si="283"/>
        <v>757.1</v>
      </c>
      <c r="M811" s="167" t="s">
        <v>738</v>
      </c>
      <c r="N811" s="150" t="s">
        <v>911</v>
      </c>
      <c r="O811" s="150">
        <v>21</v>
      </c>
      <c r="P811" s="221" t="s">
        <v>2077</v>
      </c>
      <c r="Q811" s="221">
        <v>42</v>
      </c>
      <c r="S811" s="150"/>
      <c r="T811" s="45">
        <v>6120</v>
      </c>
      <c r="U811" s="45" t="s">
        <v>1341</v>
      </c>
      <c r="V811" s="45" t="s">
        <v>1379</v>
      </c>
      <c r="W811" s="45" t="s">
        <v>1380</v>
      </c>
      <c r="X811" s="99">
        <v>44562</v>
      </c>
      <c r="Y811" s="99">
        <v>44815</v>
      </c>
      <c r="Z811" s="99">
        <v>45101</v>
      </c>
      <c r="AA811" s="99">
        <v>45169</v>
      </c>
      <c r="AB811" s="42" t="s">
        <v>1119</v>
      </c>
      <c r="AC811" s="42"/>
      <c r="AD811" s="42"/>
      <c r="AE811" s="42" t="s">
        <v>734</v>
      </c>
      <c r="AF811" s="42" t="s">
        <v>734</v>
      </c>
      <c r="AG811" s="42"/>
      <c r="AH811" s="42" t="s">
        <v>734</v>
      </c>
      <c r="AI811" s="42" t="s">
        <v>734</v>
      </c>
      <c r="AJ811" s="42" t="s">
        <v>734</v>
      </c>
      <c r="AK811" s="42" t="s">
        <v>734</v>
      </c>
      <c r="AL811" s="42" t="s">
        <v>734</v>
      </c>
      <c r="AM811" s="42" t="s">
        <v>734</v>
      </c>
      <c r="AN811" s="42"/>
      <c r="AO811" s="42"/>
      <c r="AP811" s="42"/>
      <c r="AQ811" s="42"/>
      <c r="AR811" s="42"/>
      <c r="AS811" s="42"/>
      <c r="AT811" s="42"/>
      <c r="AU811" s="42"/>
      <c r="AV811" s="42"/>
      <c r="AW811" s="42"/>
      <c r="AX811" s="68">
        <v>33.9</v>
      </c>
      <c r="AY811" s="68"/>
      <c r="BA811" s="37"/>
      <c r="BB811" s="37"/>
      <c r="BD811" s="67">
        <f t="shared" si="282"/>
        <v>2271.2999999999997</v>
      </c>
      <c r="BE811" s="67"/>
      <c r="BF811" s="37"/>
      <c r="BG811" s="73">
        <v>1</v>
      </c>
      <c r="BH811" s="67">
        <f t="shared" si="279"/>
        <v>0</v>
      </c>
      <c r="BI811" s="67">
        <f t="shared" si="280"/>
        <v>0</v>
      </c>
      <c r="BJ811" s="70">
        <f t="shared" si="281"/>
        <v>0</v>
      </c>
      <c r="BN811" s="37"/>
      <c r="BO811" s="70">
        <f t="shared" si="267"/>
        <v>0</v>
      </c>
      <c r="BP811" s="37">
        <v>9</v>
      </c>
      <c r="BQ811" s="37">
        <v>0</v>
      </c>
      <c r="BR811" s="37">
        <v>0</v>
      </c>
      <c r="BS811" s="37">
        <v>0</v>
      </c>
      <c r="BT811" s="87">
        <f t="shared" si="268"/>
        <v>33.9</v>
      </c>
      <c r="BU811" s="87"/>
      <c r="BV811" s="87"/>
      <c r="BW811" s="87"/>
      <c r="BX811" s="87"/>
      <c r="BY811" s="87"/>
      <c r="BZ811" s="87"/>
      <c r="CA811" s="87"/>
      <c r="CB811" s="87"/>
      <c r="CC811" s="87"/>
      <c r="CD811" s="87"/>
      <c r="CF811" s="67">
        <f t="shared" si="269"/>
        <v>305.09999999999997</v>
      </c>
      <c r="CG811" s="67">
        <f t="shared" si="270"/>
        <v>0</v>
      </c>
      <c r="CH811" s="67">
        <f t="shared" si="284"/>
        <v>0</v>
      </c>
      <c r="CI811" s="67">
        <f t="shared" si="275"/>
        <v>0</v>
      </c>
      <c r="CJ811" s="37">
        <f t="shared" si="271"/>
        <v>101.7</v>
      </c>
      <c r="CK811" s="37">
        <f t="shared" si="272"/>
        <v>0</v>
      </c>
      <c r="CL811" s="37">
        <f t="shared" si="273"/>
        <v>0</v>
      </c>
      <c r="CM811" s="37">
        <f t="shared" si="274"/>
        <v>0</v>
      </c>
    </row>
    <row r="812" spans="2:91" ht="25.5">
      <c r="B812" s="156">
        <v>798</v>
      </c>
      <c r="C812" s="169">
        <v>623</v>
      </c>
      <c r="D812" s="169">
        <v>256</v>
      </c>
      <c r="E812" s="170">
        <v>0.72222222222222221</v>
      </c>
      <c r="F812" s="170">
        <v>0.74097222222222225</v>
      </c>
      <c r="G812" s="171" t="s">
        <v>61</v>
      </c>
      <c r="H812" s="160" t="s">
        <v>479</v>
      </c>
      <c r="I812" s="169">
        <v>12</v>
      </c>
      <c r="J812" s="172">
        <v>19</v>
      </c>
      <c r="K812" s="165">
        <v>240</v>
      </c>
      <c r="L812" s="166">
        <f t="shared" si="283"/>
        <v>2880</v>
      </c>
      <c r="M812" s="167" t="s">
        <v>779</v>
      </c>
      <c r="N812" s="154" t="s">
        <v>862</v>
      </c>
      <c r="O812" s="154">
        <v>21</v>
      </c>
      <c r="P812" s="154" t="s">
        <v>1300</v>
      </c>
      <c r="Q812" s="154">
        <v>31</v>
      </c>
      <c r="S812" s="154"/>
      <c r="T812" s="45">
        <v>6220</v>
      </c>
      <c r="U812" s="45" t="s">
        <v>1384</v>
      </c>
      <c r="V812" s="45">
        <v>6216</v>
      </c>
      <c r="W812" s="45" t="s">
        <v>1741</v>
      </c>
      <c r="X812" s="99">
        <v>44816</v>
      </c>
      <c r="Y812" s="99">
        <v>45100</v>
      </c>
      <c r="Z812" s="99"/>
      <c r="AA812" s="99"/>
      <c r="AB812" s="45" t="s">
        <v>1124</v>
      </c>
      <c r="AC812" s="45"/>
      <c r="AD812" s="42" t="s">
        <v>734</v>
      </c>
      <c r="AE812" s="42"/>
      <c r="AF812" s="42" t="s">
        <v>734</v>
      </c>
      <c r="AG812" s="42"/>
      <c r="AH812" s="42" t="s">
        <v>734</v>
      </c>
      <c r="AI812" s="42" t="s">
        <v>734</v>
      </c>
      <c r="AJ812" s="42" t="s">
        <v>734</v>
      </c>
      <c r="AK812" s="42" t="s">
        <v>734</v>
      </c>
      <c r="AL812" s="42" t="s">
        <v>734</v>
      </c>
      <c r="AM812" s="42" t="s">
        <v>734</v>
      </c>
      <c r="AN812" s="42"/>
      <c r="AO812" s="42"/>
      <c r="AP812" s="42"/>
      <c r="AQ812" s="42"/>
      <c r="AR812" s="42"/>
      <c r="AS812" s="42"/>
      <c r="AT812" s="42"/>
      <c r="AU812" s="42"/>
      <c r="AV812" s="42"/>
      <c r="AW812" s="42"/>
      <c r="BA812" s="40" t="s">
        <v>779</v>
      </c>
      <c r="BB812" s="40"/>
      <c r="BD812" s="67">
        <f t="shared" si="282"/>
        <v>0</v>
      </c>
      <c r="BF812" s="37"/>
      <c r="BG812" s="73">
        <v>1</v>
      </c>
      <c r="BI812" s="67"/>
      <c r="BJ812" s="37"/>
      <c r="BN812" s="37"/>
      <c r="BO812" s="70">
        <f t="shared" si="267"/>
        <v>0</v>
      </c>
      <c r="BP812" s="37">
        <v>17</v>
      </c>
      <c r="BQ812" s="37">
        <v>26</v>
      </c>
      <c r="BR812" s="37">
        <v>25</v>
      </c>
      <c r="BS812" s="37">
        <v>25</v>
      </c>
      <c r="BT812" s="87">
        <f t="shared" si="268"/>
        <v>0</v>
      </c>
      <c r="BU812" s="87" t="s">
        <v>1871</v>
      </c>
      <c r="BV812" s="127">
        <v>1</v>
      </c>
      <c r="BW812" s="127"/>
      <c r="BX812" s="127">
        <v>1</v>
      </c>
      <c r="BY812" s="127"/>
      <c r="BZ812" s="127">
        <v>1</v>
      </c>
      <c r="CA812" s="127"/>
      <c r="CB812" s="127">
        <v>1</v>
      </c>
      <c r="CC812" s="127"/>
      <c r="CD812" s="87">
        <v>2500</v>
      </c>
      <c r="CF812" s="67">
        <f t="shared" si="269"/>
        <v>2500</v>
      </c>
      <c r="CG812" s="67">
        <f t="shared" si="270"/>
        <v>2500</v>
      </c>
      <c r="CH812" s="67">
        <f t="shared" si="284"/>
        <v>2500</v>
      </c>
      <c r="CI812" s="67">
        <f t="shared" si="275"/>
        <v>2500</v>
      </c>
      <c r="CJ812" s="37">
        <f t="shared" si="271"/>
        <v>204</v>
      </c>
      <c r="CK812" s="37">
        <f t="shared" si="272"/>
        <v>312</v>
      </c>
      <c r="CL812" s="37">
        <f t="shared" si="273"/>
        <v>300</v>
      </c>
      <c r="CM812" s="37">
        <f t="shared" si="274"/>
        <v>300</v>
      </c>
    </row>
    <row r="813" spans="2:91" ht="25.5">
      <c r="B813" s="156">
        <v>799</v>
      </c>
      <c r="C813" s="169">
        <v>623</v>
      </c>
      <c r="D813" s="169">
        <v>264</v>
      </c>
      <c r="E813" s="170">
        <v>0.72916666666666663</v>
      </c>
      <c r="F813" s="170">
        <v>0.74791666666666667</v>
      </c>
      <c r="G813" s="171" t="s">
        <v>57</v>
      </c>
      <c r="H813" s="160" t="s">
        <v>424</v>
      </c>
      <c r="I813" s="169">
        <v>12</v>
      </c>
      <c r="J813" s="172">
        <v>19</v>
      </c>
      <c r="K813" s="165">
        <v>67</v>
      </c>
      <c r="L813" s="166">
        <f t="shared" si="283"/>
        <v>804</v>
      </c>
      <c r="M813" s="167" t="s">
        <v>779</v>
      </c>
      <c r="N813" s="154" t="s">
        <v>862</v>
      </c>
      <c r="O813" s="154">
        <v>21</v>
      </c>
      <c r="P813" s="154" t="s">
        <v>1300</v>
      </c>
      <c r="Q813" s="154">
        <v>31</v>
      </c>
      <c r="S813" s="154"/>
      <c r="T813" s="45">
        <v>6220</v>
      </c>
      <c r="U813" s="45" t="s">
        <v>1384</v>
      </c>
      <c r="V813" s="45">
        <v>6216</v>
      </c>
      <c r="W813" s="45" t="s">
        <v>1741</v>
      </c>
      <c r="X813" s="99">
        <v>44562</v>
      </c>
      <c r="Y813" s="99">
        <v>44815</v>
      </c>
      <c r="Z813" s="99">
        <v>45101</v>
      </c>
      <c r="AA813" s="99">
        <v>45169</v>
      </c>
      <c r="AB813" s="42" t="s">
        <v>1119</v>
      </c>
      <c r="AC813" s="42"/>
      <c r="AD813" s="42"/>
      <c r="AE813" s="42" t="s">
        <v>734</v>
      </c>
      <c r="AF813" s="42" t="s">
        <v>734</v>
      </c>
      <c r="AG813" s="42"/>
      <c r="AH813" s="42" t="s">
        <v>734</v>
      </c>
      <c r="AI813" s="42" t="s">
        <v>734</v>
      </c>
      <c r="AJ813" s="42" t="s">
        <v>734</v>
      </c>
      <c r="AK813" s="42" t="s">
        <v>734</v>
      </c>
      <c r="AL813" s="42" t="s">
        <v>734</v>
      </c>
      <c r="AM813" s="42" t="s">
        <v>734</v>
      </c>
      <c r="AN813" s="42"/>
      <c r="AO813" s="42"/>
      <c r="AP813" s="42"/>
      <c r="AQ813" s="42"/>
      <c r="AR813" s="42"/>
      <c r="AS813" s="42"/>
      <c r="AT813" s="42"/>
      <c r="AU813" s="42"/>
      <c r="AV813" s="42"/>
      <c r="AW813" s="42"/>
      <c r="AY813" s="67">
        <f>1.8*12</f>
        <v>21.6</v>
      </c>
      <c r="BD813" s="67">
        <f t="shared" si="282"/>
        <v>0</v>
      </c>
      <c r="BE813" s="67">
        <f>AY813*K813</f>
        <v>1447.2</v>
      </c>
      <c r="BF813" s="37"/>
      <c r="BG813" s="73">
        <v>1</v>
      </c>
      <c r="BI813" s="67"/>
      <c r="BJ813" s="37"/>
      <c r="BK813" s="71"/>
      <c r="BL813" s="71"/>
      <c r="BM813" s="72"/>
      <c r="BN813" s="37"/>
      <c r="BO813" s="70">
        <f t="shared" si="267"/>
        <v>0</v>
      </c>
      <c r="BP813" s="37">
        <v>9</v>
      </c>
      <c r="BQ813" s="37">
        <v>0</v>
      </c>
      <c r="BR813" s="37">
        <v>0</v>
      </c>
      <c r="BS813" s="37">
        <v>0</v>
      </c>
      <c r="BT813" s="87">
        <f t="shared" si="268"/>
        <v>21.6</v>
      </c>
      <c r="BU813" s="87"/>
      <c r="BV813" s="87"/>
      <c r="BW813" s="87"/>
      <c r="BX813" s="87"/>
      <c r="BY813" s="87"/>
      <c r="BZ813" s="87"/>
      <c r="CA813" s="87"/>
      <c r="CB813" s="87"/>
      <c r="CC813" s="87"/>
      <c r="CD813" s="87"/>
      <c r="CF813" s="67">
        <f t="shared" si="269"/>
        <v>194.4</v>
      </c>
      <c r="CG813" s="67">
        <f t="shared" si="270"/>
        <v>0</v>
      </c>
      <c r="CH813" s="67">
        <f t="shared" si="284"/>
        <v>0</v>
      </c>
      <c r="CI813" s="67">
        <f t="shared" si="275"/>
        <v>0</v>
      </c>
      <c r="CJ813" s="37">
        <f t="shared" si="271"/>
        <v>108</v>
      </c>
      <c r="CK813" s="37">
        <f t="shared" si="272"/>
        <v>0</v>
      </c>
      <c r="CL813" s="37">
        <f t="shared" si="273"/>
        <v>0</v>
      </c>
      <c r="CM813" s="37">
        <f t="shared" si="274"/>
        <v>0</v>
      </c>
    </row>
    <row r="814" spans="2:91" ht="25.5">
      <c r="B814" s="156">
        <v>800</v>
      </c>
      <c r="C814" s="169">
        <v>623</v>
      </c>
      <c r="D814" s="169">
        <v>261</v>
      </c>
      <c r="E814" s="170">
        <v>0.74444444444444446</v>
      </c>
      <c r="F814" s="170">
        <v>0.75486111111111109</v>
      </c>
      <c r="G814" s="171" t="s">
        <v>60</v>
      </c>
      <c r="H814" s="160" t="s">
        <v>479</v>
      </c>
      <c r="I814" s="169">
        <v>10</v>
      </c>
      <c r="J814" s="172">
        <v>19</v>
      </c>
      <c r="K814" s="165">
        <v>240</v>
      </c>
      <c r="L814" s="166">
        <f t="shared" si="283"/>
        <v>2400</v>
      </c>
      <c r="M814" s="167" t="s">
        <v>779</v>
      </c>
      <c r="N814" s="154" t="s">
        <v>862</v>
      </c>
      <c r="O814" s="154">
        <v>21</v>
      </c>
      <c r="P814" s="154" t="s">
        <v>1300</v>
      </c>
      <c r="Q814" s="154">
        <v>31</v>
      </c>
      <c r="S814" s="154"/>
      <c r="T814" s="45">
        <v>6216</v>
      </c>
      <c r="U814" s="45" t="s">
        <v>1741</v>
      </c>
      <c r="V814" s="45">
        <v>6220</v>
      </c>
      <c r="W814" s="45" t="s">
        <v>1384</v>
      </c>
      <c r="X814" s="99">
        <v>44816</v>
      </c>
      <c r="Y814" s="99">
        <v>45100</v>
      </c>
      <c r="Z814" s="99"/>
      <c r="AA814" s="99"/>
      <c r="AB814" s="45" t="s">
        <v>1124</v>
      </c>
      <c r="AC814" s="45"/>
      <c r="AD814" s="42" t="s">
        <v>734</v>
      </c>
      <c r="AE814" s="42"/>
      <c r="AF814" s="42" t="s">
        <v>734</v>
      </c>
      <c r="AG814" s="42"/>
      <c r="AH814" s="42" t="s">
        <v>734</v>
      </c>
      <c r="AI814" s="42" t="s">
        <v>734</v>
      </c>
      <c r="AJ814" s="42" t="s">
        <v>734</v>
      </c>
      <c r="AK814" s="42" t="s">
        <v>734</v>
      </c>
      <c r="AL814" s="42" t="s">
        <v>734</v>
      </c>
      <c r="AM814" s="42" t="s">
        <v>734</v>
      </c>
      <c r="AN814" s="42"/>
      <c r="AO814" s="42"/>
      <c r="AP814" s="42"/>
      <c r="AQ814" s="42"/>
      <c r="AR814" s="42"/>
      <c r="AS814" s="42"/>
      <c r="AT814" s="42"/>
      <c r="AU814" s="42"/>
      <c r="AV814" s="42"/>
      <c r="AW814" s="42"/>
      <c r="BA814" s="40" t="s">
        <v>779</v>
      </c>
      <c r="BB814" s="40"/>
      <c r="BD814" s="67">
        <f t="shared" si="282"/>
        <v>0</v>
      </c>
      <c r="BF814" s="37"/>
      <c r="BG814" s="73">
        <v>1</v>
      </c>
      <c r="BI814" s="67"/>
      <c r="BJ814" s="37"/>
      <c r="BN814" s="37"/>
      <c r="BO814" s="70">
        <f t="shared" si="267"/>
        <v>0</v>
      </c>
      <c r="BP814" s="37">
        <v>17</v>
      </c>
      <c r="BQ814" s="37">
        <v>26</v>
      </c>
      <c r="BR814" s="37">
        <v>25</v>
      </c>
      <c r="BS814" s="37">
        <v>25</v>
      </c>
      <c r="BT814" s="87">
        <f t="shared" si="268"/>
        <v>0</v>
      </c>
      <c r="BU814" s="87"/>
      <c r="BV814" s="87"/>
      <c r="BW814" s="87"/>
      <c r="BX814" s="87"/>
      <c r="BY814" s="87"/>
      <c r="BZ814" s="87"/>
      <c r="CA814" s="87"/>
      <c r="CB814" s="87"/>
      <c r="CC814" s="87"/>
      <c r="CD814" s="87"/>
      <c r="CF814" s="67">
        <f t="shared" si="269"/>
        <v>0</v>
      </c>
      <c r="CG814" s="67">
        <f t="shared" si="270"/>
        <v>0</v>
      </c>
      <c r="CH814" s="67">
        <f t="shared" si="284"/>
        <v>0</v>
      </c>
      <c r="CI814" s="67">
        <f t="shared" si="275"/>
        <v>0</v>
      </c>
      <c r="CJ814" s="37">
        <f t="shared" si="271"/>
        <v>170</v>
      </c>
      <c r="CK814" s="37">
        <f t="shared" si="272"/>
        <v>260</v>
      </c>
      <c r="CL814" s="37">
        <f t="shared" si="273"/>
        <v>250</v>
      </c>
      <c r="CM814" s="37">
        <f t="shared" si="274"/>
        <v>250</v>
      </c>
    </row>
    <row r="815" spans="2:91" ht="25.5">
      <c r="B815" s="156">
        <v>801</v>
      </c>
      <c r="C815" s="169">
        <v>623</v>
      </c>
      <c r="D815" s="169">
        <v>261</v>
      </c>
      <c r="E815" s="176">
        <v>0.74305555555555547</v>
      </c>
      <c r="F815" s="176">
        <v>0.75347222222222221</v>
      </c>
      <c r="G815" s="171" t="s">
        <v>631</v>
      </c>
      <c r="H815" s="160" t="s">
        <v>424</v>
      </c>
      <c r="I815" s="169">
        <v>10</v>
      </c>
      <c r="J815" s="172">
        <v>19</v>
      </c>
      <c r="K815" s="165">
        <v>67</v>
      </c>
      <c r="L815" s="166">
        <f t="shared" si="283"/>
        <v>670</v>
      </c>
      <c r="M815" s="167" t="s">
        <v>779</v>
      </c>
      <c r="N815" s="154" t="s">
        <v>862</v>
      </c>
      <c r="O815" s="154">
        <v>21</v>
      </c>
      <c r="P815" s="154" t="s">
        <v>1300</v>
      </c>
      <c r="Q815" s="154">
        <v>31</v>
      </c>
      <c r="S815" s="154"/>
      <c r="T815" s="45">
        <v>6216</v>
      </c>
      <c r="U815" s="45" t="s">
        <v>1741</v>
      </c>
      <c r="V815" s="45">
        <v>6220</v>
      </c>
      <c r="W815" s="45" t="s">
        <v>1384</v>
      </c>
      <c r="X815" s="99">
        <v>44562</v>
      </c>
      <c r="Y815" s="99">
        <v>44815</v>
      </c>
      <c r="Z815" s="99">
        <v>45101</v>
      </c>
      <c r="AA815" s="99">
        <v>45169</v>
      </c>
      <c r="AB815" s="42" t="s">
        <v>1119</v>
      </c>
      <c r="AC815" s="42"/>
      <c r="AD815" s="42"/>
      <c r="AE815" s="42" t="s">
        <v>734</v>
      </c>
      <c r="AF815" s="42" t="s">
        <v>734</v>
      </c>
      <c r="AG815" s="42"/>
      <c r="AH815" s="42" t="s">
        <v>734</v>
      </c>
      <c r="AI815" s="42" t="s">
        <v>734</v>
      </c>
      <c r="AJ815" s="42" t="s">
        <v>734</v>
      </c>
      <c r="AK815" s="42" t="s">
        <v>734</v>
      </c>
      <c r="AL815" s="42" t="s">
        <v>734</v>
      </c>
      <c r="AM815" s="42" t="s">
        <v>734</v>
      </c>
      <c r="AN815" s="42"/>
      <c r="AO815" s="42"/>
      <c r="AP815" s="42"/>
      <c r="AQ815" s="42"/>
      <c r="AR815" s="42"/>
      <c r="AS815" s="42"/>
      <c r="AT815" s="42"/>
      <c r="AU815" s="42"/>
      <c r="AV815" s="42"/>
      <c r="AW815" s="42"/>
      <c r="AY815" s="67">
        <f>1.8*10</f>
        <v>18</v>
      </c>
      <c r="BD815" s="67">
        <f t="shared" si="282"/>
        <v>0</v>
      </c>
      <c r="BE815" s="67">
        <f>AY815*K815</f>
        <v>1206</v>
      </c>
      <c r="BF815" s="37"/>
      <c r="BG815" s="73">
        <v>1</v>
      </c>
      <c r="BI815" s="67"/>
      <c r="BJ815" s="37"/>
      <c r="BK815" s="71"/>
      <c r="BL815" s="71"/>
      <c r="BM815" s="72"/>
      <c r="BN815" s="37"/>
      <c r="BO815" s="70">
        <f t="shared" si="267"/>
        <v>0</v>
      </c>
      <c r="BP815" s="37">
        <v>9</v>
      </c>
      <c r="BQ815" s="37">
        <v>0</v>
      </c>
      <c r="BR815" s="37">
        <v>0</v>
      </c>
      <c r="BS815" s="37">
        <v>0</v>
      </c>
      <c r="BT815" s="87">
        <f t="shared" si="268"/>
        <v>18</v>
      </c>
      <c r="BU815" s="87"/>
      <c r="BV815" s="87"/>
      <c r="BW815" s="87"/>
      <c r="BX815" s="87"/>
      <c r="BY815" s="87"/>
      <c r="BZ815" s="87"/>
      <c r="CA815" s="87"/>
      <c r="CB815" s="87"/>
      <c r="CC815" s="87"/>
      <c r="CD815" s="87"/>
      <c r="CF815" s="67">
        <f t="shared" si="269"/>
        <v>162</v>
      </c>
      <c r="CG815" s="67">
        <f t="shared" si="270"/>
        <v>0</v>
      </c>
      <c r="CH815" s="67">
        <f t="shared" si="284"/>
        <v>0</v>
      </c>
      <c r="CI815" s="67">
        <f t="shared" si="275"/>
        <v>0</v>
      </c>
      <c r="CJ815" s="37">
        <f t="shared" si="271"/>
        <v>90</v>
      </c>
      <c r="CK815" s="37">
        <f t="shared" si="272"/>
        <v>0</v>
      </c>
      <c r="CL815" s="37">
        <f t="shared" si="273"/>
        <v>0</v>
      </c>
      <c r="CM815" s="37">
        <f t="shared" si="274"/>
        <v>0</v>
      </c>
    </row>
    <row r="816" spans="2:91" ht="25.5">
      <c r="B816" s="156">
        <v>802</v>
      </c>
      <c r="C816" s="160">
        <v>624</v>
      </c>
      <c r="D816" s="160">
        <v>272</v>
      </c>
      <c r="E816" s="161">
        <v>0.30625000000000002</v>
      </c>
      <c r="F816" s="161">
        <v>0.31041666666666667</v>
      </c>
      <c r="G816" s="160" t="s">
        <v>115</v>
      </c>
      <c r="H816" s="174" t="s">
        <v>103</v>
      </c>
      <c r="I816" s="163">
        <v>4</v>
      </c>
      <c r="J816" s="164" t="s">
        <v>101</v>
      </c>
      <c r="K816" s="179">
        <f>208-K817</f>
        <v>174</v>
      </c>
      <c r="L816" s="166">
        <f t="shared" si="283"/>
        <v>696</v>
      </c>
      <c r="M816" s="167" t="s">
        <v>1225</v>
      </c>
      <c r="N816" s="154" t="s">
        <v>980</v>
      </c>
      <c r="O816" s="154">
        <v>51</v>
      </c>
      <c r="P816" s="154" t="s">
        <v>981</v>
      </c>
      <c r="Q816" s="154">
        <v>58</v>
      </c>
      <c r="R816" s="154"/>
      <c r="S816" s="154"/>
      <c r="T816" s="45" t="s">
        <v>1742</v>
      </c>
      <c r="U816" s="45" t="s">
        <v>1743</v>
      </c>
      <c r="V816" s="45">
        <v>6157</v>
      </c>
      <c r="W816" s="45" t="s">
        <v>1744</v>
      </c>
      <c r="X816" s="98">
        <v>44816</v>
      </c>
      <c r="Y816" s="98">
        <v>45086</v>
      </c>
      <c r="Z816" s="98"/>
      <c r="AA816" s="98"/>
      <c r="AB816" s="64" t="s">
        <v>1114</v>
      </c>
      <c r="AC816" s="41"/>
      <c r="AD816" s="42"/>
      <c r="AE816" s="42"/>
      <c r="AF816" s="42"/>
      <c r="AG816" s="42" t="s">
        <v>734</v>
      </c>
      <c r="AH816" s="42" t="s">
        <v>734</v>
      </c>
      <c r="AI816" s="42" t="s">
        <v>734</v>
      </c>
      <c r="AJ816" s="42" t="s">
        <v>734</v>
      </c>
      <c r="AK816" s="42" t="s">
        <v>734</v>
      </c>
      <c r="AL816" s="42" t="s">
        <v>734</v>
      </c>
      <c r="AM816" s="42"/>
      <c r="AN816" s="42"/>
      <c r="AO816" s="42"/>
      <c r="AP816" s="42"/>
      <c r="AQ816" s="42"/>
      <c r="AR816" s="42"/>
      <c r="AS816" s="42"/>
      <c r="AT816" s="42"/>
      <c r="AU816" s="42"/>
      <c r="AV816" s="42"/>
      <c r="AW816" s="42"/>
      <c r="AX816" s="68">
        <v>30.77</v>
      </c>
      <c r="AY816" s="68"/>
      <c r="BA816" s="37"/>
      <c r="BB816" s="37"/>
      <c r="BD816" s="67">
        <f t="shared" si="282"/>
        <v>5353.98</v>
      </c>
      <c r="BE816" s="67"/>
      <c r="BF816" s="37"/>
      <c r="BG816" s="69">
        <v>2</v>
      </c>
      <c r="BH816" s="67">
        <f>IF(AND((AX816/I816)&lt;2,BG816=1),(I816*2)-AX816,0)</f>
        <v>0</v>
      </c>
      <c r="BI816" s="67">
        <f>IF(AND((AX816/I816)&lt;3,BG816=2),(I816*3)-AX816,0)</f>
        <v>0</v>
      </c>
      <c r="BJ816" s="70">
        <f>(BH816+BI816)*K816</f>
        <v>0</v>
      </c>
      <c r="BN816" s="37"/>
      <c r="BO816" s="70">
        <f t="shared" si="267"/>
        <v>0</v>
      </c>
      <c r="BP816" s="37">
        <v>15</v>
      </c>
      <c r="BQ816" s="37">
        <v>20</v>
      </c>
      <c r="BR816" s="37">
        <v>21</v>
      </c>
      <c r="BS816" s="37">
        <v>15</v>
      </c>
      <c r="BT816" s="87">
        <f t="shared" si="268"/>
        <v>30.77</v>
      </c>
      <c r="BU816" s="87"/>
      <c r="BV816" s="87"/>
      <c r="BW816" s="87"/>
      <c r="BX816" s="87"/>
      <c r="BY816" s="87"/>
      <c r="BZ816" s="87"/>
      <c r="CA816" s="87"/>
      <c r="CB816" s="87"/>
      <c r="CC816" s="87"/>
      <c r="CD816" s="87"/>
      <c r="CF816" s="67">
        <f t="shared" si="269"/>
        <v>461.55</v>
      </c>
      <c r="CG816" s="67">
        <f t="shared" si="270"/>
        <v>615.4</v>
      </c>
      <c r="CH816" s="67">
        <f t="shared" si="284"/>
        <v>646.16999999999996</v>
      </c>
      <c r="CI816" s="67">
        <f t="shared" si="275"/>
        <v>461.55</v>
      </c>
      <c r="CJ816" s="37">
        <f t="shared" si="271"/>
        <v>60</v>
      </c>
      <c r="CK816" s="37">
        <f t="shared" si="272"/>
        <v>80</v>
      </c>
      <c r="CL816" s="37">
        <f t="shared" si="273"/>
        <v>84</v>
      </c>
      <c r="CM816" s="37">
        <f t="shared" si="274"/>
        <v>60</v>
      </c>
    </row>
    <row r="817" spans="1:91" ht="45">
      <c r="B817" s="181" t="s">
        <v>1223</v>
      </c>
      <c r="C817" s="160">
        <v>624</v>
      </c>
      <c r="D817" s="160">
        <v>272</v>
      </c>
      <c r="E817" s="161">
        <v>0.30625000000000002</v>
      </c>
      <c r="F817" s="161">
        <v>0.31041666666666667</v>
      </c>
      <c r="G817" s="160" t="s">
        <v>115</v>
      </c>
      <c r="H817" s="174" t="s">
        <v>1222</v>
      </c>
      <c r="I817" s="163">
        <v>4</v>
      </c>
      <c r="J817" s="164" t="s">
        <v>101</v>
      </c>
      <c r="K817" s="179">
        <v>34</v>
      </c>
      <c r="L817" s="166">
        <f t="shared" si="283"/>
        <v>136</v>
      </c>
      <c r="M817" s="167" t="s">
        <v>1227</v>
      </c>
      <c r="N817" s="154" t="s">
        <v>961</v>
      </c>
      <c r="O817" s="154">
        <v>21</v>
      </c>
      <c r="P817" s="154" t="s">
        <v>798</v>
      </c>
      <c r="Q817" s="154">
        <v>21</v>
      </c>
      <c r="R817" s="154" t="s">
        <v>1301</v>
      </c>
      <c r="S817" s="151">
        <v>24</v>
      </c>
      <c r="T817" s="45" t="s">
        <v>1742</v>
      </c>
      <c r="U817" s="45" t="s">
        <v>1743</v>
      </c>
      <c r="V817" s="45">
        <v>6157</v>
      </c>
      <c r="W817" s="45" t="s">
        <v>1744</v>
      </c>
      <c r="X817" s="98">
        <v>44816</v>
      </c>
      <c r="Y817" s="98">
        <v>45086</v>
      </c>
      <c r="Z817" s="98"/>
      <c r="AA817" s="98"/>
      <c r="AB817" s="64" t="s">
        <v>1123</v>
      </c>
      <c r="AC817" s="41"/>
      <c r="AD817" s="42"/>
      <c r="AE817" s="42"/>
      <c r="AF817" s="42"/>
      <c r="AG817" s="42" t="s">
        <v>734</v>
      </c>
      <c r="AH817" s="42"/>
      <c r="AI817" s="42"/>
      <c r="AJ817" s="42"/>
      <c r="AK817" s="42"/>
      <c r="AL817" s="42"/>
      <c r="AM817" s="42" t="s">
        <v>734</v>
      </c>
      <c r="AN817" s="42"/>
      <c r="AO817" s="42"/>
      <c r="AP817" s="42"/>
      <c r="AQ817" s="42"/>
      <c r="AR817" s="42"/>
      <c r="AS817" s="42"/>
      <c r="AT817" s="42"/>
      <c r="AU817" s="42"/>
      <c r="AV817" s="42"/>
      <c r="AW817" s="42"/>
      <c r="AX817" s="68">
        <v>12.46</v>
      </c>
      <c r="AY817" s="68"/>
      <c r="BA817" s="37"/>
      <c r="BB817" s="37"/>
      <c r="BD817" s="67">
        <f t="shared" si="282"/>
        <v>423.64000000000004</v>
      </c>
      <c r="BE817" s="67"/>
      <c r="BF817" s="37"/>
      <c r="BG817" s="69">
        <v>2</v>
      </c>
      <c r="BH817" s="67">
        <f>IF(AND((AX817/I817)&lt;2,BG817=1),(I817*2)-AX817,0)</f>
        <v>0</v>
      </c>
      <c r="BI817" s="67">
        <f>IF(AND((AX817/I817)&lt;3,BG817=2),(I817*3)-AX817,0)</f>
        <v>0</v>
      </c>
      <c r="BJ817" s="70">
        <f>(BH817+BI817)*K817</f>
        <v>0</v>
      </c>
      <c r="BN817" s="37"/>
      <c r="BO817" s="70">
        <f t="shared" si="267"/>
        <v>0</v>
      </c>
      <c r="BP817" s="37">
        <v>2</v>
      </c>
      <c r="BQ817" s="37">
        <v>5</v>
      </c>
      <c r="BR817" s="37">
        <v>4</v>
      </c>
      <c r="BS817" s="37">
        <v>3</v>
      </c>
      <c r="BT817" s="87">
        <f t="shared" si="268"/>
        <v>12.46</v>
      </c>
      <c r="BU817" s="87"/>
      <c r="BV817" s="87"/>
      <c r="BW817" s="87"/>
      <c r="BX817" s="87"/>
      <c r="BY817" s="87"/>
      <c r="BZ817" s="87"/>
      <c r="CA817" s="87"/>
      <c r="CB817" s="87"/>
      <c r="CC817" s="87"/>
      <c r="CD817" s="87"/>
      <c r="CF817" s="67">
        <f t="shared" si="269"/>
        <v>24.92</v>
      </c>
      <c r="CG817" s="67">
        <f t="shared" si="270"/>
        <v>62.300000000000004</v>
      </c>
      <c r="CH817" s="67">
        <f t="shared" si="284"/>
        <v>49.84</v>
      </c>
      <c r="CI817" s="67">
        <f t="shared" si="275"/>
        <v>37.380000000000003</v>
      </c>
      <c r="CJ817" s="37">
        <f t="shared" si="271"/>
        <v>8</v>
      </c>
      <c r="CK817" s="37">
        <f t="shared" si="272"/>
        <v>20</v>
      </c>
      <c r="CL817" s="37">
        <f t="shared" si="273"/>
        <v>16</v>
      </c>
      <c r="CM817" s="37">
        <f t="shared" si="274"/>
        <v>12</v>
      </c>
    </row>
    <row r="818" spans="1:91" ht="25.5">
      <c r="B818" s="156">
        <v>803</v>
      </c>
      <c r="C818" s="160">
        <v>624</v>
      </c>
      <c r="D818" s="160">
        <v>271</v>
      </c>
      <c r="E818" s="161">
        <v>0.31111111111111112</v>
      </c>
      <c r="F818" s="173">
        <v>0.32013888888888892</v>
      </c>
      <c r="G818" s="160" t="s">
        <v>114</v>
      </c>
      <c r="H818" s="174" t="s">
        <v>103</v>
      </c>
      <c r="I818" s="163">
        <v>3</v>
      </c>
      <c r="J818" s="164" t="s">
        <v>101</v>
      </c>
      <c r="K818" s="179">
        <f>208-K819</f>
        <v>174</v>
      </c>
      <c r="L818" s="166">
        <f t="shared" si="283"/>
        <v>522</v>
      </c>
      <c r="M818" s="167" t="s">
        <v>1225</v>
      </c>
      <c r="N818" s="154" t="s">
        <v>980</v>
      </c>
      <c r="O818" s="154">
        <v>51</v>
      </c>
      <c r="P818" s="154" t="s">
        <v>981</v>
      </c>
      <c r="Q818" s="154">
        <v>58</v>
      </c>
      <c r="R818" s="154"/>
      <c r="S818" s="154"/>
      <c r="T818" s="45">
        <v>6157</v>
      </c>
      <c r="U818" s="45" t="s">
        <v>1744</v>
      </c>
      <c r="V818" s="45">
        <v>6220</v>
      </c>
      <c r="W818" s="45" t="s">
        <v>1384</v>
      </c>
      <c r="X818" s="98">
        <v>44816</v>
      </c>
      <c r="Y818" s="98">
        <v>45086</v>
      </c>
      <c r="Z818" s="98"/>
      <c r="AA818" s="98"/>
      <c r="AB818" s="64" t="s">
        <v>1114</v>
      </c>
      <c r="AC818" s="41"/>
      <c r="AD818" s="42"/>
      <c r="AE818" s="42"/>
      <c r="AF818" s="42"/>
      <c r="AG818" s="42" t="s">
        <v>734</v>
      </c>
      <c r="AH818" s="42" t="s">
        <v>734</v>
      </c>
      <c r="AI818" s="42" t="s">
        <v>734</v>
      </c>
      <c r="AJ818" s="42" t="s">
        <v>734</v>
      </c>
      <c r="AK818" s="42" t="s">
        <v>734</v>
      </c>
      <c r="AL818" s="42" t="s">
        <v>734</v>
      </c>
      <c r="AM818" s="42"/>
      <c r="AN818" s="42"/>
      <c r="AO818" s="42"/>
      <c r="AP818" s="42"/>
      <c r="AQ818" s="42"/>
      <c r="AR818" s="42"/>
      <c r="AS818" s="42"/>
      <c r="AT818" s="42"/>
      <c r="AU818" s="42"/>
      <c r="AV818" s="42"/>
      <c r="AW818" s="42"/>
      <c r="AX818" s="68">
        <v>23.08</v>
      </c>
      <c r="AY818" s="68"/>
      <c r="BA818" s="37"/>
      <c r="BB818" s="37"/>
      <c r="BD818" s="67">
        <f t="shared" si="282"/>
        <v>4015.9199999999996</v>
      </c>
      <c r="BE818" s="67"/>
      <c r="BF818" s="37"/>
      <c r="BG818" s="69">
        <v>2</v>
      </c>
      <c r="BH818" s="67">
        <f>IF(AND((AX818/I818)&lt;2,BG818=1),(I818*2)-AX818,0)</f>
        <v>0</v>
      </c>
      <c r="BI818" s="67">
        <f>IF(AND((AX818/I818)&lt;3,BG818=2),(I818*3)-AX818,0)</f>
        <v>0</v>
      </c>
      <c r="BJ818" s="70">
        <f>(BH818+BI818)*K818</f>
        <v>0</v>
      </c>
      <c r="BN818" s="37"/>
      <c r="BO818" s="70">
        <f t="shared" si="267"/>
        <v>0</v>
      </c>
      <c r="BP818" s="37">
        <v>15</v>
      </c>
      <c r="BQ818" s="37">
        <v>20</v>
      </c>
      <c r="BR818" s="37">
        <v>21</v>
      </c>
      <c r="BS818" s="37">
        <v>15</v>
      </c>
      <c r="BT818" s="87">
        <f t="shared" si="268"/>
        <v>23.08</v>
      </c>
      <c r="BU818" s="87"/>
      <c r="BV818" s="87"/>
      <c r="BW818" s="87"/>
      <c r="BX818" s="87"/>
      <c r="BY818" s="87"/>
      <c r="BZ818" s="87"/>
      <c r="CA818" s="87"/>
      <c r="CB818" s="87"/>
      <c r="CC818" s="87"/>
      <c r="CD818" s="87"/>
      <c r="CF818" s="67">
        <f t="shared" si="269"/>
        <v>346.2</v>
      </c>
      <c r="CG818" s="67">
        <f t="shared" si="270"/>
        <v>461.59999999999997</v>
      </c>
      <c r="CH818" s="67">
        <f t="shared" si="284"/>
        <v>484.67999999999995</v>
      </c>
      <c r="CI818" s="67">
        <f t="shared" si="275"/>
        <v>346.2</v>
      </c>
      <c r="CJ818" s="37">
        <f t="shared" si="271"/>
        <v>45</v>
      </c>
      <c r="CK818" s="37">
        <f t="shared" si="272"/>
        <v>60</v>
      </c>
      <c r="CL818" s="37">
        <f t="shared" si="273"/>
        <v>63</v>
      </c>
      <c r="CM818" s="37">
        <f t="shared" si="274"/>
        <v>45</v>
      </c>
    </row>
    <row r="819" spans="1:91" ht="45">
      <c r="B819" s="181" t="s">
        <v>1224</v>
      </c>
      <c r="C819" s="160">
        <v>624</v>
      </c>
      <c r="D819" s="160">
        <v>271</v>
      </c>
      <c r="E819" s="161">
        <v>0.31111111111111112</v>
      </c>
      <c r="F819" s="173">
        <v>0.32013888888888892</v>
      </c>
      <c r="G819" s="160" t="s">
        <v>114</v>
      </c>
      <c r="H819" s="174" t="s">
        <v>1222</v>
      </c>
      <c r="I819" s="163">
        <v>3</v>
      </c>
      <c r="J819" s="164" t="s">
        <v>101</v>
      </c>
      <c r="K819" s="179">
        <v>34</v>
      </c>
      <c r="L819" s="166">
        <f t="shared" si="283"/>
        <v>102</v>
      </c>
      <c r="M819" s="167" t="s">
        <v>1227</v>
      </c>
      <c r="N819" s="154" t="s">
        <v>961</v>
      </c>
      <c r="O819" s="154">
        <v>21</v>
      </c>
      <c r="P819" s="154" t="s">
        <v>798</v>
      </c>
      <c r="Q819" s="154">
        <v>21</v>
      </c>
      <c r="R819" s="154" t="s">
        <v>1301</v>
      </c>
      <c r="S819" s="151">
        <v>24</v>
      </c>
      <c r="T819" s="45">
        <v>6157</v>
      </c>
      <c r="U819" s="45" t="s">
        <v>1744</v>
      </c>
      <c r="V819" s="45">
        <v>6220</v>
      </c>
      <c r="W819" s="45" t="s">
        <v>1384</v>
      </c>
      <c r="X819" s="98">
        <v>44816</v>
      </c>
      <c r="Y819" s="98">
        <v>45086</v>
      </c>
      <c r="Z819" s="98"/>
      <c r="AA819" s="98"/>
      <c r="AB819" s="64" t="s">
        <v>1123</v>
      </c>
      <c r="AC819" s="41"/>
      <c r="AD819" s="42"/>
      <c r="AE819" s="42"/>
      <c r="AF819" s="42"/>
      <c r="AG819" s="42" t="s">
        <v>734</v>
      </c>
      <c r="AH819" s="42"/>
      <c r="AI819" s="42"/>
      <c r="AJ819" s="42"/>
      <c r="AK819" s="42"/>
      <c r="AL819" s="42"/>
      <c r="AM819" s="42" t="s">
        <v>734</v>
      </c>
      <c r="AN819" s="42"/>
      <c r="AO819" s="42"/>
      <c r="AP819" s="42"/>
      <c r="AQ819" s="42"/>
      <c r="AR819" s="42"/>
      <c r="AS819" s="42"/>
      <c r="AT819" s="42"/>
      <c r="AU819" s="42"/>
      <c r="AV819" s="42"/>
      <c r="AW819" s="42"/>
      <c r="AX819" s="68">
        <v>9.35</v>
      </c>
      <c r="AY819" s="68"/>
      <c r="BA819" s="37"/>
      <c r="BB819" s="37"/>
      <c r="BD819" s="67">
        <f t="shared" ref="BD819:BD853" si="285">AX819*K819</f>
        <v>317.89999999999998</v>
      </c>
      <c r="BE819" s="67"/>
      <c r="BF819" s="37"/>
      <c r="BG819" s="69">
        <v>2</v>
      </c>
      <c r="BH819" s="67">
        <f>IF(AND((AX819/I819)&lt;2,BG819=1),(I819*2)-AX819,0)</f>
        <v>0</v>
      </c>
      <c r="BI819" s="67">
        <f>IF(AND((AX819/I819)&lt;3,BG819=2),(I819*3)-AX819,0)</f>
        <v>0</v>
      </c>
      <c r="BJ819" s="70">
        <f>(BH819+BI819)*K819</f>
        <v>0</v>
      </c>
      <c r="BN819" s="37"/>
      <c r="BO819" s="70">
        <f t="shared" si="267"/>
        <v>0</v>
      </c>
      <c r="BP819" s="37">
        <v>2</v>
      </c>
      <c r="BQ819" s="37">
        <v>5</v>
      </c>
      <c r="BR819" s="37">
        <v>4</v>
      </c>
      <c r="BS819" s="37">
        <v>3</v>
      </c>
      <c r="BT819" s="87">
        <f t="shared" si="268"/>
        <v>9.35</v>
      </c>
      <c r="BU819" s="87"/>
      <c r="BV819" s="87"/>
      <c r="BW819" s="87"/>
      <c r="BX819" s="87"/>
      <c r="BY819" s="87"/>
      <c r="BZ819" s="87"/>
      <c r="CA819" s="87"/>
      <c r="CB819" s="87"/>
      <c r="CC819" s="87"/>
      <c r="CD819" s="87"/>
      <c r="CF819" s="67">
        <f t="shared" si="269"/>
        <v>18.7</v>
      </c>
      <c r="CG819" s="67">
        <f t="shared" si="270"/>
        <v>46.75</v>
      </c>
      <c r="CH819" s="67">
        <f t="shared" si="284"/>
        <v>37.4</v>
      </c>
      <c r="CI819" s="67">
        <f t="shared" si="275"/>
        <v>28.049999999999997</v>
      </c>
      <c r="CJ819" s="37">
        <f t="shared" si="271"/>
        <v>6</v>
      </c>
      <c r="CK819" s="37">
        <f t="shared" si="272"/>
        <v>15</v>
      </c>
      <c r="CL819" s="37">
        <f t="shared" si="273"/>
        <v>12</v>
      </c>
      <c r="CM819" s="37">
        <f t="shared" si="274"/>
        <v>9</v>
      </c>
    </row>
    <row r="820" spans="1:91" ht="25.5">
      <c r="B820" s="156">
        <v>804</v>
      </c>
      <c r="C820" s="169">
        <v>624</v>
      </c>
      <c r="D820" s="169">
        <v>276</v>
      </c>
      <c r="E820" s="170">
        <v>0.76388888888888884</v>
      </c>
      <c r="F820" s="170">
        <v>0.76874999999999993</v>
      </c>
      <c r="G820" s="171" t="s">
        <v>54</v>
      </c>
      <c r="H820" s="160" t="s">
        <v>424</v>
      </c>
      <c r="I820" s="169">
        <v>4</v>
      </c>
      <c r="J820" s="172">
        <v>19</v>
      </c>
      <c r="K820" s="165">
        <v>67</v>
      </c>
      <c r="L820" s="166">
        <f t="shared" si="283"/>
        <v>268</v>
      </c>
      <c r="M820" s="167" t="s">
        <v>780</v>
      </c>
      <c r="N820" s="154" t="s">
        <v>796</v>
      </c>
      <c r="O820" s="154">
        <v>21</v>
      </c>
      <c r="P820" s="154"/>
      <c r="Q820" s="154"/>
      <c r="R820" s="212"/>
      <c r="S820" s="154"/>
      <c r="T820" s="45">
        <v>6220</v>
      </c>
      <c r="U820" s="45" t="s">
        <v>1384</v>
      </c>
      <c r="V820" s="45">
        <v>6157</v>
      </c>
      <c r="W820" s="45" t="s">
        <v>1744</v>
      </c>
      <c r="X820" s="99">
        <v>44562</v>
      </c>
      <c r="Y820" s="99">
        <v>44815</v>
      </c>
      <c r="Z820" s="99">
        <v>45101</v>
      </c>
      <c r="AA820" s="99">
        <v>45169</v>
      </c>
      <c r="AB820" s="42" t="s">
        <v>1119</v>
      </c>
      <c r="AC820" s="42"/>
      <c r="AD820" s="42"/>
      <c r="AE820" s="42" t="s">
        <v>734</v>
      </c>
      <c r="AF820" s="42" t="s">
        <v>734</v>
      </c>
      <c r="AG820" s="42"/>
      <c r="AH820" s="42" t="s">
        <v>734</v>
      </c>
      <c r="AI820" s="42" t="s">
        <v>734</v>
      </c>
      <c r="AJ820" s="42" t="s">
        <v>734</v>
      </c>
      <c r="AK820" s="42" t="s">
        <v>734</v>
      </c>
      <c r="AL820" s="42" t="s">
        <v>734</v>
      </c>
      <c r="AM820" s="42" t="s">
        <v>734</v>
      </c>
      <c r="AN820" s="42"/>
      <c r="AO820" s="42"/>
      <c r="AP820" s="42"/>
      <c r="AQ820" s="42"/>
      <c r="AR820" s="42"/>
      <c r="AS820" s="42"/>
      <c r="AT820" s="42"/>
      <c r="AU820" s="42"/>
      <c r="AV820" s="42"/>
      <c r="AW820" s="42"/>
      <c r="AY820" s="67">
        <f>1.9*4</f>
        <v>7.6</v>
      </c>
      <c r="BA820" s="37"/>
      <c r="BB820" s="37"/>
      <c r="BD820" s="67">
        <f t="shared" si="285"/>
        <v>0</v>
      </c>
      <c r="BE820" s="67">
        <f>AY820*K820</f>
        <v>509.2</v>
      </c>
      <c r="BF820" s="37"/>
      <c r="BG820" s="73">
        <v>1</v>
      </c>
      <c r="BI820" s="67"/>
      <c r="BJ820" s="37"/>
      <c r="BK820" s="67">
        <f>IF(AND((AY820/I820)&lt;2,BG820=1),(I820*2)-AY820,0)</f>
        <v>0.40000000000000036</v>
      </c>
      <c r="BL820" s="67">
        <f>IF(AND((AY820/I820)&lt;3,BG820=2),(I820*3)-AY820,0)</f>
        <v>0</v>
      </c>
      <c r="BM820" s="70">
        <f>(BK820+BL820)*K820</f>
        <v>26.800000000000026</v>
      </c>
      <c r="BN820" s="37"/>
      <c r="BO820" s="70">
        <f t="shared" si="267"/>
        <v>0</v>
      </c>
      <c r="BP820" s="37">
        <v>9</v>
      </c>
      <c r="BQ820" s="37">
        <v>0</v>
      </c>
      <c r="BR820" s="37">
        <v>0</v>
      </c>
      <c r="BS820" s="37">
        <v>0</v>
      </c>
      <c r="BT820" s="87">
        <f t="shared" si="268"/>
        <v>8</v>
      </c>
      <c r="BU820" s="87"/>
      <c r="BV820" s="87"/>
      <c r="BW820" s="87"/>
      <c r="BX820" s="87"/>
      <c r="BY820" s="87"/>
      <c r="BZ820" s="87"/>
      <c r="CA820" s="87"/>
      <c r="CB820" s="87"/>
      <c r="CC820" s="87"/>
      <c r="CD820" s="87"/>
      <c r="CF820" s="67">
        <f t="shared" si="269"/>
        <v>72</v>
      </c>
      <c r="CG820" s="67">
        <f t="shared" si="270"/>
        <v>0</v>
      </c>
      <c r="CH820" s="67">
        <f t="shared" si="284"/>
        <v>0</v>
      </c>
      <c r="CI820" s="67">
        <f t="shared" si="275"/>
        <v>0</v>
      </c>
      <c r="CJ820" s="37">
        <f t="shared" si="271"/>
        <v>36</v>
      </c>
      <c r="CK820" s="37">
        <f t="shared" si="272"/>
        <v>0</v>
      </c>
      <c r="CL820" s="37">
        <f t="shared" si="273"/>
        <v>0</v>
      </c>
      <c r="CM820" s="37">
        <f t="shared" si="274"/>
        <v>0</v>
      </c>
    </row>
    <row r="821" spans="1:91" ht="25.5">
      <c r="B821" s="156">
        <v>805</v>
      </c>
      <c r="C821" s="169">
        <v>624</v>
      </c>
      <c r="D821" s="169">
        <v>276</v>
      </c>
      <c r="E821" s="170">
        <v>0.76527777777777783</v>
      </c>
      <c r="F821" s="170">
        <v>0.76944444444444438</v>
      </c>
      <c r="G821" s="171" t="s">
        <v>54</v>
      </c>
      <c r="H821" s="160" t="s">
        <v>479</v>
      </c>
      <c r="I821" s="169">
        <v>4</v>
      </c>
      <c r="J821" s="172">
        <v>19</v>
      </c>
      <c r="K821" s="165">
        <v>240</v>
      </c>
      <c r="L821" s="166">
        <f t="shared" si="283"/>
        <v>960</v>
      </c>
      <c r="M821" s="167" t="s">
        <v>779</v>
      </c>
      <c r="N821" s="154" t="s">
        <v>862</v>
      </c>
      <c r="O821" s="154">
        <v>21</v>
      </c>
      <c r="P821" s="154" t="s">
        <v>1300</v>
      </c>
      <c r="Q821" s="154">
        <v>31</v>
      </c>
      <c r="S821" s="154"/>
      <c r="T821" s="45">
        <v>6220</v>
      </c>
      <c r="U821" s="45" t="s">
        <v>1384</v>
      </c>
      <c r="V821" s="45">
        <v>6157</v>
      </c>
      <c r="W821" s="45" t="s">
        <v>1744</v>
      </c>
      <c r="X821" s="99">
        <v>44816</v>
      </c>
      <c r="Y821" s="99">
        <v>45100</v>
      </c>
      <c r="Z821" s="99"/>
      <c r="AA821" s="99"/>
      <c r="AB821" s="45" t="s">
        <v>1124</v>
      </c>
      <c r="AC821" s="45"/>
      <c r="AD821" s="42" t="s">
        <v>734</v>
      </c>
      <c r="AE821" s="42"/>
      <c r="AF821" s="42" t="s">
        <v>734</v>
      </c>
      <c r="AG821" s="42"/>
      <c r="AH821" s="42" t="s">
        <v>734</v>
      </c>
      <c r="AI821" s="42" t="s">
        <v>734</v>
      </c>
      <c r="AJ821" s="42" t="s">
        <v>734</v>
      </c>
      <c r="AK821" s="42" t="s">
        <v>734</v>
      </c>
      <c r="AL821" s="42" t="s">
        <v>734</v>
      </c>
      <c r="AM821" s="42" t="s">
        <v>734</v>
      </c>
      <c r="AN821" s="42"/>
      <c r="AO821" s="42"/>
      <c r="AP821" s="42"/>
      <c r="AQ821" s="42"/>
      <c r="AR821" s="42"/>
      <c r="AS821" s="42"/>
      <c r="AT821" s="42"/>
      <c r="AU821" s="42"/>
      <c r="AV821" s="42"/>
      <c r="AW821" s="42"/>
      <c r="BA821" s="40" t="s">
        <v>779</v>
      </c>
      <c r="BB821" s="40"/>
      <c r="BD821" s="67">
        <f t="shared" si="285"/>
        <v>0</v>
      </c>
      <c r="BF821" s="37"/>
      <c r="BG821" s="73">
        <v>1</v>
      </c>
      <c r="BI821" s="67"/>
      <c r="BJ821" s="37"/>
      <c r="BN821" s="37"/>
      <c r="BO821" s="70">
        <f t="shared" si="267"/>
        <v>0</v>
      </c>
      <c r="BP821" s="37">
        <v>17</v>
      </c>
      <c r="BQ821" s="37">
        <v>26</v>
      </c>
      <c r="BR821" s="37">
        <v>25</v>
      </c>
      <c r="BS821" s="37">
        <v>25</v>
      </c>
      <c r="BT821" s="87">
        <f t="shared" si="268"/>
        <v>0</v>
      </c>
      <c r="BU821" s="87"/>
      <c r="BV821" s="87"/>
      <c r="BW821" s="87"/>
      <c r="BX821" s="87"/>
      <c r="BY821" s="87"/>
      <c r="BZ821" s="87"/>
      <c r="CA821" s="87"/>
      <c r="CB821" s="87"/>
      <c r="CC821" s="87"/>
      <c r="CD821" s="87"/>
      <c r="CF821" s="67">
        <f t="shared" si="269"/>
        <v>0</v>
      </c>
      <c r="CG821" s="67">
        <f t="shared" si="270"/>
        <v>0</v>
      </c>
      <c r="CH821" s="67">
        <f t="shared" si="284"/>
        <v>0</v>
      </c>
      <c r="CI821" s="67">
        <f t="shared" si="275"/>
        <v>0</v>
      </c>
      <c r="CJ821" s="37">
        <f t="shared" si="271"/>
        <v>68</v>
      </c>
      <c r="CK821" s="37">
        <f t="shared" si="272"/>
        <v>104</v>
      </c>
      <c r="CL821" s="37">
        <f t="shared" si="273"/>
        <v>100</v>
      </c>
      <c r="CM821" s="37">
        <f t="shared" si="274"/>
        <v>100</v>
      </c>
    </row>
    <row r="822" spans="1:91" ht="25.5">
      <c r="B822" s="156">
        <v>806</v>
      </c>
      <c r="C822" s="169">
        <v>624</v>
      </c>
      <c r="D822" s="169">
        <v>275</v>
      </c>
      <c r="E822" s="170">
        <v>0.76944444444444438</v>
      </c>
      <c r="F822" s="170">
        <v>0.7729166666666667</v>
      </c>
      <c r="G822" s="171" t="s">
        <v>53</v>
      </c>
      <c r="H822" s="160" t="s">
        <v>479</v>
      </c>
      <c r="I822" s="169">
        <v>4</v>
      </c>
      <c r="J822" s="172">
        <v>19</v>
      </c>
      <c r="K822" s="165">
        <v>240</v>
      </c>
      <c r="L822" s="166">
        <f t="shared" si="283"/>
        <v>960</v>
      </c>
      <c r="M822" s="167" t="s">
        <v>779</v>
      </c>
      <c r="N822" s="154" t="s">
        <v>862</v>
      </c>
      <c r="O822" s="154">
        <v>21</v>
      </c>
      <c r="P822" s="154" t="s">
        <v>1300</v>
      </c>
      <c r="Q822" s="154">
        <v>31</v>
      </c>
      <c r="S822" s="154"/>
      <c r="T822" s="45">
        <v>6157</v>
      </c>
      <c r="U822" s="45" t="s">
        <v>1744</v>
      </c>
      <c r="V822" s="45">
        <v>6220</v>
      </c>
      <c r="W822" s="45" t="s">
        <v>1384</v>
      </c>
      <c r="X822" s="99">
        <v>44816</v>
      </c>
      <c r="Y822" s="99">
        <v>45100</v>
      </c>
      <c r="Z822" s="99"/>
      <c r="AA822" s="99"/>
      <c r="AB822" s="45" t="s">
        <v>1124</v>
      </c>
      <c r="AC822" s="45"/>
      <c r="AD822" s="42" t="s">
        <v>734</v>
      </c>
      <c r="AE822" s="42"/>
      <c r="AF822" s="42" t="s">
        <v>734</v>
      </c>
      <c r="AG822" s="42"/>
      <c r="AH822" s="42" t="s">
        <v>734</v>
      </c>
      <c r="AI822" s="42" t="s">
        <v>734</v>
      </c>
      <c r="AJ822" s="42" t="s">
        <v>734</v>
      </c>
      <c r="AK822" s="42" t="s">
        <v>734</v>
      </c>
      <c r="AL822" s="42" t="s">
        <v>734</v>
      </c>
      <c r="AM822" s="42" t="s">
        <v>734</v>
      </c>
      <c r="AN822" s="42"/>
      <c r="AO822" s="42"/>
      <c r="AP822" s="42"/>
      <c r="AQ822" s="42"/>
      <c r="AR822" s="42"/>
      <c r="AS822" s="42"/>
      <c r="AT822" s="42"/>
      <c r="AU822" s="42"/>
      <c r="AV822" s="42"/>
      <c r="AW822" s="42"/>
      <c r="BA822" s="40" t="s">
        <v>779</v>
      </c>
      <c r="BB822" s="40"/>
      <c r="BD822" s="67">
        <f t="shared" si="285"/>
        <v>0</v>
      </c>
      <c r="BF822" s="37"/>
      <c r="BG822" s="73">
        <v>1</v>
      </c>
      <c r="BI822" s="67"/>
      <c r="BJ822" s="37"/>
      <c r="BN822" s="37"/>
      <c r="BO822" s="70">
        <f t="shared" ref="BO822:BO885" si="286">BN822*K822</f>
        <v>0</v>
      </c>
      <c r="BP822" s="37">
        <v>17</v>
      </c>
      <c r="BQ822" s="37">
        <v>26</v>
      </c>
      <c r="BR822" s="37">
        <v>25</v>
      </c>
      <c r="BS822" s="37">
        <v>25</v>
      </c>
      <c r="BT822" s="87">
        <f t="shared" ref="BT822:BT885" si="287">SUM(AX822:AZ822)+SUM(BH822:BI822)+SUM(BK822:BL822)+BN822</f>
        <v>0</v>
      </c>
      <c r="BU822" s="87"/>
      <c r="BV822" s="87"/>
      <c r="BW822" s="87"/>
      <c r="BX822" s="87"/>
      <c r="BY822" s="87"/>
      <c r="BZ822" s="87"/>
      <c r="CA822" s="87"/>
      <c r="CB822" s="87"/>
      <c r="CC822" s="87"/>
      <c r="CD822" s="87"/>
      <c r="CF822" s="67">
        <f t="shared" ref="CF822:CF885" si="288">(BT822*BP822)+(BV822*CD822)</f>
        <v>0</v>
      </c>
      <c r="CG822" s="67">
        <f t="shared" si="270"/>
        <v>0</v>
      </c>
      <c r="CH822" s="67">
        <f t="shared" si="284"/>
        <v>0</v>
      </c>
      <c r="CI822" s="67">
        <f t="shared" si="275"/>
        <v>0</v>
      </c>
      <c r="CJ822" s="37">
        <f t="shared" si="271"/>
        <v>68</v>
      </c>
      <c r="CK822" s="37">
        <f t="shared" si="272"/>
        <v>104</v>
      </c>
      <c r="CL822" s="37">
        <f t="shared" si="273"/>
        <v>100</v>
      </c>
      <c r="CM822" s="37">
        <f t="shared" si="274"/>
        <v>100</v>
      </c>
    </row>
    <row r="823" spans="1:91" ht="25.5">
      <c r="B823" s="156">
        <v>807</v>
      </c>
      <c r="C823" s="169">
        <v>624</v>
      </c>
      <c r="D823" s="169">
        <v>275</v>
      </c>
      <c r="E823" s="170">
        <v>0.76944444444444438</v>
      </c>
      <c r="F823" s="170">
        <v>0.77430555555555547</v>
      </c>
      <c r="G823" s="171" t="s">
        <v>53</v>
      </c>
      <c r="H823" s="160" t="s">
        <v>424</v>
      </c>
      <c r="I823" s="169">
        <v>4</v>
      </c>
      <c r="J823" s="172">
        <v>19</v>
      </c>
      <c r="K823" s="165">
        <v>67</v>
      </c>
      <c r="L823" s="166">
        <f t="shared" si="283"/>
        <v>268</v>
      </c>
      <c r="M823" s="167" t="s">
        <v>780</v>
      </c>
      <c r="N823" s="154" t="s">
        <v>796</v>
      </c>
      <c r="O823" s="154">
        <v>21</v>
      </c>
      <c r="P823" s="154"/>
      <c r="Q823" s="154"/>
      <c r="R823" s="212"/>
      <c r="S823" s="154"/>
      <c r="T823" s="45">
        <v>6157</v>
      </c>
      <c r="U823" s="45" t="s">
        <v>1744</v>
      </c>
      <c r="V823" s="45">
        <v>6220</v>
      </c>
      <c r="W823" s="45" t="s">
        <v>1384</v>
      </c>
      <c r="X823" s="99">
        <v>44562</v>
      </c>
      <c r="Y823" s="99">
        <v>44815</v>
      </c>
      <c r="Z823" s="99">
        <v>45101</v>
      </c>
      <c r="AA823" s="99">
        <v>45169</v>
      </c>
      <c r="AB823" s="42" t="s">
        <v>1119</v>
      </c>
      <c r="AC823" s="42"/>
      <c r="AD823" s="42"/>
      <c r="AE823" s="42" t="s">
        <v>734</v>
      </c>
      <c r="AF823" s="42" t="s">
        <v>734</v>
      </c>
      <c r="AG823" s="42"/>
      <c r="AH823" s="42" t="s">
        <v>734</v>
      </c>
      <c r="AI823" s="42" t="s">
        <v>734</v>
      </c>
      <c r="AJ823" s="42" t="s">
        <v>734</v>
      </c>
      <c r="AK823" s="42" t="s">
        <v>734</v>
      </c>
      <c r="AL823" s="42" t="s">
        <v>734</v>
      </c>
      <c r="AM823" s="42" t="s">
        <v>734</v>
      </c>
      <c r="AN823" s="42"/>
      <c r="AO823" s="42"/>
      <c r="AP823" s="42"/>
      <c r="AQ823" s="42"/>
      <c r="AR823" s="42"/>
      <c r="AS823" s="42"/>
      <c r="AT823" s="42"/>
      <c r="AU823" s="42"/>
      <c r="AV823" s="42"/>
      <c r="AW823" s="42"/>
      <c r="AY823" s="67">
        <f>1.9*4</f>
        <v>7.6</v>
      </c>
      <c r="BA823" s="37"/>
      <c r="BB823" s="37"/>
      <c r="BD823" s="67">
        <f t="shared" si="285"/>
        <v>0</v>
      </c>
      <c r="BE823" s="67">
        <f>AY823*K823</f>
        <v>509.2</v>
      </c>
      <c r="BF823" s="37"/>
      <c r="BG823" s="73">
        <v>1</v>
      </c>
      <c r="BI823" s="67"/>
      <c r="BJ823" s="37"/>
      <c r="BK823" s="67">
        <f>IF(AND((AY823/I823)&lt;2,BG823=1),(I823*2)-AY823,0)</f>
        <v>0.40000000000000036</v>
      </c>
      <c r="BL823" s="67">
        <f>IF(AND((AY823/I823)&lt;3,BG823=2),(I823*3)-AY823,0)</f>
        <v>0</v>
      </c>
      <c r="BM823" s="70">
        <f>(BK823+BL823)*K823</f>
        <v>26.800000000000026</v>
      </c>
      <c r="BN823" s="37"/>
      <c r="BO823" s="70">
        <f t="shared" si="286"/>
        <v>0</v>
      </c>
      <c r="BP823" s="37">
        <v>9</v>
      </c>
      <c r="BQ823" s="37">
        <v>0</v>
      </c>
      <c r="BR823" s="37">
        <v>0</v>
      </c>
      <c r="BS823" s="37">
        <v>0</v>
      </c>
      <c r="BT823" s="87">
        <f t="shared" si="287"/>
        <v>8</v>
      </c>
      <c r="BU823" s="87"/>
      <c r="BV823" s="87"/>
      <c r="BW823" s="87"/>
      <c r="BX823" s="87"/>
      <c r="BY823" s="87"/>
      <c r="BZ823" s="87"/>
      <c r="CA823" s="87"/>
      <c r="CB823" s="87"/>
      <c r="CC823" s="87"/>
      <c r="CD823" s="87"/>
      <c r="CF823" s="67">
        <f t="shared" si="288"/>
        <v>72</v>
      </c>
      <c r="CG823" s="67">
        <f t="shared" si="270"/>
        <v>0</v>
      </c>
      <c r="CH823" s="67">
        <f t="shared" si="284"/>
        <v>0</v>
      </c>
      <c r="CI823" s="67">
        <f t="shared" si="275"/>
        <v>0</v>
      </c>
      <c r="CJ823" s="37">
        <f t="shared" si="271"/>
        <v>36</v>
      </c>
      <c r="CK823" s="37">
        <f t="shared" si="272"/>
        <v>0</v>
      </c>
      <c r="CL823" s="37">
        <f t="shared" si="273"/>
        <v>0</v>
      </c>
      <c r="CM823" s="37">
        <f t="shared" si="274"/>
        <v>0</v>
      </c>
    </row>
    <row r="824" spans="1:91" ht="45">
      <c r="B824" s="156">
        <v>808</v>
      </c>
      <c r="C824" s="160">
        <v>625</v>
      </c>
      <c r="D824" s="160">
        <v>583</v>
      </c>
      <c r="E824" s="161">
        <v>0.28819444444444448</v>
      </c>
      <c r="F824" s="161">
        <v>0.2951388888888889</v>
      </c>
      <c r="G824" s="160" t="s">
        <v>129</v>
      </c>
      <c r="H824" s="160" t="s">
        <v>97</v>
      </c>
      <c r="I824" s="163">
        <v>5</v>
      </c>
      <c r="J824" s="164" t="s">
        <v>127</v>
      </c>
      <c r="K824" s="165">
        <v>208</v>
      </c>
      <c r="L824" s="166">
        <f t="shared" si="283"/>
        <v>1040</v>
      </c>
      <c r="M824" s="167" t="s">
        <v>1227</v>
      </c>
      <c r="N824" s="154" t="s">
        <v>963</v>
      </c>
      <c r="O824" s="154">
        <v>43</v>
      </c>
      <c r="P824" s="154" t="s">
        <v>1302</v>
      </c>
      <c r="Q824" s="154">
        <v>54</v>
      </c>
      <c r="R824" s="154" t="s">
        <v>1987</v>
      </c>
      <c r="S824" s="151" t="s">
        <v>1887</v>
      </c>
      <c r="T824" s="45" t="s">
        <v>1745</v>
      </c>
      <c r="U824" s="45" t="s">
        <v>1746</v>
      </c>
      <c r="V824" s="45" t="s">
        <v>1747</v>
      </c>
      <c r="W824" s="45" t="s">
        <v>1748</v>
      </c>
      <c r="X824" s="98">
        <v>44816</v>
      </c>
      <c r="Y824" s="98">
        <v>45086</v>
      </c>
      <c r="Z824" s="98"/>
      <c r="AA824" s="98"/>
      <c r="AB824" s="41" t="s">
        <v>1118</v>
      </c>
      <c r="AC824" s="41"/>
      <c r="AD824" s="42"/>
      <c r="AE824" s="42"/>
      <c r="AF824" s="42"/>
      <c r="AG824" s="42" t="s">
        <v>734</v>
      </c>
      <c r="AH824" s="42" t="s">
        <v>734</v>
      </c>
      <c r="AI824" s="42" t="s">
        <v>734</v>
      </c>
      <c r="AJ824" s="42" t="s">
        <v>734</v>
      </c>
      <c r="AK824" s="42" t="s">
        <v>734</v>
      </c>
      <c r="AL824" s="42" t="s">
        <v>734</v>
      </c>
      <c r="AM824" s="42" t="s">
        <v>734</v>
      </c>
      <c r="AN824" s="42"/>
      <c r="AO824" s="42"/>
      <c r="AP824" s="42"/>
      <c r="AQ824" s="42"/>
      <c r="AR824" s="42"/>
      <c r="AS824" s="42"/>
      <c r="AT824" s="42"/>
      <c r="AU824" s="42"/>
      <c r="AV824" s="42"/>
      <c r="AW824" s="42"/>
      <c r="AX824" s="68">
        <v>21.12</v>
      </c>
      <c r="AY824" s="68"/>
      <c r="BA824" s="37"/>
      <c r="BB824" s="37"/>
      <c r="BD824" s="67">
        <f t="shared" si="285"/>
        <v>4392.96</v>
      </c>
      <c r="BE824" s="67"/>
      <c r="BF824" s="37"/>
      <c r="BG824" s="69">
        <v>2</v>
      </c>
      <c r="BH824" s="67">
        <f>IF(AND((AX824/I824)&lt;2,BG824=1),(I824*2)-AX824,0)</f>
        <v>0</v>
      </c>
      <c r="BI824" s="67">
        <f>IF(AND((AX824/I824)&lt;3,BG824=2),(I824*3)-AX824,0)</f>
        <v>0</v>
      </c>
      <c r="BJ824" s="70">
        <f>(BH824+BI824)*K824</f>
        <v>0</v>
      </c>
      <c r="BN824" s="67">
        <f>IF((AX824+AY824+AZ824)&lt;20,(20-(AX824+AY824+AZ824)),0)</f>
        <v>0</v>
      </c>
      <c r="BO824" s="70">
        <f t="shared" si="286"/>
        <v>0</v>
      </c>
      <c r="BP824" s="37">
        <v>17</v>
      </c>
      <c r="BQ824" s="37">
        <v>25</v>
      </c>
      <c r="BR824" s="37">
        <v>25</v>
      </c>
      <c r="BS824" s="37">
        <v>18</v>
      </c>
      <c r="BT824" s="87">
        <f t="shared" si="287"/>
        <v>21.12</v>
      </c>
      <c r="BU824" s="87"/>
      <c r="BV824" s="87"/>
      <c r="BW824" s="87"/>
      <c r="BX824" s="87"/>
      <c r="BY824" s="87"/>
      <c r="BZ824" s="87"/>
      <c r="CA824" s="87"/>
      <c r="CB824" s="87"/>
      <c r="CC824" s="87"/>
      <c r="CD824" s="87"/>
      <c r="CF824" s="67">
        <f t="shared" si="288"/>
        <v>359.04</v>
      </c>
      <c r="CG824" s="67">
        <f t="shared" si="270"/>
        <v>528</v>
      </c>
      <c r="CH824" s="67">
        <f t="shared" si="284"/>
        <v>528</v>
      </c>
      <c r="CI824" s="67">
        <f t="shared" si="275"/>
        <v>380.16</v>
      </c>
      <c r="CJ824" s="37">
        <f t="shared" si="271"/>
        <v>85</v>
      </c>
      <c r="CK824" s="37">
        <f t="shared" si="272"/>
        <v>125</v>
      </c>
      <c r="CL824" s="37">
        <f t="shared" si="273"/>
        <v>125</v>
      </c>
      <c r="CM824" s="37">
        <f t="shared" si="274"/>
        <v>90</v>
      </c>
    </row>
    <row r="825" spans="1:91" ht="45">
      <c r="B825" s="156">
        <v>809</v>
      </c>
      <c r="C825" s="160">
        <v>625</v>
      </c>
      <c r="D825" s="162">
        <v>581</v>
      </c>
      <c r="E825" s="161">
        <v>0.3</v>
      </c>
      <c r="F825" s="161">
        <v>0.30694444444444441</v>
      </c>
      <c r="G825" s="160" t="s">
        <v>128</v>
      </c>
      <c r="H825" s="160" t="s">
        <v>103</v>
      </c>
      <c r="I825" s="163">
        <f>4+1</f>
        <v>5</v>
      </c>
      <c r="J825" s="164" t="s">
        <v>127</v>
      </c>
      <c r="K825" s="165">
        <v>174</v>
      </c>
      <c r="L825" s="166">
        <f t="shared" si="283"/>
        <v>870</v>
      </c>
      <c r="M825" s="167" t="s">
        <v>1227</v>
      </c>
      <c r="N825" s="154" t="s">
        <v>963</v>
      </c>
      <c r="O825" s="154">
        <v>43</v>
      </c>
      <c r="P825" s="154" t="s">
        <v>1302</v>
      </c>
      <c r="Q825" s="154">
        <v>54</v>
      </c>
      <c r="R825" s="154" t="s">
        <v>1303</v>
      </c>
      <c r="S825" s="151">
        <v>55</v>
      </c>
      <c r="T825" s="45" t="s">
        <v>1745</v>
      </c>
      <c r="U825" s="45" t="s">
        <v>1746</v>
      </c>
      <c r="V825" s="45" t="s">
        <v>1747</v>
      </c>
      <c r="W825" s="45" t="s">
        <v>1748</v>
      </c>
      <c r="X825" s="98">
        <v>44816</v>
      </c>
      <c r="Y825" s="98">
        <v>45086</v>
      </c>
      <c r="Z825" s="98"/>
      <c r="AA825" s="98"/>
      <c r="AB825" s="41" t="s">
        <v>1114</v>
      </c>
      <c r="AC825" s="41"/>
      <c r="AD825" s="42"/>
      <c r="AE825" s="42"/>
      <c r="AF825" s="42"/>
      <c r="AG825" s="42" t="s">
        <v>734</v>
      </c>
      <c r="AH825" s="42" t="s">
        <v>734</v>
      </c>
      <c r="AI825" s="42" t="s">
        <v>734</v>
      </c>
      <c r="AJ825" s="42" t="s">
        <v>734</v>
      </c>
      <c r="AK825" s="42" t="s">
        <v>734</v>
      </c>
      <c r="AL825" s="42" t="s">
        <v>734</v>
      </c>
      <c r="AM825" s="42"/>
      <c r="AN825" s="42"/>
      <c r="AO825" s="42"/>
      <c r="AP825" s="42"/>
      <c r="AQ825" s="42"/>
      <c r="AR825" s="42"/>
      <c r="AS825" s="42"/>
      <c r="AT825" s="42"/>
      <c r="AU825" s="42"/>
      <c r="AV825" s="42"/>
      <c r="AW825" s="42"/>
      <c r="AX825" s="68">
        <v>21.12</v>
      </c>
      <c r="AY825" s="68"/>
      <c r="BA825" s="37"/>
      <c r="BB825" s="37"/>
      <c r="BD825" s="67">
        <f t="shared" si="285"/>
        <v>3674.88</v>
      </c>
      <c r="BE825" s="67"/>
      <c r="BF825" s="37"/>
      <c r="BG825" s="69">
        <v>2</v>
      </c>
      <c r="BH825" s="67">
        <f>IF(AND((AX825/I825)&lt;2,BG825=1),(I825*2)-AX825,0)</f>
        <v>0</v>
      </c>
      <c r="BI825" s="67">
        <f>IF(AND((AX825/I825)&lt;3,BG825=2),(I825*3)-AX825,0)</f>
        <v>0</v>
      </c>
      <c r="BJ825" s="70">
        <f>(BH825+BI825)*K825</f>
        <v>0</v>
      </c>
      <c r="BN825" s="37"/>
      <c r="BO825" s="70">
        <f t="shared" si="286"/>
        <v>0</v>
      </c>
      <c r="BP825" s="37">
        <v>15</v>
      </c>
      <c r="BQ825" s="37">
        <v>20</v>
      </c>
      <c r="BR825" s="37">
        <v>21</v>
      </c>
      <c r="BS825" s="37">
        <v>15</v>
      </c>
      <c r="BT825" s="87">
        <f t="shared" si="287"/>
        <v>21.12</v>
      </c>
      <c r="BU825" s="87"/>
      <c r="BV825" s="87"/>
      <c r="BW825" s="87"/>
      <c r="BX825" s="87"/>
      <c r="BY825" s="87"/>
      <c r="BZ825" s="87"/>
      <c r="CA825" s="87"/>
      <c r="CB825" s="87"/>
      <c r="CC825" s="87"/>
      <c r="CD825" s="87"/>
      <c r="CF825" s="67">
        <f t="shared" si="288"/>
        <v>316.8</v>
      </c>
      <c r="CG825" s="67">
        <f t="shared" si="270"/>
        <v>422.40000000000003</v>
      </c>
      <c r="CH825" s="67">
        <f t="shared" si="284"/>
        <v>443.52000000000004</v>
      </c>
      <c r="CI825" s="67">
        <f t="shared" si="275"/>
        <v>316.8</v>
      </c>
      <c r="CJ825" s="37">
        <f t="shared" si="271"/>
        <v>75</v>
      </c>
      <c r="CK825" s="37">
        <f t="shared" si="272"/>
        <v>100</v>
      </c>
      <c r="CL825" s="37">
        <f t="shared" si="273"/>
        <v>105</v>
      </c>
      <c r="CM825" s="37">
        <f t="shared" si="274"/>
        <v>75</v>
      </c>
    </row>
    <row r="826" spans="1:91" ht="45">
      <c r="B826" s="156">
        <v>810</v>
      </c>
      <c r="C826" s="169">
        <v>625</v>
      </c>
      <c r="D826" s="169">
        <v>506</v>
      </c>
      <c r="E826" s="170">
        <v>0.72916666666666663</v>
      </c>
      <c r="F826" s="170">
        <v>0.75069444444444444</v>
      </c>
      <c r="G826" s="171" t="s">
        <v>63</v>
      </c>
      <c r="H826" s="160" t="s">
        <v>479</v>
      </c>
      <c r="I826" s="169">
        <v>14</v>
      </c>
      <c r="J826" s="172">
        <v>19</v>
      </c>
      <c r="K826" s="165">
        <v>240</v>
      </c>
      <c r="L826" s="166">
        <f t="shared" si="283"/>
        <v>3360</v>
      </c>
      <c r="M826" s="167" t="s">
        <v>1227</v>
      </c>
      <c r="N826" s="154" t="s">
        <v>960</v>
      </c>
      <c r="O826" s="154">
        <v>24</v>
      </c>
      <c r="P826" s="154" t="s">
        <v>798</v>
      </c>
      <c r="Q826" s="154">
        <v>21</v>
      </c>
      <c r="R826" s="154" t="s">
        <v>961</v>
      </c>
      <c r="S826" s="151">
        <v>21</v>
      </c>
      <c r="T826" s="45" t="s">
        <v>1749</v>
      </c>
      <c r="U826" s="45" t="s">
        <v>1750</v>
      </c>
      <c r="V826" s="45">
        <v>6191</v>
      </c>
      <c r="W826" s="45" t="s">
        <v>1751</v>
      </c>
      <c r="X826" s="99">
        <v>44816</v>
      </c>
      <c r="Y826" s="99">
        <v>45100</v>
      </c>
      <c r="Z826" s="99"/>
      <c r="AA826" s="99"/>
      <c r="AB826" s="45" t="s">
        <v>1124</v>
      </c>
      <c r="AC826" s="45"/>
      <c r="AD826" s="42" t="s">
        <v>734</v>
      </c>
      <c r="AE826" s="42"/>
      <c r="AF826" s="42" t="s">
        <v>734</v>
      </c>
      <c r="AG826" s="42"/>
      <c r="AH826" s="42" t="s">
        <v>734</v>
      </c>
      <c r="AI826" s="42" t="s">
        <v>734</v>
      </c>
      <c r="AJ826" s="42" t="s">
        <v>734</v>
      </c>
      <c r="AK826" s="42" t="s">
        <v>734</v>
      </c>
      <c r="AL826" s="42" t="s">
        <v>734</v>
      </c>
      <c r="AM826" s="42" t="s">
        <v>734</v>
      </c>
      <c r="AN826" s="42"/>
      <c r="AO826" s="42"/>
      <c r="AP826" s="42"/>
      <c r="AQ826" s="42"/>
      <c r="AR826" s="42"/>
      <c r="AS826" s="42"/>
      <c r="AT826" s="42"/>
      <c r="AU826" s="42"/>
      <c r="AV826" s="42"/>
      <c r="AW826" s="42"/>
      <c r="AY826" s="67">
        <f>1.9*14</f>
        <v>26.599999999999998</v>
      </c>
      <c r="BA826" s="37"/>
      <c r="BB826" s="37"/>
      <c r="BD826" s="67">
        <f t="shared" si="285"/>
        <v>0</v>
      </c>
      <c r="BE826" s="67">
        <f>AY826*K826</f>
        <v>6383.9999999999991</v>
      </c>
      <c r="BF826" s="37"/>
      <c r="BG826" s="73">
        <v>1</v>
      </c>
      <c r="BI826" s="67"/>
      <c r="BJ826" s="37"/>
      <c r="BK826" s="67">
        <f>IF(AND((AY826/I826)&lt;2,BG826=1),(I826*2)-AY826,0)</f>
        <v>1.4000000000000021</v>
      </c>
      <c r="BL826" s="67">
        <f>IF(AND((AY826/I826)&lt;3,BG826=2),(I826*3)-AY826,0)</f>
        <v>0</v>
      </c>
      <c r="BM826" s="70">
        <f>(BK826+BL826)*K826</f>
        <v>336.00000000000051</v>
      </c>
      <c r="BN826" s="37"/>
      <c r="BO826" s="70">
        <f t="shared" si="286"/>
        <v>0</v>
      </c>
      <c r="BP826" s="37">
        <v>17</v>
      </c>
      <c r="BQ826" s="37">
        <v>26</v>
      </c>
      <c r="BR826" s="37">
        <v>25</v>
      </c>
      <c r="BS826" s="37">
        <v>25</v>
      </c>
      <c r="BT826" s="87">
        <f t="shared" si="287"/>
        <v>28</v>
      </c>
      <c r="BU826" s="87"/>
      <c r="BV826" s="87"/>
      <c r="BW826" s="87"/>
      <c r="BX826" s="87"/>
      <c r="BY826" s="87"/>
      <c r="BZ826" s="87"/>
      <c r="CA826" s="87"/>
      <c r="CB826" s="87"/>
      <c r="CC826" s="87"/>
      <c r="CD826" s="87"/>
      <c r="CF826" s="67">
        <f t="shared" si="288"/>
        <v>476</v>
      </c>
      <c r="CG826" s="67">
        <f t="shared" si="270"/>
        <v>728</v>
      </c>
      <c r="CH826" s="67">
        <f t="shared" si="284"/>
        <v>700</v>
      </c>
      <c r="CI826" s="67">
        <f t="shared" si="275"/>
        <v>700</v>
      </c>
      <c r="CJ826" s="37">
        <f t="shared" si="271"/>
        <v>238</v>
      </c>
      <c r="CK826" s="37">
        <f t="shared" si="272"/>
        <v>364</v>
      </c>
      <c r="CL826" s="37">
        <f t="shared" si="273"/>
        <v>350</v>
      </c>
      <c r="CM826" s="37">
        <f t="shared" si="274"/>
        <v>350</v>
      </c>
    </row>
    <row r="827" spans="1:91" ht="45">
      <c r="B827" s="156">
        <v>811</v>
      </c>
      <c r="C827" s="169">
        <v>625</v>
      </c>
      <c r="D827" s="169">
        <v>701</v>
      </c>
      <c r="E827" s="170">
        <v>0.75069444444444444</v>
      </c>
      <c r="F827" s="170">
        <v>0.76388888888888884</v>
      </c>
      <c r="G827" s="171" t="s">
        <v>62</v>
      </c>
      <c r="H827" s="160" t="s">
        <v>479</v>
      </c>
      <c r="I827" s="169">
        <v>14</v>
      </c>
      <c r="J827" s="172">
        <v>19</v>
      </c>
      <c r="K827" s="165">
        <v>240</v>
      </c>
      <c r="L827" s="166">
        <f t="shared" si="283"/>
        <v>3360</v>
      </c>
      <c r="M827" s="167" t="s">
        <v>1227</v>
      </c>
      <c r="N827" s="154" t="s">
        <v>960</v>
      </c>
      <c r="O827" s="154">
        <v>24</v>
      </c>
      <c r="P827" s="154" t="s">
        <v>798</v>
      </c>
      <c r="Q827" s="154">
        <v>21</v>
      </c>
      <c r="R827" s="154" t="s">
        <v>961</v>
      </c>
      <c r="S827" s="151">
        <v>21</v>
      </c>
      <c r="T827" s="45">
        <v>6191</v>
      </c>
      <c r="U827" s="45" t="s">
        <v>1751</v>
      </c>
      <c r="V827" s="45">
        <v>6220</v>
      </c>
      <c r="W827" s="45" t="s">
        <v>1384</v>
      </c>
      <c r="X827" s="99">
        <v>44816</v>
      </c>
      <c r="Y827" s="99">
        <v>45100</v>
      </c>
      <c r="Z827" s="99"/>
      <c r="AA827" s="99"/>
      <c r="AB827" s="45" t="s">
        <v>1124</v>
      </c>
      <c r="AC827" s="45"/>
      <c r="AD827" s="42" t="s">
        <v>734</v>
      </c>
      <c r="AE827" s="42"/>
      <c r="AF827" s="42" t="s">
        <v>734</v>
      </c>
      <c r="AG827" s="42"/>
      <c r="AH827" s="42" t="s">
        <v>734</v>
      </c>
      <c r="AI827" s="42" t="s">
        <v>734</v>
      </c>
      <c r="AJ827" s="42" t="s">
        <v>734</v>
      </c>
      <c r="AK827" s="42" t="s">
        <v>734</v>
      </c>
      <c r="AL827" s="42" t="s">
        <v>734</v>
      </c>
      <c r="AM827" s="42" t="s">
        <v>734</v>
      </c>
      <c r="AN827" s="42"/>
      <c r="AO827" s="42"/>
      <c r="AP827" s="42"/>
      <c r="AQ827" s="42"/>
      <c r="AR827" s="42"/>
      <c r="AS827" s="42"/>
      <c r="AT827" s="42"/>
      <c r="AU827" s="42"/>
      <c r="AV827" s="42"/>
      <c r="AW827" s="42"/>
      <c r="AY827" s="67">
        <f>1.9*14</f>
        <v>26.599999999999998</v>
      </c>
      <c r="BA827" s="37"/>
      <c r="BB827" s="37"/>
      <c r="BD827" s="67">
        <f t="shared" si="285"/>
        <v>0</v>
      </c>
      <c r="BE827" s="67">
        <f>AY827*K827</f>
        <v>6383.9999999999991</v>
      </c>
      <c r="BF827" s="37"/>
      <c r="BG827" s="73">
        <v>1</v>
      </c>
      <c r="BI827" s="67"/>
      <c r="BJ827" s="37"/>
      <c r="BK827" s="67">
        <f>IF(AND((AY827/I827)&lt;2,BG827=1),(I827*2)-AY827,0)</f>
        <v>1.4000000000000021</v>
      </c>
      <c r="BL827" s="67">
        <f>IF(AND((AY827/I827)&lt;3,BG827=2),(I827*3)-AY827,0)</f>
        <v>0</v>
      </c>
      <c r="BM827" s="70">
        <f>(BK827+BL827)*K827</f>
        <v>336.00000000000051</v>
      </c>
      <c r="BN827" s="37"/>
      <c r="BO827" s="70">
        <f t="shared" si="286"/>
        <v>0</v>
      </c>
      <c r="BP827" s="37">
        <v>17</v>
      </c>
      <c r="BQ827" s="37">
        <v>26</v>
      </c>
      <c r="BR827" s="37">
        <v>25</v>
      </c>
      <c r="BS827" s="37">
        <v>25</v>
      </c>
      <c r="BT827" s="87">
        <f t="shared" si="287"/>
        <v>28</v>
      </c>
      <c r="BU827" s="87"/>
      <c r="BV827" s="87"/>
      <c r="BW827" s="87"/>
      <c r="BX827" s="87"/>
      <c r="BY827" s="87"/>
      <c r="BZ827" s="87"/>
      <c r="CA827" s="87"/>
      <c r="CB827" s="87"/>
      <c r="CC827" s="87"/>
      <c r="CD827" s="87"/>
      <c r="CF827" s="67">
        <f t="shared" si="288"/>
        <v>476</v>
      </c>
      <c r="CG827" s="67">
        <f t="shared" si="270"/>
        <v>728</v>
      </c>
      <c r="CH827" s="67">
        <f t="shared" si="284"/>
        <v>700</v>
      </c>
      <c r="CI827" s="67">
        <f t="shared" si="275"/>
        <v>700</v>
      </c>
      <c r="CJ827" s="37">
        <f t="shared" si="271"/>
        <v>238</v>
      </c>
      <c r="CK827" s="37">
        <f t="shared" si="272"/>
        <v>364</v>
      </c>
      <c r="CL827" s="37">
        <f t="shared" si="273"/>
        <v>350</v>
      </c>
      <c r="CM827" s="37">
        <f t="shared" si="274"/>
        <v>350</v>
      </c>
    </row>
    <row r="828" spans="1:91" s="66" customFormat="1" ht="45">
      <c r="A828" s="3"/>
      <c r="B828" s="156">
        <v>812</v>
      </c>
      <c r="C828" s="160">
        <v>627</v>
      </c>
      <c r="D828" s="160">
        <v>403</v>
      </c>
      <c r="E828" s="161">
        <v>0.25208333333333333</v>
      </c>
      <c r="F828" s="161">
        <v>0.27083333333333331</v>
      </c>
      <c r="G828" s="160" t="s">
        <v>656</v>
      </c>
      <c r="H828" s="160" t="s">
        <v>103</v>
      </c>
      <c r="I828" s="163">
        <v>12</v>
      </c>
      <c r="J828" s="164" t="s">
        <v>93</v>
      </c>
      <c r="K828" s="165">
        <v>174</v>
      </c>
      <c r="L828" s="166">
        <f t="shared" si="283"/>
        <v>2088</v>
      </c>
      <c r="M828" s="167" t="s">
        <v>782</v>
      </c>
      <c r="N828" s="168" t="s">
        <v>1056</v>
      </c>
      <c r="O828" s="168">
        <v>29</v>
      </c>
      <c r="P828" s="221" t="s">
        <v>1977</v>
      </c>
      <c r="Q828" s="221">
        <v>23</v>
      </c>
      <c r="R828" s="154" t="s">
        <v>1997</v>
      </c>
      <c r="S828" s="154" t="s">
        <v>1960</v>
      </c>
      <c r="T828" s="45" t="s">
        <v>1752</v>
      </c>
      <c r="U828" s="45" t="s">
        <v>1753</v>
      </c>
      <c r="V828" s="45">
        <v>6200</v>
      </c>
      <c r="W828" s="45" t="s">
        <v>1721</v>
      </c>
      <c r="X828" s="98">
        <v>44816</v>
      </c>
      <c r="Y828" s="98">
        <v>45086</v>
      </c>
      <c r="Z828" s="98"/>
      <c r="AA828" s="98"/>
      <c r="AB828" s="41" t="s">
        <v>1114</v>
      </c>
      <c r="AC828" s="41"/>
      <c r="AD828" s="42"/>
      <c r="AE828" s="42"/>
      <c r="AF828" s="42"/>
      <c r="AG828" s="42" t="s">
        <v>734</v>
      </c>
      <c r="AH828" s="42" t="s">
        <v>734</v>
      </c>
      <c r="AI828" s="42" t="s">
        <v>734</v>
      </c>
      <c r="AJ828" s="42" t="s">
        <v>734</v>
      </c>
      <c r="AK828" s="42" t="s">
        <v>734</v>
      </c>
      <c r="AL828" s="42" t="s">
        <v>734</v>
      </c>
      <c r="AM828" s="42"/>
      <c r="AN828" s="42"/>
      <c r="AO828" s="42"/>
      <c r="AP828" s="42"/>
      <c r="AQ828" s="42"/>
      <c r="AR828" s="42"/>
      <c r="AS828" s="42"/>
      <c r="AT828" s="42"/>
      <c r="AU828" s="42"/>
      <c r="AV828" s="42"/>
      <c r="AW828" s="42"/>
      <c r="AX828" s="68">
        <v>10</v>
      </c>
      <c r="AY828" s="95">
        <v>38</v>
      </c>
      <c r="AZ828" s="37"/>
      <c r="BA828" s="37"/>
      <c r="BB828" s="37"/>
      <c r="BC828" s="37"/>
      <c r="BD828" s="67">
        <f>AX828*K828</f>
        <v>1740</v>
      </c>
      <c r="BE828" s="67">
        <f>AY828*K828</f>
        <v>6612</v>
      </c>
      <c r="BF828" s="37"/>
      <c r="BG828" s="73">
        <v>1</v>
      </c>
      <c r="BH828" s="67">
        <f>IF(AND(((AX828+AY828)/I828)&lt;2,BG828=1),(I828*2)-(AX828+AY828),0)</f>
        <v>0</v>
      </c>
      <c r="BI828" s="67">
        <f>IF(AND((AX828/I828)&lt;3,BG828=2),(I828*3)-AX828,0)</f>
        <v>0</v>
      </c>
      <c r="BJ828" s="67">
        <f>(BH828+BI828)*K828</f>
        <v>0</v>
      </c>
      <c r="BN828" s="67">
        <f>IF((AX828+AY828+AZ828+BH828)&lt;20,(20-(AX828+AY828+AZ828)),0)</f>
        <v>0</v>
      </c>
      <c r="BO828" s="70">
        <f t="shared" si="286"/>
        <v>0</v>
      </c>
      <c r="BP828" s="37">
        <v>15</v>
      </c>
      <c r="BQ828" s="37">
        <v>20</v>
      </c>
      <c r="BR828" s="37">
        <v>21</v>
      </c>
      <c r="BS828" s="37">
        <v>15</v>
      </c>
      <c r="BT828" s="87">
        <f t="shared" si="287"/>
        <v>48</v>
      </c>
      <c r="BU828" s="87"/>
      <c r="BV828" s="87"/>
      <c r="BW828" s="87"/>
      <c r="BX828" s="87"/>
      <c r="BY828" s="87"/>
      <c r="BZ828" s="87"/>
      <c r="CA828" s="87"/>
      <c r="CB828" s="87"/>
      <c r="CC828" s="87"/>
      <c r="CD828" s="87"/>
      <c r="CF828" s="67">
        <f t="shared" si="288"/>
        <v>720</v>
      </c>
      <c r="CG828" s="67">
        <f t="shared" ref="CG828:CG891" si="289">(BT828*BQ828)+(BX828*CD828)</f>
        <v>960</v>
      </c>
      <c r="CH828" s="67">
        <f t="shared" si="284"/>
        <v>1008</v>
      </c>
      <c r="CI828" s="67">
        <f t="shared" si="275"/>
        <v>720</v>
      </c>
      <c r="CJ828" s="37">
        <f t="shared" si="271"/>
        <v>180</v>
      </c>
      <c r="CK828" s="37">
        <f t="shared" si="272"/>
        <v>240</v>
      </c>
      <c r="CL828" s="37">
        <f t="shared" si="273"/>
        <v>252</v>
      </c>
      <c r="CM828" s="37">
        <f t="shared" si="274"/>
        <v>180</v>
      </c>
    </row>
    <row r="829" spans="1:91" s="66" customFormat="1" ht="45">
      <c r="A829" s="3"/>
      <c r="B829" s="156">
        <v>813</v>
      </c>
      <c r="C829" s="169">
        <v>627</v>
      </c>
      <c r="D829" s="169">
        <v>403</v>
      </c>
      <c r="E829" s="176">
        <v>0.25347222222222221</v>
      </c>
      <c r="F829" s="176">
        <v>0.27083333333333331</v>
      </c>
      <c r="G829" s="171" t="s">
        <v>657</v>
      </c>
      <c r="H829" s="160" t="s">
        <v>534</v>
      </c>
      <c r="I829" s="169">
        <v>11</v>
      </c>
      <c r="J829" s="172">
        <v>19</v>
      </c>
      <c r="K829" s="165">
        <v>34</v>
      </c>
      <c r="L829" s="166">
        <f t="shared" si="283"/>
        <v>374</v>
      </c>
      <c r="M829" s="167" t="s">
        <v>782</v>
      </c>
      <c r="N829" s="168" t="s">
        <v>1056</v>
      </c>
      <c r="O829" s="168">
        <v>29</v>
      </c>
      <c r="P829" s="221" t="s">
        <v>1977</v>
      </c>
      <c r="Q829" s="221">
        <v>23</v>
      </c>
      <c r="R829" s="154" t="s">
        <v>1997</v>
      </c>
      <c r="S829" s="154" t="s">
        <v>1960</v>
      </c>
      <c r="T829" s="45">
        <v>6504</v>
      </c>
      <c r="U829" s="45" t="s">
        <v>1754</v>
      </c>
      <c r="V829" s="45">
        <v>6200</v>
      </c>
      <c r="W829" s="45" t="s">
        <v>1721</v>
      </c>
      <c r="X829" s="98">
        <v>44816</v>
      </c>
      <c r="Y829" s="98">
        <v>45086</v>
      </c>
      <c r="Z829" s="98"/>
      <c r="AA829" s="98"/>
      <c r="AB829" s="42" t="s">
        <v>1123</v>
      </c>
      <c r="AC829" s="42"/>
      <c r="AD829" s="42"/>
      <c r="AE829" s="42"/>
      <c r="AF829" s="42"/>
      <c r="AG829" s="42" t="s">
        <v>734</v>
      </c>
      <c r="AH829" s="42"/>
      <c r="AI829" s="42"/>
      <c r="AJ829" s="42"/>
      <c r="AK829" s="42"/>
      <c r="AL829" s="42"/>
      <c r="AM829" s="42" t="s">
        <v>734</v>
      </c>
      <c r="AN829" s="42"/>
      <c r="AO829" s="42"/>
      <c r="AP829" s="42"/>
      <c r="AQ829" s="42"/>
      <c r="AR829" s="42"/>
      <c r="AS829" s="42"/>
      <c r="AT829" s="42"/>
      <c r="AU829" s="42"/>
      <c r="AV829" s="42"/>
      <c r="AW829" s="42"/>
      <c r="AX829" s="67"/>
      <c r="AY829" s="95">
        <v>38</v>
      </c>
      <c r="AZ829" s="37"/>
      <c r="BA829" s="37"/>
      <c r="BB829" s="37"/>
      <c r="BC829" s="37"/>
      <c r="BD829" s="67">
        <f t="shared" si="285"/>
        <v>0</v>
      </c>
      <c r="BE829" s="67">
        <f>AY829*K829</f>
        <v>1292</v>
      </c>
      <c r="BF829" s="37"/>
      <c r="BG829" s="73">
        <v>1</v>
      </c>
      <c r="BI829" s="67"/>
      <c r="BK829" s="67">
        <f>IF(AND((AY829/I829)&lt;2,BG829=1),(I829*2)-AY829,0)</f>
        <v>0</v>
      </c>
      <c r="BL829" s="67">
        <f>IF(AND((AY829/I829)&lt;3,BG829=2),(I829*3)-AY829,0)</f>
        <v>0</v>
      </c>
      <c r="BM829" s="70">
        <f>(BK829+BL829)*K829</f>
        <v>0</v>
      </c>
      <c r="BN829" s="67">
        <f>IF((AX829+AY829+AZ829)&lt;20,(20-(AX829+AY829+AZ829)),0)</f>
        <v>0</v>
      </c>
      <c r="BO829" s="70">
        <f t="shared" si="286"/>
        <v>0</v>
      </c>
      <c r="BP829" s="37">
        <v>2</v>
      </c>
      <c r="BQ829" s="37">
        <v>5</v>
      </c>
      <c r="BR829" s="37">
        <v>4</v>
      </c>
      <c r="BS829" s="37">
        <v>3</v>
      </c>
      <c r="BT829" s="87">
        <f t="shared" si="287"/>
        <v>38</v>
      </c>
      <c r="BU829" s="87"/>
      <c r="BV829" s="87"/>
      <c r="BW829" s="87"/>
      <c r="BX829" s="87"/>
      <c r="BY829" s="87"/>
      <c r="BZ829" s="87"/>
      <c r="CA829" s="87"/>
      <c r="CB829" s="87"/>
      <c r="CC829" s="87"/>
      <c r="CD829" s="87"/>
      <c r="CF829" s="67">
        <f t="shared" si="288"/>
        <v>76</v>
      </c>
      <c r="CG829" s="67">
        <f t="shared" si="289"/>
        <v>190</v>
      </c>
      <c r="CH829" s="67">
        <f t="shared" si="284"/>
        <v>152</v>
      </c>
      <c r="CI829" s="67">
        <f t="shared" si="275"/>
        <v>114</v>
      </c>
      <c r="CJ829" s="37">
        <f t="shared" si="271"/>
        <v>22</v>
      </c>
      <c r="CK829" s="37">
        <f t="shared" si="272"/>
        <v>55</v>
      </c>
      <c r="CL829" s="37">
        <f t="shared" si="273"/>
        <v>44</v>
      </c>
      <c r="CM829" s="37">
        <f t="shared" si="274"/>
        <v>33</v>
      </c>
    </row>
    <row r="830" spans="1:91" s="66" customFormat="1" ht="25.5">
      <c r="A830" s="3"/>
      <c r="B830" s="156">
        <v>814</v>
      </c>
      <c r="C830" s="160">
        <v>627</v>
      </c>
      <c r="D830" s="160">
        <v>243</v>
      </c>
      <c r="E830" s="161">
        <v>0.28819444444444448</v>
      </c>
      <c r="F830" s="161">
        <v>0.30625000000000002</v>
      </c>
      <c r="G830" s="160" t="s">
        <v>113</v>
      </c>
      <c r="H830" s="160" t="s">
        <v>103</v>
      </c>
      <c r="I830" s="163">
        <v>13</v>
      </c>
      <c r="J830" s="164" t="s">
        <v>111</v>
      </c>
      <c r="K830" s="165">
        <v>174</v>
      </c>
      <c r="L830" s="166">
        <f t="shared" si="283"/>
        <v>2262</v>
      </c>
      <c r="M830" s="167" t="s">
        <v>783</v>
      </c>
      <c r="N830" s="150" t="s">
        <v>980</v>
      </c>
      <c r="O830" s="150">
        <v>51</v>
      </c>
      <c r="P830" s="154" t="s">
        <v>981</v>
      </c>
      <c r="Q830" s="154">
        <v>58</v>
      </c>
      <c r="R830" s="3"/>
      <c r="S830" s="150"/>
      <c r="T830" s="45">
        <v>6502</v>
      </c>
      <c r="U830" s="45" t="s">
        <v>1755</v>
      </c>
      <c r="V830" s="45" t="s">
        <v>1742</v>
      </c>
      <c r="W830" s="45" t="s">
        <v>1743</v>
      </c>
      <c r="X830" s="98">
        <v>44816</v>
      </c>
      <c r="Y830" s="98">
        <v>45086</v>
      </c>
      <c r="Z830" s="98"/>
      <c r="AA830" s="98"/>
      <c r="AB830" s="41" t="s">
        <v>1114</v>
      </c>
      <c r="AC830" s="41"/>
      <c r="AD830" s="42"/>
      <c r="AE830" s="42"/>
      <c r="AF830" s="42"/>
      <c r="AG830" s="42" t="s">
        <v>734</v>
      </c>
      <c r="AH830" s="42" t="s">
        <v>734</v>
      </c>
      <c r="AI830" s="42" t="s">
        <v>734</v>
      </c>
      <c r="AJ830" s="42" t="s">
        <v>734</v>
      </c>
      <c r="AK830" s="42" t="s">
        <v>734</v>
      </c>
      <c r="AL830" s="42" t="s">
        <v>734</v>
      </c>
      <c r="AM830" s="42"/>
      <c r="AN830" s="42"/>
      <c r="AO830" s="42"/>
      <c r="AP830" s="42"/>
      <c r="AQ830" s="42"/>
      <c r="AR830" s="42"/>
      <c r="AS830" s="42"/>
      <c r="AT830" s="42"/>
      <c r="AU830" s="42"/>
      <c r="AV830" s="42"/>
      <c r="AW830" s="42"/>
      <c r="AX830" s="68">
        <v>100</v>
      </c>
      <c r="AY830" s="68"/>
      <c r="AZ830" s="37"/>
      <c r="BA830" s="37"/>
      <c r="BB830" s="37"/>
      <c r="BC830" s="37"/>
      <c r="BD830" s="67">
        <f t="shared" si="285"/>
        <v>17400</v>
      </c>
      <c r="BE830" s="67"/>
      <c r="BF830" s="37"/>
      <c r="BG830" s="69">
        <v>2</v>
      </c>
      <c r="BH830" s="67">
        <f>IF(AND((AX830/I830)&lt;2,BG830=1),(I830*2)-AX830,0)</f>
        <v>0</v>
      </c>
      <c r="BI830" s="67">
        <f>IF(AND((AX830/I830)&lt;3,BG830=2),(I830*3)-AX830,0)</f>
        <v>0</v>
      </c>
      <c r="BJ830" s="70">
        <f>(BH830+BI830)*K830</f>
        <v>0</v>
      </c>
      <c r="BN830" s="67">
        <f>IF((AX830+AY830+AZ830)&lt;20,(20-(AX830+AY830+AZ830)),0)</f>
        <v>0</v>
      </c>
      <c r="BO830" s="70">
        <f t="shared" si="286"/>
        <v>0</v>
      </c>
      <c r="BP830" s="37">
        <v>15</v>
      </c>
      <c r="BQ830" s="37">
        <v>20</v>
      </c>
      <c r="BR830" s="37">
        <v>21</v>
      </c>
      <c r="BS830" s="37">
        <v>15</v>
      </c>
      <c r="BT830" s="87">
        <f t="shared" si="287"/>
        <v>100</v>
      </c>
      <c r="BU830" s="87"/>
      <c r="BV830" s="87"/>
      <c r="BW830" s="87"/>
      <c r="BX830" s="87"/>
      <c r="BY830" s="87"/>
      <c r="BZ830" s="87"/>
      <c r="CA830" s="87"/>
      <c r="CB830" s="87"/>
      <c r="CC830" s="87"/>
      <c r="CD830" s="87"/>
      <c r="CF830" s="67">
        <f t="shared" si="288"/>
        <v>1500</v>
      </c>
      <c r="CG830" s="67">
        <f t="shared" si="289"/>
        <v>2000</v>
      </c>
      <c r="CH830" s="67">
        <f t="shared" si="284"/>
        <v>2100</v>
      </c>
      <c r="CI830" s="67">
        <f t="shared" si="275"/>
        <v>1500</v>
      </c>
      <c r="CJ830" s="37">
        <f t="shared" si="271"/>
        <v>195</v>
      </c>
      <c r="CK830" s="37">
        <f t="shared" si="272"/>
        <v>260</v>
      </c>
      <c r="CL830" s="37">
        <f t="shared" si="273"/>
        <v>273</v>
      </c>
      <c r="CM830" s="37">
        <f t="shared" si="274"/>
        <v>195</v>
      </c>
    </row>
    <row r="831" spans="1:91" s="66" customFormat="1" ht="45">
      <c r="A831" s="3"/>
      <c r="B831" s="156">
        <v>815</v>
      </c>
      <c r="C831" s="160">
        <v>627</v>
      </c>
      <c r="D831" s="160">
        <v>778</v>
      </c>
      <c r="E831" s="161">
        <v>0.54999999999999993</v>
      </c>
      <c r="F831" s="161">
        <v>0.56736111111111109</v>
      </c>
      <c r="G831" s="160" t="s">
        <v>130</v>
      </c>
      <c r="H831" s="160" t="s">
        <v>649</v>
      </c>
      <c r="I831" s="163">
        <v>14</v>
      </c>
      <c r="J831" s="164" t="s">
        <v>127</v>
      </c>
      <c r="K831" s="165">
        <v>34</v>
      </c>
      <c r="L831" s="166">
        <f t="shared" si="283"/>
        <v>476</v>
      </c>
      <c r="M831" s="167" t="s">
        <v>1227</v>
      </c>
      <c r="N831" s="150" t="s">
        <v>964</v>
      </c>
      <c r="O831" s="150">
        <v>43</v>
      </c>
      <c r="P831" s="154" t="s">
        <v>1304</v>
      </c>
      <c r="Q831" s="154">
        <v>24</v>
      </c>
      <c r="R831" s="154" t="s">
        <v>1303</v>
      </c>
      <c r="S831" s="151">
        <v>55</v>
      </c>
      <c r="T831" s="45">
        <v>6200</v>
      </c>
      <c r="U831" s="45" t="s">
        <v>1721</v>
      </c>
      <c r="V831" s="45">
        <v>6504</v>
      </c>
      <c r="W831" s="45" t="s">
        <v>1754</v>
      </c>
      <c r="X831" s="98">
        <v>44816</v>
      </c>
      <c r="Y831" s="98">
        <v>45086</v>
      </c>
      <c r="Z831" s="98"/>
      <c r="AA831" s="98"/>
      <c r="AB831" s="45" t="s">
        <v>1123</v>
      </c>
      <c r="AC831" s="45"/>
      <c r="AD831" s="42"/>
      <c r="AE831" s="42"/>
      <c r="AF831" s="42"/>
      <c r="AG831" s="42" t="s">
        <v>734</v>
      </c>
      <c r="AH831" s="42"/>
      <c r="AI831" s="42"/>
      <c r="AJ831" s="42"/>
      <c r="AK831" s="42"/>
      <c r="AL831" s="42"/>
      <c r="AM831" s="42" t="s">
        <v>734</v>
      </c>
      <c r="AN831" s="42"/>
      <c r="AO831" s="42"/>
      <c r="AP831" s="42"/>
      <c r="AQ831" s="42"/>
      <c r="AR831" s="42"/>
      <c r="AS831" s="42"/>
      <c r="AT831" s="42"/>
      <c r="AU831" s="42"/>
      <c r="AV831" s="42"/>
      <c r="AW831" s="42"/>
      <c r="AX831" s="68">
        <v>25.2</v>
      </c>
      <c r="AY831" s="68"/>
      <c r="AZ831" s="37"/>
      <c r="BA831" s="37"/>
      <c r="BB831" s="37"/>
      <c r="BC831" s="37"/>
      <c r="BD831" s="67">
        <f t="shared" si="285"/>
        <v>856.8</v>
      </c>
      <c r="BE831" s="67"/>
      <c r="BF831" s="37"/>
      <c r="BG831" s="69">
        <v>2</v>
      </c>
      <c r="BH831" s="67">
        <f>IF(AND((AX831/I831)&lt;2,BG831=1),(I831*2)-AX831,0)</f>
        <v>0</v>
      </c>
      <c r="BI831" s="67">
        <f>IF(AND((AX831/I831)&lt;3,BG831=2),(I831*3)-AX831,0)</f>
        <v>16.8</v>
      </c>
      <c r="BJ831" s="70">
        <f>(BH831+BI831)*K831</f>
        <v>571.20000000000005</v>
      </c>
      <c r="BO831" s="70">
        <f t="shared" si="286"/>
        <v>0</v>
      </c>
      <c r="BP831" s="37">
        <v>2</v>
      </c>
      <c r="BQ831" s="37">
        <v>5</v>
      </c>
      <c r="BR831" s="37">
        <v>4</v>
      </c>
      <c r="BS831" s="37">
        <v>3</v>
      </c>
      <c r="BT831" s="87">
        <f t="shared" si="287"/>
        <v>42</v>
      </c>
      <c r="BU831" s="87"/>
      <c r="BV831" s="87"/>
      <c r="BW831" s="87"/>
      <c r="BX831" s="87"/>
      <c r="BY831" s="87"/>
      <c r="BZ831" s="87"/>
      <c r="CA831" s="87"/>
      <c r="CB831" s="87"/>
      <c r="CC831" s="87"/>
      <c r="CD831" s="87"/>
      <c r="CF831" s="67">
        <f t="shared" si="288"/>
        <v>84</v>
      </c>
      <c r="CG831" s="67">
        <f t="shared" si="289"/>
        <v>210</v>
      </c>
      <c r="CH831" s="67">
        <f t="shared" si="284"/>
        <v>168</v>
      </c>
      <c r="CI831" s="67">
        <f t="shared" si="275"/>
        <v>126</v>
      </c>
      <c r="CJ831" s="37">
        <f t="shared" si="271"/>
        <v>28</v>
      </c>
      <c r="CK831" s="37">
        <f t="shared" si="272"/>
        <v>70</v>
      </c>
      <c r="CL831" s="37">
        <f t="shared" si="273"/>
        <v>56</v>
      </c>
      <c r="CM831" s="37">
        <f t="shared" si="274"/>
        <v>42</v>
      </c>
    </row>
    <row r="832" spans="1:91" s="66" customFormat="1" ht="45">
      <c r="A832" s="3"/>
      <c r="B832" s="156">
        <v>816</v>
      </c>
      <c r="C832" s="160">
        <v>627</v>
      </c>
      <c r="D832" s="160">
        <v>778</v>
      </c>
      <c r="E832" s="161">
        <v>0.55902777777777779</v>
      </c>
      <c r="F832" s="161">
        <v>0.57638888888888895</v>
      </c>
      <c r="G832" s="160" t="s">
        <v>130</v>
      </c>
      <c r="H832" s="160" t="s">
        <v>103</v>
      </c>
      <c r="I832" s="163">
        <v>14</v>
      </c>
      <c r="J832" s="164" t="s">
        <v>127</v>
      </c>
      <c r="K832" s="165">
        <v>174</v>
      </c>
      <c r="L832" s="166">
        <f t="shared" si="283"/>
        <v>2436</v>
      </c>
      <c r="M832" s="167" t="s">
        <v>1227</v>
      </c>
      <c r="N832" s="150" t="s">
        <v>964</v>
      </c>
      <c r="O832" s="150">
        <v>43</v>
      </c>
      <c r="P832" s="154" t="s">
        <v>1302</v>
      </c>
      <c r="Q832" s="154">
        <v>54</v>
      </c>
      <c r="R832" s="154" t="s">
        <v>1303</v>
      </c>
      <c r="S832" s="151">
        <v>55</v>
      </c>
      <c r="T832" s="45">
        <v>6200</v>
      </c>
      <c r="U832" s="45" t="s">
        <v>1721</v>
      </c>
      <c r="V832" s="45">
        <v>6504</v>
      </c>
      <c r="W832" s="45" t="s">
        <v>1754</v>
      </c>
      <c r="X832" s="98">
        <v>44816</v>
      </c>
      <c r="Y832" s="98">
        <v>45086</v>
      </c>
      <c r="Z832" s="98"/>
      <c r="AA832" s="98"/>
      <c r="AB832" s="41" t="s">
        <v>1114</v>
      </c>
      <c r="AC832" s="41"/>
      <c r="AD832" s="42"/>
      <c r="AE832" s="42"/>
      <c r="AF832" s="42"/>
      <c r="AG832" s="42" t="s">
        <v>734</v>
      </c>
      <c r="AH832" s="42" t="s">
        <v>734</v>
      </c>
      <c r="AI832" s="42" t="s">
        <v>734</v>
      </c>
      <c r="AJ832" s="42" t="s">
        <v>734</v>
      </c>
      <c r="AK832" s="42" t="s">
        <v>734</v>
      </c>
      <c r="AL832" s="42" t="s">
        <v>734</v>
      </c>
      <c r="AM832" s="42"/>
      <c r="AN832" s="42"/>
      <c r="AO832" s="42"/>
      <c r="AP832" s="42"/>
      <c r="AQ832" s="42"/>
      <c r="AR832" s="42"/>
      <c r="AS832" s="42"/>
      <c r="AT832" s="42"/>
      <c r="AU832" s="42"/>
      <c r="AV832" s="42"/>
      <c r="AW832" s="42"/>
      <c r="AX832" s="68">
        <v>25.2</v>
      </c>
      <c r="AY832" s="68"/>
      <c r="AZ832" s="37"/>
      <c r="BA832" s="37"/>
      <c r="BB832" s="37"/>
      <c r="BC832" s="37"/>
      <c r="BD832" s="67">
        <f t="shared" si="285"/>
        <v>4384.8</v>
      </c>
      <c r="BE832" s="67"/>
      <c r="BF832" s="37"/>
      <c r="BG832" s="69">
        <v>2</v>
      </c>
      <c r="BH832" s="67">
        <f>IF(AND((AX832/I832)&lt;2,BG832=1),(I832*2)-AX832,0)</f>
        <v>0</v>
      </c>
      <c r="BI832" s="67">
        <f>IF(AND((AX832/I832)&lt;3,BG832=2),(I832*3)-AX832,0)</f>
        <v>16.8</v>
      </c>
      <c r="BJ832" s="70">
        <f>(BH832+BI832)*K832</f>
        <v>2923.2000000000003</v>
      </c>
      <c r="BO832" s="70">
        <f t="shared" si="286"/>
        <v>0</v>
      </c>
      <c r="BP832" s="37">
        <v>15</v>
      </c>
      <c r="BQ832" s="37">
        <v>20</v>
      </c>
      <c r="BR832" s="37">
        <v>21</v>
      </c>
      <c r="BS832" s="37">
        <v>15</v>
      </c>
      <c r="BT832" s="87">
        <f t="shared" si="287"/>
        <v>42</v>
      </c>
      <c r="BU832" s="87"/>
      <c r="BV832" s="87"/>
      <c r="BW832" s="87"/>
      <c r="BX832" s="87"/>
      <c r="BY832" s="87"/>
      <c r="BZ832" s="87"/>
      <c r="CA832" s="87"/>
      <c r="CB832" s="87"/>
      <c r="CC832" s="87"/>
      <c r="CD832" s="87"/>
      <c r="CF832" s="67">
        <f t="shared" si="288"/>
        <v>630</v>
      </c>
      <c r="CG832" s="67">
        <f t="shared" si="289"/>
        <v>840</v>
      </c>
      <c r="CH832" s="67">
        <f t="shared" si="284"/>
        <v>882</v>
      </c>
      <c r="CI832" s="67">
        <f t="shared" si="275"/>
        <v>630</v>
      </c>
      <c r="CJ832" s="37">
        <f t="shared" si="271"/>
        <v>210</v>
      </c>
      <c r="CK832" s="37">
        <f t="shared" si="272"/>
        <v>280</v>
      </c>
      <c r="CL832" s="37">
        <f t="shared" si="273"/>
        <v>294</v>
      </c>
      <c r="CM832" s="37">
        <f t="shared" si="274"/>
        <v>210</v>
      </c>
    </row>
    <row r="833" spans="1:91" s="66" customFormat="1" ht="45">
      <c r="A833" s="3"/>
      <c r="B833" s="156">
        <v>817</v>
      </c>
      <c r="C833" s="160">
        <v>627</v>
      </c>
      <c r="D833" s="160">
        <v>778</v>
      </c>
      <c r="E833" s="173">
        <v>0.57638888888888895</v>
      </c>
      <c r="F833" s="173">
        <v>0.57847222222222217</v>
      </c>
      <c r="G833" s="160" t="s">
        <v>484</v>
      </c>
      <c r="H833" s="160" t="s">
        <v>659</v>
      </c>
      <c r="I833" s="163">
        <v>1</v>
      </c>
      <c r="J833" s="164" t="s">
        <v>127</v>
      </c>
      <c r="K833" s="165">
        <f>34+36+36</f>
        <v>106</v>
      </c>
      <c r="L833" s="166">
        <f t="shared" si="283"/>
        <v>106</v>
      </c>
      <c r="M833" s="167" t="s">
        <v>1227</v>
      </c>
      <c r="N833" s="150" t="s">
        <v>964</v>
      </c>
      <c r="O833" s="150">
        <v>43</v>
      </c>
      <c r="P833" s="154" t="s">
        <v>1302</v>
      </c>
      <c r="Q833" s="154">
        <v>54</v>
      </c>
      <c r="R833" s="154" t="s">
        <v>1303</v>
      </c>
      <c r="S833" s="151">
        <v>55</v>
      </c>
      <c r="T833" s="45">
        <v>6504</v>
      </c>
      <c r="U833" s="45" t="s">
        <v>1754</v>
      </c>
      <c r="V833" s="45" t="s">
        <v>1752</v>
      </c>
      <c r="W833" s="45" t="s">
        <v>1753</v>
      </c>
      <c r="X833" s="98">
        <v>44816</v>
      </c>
      <c r="Y833" s="98">
        <v>45086</v>
      </c>
      <c r="Z833" s="98"/>
      <c r="AA833" s="98"/>
      <c r="AB833" s="43" t="s">
        <v>1167</v>
      </c>
      <c r="AC833" s="43"/>
      <c r="AD833" s="42"/>
      <c r="AE833" s="42"/>
      <c r="AF833" s="42"/>
      <c r="AG833" s="42" t="s">
        <v>734</v>
      </c>
      <c r="AH833" s="42"/>
      <c r="AI833" s="42" t="s">
        <v>734</v>
      </c>
      <c r="AJ833" s="42" t="s">
        <v>734</v>
      </c>
      <c r="AK833" s="42"/>
      <c r="AL833" s="42" t="s">
        <v>734</v>
      </c>
      <c r="AM833" s="42"/>
      <c r="AN833" s="42"/>
      <c r="AO833" s="42"/>
      <c r="AP833" s="42"/>
      <c r="AQ833" s="42"/>
      <c r="AR833" s="42"/>
      <c r="AS833" s="42"/>
      <c r="AT833" s="42"/>
      <c r="AU833" s="42"/>
      <c r="AV833" s="42"/>
      <c r="AW833" s="42"/>
      <c r="AX833" s="68">
        <v>3</v>
      </c>
      <c r="AY833" s="68"/>
      <c r="AZ833" s="37"/>
      <c r="BA833" s="37"/>
      <c r="BB833" s="37"/>
      <c r="BC833" s="37"/>
      <c r="BD833" s="67">
        <f t="shared" si="285"/>
        <v>318</v>
      </c>
      <c r="BE833" s="67"/>
      <c r="BF833" s="37"/>
      <c r="BG833" s="69">
        <v>2</v>
      </c>
      <c r="BH833" s="67">
        <f>IF(AND((AX833/I833)&lt;2,BG833=1),(I833*2)-AX833,0)</f>
        <v>0</v>
      </c>
      <c r="BI833" s="67">
        <f>IF(AND((AX833/I833)&lt;3,BG833=2),(I833*3)-AX833,0)</f>
        <v>0</v>
      </c>
      <c r="BJ833" s="70">
        <f>(BH833+BI833)*K833</f>
        <v>0</v>
      </c>
      <c r="BO833" s="70">
        <f t="shared" si="286"/>
        <v>0</v>
      </c>
      <c r="BP833" s="37">
        <v>9</v>
      </c>
      <c r="BQ833" s="37">
        <v>12</v>
      </c>
      <c r="BR833" s="37">
        <v>13</v>
      </c>
      <c r="BS833" s="66">
        <v>9</v>
      </c>
      <c r="BT833" s="87">
        <f t="shared" si="287"/>
        <v>3</v>
      </c>
      <c r="BU833" s="87"/>
      <c r="BV833" s="87"/>
      <c r="BW833" s="87"/>
      <c r="BX833" s="87"/>
      <c r="BY833" s="87"/>
      <c r="BZ833" s="87"/>
      <c r="CA833" s="87"/>
      <c r="CB833" s="87"/>
      <c r="CC833" s="87"/>
      <c r="CD833" s="87"/>
      <c r="CF833" s="67">
        <f t="shared" si="288"/>
        <v>27</v>
      </c>
      <c r="CG833" s="67">
        <f t="shared" si="289"/>
        <v>36</v>
      </c>
      <c r="CH833" s="67">
        <f t="shared" si="284"/>
        <v>39</v>
      </c>
      <c r="CI833" s="67">
        <f t="shared" si="275"/>
        <v>27</v>
      </c>
      <c r="CJ833" s="37">
        <f t="shared" si="271"/>
        <v>9</v>
      </c>
      <c r="CK833" s="37">
        <f t="shared" si="272"/>
        <v>12</v>
      </c>
      <c r="CL833" s="37">
        <f t="shared" si="273"/>
        <v>13</v>
      </c>
      <c r="CM833" s="37">
        <f t="shared" si="274"/>
        <v>9</v>
      </c>
    </row>
    <row r="834" spans="1:91" s="66" customFormat="1" ht="45">
      <c r="A834" s="3"/>
      <c r="B834" s="156">
        <v>818</v>
      </c>
      <c r="C834" s="160">
        <v>627</v>
      </c>
      <c r="D834" s="160">
        <v>916</v>
      </c>
      <c r="E834" s="161">
        <v>0.61805555555555558</v>
      </c>
      <c r="F834" s="161">
        <v>0.63055555555555554</v>
      </c>
      <c r="G834" s="160" t="s">
        <v>419</v>
      </c>
      <c r="H834" s="160" t="s">
        <v>103</v>
      </c>
      <c r="I834" s="163">
        <v>12</v>
      </c>
      <c r="J834" s="164" t="s">
        <v>188</v>
      </c>
      <c r="K834" s="165">
        <v>174</v>
      </c>
      <c r="L834" s="166">
        <f t="shared" si="283"/>
        <v>2088</v>
      </c>
      <c r="M834" s="167" t="s">
        <v>782</v>
      </c>
      <c r="N834" s="168" t="s">
        <v>1056</v>
      </c>
      <c r="O834" s="168">
        <v>29</v>
      </c>
      <c r="P834" s="221" t="s">
        <v>1977</v>
      </c>
      <c r="Q834" s="221">
        <v>23</v>
      </c>
      <c r="R834" s="154" t="s">
        <v>1990</v>
      </c>
      <c r="S834" s="154" t="s">
        <v>1959</v>
      </c>
      <c r="T834" s="45">
        <v>6200</v>
      </c>
      <c r="U834" s="45" t="s">
        <v>1721</v>
      </c>
      <c r="V834" s="45">
        <v>6504</v>
      </c>
      <c r="W834" s="45" t="s">
        <v>1754</v>
      </c>
      <c r="X834" s="98">
        <v>44816</v>
      </c>
      <c r="Y834" s="98">
        <v>45086</v>
      </c>
      <c r="Z834" s="98"/>
      <c r="AA834" s="98"/>
      <c r="AB834" s="41" t="s">
        <v>1114</v>
      </c>
      <c r="AC834" s="41"/>
      <c r="AD834" s="42"/>
      <c r="AE834" s="42"/>
      <c r="AF834" s="42"/>
      <c r="AG834" s="42" t="s">
        <v>734</v>
      </c>
      <c r="AH834" s="42" t="s">
        <v>734</v>
      </c>
      <c r="AI834" s="42" t="s">
        <v>734</v>
      </c>
      <c r="AJ834" s="42" t="s">
        <v>734</v>
      </c>
      <c r="AK834" s="42" t="s">
        <v>734</v>
      </c>
      <c r="AL834" s="42" t="s">
        <v>734</v>
      </c>
      <c r="AM834" s="42"/>
      <c r="AN834" s="42"/>
      <c r="AO834" s="42"/>
      <c r="AP834" s="42"/>
      <c r="AQ834" s="42"/>
      <c r="AR834" s="42"/>
      <c r="AS834" s="42"/>
      <c r="AT834" s="42"/>
      <c r="AU834" s="42"/>
      <c r="AV834" s="42"/>
      <c r="AW834" s="42"/>
      <c r="AX834" s="68">
        <v>21.6</v>
      </c>
      <c r="AY834" s="68"/>
      <c r="AZ834" s="37"/>
      <c r="BA834" s="37"/>
      <c r="BB834" s="37"/>
      <c r="BC834" s="37"/>
      <c r="BD834" s="67">
        <f>AX834*K834</f>
        <v>3758.4</v>
      </c>
      <c r="BE834" s="67"/>
      <c r="BF834" s="37"/>
      <c r="BG834" s="73">
        <v>1</v>
      </c>
      <c r="BH834" s="67">
        <f>IF(AND((AX834/I834)&lt;2,BG834=1),(I834*2)-AX834,0)</f>
        <v>2.3999999999999986</v>
      </c>
      <c r="BI834" s="67">
        <f>IF(AND((AX834/I834)&lt;3,BG834=2),(I834*3)-AX834,0)</f>
        <v>0</v>
      </c>
      <c r="BJ834" s="67">
        <f>(BH834+BI834)*K834</f>
        <v>417.59999999999974</v>
      </c>
      <c r="BN834" s="67">
        <f>IF((AX834+AY834+AZ834)&lt;20,(20-(AX834+AY834+AZ834)),0)</f>
        <v>0</v>
      </c>
      <c r="BO834" s="70">
        <f t="shared" si="286"/>
        <v>0</v>
      </c>
      <c r="BP834" s="37">
        <v>15</v>
      </c>
      <c r="BQ834" s="37">
        <v>20</v>
      </c>
      <c r="BR834" s="37">
        <v>21</v>
      </c>
      <c r="BS834" s="37">
        <v>15</v>
      </c>
      <c r="BT834" s="87">
        <f t="shared" si="287"/>
        <v>24</v>
      </c>
      <c r="BU834" s="87"/>
      <c r="BV834" s="87"/>
      <c r="BW834" s="87"/>
      <c r="BX834" s="87"/>
      <c r="BY834" s="87"/>
      <c r="BZ834" s="87"/>
      <c r="CA834" s="87"/>
      <c r="CB834" s="87"/>
      <c r="CC834" s="87"/>
      <c r="CD834" s="87"/>
      <c r="CF834" s="67">
        <f t="shared" si="288"/>
        <v>360</v>
      </c>
      <c r="CG834" s="67">
        <f t="shared" si="289"/>
        <v>480</v>
      </c>
      <c r="CH834" s="67">
        <f t="shared" si="284"/>
        <v>504</v>
      </c>
      <c r="CI834" s="67">
        <f t="shared" si="275"/>
        <v>360</v>
      </c>
      <c r="CJ834" s="37">
        <f t="shared" si="271"/>
        <v>180</v>
      </c>
      <c r="CK834" s="37">
        <f t="shared" si="272"/>
        <v>240</v>
      </c>
      <c r="CL834" s="37">
        <f t="shared" si="273"/>
        <v>252</v>
      </c>
      <c r="CM834" s="37">
        <f t="shared" si="274"/>
        <v>180</v>
      </c>
    </row>
    <row r="835" spans="1:91" s="66" customFormat="1" ht="25.5">
      <c r="A835" s="3"/>
      <c r="B835" s="156">
        <v>819</v>
      </c>
      <c r="C835" s="169">
        <v>627</v>
      </c>
      <c r="D835" s="169">
        <v>246</v>
      </c>
      <c r="E835" s="170">
        <v>0.71388888888888891</v>
      </c>
      <c r="F835" s="170">
        <v>0.7402777777777777</v>
      </c>
      <c r="G835" s="171" t="s">
        <v>655</v>
      </c>
      <c r="H835" s="160" t="s">
        <v>103</v>
      </c>
      <c r="I835" s="169">
        <v>14.5</v>
      </c>
      <c r="J835" s="172">
        <v>30</v>
      </c>
      <c r="K835" s="165">
        <v>174</v>
      </c>
      <c r="L835" s="166">
        <f t="shared" si="283"/>
        <v>2523</v>
      </c>
      <c r="M835" s="167" t="s">
        <v>779</v>
      </c>
      <c r="N835" s="154" t="s">
        <v>861</v>
      </c>
      <c r="O835" s="154">
        <v>57</v>
      </c>
      <c r="P835" s="211" t="s">
        <v>1291</v>
      </c>
      <c r="Q835" s="211" t="s">
        <v>1299</v>
      </c>
      <c r="R835" s="154" t="s">
        <v>1300</v>
      </c>
      <c r="S835" s="154">
        <v>31</v>
      </c>
      <c r="T835" s="45" t="s">
        <v>1742</v>
      </c>
      <c r="U835" s="45" t="s">
        <v>1743</v>
      </c>
      <c r="V835" s="45">
        <v>6504</v>
      </c>
      <c r="W835" s="45" t="s">
        <v>1754</v>
      </c>
      <c r="X835" s="98">
        <v>44816</v>
      </c>
      <c r="Y835" s="98">
        <v>45086</v>
      </c>
      <c r="Z835" s="98"/>
      <c r="AA835" s="98"/>
      <c r="AB835" s="41" t="s">
        <v>1114</v>
      </c>
      <c r="AC835" s="41"/>
      <c r="AD835" s="42"/>
      <c r="AE835" s="42"/>
      <c r="AF835" s="42"/>
      <c r="AG835" s="42" t="s">
        <v>734</v>
      </c>
      <c r="AH835" s="42" t="s">
        <v>734</v>
      </c>
      <c r="AI835" s="42" t="s">
        <v>734</v>
      </c>
      <c r="AJ835" s="42" t="s">
        <v>734</v>
      </c>
      <c r="AK835" s="42" t="s">
        <v>734</v>
      </c>
      <c r="AL835" s="42" t="s">
        <v>734</v>
      </c>
      <c r="AM835" s="42"/>
      <c r="AN835" s="42"/>
      <c r="AO835" s="42"/>
      <c r="AP835" s="42"/>
      <c r="AQ835" s="42"/>
      <c r="AR835" s="42"/>
      <c r="AS835" s="42"/>
      <c r="AT835" s="42"/>
      <c r="AU835" s="42"/>
      <c r="AV835" s="42"/>
      <c r="AW835" s="42"/>
      <c r="AX835" s="67"/>
      <c r="AY835" s="67">
        <f>2.2*13</f>
        <v>28.6</v>
      </c>
      <c r="AZ835" s="37"/>
      <c r="BA835" s="76"/>
      <c r="BB835" s="76"/>
      <c r="BC835" s="37"/>
      <c r="BD835" s="67">
        <f t="shared" si="285"/>
        <v>0</v>
      </c>
      <c r="BE835" s="67">
        <f>AY835*K835</f>
        <v>4976.4000000000005</v>
      </c>
      <c r="BF835" s="37"/>
      <c r="BG835" s="73">
        <v>1</v>
      </c>
      <c r="BI835" s="67"/>
      <c r="BK835" s="71"/>
      <c r="BL835" s="71"/>
      <c r="BM835" s="72"/>
      <c r="BO835" s="70">
        <f t="shared" si="286"/>
        <v>0</v>
      </c>
      <c r="BP835" s="37">
        <v>15</v>
      </c>
      <c r="BQ835" s="37">
        <v>20</v>
      </c>
      <c r="BR835" s="37">
        <v>21</v>
      </c>
      <c r="BS835" s="37">
        <v>15</v>
      </c>
      <c r="BT835" s="87">
        <f t="shared" si="287"/>
        <v>28.6</v>
      </c>
      <c r="BU835" s="87"/>
      <c r="BV835" s="87"/>
      <c r="BW835" s="87"/>
      <c r="BX835" s="87"/>
      <c r="BY835" s="87"/>
      <c r="BZ835" s="87"/>
      <c r="CA835" s="87"/>
      <c r="CB835" s="87"/>
      <c r="CC835" s="87"/>
      <c r="CD835" s="87"/>
      <c r="CF835" s="67">
        <f t="shared" si="288"/>
        <v>429</v>
      </c>
      <c r="CG835" s="67">
        <f t="shared" si="289"/>
        <v>572</v>
      </c>
      <c r="CH835" s="67">
        <f t="shared" si="284"/>
        <v>600.6</v>
      </c>
      <c r="CI835" s="67">
        <f t="shared" si="275"/>
        <v>429</v>
      </c>
      <c r="CJ835" s="37">
        <f t="shared" ref="CJ835:CJ898" si="290">BP835*I835</f>
        <v>217.5</v>
      </c>
      <c r="CK835" s="37">
        <f t="shared" ref="CK835:CK898" si="291">BQ835*I835</f>
        <v>290</v>
      </c>
      <c r="CL835" s="37">
        <f t="shared" ref="CL835:CL898" si="292">BR835*I835</f>
        <v>304.5</v>
      </c>
      <c r="CM835" s="37">
        <f t="shared" ref="CM835:CM898" si="293">BS835*I835</f>
        <v>217.5</v>
      </c>
    </row>
    <row r="836" spans="1:91" s="66" customFormat="1" ht="25.5">
      <c r="A836" s="3"/>
      <c r="B836" s="156">
        <v>820</v>
      </c>
      <c r="C836" s="169">
        <v>627</v>
      </c>
      <c r="D836" s="169">
        <v>247</v>
      </c>
      <c r="E836" s="170">
        <v>0.74097222222222225</v>
      </c>
      <c r="F836" s="170">
        <v>0.76041666666666663</v>
      </c>
      <c r="G836" s="171" t="s">
        <v>74</v>
      </c>
      <c r="H836" s="160" t="s">
        <v>103</v>
      </c>
      <c r="I836" s="169">
        <v>12</v>
      </c>
      <c r="J836" s="172">
        <v>30</v>
      </c>
      <c r="K836" s="165">
        <v>174</v>
      </c>
      <c r="L836" s="166">
        <f t="shared" si="283"/>
        <v>2088</v>
      </c>
      <c r="M836" s="167" t="s">
        <v>779</v>
      </c>
      <c r="N836" s="154" t="s">
        <v>861</v>
      </c>
      <c r="O836" s="154">
        <v>57</v>
      </c>
      <c r="P836" s="211" t="s">
        <v>1291</v>
      </c>
      <c r="Q836" s="211" t="s">
        <v>1299</v>
      </c>
      <c r="R836" s="154" t="s">
        <v>1300</v>
      </c>
      <c r="S836" s="154">
        <v>31</v>
      </c>
      <c r="T836" s="45">
        <v>6504</v>
      </c>
      <c r="U836" s="45" t="s">
        <v>1754</v>
      </c>
      <c r="V836" s="45">
        <v>6220</v>
      </c>
      <c r="W836" s="45" t="s">
        <v>1384</v>
      </c>
      <c r="X836" s="98">
        <v>44816</v>
      </c>
      <c r="Y836" s="98">
        <v>45086</v>
      </c>
      <c r="Z836" s="98"/>
      <c r="AA836" s="98"/>
      <c r="AB836" s="41" t="s">
        <v>1114</v>
      </c>
      <c r="AC836" s="41"/>
      <c r="AD836" s="42"/>
      <c r="AE836" s="42"/>
      <c r="AF836" s="42"/>
      <c r="AG836" s="42" t="s">
        <v>734</v>
      </c>
      <c r="AH836" s="42" t="s">
        <v>734</v>
      </c>
      <c r="AI836" s="42" t="s">
        <v>734</v>
      </c>
      <c r="AJ836" s="42" t="s">
        <v>734</v>
      </c>
      <c r="AK836" s="42" t="s">
        <v>734</v>
      </c>
      <c r="AL836" s="42" t="s">
        <v>734</v>
      </c>
      <c r="AM836" s="42"/>
      <c r="AN836" s="42"/>
      <c r="AO836" s="42"/>
      <c r="AP836" s="42"/>
      <c r="AQ836" s="42"/>
      <c r="AR836" s="42"/>
      <c r="AS836" s="42"/>
      <c r="AT836" s="42"/>
      <c r="AU836" s="42"/>
      <c r="AV836" s="42"/>
      <c r="AW836" s="42"/>
      <c r="AX836" s="67"/>
      <c r="AY836" s="67">
        <f>2.2*12</f>
        <v>26.400000000000002</v>
      </c>
      <c r="AZ836" s="37"/>
      <c r="BA836" s="76"/>
      <c r="BB836" s="76"/>
      <c r="BC836" s="37"/>
      <c r="BD836" s="67">
        <f t="shared" si="285"/>
        <v>0</v>
      </c>
      <c r="BE836" s="67">
        <f>AY836*K836</f>
        <v>4593.6000000000004</v>
      </c>
      <c r="BF836" s="37"/>
      <c r="BG836" s="73">
        <v>1</v>
      </c>
      <c r="BI836" s="67"/>
      <c r="BK836" s="67">
        <f>IF(AND((AY836/I836)&lt;2,BG836=1),(I836*2)-AY836,0)</f>
        <v>0</v>
      </c>
      <c r="BL836" s="67">
        <f>IF(AND((AY836/I836)&lt;3,BG836=2),(I836*3)-AY836,0)</f>
        <v>0</v>
      </c>
      <c r="BM836" s="70">
        <f>(BK836+BL836)*K836</f>
        <v>0</v>
      </c>
      <c r="BO836" s="70">
        <f t="shared" si="286"/>
        <v>0</v>
      </c>
      <c r="BP836" s="37">
        <v>15</v>
      </c>
      <c r="BQ836" s="37">
        <v>20</v>
      </c>
      <c r="BR836" s="37">
        <v>21</v>
      </c>
      <c r="BS836" s="37">
        <v>15</v>
      </c>
      <c r="BT836" s="87">
        <f t="shared" si="287"/>
        <v>26.400000000000002</v>
      </c>
      <c r="BU836" s="87"/>
      <c r="BV836" s="87"/>
      <c r="BW836" s="87"/>
      <c r="BX836" s="87"/>
      <c r="BY836" s="87"/>
      <c r="BZ836" s="87"/>
      <c r="CA836" s="87"/>
      <c r="CB836" s="87"/>
      <c r="CC836" s="87"/>
      <c r="CD836" s="87"/>
      <c r="CF836" s="67">
        <f t="shared" si="288"/>
        <v>396.00000000000006</v>
      </c>
      <c r="CG836" s="67">
        <f t="shared" si="289"/>
        <v>528</v>
      </c>
      <c r="CH836" s="67">
        <f t="shared" si="284"/>
        <v>554.40000000000009</v>
      </c>
      <c r="CI836" s="67">
        <f t="shared" ref="CI836:CI899" si="294">(BS836*BT836)+(CB836*CD836)</f>
        <v>396.00000000000006</v>
      </c>
      <c r="CJ836" s="37">
        <f t="shared" si="290"/>
        <v>180</v>
      </c>
      <c r="CK836" s="37">
        <f t="shared" si="291"/>
        <v>240</v>
      </c>
      <c r="CL836" s="37">
        <f t="shared" si="292"/>
        <v>252</v>
      </c>
      <c r="CM836" s="37">
        <f t="shared" si="293"/>
        <v>180</v>
      </c>
    </row>
    <row r="837" spans="1:91" s="66" customFormat="1" ht="25.5">
      <c r="A837" s="3"/>
      <c r="B837" s="156">
        <v>821</v>
      </c>
      <c r="C837" s="169">
        <v>627</v>
      </c>
      <c r="D837" s="169">
        <v>248</v>
      </c>
      <c r="E837" s="170">
        <v>0.77430555555555547</v>
      </c>
      <c r="F837" s="170">
        <v>0.7909722222222223</v>
      </c>
      <c r="G837" s="171" t="s">
        <v>658</v>
      </c>
      <c r="H837" s="160" t="s">
        <v>97</v>
      </c>
      <c r="I837" s="169">
        <v>11</v>
      </c>
      <c r="J837" s="172">
        <v>19</v>
      </c>
      <c r="K837" s="165">
        <v>208</v>
      </c>
      <c r="L837" s="166">
        <f t="shared" si="283"/>
        <v>2288</v>
      </c>
      <c r="M837" s="167" t="s">
        <v>780</v>
      </c>
      <c r="N837" s="150" t="s">
        <v>1076</v>
      </c>
      <c r="O837" s="150">
        <v>23</v>
      </c>
      <c r="P837" s="150" t="s">
        <v>879</v>
      </c>
      <c r="Q837" s="150">
        <v>21</v>
      </c>
      <c r="R837" s="168" t="s">
        <v>1305</v>
      </c>
      <c r="S837" s="175">
        <v>29</v>
      </c>
      <c r="T837" s="45">
        <v>6200</v>
      </c>
      <c r="U837" s="45" t="s">
        <v>1721</v>
      </c>
      <c r="V837" s="45">
        <v>6504</v>
      </c>
      <c r="W837" s="45" t="s">
        <v>1754</v>
      </c>
      <c r="X837" s="98">
        <v>44816</v>
      </c>
      <c r="Y837" s="98">
        <v>45086</v>
      </c>
      <c r="Z837" s="98"/>
      <c r="AA837" s="98"/>
      <c r="AB837" s="41" t="s">
        <v>1118</v>
      </c>
      <c r="AC837" s="41"/>
      <c r="AD837" s="42"/>
      <c r="AE837" s="42"/>
      <c r="AF837" s="42"/>
      <c r="AG837" s="42" t="s">
        <v>734</v>
      </c>
      <c r="AH837" s="42" t="s">
        <v>734</v>
      </c>
      <c r="AI837" s="42" t="s">
        <v>734</v>
      </c>
      <c r="AJ837" s="42" t="s">
        <v>734</v>
      </c>
      <c r="AK837" s="42" t="s">
        <v>734</v>
      </c>
      <c r="AL837" s="42" t="s">
        <v>734</v>
      </c>
      <c r="AM837" s="42" t="s">
        <v>734</v>
      </c>
      <c r="AN837" s="42"/>
      <c r="AO837" s="42"/>
      <c r="AP837" s="42"/>
      <c r="AQ837" s="42"/>
      <c r="AR837" s="42"/>
      <c r="AS837" s="42"/>
      <c r="AT837" s="42"/>
      <c r="AU837" s="42"/>
      <c r="AV837" s="42"/>
      <c r="AW837" s="42"/>
      <c r="AX837" s="67"/>
      <c r="AY837" s="67">
        <f>1.9*11</f>
        <v>20.9</v>
      </c>
      <c r="AZ837" s="37"/>
      <c r="BA837" s="37"/>
      <c r="BB837" s="37"/>
      <c r="BC837" s="37"/>
      <c r="BD837" s="67">
        <f t="shared" si="285"/>
        <v>0</v>
      </c>
      <c r="BE837" s="67">
        <f>AY837*K837</f>
        <v>4347.2</v>
      </c>
      <c r="BF837" s="37"/>
      <c r="BG837" s="73">
        <v>1</v>
      </c>
      <c r="BI837" s="67"/>
      <c r="BK837" s="67">
        <f>IF(AND((AY837/I837)&lt;2,BG837=1),(I837*2)-AY837,0)</f>
        <v>1.1000000000000014</v>
      </c>
      <c r="BL837" s="67">
        <f>IF(AND((AY837/I837)&lt;3,BG837=2),(I837*3)-AY837,0)</f>
        <v>0</v>
      </c>
      <c r="BM837" s="70">
        <f>(BK837+BL837)*K837</f>
        <v>228.8000000000003</v>
      </c>
      <c r="BO837" s="70">
        <f t="shared" si="286"/>
        <v>0</v>
      </c>
      <c r="BP837" s="37">
        <v>17</v>
      </c>
      <c r="BQ837" s="37">
        <v>25</v>
      </c>
      <c r="BR837" s="37">
        <v>25</v>
      </c>
      <c r="BS837" s="37">
        <v>18</v>
      </c>
      <c r="BT837" s="87">
        <f t="shared" si="287"/>
        <v>22</v>
      </c>
      <c r="BU837" s="87"/>
      <c r="BV837" s="87"/>
      <c r="BW837" s="87"/>
      <c r="BX837" s="87"/>
      <c r="BY837" s="87"/>
      <c r="BZ837" s="87"/>
      <c r="CA837" s="87"/>
      <c r="CB837" s="87"/>
      <c r="CC837" s="87"/>
      <c r="CD837" s="87"/>
      <c r="CF837" s="67">
        <f t="shared" si="288"/>
        <v>374</v>
      </c>
      <c r="CG837" s="67">
        <f t="shared" si="289"/>
        <v>550</v>
      </c>
      <c r="CH837" s="67">
        <f t="shared" si="284"/>
        <v>550</v>
      </c>
      <c r="CI837" s="67">
        <f t="shared" si="294"/>
        <v>396</v>
      </c>
      <c r="CJ837" s="37">
        <f t="shared" si="290"/>
        <v>187</v>
      </c>
      <c r="CK837" s="37">
        <f t="shared" si="291"/>
        <v>275</v>
      </c>
      <c r="CL837" s="37">
        <f t="shared" si="292"/>
        <v>275</v>
      </c>
      <c r="CM837" s="37">
        <f t="shared" si="293"/>
        <v>198</v>
      </c>
    </row>
    <row r="838" spans="1:91" s="66" customFormat="1" ht="25.5">
      <c r="A838" s="3"/>
      <c r="B838" s="156">
        <v>822</v>
      </c>
      <c r="C838" s="169">
        <v>627</v>
      </c>
      <c r="D838" s="169">
        <v>249</v>
      </c>
      <c r="E838" s="170">
        <v>0.79166666666666663</v>
      </c>
      <c r="F838" s="170">
        <v>0.80555555555555547</v>
      </c>
      <c r="G838" s="171" t="s">
        <v>73</v>
      </c>
      <c r="H838" s="160" t="s">
        <v>97</v>
      </c>
      <c r="I838" s="169">
        <v>7</v>
      </c>
      <c r="J838" s="172">
        <v>19</v>
      </c>
      <c r="K838" s="165">
        <v>208</v>
      </c>
      <c r="L838" s="166">
        <f t="shared" si="283"/>
        <v>1456</v>
      </c>
      <c r="M838" s="167" t="s">
        <v>780</v>
      </c>
      <c r="N838" s="150" t="s">
        <v>1076</v>
      </c>
      <c r="O838" s="150">
        <v>23</v>
      </c>
      <c r="P838" s="150" t="s">
        <v>879</v>
      </c>
      <c r="Q838" s="150">
        <v>21</v>
      </c>
      <c r="R838" s="168" t="s">
        <v>1305</v>
      </c>
      <c r="S838" s="175">
        <v>29</v>
      </c>
      <c r="T838" s="45">
        <v>6504</v>
      </c>
      <c r="U838" s="45" t="s">
        <v>1754</v>
      </c>
      <c r="V838" s="45">
        <v>6200</v>
      </c>
      <c r="W838" s="45" t="s">
        <v>1721</v>
      </c>
      <c r="X838" s="98">
        <v>44816</v>
      </c>
      <c r="Y838" s="98">
        <v>45086</v>
      </c>
      <c r="Z838" s="98"/>
      <c r="AA838" s="98"/>
      <c r="AB838" s="41" t="s">
        <v>1118</v>
      </c>
      <c r="AC838" s="41"/>
      <c r="AD838" s="42"/>
      <c r="AE838" s="42"/>
      <c r="AF838" s="42"/>
      <c r="AG838" s="42" t="s">
        <v>734</v>
      </c>
      <c r="AH838" s="42" t="s">
        <v>734</v>
      </c>
      <c r="AI838" s="42" t="s">
        <v>734</v>
      </c>
      <c r="AJ838" s="42" t="s">
        <v>734</v>
      </c>
      <c r="AK838" s="42" t="s">
        <v>734</v>
      </c>
      <c r="AL838" s="42" t="s">
        <v>734</v>
      </c>
      <c r="AM838" s="42" t="s">
        <v>734</v>
      </c>
      <c r="AN838" s="42"/>
      <c r="AO838" s="42"/>
      <c r="AP838" s="42"/>
      <c r="AQ838" s="42"/>
      <c r="AR838" s="42"/>
      <c r="AS838" s="42"/>
      <c r="AT838" s="42"/>
      <c r="AU838" s="42"/>
      <c r="AV838" s="42"/>
      <c r="AW838" s="42"/>
      <c r="AX838" s="67"/>
      <c r="AY838" s="67">
        <f>1.9*7</f>
        <v>13.299999999999999</v>
      </c>
      <c r="AZ838" s="37"/>
      <c r="BA838" s="37"/>
      <c r="BB838" s="37"/>
      <c r="BC838" s="37"/>
      <c r="BD838" s="67">
        <f t="shared" si="285"/>
        <v>0</v>
      </c>
      <c r="BE838" s="67">
        <f>AY838*K838</f>
        <v>2766.3999999999996</v>
      </c>
      <c r="BF838" s="37"/>
      <c r="BG838" s="73">
        <v>1</v>
      </c>
      <c r="BI838" s="67"/>
      <c r="BK838" s="67">
        <f>IF(AND((AY838/I838)&lt;2,BG838=1),(I838*2)-AY838,0)</f>
        <v>0.70000000000000107</v>
      </c>
      <c r="BL838" s="67">
        <f>IF(AND((AY838/I838)&lt;3,BG838=2),(I838*3)-AY838,0)</f>
        <v>0</v>
      </c>
      <c r="BM838" s="70">
        <f>(BK838+BL838)*K838</f>
        <v>145.60000000000022</v>
      </c>
      <c r="BO838" s="70">
        <f t="shared" si="286"/>
        <v>0</v>
      </c>
      <c r="BP838" s="37">
        <v>17</v>
      </c>
      <c r="BQ838" s="37">
        <v>25</v>
      </c>
      <c r="BR838" s="37">
        <v>25</v>
      </c>
      <c r="BS838" s="37">
        <v>18</v>
      </c>
      <c r="BT838" s="87">
        <f t="shared" si="287"/>
        <v>14</v>
      </c>
      <c r="BU838" s="87"/>
      <c r="BV838" s="87"/>
      <c r="BW838" s="87"/>
      <c r="BX838" s="87"/>
      <c r="BY838" s="87"/>
      <c r="BZ838" s="87"/>
      <c r="CA838" s="87"/>
      <c r="CB838" s="87"/>
      <c r="CC838" s="87"/>
      <c r="CD838" s="87"/>
      <c r="CF838" s="67">
        <f t="shared" si="288"/>
        <v>238</v>
      </c>
      <c r="CG838" s="67">
        <f t="shared" si="289"/>
        <v>350</v>
      </c>
      <c r="CH838" s="67">
        <f t="shared" si="284"/>
        <v>350</v>
      </c>
      <c r="CI838" s="67">
        <f t="shared" si="294"/>
        <v>252</v>
      </c>
      <c r="CJ838" s="37">
        <f t="shared" si="290"/>
        <v>119</v>
      </c>
      <c r="CK838" s="37">
        <f t="shared" si="291"/>
        <v>175</v>
      </c>
      <c r="CL838" s="37">
        <f t="shared" si="292"/>
        <v>175</v>
      </c>
      <c r="CM838" s="37">
        <f t="shared" si="293"/>
        <v>126</v>
      </c>
    </row>
    <row r="839" spans="1:91" s="66" customFormat="1" ht="25.5">
      <c r="A839" s="3"/>
      <c r="B839" s="156">
        <v>823</v>
      </c>
      <c r="C839" s="160">
        <v>630</v>
      </c>
      <c r="D839" s="160">
        <v>121</v>
      </c>
      <c r="E839" s="173">
        <v>0.65625</v>
      </c>
      <c r="F839" s="173">
        <v>0.68472222222222223</v>
      </c>
      <c r="G839" s="160" t="s">
        <v>497</v>
      </c>
      <c r="H839" s="160" t="s">
        <v>538</v>
      </c>
      <c r="I839" s="163">
        <v>23</v>
      </c>
      <c r="J839" s="164" t="s">
        <v>93</v>
      </c>
      <c r="K839" s="165">
        <v>36</v>
      </c>
      <c r="L839" s="166">
        <f t="shared" si="283"/>
        <v>828</v>
      </c>
      <c r="M839" s="167" t="s">
        <v>780</v>
      </c>
      <c r="N839" s="154" t="s">
        <v>796</v>
      </c>
      <c r="O839" s="154">
        <v>21</v>
      </c>
      <c r="P839" s="154" t="s">
        <v>879</v>
      </c>
      <c r="Q839" s="154">
        <v>21</v>
      </c>
      <c r="R839" s="213"/>
      <c r="S839" s="154"/>
      <c r="T839" s="45" t="s">
        <v>1756</v>
      </c>
      <c r="U839" s="45" t="s">
        <v>1757</v>
      </c>
      <c r="V839" s="45">
        <v>6220</v>
      </c>
      <c r="W839" s="45" t="s">
        <v>1384</v>
      </c>
      <c r="X839" s="98">
        <v>44816</v>
      </c>
      <c r="Y839" s="98">
        <v>45086</v>
      </c>
      <c r="Z839" s="98"/>
      <c r="AA839" s="98"/>
      <c r="AB839" s="42" t="s">
        <v>1133</v>
      </c>
      <c r="AC839" s="42"/>
      <c r="AD839" s="36"/>
      <c r="AE839" s="36"/>
      <c r="AF839" s="36"/>
      <c r="AG839" s="42" t="s">
        <v>734</v>
      </c>
      <c r="AH839" s="42"/>
      <c r="AI839" s="42"/>
      <c r="AJ839" s="42"/>
      <c r="AK839" s="42"/>
      <c r="AL839" s="42" t="s">
        <v>734</v>
      </c>
      <c r="AM839" s="36"/>
      <c r="AN839" s="36"/>
      <c r="AO839" s="36"/>
      <c r="AP839" s="36"/>
      <c r="AQ839" s="36"/>
      <c r="AR839" s="36"/>
      <c r="AS839" s="36"/>
      <c r="AT839" s="36"/>
      <c r="AU839" s="36"/>
      <c r="AV839" s="36"/>
      <c r="AW839" s="36"/>
      <c r="AX839" s="68">
        <v>69</v>
      </c>
      <c r="AY839" s="68"/>
      <c r="BD839" s="67">
        <f t="shared" si="285"/>
        <v>2484</v>
      </c>
      <c r="BE839" s="67"/>
      <c r="BG839" s="73">
        <v>1</v>
      </c>
      <c r="BH839" s="67">
        <f>IF(AND((AX839/I839)&lt;2,BG839=1),(I839*2)-AX839,0)</f>
        <v>0</v>
      </c>
      <c r="BI839" s="67">
        <f>IF(AND((AX839/I839)&lt;3,BG839=2),(I839*3)-AX839,0)</f>
        <v>0</v>
      </c>
      <c r="BJ839" s="70">
        <f>(BH839+BI839)*K839</f>
        <v>0</v>
      </c>
      <c r="BO839" s="70">
        <f t="shared" si="286"/>
        <v>0</v>
      </c>
      <c r="BP839" s="37">
        <v>3</v>
      </c>
      <c r="BQ839" s="37">
        <v>4</v>
      </c>
      <c r="BR839" s="37">
        <v>4</v>
      </c>
      <c r="BS839" s="37">
        <v>4</v>
      </c>
      <c r="BT839" s="87">
        <f t="shared" si="287"/>
        <v>69</v>
      </c>
      <c r="BU839" s="87"/>
      <c r="BV839" s="87"/>
      <c r="BW839" s="87"/>
      <c r="BX839" s="87"/>
      <c r="BY839" s="87"/>
      <c r="BZ839" s="87"/>
      <c r="CA839" s="87"/>
      <c r="CB839" s="87"/>
      <c r="CC839" s="87"/>
      <c r="CD839" s="87"/>
      <c r="CF839" s="67">
        <f t="shared" si="288"/>
        <v>207</v>
      </c>
      <c r="CG839" s="67">
        <f t="shared" si="289"/>
        <v>276</v>
      </c>
      <c r="CH839" s="67">
        <f t="shared" si="284"/>
        <v>276</v>
      </c>
      <c r="CI839" s="67">
        <f t="shared" si="294"/>
        <v>276</v>
      </c>
      <c r="CJ839" s="37">
        <f t="shared" si="290"/>
        <v>69</v>
      </c>
      <c r="CK839" s="37">
        <f t="shared" si="291"/>
        <v>92</v>
      </c>
      <c r="CL839" s="37">
        <f t="shared" si="292"/>
        <v>92</v>
      </c>
      <c r="CM839" s="37">
        <f t="shared" si="293"/>
        <v>92</v>
      </c>
    </row>
    <row r="840" spans="1:91" s="66" customFormat="1" ht="25.5">
      <c r="A840" s="3"/>
      <c r="B840" s="156">
        <v>824</v>
      </c>
      <c r="C840" s="169">
        <v>630</v>
      </c>
      <c r="D840" s="169">
        <v>117</v>
      </c>
      <c r="E840" s="170">
        <v>0.72222222222222221</v>
      </c>
      <c r="F840" s="170">
        <v>0.74583333333333324</v>
      </c>
      <c r="G840" s="171" t="s">
        <v>72</v>
      </c>
      <c r="H840" s="160" t="s">
        <v>479</v>
      </c>
      <c r="I840" s="169">
        <v>17</v>
      </c>
      <c r="J840" s="172">
        <v>19</v>
      </c>
      <c r="K840" s="165">
        <v>240</v>
      </c>
      <c r="L840" s="166">
        <f t="shared" si="283"/>
        <v>4080</v>
      </c>
      <c r="M840" s="167" t="s">
        <v>780</v>
      </c>
      <c r="N840" s="154" t="s">
        <v>879</v>
      </c>
      <c r="O840" s="154">
        <v>21</v>
      </c>
      <c r="P840" s="168" t="s">
        <v>1305</v>
      </c>
      <c r="Q840" s="168">
        <v>29</v>
      </c>
      <c r="R840" s="213"/>
      <c r="S840" s="154"/>
      <c r="T840" s="45" t="s">
        <v>1756</v>
      </c>
      <c r="U840" s="45" t="s">
        <v>1757</v>
      </c>
      <c r="V840" s="45">
        <v>6200</v>
      </c>
      <c r="W840" s="45" t="s">
        <v>1721</v>
      </c>
      <c r="X840" s="99">
        <v>44816</v>
      </c>
      <c r="Y840" s="99">
        <v>45100</v>
      </c>
      <c r="Z840" s="99"/>
      <c r="AA840" s="99"/>
      <c r="AB840" s="45" t="s">
        <v>1124</v>
      </c>
      <c r="AC840" s="45"/>
      <c r="AD840" s="42" t="s">
        <v>734</v>
      </c>
      <c r="AE840" s="42"/>
      <c r="AF840" s="42" t="s">
        <v>734</v>
      </c>
      <c r="AG840" s="42"/>
      <c r="AH840" s="42" t="s">
        <v>734</v>
      </c>
      <c r="AI840" s="42" t="s">
        <v>734</v>
      </c>
      <c r="AJ840" s="42" t="s">
        <v>734</v>
      </c>
      <c r="AK840" s="42" t="s">
        <v>734</v>
      </c>
      <c r="AL840" s="42" t="s">
        <v>734</v>
      </c>
      <c r="AM840" s="42" t="s">
        <v>734</v>
      </c>
      <c r="AN840" s="36"/>
      <c r="AO840" s="36"/>
      <c r="AP840" s="36"/>
      <c r="AQ840" s="36"/>
      <c r="AR840" s="42"/>
      <c r="AS840" s="42"/>
      <c r="AT840" s="42"/>
      <c r="AU840" s="42"/>
      <c r="AV840" s="42"/>
      <c r="AW840" s="42"/>
      <c r="AX840" s="67"/>
      <c r="AY840" s="67">
        <f>1.9*17</f>
        <v>32.299999999999997</v>
      </c>
      <c r="BD840" s="67">
        <f t="shared" si="285"/>
        <v>0</v>
      </c>
      <c r="BE840" s="67">
        <f>AY840*K840</f>
        <v>7751.9999999999991</v>
      </c>
      <c r="BG840" s="73">
        <v>1</v>
      </c>
      <c r="BI840" s="67"/>
      <c r="BK840" s="67">
        <f>IF(AND((AY840/I840)&lt;2,BG840=1),(I840*2)-AY840,0)</f>
        <v>1.7000000000000028</v>
      </c>
      <c r="BL840" s="67">
        <f>IF(AND((AY840/I840)&lt;3,BG840=2),(I840*3)-AY840,0)</f>
        <v>0</v>
      </c>
      <c r="BM840" s="70">
        <f>(BK840+BL840)*K840</f>
        <v>408.00000000000068</v>
      </c>
      <c r="BO840" s="70">
        <f t="shared" si="286"/>
        <v>0</v>
      </c>
      <c r="BP840" s="37">
        <v>17</v>
      </c>
      <c r="BQ840" s="37">
        <v>26</v>
      </c>
      <c r="BR840" s="37">
        <v>25</v>
      </c>
      <c r="BS840" s="37">
        <v>25</v>
      </c>
      <c r="BT840" s="87">
        <f t="shared" si="287"/>
        <v>34</v>
      </c>
      <c r="BU840" s="87"/>
      <c r="BV840" s="87"/>
      <c r="BW840" s="87"/>
      <c r="BX840" s="87"/>
      <c r="BY840" s="87"/>
      <c r="BZ840" s="87"/>
      <c r="CA840" s="87"/>
      <c r="CB840" s="87"/>
      <c r="CC840" s="87"/>
      <c r="CD840" s="87"/>
      <c r="CF840" s="67">
        <f t="shared" si="288"/>
        <v>578</v>
      </c>
      <c r="CG840" s="67">
        <f t="shared" si="289"/>
        <v>884</v>
      </c>
      <c r="CH840" s="67">
        <f t="shared" si="284"/>
        <v>850</v>
      </c>
      <c r="CI840" s="67">
        <f t="shared" si="294"/>
        <v>850</v>
      </c>
      <c r="CJ840" s="37">
        <f t="shared" si="290"/>
        <v>289</v>
      </c>
      <c r="CK840" s="37">
        <f t="shared" si="291"/>
        <v>442</v>
      </c>
      <c r="CL840" s="37">
        <f t="shared" si="292"/>
        <v>425</v>
      </c>
      <c r="CM840" s="37">
        <f t="shared" si="293"/>
        <v>425</v>
      </c>
    </row>
    <row r="841" spans="1:91" s="66" customFormat="1" ht="45">
      <c r="A841" s="152"/>
      <c r="B841" s="156">
        <v>825</v>
      </c>
      <c r="C841" s="160">
        <v>630</v>
      </c>
      <c r="D841" s="160">
        <v>578</v>
      </c>
      <c r="E841" s="161">
        <v>0.73749999999999993</v>
      </c>
      <c r="F841" s="161">
        <v>0.76666666666666661</v>
      </c>
      <c r="G841" s="160" t="s">
        <v>661</v>
      </c>
      <c r="H841" s="160" t="s">
        <v>103</v>
      </c>
      <c r="I841" s="163">
        <v>25.5</v>
      </c>
      <c r="J841" s="164" t="s">
        <v>127</v>
      </c>
      <c r="K841" s="165">
        <v>174</v>
      </c>
      <c r="L841" s="166">
        <f t="shared" si="283"/>
        <v>4437</v>
      </c>
      <c r="M841" s="167" t="s">
        <v>1227</v>
      </c>
      <c r="N841" s="154" t="s">
        <v>963</v>
      </c>
      <c r="O841" s="154">
        <v>43</v>
      </c>
      <c r="P841" s="154" t="s">
        <v>1302</v>
      </c>
      <c r="Q841" s="154">
        <v>54</v>
      </c>
      <c r="R841" s="154" t="s">
        <v>1303</v>
      </c>
      <c r="S841" s="151">
        <v>55</v>
      </c>
      <c r="T841" s="45">
        <v>6200</v>
      </c>
      <c r="U841" s="45" t="s">
        <v>1721</v>
      </c>
      <c r="V841" s="45" t="s">
        <v>1756</v>
      </c>
      <c r="W841" s="45" t="s">
        <v>1757</v>
      </c>
      <c r="X841" s="98">
        <v>44816</v>
      </c>
      <c r="Y841" s="98">
        <v>45086</v>
      </c>
      <c r="Z841" s="98"/>
      <c r="AA841" s="98"/>
      <c r="AB841" s="41" t="s">
        <v>1114</v>
      </c>
      <c r="AC841" s="41"/>
      <c r="AD841" s="36"/>
      <c r="AE841" s="36"/>
      <c r="AF841" s="36"/>
      <c r="AG841" s="42" t="s">
        <v>734</v>
      </c>
      <c r="AH841" s="42" t="s">
        <v>734</v>
      </c>
      <c r="AI841" s="42" t="s">
        <v>734</v>
      </c>
      <c r="AJ841" s="42" t="s">
        <v>734</v>
      </c>
      <c r="AK841" s="42" t="s">
        <v>734</v>
      </c>
      <c r="AL841" s="42" t="s">
        <v>734</v>
      </c>
      <c r="AM841" s="36"/>
      <c r="AN841" s="36"/>
      <c r="AO841" s="36"/>
      <c r="AP841" s="36"/>
      <c r="AQ841" s="36"/>
      <c r="AR841" s="42"/>
      <c r="AS841" s="42"/>
      <c r="AT841" s="42"/>
      <c r="AU841" s="42"/>
      <c r="AV841" s="42"/>
      <c r="AW841" s="36"/>
      <c r="AX841" s="68">
        <f>68.64+13.5</f>
        <v>82.14</v>
      </c>
      <c r="AY841" s="68"/>
      <c r="BD841" s="67">
        <f t="shared" si="285"/>
        <v>14292.36</v>
      </c>
      <c r="BE841" s="67"/>
      <c r="BG841" s="69">
        <v>2</v>
      </c>
      <c r="BH841" s="67">
        <f>IF(AND((AX841/I841)&lt;2,BG841=1),(I841*2)-AX841,0)</f>
        <v>0</v>
      </c>
      <c r="BI841" s="67">
        <f>IF(AND((AX841/I841)&lt;3,BG841=2),(I841*3)-AX841,0)</f>
        <v>0</v>
      </c>
      <c r="BJ841" s="70">
        <f>(BH841+BI841)*K841</f>
        <v>0</v>
      </c>
      <c r="BO841" s="70">
        <f t="shared" si="286"/>
        <v>0</v>
      </c>
      <c r="BP841" s="37">
        <v>15</v>
      </c>
      <c r="BQ841" s="37">
        <v>20</v>
      </c>
      <c r="BR841" s="37">
        <v>21</v>
      </c>
      <c r="BS841" s="37">
        <v>15</v>
      </c>
      <c r="BT841" s="87">
        <f t="shared" si="287"/>
        <v>82.14</v>
      </c>
      <c r="BU841" s="87"/>
      <c r="BV841" s="87"/>
      <c r="BW841" s="87"/>
      <c r="BX841" s="87"/>
      <c r="BY841" s="87"/>
      <c r="BZ841" s="87"/>
      <c r="CA841" s="87"/>
      <c r="CB841" s="87"/>
      <c r="CC841" s="87"/>
      <c r="CD841" s="87"/>
      <c r="CF841" s="67">
        <f t="shared" si="288"/>
        <v>1232.0999999999999</v>
      </c>
      <c r="CG841" s="67">
        <f t="shared" si="289"/>
        <v>1642.8</v>
      </c>
      <c r="CH841" s="67">
        <f t="shared" si="284"/>
        <v>1724.94</v>
      </c>
      <c r="CI841" s="67">
        <f t="shared" si="294"/>
        <v>1232.0999999999999</v>
      </c>
      <c r="CJ841" s="37">
        <f t="shared" si="290"/>
        <v>382.5</v>
      </c>
      <c r="CK841" s="37">
        <f t="shared" si="291"/>
        <v>510</v>
      </c>
      <c r="CL841" s="37">
        <f t="shared" si="292"/>
        <v>535.5</v>
      </c>
      <c r="CM841" s="37">
        <f t="shared" si="293"/>
        <v>382.5</v>
      </c>
    </row>
    <row r="842" spans="1:91" s="66" customFormat="1" ht="25.5">
      <c r="A842" s="150"/>
      <c r="B842" s="156">
        <v>826</v>
      </c>
      <c r="C842" s="169">
        <v>630</v>
      </c>
      <c r="D842" s="169">
        <v>116</v>
      </c>
      <c r="E842" s="170">
        <v>0.76736111111111116</v>
      </c>
      <c r="F842" s="176">
        <v>0.81111111111111101</v>
      </c>
      <c r="G842" s="171" t="s">
        <v>71</v>
      </c>
      <c r="H842" s="160" t="s">
        <v>479</v>
      </c>
      <c r="I842" s="169">
        <v>33</v>
      </c>
      <c r="J842" s="172">
        <v>30</v>
      </c>
      <c r="K842" s="165">
        <v>240</v>
      </c>
      <c r="L842" s="166">
        <f t="shared" si="283"/>
        <v>7920</v>
      </c>
      <c r="M842" s="167" t="s">
        <v>779</v>
      </c>
      <c r="N842" s="154" t="s">
        <v>861</v>
      </c>
      <c r="O842" s="154">
        <v>57</v>
      </c>
      <c r="P842" s="211" t="s">
        <v>1291</v>
      </c>
      <c r="Q842" s="211" t="s">
        <v>1299</v>
      </c>
      <c r="R842" s="154" t="s">
        <v>1300</v>
      </c>
      <c r="S842" s="154">
        <v>31</v>
      </c>
      <c r="T842" s="45">
        <v>6220</v>
      </c>
      <c r="U842" s="45" t="s">
        <v>1384</v>
      </c>
      <c r="V842" s="45">
        <v>6630</v>
      </c>
      <c r="W842" s="45" t="s">
        <v>1758</v>
      </c>
      <c r="X842" s="99">
        <v>44816</v>
      </c>
      <c r="Y842" s="99">
        <v>45100</v>
      </c>
      <c r="Z842" s="99"/>
      <c r="AA842" s="99"/>
      <c r="AB842" s="45" t="s">
        <v>1124</v>
      </c>
      <c r="AC842" s="45"/>
      <c r="AD842" s="42" t="s">
        <v>734</v>
      </c>
      <c r="AE842" s="42"/>
      <c r="AF842" s="42" t="s">
        <v>734</v>
      </c>
      <c r="AG842" s="42"/>
      <c r="AH842" s="42" t="s">
        <v>734</v>
      </c>
      <c r="AI842" s="42" t="s">
        <v>734</v>
      </c>
      <c r="AJ842" s="42" t="s">
        <v>734</v>
      </c>
      <c r="AK842" s="42" t="s">
        <v>734</v>
      </c>
      <c r="AL842" s="42" t="s">
        <v>734</v>
      </c>
      <c r="AM842" s="42" t="s">
        <v>734</v>
      </c>
      <c r="AN842" s="36"/>
      <c r="AO842" s="36"/>
      <c r="AP842" s="36"/>
      <c r="AQ842" s="36"/>
      <c r="AR842" s="42"/>
      <c r="AS842" s="42"/>
      <c r="AT842" s="42"/>
      <c r="AU842" s="42"/>
      <c r="AV842" s="42"/>
      <c r="AW842" s="42"/>
      <c r="AX842" s="67"/>
      <c r="AY842" s="67">
        <f>2.2*33</f>
        <v>72.600000000000009</v>
      </c>
      <c r="BA842" s="40"/>
      <c r="BB842" s="84"/>
      <c r="BC842" s="66">
        <v>1</v>
      </c>
      <c r="BD842" s="67">
        <f t="shared" si="285"/>
        <v>0</v>
      </c>
      <c r="BE842" s="67">
        <f>AY842*K842</f>
        <v>17424.000000000004</v>
      </c>
      <c r="BG842" s="73">
        <v>1</v>
      </c>
      <c r="BI842" s="67"/>
      <c r="BK842" s="67">
        <f>IF(AND((AY842/I842)&lt;2,BG842=1),(I842*2)-AY842,0)</f>
        <v>0</v>
      </c>
      <c r="BL842" s="67">
        <f>IF(AND((AY842/I842)&lt;3,BG842=2),(I842*3)-AY842,0)</f>
        <v>0</v>
      </c>
      <c r="BM842" s="70">
        <f>(BK842+BL842)*K842</f>
        <v>0</v>
      </c>
      <c r="BO842" s="70">
        <f t="shared" si="286"/>
        <v>0</v>
      </c>
      <c r="BP842" s="37">
        <v>17</v>
      </c>
      <c r="BQ842" s="37">
        <v>26</v>
      </c>
      <c r="BR842" s="37">
        <v>25</v>
      </c>
      <c r="BS842" s="37">
        <v>25</v>
      </c>
      <c r="BT842" s="87">
        <f t="shared" si="287"/>
        <v>72.600000000000009</v>
      </c>
      <c r="BU842" s="118" t="s">
        <v>1140</v>
      </c>
      <c r="BV842" s="38">
        <v>2</v>
      </c>
      <c r="BW842" s="38"/>
      <c r="BX842" s="38">
        <v>5</v>
      </c>
      <c r="BY842" s="38"/>
      <c r="BZ842" s="38">
        <v>4</v>
      </c>
      <c r="CA842" s="38"/>
      <c r="CB842" s="38">
        <v>5</v>
      </c>
      <c r="CC842" s="38"/>
      <c r="CD842" s="128">
        <v>103</v>
      </c>
      <c r="CF842" s="67">
        <f t="shared" si="288"/>
        <v>1440.2</v>
      </c>
      <c r="CG842" s="67">
        <f t="shared" si="289"/>
        <v>2402.6000000000004</v>
      </c>
      <c r="CH842" s="67">
        <f t="shared" si="284"/>
        <v>2227</v>
      </c>
      <c r="CI842" s="67">
        <f t="shared" si="294"/>
        <v>2330</v>
      </c>
      <c r="CJ842" s="37">
        <f t="shared" si="290"/>
        <v>561</v>
      </c>
      <c r="CK842" s="37">
        <f t="shared" si="291"/>
        <v>858</v>
      </c>
      <c r="CL842" s="37">
        <f t="shared" si="292"/>
        <v>825</v>
      </c>
      <c r="CM842" s="37">
        <f t="shared" si="293"/>
        <v>825</v>
      </c>
    </row>
    <row r="843" spans="1:91" s="66" customFormat="1" ht="25.5">
      <c r="A843" s="150"/>
      <c r="B843" s="156">
        <v>827</v>
      </c>
      <c r="C843" s="169">
        <v>630</v>
      </c>
      <c r="D843" s="169">
        <v>119</v>
      </c>
      <c r="E843" s="176">
        <v>0.8125</v>
      </c>
      <c r="F843" s="176">
        <v>0.8256944444444444</v>
      </c>
      <c r="G843" s="171" t="s">
        <v>70</v>
      </c>
      <c r="H843" s="160" t="s">
        <v>479</v>
      </c>
      <c r="I843" s="169">
        <v>12</v>
      </c>
      <c r="J843" s="172">
        <v>30</v>
      </c>
      <c r="K843" s="165">
        <v>240</v>
      </c>
      <c r="L843" s="166">
        <f t="shared" si="283"/>
        <v>2880</v>
      </c>
      <c r="M843" s="167" t="s">
        <v>779</v>
      </c>
      <c r="N843" s="154" t="s">
        <v>861</v>
      </c>
      <c r="O843" s="154">
        <v>57</v>
      </c>
      <c r="P843" s="211" t="s">
        <v>1291</v>
      </c>
      <c r="Q843" s="211" t="s">
        <v>1299</v>
      </c>
      <c r="R843" s="154" t="s">
        <v>1300</v>
      </c>
      <c r="S843" s="154">
        <v>31</v>
      </c>
      <c r="T843" s="45">
        <v>6630</v>
      </c>
      <c r="U843" s="45" t="s">
        <v>1758</v>
      </c>
      <c r="V843" s="45" t="s">
        <v>1756</v>
      </c>
      <c r="W843" s="45" t="s">
        <v>1757</v>
      </c>
      <c r="X843" s="99">
        <v>44816</v>
      </c>
      <c r="Y843" s="99">
        <v>45100</v>
      </c>
      <c r="Z843" s="99"/>
      <c r="AA843" s="99"/>
      <c r="AB843" s="45" t="s">
        <v>1124</v>
      </c>
      <c r="AC843" s="45"/>
      <c r="AD843" s="42" t="s">
        <v>734</v>
      </c>
      <c r="AE843" s="42"/>
      <c r="AF843" s="42" t="s">
        <v>734</v>
      </c>
      <c r="AG843" s="42"/>
      <c r="AH843" s="42" t="s">
        <v>734</v>
      </c>
      <c r="AI843" s="42" t="s">
        <v>734</v>
      </c>
      <c r="AJ843" s="42" t="s">
        <v>734</v>
      </c>
      <c r="AK843" s="42" t="s">
        <v>734</v>
      </c>
      <c r="AL843" s="42" t="s">
        <v>734</v>
      </c>
      <c r="AM843" s="42" t="s">
        <v>734</v>
      </c>
      <c r="AN843" s="36"/>
      <c r="AO843" s="36"/>
      <c r="AP843" s="36"/>
      <c r="AQ843" s="36"/>
      <c r="AR843" s="42"/>
      <c r="AS843" s="42"/>
      <c r="AT843" s="42"/>
      <c r="AU843" s="42"/>
      <c r="AV843" s="42"/>
      <c r="AW843" s="42"/>
      <c r="AX843" s="67"/>
      <c r="AY843" s="67">
        <f>2.2*12</f>
        <v>26.400000000000002</v>
      </c>
      <c r="BA843" s="84"/>
      <c r="BB843" s="84"/>
      <c r="BC843" s="66">
        <v>2</v>
      </c>
      <c r="BD843" s="67">
        <f t="shared" si="285"/>
        <v>0</v>
      </c>
      <c r="BE843" s="67">
        <f>AY843*K843</f>
        <v>6336.0000000000009</v>
      </c>
      <c r="BG843" s="73">
        <v>1</v>
      </c>
      <c r="BI843" s="67"/>
      <c r="BK843" s="67">
        <f>IF(AND((AY843/I843)&lt;2,BG843=1),(I843*2)-AY843,0)</f>
        <v>0</v>
      </c>
      <c r="BL843" s="67">
        <f>IF(AND((AY843/I843)&lt;3,BG843=2),(I843*3)-AY843,0)</f>
        <v>0</v>
      </c>
      <c r="BM843" s="70">
        <f>(BK843+BL843)*K843</f>
        <v>0</v>
      </c>
      <c r="BO843" s="70">
        <f t="shared" si="286"/>
        <v>0</v>
      </c>
      <c r="BP843" s="37">
        <v>17</v>
      </c>
      <c r="BQ843" s="37">
        <v>26</v>
      </c>
      <c r="BR843" s="37">
        <v>25</v>
      </c>
      <c r="BS843" s="37">
        <v>25</v>
      </c>
      <c r="BT843" s="87">
        <f t="shared" si="287"/>
        <v>26.400000000000002</v>
      </c>
      <c r="BU843" s="87"/>
      <c r="BV843" s="87"/>
      <c r="BW843" s="87"/>
      <c r="BX843" s="87"/>
      <c r="BY843" s="87"/>
      <c r="BZ843" s="87"/>
      <c r="CA843" s="87"/>
      <c r="CB843" s="87"/>
      <c r="CC843" s="87"/>
      <c r="CD843" s="87"/>
      <c r="CF843" s="67">
        <f t="shared" si="288"/>
        <v>448.8</v>
      </c>
      <c r="CG843" s="67">
        <f t="shared" si="289"/>
        <v>686.40000000000009</v>
      </c>
      <c r="CH843" s="67">
        <f t="shared" si="284"/>
        <v>660</v>
      </c>
      <c r="CI843" s="67">
        <f t="shared" si="294"/>
        <v>660</v>
      </c>
      <c r="CJ843" s="37">
        <f t="shared" si="290"/>
        <v>204</v>
      </c>
      <c r="CK843" s="37">
        <f t="shared" si="291"/>
        <v>312</v>
      </c>
      <c r="CL843" s="37">
        <f t="shared" si="292"/>
        <v>300</v>
      </c>
      <c r="CM843" s="37">
        <f t="shared" si="293"/>
        <v>300</v>
      </c>
    </row>
    <row r="844" spans="1:91" s="66" customFormat="1" ht="25.5">
      <c r="A844" s="3"/>
      <c r="B844" s="156">
        <v>828</v>
      </c>
      <c r="C844" s="160">
        <v>630</v>
      </c>
      <c r="D844" s="160">
        <v>118</v>
      </c>
      <c r="E844" s="161">
        <v>0.81597222222222221</v>
      </c>
      <c r="F844" s="173">
        <v>0.85</v>
      </c>
      <c r="G844" s="160" t="s">
        <v>662</v>
      </c>
      <c r="H844" s="160" t="s">
        <v>203</v>
      </c>
      <c r="I844" s="163">
        <v>24</v>
      </c>
      <c r="J844" s="164" t="s">
        <v>93</v>
      </c>
      <c r="K844" s="165">
        <v>202</v>
      </c>
      <c r="L844" s="166">
        <f t="shared" si="283"/>
        <v>4848</v>
      </c>
      <c r="M844" s="167" t="s">
        <v>780</v>
      </c>
      <c r="N844" s="150" t="s">
        <v>1076</v>
      </c>
      <c r="O844" s="150">
        <v>23</v>
      </c>
      <c r="P844" s="150" t="s">
        <v>879</v>
      </c>
      <c r="Q844" s="150">
        <v>21</v>
      </c>
      <c r="R844" s="168" t="s">
        <v>1305</v>
      </c>
      <c r="S844" s="175">
        <v>29</v>
      </c>
      <c r="T844" s="45">
        <v>6220</v>
      </c>
      <c r="U844" s="45" t="s">
        <v>1384</v>
      </c>
      <c r="V844" s="45" t="s">
        <v>1756</v>
      </c>
      <c r="W844" s="45" t="s">
        <v>1757</v>
      </c>
      <c r="X844" s="99">
        <v>44816</v>
      </c>
      <c r="Y844" s="99">
        <v>45100</v>
      </c>
      <c r="Z844" s="99"/>
      <c r="AA844" s="99"/>
      <c r="AB844" s="41" t="s">
        <v>1120</v>
      </c>
      <c r="AC844" s="41"/>
      <c r="AD844" s="42" t="s">
        <v>734</v>
      </c>
      <c r="AE844" s="42"/>
      <c r="AF844" s="42" t="s">
        <v>734</v>
      </c>
      <c r="AG844" s="42"/>
      <c r="AH844" s="42" t="s">
        <v>734</v>
      </c>
      <c r="AI844" s="42" t="s">
        <v>734</v>
      </c>
      <c r="AJ844" s="42" t="s">
        <v>734</v>
      </c>
      <c r="AK844" s="42" t="s">
        <v>734</v>
      </c>
      <c r="AL844" s="42" t="s">
        <v>734</v>
      </c>
      <c r="AM844" s="36"/>
      <c r="AN844" s="36"/>
      <c r="AO844" s="36"/>
      <c r="AP844" s="36"/>
      <c r="AQ844" s="42"/>
      <c r="AR844" s="42"/>
      <c r="AS844" s="42"/>
      <c r="AT844" s="42"/>
      <c r="AU844" s="42"/>
      <c r="AV844" s="42"/>
      <c r="AW844" s="42"/>
      <c r="AX844" s="67"/>
      <c r="AY844" s="67">
        <f>1.9*23</f>
        <v>43.699999999999996</v>
      </c>
      <c r="BD844" s="67">
        <f t="shared" si="285"/>
        <v>0</v>
      </c>
      <c r="BE844" s="67">
        <f>AY844*K844</f>
        <v>8827.4</v>
      </c>
      <c r="BG844" s="73">
        <v>1</v>
      </c>
      <c r="BI844" s="67"/>
      <c r="BK844" s="67">
        <f>IF(AND((AY844/I844)&lt;2,BG844=1),(I844*2)-AY844,0)</f>
        <v>4.3000000000000043</v>
      </c>
      <c r="BL844" s="67">
        <f>IF(AND((AY844/I844)&lt;3,BG844=2),(I844*3)-AY844,0)</f>
        <v>0</v>
      </c>
      <c r="BM844" s="70">
        <f>(BK844+BL844)*K844</f>
        <v>868.60000000000082</v>
      </c>
      <c r="BO844" s="70">
        <f t="shared" si="286"/>
        <v>0</v>
      </c>
      <c r="BP844" s="37">
        <v>15</v>
      </c>
      <c r="BQ844" s="37">
        <v>21</v>
      </c>
      <c r="BR844" s="37">
        <v>21</v>
      </c>
      <c r="BS844" s="37">
        <v>20</v>
      </c>
      <c r="BT844" s="87">
        <f t="shared" si="287"/>
        <v>48</v>
      </c>
      <c r="BU844" s="87"/>
      <c r="BV844" s="87"/>
      <c r="BW844" s="87"/>
      <c r="BX844" s="87"/>
      <c r="BY844" s="87"/>
      <c r="BZ844" s="87"/>
      <c r="CA844" s="87"/>
      <c r="CB844" s="87"/>
      <c r="CC844" s="87"/>
      <c r="CD844" s="87"/>
      <c r="CF844" s="67">
        <f t="shared" si="288"/>
        <v>720</v>
      </c>
      <c r="CG844" s="67">
        <f t="shared" si="289"/>
        <v>1008</v>
      </c>
      <c r="CH844" s="67">
        <f t="shared" si="284"/>
        <v>1008</v>
      </c>
      <c r="CI844" s="67">
        <f t="shared" si="294"/>
        <v>960</v>
      </c>
      <c r="CJ844" s="37">
        <f t="shared" si="290"/>
        <v>360</v>
      </c>
      <c r="CK844" s="37">
        <f t="shared" si="291"/>
        <v>504</v>
      </c>
      <c r="CL844" s="37">
        <f t="shared" si="292"/>
        <v>504</v>
      </c>
      <c r="CM844" s="37">
        <f t="shared" si="293"/>
        <v>480</v>
      </c>
    </row>
    <row r="845" spans="1:91" s="66" customFormat="1" ht="25.5">
      <c r="A845" s="3"/>
      <c r="B845" s="156">
        <v>829</v>
      </c>
      <c r="C845" s="160">
        <v>632</v>
      </c>
      <c r="D845" s="160">
        <v>153</v>
      </c>
      <c r="E845" s="161">
        <v>0.27083333333333331</v>
      </c>
      <c r="F845" s="173">
        <v>0.2951388888888889</v>
      </c>
      <c r="G845" s="160" t="s">
        <v>318</v>
      </c>
      <c r="H845" s="160" t="s">
        <v>97</v>
      </c>
      <c r="I845" s="160">
        <v>18.5</v>
      </c>
      <c r="J845" s="164" t="s">
        <v>406</v>
      </c>
      <c r="K845" s="165">
        <v>208</v>
      </c>
      <c r="L845" s="166">
        <f t="shared" si="283"/>
        <v>3848</v>
      </c>
      <c r="M845" s="167" t="s">
        <v>780</v>
      </c>
      <c r="N845" s="154" t="s">
        <v>876</v>
      </c>
      <c r="O845" s="154">
        <v>23</v>
      </c>
      <c r="P845" s="154" t="s">
        <v>796</v>
      </c>
      <c r="Q845" s="154">
        <v>21</v>
      </c>
      <c r="R845" s="213"/>
      <c r="S845" s="154"/>
      <c r="T845" s="45">
        <v>6686</v>
      </c>
      <c r="U845" s="45" t="s">
        <v>1759</v>
      </c>
      <c r="V845" s="45">
        <v>6220</v>
      </c>
      <c r="W845" s="45" t="s">
        <v>1384</v>
      </c>
      <c r="X845" s="98">
        <v>44816</v>
      </c>
      <c r="Y845" s="98">
        <v>45086</v>
      </c>
      <c r="Z845" s="98"/>
      <c r="AA845" s="98"/>
      <c r="AB845" s="41" t="s">
        <v>1118</v>
      </c>
      <c r="AC845" s="41"/>
      <c r="AD845" s="36"/>
      <c r="AE845" s="36"/>
      <c r="AF845" s="36"/>
      <c r="AG845" s="42" t="s">
        <v>734</v>
      </c>
      <c r="AH845" s="42" t="s">
        <v>734</v>
      </c>
      <c r="AI845" s="42" t="s">
        <v>734</v>
      </c>
      <c r="AJ845" s="42" t="s">
        <v>734</v>
      </c>
      <c r="AK845" s="42" t="s">
        <v>734</v>
      </c>
      <c r="AL845" s="42" t="s">
        <v>734</v>
      </c>
      <c r="AM845" s="42" t="s">
        <v>734</v>
      </c>
      <c r="AN845" s="36"/>
      <c r="AO845" s="36"/>
      <c r="AP845" s="36"/>
      <c r="AQ845" s="36"/>
      <c r="AR845" s="42"/>
      <c r="AS845" s="42"/>
      <c r="AT845" s="42"/>
      <c r="AU845" s="42"/>
      <c r="AV845" s="42"/>
      <c r="AW845" s="42"/>
      <c r="AX845" s="68">
        <f>96.49+34.92</f>
        <v>131.41</v>
      </c>
      <c r="AY845" s="68"/>
      <c r="BD845" s="67">
        <f t="shared" si="285"/>
        <v>27333.279999999999</v>
      </c>
      <c r="BE845" s="67"/>
      <c r="BG845" s="69">
        <v>2</v>
      </c>
      <c r="BH845" s="67">
        <f t="shared" ref="BH845:BH853" si="295">IF(AND((AX845/I845)&lt;2,BG845=1),(I845*2)-AX845,0)</f>
        <v>0</v>
      </c>
      <c r="BI845" s="67">
        <f t="shared" ref="BI845:BI853" si="296">IF(AND((AX845/I845)&lt;3,BG845=2),(I845*3)-AX845,0)</f>
        <v>0</v>
      </c>
      <c r="BJ845" s="70">
        <f t="shared" ref="BJ845:BJ853" si="297">(BH845+BI845)*K845</f>
        <v>0</v>
      </c>
      <c r="BN845" s="67">
        <f>IF((AX845+AY845+AZ845)&lt;20,(20-(AX845+AY845+AZ845)),0)</f>
        <v>0</v>
      </c>
      <c r="BO845" s="70">
        <f t="shared" si="286"/>
        <v>0</v>
      </c>
      <c r="BP845" s="37">
        <v>17</v>
      </c>
      <c r="BQ845" s="37">
        <v>25</v>
      </c>
      <c r="BR845" s="37">
        <v>25</v>
      </c>
      <c r="BS845" s="37">
        <v>18</v>
      </c>
      <c r="BT845" s="87">
        <f t="shared" si="287"/>
        <v>131.41</v>
      </c>
      <c r="BU845" s="87"/>
      <c r="BV845" s="87"/>
      <c r="BW845" s="87"/>
      <c r="BX845" s="87"/>
      <c r="BY845" s="87"/>
      <c r="BZ845" s="87"/>
      <c r="CA845" s="87"/>
      <c r="CB845" s="87"/>
      <c r="CC845" s="87"/>
      <c r="CD845" s="87"/>
      <c r="CF845" s="67">
        <f t="shared" si="288"/>
        <v>2233.9699999999998</v>
      </c>
      <c r="CG845" s="67">
        <f t="shared" si="289"/>
        <v>3285.25</v>
      </c>
      <c r="CH845" s="67">
        <f t="shared" si="284"/>
        <v>3285.25</v>
      </c>
      <c r="CI845" s="67">
        <f t="shared" si="294"/>
        <v>2365.38</v>
      </c>
      <c r="CJ845" s="37">
        <f t="shared" si="290"/>
        <v>314.5</v>
      </c>
      <c r="CK845" s="37">
        <f t="shared" si="291"/>
        <v>462.5</v>
      </c>
      <c r="CL845" s="37">
        <f t="shared" si="292"/>
        <v>462.5</v>
      </c>
      <c r="CM845" s="37">
        <f t="shared" si="293"/>
        <v>333</v>
      </c>
    </row>
    <row r="846" spans="1:91" s="66" customFormat="1" ht="25.5">
      <c r="A846" s="3"/>
      <c r="B846" s="156">
        <v>830</v>
      </c>
      <c r="C846" s="160">
        <v>632</v>
      </c>
      <c r="D846" s="160">
        <v>776</v>
      </c>
      <c r="E846" s="161">
        <v>0.28333333333333333</v>
      </c>
      <c r="F846" s="161">
        <v>0.28680555555555554</v>
      </c>
      <c r="G846" s="160" t="s">
        <v>118</v>
      </c>
      <c r="H846" s="160" t="s">
        <v>97</v>
      </c>
      <c r="I846" s="163">
        <v>2</v>
      </c>
      <c r="J846" s="164" t="s">
        <v>116</v>
      </c>
      <c r="K846" s="165">
        <v>208</v>
      </c>
      <c r="L846" s="166">
        <f t="shared" si="283"/>
        <v>416</v>
      </c>
      <c r="M846" s="167" t="s">
        <v>780</v>
      </c>
      <c r="N846" s="154" t="s">
        <v>878</v>
      </c>
      <c r="O846" s="154">
        <v>9</v>
      </c>
      <c r="P846" s="154" t="s">
        <v>879</v>
      </c>
      <c r="Q846" s="154">
        <v>21</v>
      </c>
      <c r="R846" s="150"/>
      <c r="S846" s="154"/>
      <c r="T846" s="45">
        <v>6579</v>
      </c>
      <c r="U846" s="45" t="s">
        <v>1760</v>
      </c>
      <c r="V846" s="45" t="s">
        <v>1756</v>
      </c>
      <c r="W846" s="45" t="s">
        <v>1757</v>
      </c>
      <c r="X846" s="98">
        <v>44816</v>
      </c>
      <c r="Y846" s="98">
        <v>45086</v>
      </c>
      <c r="Z846" s="98"/>
      <c r="AA846" s="98"/>
      <c r="AB846" s="41" t="s">
        <v>1118</v>
      </c>
      <c r="AC846" s="41"/>
      <c r="AD846" s="36"/>
      <c r="AE846" s="36"/>
      <c r="AF846" s="36"/>
      <c r="AG846" s="42" t="s">
        <v>734</v>
      </c>
      <c r="AH846" s="42" t="s">
        <v>734</v>
      </c>
      <c r="AI846" s="42" t="s">
        <v>734</v>
      </c>
      <c r="AJ846" s="42" t="s">
        <v>734</v>
      </c>
      <c r="AK846" s="42" t="s">
        <v>734</v>
      </c>
      <c r="AL846" s="42" t="s">
        <v>734</v>
      </c>
      <c r="AM846" s="42" t="s">
        <v>734</v>
      </c>
      <c r="AN846" s="36"/>
      <c r="AO846" s="36"/>
      <c r="AP846" s="36"/>
      <c r="AQ846" s="36"/>
      <c r="AR846" s="42"/>
      <c r="AS846" s="42"/>
      <c r="AT846" s="42"/>
      <c r="AU846" s="42"/>
      <c r="AV846" s="42"/>
      <c r="AW846" s="42"/>
      <c r="AX846" s="68">
        <v>6.88</v>
      </c>
      <c r="AY846" s="68"/>
      <c r="BD846" s="67">
        <f t="shared" si="285"/>
        <v>1431.04</v>
      </c>
      <c r="BE846" s="67"/>
      <c r="BG846" s="73">
        <v>1</v>
      </c>
      <c r="BH846" s="67">
        <f t="shared" si="295"/>
        <v>0</v>
      </c>
      <c r="BI846" s="67">
        <f t="shared" si="296"/>
        <v>0</v>
      </c>
      <c r="BJ846" s="70">
        <f t="shared" si="297"/>
        <v>0</v>
      </c>
      <c r="BN846" s="67">
        <f>IF((AX846+AY846+AZ846)&lt;20,(20-(AX846+AY846+AZ846)),0)</f>
        <v>13.120000000000001</v>
      </c>
      <c r="BO846" s="70">
        <f t="shared" si="286"/>
        <v>2728.96</v>
      </c>
      <c r="BP846" s="37">
        <v>17</v>
      </c>
      <c r="BQ846" s="37">
        <v>25</v>
      </c>
      <c r="BR846" s="37">
        <v>25</v>
      </c>
      <c r="BS846" s="37">
        <v>18</v>
      </c>
      <c r="BT846" s="87">
        <f t="shared" si="287"/>
        <v>20</v>
      </c>
      <c r="BU846" s="87"/>
      <c r="BV846" s="87"/>
      <c r="BW846" s="87"/>
      <c r="BX846" s="87"/>
      <c r="BY846" s="87"/>
      <c r="BZ846" s="87"/>
      <c r="CA846" s="87"/>
      <c r="CB846" s="87"/>
      <c r="CC846" s="87"/>
      <c r="CD846" s="87"/>
      <c r="CF846" s="67">
        <f t="shared" si="288"/>
        <v>340</v>
      </c>
      <c r="CG846" s="67">
        <f t="shared" si="289"/>
        <v>500</v>
      </c>
      <c r="CH846" s="67">
        <f t="shared" si="284"/>
        <v>500</v>
      </c>
      <c r="CI846" s="67">
        <f t="shared" si="294"/>
        <v>360</v>
      </c>
      <c r="CJ846" s="37">
        <f t="shared" si="290"/>
        <v>34</v>
      </c>
      <c r="CK846" s="37">
        <f t="shared" si="291"/>
        <v>50</v>
      </c>
      <c r="CL846" s="37">
        <f t="shared" si="292"/>
        <v>50</v>
      </c>
      <c r="CM846" s="37">
        <f t="shared" si="293"/>
        <v>36</v>
      </c>
    </row>
    <row r="847" spans="1:91" s="66" customFormat="1" ht="25.5">
      <c r="A847" s="152"/>
      <c r="B847" s="156">
        <v>831</v>
      </c>
      <c r="C847" s="160">
        <v>632</v>
      </c>
      <c r="D847" s="160">
        <v>737</v>
      </c>
      <c r="E847" s="161">
        <v>0.28333333333333333</v>
      </c>
      <c r="F847" s="161">
        <v>0.2951388888888889</v>
      </c>
      <c r="G847" s="160" t="s">
        <v>317</v>
      </c>
      <c r="H847" s="160" t="s">
        <v>97</v>
      </c>
      <c r="I847" s="163">
        <v>4</v>
      </c>
      <c r="J847" s="164" t="s">
        <v>269</v>
      </c>
      <c r="K847" s="165">
        <v>208</v>
      </c>
      <c r="L847" s="166">
        <f t="shared" si="283"/>
        <v>832</v>
      </c>
      <c r="M847" s="167" t="s">
        <v>780</v>
      </c>
      <c r="N847" s="154" t="s">
        <v>877</v>
      </c>
      <c r="O847" s="154">
        <v>23</v>
      </c>
      <c r="P847" s="154" t="s">
        <v>876</v>
      </c>
      <c r="Q847" s="154">
        <v>23</v>
      </c>
      <c r="R847" s="154" t="s">
        <v>796</v>
      </c>
      <c r="S847" s="151">
        <v>21</v>
      </c>
      <c r="T847" s="45" t="s">
        <v>1761</v>
      </c>
      <c r="U847" s="45" t="s">
        <v>1762</v>
      </c>
      <c r="V847" s="45">
        <v>6675</v>
      </c>
      <c r="W847" s="45" t="s">
        <v>1763</v>
      </c>
      <c r="X847" s="98">
        <v>44816</v>
      </c>
      <c r="Y847" s="98">
        <v>45086</v>
      </c>
      <c r="Z847" s="98"/>
      <c r="AA847" s="98"/>
      <c r="AB847" s="41" t="s">
        <v>1118</v>
      </c>
      <c r="AC847" s="41"/>
      <c r="AD847" s="36"/>
      <c r="AE847" s="36"/>
      <c r="AF847" s="36"/>
      <c r="AG847" s="42" t="s">
        <v>734</v>
      </c>
      <c r="AH847" s="42" t="s">
        <v>734</v>
      </c>
      <c r="AI847" s="42" t="s">
        <v>734</v>
      </c>
      <c r="AJ847" s="42" t="s">
        <v>734</v>
      </c>
      <c r="AK847" s="42" t="s">
        <v>734</v>
      </c>
      <c r="AL847" s="42" t="s">
        <v>734</v>
      </c>
      <c r="AM847" s="42" t="s">
        <v>734</v>
      </c>
      <c r="AN847" s="36"/>
      <c r="AO847" s="36"/>
      <c r="AP847" s="36"/>
      <c r="AQ847" s="36"/>
      <c r="AR847" s="42"/>
      <c r="AS847" s="42"/>
      <c r="AT847" s="42"/>
      <c r="AU847" s="42"/>
      <c r="AV847" s="42"/>
      <c r="AW847" s="42"/>
      <c r="AX847" s="68">
        <v>48.25</v>
      </c>
      <c r="AY847" s="68"/>
      <c r="BD847" s="67">
        <f t="shared" si="285"/>
        <v>10036</v>
      </c>
      <c r="BE847" s="67"/>
      <c r="BG847" s="73">
        <v>1</v>
      </c>
      <c r="BH847" s="67">
        <f t="shared" si="295"/>
        <v>0</v>
      </c>
      <c r="BI847" s="67">
        <f t="shared" si="296"/>
        <v>0</v>
      </c>
      <c r="BJ847" s="70">
        <f t="shared" si="297"/>
        <v>0</v>
      </c>
      <c r="BN847" s="67">
        <f>IF((AX847+AY847+AZ847)&lt;20,(20-(AX847+AY847+AZ847)),0)</f>
        <v>0</v>
      </c>
      <c r="BO847" s="70">
        <f t="shared" si="286"/>
        <v>0</v>
      </c>
      <c r="BP847" s="37">
        <v>17</v>
      </c>
      <c r="BQ847" s="37">
        <v>25</v>
      </c>
      <c r="BR847" s="37">
        <v>25</v>
      </c>
      <c r="BS847" s="37">
        <v>18</v>
      </c>
      <c r="BT847" s="87">
        <f t="shared" si="287"/>
        <v>48.25</v>
      </c>
      <c r="BU847" s="87"/>
      <c r="BV847" s="87"/>
      <c r="BW847" s="87"/>
      <c r="BX847" s="87"/>
      <c r="BY847" s="87"/>
      <c r="BZ847" s="87"/>
      <c r="CA847" s="87"/>
      <c r="CB847" s="87"/>
      <c r="CC847" s="87"/>
      <c r="CD847" s="87"/>
      <c r="CF847" s="67">
        <f t="shared" si="288"/>
        <v>820.25</v>
      </c>
      <c r="CG847" s="67">
        <f t="shared" si="289"/>
        <v>1206.25</v>
      </c>
      <c r="CH847" s="67">
        <f t="shared" si="284"/>
        <v>1206.25</v>
      </c>
      <c r="CI847" s="67">
        <f t="shared" si="294"/>
        <v>868.5</v>
      </c>
      <c r="CJ847" s="37">
        <f t="shared" si="290"/>
        <v>68</v>
      </c>
      <c r="CK847" s="37">
        <f t="shared" si="291"/>
        <v>100</v>
      </c>
      <c r="CL847" s="37">
        <f t="shared" si="292"/>
        <v>100</v>
      </c>
      <c r="CM847" s="37">
        <f t="shared" si="293"/>
        <v>72</v>
      </c>
    </row>
    <row r="848" spans="1:91" s="66" customFormat="1" ht="25.5">
      <c r="A848" s="3"/>
      <c r="B848" s="156">
        <v>832</v>
      </c>
      <c r="C848" s="174">
        <v>637</v>
      </c>
      <c r="D848" s="160">
        <v>747</v>
      </c>
      <c r="E848" s="161">
        <v>0.29166666666666669</v>
      </c>
      <c r="F848" s="161">
        <v>0.30208333333333331</v>
      </c>
      <c r="G848" s="160" t="s">
        <v>314</v>
      </c>
      <c r="H848" s="160" t="s">
        <v>97</v>
      </c>
      <c r="I848" s="163">
        <v>9</v>
      </c>
      <c r="J848" s="164" t="s">
        <v>99</v>
      </c>
      <c r="K848" s="165">
        <v>208</v>
      </c>
      <c r="L848" s="166">
        <f t="shared" si="283"/>
        <v>1872</v>
      </c>
      <c r="M848" s="167" t="s">
        <v>780</v>
      </c>
      <c r="N848" s="150" t="s">
        <v>1076</v>
      </c>
      <c r="O848" s="150">
        <v>23</v>
      </c>
      <c r="P848" s="150" t="s">
        <v>796</v>
      </c>
      <c r="Q848" s="150">
        <v>21</v>
      </c>
      <c r="R848" s="150"/>
      <c r="S848" s="150"/>
      <c r="T848" s="45">
        <v>6640</v>
      </c>
      <c r="U848" s="45" t="s">
        <v>1764</v>
      </c>
      <c r="V848" s="45">
        <v>6655</v>
      </c>
      <c r="W848" s="45" t="s">
        <v>1765</v>
      </c>
      <c r="X848" s="98">
        <v>44816</v>
      </c>
      <c r="Y848" s="98">
        <v>45086</v>
      </c>
      <c r="Z848" s="98"/>
      <c r="AA848" s="98"/>
      <c r="AB848" s="41" t="s">
        <v>1118</v>
      </c>
      <c r="AC848" s="41"/>
      <c r="AD848" s="36"/>
      <c r="AE848" s="36"/>
      <c r="AF848" s="36"/>
      <c r="AG848" s="42" t="s">
        <v>734</v>
      </c>
      <c r="AH848" s="42" t="s">
        <v>734</v>
      </c>
      <c r="AI848" s="42" t="s">
        <v>734</v>
      </c>
      <c r="AJ848" s="42" t="s">
        <v>734</v>
      </c>
      <c r="AK848" s="42" t="s">
        <v>734</v>
      </c>
      <c r="AL848" s="42" t="s">
        <v>734</v>
      </c>
      <c r="AM848" s="42" t="s">
        <v>734</v>
      </c>
      <c r="AN848" s="36"/>
      <c r="AO848" s="36"/>
      <c r="AP848" s="36"/>
      <c r="AQ848" s="36"/>
      <c r="AR848" s="42"/>
      <c r="AS848" s="42"/>
      <c r="AT848" s="42"/>
      <c r="AU848" s="42"/>
      <c r="AV848" s="42"/>
      <c r="AW848" s="42"/>
      <c r="AX848" s="68">
        <v>16.739999999999998</v>
      </c>
      <c r="AY848" s="68"/>
      <c r="BD848" s="67">
        <f t="shared" si="285"/>
        <v>3481.9199999999996</v>
      </c>
      <c r="BE848" s="67"/>
      <c r="BG848" s="73">
        <v>1</v>
      </c>
      <c r="BH848" s="67">
        <f t="shared" si="295"/>
        <v>1.2600000000000016</v>
      </c>
      <c r="BI848" s="67">
        <f t="shared" si="296"/>
        <v>0</v>
      </c>
      <c r="BJ848" s="67">
        <f t="shared" si="297"/>
        <v>262.08000000000033</v>
      </c>
      <c r="BO848" s="70">
        <f t="shared" si="286"/>
        <v>0</v>
      </c>
      <c r="BP848" s="37">
        <v>17</v>
      </c>
      <c r="BQ848" s="37">
        <v>25</v>
      </c>
      <c r="BR848" s="37">
        <v>25</v>
      </c>
      <c r="BS848" s="37">
        <v>18</v>
      </c>
      <c r="BT848" s="87">
        <f t="shared" si="287"/>
        <v>18</v>
      </c>
      <c r="BU848" s="87"/>
      <c r="BV848" s="87"/>
      <c r="BW848" s="87"/>
      <c r="BX848" s="87"/>
      <c r="BY848" s="87"/>
      <c r="BZ848" s="87"/>
      <c r="CA848" s="87"/>
      <c r="CB848" s="87"/>
      <c r="CC848" s="87"/>
      <c r="CD848" s="87"/>
      <c r="CF848" s="67">
        <f t="shared" si="288"/>
        <v>306</v>
      </c>
      <c r="CG848" s="67">
        <f t="shared" si="289"/>
        <v>450</v>
      </c>
      <c r="CH848" s="67">
        <f t="shared" si="284"/>
        <v>450</v>
      </c>
      <c r="CI848" s="67">
        <f t="shared" si="294"/>
        <v>324</v>
      </c>
      <c r="CJ848" s="37">
        <f t="shared" si="290"/>
        <v>153</v>
      </c>
      <c r="CK848" s="37">
        <f t="shared" si="291"/>
        <v>225</v>
      </c>
      <c r="CL848" s="37">
        <f t="shared" si="292"/>
        <v>225</v>
      </c>
      <c r="CM848" s="37">
        <f t="shared" si="293"/>
        <v>162</v>
      </c>
    </row>
    <row r="849" spans="1:91" s="66" customFormat="1" ht="25.5">
      <c r="A849" s="150"/>
      <c r="B849" s="156">
        <v>833</v>
      </c>
      <c r="C849" s="174">
        <v>632</v>
      </c>
      <c r="D849" s="160">
        <v>135</v>
      </c>
      <c r="E849" s="161">
        <v>0.3034722222222222</v>
      </c>
      <c r="F849" s="161">
        <v>0.31388888888888888</v>
      </c>
      <c r="G849" s="160" t="s">
        <v>58</v>
      </c>
      <c r="H849" s="160" t="s">
        <v>534</v>
      </c>
      <c r="I849" s="160">
        <v>7</v>
      </c>
      <c r="J849" s="164" t="s">
        <v>101</v>
      </c>
      <c r="K849" s="165">
        <v>34</v>
      </c>
      <c r="L849" s="166">
        <f t="shared" si="283"/>
        <v>238</v>
      </c>
      <c r="M849" s="167" t="s">
        <v>783</v>
      </c>
      <c r="N849" s="154" t="s">
        <v>980</v>
      </c>
      <c r="O849" s="154">
        <v>51</v>
      </c>
      <c r="P849" s="154" t="s">
        <v>981</v>
      </c>
      <c r="Q849" s="154">
        <v>58</v>
      </c>
      <c r="R849" s="150"/>
      <c r="S849" s="154"/>
      <c r="T849" s="45">
        <v>6660</v>
      </c>
      <c r="U849" s="45" t="s">
        <v>1766</v>
      </c>
      <c r="V849" s="45">
        <v>6220</v>
      </c>
      <c r="W849" s="45" t="s">
        <v>1384</v>
      </c>
      <c r="X849" s="98">
        <v>44816</v>
      </c>
      <c r="Y849" s="98">
        <v>45086</v>
      </c>
      <c r="Z849" s="98"/>
      <c r="AA849" s="98"/>
      <c r="AB849" s="42" t="s">
        <v>1123</v>
      </c>
      <c r="AC849" s="42"/>
      <c r="AD849" s="36"/>
      <c r="AE849" s="36"/>
      <c r="AF849" s="36"/>
      <c r="AG849" s="42" t="s">
        <v>734</v>
      </c>
      <c r="AH849" s="42"/>
      <c r="AI849" s="42"/>
      <c r="AJ849" s="42"/>
      <c r="AK849" s="42"/>
      <c r="AL849" s="42"/>
      <c r="AM849" s="42" t="s">
        <v>734</v>
      </c>
      <c r="AN849" s="36"/>
      <c r="AO849" s="36"/>
      <c r="AP849" s="36"/>
      <c r="AQ849" s="36"/>
      <c r="AR849" s="36"/>
      <c r="AS849" s="36"/>
      <c r="AT849" s="36"/>
      <c r="AU849" s="36"/>
      <c r="AV849" s="36"/>
      <c r="AW849" s="36"/>
      <c r="AX849" s="68">
        <v>285.51</v>
      </c>
      <c r="AY849" s="68"/>
      <c r="BD849" s="67">
        <f t="shared" si="285"/>
        <v>9707.34</v>
      </c>
      <c r="BE849" s="67"/>
      <c r="BG849" s="69">
        <v>2</v>
      </c>
      <c r="BH849" s="67">
        <f t="shared" si="295"/>
        <v>0</v>
      </c>
      <c r="BI849" s="67">
        <f t="shared" si="296"/>
        <v>0</v>
      </c>
      <c r="BJ849" s="70">
        <f t="shared" si="297"/>
        <v>0</v>
      </c>
      <c r="BO849" s="70">
        <f t="shared" si="286"/>
        <v>0</v>
      </c>
      <c r="BP849" s="37">
        <v>2</v>
      </c>
      <c r="BQ849" s="37">
        <v>5</v>
      </c>
      <c r="BR849" s="37">
        <v>4</v>
      </c>
      <c r="BS849" s="37">
        <v>3</v>
      </c>
      <c r="BT849" s="87">
        <f t="shared" si="287"/>
        <v>285.51</v>
      </c>
      <c r="BU849" s="87"/>
      <c r="BV849" s="87"/>
      <c r="BW849" s="87"/>
      <c r="BX849" s="87"/>
      <c r="BY849" s="87"/>
      <c r="BZ849" s="87"/>
      <c r="CA849" s="87"/>
      <c r="CB849" s="87"/>
      <c r="CC849" s="87"/>
      <c r="CD849" s="87"/>
      <c r="CF849" s="67">
        <f t="shared" si="288"/>
        <v>571.02</v>
      </c>
      <c r="CG849" s="67">
        <f t="shared" si="289"/>
        <v>1427.55</v>
      </c>
      <c r="CH849" s="67">
        <f t="shared" si="284"/>
        <v>1142.04</v>
      </c>
      <c r="CI849" s="67">
        <f t="shared" si="294"/>
        <v>856.53</v>
      </c>
      <c r="CJ849" s="37">
        <f t="shared" si="290"/>
        <v>14</v>
      </c>
      <c r="CK849" s="37">
        <f t="shared" si="291"/>
        <v>35</v>
      </c>
      <c r="CL849" s="37">
        <f t="shared" si="292"/>
        <v>28</v>
      </c>
      <c r="CM849" s="37">
        <f t="shared" si="293"/>
        <v>21</v>
      </c>
    </row>
    <row r="850" spans="1:91" s="66" customFormat="1" ht="25.5">
      <c r="A850" s="152"/>
      <c r="B850" s="156">
        <v>834</v>
      </c>
      <c r="C850" s="160">
        <v>632</v>
      </c>
      <c r="D850" s="160">
        <v>736</v>
      </c>
      <c r="E850" s="161">
        <v>0.53819444444444442</v>
      </c>
      <c r="F850" s="161">
        <v>0.55208333333333337</v>
      </c>
      <c r="G850" s="160" t="s">
        <v>316</v>
      </c>
      <c r="H850" s="160" t="s">
        <v>97</v>
      </c>
      <c r="I850" s="163">
        <v>4</v>
      </c>
      <c r="J850" s="164" t="s">
        <v>269</v>
      </c>
      <c r="K850" s="165">
        <v>208</v>
      </c>
      <c r="L850" s="166">
        <f t="shared" si="283"/>
        <v>832</v>
      </c>
      <c r="M850" s="167" t="s">
        <v>780</v>
      </c>
      <c r="N850" s="154" t="s">
        <v>877</v>
      </c>
      <c r="O850" s="154">
        <v>23</v>
      </c>
      <c r="P850" s="154" t="s">
        <v>876</v>
      </c>
      <c r="Q850" s="154">
        <v>23</v>
      </c>
      <c r="R850" s="150"/>
      <c r="S850" s="154"/>
      <c r="T850" s="45">
        <v>6675</v>
      </c>
      <c r="U850" s="45" t="s">
        <v>1763</v>
      </c>
      <c r="V850" s="45" t="s">
        <v>1761</v>
      </c>
      <c r="W850" s="45" t="s">
        <v>1762</v>
      </c>
      <c r="X850" s="98">
        <v>44816</v>
      </c>
      <c r="Y850" s="98">
        <v>45086</v>
      </c>
      <c r="Z850" s="98"/>
      <c r="AA850" s="98"/>
      <c r="AB850" s="41" t="s">
        <v>1118</v>
      </c>
      <c r="AC850" s="41"/>
      <c r="AD850" s="36"/>
      <c r="AE850" s="36"/>
      <c r="AF850" s="36"/>
      <c r="AG850" s="42" t="s">
        <v>734</v>
      </c>
      <c r="AH850" s="42" t="s">
        <v>734</v>
      </c>
      <c r="AI850" s="42" t="s">
        <v>734</v>
      </c>
      <c r="AJ850" s="42" t="s">
        <v>734</v>
      </c>
      <c r="AK850" s="42" t="s">
        <v>734</v>
      </c>
      <c r="AL850" s="42" t="s">
        <v>734</v>
      </c>
      <c r="AM850" s="42" t="s">
        <v>734</v>
      </c>
      <c r="AN850" s="36"/>
      <c r="AO850" s="36"/>
      <c r="AP850" s="36"/>
      <c r="AQ850" s="36"/>
      <c r="AR850" s="42"/>
      <c r="AS850" s="42"/>
      <c r="AT850" s="42"/>
      <c r="AU850" s="42"/>
      <c r="AV850" s="42"/>
      <c r="AW850" s="42"/>
      <c r="AX850" s="68">
        <v>48.25</v>
      </c>
      <c r="AY850" s="68"/>
      <c r="BD850" s="67">
        <f t="shared" si="285"/>
        <v>10036</v>
      </c>
      <c r="BE850" s="67"/>
      <c r="BG850" s="73">
        <v>1</v>
      </c>
      <c r="BH850" s="67">
        <f t="shared" si="295"/>
        <v>0</v>
      </c>
      <c r="BI850" s="67">
        <f t="shared" si="296"/>
        <v>0</v>
      </c>
      <c r="BJ850" s="70">
        <f t="shared" si="297"/>
        <v>0</v>
      </c>
      <c r="BO850" s="70">
        <f t="shared" si="286"/>
        <v>0</v>
      </c>
      <c r="BP850" s="37">
        <v>17</v>
      </c>
      <c r="BQ850" s="37">
        <v>25</v>
      </c>
      <c r="BR850" s="37">
        <v>25</v>
      </c>
      <c r="BS850" s="37">
        <v>18</v>
      </c>
      <c r="BT850" s="87">
        <f t="shared" si="287"/>
        <v>48.25</v>
      </c>
      <c r="BU850" s="87"/>
      <c r="BV850" s="87"/>
      <c r="BW850" s="87"/>
      <c r="BX850" s="87"/>
      <c r="BY850" s="87"/>
      <c r="BZ850" s="87"/>
      <c r="CA850" s="87"/>
      <c r="CB850" s="87"/>
      <c r="CC850" s="87"/>
      <c r="CD850" s="87"/>
      <c r="CF850" s="67">
        <f t="shared" si="288"/>
        <v>820.25</v>
      </c>
      <c r="CG850" s="67">
        <f t="shared" si="289"/>
        <v>1206.25</v>
      </c>
      <c r="CH850" s="67">
        <f t="shared" si="284"/>
        <v>1206.25</v>
      </c>
      <c r="CI850" s="67">
        <f t="shared" si="294"/>
        <v>868.5</v>
      </c>
      <c r="CJ850" s="37">
        <f t="shared" si="290"/>
        <v>68</v>
      </c>
      <c r="CK850" s="37">
        <f t="shared" si="291"/>
        <v>100</v>
      </c>
      <c r="CL850" s="37">
        <f t="shared" si="292"/>
        <v>100</v>
      </c>
      <c r="CM850" s="37">
        <f t="shared" si="293"/>
        <v>72</v>
      </c>
    </row>
    <row r="851" spans="1:91" s="66" customFormat="1" ht="25.5">
      <c r="A851" s="178" t="s">
        <v>1179</v>
      </c>
      <c r="B851" s="156">
        <v>835</v>
      </c>
      <c r="C851" s="160">
        <v>632</v>
      </c>
      <c r="D851" s="160">
        <v>777</v>
      </c>
      <c r="E851" s="161">
        <v>0.54513888888888895</v>
      </c>
      <c r="F851" s="161">
        <v>0.55208333333333337</v>
      </c>
      <c r="G851" s="160" t="s">
        <v>117</v>
      </c>
      <c r="H851" s="160" t="s">
        <v>1051</v>
      </c>
      <c r="I851" s="163">
        <v>2</v>
      </c>
      <c r="J851" s="164" t="s">
        <v>116</v>
      </c>
      <c r="K851" s="165">
        <v>34</v>
      </c>
      <c r="L851" s="166">
        <f t="shared" si="283"/>
        <v>68</v>
      </c>
      <c r="M851" s="167" t="s">
        <v>780</v>
      </c>
      <c r="N851" s="150" t="s">
        <v>879</v>
      </c>
      <c r="O851" s="150">
        <v>21</v>
      </c>
      <c r="P851" s="150" t="s">
        <v>1076</v>
      </c>
      <c r="Q851" s="150">
        <v>23</v>
      </c>
      <c r="R851" s="150"/>
      <c r="S851" s="150"/>
      <c r="T851" s="45" t="s">
        <v>1756</v>
      </c>
      <c r="U851" s="45" t="s">
        <v>1757</v>
      </c>
      <c r="V851" s="45">
        <v>6579</v>
      </c>
      <c r="W851" s="45" t="s">
        <v>1760</v>
      </c>
      <c r="X851" s="98">
        <v>44816</v>
      </c>
      <c r="Y851" s="98">
        <v>45086</v>
      </c>
      <c r="Z851" s="98"/>
      <c r="AA851" s="98"/>
      <c r="AB851" s="46" t="s">
        <v>1129</v>
      </c>
      <c r="AC851" s="46"/>
      <c r="AD851" s="36"/>
      <c r="AE851" s="36"/>
      <c r="AF851" s="36"/>
      <c r="AG851" s="36" t="s">
        <v>734</v>
      </c>
      <c r="AH851" s="36"/>
      <c r="AI851" s="36" t="s">
        <v>734</v>
      </c>
      <c r="AJ851" s="36"/>
      <c r="AK851" s="36"/>
      <c r="AL851" s="36"/>
      <c r="AM851" s="36"/>
      <c r="AN851" s="36"/>
      <c r="AO851" s="36"/>
      <c r="AP851" s="36"/>
      <c r="AQ851" s="36"/>
      <c r="AR851" s="36"/>
      <c r="AS851" s="36"/>
      <c r="AT851" s="36"/>
      <c r="AU851" s="36"/>
      <c r="AV851" s="36"/>
      <c r="AW851" s="36"/>
      <c r="AX851" s="68">
        <f>((6*34)+(12.6*34))/68</f>
        <v>9.2999999999999989</v>
      </c>
      <c r="AY851" s="68"/>
      <c r="BD851" s="67">
        <f t="shared" si="285"/>
        <v>316.2</v>
      </c>
      <c r="BE851" s="67"/>
      <c r="BG851" s="73">
        <v>1</v>
      </c>
      <c r="BH851" s="67">
        <f t="shared" si="295"/>
        <v>0</v>
      </c>
      <c r="BI851" s="67">
        <f t="shared" si="296"/>
        <v>0</v>
      </c>
      <c r="BJ851" s="70">
        <f t="shared" si="297"/>
        <v>0</v>
      </c>
      <c r="BO851" s="70">
        <f t="shared" si="286"/>
        <v>0</v>
      </c>
      <c r="BP851" s="66">
        <v>3</v>
      </c>
      <c r="BQ851" s="66">
        <v>4</v>
      </c>
      <c r="BR851" s="66">
        <v>4</v>
      </c>
      <c r="BS851" s="66">
        <v>3</v>
      </c>
      <c r="BT851" s="87">
        <f t="shared" si="287"/>
        <v>9.2999999999999989</v>
      </c>
      <c r="BU851" s="87"/>
      <c r="BV851" s="87"/>
      <c r="BW851" s="87"/>
      <c r="BX851" s="87"/>
      <c r="BY851" s="87"/>
      <c r="BZ851" s="87"/>
      <c r="CA851" s="87"/>
      <c r="CB851" s="87"/>
      <c r="CC851" s="87"/>
      <c r="CD851" s="87"/>
      <c r="CF851" s="67">
        <f t="shared" si="288"/>
        <v>27.9</v>
      </c>
      <c r="CG851" s="67">
        <f t="shared" si="289"/>
        <v>37.199999999999996</v>
      </c>
      <c r="CH851" s="67">
        <f t="shared" si="284"/>
        <v>37.199999999999996</v>
      </c>
      <c r="CI851" s="67">
        <f t="shared" si="294"/>
        <v>27.9</v>
      </c>
      <c r="CJ851" s="37">
        <f t="shared" si="290"/>
        <v>6</v>
      </c>
      <c r="CK851" s="37">
        <f t="shared" si="291"/>
        <v>8</v>
      </c>
      <c r="CL851" s="37">
        <f t="shared" si="292"/>
        <v>8</v>
      </c>
      <c r="CM851" s="37">
        <f t="shared" si="293"/>
        <v>6</v>
      </c>
    </row>
    <row r="852" spans="1:91" s="66" customFormat="1" ht="25.5">
      <c r="A852" s="152"/>
      <c r="B852" s="156">
        <v>836</v>
      </c>
      <c r="C852" s="160">
        <v>632</v>
      </c>
      <c r="D852" s="160">
        <v>712</v>
      </c>
      <c r="E852" s="161">
        <v>0.54861111111111105</v>
      </c>
      <c r="F852" s="161">
        <v>0.57291666666666663</v>
      </c>
      <c r="G852" s="160" t="s">
        <v>112</v>
      </c>
      <c r="H852" s="160" t="s">
        <v>103</v>
      </c>
      <c r="I852" s="163">
        <v>19</v>
      </c>
      <c r="J852" s="164" t="s">
        <v>111</v>
      </c>
      <c r="K852" s="165">
        <v>174</v>
      </c>
      <c r="L852" s="166">
        <f t="shared" si="283"/>
        <v>3306</v>
      </c>
      <c r="M852" s="167" t="s">
        <v>783</v>
      </c>
      <c r="N852" s="150" t="s">
        <v>981</v>
      </c>
      <c r="O852" s="150">
        <v>58</v>
      </c>
      <c r="P852" s="150" t="s">
        <v>980</v>
      </c>
      <c r="Q852" s="150">
        <v>51</v>
      </c>
      <c r="R852" s="150"/>
      <c r="S852" s="150"/>
      <c r="T852" s="45">
        <v>6220</v>
      </c>
      <c r="U852" s="45" t="s">
        <v>1384</v>
      </c>
      <c r="V852" s="45">
        <v>6686</v>
      </c>
      <c r="W852" s="45" t="s">
        <v>1759</v>
      </c>
      <c r="X852" s="98">
        <v>44816</v>
      </c>
      <c r="Y852" s="98">
        <v>45086</v>
      </c>
      <c r="Z852" s="98"/>
      <c r="AA852" s="98"/>
      <c r="AB852" s="41" t="s">
        <v>1114</v>
      </c>
      <c r="AC852" s="41"/>
      <c r="AD852" s="36"/>
      <c r="AE852" s="36"/>
      <c r="AF852" s="36"/>
      <c r="AG852" s="42" t="s">
        <v>734</v>
      </c>
      <c r="AH852" s="42" t="s">
        <v>734</v>
      </c>
      <c r="AI852" s="42" t="s">
        <v>734</v>
      </c>
      <c r="AJ852" s="42" t="s">
        <v>734</v>
      </c>
      <c r="AK852" s="42" t="s">
        <v>734</v>
      </c>
      <c r="AL852" s="42" t="s">
        <v>734</v>
      </c>
      <c r="AM852" s="36"/>
      <c r="AN852" s="36"/>
      <c r="AO852" s="36"/>
      <c r="AP852" s="36"/>
      <c r="AQ852" s="36"/>
      <c r="AR852" s="42"/>
      <c r="AS852" s="42"/>
      <c r="AT852" s="42"/>
      <c r="AU852" s="42"/>
      <c r="AV852" s="42"/>
      <c r="AW852" s="36"/>
      <c r="AX852" s="68">
        <v>146.15</v>
      </c>
      <c r="AY852" s="68"/>
      <c r="BD852" s="67">
        <f t="shared" si="285"/>
        <v>25430.100000000002</v>
      </c>
      <c r="BE852" s="67"/>
      <c r="BG852" s="69">
        <v>2</v>
      </c>
      <c r="BH852" s="67">
        <f t="shared" si="295"/>
        <v>0</v>
      </c>
      <c r="BI852" s="67">
        <f t="shared" si="296"/>
        <v>0</v>
      </c>
      <c r="BJ852" s="70">
        <f t="shared" si="297"/>
        <v>0</v>
      </c>
      <c r="BO852" s="70">
        <f t="shared" si="286"/>
        <v>0</v>
      </c>
      <c r="BP852" s="37">
        <v>15</v>
      </c>
      <c r="BQ852" s="37">
        <v>20</v>
      </c>
      <c r="BR852" s="37">
        <v>21</v>
      </c>
      <c r="BS852" s="37">
        <v>15</v>
      </c>
      <c r="BT852" s="87">
        <f t="shared" si="287"/>
        <v>146.15</v>
      </c>
      <c r="BU852" s="87"/>
      <c r="BV852" s="87"/>
      <c r="BW852" s="87"/>
      <c r="BX852" s="87"/>
      <c r="BY852" s="87"/>
      <c r="BZ852" s="87"/>
      <c r="CA852" s="87"/>
      <c r="CB852" s="87"/>
      <c r="CC852" s="87"/>
      <c r="CD852" s="87"/>
      <c r="CF852" s="67">
        <f t="shared" si="288"/>
        <v>2192.25</v>
      </c>
      <c r="CG852" s="67">
        <f t="shared" si="289"/>
        <v>2923</v>
      </c>
      <c r="CH852" s="67">
        <f t="shared" si="284"/>
        <v>3069.15</v>
      </c>
      <c r="CI852" s="67">
        <f t="shared" si="294"/>
        <v>2192.25</v>
      </c>
      <c r="CJ852" s="37">
        <f t="shared" si="290"/>
        <v>285</v>
      </c>
      <c r="CK852" s="37">
        <f t="shared" si="291"/>
        <v>380</v>
      </c>
      <c r="CL852" s="37">
        <f t="shared" si="292"/>
        <v>399</v>
      </c>
      <c r="CM852" s="37">
        <f t="shared" si="293"/>
        <v>285</v>
      </c>
    </row>
    <row r="853" spans="1:91" s="66" customFormat="1" ht="25.5">
      <c r="A853" s="178" t="s">
        <v>1179</v>
      </c>
      <c r="B853" s="156">
        <v>837</v>
      </c>
      <c r="C853" s="160">
        <v>632</v>
      </c>
      <c r="D853" s="160">
        <v>780</v>
      </c>
      <c r="E853" s="161">
        <v>0.55208333333333337</v>
      </c>
      <c r="F853" s="161">
        <v>0.55902777777777779</v>
      </c>
      <c r="G853" s="174" t="s">
        <v>117</v>
      </c>
      <c r="H853" s="174" t="s">
        <v>1052</v>
      </c>
      <c r="I853" s="163">
        <v>5</v>
      </c>
      <c r="J853" s="164" t="s">
        <v>116</v>
      </c>
      <c r="K853" s="165">
        <v>34</v>
      </c>
      <c r="L853" s="166">
        <f t="shared" ref="L853:L916" si="298">+K853*I853</f>
        <v>170</v>
      </c>
      <c r="M853" s="167" t="s">
        <v>780</v>
      </c>
      <c r="N853" s="150" t="s">
        <v>879</v>
      </c>
      <c r="O853" s="150">
        <v>21</v>
      </c>
      <c r="P853" s="150" t="s">
        <v>1076</v>
      </c>
      <c r="Q853" s="150">
        <v>23</v>
      </c>
      <c r="R853" s="150"/>
      <c r="S853" s="150"/>
      <c r="T853" s="45" t="s">
        <v>1756</v>
      </c>
      <c r="U853" s="45" t="s">
        <v>1757</v>
      </c>
      <c r="V853" s="45">
        <v>6579</v>
      </c>
      <c r="W853" s="45" t="s">
        <v>1760</v>
      </c>
      <c r="X853" s="98">
        <v>44816</v>
      </c>
      <c r="Y853" s="98">
        <v>45086</v>
      </c>
      <c r="Z853" s="98"/>
      <c r="AA853" s="98"/>
      <c r="AB853" s="46" t="s">
        <v>1168</v>
      </c>
      <c r="AC853" s="46"/>
      <c r="AD853" s="36"/>
      <c r="AE853" s="36"/>
      <c r="AF853" s="36"/>
      <c r="AG853" s="36" t="s">
        <v>734</v>
      </c>
      <c r="AH853" s="36"/>
      <c r="AI853" s="36"/>
      <c r="AJ853" s="36"/>
      <c r="AK853" s="36" t="s">
        <v>734</v>
      </c>
      <c r="AL853" s="36"/>
      <c r="AM853" s="36"/>
      <c r="AN853" s="36"/>
      <c r="AO853" s="36"/>
      <c r="AP853" s="36"/>
      <c r="AQ853" s="36"/>
      <c r="AR853" s="36"/>
      <c r="AS853" s="36"/>
      <c r="AT853" s="36"/>
      <c r="AU853" s="36"/>
      <c r="AV853" s="36"/>
      <c r="AW853" s="36"/>
      <c r="AX853" s="68">
        <f>((6*34)+(12.6*34))/68</f>
        <v>9.2999999999999989</v>
      </c>
      <c r="AY853" s="68"/>
      <c r="BD853" s="67">
        <f t="shared" si="285"/>
        <v>316.2</v>
      </c>
      <c r="BE853" s="67"/>
      <c r="BG853" s="73">
        <v>1</v>
      </c>
      <c r="BH853" s="67">
        <f t="shared" si="295"/>
        <v>0.70000000000000107</v>
      </c>
      <c r="BI853" s="67">
        <f t="shared" si="296"/>
        <v>0</v>
      </c>
      <c r="BJ853" s="67">
        <f t="shared" si="297"/>
        <v>23.800000000000036</v>
      </c>
      <c r="BO853" s="70">
        <f t="shared" si="286"/>
        <v>0</v>
      </c>
      <c r="BP853" s="66">
        <v>3</v>
      </c>
      <c r="BQ853" s="66">
        <v>4</v>
      </c>
      <c r="BR853" s="66">
        <v>4</v>
      </c>
      <c r="BS853" s="66">
        <v>3</v>
      </c>
      <c r="BT853" s="87">
        <f t="shared" si="287"/>
        <v>10</v>
      </c>
      <c r="BU853" s="87"/>
      <c r="BV853" s="87"/>
      <c r="BW853" s="87"/>
      <c r="BX853" s="87"/>
      <c r="BY853" s="87"/>
      <c r="BZ853" s="87"/>
      <c r="CA853" s="87"/>
      <c r="CB853" s="87"/>
      <c r="CC853" s="87"/>
      <c r="CD853" s="87"/>
      <c r="CF853" s="67">
        <f t="shared" si="288"/>
        <v>30</v>
      </c>
      <c r="CG853" s="67">
        <f t="shared" si="289"/>
        <v>40</v>
      </c>
      <c r="CH853" s="67">
        <f t="shared" ref="CH853:CH916" si="299">(BR853*BT853)+(BZ853*CD853)</f>
        <v>40</v>
      </c>
      <c r="CI853" s="67">
        <f t="shared" si="294"/>
        <v>30</v>
      </c>
      <c r="CJ853" s="37">
        <f t="shared" si="290"/>
        <v>15</v>
      </c>
      <c r="CK853" s="37">
        <f t="shared" si="291"/>
        <v>20</v>
      </c>
      <c r="CL853" s="37">
        <f t="shared" si="292"/>
        <v>20</v>
      </c>
      <c r="CM853" s="37">
        <f t="shared" si="293"/>
        <v>15</v>
      </c>
    </row>
    <row r="854" spans="1:91" s="66" customFormat="1" ht="25.5">
      <c r="A854" s="3" t="s">
        <v>804</v>
      </c>
      <c r="B854" s="156">
        <v>838</v>
      </c>
      <c r="C854" s="160">
        <v>632</v>
      </c>
      <c r="D854" s="174">
        <v>730</v>
      </c>
      <c r="E854" s="173">
        <v>0.57638888888888895</v>
      </c>
      <c r="F854" s="173">
        <v>0.58333333333333337</v>
      </c>
      <c r="G854" s="160" t="s">
        <v>316</v>
      </c>
      <c r="H854" s="160" t="s">
        <v>103</v>
      </c>
      <c r="I854" s="163">
        <v>4</v>
      </c>
      <c r="J854" s="164" t="s">
        <v>93</v>
      </c>
      <c r="K854" s="165">
        <v>174</v>
      </c>
      <c r="L854" s="166">
        <f t="shared" si="298"/>
        <v>696</v>
      </c>
      <c r="M854" s="167" t="s">
        <v>780</v>
      </c>
      <c r="N854" s="150" t="s">
        <v>1076</v>
      </c>
      <c r="O854" s="150">
        <v>23</v>
      </c>
      <c r="P854" s="150" t="s">
        <v>877</v>
      </c>
      <c r="Q854" s="150">
        <v>23</v>
      </c>
      <c r="R854" s="150" t="s">
        <v>1306</v>
      </c>
      <c r="S854" s="152">
        <v>9</v>
      </c>
      <c r="T854" s="45">
        <v>6675</v>
      </c>
      <c r="U854" s="45" t="s">
        <v>1763</v>
      </c>
      <c r="V854" s="45" t="s">
        <v>1767</v>
      </c>
      <c r="W854" s="45" t="s">
        <v>1768</v>
      </c>
      <c r="X854" s="98">
        <v>44816</v>
      </c>
      <c r="Y854" s="98">
        <v>45086</v>
      </c>
      <c r="Z854" s="98"/>
      <c r="AA854" s="98"/>
      <c r="AB854" s="41" t="s">
        <v>1114</v>
      </c>
      <c r="AC854" s="41"/>
      <c r="AD854" s="36"/>
      <c r="AE854" s="36"/>
      <c r="AF854" s="36"/>
      <c r="AG854" s="42" t="s">
        <v>734</v>
      </c>
      <c r="AH854" s="42" t="s">
        <v>734</v>
      </c>
      <c r="AI854" s="42" t="s">
        <v>734</v>
      </c>
      <c r="AJ854" s="42" t="s">
        <v>734</v>
      </c>
      <c r="AK854" s="42" t="s">
        <v>734</v>
      </c>
      <c r="AL854" s="42" t="s">
        <v>734</v>
      </c>
      <c r="AM854" s="36"/>
      <c r="AN854" s="36"/>
      <c r="AO854" s="36"/>
      <c r="AP854" s="36"/>
      <c r="AQ854" s="36"/>
      <c r="AR854" s="42"/>
      <c r="AS854" s="42"/>
      <c r="AT854" s="42"/>
      <c r="AU854" s="42"/>
      <c r="AV854" s="42"/>
      <c r="AW854" s="36"/>
      <c r="AX854" s="68"/>
      <c r="AY854" s="67"/>
      <c r="AZ854" s="67">
        <f>3*I854</f>
        <v>12</v>
      </c>
      <c r="BA854" s="68"/>
      <c r="BB854" s="68"/>
      <c r="BC854" s="37"/>
      <c r="BD854" s="37"/>
      <c r="BE854" s="37"/>
      <c r="BF854" s="67">
        <f>AZ854*K854</f>
        <v>2088</v>
      </c>
      <c r="BG854" s="73">
        <v>1</v>
      </c>
      <c r="BH854" s="85"/>
      <c r="BI854" s="79"/>
      <c r="BJ854" s="85"/>
      <c r="BK854" s="85"/>
      <c r="BL854" s="85"/>
      <c r="BM854" s="85"/>
      <c r="BO854" s="70">
        <f t="shared" si="286"/>
        <v>0</v>
      </c>
      <c r="BP854" s="37">
        <v>15</v>
      </c>
      <c r="BQ854" s="37">
        <v>20</v>
      </c>
      <c r="BR854" s="37">
        <v>21</v>
      </c>
      <c r="BS854" s="37">
        <v>15</v>
      </c>
      <c r="BT854" s="87">
        <f t="shared" si="287"/>
        <v>12</v>
      </c>
      <c r="BU854" s="87"/>
      <c r="BV854" s="87"/>
      <c r="BW854" s="87"/>
      <c r="BX854" s="87"/>
      <c r="BY854" s="87"/>
      <c r="BZ854" s="87"/>
      <c r="CA854" s="87"/>
      <c r="CB854" s="87"/>
      <c r="CC854" s="87"/>
      <c r="CD854" s="87"/>
      <c r="CF854" s="67">
        <f t="shared" si="288"/>
        <v>180</v>
      </c>
      <c r="CG854" s="67">
        <f t="shared" si="289"/>
        <v>240</v>
      </c>
      <c r="CH854" s="67">
        <f t="shared" si="299"/>
        <v>252</v>
      </c>
      <c r="CI854" s="67">
        <f t="shared" si="294"/>
        <v>180</v>
      </c>
      <c r="CJ854" s="37">
        <f t="shared" si="290"/>
        <v>60</v>
      </c>
      <c r="CK854" s="37">
        <f t="shared" si="291"/>
        <v>80</v>
      </c>
      <c r="CL854" s="37">
        <f t="shared" si="292"/>
        <v>84</v>
      </c>
      <c r="CM854" s="37">
        <f t="shared" si="293"/>
        <v>60</v>
      </c>
    </row>
    <row r="855" spans="1:91" s="66" customFormat="1" ht="25.5">
      <c r="A855" s="152"/>
      <c r="B855" s="156">
        <v>839</v>
      </c>
      <c r="C855" s="169">
        <v>632</v>
      </c>
      <c r="D855" s="169">
        <v>151</v>
      </c>
      <c r="E855" s="170">
        <v>0.68541666666666667</v>
      </c>
      <c r="F855" s="170">
        <v>0.69444444444444453</v>
      </c>
      <c r="G855" s="171" t="s">
        <v>58</v>
      </c>
      <c r="H855" s="171" t="s">
        <v>660</v>
      </c>
      <c r="I855" s="169">
        <v>7</v>
      </c>
      <c r="J855" s="172">
        <v>19</v>
      </c>
      <c r="K855" s="165">
        <f>174-36</f>
        <v>138</v>
      </c>
      <c r="L855" s="166">
        <f t="shared" si="298"/>
        <v>966</v>
      </c>
      <c r="M855" s="167" t="s">
        <v>784</v>
      </c>
      <c r="N855" s="150" t="s">
        <v>830</v>
      </c>
      <c r="O855" s="150" t="s">
        <v>831</v>
      </c>
      <c r="P855" s="150" t="s">
        <v>829</v>
      </c>
      <c r="Q855" s="150">
        <v>21</v>
      </c>
      <c r="R855" s="154" t="s">
        <v>1307</v>
      </c>
      <c r="S855" s="151">
        <v>17</v>
      </c>
      <c r="T855" s="45">
        <v>6660</v>
      </c>
      <c r="U855" s="45" t="s">
        <v>1766</v>
      </c>
      <c r="V855" s="45">
        <v>6220</v>
      </c>
      <c r="W855" s="45" t="s">
        <v>1384</v>
      </c>
      <c r="X855" s="98">
        <v>44816</v>
      </c>
      <c r="Y855" s="98">
        <v>45086</v>
      </c>
      <c r="Z855" s="98"/>
      <c r="AA855" s="98"/>
      <c r="AB855" s="43" t="s">
        <v>1117</v>
      </c>
      <c r="AC855" s="43"/>
      <c r="AD855" s="36"/>
      <c r="AE855" s="36"/>
      <c r="AF855" s="36"/>
      <c r="AG855" s="36" t="s">
        <v>734</v>
      </c>
      <c r="AH855" s="36" t="s">
        <v>734</v>
      </c>
      <c r="AI855" s="36" t="s">
        <v>734</v>
      </c>
      <c r="AJ855" s="36" t="s">
        <v>734</v>
      </c>
      <c r="AK855" s="36" t="s">
        <v>734</v>
      </c>
      <c r="AL855" s="36"/>
      <c r="AM855" s="36"/>
      <c r="AN855" s="36"/>
      <c r="AO855" s="36"/>
      <c r="AP855" s="36"/>
      <c r="AQ855" s="36"/>
      <c r="AR855" s="36"/>
      <c r="AS855" s="36"/>
      <c r="AT855" s="36"/>
      <c r="AU855" s="36"/>
      <c r="AV855" s="36"/>
      <c r="AW855" s="36"/>
      <c r="AX855" s="68"/>
      <c r="AY855" s="68"/>
      <c r="BA855" s="38" t="s">
        <v>784</v>
      </c>
      <c r="BB855" s="38"/>
      <c r="BD855" s="67">
        <f t="shared" ref="BD855:BD886" si="300">AX855*K855</f>
        <v>0</v>
      </c>
      <c r="BG855" s="73">
        <v>1</v>
      </c>
      <c r="BI855" s="67"/>
      <c r="BO855" s="70">
        <f t="shared" si="286"/>
        <v>0</v>
      </c>
      <c r="BP855" s="37">
        <v>12</v>
      </c>
      <c r="BQ855" s="37">
        <v>16</v>
      </c>
      <c r="BR855" s="37">
        <v>17</v>
      </c>
      <c r="BS855" s="37">
        <v>12</v>
      </c>
      <c r="BT855" s="87">
        <f t="shared" si="287"/>
        <v>0</v>
      </c>
      <c r="BU855" s="87" t="s">
        <v>1871</v>
      </c>
      <c r="BV855" s="126">
        <v>1</v>
      </c>
      <c r="BW855" s="126"/>
      <c r="BX855" s="127">
        <v>1</v>
      </c>
      <c r="BY855" s="127"/>
      <c r="BZ855" s="127">
        <v>1</v>
      </c>
      <c r="CA855" s="127"/>
      <c r="CB855" s="127">
        <v>1</v>
      </c>
      <c r="CC855" s="127"/>
      <c r="CD855" s="87">
        <v>3750</v>
      </c>
      <c r="CF855" s="67">
        <f t="shared" si="288"/>
        <v>3750</v>
      </c>
      <c r="CG855" s="67">
        <f t="shared" si="289"/>
        <v>3750</v>
      </c>
      <c r="CH855" s="67">
        <f t="shared" si="299"/>
        <v>3750</v>
      </c>
      <c r="CI855" s="67">
        <f t="shared" si="294"/>
        <v>3750</v>
      </c>
      <c r="CJ855" s="37">
        <f t="shared" si="290"/>
        <v>84</v>
      </c>
      <c r="CK855" s="37">
        <f t="shared" si="291"/>
        <v>112</v>
      </c>
      <c r="CL855" s="37">
        <f t="shared" si="292"/>
        <v>119</v>
      </c>
      <c r="CM855" s="37">
        <f t="shared" si="293"/>
        <v>84</v>
      </c>
    </row>
    <row r="856" spans="1:91" s="66" customFormat="1" ht="25.5">
      <c r="A856" s="152"/>
      <c r="B856" s="156">
        <v>840</v>
      </c>
      <c r="C856" s="169">
        <v>632</v>
      </c>
      <c r="D856" s="169">
        <v>152</v>
      </c>
      <c r="E856" s="170">
        <v>0.6875</v>
      </c>
      <c r="F856" s="170">
        <v>0.7006944444444444</v>
      </c>
      <c r="G856" s="171" t="s">
        <v>59</v>
      </c>
      <c r="H856" s="160" t="s">
        <v>591</v>
      </c>
      <c r="I856" s="169">
        <v>7</v>
      </c>
      <c r="J856" s="172">
        <v>19</v>
      </c>
      <c r="K856" s="165">
        <v>44</v>
      </c>
      <c r="L856" s="166">
        <f t="shared" si="298"/>
        <v>308</v>
      </c>
      <c r="M856" s="167" t="s">
        <v>779</v>
      </c>
      <c r="N856" s="154" t="s">
        <v>862</v>
      </c>
      <c r="O856" s="154">
        <v>21</v>
      </c>
      <c r="P856" s="154" t="s">
        <v>1300</v>
      </c>
      <c r="Q856" s="154">
        <v>31</v>
      </c>
      <c r="R856" s="150"/>
      <c r="S856" s="154"/>
      <c r="T856" s="45">
        <v>6220</v>
      </c>
      <c r="U856" s="45" t="s">
        <v>1384</v>
      </c>
      <c r="V856" s="45">
        <v>6660</v>
      </c>
      <c r="W856" s="45" t="s">
        <v>1766</v>
      </c>
      <c r="X856" s="99">
        <v>44562</v>
      </c>
      <c r="Y856" s="99">
        <v>44815</v>
      </c>
      <c r="Z856" s="99">
        <v>45101</v>
      </c>
      <c r="AA856" s="99">
        <v>45169</v>
      </c>
      <c r="AB856" s="46" t="s">
        <v>1155</v>
      </c>
      <c r="AC856" s="46"/>
      <c r="AD856" s="36"/>
      <c r="AE856" s="44" t="s">
        <v>734</v>
      </c>
      <c r="AF856" s="44" t="s">
        <v>734</v>
      </c>
      <c r="AG856" s="44"/>
      <c r="AH856" s="44" t="s">
        <v>734</v>
      </c>
      <c r="AI856" s="44" t="s">
        <v>734</v>
      </c>
      <c r="AJ856" s="44" t="s">
        <v>734</v>
      </c>
      <c r="AK856" s="44" t="s">
        <v>734</v>
      </c>
      <c r="AL856" s="36"/>
      <c r="AM856" s="36"/>
      <c r="AN856" s="36"/>
      <c r="AO856" s="36"/>
      <c r="AP856" s="36"/>
      <c r="AQ856" s="36"/>
      <c r="AR856" s="44"/>
      <c r="AS856" s="44"/>
      <c r="AT856" s="44"/>
      <c r="AU856" s="44"/>
      <c r="AV856" s="36"/>
      <c r="AW856" s="36"/>
      <c r="AX856" s="67"/>
      <c r="AY856" s="67"/>
      <c r="BA856" s="40" t="s">
        <v>779</v>
      </c>
      <c r="BB856" s="40"/>
      <c r="BD856" s="67">
        <f t="shared" si="300"/>
        <v>0</v>
      </c>
      <c r="BG856" s="73">
        <v>1</v>
      </c>
      <c r="BI856" s="67"/>
      <c r="BO856" s="70">
        <f t="shared" si="286"/>
        <v>0</v>
      </c>
      <c r="BP856" s="37">
        <v>5</v>
      </c>
      <c r="BQ856" s="37">
        <v>0</v>
      </c>
      <c r="BR856" s="37">
        <v>0</v>
      </c>
      <c r="BS856" s="37">
        <v>0</v>
      </c>
      <c r="BT856" s="87">
        <f t="shared" si="287"/>
        <v>0</v>
      </c>
      <c r="BU856" s="87"/>
      <c r="BV856" s="87"/>
      <c r="BW856" s="87"/>
      <c r="BX856" s="87"/>
      <c r="BY856" s="87"/>
      <c r="BZ856" s="87"/>
      <c r="CA856" s="87"/>
      <c r="CB856" s="87"/>
      <c r="CC856" s="87"/>
      <c r="CD856" s="87"/>
      <c r="CF856" s="67">
        <f t="shared" si="288"/>
        <v>0</v>
      </c>
      <c r="CG856" s="67">
        <f t="shared" si="289"/>
        <v>0</v>
      </c>
      <c r="CH856" s="67">
        <f t="shared" si="299"/>
        <v>0</v>
      </c>
      <c r="CI856" s="67">
        <f t="shared" si="294"/>
        <v>0</v>
      </c>
      <c r="CJ856" s="37">
        <f t="shared" si="290"/>
        <v>35</v>
      </c>
      <c r="CK856" s="37">
        <f t="shared" si="291"/>
        <v>0</v>
      </c>
      <c r="CL856" s="37">
        <f t="shared" si="292"/>
        <v>0</v>
      </c>
      <c r="CM856" s="37">
        <f t="shared" si="293"/>
        <v>0</v>
      </c>
    </row>
    <row r="857" spans="1:91" s="66" customFormat="1" ht="25.5">
      <c r="A857" s="152"/>
      <c r="B857" s="156">
        <v>841</v>
      </c>
      <c r="C857" s="169">
        <v>632</v>
      </c>
      <c r="D857" s="189">
        <v>147</v>
      </c>
      <c r="E857" s="170">
        <v>0.69791666666666663</v>
      </c>
      <c r="F857" s="170">
        <v>0.70833333333333337</v>
      </c>
      <c r="G857" s="171" t="s">
        <v>58</v>
      </c>
      <c r="H857" s="160" t="s">
        <v>591</v>
      </c>
      <c r="I857" s="169">
        <v>6</v>
      </c>
      <c r="J857" s="172">
        <v>19</v>
      </c>
      <c r="K857" s="165">
        <v>44</v>
      </c>
      <c r="L857" s="166">
        <f t="shared" si="298"/>
        <v>264</v>
      </c>
      <c r="M857" s="167" t="s">
        <v>779</v>
      </c>
      <c r="N857" s="154" t="s">
        <v>862</v>
      </c>
      <c r="O857" s="154">
        <v>21</v>
      </c>
      <c r="P857" s="154" t="s">
        <v>1300</v>
      </c>
      <c r="Q857" s="154">
        <v>31</v>
      </c>
      <c r="R857" s="150"/>
      <c r="S857" s="154"/>
      <c r="T857" s="45">
        <v>6660</v>
      </c>
      <c r="U857" s="45" t="s">
        <v>1766</v>
      </c>
      <c r="V857" s="45">
        <v>6220</v>
      </c>
      <c r="W857" s="45" t="s">
        <v>1384</v>
      </c>
      <c r="X857" s="99">
        <v>44562</v>
      </c>
      <c r="Y857" s="99">
        <v>44815</v>
      </c>
      <c r="Z857" s="99">
        <v>45101</v>
      </c>
      <c r="AA857" s="99">
        <v>45169</v>
      </c>
      <c r="AB857" s="46" t="s">
        <v>1155</v>
      </c>
      <c r="AC857" s="46"/>
      <c r="AD857" s="36"/>
      <c r="AE857" s="44" t="s">
        <v>734</v>
      </c>
      <c r="AF857" s="44" t="s">
        <v>734</v>
      </c>
      <c r="AG857" s="44"/>
      <c r="AH857" s="44" t="s">
        <v>734</v>
      </c>
      <c r="AI857" s="44" t="s">
        <v>734</v>
      </c>
      <c r="AJ857" s="44" t="s">
        <v>734</v>
      </c>
      <c r="AK857" s="44" t="s">
        <v>734</v>
      </c>
      <c r="AL857" s="36"/>
      <c r="AM857" s="36"/>
      <c r="AN857" s="36"/>
      <c r="AO857" s="36"/>
      <c r="AP857" s="36"/>
      <c r="AQ857" s="36"/>
      <c r="AR857" s="44"/>
      <c r="AS857" s="44"/>
      <c r="AT857" s="44"/>
      <c r="AU857" s="44"/>
      <c r="AV857" s="36"/>
      <c r="AW857" s="36"/>
      <c r="AX857" s="67"/>
      <c r="AY857" s="67"/>
      <c r="BA857" s="40" t="s">
        <v>779</v>
      </c>
      <c r="BB857" s="40"/>
      <c r="BD857" s="67">
        <f t="shared" si="300"/>
        <v>0</v>
      </c>
      <c r="BG857" s="73">
        <v>1</v>
      </c>
      <c r="BI857" s="67"/>
      <c r="BO857" s="70">
        <f t="shared" si="286"/>
        <v>0</v>
      </c>
      <c r="BP857" s="37">
        <v>5</v>
      </c>
      <c r="BQ857" s="37">
        <v>0</v>
      </c>
      <c r="BR857" s="37">
        <v>0</v>
      </c>
      <c r="BS857" s="37">
        <v>0</v>
      </c>
      <c r="BT857" s="87">
        <f t="shared" si="287"/>
        <v>0</v>
      </c>
      <c r="BU857" s="87"/>
      <c r="BV857" s="87"/>
      <c r="BW857" s="87"/>
      <c r="BX857" s="87"/>
      <c r="BY857" s="87"/>
      <c r="BZ857" s="87"/>
      <c r="CA857" s="87"/>
      <c r="CB857" s="87"/>
      <c r="CC857" s="87"/>
      <c r="CD857" s="87"/>
      <c r="CF857" s="67">
        <f t="shared" si="288"/>
        <v>0</v>
      </c>
      <c r="CG857" s="67">
        <f t="shared" si="289"/>
        <v>0</v>
      </c>
      <c r="CH857" s="67">
        <f t="shared" si="299"/>
        <v>0</v>
      </c>
      <c r="CI857" s="67">
        <f t="shared" si="294"/>
        <v>0</v>
      </c>
      <c r="CJ857" s="37">
        <f t="shared" si="290"/>
        <v>30</v>
      </c>
      <c r="CK857" s="37">
        <f t="shared" si="291"/>
        <v>0</v>
      </c>
      <c r="CL857" s="37">
        <f t="shared" si="292"/>
        <v>0</v>
      </c>
      <c r="CM857" s="37">
        <f t="shared" si="293"/>
        <v>0</v>
      </c>
    </row>
    <row r="858" spans="1:91" s="66" customFormat="1" ht="22.5">
      <c r="A858" s="178" t="s">
        <v>1179</v>
      </c>
      <c r="B858" s="156">
        <v>842</v>
      </c>
      <c r="C858" s="169">
        <v>632</v>
      </c>
      <c r="D858" s="169">
        <v>147</v>
      </c>
      <c r="E858" s="170">
        <v>0.70833333333333337</v>
      </c>
      <c r="F858" s="176">
        <v>0.74097222222222225</v>
      </c>
      <c r="G858" s="171" t="s">
        <v>56</v>
      </c>
      <c r="H858" s="185" t="s">
        <v>1053</v>
      </c>
      <c r="I858" s="169">
        <v>23</v>
      </c>
      <c r="J858" s="172">
        <v>19</v>
      </c>
      <c r="K858" s="179">
        <v>240</v>
      </c>
      <c r="L858" s="166">
        <f t="shared" si="298"/>
        <v>5520</v>
      </c>
      <c r="M858" s="167" t="s">
        <v>780</v>
      </c>
      <c r="N858" s="154" t="s">
        <v>796</v>
      </c>
      <c r="O858" s="154">
        <v>21</v>
      </c>
      <c r="P858" s="154" t="s">
        <v>877</v>
      </c>
      <c r="Q858" s="154">
        <v>23</v>
      </c>
      <c r="R858" s="213"/>
      <c r="S858" s="154"/>
      <c r="T858" s="45" t="s">
        <v>1756</v>
      </c>
      <c r="U858" s="45" t="s">
        <v>1757</v>
      </c>
      <c r="V858" s="45">
        <v>6220</v>
      </c>
      <c r="W858" s="45" t="s">
        <v>1384</v>
      </c>
      <c r="X858" s="99">
        <v>44816</v>
      </c>
      <c r="Y858" s="99">
        <v>45100</v>
      </c>
      <c r="Z858" s="99"/>
      <c r="AA858" s="99"/>
      <c r="AB858" s="48" t="s">
        <v>1124</v>
      </c>
      <c r="AC858" s="48"/>
      <c r="AD858" s="42" t="s">
        <v>734</v>
      </c>
      <c r="AE858" s="42"/>
      <c r="AF858" s="42" t="s">
        <v>734</v>
      </c>
      <c r="AG858" s="42"/>
      <c r="AH858" s="42" t="s">
        <v>734</v>
      </c>
      <c r="AI858" s="42" t="s">
        <v>734</v>
      </c>
      <c r="AJ858" s="42" t="s">
        <v>734</v>
      </c>
      <c r="AK858" s="42" t="s">
        <v>734</v>
      </c>
      <c r="AL858" s="42" t="s">
        <v>734</v>
      </c>
      <c r="AM858" s="42" t="s">
        <v>734</v>
      </c>
      <c r="AN858" s="36"/>
      <c r="AO858" s="36"/>
      <c r="AP858" s="36"/>
      <c r="AQ858" s="42"/>
      <c r="AR858" s="42"/>
      <c r="AS858" s="42"/>
      <c r="AT858" s="42"/>
      <c r="AU858" s="42"/>
      <c r="AV858" s="42"/>
      <c r="AW858" s="42"/>
      <c r="AX858" s="67"/>
      <c r="AY858" s="67">
        <f>1.9*23</f>
        <v>43.699999999999996</v>
      </c>
      <c r="BD858" s="67">
        <f t="shared" si="300"/>
        <v>0</v>
      </c>
      <c r="BE858" s="67">
        <f>AY858*K858</f>
        <v>10487.999999999998</v>
      </c>
      <c r="BG858" s="73">
        <v>1</v>
      </c>
      <c r="BI858" s="67"/>
      <c r="BK858" s="67">
        <f>IF(AND((AY858/I858)&lt;2,BG858=1),(I858*2)-AY858,0)</f>
        <v>2.3000000000000043</v>
      </c>
      <c r="BL858" s="67">
        <f>IF(AND((AY858/I858)&lt;3,BG858=2),(I858*3)-AY858,0)</f>
        <v>0</v>
      </c>
      <c r="BM858" s="70">
        <f>(BK858+BL858)*K858</f>
        <v>552.00000000000102</v>
      </c>
      <c r="BO858" s="70">
        <f t="shared" si="286"/>
        <v>0</v>
      </c>
      <c r="BP858" s="37">
        <v>17</v>
      </c>
      <c r="BQ858" s="37">
        <v>26</v>
      </c>
      <c r="BR858" s="37">
        <v>25</v>
      </c>
      <c r="BS858" s="37">
        <v>25</v>
      </c>
      <c r="BT858" s="87">
        <f t="shared" si="287"/>
        <v>46</v>
      </c>
      <c r="BU858" s="87"/>
      <c r="BV858" s="87"/>
      <c r="BW858" s="87"/>
      <c r="BX858" s="87"/>
      <c r="BY858" s="87"/>
      <c r="BZ858" s="87"/>
      <c r="CA858" s="87"/>
      <c r="CB858" s="87"/>
      <c r="CC858" s="87"/>
      <c r="CD858" s="87"/>
      <c r="CF858" s="67">
        <f t="shared" si="288"/>
        <v>782</v>
      </c>
      <c r="CG858" s="67">
        <f t="shared" si="289"/>
        <v>1196</v>
      </c>
      <c r="CH858" s="67">
        <f t="shared" si="299"/>
        <v>1150</v>
      </c>
      <c r="CI858" s="67">
        <f t="shared" si="294"/>
        <v>1150</v>
      </c>
      <c r="CJ858" s="37">
        <f t="shared" si="290"/>
        <v>391</v>
      </c>
      <c r="CK858" s="37">
        <f t="shared" si="291"/>
        <v>598</v>
      </c>
      <c r="CL858" s="37">
        <f t="shared" si="292"/>
        <v>575</v>
      </c>
      <c r="CM858" s="37">
        <f t="shared" si="293"/>
        <v>575</v>
      </c>
    </row>
    <row r="859" spans="1:91" s="66" customFormat="1" ht="25.5">
      <c r="A859" s="152"/>
      <c r="B859" s="156">
        <v>843</v>
      </c>
      <c r="C859" s="169">
        <v>632</v>
      </c>
      <c r="D859" s="189">
        <v>143</v>
      </c>
      <c r="E859" s="170">
        <v>0.72222222222222221</v>
      </c>
      <c r="F859" s="170">
        <v>0.75486111111111109</v>
      </c>
      <c r="G859" s="171" t="s">
        <v>56</v>
      </c>
      <c r="H859" s="171" t="s">
        <v>105</v>
      </c>
      <c r="I859" s="169">
        <v>23</v>
      </c>
      <c r="J859" s="172">
        <v>40</v>
      </c>
      <c r="K859" s="165">
        <v>67</v>
      </c>
      <c r="L859" s="166">
        <f t="shared" si="298"/>
        <v>1541</v>
      </c>
      <c r="M859" s="167" t="s">
        <v>780</v>
      </c>
      <c r="N859" s="154" t="s">
        <v>796</v>
      </c>
      <c r="O859" s="154">
        <v>21</v>
      </c>
      <c r="P859" s="150"/>
      <c r="Q859" s="150"/>
      <c r="R859" s="213"/>
      <c r="S859" s="154"/>
      <c r="T859" s="45" t="s">
        <v>1756</v>
      </c>
      <c r="U859" s="45" t="s">
        <v>1757</v>
      </c>
      <c r="V859" s="45">
        <v>6220</v>
      </c>
      <c r="W859" s="45" t="s">
        <v>1384</v>
      </c>
      <c r="X859" s="99">
        <v>44562</v>
      </c>
      <c r="Y859" s="99">
        <v>44815</v>
      </c>
      <c r="Z859" s="99">
        <v>45101</v>
      </c>
      <c r="AA859" s="99">
        <v>45169</v>
      </c>
      <c r="AB859" s="42" t="s">
        <v>1119</v>
      </c>
      <c r="AC859" s="42"/>
      <c r="AD859" s="36"/>
      <c r="AE859" s="42" t="s">
        <v>734</v>
      </c>
      <c r="AF859" s="42" t="s">
        <v>734</v>
      </c>
      <c r="AG859" s="42"/>
      <c r="AH859" s="42" t="s">
        <v>734</v>
      </c>
      <c r="AI859" s="42" t="s">
        <v>734</v>
      </c>
      <c r="AJ859" s="42" t="s">
        <v>734</v>
      </c>
      <c r="AK859" s="42" t="s">
        <v>734</v>
      </c>
      <c r="AL859" s="42" t="s">
        <v>734</v>
      </c>
      <c r="AM859" s="42" t="s">
        <v>734</v>
      </c>
      <c r="AN859" s="36"/>
      <c r="AO859" s="36"/>
      <c r="AP859" s="36"/>
      <c r="AQ859" s="36"/>
      <c r="AR859" s="42"/>
      <c r="AS859" s="42"/>
      <c r="AT859" s="42"/>
      <c r="AU859" s="42"/>
      <c r="AV859" s="42"/>
      <c r="AW859" s="42"/>
      <c r="AX859" s="67"/>
      <c r="AY859" s="67">
        <f>1.9*23</f>
        <v>43.699999999999996</v>
      </c>
      <c r="BD859" s="67">
        <f t="shared" si="300"/>
        <v>0</v>
      </c>
      <c r="BE859" s="67">
        <f>AY859*K859</f>
        <v>2927.8999999999996</v>
      </c>
      <c r="BG859" s="69">
        <v>2</v>
      </c>
      <c r="BI859" s="67"/>
      <c r="BK859" s="67">
        <f>IF(AND((AY859/I859)&lt;2,BG859=1),(I859*2)-AY859,0)</f>
        <v>0</v>
      </c>
      <c r="BL859" s="67">
        <f>IF(AND((AY859/I859)&lt;3,BG859=2),(I859*3)-AY859,0)</f>
        <v>25.300000000000004</v>
      </c>
      <c r="BM859" s="70">
        <f>(BK859+BL859)*K859</f>
        <v>1695.1000000000004</v>
      </c>
      <c r="BO859" s="70">
        <f t="shared" si="286"/>
        <v>0</v>
      </c>
      <c r="BP859" s="37">
        <v>9</v>
      </c>
      <c r="BQ859" s="37">
        <v>0</v>
      </c>
      <c r="BR859" s="37">
        <v>0</v>
      </c>
      <c r="BS859" s="37">
        <v>0</v>
      </c>
      <c r="BT859" s="87">
        <f t="shared" si="287"/>
        <v>69</v>
      </c>
      <c r="BU859" s="87"/>
      <c r="BV859" s="87"/>
      <c r="BW859" s="87"/>
      <c r="BX859" s="87"/>
      <c r="BY859" s="87"/>
      <c r="BZ859" s="87"/>
      <c r="CA859" s="87"/>
      <c r="CB859" s="87"/>
      <c r="CC859" s="87"/>
      <c r="CD859" s="87"/>
      <c r="CF859" s="67">
        <f t="shared" si="288"/>
        <v>621</v>
      </c>
      <c r="CG859" s="67">
        <f t="shared" si="289"/>
        <v>0</v>
      </c>
      <c r="CH859" s="67">
        <f t="shared" si="299"/>
        <v>0</v>
      </c>
      <c r="CI859" s="67">
        <f t="shared" si="294"/>
        <v>0</v>
      </c>
      <c r="CJ859" s="37">
        <f t="shared" si="290"/>
        <v>207</v>
      </c>
      <c r="CK859" s="37">
        <f t="shared" si="291"/>
        <v>0</v>
      </c>
      <c r="CL859" s="37">
        <f t="shared" si="292"/>
        <v>0</v>
      </c>
      <c r="CM859" s="37">
        <f t="shared" si="293"/>
        <v>0</v>
      </c>
    </row>
    <row r="860" spans="1:91" s="66" customFormat="1" ht="25.5">
      <c r="A860" s="150"/>
      <c r="B860" s="156">
        <v>844</v>
      </c>
      <c r="C860" s="160">
        <v>632</v>
      </c>
      <c r="D860" s="160">
        <v>152</v>
      </c>
      <c r="E860" s="161">
        <v>0.77916666666666667</v>
      </c>
      <c r="F860" s="161">
        <v>0.80347222222222225</v>
      </c>
      <c r="G860" s="160" t="s">
        <v>112</v>
      </c>
      <c r="H860" s="160" t="s">
        <v>479</v>
      </c>
      <c r="I860" s="160">
        <v>18.5</v>
      </c>
      <c r="J860" s="164" t="s">
        <v>101</v>
      </c>
      <c r="K860" s="165">
        <v>240</v>
      </c>
      <c r="L860" s="166">
        <f t="shared" si="298"/>
        <v>4440</v>
      </c>
      <c r="M860" s="167" t="s">
        <v>780</v>
      </c>
      <c r="N860" s="154" t="s">
        <v>796</v>
      </c>
      <c r="O860" s="154">
        <v>21</v>
      </c>
      <c r="P860" s="150"/>
      <c r="Q860" s="150"/>
      <c r="R860" s="213"/>
      <c r="S860" s="154"/>
      <c r="T860" s="45">
        <v>6220</v>
      </c>
      <c r="U860" s="45" t="s">
        <v>1384</v>
      </c>
      <c r="V860" s="45">
        <v>6686</v>
      </c>
      <c r="W860" s="45" t="s">
        <v>1759</v>
      </c>
      <c r="X860" s="99">
        <v>44816</v>
      </c>
      <c r="Y860" s="99">
        <v>45100</v>
      </c>
      <c r="Z860" s="99"/>
      <c r="AA860" s="99"/>
      <c r="AB860" s="45" t="s">
        <v>1124</v>
      </c>
      <c r="AC860" s="45"/>
      <c r="AD860" s="42" t="s">
        <v>734</v>
      </c>
      <c r="AE860" s="42"/>
      <c r="AF860" s="42" t="s">
        <v>734</v>
      </c>
      <c r="AG860" s="42"/>
      <c r="AH860" s="42" t="s">
        <v>734</v>
      </c>
      <c r="AI860" s="42" t="s">
        <v>734</v>
      </c>
      <c r="AJ860" s="42" t="s">
        <v>734</v>
      </c>
      <c r="AK860" s="42" t="s">
        <v>734</v>
      </c>
      <c r="AL860" s="42" t="s">
        <v>734</v>
      </c>
      <c r="AM860" s="42" t="s">
        <v>734</v>
      </c>
      <c r="AN860" s="36"/>
      <c r="AO860" s="36"/>
      <c r="AP860" s="36"/>
      <c r="AQ860" s="36"/>
      <c r="AR860" s="42"/>
      <c r="AS860" s="42"/>
      <c r="AT860" s="42"/>
      <c r="AU860" s="42"/>
      <c r="AV860" s="42"/>
      <c r="AW860" s="42"/>
      <c r="AX860" s="68">
        <v>94.01</v>
      </c>
      <c r="AY860" s="68"/>
      <c r="BD860" s="67">
        <f t="shared" si="300"/>
        <v>22562.400000000001</v>
      </c>
      <c r="BE860" s="67"/>
      <c r="BG860" s="69">
        <v>2</v>
      </c>
      <c r="BH860" s="67">
        <f>IF(AND((AX860/I860)&lt;2,BG860=1),(I860*2)-AX860,0)</f>
        <v>0</v>
      </c>
      <c r="BI860" s="67">
        <f>IF(AND((AX860/I860)&lt;3,BG860=2),(I860*3)-AX860,0)</f>
        <v>0</v>
      </c>
      <c r="BJ860" s="70">
        <f>(BH860+BI860)*K860</f>
        <v>0</v>
      </c>
      <c r="BO860" s="70">
        <f t="shared" si="286"/>
        <v>0</v>
      </c>
      <c r="BP860" s="37">
        <v>17</v>
      </c>
      <c r="BQ860" s="37">
        <v>26</v>
      </c>
      <c r="BR860" s="37">
        <v>25</v>
      </c>
      <c r="BS860" s="37">
        <v>25</v>
      </c>
      <c r="BT860" s="87">
        <f t="shared" si="287"/>
        <v>94.01</v>
      </c>
      <c r="BU860" s="87"/>
      <c r="BV860" s="87"/>
      <c r="BW860" s="87"/>
      <c r="BX860" s="87"/>
      <c r="BY860" s="87"/>
      <c r="BZ860" s="87"/>
      <c r="CA860" s="87"/>
      <c r="CB860" s="87"/>
      <c r="CC860" s="87"/>
      <c r="CD860" s="87"/>
      <c r="CF860" s="67">
        <f t="shared" si="288"/>
        <v>1598.17</v>
      </c>
      <c r="CG860" s="67">
        <f t="shared" si="289"/>
        <v>2444.2600000000002</v>
      </c>
      <c r="CH860" s="67">
        <f t="shared" si="299"/>
        <v>2350.25</v>
      </c>
      <c r="CI860" s="67">
        <f t="shared" si="294"/>
        <v>2350.25</v>
      </c>
      <c r="CJ860" s="37">
        <f t="shared" si="290"/>
        <v>314.5</v>
      </c>
      <c r="CK860" s="37">
        <f t="shared" si="291"/>
        <v>481</v>
      </c>
      <c r="CL860" s="37">
        <f t="shared" si="292"/>
        <v>462.5</v>
      </c>
      <c r="CM860" s="37">
        <f t="shared" si="293"/>
        <v>462.5</v>
      </c>
    </row>
    <row r="861" spans="1:91" s="66" customFormat="1" ht="25.5">
      <c r="A861" s="152"/>
      <c r="B861" s="156">
        <v>845</v>
      </c>
      <c r="C861" s="169">
        <v>632</v>
      </c>
      <c r="D861" s="169">
        <v>148</v>
      </c>
      <c r="E861" s="170">
        <v>0.8125</v>
      </c>
      <c r="F861" s="176">
        <v>0.84375</v>
      </c>
      <c r="G861" s="171" t="s">
        <v>55</v>
      </c>
      <c r="H861" s="171" t="s">
        <v>105</v>
      </c>
      <c r="I861" s="169">
        <v>23</v>
      </c>
      <c r="J861" s="172">
        <v>19</v>
      </c>
      <c r="K861" s="165">
        <v>67</v>
      </c>
      <c r="L861" s="166">
        <f t="shared" si="298"/>
        <v>1541</v>
      </c>
      <c r="M861" s="167" t="s">
        <v>780</v>
      </c>
      <c r="N861" s="154" t="s">
        <v>796</v>
      </c>
      <c r="O861" s="154">
        <v>21</v>
      </c>
      <c r="P861" s="150"/>
      <c r="Q861" s="150"/>
      <c r="R861" s="213"/>
      <c r="S861" s="154"/>
      <c r="T861" s="45">
        <v>6220</v>
      </c>
      <c r="U861" s="45" t="s">
        <v>1384</v>
      </c>
      <c r="V861" s="45" t="s">
        <v>1756</v>
      </c>
      <c r="W861" s="45" t="s">
        <v>1757</v>
      </c>
      <c r="X861" s="99">
        <v>44562</v>
      </c>
      <c r="Y861" s="99">
        <v>44815</v>
      </c>
      <c r="Z861" s="99">
        <v>45101</v>
      </c>
      <c r="AA861" s="99">
        <v>45169</v>
      </c>
      <c r="AB861" s="42" t="s">
        <v>1119</v>
      </c>
      <c r="AC861" s="42"/>
      <c r="AD861" s="36"/>
      <c r="AE861" s="42" t="s">
        <v>734</v>
      </c>
      <c r="AF861" s="42" t="s">
        <v>734</v>
      </c>
      <c r="AG861" s="42"/>
      <c r="AH861" s="42" t="s">
        <v>734</v>
      </c>
      <c r="AI861" s="42" t="s">
        <v>734</v>
      </c>
      <c r="AJ861" s="42" t="s">
        <v>734</v>
      </c>
      <c r="AK861" s="42" t="s">
        <v>734</v>
      </c>
      <c r="AL861" s="42" t="s">
        <v>734</v>
      </c>
      <c r="AM861" s="42" t="s">
        <v>734</v>
      </c>
      <c r="AN861" s="36"/>
      <c r="AO861" s="36"/>
      <c r="AP861" s="36"/>
      <c r="AQ861" s="36"/>
      <c r="AR861" s="42"/>
      <c r="AS861" s="42"/>
      <c r="AT861" s="42"/>
      <c r="AU861" s="42"/>
      <c r="AV861" s="42"/>
      <c r="AW861" s="42"/>
      <c r="AX861" s="67"/>
      <c r="AY861" s="67">
        <f>1.9*23</f>
        <v>43.699999999999996</v>
      </c>
      <c r="BD861" s="67">
        <f t="shared" si="300"/>
        <v>0</v>
      </c>
      <c r="BE861" s="67">
        <f>AY861*K861</f>
        <v>2927.8999999999996</v>
      </c>
      <c r="BG861" s="73">
        <v>1</v>
      </c>
      <c r="BI861" s="67"/>
      <c r="BK861" s="67">
        <f>IF(AND((AY861/I861)&lt;2,BG861=1),(I861*2)-AY861,0)</f>
        <v>2.3000000000000043</v>
      </c>
      <c r="BL861" s="67">
        <f>IF(AND((AY861/I861)&lt;3,BG861=2),(I861*3)-AY861,0)</f>
        <v>0</v>
      </c>
      <c r="BM861" s="70">
        <f>(BK861+BL861)*K861</f>
        <v>154.10000000000028</v>
      </c>
      <c r="BO861" s="70">
        <f t="shared" si="286"/>
        <v>0</v>
      </c>
      <c r="BP861" s="37">
        <v>9</v>
      </c>
      <c r="BQ861" s="37">
        <v>0</v>
      </c>
      <c r="BR861" s="37">
        <v>0</v>
      </c>
      <c r="BS861" s="37">
        <v>0</v>
      </c>
      <c r="BT861" s="87">
        <f t="shared" si="287"/>
        <v>46</v>
      </c>
      <c r="BU861" s="87"/>
      <c r="BV861" s="87"/>
      <c r="BW861" s="87"/>
      <c r="BX861" s="87"/>
      <c r="BY861" s="87"/>
      <c r="BZ861" s="87"/>
      <c r="CA861" s="87"/>
      <c r="CB861" s="87"/>
      <c r="CC861" s="87"/>
      <c r="CD861" s="87"/>
      <c r="CF861" s="67">
        <f t="shared" si="288"/>
        <v>414</v>
      </c>
      <c r="CG861" s="67">
        <f t="shared" si="289"/>
        <v>0</v>
      </c>
      <c r="CH861" s="67">
        <f t="shared" si="299"/>
        <v>0</v>
      </c>
      <c r="CI861" s="67">
        <f t="shared" si="294"/>
        <v>0</v>
      </c>
      <c r="CJ861" s="37">
        <f t="shared" si="290"/>
        <v>207</v>
      </c>
      <c r="CK861" s="37">
        <f t="shared" si="291"/>
        <v>0</v>
      </c>
      <c r="CL861" s="37">
        <f t="shared" si="292"/>
        <v>0</v>
      </c>
      <c r="CM861" s="37">
        <f t="shared" si="293"/>
        <v>0</v>
      </c>
    </row>
    <row r="862" spans="1:91" s="66" customFormat="1" ht="22.5">
      <c r="A862" s="178" t="s">
        <v>1179</v>
      </c>
      <c r="B862" s="156">
        <v>846</v>
      </c>
      <c r="C862" s="169">
        <v>632</v>
      </c>
      <c r="D862" s="169">
        <v>148</v>
      </c>
      <c r="E862" s="170">
        <v>0.82777777777777783</v>
      </c>
      <c r="F862" s="170">
        <v>0.85902777777777783</v>
      </c>
      <c r="G862" s="171" t="s">
        <v>55</v>
      </c>
      <c r="H862" s="185" t="s">
        <v>1053</v>
      </c>
      <c r="I862" s="169">
        <v>23</v>
      </c>
      <c r="J862" s="172">
        <v>19</v>
      </c>
      <c r="K862" s="179">
        <v>240</v>
      </c>
      <c r="L862" s="166">
        <f t="shared" si="298"/>
        <v>5520</v>
      </c>
      <c r="M862" s="167" t="s">
        <v>780</v>
      </c>
      <c r="N862" s="154" t="s">
        <v>796</v>
      </c>
      <c r="O862" s="154">
        <v>21</v>
      </c>
      <c r="P862" s="154" t="s">
        <v>877</v>
      </c>
      <c r="Q862" s="154">
        <v>23</v>
      </c>
      <c r="R862" s="213"/>
      <c r="S862" s="154"/>
      <c r="T862" s="45">
        <v>6220</v>
      </c>
      <c r="U862" s="45" t="s">
        <v>1384</v>
      </c>
      <c r="V862" s="45" t="s">
        <v>1756</v>
      </c>
      <c r="W862" s="45" t="s">
        <v>1757</v>
      </c>
      <c r="X862" s="99">
        <v>44816</v>
      </c>
      <c r="Y862" s="99">
        <v>45100</v>
      </c>
      <c r="Z862" s="99"/>
      <c r="AA862" s="99"/>
      <c r="AB862" s="48" t="s">
        <v>1124</v>
      </c>
      <c r="AC862" s="48"/>
      <c r="AD862" s="42" t="s">
        <v>734</v>
      </c>
      <c r="AE862" s="42"/>
      <c r="AF862" s="42" t="s">
        <v>734</v>
      </c>
      <c r="AG862" s="42"/>
      <c r="AH862" s="42" t="s">
        <v>734</v>
      </c>
      <c r="AI862" s="42" t="s">
        <v>734</v>
      </c>
      <c r="AJ862" s="42" t="s">
        <v>734</v>
      </c>
      <c r="AK862" s="42" t="s">
        <v>734</v>
      </c>
      <c r="AL862" s="42" t="s">
        <v>734</v>
      </c>
      <c r="AM862" s="42" t="s">
        <v>734</v>
      </c>
      <c r="AN862" s="36"/>
      <c r="AO862" s="36"/>
      <c r="AP862" s="36"/>
      <c r="AQ862" s="42"/>
      <c r="AR862" s="42"/>
      <c r="AS862" s="42"/>
      <c r="AT862" s="42"/>
      <c r="AU862" s="42"/>
      <c r="AV862" s="42"/>
      <c r="AW862" s="42"/>
      <c r="AX862" s="67">
        <f>10.8+58.11</f>
        <v>68.91</v>
      </c>
      <c r="AY862" s="67"/>
      <c r="BD862" s="67">
        <f t="shared" si="300"/>
        <v>16538.399999999998</v>
      </c>
      <c r="BE862" s="67"/>
      <c r="BG862" s="73">
        <v>1</v>
      </c>
      <c r="BH862" s="67">
        <f t="shared" ref="BH862:BH867" si="301">IF(AND((AX862/I862)&lt;2,BG862=1),(I862*2)-AX862,0)</f>
        <v>0</v>
      </c>
      <c r="BI862" s="67">
        <f t="shared" ref="BI862:BI867" si="302">IF(AND((AX862/I862)&lt;3,BG862=2),(I862*3)-AX862,0)</f>
        <v>0</v>
      </c>
      <c r="BJ862" s="70">
        <f t="shared" ref="BJ862:BJ867" si="303">(BH862+BI862)*K862</f>
        <v>0</v>
      </c>
      <c r="BO862" s="70">
        <f t="shared" si="286"/>
        <v>0</v>
      </c>
      <c r="BP862" s="37">
        <v>17</v>
      </c>
      <c r="BQ862" s="37">
        <v>26</v>
      </c>
      <c r="BR862" s="37">
        <v>25</v>
      </c>
      <c r="BS862" s="37">
        <v>25</v>
      </c>
      <c r="BT862" s="87">
        <f t="shared" si="287"/>
        <v>68.91</v>
      </c>
      <c r="BU862" s="87"/>
      <c r="BV862" s="87"/>
      <c r="BW862" s="87"/>
      <c r="BX862" s="87"/>
      <c r="BY862" s="87"/>
      <c r="BZ862" s="87"/>
      <c r="CA862" s="87"/>
      <c r="CB862" s="87"/>
      <c r="CC862" s="87"/>
      <c r="CD862" s="87"/>
      <c r="CF862" s="67">
        <f t="shared" si="288"/>
        <v>1171.47</v>
      </c>
      <c r="CG862" s="67">
        <f t="shared" si="289"/>
        <v>1791.6599999999999</v>
      </c>
      <c r="CH862" s="67">
        <f t="shared" si="299"/>
        <v>1722.75</v>
      </c>
      <c r="CI862" s="67">
        <f t="shared" si="294"/>
        <v>1722.75</v>
      </c>
      <c r="CJ862" s="37">
        <f t="shared" si="290"/>
        <v>391</v>
      </c>
      <c r="CK862" s="37">
        <f t="shared" si="291"/>
        <v>598</v>
      </c>
      <c r="CL862" s="37">
        <f t="shared" si="292"/>
        <v>575</v>
      </c>
      <c r="CM862" s="37">
        <f t="shared" si="293"/>
        <v>575</v>
      </c>
    </row>
    <row r="863" spans="1:91" s="66" customFormat="1" ht="45">
      <c r="A863" s="152"/>
      <c r="B863" s="156">
        <v>847</v>
      </c>
      <c r="C863" s="160">
        <v>633</v>
      </c>
      <c r="D863" s="160">
        <v>170</v>
      </c>
      <c r="E863" s="161">
        <v>0.29305555555555557</v>
      </c>
      <c r="F863" s="161">
        <v>0.3034722222222222</v>
      </c>
      <c r="G863" s="160" t="s">
        <v>126</v>
      </c>
      <c r="H863" s="160" t="s">
        <v>103</v>
      </c>
      <c r="I863" s="163">
        <v>7.5</v>
      </c>
      <c r="J863" s="164" t="s">
        <v>406</v>
      </c>
      <c r="K863" s="165">
        <v>174</v>
      </c>
      <c r="L863" s="166">
        <f t="shared" si="298"/>
        <v>1305</v>
      </c>
      <c r="M863" s="167" t="s">
        <v>1227</v>
      </c>
      <c r="N863" s="150" t="s">
        <v>961</v>
      </c>
      <c r="O863" s="150">
        <v>21</v>
      </c>
      <c r="P863" s="150" t="s">
        <v>798</v>
      </c>
      <c r="Q863" s="154">
        <v>21</v>
      </c>
      <c r="R863" s="154" t="s">
        <v>960</v>
      </c>
      <c r="S863" s="151">
        <v>24</v>
      </c>
      <c r="T863" s="45">
        <v>6220</v>
      </c>
      <c r="U863" s="45" t="s">
        <v>1384</v>
      </c>
      <c r="V863" s="45">
        <v>6700</v>
      </c>
      <c r="W863" s="45" t="s">
        <v>1769</v>
      </c>
      <c r="X863" s="98">
        <v>44816</v>
      </c>
      <c r="Y863" s="98">
        <v>45086</v>
      </c>
      <c r="Z863" s="98"/>
      <c r="AA863" s="98"/>
      <c r="AB863" s="41" t="s">
        <v>1114</v>
      </c>
      <c r="AC863" s="41"/>
      <c r="AD863" s="36"/>
      <c r="AE863" s="36"/>
      <c r="AF863" s="36"/>
      <c r="AG863" s="42" t="s">
        <v>734</v>
      </c>
      <c r="AH863" s="42" t="s">
        <v>734</v>
      </c>
      <c r="AI863" s="42" t="s">
        <v>734</v>
      </c>
      <c r="AJ863" s="42" t="s">
        <v>734</v>
      </c>
      <c r="AK863" s="42" t="s">
        <v>734</v>
      </c>
      <c r="AL863" s="42" t="s">
        <v>734</v>
      </c>
      <c r="AM863" s="36"/>
      <c r="AN863" s="36"/>
      <c r="AO863" s="36"/>
      <c r="AP863" s="36"/>
      <c r="AQ863" s="36"/>
      <c r="AR863" s="42"/>
      <c r="AS863" s="42"/>
      <c r="AT863" s="42"/>
      <c r="AU863" s="42"/>
      <c r="AV863" s="42"/>
      <c r="AW863" s="36"/>
      <c r="AX863" s="68">
        <v>10.57</v>
      </c>
      <c r="AY863" s="68"/>
      <c r="BD863" s="67">
        <f t="shared" si="300"/>
        <v>1839.18</v>
      </c>
      <c r="BE863" s="67"/>
      <c r="BG863" s="69">
        <v>2</v>
      </c>
      <c r="BH863" s="67">
        <f t="shared" si="301"/>
        <v>0</v>
      </c>
      <c r="BI863" s="67">
        <f t="shared" si="302"/>
        <v>11.93</v>
      </c>
      <c r="BJ863" s="70">
        <f t="shared" si="303"/>
        <v>2075.8200000000002</v>
      </c>
      <c r="BO863" s="70">
        <f t="shared" si="286"/>
        <v>0</v>
      </c>
      <c r="BP863" s="37">
        <v>15</v>
      </c>
      <c r="BQ863" s="37">
        <v>20</v>
      </c>
      <c r="BR863" s="37">
        <v>21</v>
      </c>
      <c r="BS863" s="37">
        <v>15</v>
      </c>
      <c r="BT863" s="87">
        <f t="shared" si="287"/>
        <v>22.5</v>
      </c>
      <c r="BU863" s="87"/>
      <c r="BV863" s="87"/>
      <c r="BW863" s="87"/>
      <c r="BX863" s="87"/>
      <c r="BY863" s="87"/>
      <c r="BZ863" s="87"/>
      <c r="CA863" s="87"/>
      <c r="CB863" s="87"/>
      <c r="CC863" s="87"/>
      <c r="CD863" s="87"/>
      <c r="CF863" s="67">
        <f t="shared" si="288"/>
        <v>337.5</v>
      </c>
      <c r="CG863" s="67">
        <f t="shared" si="289"/>
        <v>450</v>
      </c>
      <c r="CH863" s="67">
        <f t="shared" si="299"/>
        <v>472.5</v>
      </c>
      <c r="CI863" s="67">
        <f t="shared" si="294"/>
        <v>337.5</v>
      </c>
      <c r="CJ863" s="37">
        <f t="shared" si="290"/>
        <v>112.5</v>
      </c>
      <c r="CK863" s="37">
        <f t="shared" si="291"/>
        <v>150</v>
      </c>
      <c r="CL863" s="37">
        <f t="shared" si="292"/>
        <v>157.5</v>
      </c>
      <c r="CM863" s="37">
        <f t="shared" si="293"/>
        <v>112.5</v>
      </c>
    </row>
    <row r="864" spans="1:91" s="66" customFormat="1" ht="45">
      <c r="A864" s="150"/>
      <c r="B864" s="156">
        <v>848</v>
      </c>
      <c r="C864" s="160">
        <v>633</v>
      </c>
      <c r="D864" s="160">
        <v>171</v>
      </c>
      <c r="E864" s="161">
        <v>0.30416666666666664</v>
      </c>
      <c r="F864" s="161">
        <v>0.31458333333333333</v>
      </c>
      <c r="G864" s="160" t="s">
        <v>1092</v>
      </c>
      <c r="H864" s="160" t="s">
        <v>649</v>
      </c>
      <c r="I864" s="163">
        <v>7.5</v>
      </c>
      <c r="J864" s="164" t="s">
        <v>93</v>
      </c>
      <c r="K864" s="165">
        <v>34</v>
      </c>
      <c r="L864" s="166">
        <f t="shared" si="298"/>
        <v>255</v>
      </c>
      <c r="M864" s="167" t="s">
        <v>1227</v>
      </c>
      <c r="N864" s="150" t="s">
        <v>960</v>
      </c>
      <c r="O864" s="150">
        <v>24</v>
      </c>
      <c r="P864" s="150" t="s">
        <v>961</v>
      </c>
      <c r="Q864" s="154">
        <v>21</v>
      </c>
      <c r="R864" s="154" t="s">
        <v>798</v>
      </c>
      <c r="S864" s="151">
        <v>21</v>
      </c>
      <c r="T864" s="45">
        <v>6700</v>
      </c>
      <c r="U864" s="45" t="s">
        <v>1769</v>
      </c>
      <c r="V864" s="45">
        <v>6220</v>
      </c>
      <c r="W864" s="45" t="s">
        <v>1384</v>
      </c>
      <c r="X864" s="98">
        <v>44816</v>
      </c>
      <c r="Y864" s="98">
        <v>45086</v>
      </c>
      <c r="Z864" s="98"/>
      <c r="AA864" s="98"/>
      <c r="AB864" s="45" t="s">
        <v>1123</v>
      </c>
      <c r="AC864" s="45"/>
      <c r="AD864" s="36"/>
      <c r="AE864" s="36"/>
      <c r="AF864" s="36"/>
      <c r="AG864" s="42" t="s">
        <v>734</v>
      </c>
      <c r="AH864" s="42"/>
      <c r="AI864" s="42"/>
      <c r="AJ864" s="42"/>
      <c r="AK864" s="42"/>
      <c r="AL864" s="42"/>
      <c r="AM864" s="42" t="s">
        <v>734</v>
      </c>
      <c r="AN864" s="36"/>
      <c r="AO864" s="36"/>
      <c r="AP864" s="36"/>
      <c r="AQ864" s="36"/>
      <c r="AR864" s="36"/>
      <c r="AS864" s="36"/>
      <c r="AT864" s="36"/>
      <c r="AU864" s="36"/>
      <c r="AV864" s="36"/>
      <c r="AW864" s="36"/>
      <c r="AX864" s="68">
        <v>10.57</v>
      </c>
      <c r="AY864" s="68"/>
      <c r="BD864" s="67">
        <f t="shared" si="300"/>
        <v>359.38</v>
      </c>
      <c r="BE864" s="67"/>
      <c r="BG864" s="73">
        <v>1</v>
      </c>
      <c r="BH864" s="67">
        <f t="shared" si="301"/>
        <v>4.43</v>
      </c>
      <c r="BI864" s="67">
        <f t="shared" si="302"/>
        <v>0</v>
      </c>
      <c r="BJ864" s="67">
        <f t="shared" si="303"/>
        <v>150.62</v>
      </c>
      <c r="BO864" s="70">
        <f t="shared" si="286"/>
        <v>0</v>
      </c>
      <c r="BP864" s="37">
        <v>2</v>
      </c>
      <c r="BQ864" s="37">
        <v>5</v>
      </c>
      <c r="BR864" s="37">
        <v>4</v>
      </c>
      <c r="BS864" s="37">
        <v>3</v>
      </c>
      <c r="BT864" s="87">
        <f t="shared" si="287"/>
        <v>15</v>
      </c>
      <c r="BU864" s="87"/>
      <c r="BV864" s="87"/>
      <c r="BW864" s="87"/>
      <c r="BX864" s="87"/>
      <c r="BY864" s="87"/>
      <c r="BZ864" s="87"/>
      <c r="CA864" s="87"/>
      <c r="CB864" s="87"/>
      <c r="CC864" s="87"/>
      <c r="CD864" s="87"/>
      <c r="CF864" s="67">
        <f t="shared" si="288"/>
        <v>30</v>
      </c>
      <c r="CG864" s="67">
        <f t="shared" si="289"/>
        <v>75</v>
      </c>
      <c r="CH864" s="67">
        <f t="shared" si="299"/>
        <v>60</v>
      </c>
      <c r="CI864" s="67">
        <f t="shared" si="294"/>
        <v>45</v>
      </c>
      <c r="CJ864" s="37">
        <f t="shared" si="290"/>
        <v>15</v>
      </c>
      <c r="CK864" s="37">
        <f t="shared" si="291"/>
        <v>37.5</v>
      </c>
      <c r="CL864" s="37">
        <f t="shared" si="292"/>
        <v>30</v>
      </c>
      <c r="CM864" s="37">
        <f t="shared" si="293"/>
        <v>22.5</v>
      </c>
    </row>
    <row r="865" spans="1:91" s="66" customFormat="1" ht="45">
      <c r="A865" s="150" t="s">
        <v>1094</v>
      </c>
      <c r="B865" s="156">
        <v>849</v>
      </c>
      <c r="C865" s="160">
        <v>633</v>
      </c>
      <c r="D865" s="160">
        <v>171</v>
      </c>
      <c r="E865" s="161">
        <v>0.30416666666666664</v>
      </c>
      <c r="F865" s="161">
        <v>0.31458333333333333</v>
      </c>
      <c r="G865" s="174" t="s">
        <v>1093</v>
      </c>
      <c r="H865" s="160" t="s">
        <v>103</v>
      </c>
      <c r="I865" s="163">
        <v>8.5</v>
      </c>
      <c r="J865" s="164" t="s">
        <v>406</v>
      </c>
      <c r="K865" s="165">
        <v>174</v>
      </c>
      <c r="L865" s="166">
        <f t="shared" si="298"/>
        <v>1479</v>
      </c>
      <c r="M865" s="167" t="s">
        <v>1227</v>
      </c>
      <c r="N865" s="150" t="s">
        <v>1095</v>
      </c>
      <c r="O865" s="150" t="s">
        <v>1096</v>
      </c>
      <c r="P865" s="150" t="s">
        <v>798</v>
      </c>
      <c r="Q865" s="150">
        <v>21</v>
      </c>
      <c r="R865" s="150"/>
      <c r="S865" s="150"/>
      <c r="T865" s="45">
        <v>6700</v>
      </c>
      <c r="U865" s="45" t="s">
        <v>1769</v>
      </c>
      <c r="V865" s="64" t="s">
        <v>1770</v>
      </c>
      <c r="W865" s="45" t="s">
        <v>1771</v>
      </c>
      <c r="X865" s="98">
        <v>44816</v>
      </c>
      <c r="Y865" s="98">
        <v>45086</v>
      </c>
      <c r="Z865" s="98"/>
      <c r="AA865" s="98"/>
      <c r="AB865" s="41" t="s">
        <v>1114</v>
      </c>
      <c r="AC865" s="41"/>
      <c r="AD865" s="36"/>
      <c r="AE865" s="36"/>
      <c r="AF865" s="36"/>
      <c r="AG865" s="42" t="s">
        <v>734</v>
      </c>
      <c r="AH865" s="42" t="s">
        <v>734</v>
      </c>
      <c r="AI865" s="42" t="s">
        <v>734</v>
      </c>
      <c r="AJ865" s="42" t="s">
        <v>734</v>
      </c>
      <c r="AK865" s="42" t="s">
        <v>734</v>
      </c>
      <c r="AL865" s="42" t="s">
        <v>734</v>
      </c>
      <c r="AM865" s="36"/>
      <c r="AN865" s="36"/>
      <c r="AO865" s="36"/>
      <c r="AP865" s="36"/>
      <c r="AQ865" s="36"/>
      <c r="AR865" s="42"/>
      <c r="AS865" s="42"/>
      <c r="AT865" s="42"/>
      <c r="AU865" s="42"/>
      <c r="AV865" s="42"/>
      <c r="AW865" s="36"/>
      <c r="AX865" s="68">
        <f>21.81+10.57</f>
        <v>32.379999999999995</v>
      </c>
      <c r="AY865" s="68"/>
      <c r="BD865" s="67">
        <f t="shared" si="300"/>
        <v>5634.119999999999</v>
      </c>
      <c r="BE865" s="67"/>
      <c r="BG865" s="69">
        <v>2</v>
      </c>
      <c r="BH865" s="67">
        <f t="shared" si="301"/>
        <v>0</v>
      </c>
      <c r="BI865" s="67">
        <f t="shared" si="302"/>
        <v>0</v>
      </c>
      <c r="BJ865" s="70">
        <f t="shared" si="303"/>
        <v>0</v>
      </c>
      <c r="BO865" s="70">
        <f t="shared" si="286"/>
        <v>0</v>
      </c>
      <c r="BP865" s="37">
        <v>15</v>
      </c>
      <c r="BQ865" s="37">
        <v>20</v>
      </c>
      <c r="BR865" s="37">
        <v>21</v>
      </c>
      <c r="BS865" s="37">
        <v>15</v>
      </c>
      <c r="BT865" s="87">
        <f t="shared" si="287"/>
        <v>32.379999999999995</v>
      </c>
      <c r="BU865" s="87"/>
      <c r="BV865" s="87"/>
      <c r="BW865" s="87"/>
      <c r="BX865" s="87"/>
      <c r="BY865" s="87"/>
      <c r="BZ865" s="87"/>
      <c r="CA865" s="87"/>
      <c r="CB865" s="87"/>
      <c r="CC865" s="87"/>
      <c r="CD865" s="87"/>
      <c r="CF865" s="67">
        <f t="shared" si="288"/>
        <v>485.69999999999993</v>
      </c>
      <c r="CG865" s="67">
        <f t="shared" si="289"/>
        <v>647.59999999999991</v>
      </c>
      <c r="CH865" s="67">
        <f t="shared" si="299"/>
        <v>679.9799999999999</v>
      </c>
      <c r="CI865" s="67">
        <f t="shared" si="294"/>
        <v>485.69999999999993</v>
      </c>
      <c r="CJ865" s="37">
        <f t="shared" si="290"/>
        <v>127.5</v>
      </c>
      <c r="CK865" s="37">
        <f t="shared" si="291"/>
        <v>170</v>
      </c>
      <c r="CL865" s="37">
        <f t="shared" si="292"/>
        <v>178.5</v>
      </c>
      <c r="CM865" s="37">
        <f t="shared" si="293"/>
        <v>127.5</v>
      </c>
    </row>
    <row r="866" spans="1:91" s="66" customFormat="1" ht="25.5">
      <c r="A866" s="152"/>
      <c r="B866" s="156">
        <v>850</v>
      </c>
      <c r="C866" s="160">
        <v>633</v>
      </c>
      <c r="D866" s="160">
        <v>172</v>
      </c>
      <c r="E866" s="161">
        <v>0.54861111111111105</v>
      </c>
      <c r="F866" s="161">
        <v>0.55902777777777779</v>
      </c>
      <c r="G866" s="160" t="s">
        <v>487</v>
      </c>
      <c r="H866" s="160" t="s">
        <v>103</v>
      </c>
      <c r="I866" s="163">
        <v>7</v>
      </c>
      <c r="J866" s="164" t="s">
        <v>93</v>
      </c>
      <c r="K866" s="165">
        <v>174</v>
      </c>
      <c r="L866" s="166">
        <f t="shared" si="298"/>
        <v>1218</v>
      </c>
      <c r="M866" s="167" t="s">
        <v>784</v>
      </c>
      <c r="N866" s="150" t="s">
        <v>829</v>
      </c>
      <c r="O866" s="150">
        <v>21</v>
      </c>
      <c r="P866" s="150" t="s">
        <v>830</v>
      </c>
      <c r="Q866" s="150" t="s">
        <v>831</v>
      </c>
      <c r="R866" s="154" t="s">
        <v>1307</v>
      </c>
      <c r="S866" s="151">
        <v>17</v>
      </c>
      <c r="T866" s="45">
        <v>6220</v>
      </c>
      <c r="U866" s="45" t="s">
        <v>1384</v>
      </c>
      <c r="V866" s="45">
        <v>6700</v>
      </c>
      <c r="W866" s="45" t="s">
        <v>1769</v>
      </c>
      <c r="X866" s="98">
        <v>44816</v>
      </c>
      <c r="Y866" s="98">
        <v>45086</v>
      </c>
      <c r="Z866" s="98"/>
      <c r="AA866" s="98"/>
      <c r="AB866" s="41" t="s">
        <v>1114</v>
      </c>
      <c r="AC866" s="41"/>
      <c r="AD866" s="36"/>
      <c r="AE866" s="36"/>
      <c r="AF866" s="36"/>
      <c r="AG866" s="42" t="s">
        <v>734</v>
      </c>
      <c r="AH866" s="42" t="s">
        <v>734</v>
      </c>
      <c r="AI866" s="42" t="s">
        <v>734</v>
      </c>
      <c r="AJ866" s="42" t="s">
        <v>734</v>
      </c>
      <c r="AK866" s="42" t="s">
        <v>734</v>
      </c>
      <c r="AL866" s="42" t="s">
        <v>734</v>
      </c>
      <c r="AM866" s="36"/>
      <c r="AN866" s="36"/>
      <c r="AO866" s="36"/>
      <c r="AP866" s="36"/>
      <c r="AQ866" s="36"/>
      <c r="AR866" s="42"/>
      <c r="AS866" s="42"/>
      <c r="AT866" s="42"/>
      <c r="AU866" s="42"/>
      <c r="AV866" s="42"/>
      <c r="AW866" s="36"/>
      <c r="AX866" s="68">
        <v>21</v>
      </c>
      <c r="AY866" s="68"/>
      <c r="BA866" s="38"/>
      <c r="BB866" s="38"/>
      <c r="BD866" s="67">
        <f t="shared" si="300"/>
        <v>3654</v>
      </c>
      <c r="BE866" s="67"/>
      <c r="BG866" s="73">
        <v>1</v>
      </c>
      <c r="BH866" s="67">
        <f t="shared" si="301"/>
        <v>0</v>
      </c>
      <c r="BI866" s="67">
        <f t="shared" si="302"/>
        <v>0</v>
      </c>
      <c r="BJ866" s="70">
        <f t="shared" si="303"/>
        <v>0</v>
      </c>
      <c r="BO866" s="70">
        <f t="shared" si="286"/>
        <v>0</v>
      </c>
      <c r="BP866" s="37">
        <v>15</v>
      </c>
      <c r="BQ866" s="37">
        <v>20</v>
      </c>
      <c r="BR866" s="37">
        <v>21</v>
      </c>
      <c r="BS866" s="37">
        <v>15</v>
      </c>
      <c r="BT866" s="87">
        <f t="shared" si="287"/>
        <v>21</v>
      </c>
      <c r="BU866" s="87"/>
      <c r="BV866" s="87"/>
      <c r="BW866" s="87"/>
      <c r="BX866" s="87"/>
      <c r="BY866" s="87"/>
      <c r="BZ866" s="87"/>
      <c r="CA866" s="87"/>
      <c r="CB866" s="87"/>
      <c r="CC866" s="87"/>
      <c r="CD866" s="87"/>
      <c r="CF866" s="67">
        <f t="shared" si="288"/>
        <v>315</v>
      </c>
      <c r="CG866" s="67">
        <f t="shared" si="289"/>
        <v>420</v>
      </c>
      <c r="CH866" s="67">
        <f t="shared" si="299"/>
        <v>441</v>
      </c>
      <c r="CI866" s="67">
        <f t="shared" si="294"/>
        <v>315</v>
      </c>
      <c r="CJ866" s="37">
        <f t="shared" si="290"/>
        <v>105</v>
      </c>
      <c r="CK866" s="37">
        <f t="shared" si="291"/>
        <v>140</v>
      </c>
      <c r="CL866" s="37">
        <f t="shared" si="292"/>
        <v>147</v>
      </c>
      <c r="CM866" s="37">
        <f t="shared" si="293"/>
        <v>105</v>
      </c>
    </row>
    <row r="867" spans="1:91" s="66" customFormat="1" ht="25.5">
      <c r="A867" s="152"/>
      <c r="B867" s="156">
        <v>851</v>
      </c>
      <c r="C867" s="160">
        <v>633</v>
      </c>
      <c r="D867" s="160">
        <v>173</v>
      </c>
      <c r="E867" s="161">
        <v>0.55902777777777779</v>
      </c>
      <c r="F867" s="161">
        <v>0.56944444444444442</v>
      </c>
      <c r="G867" s="160" t="s">
        <v>488</v>
      </c>
      <c r="H867" s="160" t="s">
        <v>103</v>
      </c>
      <c r="I867" s="163">
        <v>7</v>
      </c>
      <c r="J867" s="164" t="s">
        <v>93</v>
      </c>
      <c r="K867" s="165">
        <v>174</v>
      </c>
      <c r="L867" s="166">
        <f t="shared" si="298"/>
        <v>1218</v>
      </c>
      <c r="M867" s="167" t="s">
        <v>784</v>
      </c>
      <c r="N867" s="150" t="s">
        <v>829</v>
      </c>
      <c r="O867" s="150">
        <v>21</v>
      </c>
      <c r="P867" s="150" t="s">
        <v>830</v>
      </c>
      <c r="Q867" s="150" t="s">
        <v>831</v>
      </c>
      <c r="R867" s="154" t="s">
        <v>1307</v>
      </c>
      <c r="S867" s="151">
        <v>17</v>
      </c>
      <c r="T867" s="45">
        <v>6700</v>
      </c>
      <c r="U867" s="45" t="s">
        <v>1769</v>
      </c>
      <c r="V867" s="45">
        <v>6220</v>
      </c>
      <c r="W867" s="45" t="s">
        <v>1384</v>
      </c>
      <c r="X867" s="98">
        <v>44816</v>
      </c>
      <c r="Y867" s="98">
        <v>45086</v>
      </c>
      <c r="Z867" s="98"/>
      <c r="AA867" s="98"/>
      <c r="AB867" s="41" t="s">
        <v>1114</v>
      </c>
      <c r="AC867" s="41"/>
      <c r="AD867" s="36"/>
      <c r="AE867" s="36"/>
      <c r="AF867" s="36"/>
      <c r="AG867" s="42" t="s">
        <v>734</v>
      </c>
      <c r="AH867" s="42" t="s">
        <v>734</v>
      </c>
      <c r="AI867" s="42" t="s">
        <v>734</v>
      </c>
      <c r="AJ867" s="42" t="s">
        <v>734</v>
      </c>
      <c r="AK867" s="42" t="s">
        <v>734</v>
      </c>
      <c r="AL867" s="42" t="s">
        <v>734</v>
      </c>
      <c r="AM867" s="36"/>
      <c r="AN867" s="36"/>
      <c r="AO867" s="36"/>
      <c r="AP867" s="36"/>
      <c r="AQ867" s="36"/>
      <c r="AR867" s="42"/>
      <c r="AS867" s="42"/>
      <c r="AT867" s="42"/>
      <c r="AU867" s="42"/>
      <c r="AV867" s="42"/>
      <c r="AW867" s="36"/>
      <c r="AX867" s="68">
        <v>21</v>
      </c>
      <c r="AY867" s="68"/>
      <c r="BA867" s="38"/>
      <c r="BB867" s="38"/>
      <c r="BD867" s="67">
        <f t="shared" si="300"/>
        <v>3654</v>
      </c>
      <c r="BE867" s="67"/>
      <c r="BG867" s="73">
        <v>1</v>
      </c>
      <c r="BH867" s="67">
        <f t="shared" si="301"/>
        <v>0</v>
      </c>
      <c r="BI867" s="67">
        <f t="shared" si="302"/>
        <v>0</v>
      </c>
      <c r="BJ867" s="70">
        <f t="shared" si="303"/>
        <v>0</v>
      </c>
      <c r="BO867" s="70">
        <f t="shared" si="286"/>
        <v>0</v>
      </c>
      <c r="BP867" s="37">
        <v>15</v>
      </c>
      <c r="BQ867" s="37">
        <v>20</v>
      </c>
      <c r="BR867" s="37">
        <v>21</v>
      </c>
      <c r="BS867" s="37">
        <v>15</v>
      </c>
      <c r="BT867" s="87">
        <f t="shared" si="287"/>
        <v>21</v>
      </c>
      <c r="BU867" s="87"/>
      <c r="BV867" s="87"/>
      <c r="BW867" s="87"/>
      <c r="BX867" s="87"/>
      <c r="BY867" s="87"/>
      <c r="BZ867" s="87"/>
      <c r="CA867" s="87"/>
      <c r="CB867" s="87"/>
      <c r="CC867" s="87"/>
      <c r="CD867" s="87"/>
      <c r="CF867" s="67">
        <f t="shared" si="288"/>
        <v>315</v>
      </c>
      <c r="CG867" s="67">
        <f t="shared" si="289"/>
        <v>420</v>
      </c>
      <c r="CH867" s="67">
        <f t="shared" si="299"/>
        <v>441</v>
      </c>
      <c r="CI867" s="67">
        <f t="shared" si="294"/>
        <v>315</v>
      </c>
      <c r="CJ867" s="37">
        <f t="shared" si="290"/>
        <v>105</v>
      </c>
      <c r="CK867" s="37">
        <f t="shared" si="291"/>
        <v>140</v>
      </c>
      <c r="CL867" s="37">
        <f t="shared" si="292"/>
        <v>147</v>
      </c>
      <c r="CM867" s="37">
        <f t="shared" si="293"/>
        <v>105</v>
      </c>
    </row>
    <row r="868" spans="1:91" s="66" customFormat="1" ht="25.5">
      <c r="A868" s="152"/>
      <c r="B868" s="156">
        <v>852</v>
      </c>
      <c r="C868" s="169">
        <v>633</v>
      </c>
      <c r="D868" s="169">
        <v>174</v>
      </c>
      <c r="E868" s="170">
        <v>0.68402777777777779</v>
      </c>
      <c r="F868" s="170">
        <v>0.69444444444444453</v>
      </c>
      <c r="G868" s="171" t="s">
        <v>76</v>
      </c>
      <c r="H868" s="171" t="s">
        <v>20</v>
      </c>
      <c r="I868" s="169">
        <v>7</v>
      </c>
      <c r="J868" s="172">
        <v>19</v>
      </c>
      <c r="K868" s="165">
        <v>55</v>
      </c>
      <c r="L868" s="166">
        <f t="shared" si="298"/>
        <v>385</v>
      </c>
      <c r="M868" s="167" t="s">
        <v>784</v>
      </c>
      <c r="N868" s="150" t="s">
        <v>830</v>
      </c>
      <c r="O868" s="150" t="s">
        <v>831</v>
      </c>
      <c r="P868" s="150" t="s">
        <v>829</v>
      </c>
      <c r="Q868" s="150">
        <v>21</v>
      </c>
      <c r="R868" s="154" t="s">
        <v>1307</v>
      </c>
      <c r="S868" s="151">
        <v>17</v>
      </c>
      <c r="T868" s="45">
        <v>6220</v>
      </c>
      <c r="U868" s="45" t="s">
        <v>1384</v>
      </c>
      <c r="V868" s="45">
        <v>6700</v>
      </c>
      <c r="W868" s="45" t="s">
        <v>1769</v>
      </c>
      <c r="X868" s="99">
        <v>44562</v>
      </c>
      <c r="Y868" s="99">
        <v>44815</v>
      </c>
      <c r="Z868" s="99">
        <v>45101</v>
      </c>
      <c r="AA868" s="99">
        <v>45169</v>
      </c>
      <c r="AB868" s="43" t="s">
        <v>1121</v>
      </c>
      <c r="AC868" s="43"/>
      <c r="AD868" s="36"/>
      <c r="AE868" s="36" t="s">
        <v>734</v>
      </c>
      <c r="AF868" s="36" t="s">
        <v>734</v>
      </c>
      <c r="AG868" s="36"/>
      <c r="AH868" s="36" t="s">
        <v>734</v>
      </c>
      <c r="AI868" s="36" t="s">
        <v>734</v>
      </c>
      <c r="AJ868" s="36" t="s">
        <v>734</v>
      </c>
      <c r="AK868" s="36" t="s">
        <v>734</v>
      </c>
      <c r="AL868" s="36" t="s">
        <v>734</v>
      </c>
      <c r="AM868" s="36"/>
      <c r="AN868" s="36"/>
      <c r="AO868" s="36"/>
      <c r="AP868" s="36"/>
      <c r="AQ868" s="36"/>
      <c r="AR868" s="36"/>
      <c r="AS868" s="36"/>
      <c r="AT868" s="36"/>
      <c r="AU868" s="36"/>
      <c r="AV868" s="36"/>
      <c r="AW868" s="36"/>
      <c r="AX868" s="68"/>
      <c r="AY868" s="68"/>
      <c r="BA868" s="38" t="s">
        <v>784</v>
      </c>
      <c r="BB868" s="38"/>
      <c r="BD868" s="67">
        <f t="shared" si="300"/>
        <v>0</v>
      </c>
      <c r="BG868" s="73">
        <v>1</v>
      </c>
      <c r="BI868" s="67"/>
      <c r="BO868" s="70">
        <f t="shared" si="286"/>
        <v>0</v>
      </c>
      <c r="BP868" s="37">
        <v>7</v>
      </c>
      <c r="BQ868" s="37">
        <v>0</v>
      </c>
      <c r="BR868" s="37">
        <v>0</v>
      </c>
      <c r="BT868" s="87">
        <f t="shared" si="287"/>
        <v>0</v>
      </c>
      <c r="BU868" s="87"/>
      <c r="BV868" s="87"/>
      <c r="BW868" s="87"/>
      <c r="BX868" s="87"/>
      <c r="BY868" s="87"/>
      <c r="BZ868" s="87"/>
      <c r="CA868" s="87"/>
      <c r="CB868" s="87"/>
      <c r="CC868" s="87"/>
      <c r="CD868" s="87"/>
      <c r="CF868" s="67">
        <f t="shared" si="288"/>
        <v>0</v>
      </c>
      <c r="CG868" s="67">
        <f t="shared" si="289"/>
        <v>0</v>
      </c>
      <c r="CH868" s="67">
        <f t="shared" si="299"/>
        <v>0</v>
      </c>
      <c r="CI868" s="67">
        <f t="shared" si="294"/>
        <v>0</v>
      </c>
      <c r="CJ868" s="37">
        <f t="shared" si="290"/>
        <v>49</v>
      </c>
      <c r="CK868" s="37">
        <f t="shared" si="291"/>
        <v>0</v>
      </c>
      <c r="CL868" s="37">
        <f t="shared" si="292"/>
        <v>0</v>
      </c>
      <c r="CM868" s="37">
        <f t="shared" si="293"/>
        <v>0</v>
      </c>
    </row>
    <row r="869" spans="1:91" s="66" customFormat="1" ht="25.5">
      <c r="A869" s="152"/>
      <c r="B869" s="156">
        <v>853</v>
      </c>
      <c r="C869" s="169">
        <v>633</v>
      </c>
      <c r="D869" s="169">
        <v>175</v>
      </c>
      <c r="E869" s="170">
        <v>0.69791666666666663</v>
      </c>
      <c r="F869" s="170">
        <v>0.70763888888888893</v>
      </c>
      <c r="G869" s="171" t="s">
        <v>75</v>
      </c>
      <c r="H869" s="171" t="s">
        <v>20</v>
      </c>
      <c r="I869" s="169">
        <v>7</v>
      </c>
      <c r="J869" s="172">
        <v>19</v>
      </c>
      <c r="K869" s="165">
        <v>55</v>
      </c>
      <c r="L869" s="166">
        <f t="shared" si="298"/>
        <v>385</v>
      </c>
      <c r="M869" s="167" t="s">
        <v>784</v>
      </c>
      <c r="N869" s="150" t="s">
        <v>830</v>
      </c>
      <c r="O869" s="150" t="s">
        <v>831</v>
      </c>
      <c r="P869" s="150" t="s">
        <v>829</v>
      </c>
      <c r="Q869" s="150">
        <v>21</v>
      </c>
      <c r="R869" s="154" t="s">
        <v>1307</v>
      </c>
      <c r="S869" s="151">
        <v>17</v>
      </c>
      <c r="T869" s="45">
        <v>6700</v>
      </c>
      <c r="U869" s="45" t="s">
        <v>1769</v>
      </c>
      <c r="V869" s="45">
        <v>6220</v>
      </c>
      <c r="W869" s="45" t="s">
        <v>1384</v>
      </c>
      <c r="X869" s="99">
        <v>44562</v>
      </c>
      <c r="Y869" s="99">
        <v>44815</v>
      </c>
      <c r="Z869" s="99">
        <v>45101</v>
      </c>
      <c r="AA869" s="99">
        <v>45169</v>
      </c>
      <c r="AB869" s="43" t="s">
        <v>1121</v>
      </c>
      <c r="AC869" s="43"/>
      <c r="AD869" s="36"/>
      <c r="AE869" s="36" t="s">
        <v>734</v>
      </c>
      <c r="AF869" s="36" t="s">
        <v>734</v>
      </c>
      <c r="AG869" s="36"/>
      <c r="AH869" s="36" t="s">
        <v>734</v>
      </c>
      <c r="AI869" s="36" t="s">
        <v>734</v>
      </c>
      <c r="AJ869" s="36" t="s">
        <v>734</v>
      </c>
      <c r="AK869" s="36" t="s">
        <v>734</v>
      </c>
      <c r="AL869" s="36" t="s">
        <v>734</v>
      </c>
      <c r="AM869" s="36"/>
      <c r="AN869" s="36"/>
      <c r="AO869" s="36"/>
      <c r="AP869" s="36"/>
      <c r="AQ869" s="36"/>
      <c r="AR869" s="36"/>
      <c r="AS869" s="36"/>
      <c r="AT869" s="36"/>
      <c r="AU869" s="36"/>
      <c r="AV869" s="36"/>
      <c r="AW869" s="36"/>
      <c r="AX869" s="68"/>
      <c r="AY869" s="68"/>
      <c r="BA869" s="38" t="s">
        <v>784</v>
      </c>
      <c r="BB869" s="38"/>
      <c r="BD869" s="67">
        <f t="shared" si="300"/>
        <v>0</v>
      </c>
      <c r="BG869" s="73">
        <v>1</v>
      </c>
      <c r="BI869" s="67"/>
      <c r="BO869" s="70">
        <f t="shared" si="286"/>
        <v>0</v>
      </c>
      <c r="BP869" s="37">
        <v>7</v>
      </c>
      <c r="BQ869" s="37">
        <v>0</v>
      </c>
      <c r="BR869" s="37">
        <v>0</v>
      </c>
      <c r="BT869" s="87">
        <f t="shared" si="287"/>
        <v>0</v>
      </c>
      <c r="BU869" s="87"/>
      <c r="BV869" s="87"/>
      <c r="BW869" s="87"/>
      <c r="BX869" s="87"/>
      <c r="BY869" s="87"/>
      <c r="BZ869" s="87"/>
      <c r="CA869" s="87"/>
      <c r="CB869" s="87"/>
      <c r="CC869" s="87"/>
      <c r="CD869" s="87"/>
      <c r="CF869" s="67">
        <f t="shared" si="288"/>
        <v>0</v>
      </c>
      <c r="CG869" s="67">
        <f t="shared" si="289"/>
        <v>0</v>
      </c>
      <c r="CH869" s="67">
        <f t="shared" si="299"/>
        <v>0</v>
      </c>
      <c r="CI869" s="67">
        <f t="shared" si="294"/>
        <v>0</v>
      </c>
      <c r="CJ869" s="37">
        <f t="shared" si="290"/>
        <v>49</v>
      </c>
      <c r="CK869" s="37">
        <f t="shared" si="291"/>
        <v>0</v>
      </c>
      <c r="CL869" s="37">
        <f t="shared" si="292"/>
        <v>0</v>
      </c>
      <c r="CM869" s="37">
        <f t="shared" si="293"/>
        <v>0</v>
      </c>
    </row>
    <row r="870" spans="1:91" s="66" customFormat="1" ht="25.5">
      <c r="A870" s="152"/>
      <c r="B870" s="156">
        <v>854</v>
      </c>
      <c r="C870" s="169">
        <v>633</v>
      </c>
      <c r="D870" s="169">
        <v>174</v>
      </c>
      <c r="E870" s="170">
        <v>0.71527777777777779</v>
      </c>
      <c r="F870" s="176">
        <v>0.72569444444444453</v>
      </c>
      <c r="G870" s="171" t="s">
        <v>76</v>
      </c>
      <c r="H870" s="160" t="s">
        <v>97</v>
      </c>
      <c r="I870" s="169">
        <v>7</v>
      </c>
      <c r="J870" s="172">
        <v>19</v>
      </c>
      <c r="K870" s="165">
        <v>208</v>
      </c>
      <c r="L870" s="166">
        <f t="shared" si="298"/>
        <v>1456</v>
      </c>
      <c r="M870" s="167" t="s">
        <v>784</v>
      </c>
      <c r="N870" s="150" t="s">
        <v>829</v>
      </c>
      <c r="O870" s="150">
        <v>21</v>
      </c>
      <c r="P870" s="150" t="s">
        <v>830</v>
      </c>
      <c r="Q870" s="150" t="s">
        <v>831</v>
      </c>
      <c r="R870" s="154" t="s">
        <v>1307</v>
      </c>
      <c r="S870" s="151">
        <v>17</v>
      </c>
      <c r="T870" s="45">
        <v>6220</v>
      </c>
      <c r="U870" s="45" t="s">
        <v>1384</v>
      </c>
      <c r="V870" s="45">
        <v>6700</v>
      </c>
      <c r="W870" s="45" t="s">
        <v>1769</v>
      </c>
      <c r="X870" s="98">
        <v>44816</v>
      </c>
      <c r="Y870" s="98">
        <v>45086</v>
      </c>
      <c r="Z870" s="98"/>
      <c r="AA870" s="98"/>
      <c r="AB870" s="41" t="s">
        <v>1118</v>
      </c>
      <c r="AC870" s="41"/>
      <c r="AD870" s="36"/>
      <c r="AE870" s="36"/>
      <c r="AF870" s="36"/>
      <c r="AG870" s="42" t="s">
        <v>734</v>
      </c>
      <c r="AH870" s="42" t="s">
        <v>734</v>
      </c>
      <c r="AI870" s="42" t="s">
        <v>734</v>
      </c>
      <c r="AJ870" s="42" t="s">
        <v>734</v>
      </c>
      <c r="AK870" s="42" t="s">
        <v>734</v>
      </c>
      <c r="AL870" s="42" t="s">
        <v>734</v>
      </c>
      <c r="AM870" s="42" t="s">
        <v>734</v>
      </c>
      <c r="AN870" s="36"/>
      <c r="AO870" s="36"/>
      <c r="AP870" s="36"/>
      <c r="AQ870" s="36"/>
      <c r="AR870" s="42"/>
      <c r="AS870" s="42"/>
      <c r="AT870" s="42"/>
      <c r="AU870" s="42"/>
      <c r="AV870" s="42"/>
      <c r="AW870" s="42"/>
      <c r="AX870" s="68"/>
      <c r="AY870" s="68"/>
      <c r="BA870" s="38" t="s">
        <v>784</v>
      </c>
      <c r="BB870" s="38"/>
      <c r="BD870" s="67">
        <f t="shared" si="300"/>
        <v>0</v>
      </c>
      <c r="BG870" s="73">
        <v>1</v>
      </c>
      <c r="BI870" s="67"/>
      <c r="BO870" s="70">
        <f t="shared" si="286"/>
        <v>0</v>
      </c>
      <c r="BP870" s="37">
        <v>17</v>
      </c>
      <c r="BQ870" s="37">
        <v>25</v>
      </c>
      <c r="BR870" s="37">
        <v>25</v>
      </c>
      <c r="BS870" s="37">
        <v>18</v>
      </c>
      <c r="BT870" s="87">
        <f t="shared" si="287"/>
        <v>0</v>
      </c>
      <c r="BU870" s="87"/>
      <c r="BV870" s="87"/>
      <c r="BW870" s="87"/>
      <c r="BX870" s="87"/>
      <c r="BY870" s="87"/>
      <c r="BZ870" s="87"/>
      <c r="CA870" s="87"/>
      <c r="CB870" s="87"/>
      <c r="CC870" s="87"/>
      <c r="CD870" s="87"/>
      <c r="CF870" s="67">
        <f t="shared" si="288"/>
        <v>0</v>
      </c>
      <c r="CG870" s="67">
        <f t="shared" si="289"/>
        <v>0</v>
      </c>
      <c r="CH870" s="67">
        <f t="shared" si="299"/>
        <v>0</v>
      </c>
      <c r="CI870" s="67">
        <f t="shared" si="294"/>
        <v>0</v>
      </c>
      <c r="CJ870" s="37">
        <f t="shared" si="290"/>
        <v>119</v>
      </c>
      <c r="CK870" s="37">
        <f t="shared" si="291"/>
        <v>175</v>
      </c>
      <c r="CL870" s="37">
        <f t="shared" si="292"/>
        <v>175</v>
      </c>
      <c r="CM870" s="37">
        <f t="shared" si="293"/>
        <v>126</v>
      </c>
    </row>
    <row r="871" spans="1:91" s="66" customFormat="1" ht="25.5">
      <c r="A871" s="152"/>
      <c r="B871" s="156">
        <v>855</v>
      </c>
      <c r="C871" s="169">
        <v>633</v>
      </c>
      <c r="D871" s="169">
        <v>175</v>
      </c>
      <c r="E871" s="170">
        <v>0.72638888888888886</v>
      </c>
      <c r="F871" s="170">
        <v>0.7368055555555556</v>
      </c>
      <c r="G871" s="171" t="s">
        <v>75</v>
      </c>
      <c r="H871" s="160" t="s">
        <v>97</v>
      </c>
      <c r="I871" s="169">
        <v>7</v>
      </c>
      <c r="J871" s="172">
        <v>19</v>
      </c>
      <c r="K871" s="165">
        <v>208</v>
      </c>
      <c r="L871" s="166">
        <f t="shared" si="298"/>
        <v>1456</v>
      </c>
      <c r="M871" s="167" t="s">
        <v>784</v>
      </c>
      <c r="N871" s="150" t="s">
        <v>829</v>
      </c>
      <c r="O871" s="150">
        <v>21</v>
      </c>
      <c r="P871" s="150" t="s">
        <v>830</v>
      </c>
      <c r="Q871" s="150" t="s">
        <v>831</v>
      </c>
      <c r="R871" s="154" t="s">
        <v>1307</v>
      </c>
      <c r="S871" s="151">
        <v>17</v>
      </c>
      <c r="T871" s="45">
        <v>6700</v>
      </c>
      <c r="U871" s="45" t="s">
        <v>1769</v>
      </c>
      <c r="V871" s="45">
        <v>6220</v>
      </c>
      <c r="W871" s="45" t="s">
        <v>1384</v>
      </c>
      <c r="X871" s="98">
        <v>44816</v>
      </c>
      <c r="Y871" s="98">
        <v>45086</v>
      </c>
      <c r="Z871" s="98"/>
      <c r="AA871" s="98"/>
      <c r="AB871" s="41" t="s">
        <v>1118</v>
      </c>
      <c r="AC871" s="41"/>
      <c r="AD871" s="36"/>
      <c r="AE871" s="36"/>
      <c r="AF871" s="36"/>
      <c r="AG871" s="42" t="s">
        <v>734</v>
      </c>
      <c r="AH871" s="42" t="s">
        <v>734</v>
      </c>
      <c r="AI871" s="42" t="s">
        <v>734</v>
      </c>
      <c r="AJ871" s="42" t="s">
        <v>734</v>
      </c>
      <c r="AK871" s="42" t="s">
        <v>734</v>
      </c>
      <c r="AL871" s="42" t="s">
        <v>734</v>
      </c>
      <c r="AM871" s="42" t="s">
        <v>734</v>
      </c>
      <c r="AN871" s="36"/>
      <c r="AO871" s="36"/>
      <c r="AP871" s="36"/>
      <c r="AQ871" s="36"/>
      <c r="AR871" s="42"/>
      <c r="AS871" s="42"/>
      <c r="AT871" s="42"/>
      <c r="AU871" s="42"/>
      <c r="AV871" s="42"/>
      <c r="AW871" s="42"/>
      <c r="AX871" s="68"/>
      <c r="AY871" s="68"/>
      <c r="BA871" s="38" t="s">
        <v>784</v>
      </c>
      <c r="BB871" s="38"/>
      <c r="BD871" s="67">
        <f t="shared" si="300"/>
        <v>0</v>
      </c>
      <c r="BG871" s="73">
        <v>1</v>
      </c>
      <c r="BI871" s="67"/>
      <c r="BO871" s="70">
        <f t="shared" si="286"/>
        <v>0</v>
      </c>
      <c r="BP871" s="37">
        <v>17</v>
      </c>
      <c r="BQ871" s="37">
        <v>25</v>
      </c>
      <c r="BR871" s="37">
        <v>25</v>
      </c>
      <c r="BS871" s="37">
        <v>18</v>
      </c>
      <c r="BT871" s="87">
        <f t="shared" si="287"/>
        <v>0</v>
      </c>
      <c r="BU871" s="87"/>
      <c r="BV871" s="87"/>
      <c r="BW871" s="87"/>
      <c r="BX871" s="87"/>
      <c r="BY871" s="87"/>
      <c r="BZ871" s="87"/>
      <c r="CA871" s="87"/>
      <c r="CB871" s="87"/>
      <c r="CC871" s="87"/>
      <c r="CD871" s="87"/>
      <c r="CF871" s="67">
        <f t="shared" si="288"/>
        <v>0</v>
      </c>
      <c r="CG871" s="67">
        <f t="shared" si="289"/>
        <v>0</v>
      </c>
      <c r="CH871" s="67">
        <f t="shared" si="299"/>
        <v>0</v>
      </c>
      <c r="CI871" s="67">
        <f t="shared" si="294"/>
        <v>0</v>
      </c>
      <c r="CJ871" s="37">
        <f t="shared" si="290"/>
        <v>119</v>
      </c>
      <c r="CK871" s="37">
        <f t="shared" si="291"/>
        <v>175</v>
      </c>
      <c r="CL871" s="37">
        <f t="shared" si="292"/>
        <v>175</v>
      </c>
      <c r="CM871" s="37">
        <f t="shared" si="293"/>
        <v>126</v>
      </c>
    </row>
    <row r="872" spans="1:91" s="66" customFormat="1" ht="25.5">
      <c r="A872" s="152"/>
      <c r="B872" s="156">
        <v>856</v>
      </c>
      <c r="C872" s="169">
        <v>634</v>
      </c>
      <c r="D872" s="169">
        <v>533</v>
      </c>
      <c r="E872" s="176">
        <v>0.25208333333333333</v>
      </c>
      <c r="F872" s="176">
        <v>0.2722222222222222</v>
      </c>
      <c r="G872" s="171" t="s">
        <v>68</v>
      </c>
      <c r="H872" s="160" t="s">
        <v>479</v>
      </c>
      <c r="I872" s="169">
        <v>20</v>
      </c>
      <c r="J872" s="172">
        <v>19</v>
      </c>
      <c r="K872" s="165">
        <v>240</v>
      </c>
      <c r="L872" s="166">
        <f t="shared" si="298"/>
        <v>4800</v>
      </c>
      <c r="M872" s="177" t="s">
        <v>784</v>
      </c>
      <c r="N872" s="150" t="s">
        <v>829</v>
      </c>
      <c r="O872" s="150">
        <v>21</v>
      </c>
      <c r="P872" s="150" t="s">
        <v>830</v>
      </c>
      <c r="Q872" s="150" t="s">
        <v>831</v>
      </c>
      <c r="R872" s="154" t="s">
        <v>1307</v>
      </c>
      <c r="S872" s="151">
        <v>17</v>
      </c>
      <c r="T872" s="45">
        <v>6765</v>
      </c>
      <c r="U872" s="45" t="s">
        <v>1772</v>
      </c>
      <c r="V872" s="45">
        <v>6220</v>
      </c>
      <c r="W872" s="45" t="s">
        <v>1384</v>
      </c>
      <c r="X872" s="99">
        <v>44816</v>
      </c>
      <c r="Y872" s="99">
        <v>45100</v>
      </c>
      <c r="Z872" s="99"/>
      <c r="AA872" s="99"/>
      <c r="AB872" s="45" t="s">
        <v>1124</v>
      </c>
      <c r="AC872" s="45"/>
      <c r="AD872" s="42" t="s">
        <v>734</v>
      </c>
      <c r="AE872" s="42"/>
      <c r="AF872" s="42" t="s">
        <v>734</v>
      </c>
      <c r="AG872" s="42"/>
      <c r="AH872" s="42" t="s">
        <v>734</v>
      </c>
      <c r="AI872" s="42" t="s">
        <v>734</v>
      </c>
      <c r="AJ872" s="42" t="s">
        <v>734</v>
      </c>
      <c r="AK872" s="42" t="s">
        <v>734</v>
      </c>
      <c r="AL872" s="42" t="s">
        <v>734</v>
      </c>
      <c r="AM872" s="42" t="s">
        <v>734</v>
      </c>
      <c r="AN872" s="36"/>
      <c r="AO872" s="36"/>
      <c r="AP872" s="36"/>
      <c r="AQ872" s="36"/>
      <c r="AR872" s="42"/>
      <c r="AS872" s="42"/>
      <c r="AT872" s="42"/>
      <c r="AU872" s="42"/>
      <c r="AV872" s="42"/>
      <c r="AW872" s="42"/>
      <c r="AX872" s="68"/>
      <c r="AY872" s="68"/>
      <c r="BA872" s="38" t="s">
        <v>784</v>
      </c>
      <c r="BB872" s="38"/>
      <c r="BD872" s="67">
        <f t="shared" si="300"/>
        <v>0</v>
      </c>
      <c r="BG872" s="73">
        <v>1</v>
      </c>
      <c r="BI872" s="67"/>
      <c r="BN872" s="67"/>
      <c r="BO872" s="70">
        <f t="shared" si="286"/>
        <v>0</v>
      </c>
      <c r="BP872" s="37">
        <v>17</v>
      </c>
      <c r="BQ872" s="37">
        <v>26</v>
      </c>
      <c r="BR872" s="37">
        <v>25</v>
      </c>
      <c r="BS872" s="37">
        <v>25</v>
      </c>
      <c r="BT872" s="87">
        <f t="shared" si="287"/>
        <v>0</v>
      </c>
      <c r="BU872" s="87"/>
      <c r="BV872" s="87"/>
      <c r="BW872" s="87"/>
      <c r="BX872" s="87"/>
      <c r="BY872" s="87"/>
      <c r="BZ872" s="87"/>
      <c r="CA872" s="87"/>
      <c r="CB872" s="87"/>
      <c r="CC872" s="87"/>
      <c r="CD872" s="87"/>
      <c r="CF872" s="67">
        <f t="shared" si="288"/>
        <v>0</v>
      </c>
      <c r="CG872" s="67">
        <f t="shared" si="289"/>
        <v>0</v>
      </c>
      <c r="CH872" s="67">
        <f t="shared" si="299"/>
        <v>0</v>
      </c>
      <c r="CI872" s="67">
        <f t="shared" si="294"/>
        <v>0</v>
      </c>
      <c r="CJ872" s="37">
        <f t="shared" si="290"/>
        <v>340</v>
      </c>
      <c r="CK872" s="37">
        <f t="shared" si="291"/>
        <v>520</v>
      </c>
      <c r="CL872" s="37">
        <f t="shared" si="292"/>
        <v>500</v>
      </c>
      <c r="CM872" s="37">
        <f t="shared" si="293"/>
        <v>500</v>
      </c>
    </row>
    <row r="873" spans="1:91" s="66" customFormat="1" ht="22.5">
      <c r="A873" s="152"/>
      <c r="B873" s="156">
        <v>857</v>
      </c>
      <c r="C873" s="169">
        <v>634</v>
      </c>
      <c r="D873" s="169">
        <v>533</v>
      </c>
      <c r="E873" s="170">
        <v>0.29444444444444445</v>
      </c>
      <c r="F873" s="170">
        <v>0.30555555555555552</v>
      </c>
      <c r="G873" s="171" t="s">
        <v>632</v>
      </c>
      <c r="H873" s="171" t="s">
        <v>1</v>
      </c>
      <c r="I873" s="169">
        <v>9</v>
      </c>
      <c r="J873" s="172">
        <v>19</v>
      </c>
      <c r="K873" s="165">
        <v>67</v>
      </c>
      <c r="L873" s="166">
        <f t="shared" si="298"/>
        <v>603</v>
      </c>
      <c r="M873" s="177" t="s">
        <v>784</v>
      </c>
      <c r="N873" s="150" t="s">
        <v>829</v>
      </c>
      <c r="O873" s="150">
        <v>21</v>
      </c>
      <c r="P873" s="150" t="s">
        <v>830</v>
      </c>
      <c r="Q873" s="150" t="s">
        <v>831</v>
      </c>
      <c r="R873" s="154" t="s">
        <v>1307</v>
      </c>
      <c r="S873" s="151">
        <v>17</v>
      </c>
      <c r="T873" s="45">
        <v>6755</v>
      </c>
      <c r="U873" s="45" t="s">
        <v>1383</v>
      </c>
      <c r="V873" s="45">
        <v>6715</v>
      </c>
      <c r="W873" s="45" t="s">
        <v>1773</v>
      </c>
      <c r="X873" s="99">
        <v>44562</v>
      </c>
      <c r="Y873" s="99">
        <v>44815</v>
      </c>
      <c r="Z873" s="99">
        <v>45101</v>
      </c>
      <c r="AA873" s="99">
        <v>45169</v>
      </c>
      <c r="AB873" s="42" t="s">
        <v>1119</v>
      </c>
      <c r="AC873" s="42"/>
      <c r="AD873" s="36"/>
      <c r="AE873" s="42" t="s">
        <v>734</v>
      </c>
      <c r="AF873" s="42" t="s">
        <v>734</v>
      </c>
      <c r="AG873" s="42"/>
      <c r="AH873" s="42" t="s">
        <v>734</v>
      </c>
      <c r="AI873" s="42" t="s">
        <v>734</v>
      </c>
      <c r="AJ873" s="42" t="s">
        <v>734</v>
      </c>
      <c r="AK873" s="42" t="s">
        <v>734</v>
      </c>
      <c r="AL873" s="42" t="s">
        <v>734</v>
      </c>
      <c r="AM873" s="42" t="s">
        <v>734</v>
      </c>
      <c r="AN873" s="36"/>
      <c r="AO873" s="36"/>
      <c r="AP873" s="36"/>
      <c r="AQ873" s="42"/>
      <c r="AR873" s="42"/>
      <c r="AS873" s="42"/>
      <c r="AT873" s="42"/>
      <c r="AU873" s="42"/>
      <c r="AV873" s="42"/>
      <c r="AW873" s="42"/>
      <c r="AX873" s="68"/>
      <c r="AY873" s="68"/>
      <c r="BA873" s="38" t="s">
        <v>784</v>
      </c>
      <c r="BB873" s="38"/>
      <c r="BD873" s="67">
        <f t="shared" si="300"/>
        <v>0</v>
      </c>
      <c r="BG873" s="73">
        <v>1</v>
      </c>
      <c r="BI873" s="67"/>
      <c r="BO873" s="70">
        <f t="shared" si="286"/>
        <v>0</v>
      </c>
      <c r="BP873" s="37">
        <v>9</v>
      </c>
      <c r="BQ873" s="37">
        <v>0</v>
      </c>
      <c r="BR873" s="37">
        <v>0</v>
      </c>
      <c r="BS873" s="37">
        <v>0</v>
      </c>
      <c r="BT873" s="87">
        <f t="shared" si="287"/>
        <v>0</v>
      </c>
      <c r="BU873" s="87"/>
      <c r="BV873" s="87"/>
      <c r="BW873" s="87"/>
      <c r="BX873" s="87"/>
      <c r="BY873" s="87"/>
      <c r="BZ873" s="87"/>
      <c r="CA873" s="87"/>
      <c r="CB873" s="87"/>
      <c r="CC873" s="87"/>
      <c r="CD873" s="87"/>
      <c r="CF873" s="67">
        <f t="shared" si="288"/>
        <v>0</v>
      </c>
      <c r="CG873" s="67">
        <f t="shared" si="289"/>
        <v>0</v>
      </c>
      <c r="CH873" s="67">
        <f t="shared" si="299"/>
        <v>0</v>
      </c>
      <c r="CI873" s="67">
        <f t="shared" si="294"/>
        <v>0</v>
      </c>
      <c r="CJ873" s="37">
        <f t="shared" si="290"/>
        <v>81</v>
      </c>
      <c r="CK873" s="37">
        <f t="shared" si="291"/>
        <v>0</v>
      </c>
      <c r="CL873" s="37">
        <f t="shared" si="292"/>
        <v>0</v>
      </c>
      <c r="CM873" s="37">
        <f t="shared" si="293"/>
        <v>0</v>
      </c>
    </row>
    <row r="874" spans="1:91" s="66" customFormat="1" ht="22.5">
      <c r="A874" s="152"/>
      <c r="B874" s="156">
        <v>858</v>
      </c>
      <c r="C874" s="189">
        <v>634</v>
      </c>
      <c r="D874" s="169">
        <v>541</v>
      </c>
      <c r="E874" s="170">
        <v>0.56597222222222221</v>
      </c>
      <c r="F874" s="170">
        <v>0.58819444444444446</v>
      </c>
      <c r="G874" s="171" t="s">
        <v>68</v>
      </c>
      <c r="H874" s="171" t="s">
        <v>1</v>
      </c>
      <c r="I874" s="169">
        <v>28</v>
      </c>
      <c r="J874" s="172">
        <v>19</v>
      </c>
      <c r="K874" s="165">
        <v>67</v>
      </c>
      <c r="L874" s="166">
        <f t="shared" si="298"/>
        <v>1876</v>
      </c>
      <c r="M874" s="177" t="s">
        <v>784</v>
      </c>
      <c r="N874" s="150" t="s">
        <v>829</v>
      </c>
      <c r="O874" s="150">
        <v>21</v>
      </c>
      <c r="P874" s="150" t="s">
        <v>830</v>
      </c>
      <c r="Q874" s="150" t="s">
        <v>831</v>
      </c>
      <c r="R874" s="154" t="s">
        <v>1307</v>
      </c>
      <c r="S874" s="151">
        <v>17</v>
      </c>
      <c r="T874" s="45">
        <v>6765</v>
      </c>
      <c r="U874" s="45" t="s">
        <v>1772</v>
      </c>
      <c r="V874" s="45">
        <v>6220</v>
      </c>
      <c r="W874" s="45" t="s">
        <v>1384</v>
      </c>
      <c r="X874" s="99">
        <v>44562</v>
      </c>
      <c r="Y874" s="99">
        <v>44815</v>
      </c>
      <c r="Z874" s="99">
        <v>45101</v>
      </c>
      <c r="AA874" s="99">
        <v>45169</v>
      </c>
      <c r="AB874" s="42" t="s">
        <v>1119</v>
      </c>
      <c r="AC874" s="42"/>
      <c r="AD874" s="36"/>
      <c r="AE874" s="42" t="s">
        <v>734</v>
      </c>
      <c r="AF874" s="42" t="s">
        <v>734</v>
      </c>
      <c r="AG874" s="42"/>
      <c r="AH874" s="42" t="s">
        <v>734</v>
      </c>
      <c r="AI874" s="42" t="s">
        <v>734</v>
      </c>
      <c r="AJ874" s="42" t="s">
        <v>734</v>
      </c>
      <c r="AK874" s="42" t="s">
        <v>734</v>
      </c>
      <c r="AL874" s="42" t="s">
        <v>734</v>
      </c>
      <c r="AM874" s="42" t="s">
        <v>734</v>
      </c>
      <c r="AN874" s="36"/>
      <c r="AO874" s="36"/>
      <c r="AP874" s="36"/>
      <c r="AQ874" s="42"/>
      <c r="AR874" s="42"/>
      <c r="AS874" s="42"/>
      <c r="AT874" s="42"/>
      <c r="AU874" s="42"/>
      <c r="AV874" s="42"/>
      <c r="AW874" s="42"/>
      <c r="AX874" s="68"/>
      <c r="AY874" s="68"/>
      <c r="BA874" s="38" t="s">
        <v>784</v>
      </c>
      <c r="BB874" s="38"/>
      <c r="BD874" s="67">
        <f t="shared" si="300"/>
        <v>0</v>
      </c>
      <c r="BG874" s="73">
        <v>1</v>
      </c>
      <c r="BI874" s="67"/>
      <c r="BO874" s="70">
        <f t="shared" si="286"/>
        <v>0</v>
      </c>
      <c r="BP874" s="37">
        <v>9</v>
      </c>
      <c r="BQ874" s="37">
        <v>0</v>
      </c>
      <c r="BR874" s="37">
        <v>0</v>
      </c>
      <c r="BS874" s="37">
        <v>0</v>
      </c>
      <c r="BT874" s="87">
        <f t="shared" si="287"/>
        <v>0</v>
      </c>
      <c r="BU874" s="87"/>
      <c r="BV874" s="87"/>
      <c r="BW874" s="87"/>
      <c r="BX874" s="87"/>
      <c r="BY874" s="87"/>
      <c r="BZ874" s="87"/>
      <c r="CA874" s="87"/>
      <c r="CB874" s="87"/>
      <c r="CC874" s="87"/>
      <c r="CD874" s="87"/>
      <c r="CF874" s="67">
        <f t="shared" si="288"/>
        <v>0</v>
      </c>
      <c r="CG874" s="67">
        <f t="shared" si="289"/>
        <v>0</v>
      </c>
      <c r="CH874" s="67">
        <f t="shared" si="299"/>
        <v>0</v>
      </c>
      <c r="CI874" s="67">
        <f t="shared" si="294"/>
        <v>0</v>
      </c>
      <c r="CJ874" s="37">
        <f t="shared" si="290"/>
        <v>252</v>
      </c>
      <c r="CK874" s="37">
        <f t="shared" si="291"/>
        <v>0</v>
      </c>
      <c r="CL874" s="37">
        <f t="shared" si="292"/>
        <v>0</v>
      </c>
      <c r="CM874" s="37">
        <f t="shared" si="293"/>
        <v>0</v>
      </c>
    </row>
    <row r="875" spans="1:91" s="66" customFormat="1" ht="25.5">
      <c r="A875" s="152"/>
      <c r="B875" s="156">
        <v>859</v>
      </c>
      <c r="C875" s="169">
        <v>634</v>
      </c>
      <c r="D875" s="169">
        <v>540</v>
      </c>
      <c r="E875" s="170">
        <v>0.72569444444444453</v>
      </c>
      <c r="F875" s="170">
        <v>0.74791666666666667</v>
      </c>
      <c r="G875" s="171" t="s">
        <v>64</v>
      </c>
      <c r="H875" s="171" t="s">
        <v>105</v>
      </c>
      <c r="I875" s="169">
        <v>20</v>
      </c>
      <c r="J875" s="172">
        <v>19</v>
      </c>
      <c r="K875" s="165">
        <v>67</v>
      </c>
      <c r="L875" s="166">
        <f t="shared" si="298"/>
        <v>1340</v>
      </c>
      <c r="M875" s="177" t="s">
        <v>784</v>
      </c>
      <c r="N875" s="150" t="s">
        <v>830</v>
      </c>
      <c r="O875" s="150" t="s">
        <v>831</v>
      </c>
      <c r="P875" s="150" t="s">
        <v>829</v>
      </c>
      <c r="Q875" s="150">
        <v>21</v>
      </c>
      <c r="R875" s="154" t="s">
        <v>1307</v>
      </c>
      <c r="S875" s="151">
        <v>17</v>
      </c>
      <c r="T875" s="45">
        <v>6220</v>
      </c>
      <c r="U875" s="45" t="s">
        <v>1384</v>
      </c>
      <c r="V875" s="45">
        <v>6755</v>
      </c>
      <c r="W875" s="45" t="s">
        <v>1383</v>
      </c>
      <c r="X875" s="99">
        <v>44562</v>
      </c>
      <c r="Y875" s="99">
        <v>44815</v>
      </c>
      <c r="Z875" s="99">
        <v>45101</v>
      </c>
      <c r="AA875" s="99">
        <v>45169</v>
      </c>
      <c r="AB875" s="42" t="s">
        <v>1119</v>
      </c>
      <c r="AC875" s="42"/>
      <c r="AD875" s="36"/>
      <c r="AE875" s="42" t="s">
        <v>734</v>
      </c>
      <c r="AF875" s="42" t="s">
        <v>734</v>
      </c>
      <c r="AG875" s="42"/>
      <c r="AH875" s="42" t="s">
        <v>734</v>
      </c>
      <c r="AI875" s="42" t="s">
        <v>734</v>
      </c>
      <c r="AJ875" s="42" t="s">
        <v>734</v>
      </c>
      <c r="AK875" s="42" t="s">
        <v>734</v>
      </c>
      <c r="AL875" s="42" t="s">
        <v>734</v>
      </c>
      <c r="AM875" s="42" t="s">
        <v>734</v>
      </c>
      <c r="AN875" s="36"/>
      <c r="AO875" s="36"/>
      <c r="AP875" s="36"/>
      <c r="AQ875" s="36"/>
      <c r="AR875" s="42"/>
      <c r="AS875" s="42"/>
      <c r="AT875" s="42"/>
      <c r="AU875" s="42"/>
      <c r="AV875" s="42"/>
      <c r="AW875" s="42"/>
      <c r="AX875" s="68"/>
      <c r="AY875" s="68"/>
      <c r="BA875" s="38" t="s">
        <v>784</v>
      </c>
      <c r="BB875" s="38"/>
      <c r="BD875" s="67">
        <f t="shared" si="300"/>
        <v>0</v>
      </c>
      <c r="BG875" s="73">
        <v>1</v>
      </c>
      <c r="BI875" s="67"/>
      <c r="BO875" s="70">
        <f t="shared" si="286"/>
        <v>0</v>
      </c>
      <c r="BP875" s="37">
        <v>9</v>
      </c>
      <c r="BQ875" s="37">
        <v>0</v>
      </c>
      <c r="BR875" s="37">
        <v>0</v>
      </c>
      <c r="BS875" s="37">
        <v>0</v>
      </c>
      <c r="BT875" s="87">
        <f t="shared" si="287"/>
        <v>0</v>
      </c>
      <c r="BU875" s="87"/>
      <c r="BV875" s="87"/>
      <c r="BW875" s="87"/>
      <c r="BX875" s="87"/>
      <c r="BY875" s="87"/>
      <c r="BZ875" s="87"/>
      <c r="CA875" s="87"/>
      <c r="CB875" s="87"/>
      <c r="CC875" s="87"/>
      <c r="CD875" s="87"/>
      <c r="CF875" s="67">
        <f t="shared" si="288"/>
        <v>0</v>
      </c>
      <c r="CG875" s="67">
        <f t="shared" si="289"/>
        <v>0</v>
      </c>
      <c r="CH875" s="67">
        <f t="shared" si="299"/>
        <v>0</v>
      </c>
      <c r="CI875" s="67">
        <f t="shared" si="294"/>
        <v>0</v>
      </c>
      <c r="CJ875" s="37">
        <f t="shared" si="290"/>
        <v>180</v>
      </c>
      <c r="CK875" s="37">
        <f t="shared" si="291"/>
        <v>0</v>
      </c>
      <c r="CL875" s="37">
        <f t="shared" si="292"/>
        <v>0</v>
      </c>
      <c r="CM875" s="37">
        <f t="shared" si="293"/>
        <v>0</v>
      </c>
    </row>
    <row r="876" spans="1:91" s="66" customFormat="1" ht="25.5">
      <c r="A876" s="152"/>
      <c r="B876" s="156">
        <v>860</v>
      </c>
      <c r="C876" s="169">
        <v>634</v>
      </c>
      <c r="D876" s="169">
        <v>540</v>
      </c>
      <c r="E876" s="170">
        <v>0.74305555555555547</v>
      </c>
      <c r="F876" s="176">
        <v>0.76666666666666661</v>
      </c>
      <c r="G876" s="171" t="s">
        <v>64</v>
      </c>
      <c r="H876" s="160" t="s">
        <v>479</v>
      </c>
      <c r="I876" s="169">
        <v>20</v>
      </c>
      <c r="J876" s="172">
        <v>19</v>
      </c>
      <c r="K876" s="165">
        <v>240</v>
      </c>
      <c r="L876" s="166">
        <f t="shared" si="298"/>
        <v>4800</v>
      </c>
      <c r="M876" s="177" t="s">
        <v>784</v>
      </c>
      <c r="N876" s="150" t="s">
        <v>829</v>
      </c>
      <c r="O876" s="150">
        <v>21</v>
      </c>
      <c r="P876" s="150" t="s">
        <v>830</v>
      </c>
      <c r="Q876" s="150" t="s">
        <v>831</v>
      </c>
      <c r="R876" s="154" t="s">
        <v>1307</v>
      </c>
      <c r="S876" s="151">
        <v>17</v>
      </c>
      <c r="T876" s="45">
        <v>6220</v>
      </c>
      <c r="U876" s="45" t="s">
        <v>1384</v>
      </c>
      <c r="V876" s="45">
        <v>6755</v>
      </c>
      <c r="W876" s="45" t="s">
        <v>1383</v>
      </c>
      <c r="X876" s="99">
        <v>44816</v>
      </c>
      <c r="Y876" s="99">
        <v>45100</v>
      </c>
      <c r="Z876" s="99"/>
      <c r="AA876" s="99"/>
      <c r="AB876" s="45" t="s">
        <v>1124</v>
      </c>
      <c r="AC876" s="45"/>
      <c r="AD876" s="42" t="s">
        <v>734</v>
      </c>
      <c r="AE876" s="42"/>
      <c r="AF876" s="42" t="s">
        <v>734</v>
      </c>
      <c r="AG876" s="42"/>
      <c r="AH876" s="42" t="s">
        <v>734</v>
      </c>
      <c r="AI876" s="42" t="s">
        <v>734</v>
      </c>
      <c r="AJ876" s="42" t="s">
        <v>734</v>
      </c>
      <c r="AK876" s="42" t="s">
        <v>734</v>
      </c>
      <c r="AL876" s="42" t="s">
        <v>734</v>
      </c>
      <c r="AM876" s="42" t="s">
        <v>734</v>
      </c>
      <c r="AN876" s="36"/>
      <c r="AO876" s="36"/>
      <c r="AP876" s="36"/>
      <c r="AQ876" s="36"/>
      <c r="AR876" s="42"/>
      <c r="AS876" s="42"/>
      <c r="AT876" s="42"/>
      <c r="AU876" s="42"/>
      <c r="AV876" s="42"/>
      <c r="AW876" s="42"/>
      <c r="AX876" s="68"/>
      <c r="AY876" s="68"/>
      <c r="BA876" s="38" t="s">
        <v>784</v>
      </c>
      <c r="BB876" s="38"/>
      <c r="BD876" s="67">
        <f t="shared" si="300"/>
        <v>0</v>
      </c>
      <c r="BG876" s="73">
        <v>1</v>
      </c>
      <c r="BI876" s="67"/>
      <c r="BO876" s="70">
        <f t="shared" si="286"/>
        <v>0</v>
      </c>
      <c r="BP876" s="37">
        <v>17</v>
      </c>
      <c r="BQ876" s="37">
        <v>26</v>
      </c>
      <c r="BR876" s="37">
        <v>25</v>
      </c>
      <c r="BS876" s="37">
        <v>25</v>
      </c>
      <c r="BT876" s="87">
        <f t="shared" si="287"/>
        <v>0</v>
      </c>
      <c r="BU876" s="87"/>
      <c r="BV876" s="87"/>
      <c r="BW876" s="87"/>
      <c r="BX876" s="87"/>
      <c r="BY876" s="87"/>
      <c r="BZ876" s="87"/>
      <c r="CA876" s="87"/>
      <c r="CB876" s="87"/>
      <c r="CC876" s="87"/>
      <c r="CD876" s="87"/>
      <c r="CF876" s="67">
        <f t="shared" si="288"/>
        <v>0</v>
      </c>
      <c r="CG876" s="67">
        <f t="shared" si="289"/>
        <v>0</v>
      </c>
      <c r="CH876" s="67">
        <f t="shared" si="299"/>
        <v>0</v>
      </c>
      <c r="CI876" s="67">
        <f t="shared" si="294"/>
        <v>0</v>
      </c>
      <c r="CJ876" s="37">
        <f t="shared" si="290"/>
        <v>340</v>
      </c>
      <c r="CK876" s="37">
        <f t="shared" si="291"/>
        <v>520</v>
      </c>
      <c r="CL876" s="37">
        <f t="shared" si="292"/>
        <v>500</v>
      </c>
      <c r="CM876" s="37">
        <f t="shared" si="293"/>
        <v>500</v>
      </c>
    </row>
    <row r="877" spans="1:91" s="66" customFormat="1" ht="25.5">
      <c r="A877" s="150"/>
      <c r="B877" s="156">
        <v>861</v>
      </c>
      <c r="C877" s="169">
        <v>634</v>
      </c>
      <c r="D877" s="169">
        <v>538</v>
      </c>
      <c r="E877" s="176">
        <v>0.76388888888888884</v>
      </c>
      <c r="F877" s="176">
        <v>0.78333333333333333</v>
      </c>
      <c r="G877" s="171" t="s">
        <v>66</v>
      </c>
      <c r="H877" s="171" t="s">
        <v>105</v>
      </c>
      <c r="I877" s="169">
        <v>15</v>
      </c>
      <c r="J877" s="172">
        <v>19</v>
      </c>
      <c r="K877" s="165">
        <v>67</v>
      </c>
      <c r="L877" s="166">
        <f t="shared" si="298"/>
        <v>1005</v>
      </c>
      <c r="M877" s="177" t="s">
        <v>779</v>
      </c>
      <c r="N877" s="154" t="s">
        <v>862</v>
      </c>
      <c r="O877" s="154">
        <v>21</v>
      </c>
      <c r="P877" s="154" t="s">
        <v>1300</v>
      </c>
      <c r="Q877" s="154">
        <v>31</v>
      </c>
      <c r="R877" s="150"/>
      <c r="S877" s="154"/>
      <c r="T877" s="45">
        <v>6220</v>
      </c>
      <c r="U877" s="45" t="s">
        <v>1384</v>
      </c>
      <c r="V877" s="45">
        <v>6765</v>
      </c>
      <c r="W877" s="45" t="s">
        <v>1772</v>
      </c>
      <c r="X877" s="99">
        <v>44562</v>
      </c>
      <c r="Y877" s="99">
        <v>44815</v>
      </c>
      <c r="Z877" s="99">
        <v>45101</v>
      </c>
      <c r="AA877" s="99">
        <v>45169</v>
      </c>
      <c r="AB877" s="42" t="s">
        <v>1119</v>
      </c>
      <c r="AC877" s="42"/>
      <c r="AD877" s="36"/>
      <c r="AE877" s="42" t="s">
        <v>734</v>
      </c>
      <c r="AF877" s="42" t="s">
        <v>734</v>
      </c>
      <c r="AG877" s="42"/>
      <c r="AH877" s="42" t="s">
        <v>734</v>
      </c>
      <c r="AI877" s="42" t="s">
        <v>734</v>
      </c>
      <c r="AJ877" s="42" t="s">
        <v>734</v>
      </c>
      <c r="AK877" s="42" t="s">
        <v>734</v>
      </c>
      <c r="AL877" s="42" t="s">
        <v>734</v>
      </c>
      <c r="AM877" s="42" t="s">
        <v>734</v>
      </c>
      <c r="AN877" s="36"/>
      <c r="AO877" s="36"/>
      <c r="AP877" s="36"/>
      <c r="AQ877" s="36"/>
      <c r="AR877" s="42"/>
      <c r="AS877" s="42"/>
      <c r="AT877" s="42"/>
      <c r="AU877" s="42"/>
      <c r="AV877" s="42"/>
      <c r="AW877" s="42"/>
      <c r="AX877" s="67"/>
      <c r="AY877" s="67"/>
      <c r="BA877" s="40" t="s">
        <v>779</v>
      </c>
      <c r="BB877" s="40"/>
      <c r="BD877" s="67">
        <f t="shared" si="300"/>
        <v>0</v>
      </c>
      <c r="BG877" s="73">
        <v>1</v>
      </c>
      <c r="BI877" s="67"/>
      <c r="BO877" s="70">
        <f t="shared" si="286"/>
        <v>0</v>
      </c>
      <c r="BP877" s="37">
        <v>9</v>
      </c>
      <c r="BQ877" s="37">
        <v>0</v>
      </c>
      <c r="BR877" s="37">
        <v>0</v>
      </c>
      <c r="BS877" s="37">
        <v>0</v>
      </c>
      <c r="BT877" s="87">
        <f t="shared" si="287"/>
        <v>0</v>
      </c>
      <c r="BU877" s="87"/>
      <c r="BV877" s="87"/>
      <c r="BW877" s="87"/>
      <c r="BX877" s="87"/>
      <c r="BY877" s="87"/>
      <c r="BZ877" s="87"/>
      <c r="CA877" s="87"/>
      <c r="CB877" s="87"/>
      <c r="CC877" s="87"/>
      <c r="CD877" s="87"/>
      <c r="CF877" s="67">
        <f t="shared" si="288"/>
        <v>0</v>
      </c>
      <c r="CG877" s="67">
        <f t="shared" si="289"/>
        <v>0</v>
      </c>
      <c r="CH877" s="67">
        <f t="shared" si="299"/>
        <v>0</v>
      </c>
      <c r="CI877" s="67">
        <f t="shared" si="294"/>
        <v>0</v>
      </c>
      <c r="CJ877" s="37">
        <f t="shared" si="290"/>
        <v>135</v>
      </c>
      <c r="CK877" s="37">
        <f t="shared" si="291"/>
        <v>0</v>
      </c>
      <c r="CL877" s="37">
        <f t="shared" si="292"/>
        <v>0</v>
      </c>
      <c r="CM877" s="37">
        <f t="shared" si="293"/>
        <v>0</v>
      </c>
    </row>
    <row r="878" spans="1:91" s="66" customFormat="1" ht="25.5">
      <c r="A878" s="152"/>
      <c r="B878" s="156">
        <v>862</v>
      </c>
      <c r="C878" s="169">
        <v>634</v>
      </c>
      <c r="D878" s="169">
        <v>545</v>
      </c>
      <c r="E878" s="170">
        <v>0.77430555555555547</v>
      </c>
      <c r="F878" s="176">
        <v>0.79791666666666661</v>
      </c>
      <c r="G878" s="171" t="s">
        <v>65</v>
      </c>
      <c r="H878" s="160" t="s">
        <v>479</v>
      </c>
      <c r="I878" s="169">
        <v>20</v>
      </c>
      <c r="J878" s="172">
        <v>19</v>
      </c>
      <c r="K878" s="165">
        <v>240</v>
      </c>
      <c r="L878" s="166">
        <f t="shared" si="298"/>
        <v>4800</v>
      </c>
      <c r="M878" s="177" t="s">
        <v>784</v>
      </c>
      <c r="N878" s="150" t="s">
        <v>829</v>
      </c>
      <c r="O878" s="150">
        <v>21</v>
      </c>
      <c r="P878" s="150" t="s">
        <v>830</v>
      </c>
      <c r="Q878" s="150" t="s">
        <v>831</v>
      </c>
      <c r="R878" s="154" t="s">
        <v>1307</v>
      </c>
      <c r="S878" s="151">
        <v>17</v>
      </c>
      <c r="T878" s="45">
        <v>6755</v>
      </c>
      <c r="U878" s="45" t="s">
        <v>1383</v>
      </c>
      <c r="V878" s="45">
        <v>6220</v>
      </c>
      <c r="W878" s="45" t="s">
        <v>1384</v>
      </c>
      <c r="X878" s="99">
        <v>44816</v>
      </c>
      <c r="Y878" s="99">
        <v>45100</v>
      </c>
      <c r="Z878" s="99"/>
      <c r="AA878" s="99"/>
      <c r="AB878" s="45" t="s">
        <v>1124</v>
      </c>
      <c r="AC878" s="45"/>
      <c r="AD878" s="42" t="s">
        <v>734</v>
      </c>
      <c r="AE878" s="42"/>
      <c r="AF878" s="42" t="s">
        <v>734</v>
      </c>
      <c r="AG878" s="42"/>
      <c r="AH878" s="42" t="s">
        <v>734</v>
      </c>
      <c r="AI878" s="42" t="s">
        <v>734</v>
      </c>
      <c r="AJ878" s="42" t="s">
        <v>734</v>
      </c>
      <c r="AK878" s="42" t="s">
        <v>734</v>
      </c>
      <c r="AL878" s="42" t="s">
        <v>734</v>
      </c>
      <c r="AM878" s="42" t="s">
        <v>734</v>
      </c>
      <c r="AN878" s="36"/>
      <c r="AO878" s="36"/>
      <c r="AP878" s="36"/>
      <c r="AQ878" s="36"/>
      <c r="AR878" s="42"/>
      <c r="AS878" s="42"/>
      <c r="AT878" s="42"/>
      <c r="AU878" s="42"/>
      <c r="AV878" s="42"/>
      <c r="AW878" s="42"/>
      <c r="AX878" s="68"/>
      <c r="AY878" s="68"/>
      <c r="BA878" s="38" t="s">
        <v>784</v>
      </c>
      <c r="BB878" s="38"/>
      <c r="BD878" s="67">
        <f t="shared" si="300"/>
        <v>0</v>
      </c>
      <c r="BG878" s="73">
        <v>1</v>
      </c>
      <c r="BI878" s="67"/>
      <c r="BO878" s="70">
        <f t="shared" si="286"/>
        <v>0</v>
      </c>
      <c r="BP878" s="37">
        <v>17</v>
      </c>
      <c r="BQ878" s="37">
        <v>26</v>
      </c>
      <c r="BR878" s="37">
        <v>25</v>
      </c>
      <c r="BS878" s="37">
        <v>25</v>
      </c>
      <c r="BT878" s="87">
        <f t="shared" si="287"/>
        <v>0</v>
      </c>
      <c r="BU878" s="87"/>
      <c r="BV878" s="87"/>
      <c r="BW878" s="87"/>
      <c r="BX878" s="87"/>
      <c r="BY878" s="87"/>
      <c r="BZ878" s="87"/>
      <c r="CA878" s="87"/>
      <c r="CB878" s="87"/>
      <c r="CC878" s="87"/>
      <c r="CD878" s="87"/>
      <c r="CF878" s="67">
        <f t="shared" si="288"/>
        <v>0</v>
      </c>
      <c r="CG878" s="67">
        <f t="shared" si="289"/>
        <v>0</v>
      </c>
      <c r="CH878" s="67">
        <f t="shared" si="299"/>
        <v>0</v>
      </c>
      <c r="CI878" s="67">
        <f t="shared" si="294"/>
        <v>0</v>
      </c>
      <c r="CJ878" s="37">
        <f t="shared" si="290"/>
        <v>340</v>
      </c>
      <c r="CK878" s="37">
        <f t="shared" si="291"/>
        <v>520</v>
      </c>
      <c r="CL878" s="37">
        <f t="shared" si="292"/>
        <v>500</v>
      </c>
      <c r="CM878" s="37">
        <f t="shared" si="293"/>
        <v>500</v>
      </c>
    </row>
    <row r="879" spans="1:91" s="66" customFormat="1" ht="25.5">
      <c r="A879" s="152"/>
      <c r="B879" s="156">
        <v>863</v>
      </c>
      <c r="C879" s="169">
        <v>634</v>
      </c>
      <c r="D879" s="169">
        <v>542</v>
      </c>
      <c r="E879" s="170">
        <v>0.77569444444444446</v>
      </c>
      <c r="F879" s="170">
        <v>0.79513888888888884</v>
      </c>
      <c r="G879" s="171" t="s">
        <v>66</v>
      </c>
      <c r="H879" s="160" t="s">
        <v>479</v>
      </c>
      <c r="I879" s="169">
        <v>15</v>
      </c>
      <c r="J879" s="172">
        <v>19</v>
      </c>
      <c r="K879" s="165">
        <v>240</v>
      </c>
      <c r="L879" s="166">
        <f t="shared" si="298"/>
        <v>3600</v>
      </c>
      <c r="M879" s="177" t="s">
        <v>779</v>
      </c>
      <c r="N879" s="154" t="s">
        <v>862</v>
      </c>
      <c r="O879" s="154">
        <v>21</v>
      </c>
      <c r="P879" s="154" t="s">
        <v>1300</v>
      </c>
      <c r="Q879" s="154">
        <v>31</v>
      </c>
      <c r="R879" s="150"/>
      <c r="S879" s="154"/>
      <c r="T879" s="45">
        <v>6220</v>
      </c>
      <c r="U879" s="45" t="s">
        <v>1384</v>
      </c>
      <c r="V879" s="45">
        <v>6765</v>
      </c>
      <c r="W879" s="45" t="s">
        <v>1772</v>
      </c>
      <c r="X879" s="99">
        <v>44816</v>
      </c>
      <c r="Y879" s="99">
        <v>45100</v>
      </c>
      <c r="Z879" s="99"/>
      <c r="AA879" s="99"/>
      <c r="AB879" s="45" t="s">
        <v>1124</v>
      </c>
      <c r="AC879" s="45"/>
      <c r="AD879" s="42" t="s">
        <v>734</v>
      </c>
      <c r="AE879" s="42"/>
      <c r="AF879" s="42" t="s">
        <v>734</v>
      </c>
      <c r="AG879" s="42"/>
      <c r="AH879" s="42" t="s">
        <v>734</v>
      </c>
      <c r="AI879" s="42" t="s">
        <v>734</v>
      </c>
      <c r="AJ879" s="42" t="s">
        <v>734</v>
      </c>
      <c r="AK879" s="42" t="s">
        <v>734</v>
      </c>
      <c r="AL879" s="42" t="s">
        <v>734</v>
      </c>
      <c r="AM879" s="42" t="s">
        <v>734</v>
      </c>
      <c r="AN879" s="36"/>
      <c r="AO879" s="36"/>
      <c r="AP879" s="36"/>
      <c r="AQ879" s="36"/>
      <c r="AR879" s="42"/>
      <c r="AS879" s="42"/>
      <c r="AT879" s="42"/>
      <c r="AU879" s="42"/>
      <c r="AV879" s="42"/>
      <c r="AW879" s="42"/>
      <c r="AX879" s="67"/>
      <c r="AY879" s="67"/>
      <c r="BA879" s="40" t="s">
        <v>779</v>
      </c>
      <c r="BB879" s="40"/>
      <c r="BD879" s="67">
        <f t="shared" si="300"/>
        <v>0</v>
      </c>
      <c r="BG879" s="73">
        <v>1</v>
      </c>
      <c r="BI879" s="67"/>
      <c r="BO879" s="70">
        <f t="shared" si="286"/>
        <v>0</v>
      </c>
      <c r="BP879" s="37">
        <v>17</v>
      </c>
      <c r="BQ879" s="37">
        <v>26</v>
      </c>
      <c r="BR879" s="37">
        <v>25</v>
      </c>
      <c r="BS879" s="37">
        <v>25</v>
      </c>
      <c r="BT879" s="87">
        <f t="shared" si="287"/>
        <v>0</v>
      </c>
      <c r="BU879" s="87"/>
      <c r="BV879" s="87"/>
      <c r="BW879" s="87"/>
      <c r="BX879" s="87"/>
      <c r="BY879" s="87"/>
      <c r="BZ879" s="87"/>
      <c r="CA879" s="87"/>
      <c r="CB879" s="87"/>
      <c r="CC879" s="87"/>
      <c r="CD879" s="87"/>
      <c r="CF879" s="67">
        <f t="shared" si="288"/>
        <v>0</v>
      </c>
      <c r="CG879" s="67">
        <f t="shared" si="289"/>
        <v>0</v>
      </c>
      <c r="CH879" s="67">
        <f t="shared" si="299"/>
        <v>0</v>
      </c>
      <c r="CI879" s="67">
        <f t="shared" si="294"/>
        <v>0</v>
      </c>
      <c r="CJ879" s="37">
        <f t="shared" si="290"/>
        <v>255</v>
      </c>
      <c r="CK879" s="37">
        <f t="shared" si="291"/>
        <v>390</v>
      </c>
      <c r="CL879" s="37">
        <f t="shared" si="292"/>
        <v>375</v>
      </c>
      <c r="CM879" s="37">
        <f t="shared" si="293"/>
        <v>375</v>
      </c>
    </row>
    <row r="880" spans="1:91" s="66" customFormat="1" ht="25.5">
      <c r="A880" s="152"/>
      <c r="B880" s="156">
        <v>864</v>
      </c>
      <c r="C880" s="169">
        <v>634</v>
      </c>
      <c r="D880" s="169">
        <v>545</v>
      </c>
      <c r="E880" s="170">
        <v>0.78125</v>
      </c>
      <c r="F880" s="170">
        <v>0.80208333333333337</v>
      </c>
      <c r="G880" s="171" t="s">
        <v>65</v>
      </c>
      <c r="H880" s="171" t="s">
        <v>105</v>
      </c>
      <c r="I880" s="169">
        <v>20</v>
      </c>
      <c r="J880" s="172">
        <v>19</v>
      </c>
      <c r="K880" s="165">
        <v>67</v>
      </c>
      <c r="L880" s="166">
        <f t="shared" si="298"/>
        <v>1340</v>
      </c>
      <c r="M880" s="177" t="s">
        <v>784</v>
      </c>
      <c r="N880" s="150" t="s">
        <v>830</v>
      </c>
      <c r="O880" s="150" t="s">
        <v>831</v>
      </c>
      <c r="P880" s="150" t="s">
        <v>829</v>
      </c>
      <c r="Q880" s="150">
        <v>21</v>
      </c>
      <c r="R880" s="154" t="s">
        <v>1307</v>
      </c>
      <c r="S880" s="151">
        <v>17</v>
      </c>
      <c r="T880" s="45">
        <v>6755</v>
      </c>
      <c r="U880" s="45" t="s">
        <v>1383</v>
      </c>
      <c r="V880" s="45">
        <v>6220</v>
      </c>
      <c r="W880" s="45" t="s">
        <v>1384</v>
      </c>
      <c r="X880" s="99">
        <v>44562</v>
      </c>
      <c r="Y880" s="99">
        <v>44815</v>
      </c>
      <c r="Z880" s="99">
        <v>45101</v>
      </c>
      <c r="AA880" s="99">
        <v>45169</v>
      </c>
      <c r="AB880" s="42" t="s">
        <v>1119</v>
      </c>
      <c r="AC880" s="42"/>
      <c r="AD880" s="36"/>
      <c r="AE880" s="42" t="s">
        <v>734</v>
      </c>
      <c r="AF880" s="42" t="s">
        <v>734</v>
      </c>
      <c r="AG880" s="42"/>
      <c r="AH880" s="42" t="s">
        <v>734</v>
      </c>
      <c r="AI880" s="42" t="s">
        <v>734</v>
      </c>
      <c r="AJ880" s="42" t="s">
        <v>734</v>
      </c>
      <c r="AK880" s="42" t="s">
        <v>734</v>
      </c>
      <c r="AL880" s="42" t="s">
        <v>734</v>
      </c>
      <c r="AM880" s="42" t="s">
        <v>734</v>
      </c>
      <c r="AN880" s="36"/>
      <c r="AO880" s="36"/>
      <c r="AP880" s="36"/>
      <c r="AQ880" s="36"/>
      <c r="AR880" s="42"/>
      <c r="AS880" s="42"/>
      <c r="AT880" s="42"/>
      <c r="AU880" s="42"/>
      <c r="AV880" s="42"/>
      <c r="AW880" s="42"/>
      <c r="AX880" s="68"/>
      <c r="AY880" s="68"/>
      <c r="BA880" s="38" t="s">
        <v>784</v>
      </c>
      <c r="BB880" s="38"/>
      <c r="BD880" s="67">
        <f t="shared" si="300"/>
        <v>0</v>
      </c>
      <c r="BG880" s="73">
        <v>1</v>
      </c>
      <c r="BI880" s="67"/>
      <c r="BO880" s="70">
        <f t="shared" si="286"/>
        <v>0</v>
      </c>
      <c r="BP880" s="37">
        <v>9</v>
      </c>
      <c r="BQ880" s="37">
        <v>0</v>
      </c>
      <c r="BR880" s="37">
        <v>0</v>
      </c>
      <c r="BS880" s="37">
        <v>0</v>
      </c>
      <c r="BT880" s="87">
        <f t="shared" si="287"/>
        <v>0</v>
      </c>
      <c r="BU880" s="87"/>
      <c r="BV880" s="87"/>
      <c r="BW880" s="87"/>
      <c r="BX880" s="87"/>
      <c r="BY880" s="87"/>
      <c r="BZ880" s="87"/>
      <c r="CA880" s="87"/>
      <c r="CB880" s="87"/>
      <c r="CC880" s="87"/>
      <c r="CD880" s="87"/>
      <c r="CF880" s="67">
        <f t="shared" si="288"/>
        <v>0</v>
      </c>
      <c r="CG880" s="67">
        <f t="shared" si="289"/>
        <v>0</v>
      </c>
      <c r="CH880" s="67">
        <f t="shared" si="299"/>
        <v>0</v>
      </c>
      <c r="CI880" s="67">
        <f t="shared" si="294"/>
        <v>0</v>
      </c>
      <c r="CJ880" s="37">
        <f t="shared" si="290"/>
        <v>180</v>
      </c>
      <c r="CK880" s="37">
        <f t="shared" si="291"/>
        <v>0</v>
      </c>
      <c r="CL880" s="37">
        <f t="shared" si="292"/>
        <v>0</v>
      </c>
      <c r="CM880" s="37">
        <f t="shared" si="293"/>
        <v>0</v>
      </c>
    </row>
    <row r="881" spans="1:91" s="66" customFormat="1" ht="25.5">
      <c r="A881" s="152"/>
      <c r="B881" s="156">
        <v>865</v>
      </c>
      <c r="C881" s="169">
        <v>634</v>
      </c>
      <c r="D881" s="169">
        <v>547</v>
      </c>
      <c r="E881" s="170">
        <v>0.79652777777777783</v>
      </c>
      <c r="F881" s="176">
        <v>0.81666666666666676</v>
      </c>
      <c r="G881" s="171" t="s">
        <v>68</v>
      </c>
      <c r="H881" s="160" t="s">
        <v>479</v>
      </c>
      <c r="I881" s="169">
        <v>15</v>
      </c>
      <c r="J881" s="172">
        <v>19</v>
      </c>
      <c r="K881" s="165">
        <v>240</v>
      </c>
      <c r="L881" s="166">
        <f t="shared" si="298"/>
        <v>3600</v>
      </c>
      <c r="M881" s="177" t="s">
        <v>779</v>
      </c>
      <c r="N881" s="154" t="s">
        <v>862</v>
      </c>
      <c r="O881" s="154">
        <v>21</v>
      </c>
      <c r="P881" s="154" t="s">
        <v>1300</v>
      </c>
      <c r="Q881" s="154">
        <v>31</v>
      </c>
      <c r="R881" s="150"/>
      <c r="S881" s="154"/>
      <c r="T881" s="45">
        <v>6765</v>
      </c>
      <c r="U881" s="45" t="s">
        <v>1772</v>
      </c>
      <c r="V881" s="45">
        <v>6220</v>
      </c>
      <c r="W881" s="45" t="s">
        <v>1384</v>
      </c>
      <c r="X881" s="99">
        <v>44816</v>
      </c>
      <c r="Y881" s="99">
        <v>45100</v>
      </c>
      <c r="Z881" s="99"/>
      <c r="AA881" s="99"/>
      <c r="AB881" s="45" t="s">
        <v>1124</v>
      </c>
      <c r="AC881" s="45"/>
      <c r="AD881" s="42" t="s">
        <v>734</v>
      </c>
      <c r="AE881" s="42"/>
      <c r="AF881" s="42" t="s">
        <v>734</v>
      </c>
      <c r="AG881" s="42"/>
      <c r="AH881" s="42" t="s">
        <v>734</v>
      </c>
      <c r="AI881" s="42" t="s">
        <v>734</v>
      </c>
      <c r="AJ881" s="42" t="s">
        <v>734</v>
      </c>
      <c r="AK881" s="42" t="s">
        <v>734</v>
      </c>
      <c r="AL881" s="42" t="s">
        <v>734</v>
      </c>
      <c r="AM881" s="42" t="s">
        <v>734</v>
      </c>
      <c r="AN881" s="36"/>
      <c r="AO881" s="36"/>
      <c r="AP881" s="36"/>
      <c r="AQ881" s="36"/>
      <c r="AR881" s="42"/>
      <c r="AS881" s="42"/>
      <c r="AT881" s="42"/>
      <c r="AU881" s="42"/>
      <c r="AV881" s="42"/>
      <c r="AW881" s="42"/>
      <c r="AX881" s="67"/>
      <c r="AY881" s="67"/>
      <c r="BA881" s="40" t="s">
        <v>779</v>
      </c>
      <c r="BB881" s="40"/>
      <c r="BD881" s="67">
        <f t="shared" si="300"/>
        <v>0</v>
      </c>
      <c r="BG881" s="73">
        <v>1</v>
      </c>
      <c r="BI881" s="67"/>
      <c r="BO881" s="70">
        <f t="shared" si="286"/>
        <v>0</v>
      </c>
      <c r="BP881" s="37">
        <v>17</v>
      </c>
      <c r="BQ881" s="37">
        <v>26</v>
      </c>
      <c r="BR881" s="37">
        <v>25</v>
      </c>
      <c r="BS881" s="37">
        <v>25</v>
      </c>
      <c r="BT881" s="87">
        <f t="shared" si="287"/>
        <v>0</v>
      </c>
      <c r="BU881" s="87"/>
      <c r="BV881" s="87"/>
      <c r="BW881" s="87"/>
      <c r="BX881" s="87"/>
      <c r="BY881" s="87"/>
      <c r="BZ881" s="87"/>
      <c r="CA881" s="87"/>
      <c r="CB881" s="87"/>
      <c r="CC881" s="87"/>
      <c r="CD881" s="87"/>
      <c r="CF881" s="67">
        <f t="shared" si="288"/>
        <v>0</v>
      </c>
      <c r="CG881" s="67">
        <f t="shared" si="289"/>
        <v>0</v>
      </c>
      <c r="CH881" s="67">
        <f t="shared" si="299"/>
        <v>0</v>
      </c>
      <c r="CI881" s="67">
        <f t="shared" si="294"/>
        <v>0</v>
      </c>
      <c r="CJ881" s="37">
        <f t="shared" si="290"/>
        <v>255</v>
      </c>
      <c r="CK881" s="37">
        <f t="shared" si="291"/>
        <v>390</v>
      </c>
      <c r="CL881" s="37">
        <f t="shared" si="292"/>
        <v>375</v>
      </c>
      <c r="CM881" s="37">
        <f t="shared" si="293"/>
        <v>375</v>
      </c>
    </row>
    <row r="882" spans="1:91" s="66" customFormat="1" ht="25.5">
      <c r="A882" s="152"/>
      <c r="B882" s="156">
        <v>866</v>
      </c>
      <c r="C882" s="169">
        <v>634</v>
      </c>
      <c r="D882" s="169">
        <v>547</v>
      </c>
      <c r="E882" s="170">
        <v>0.79999999999999993</v>
      </c>
      <c r="F882" s="170">
        <v>0.82013888888888886</v>
      </c>
      <c r="G882" s="171" t="s">
        <v>68</v>
      </c>
      <c r="H882" s="171" t="s">
        <v>105</v>
      </c>
      <c r="I882" s="169">
        <v>15</v>
      </c>
      <c r="J882" s="172">
        <v>19</v>
      </c>
      <c r="K882" s="165">
        <v>67</v>
      </c>
      <c r="L882" s="166">
        <f t="shared" si="298"/>
        <v>1005</v>
      </c>
      <c r="M882" s="177" t="s">
        <v>779</v>
      </c>
      <c r="N882" s="154" t="s">
        <v>862</v>
      </c>
      <c r="O882" s="154">
        <v>21</v>
      </c>
      <c r="P882" s="154" t="s">
        <v>1300</v>
      </c>
      <c r="Q882" s="154">
        <v>31</v>
      </c>
      <c r="R882" s="150"/>
      <c r="S882" s="154"/>
      <c r="T882" s="45">
        <v>6765</v>
      </c>
      <c r="U882" s="45" t="s">
        <v>1772</v>
      </c>
      <c r="V882" s="45">
        <v>6220</v>
      </c>
      <c r="W882" s="45" t="s">
        <v>1384</v>
      </c>
      <c r="X882" s="99">
        <v>44562</v>
      </c>
      <c r="Y882" s="99">
        <v>44815</v>
      </c>
      <c r="Z882" s="99">
        <v>45101</v>
      </c>
      <c r="AA882" s="99">
        <v>45169</v>
      </c>
      <c r="AB882" s="42" t="s">
        <v>1119</v>
      </c>
      <c r="AC882" s="42"/>
      <c r="AD882" s="36"/>
      <c r="AE882" s="42" t="s">
        <v>734</v>
      </c>
      <c r="AF882" s="42" t="s">
        <v>734</v>
      </c>
      <c r="AG882" s="42"/>
      <c r="AH882" s="42" t="s">
        <v>734</v>
      </c>
      <c r="AI882" s="42" t="s">
        <v>734</v>
      </c>
      <c r="AJ882" s="42" t="s">
        <v>734</v>
      </c>
      <c r="AK882" s="42" t="s">
        <v>734</v>
      </c>
      <c r="AL882" s="42" t="s">
        <v>734</v>
      </c>
      <c r="AM882" s="42" t="s">
        <v>734</v>
      </c>
      <c r="AN882" s="36"/>
      <c r="AO882" s="36"/>
      <c r="AP882" s="36"/>
      <c r="AQ882" s="36"/>
      <c r="AR882" s="42"/>
      <c r="AS882" s="42"/>
      <c r="AT882" s="42"/>
      <c r="AU882" s="42"/>
      <c r="AV882" s="42"/>
      <c r="AW882" s="42"/>
      <c r="AX882" s="67"/>
      <c r="AY882" s="67"/>
      <c r="BA882" s="40" t="s">
        <v>779</v>
      </c>
      <c r="BB882" s="40"/>
      <c r="BD882" s="67">
        <f t="shared" si="300"/>
        <v>0</v>
      </c>
      <c r="BG882" s="73">
        <v>1</v>
      </c>
      <c r="BI882" s="67"/>
      <c r="BO882" s="70">
        <f t="shared" si="286"/>
        <v>0</v>
      </c>
      <c r="BP882" s="37">
        <v>9</v>
      </c>
      <c r="BQ882" s="37">
        <v>0</v>
      </c>
      <c r="BR882" s="37">
        <v>0</v>
      </c>
      <c r="BS882" s="37">
        <v>0</v>
      </c>
      <c r="BT882" s="87">
        <f t="shared" si="287"/>
        <v>0</v>
      </c>
      <c r="BU882" s="87"/>
      <c r="BV882" s="87"/>
      <c r="BW882" s="87"/>
      <c r="BX882" s="87"/>
      <c r="BY882" s="87"/>
      <c r="BZ882" s="87"/>
      <c r="CA882" s="87"/>
      <c r="CB882" s="87"/>
      <c r="CC882" s="87"/>
      <c r="CD882" s="87"/>
      <c r="CF882" s="67">
        <f t="shared" si="288"/>
        <v>0</v>
      </c>
      <c r="CG882" s="67">
        <f t="shared" si="289"/>
        <v>0</v>
      </c>
      <c r="CH882" s="67">
        <f t="shared" si="299"/>
        <v>0</v>
      </c>
      <c r="CI882" s="67">
        <f t="shared" si="294"/>
        <v>0</v>
      </c>
      <c r="CJ882" s="37">
        <f t="shared" si="290"/>
        <v>135</v>
      </c>
      <c r="CK882" s="37">
        <f t="shared" si="291"/>
        <v>0</v>
      </c>
      <c r="CL882" s="37">
        <f t="shared" si="292"/>
        <v>0</v>
      </c>
      <c r="CM882" s="37">
        <f t="shared" si="293"/>
        <v>0</v>
      </c>
    </row>
    <row r="883" spans="1:91" s="66" customFormat="1" ht="25.5">
      <c r="A883" s="152"/>
      <c r="B883" s="156">
        <v>867</v>
      </c>
      <c r="C883" s="169">
        <v>634</v>
      </c>
      <c r="D883" s="169">
        <v>540</v>
      </c>
      <c r="E883" s="170">
        <v>0.80902777777777779</v>
      </c>
      <c r="F883" s="170">
        <v>0.83333333333333337</v>
      </c>
      <c r="G883" s="171" t="s">
        <v>64</v>
      </c>
      <c r="H883" s="171" t="s">
        <v>105</v>
      </c>
      <c r="I883" s="169">
        <v>20</v>
      </c>
      <c r="J883" s="172">
        <v>19</v>
      </c>
      <c r="K883" s="165">
        <v>67</v>
      </c>
      <c r="L883" s="166">
        <f t="shared" si="298"/>
        <v>1340</v>
      </c>
      <c r="M883" s="177" t="s">
        <v>784</v>
      </c>
      <c r="N883" s="150" t="s">
        <v>830</v>
      </c>
      <c r="O883" s="150" t="s">
        <v>831</v>
      </c>
      <c r="P883" s="150" t="s">
        <v>829</v>
      </c>
      <c r="Q883" s="150">
        <v>21</v>
      </c>
      <c r="R883" s="154" t="s">
        <v>1307</v>
      </c>
      <c r="S883" s="151">
        <v>17</v>
      </c>
      <c r="T883" s="45">
        <v>6220</v>
      </c>
      <c r="U883" s="45" t="s">
        <v>1384</v>
      </c>
      <c r="V883" s="45">
        <v>6755</v>
      </c>
      <c r="W883" s="45" t="s">
        <v>1383</v>
      </c>
      <c r="X883" s="99">
        <v>44562</v>
      </c>
      <c r="Y883" s="99">
        <v>44815</v>
      </c>
      <c r="Z883" s="99">
        <v>45101</v>
      </c>
      <c r="AA883" s="99">
        <v>45169</v>
      </c>
      <c r="AB883" s="42" t="s">
        <v>1119</v>
      </c>
      <c r="AC883" s="42"/>
      <c r="AD883" s="36"/>
      <c r="AE883" s="42" t="s">
        <v>734</v>
      </c>
      <c r="AF883" s="42" t="s">
        <v>734</v>
      </c>
      <c r="AG883" s="42"/>
      <c r="AH883" s="42" t="s">
        <v>734</v>
      </c>
      <c r="AI883" s="42" t="s">
        <v>734</v>
      </c>
      <c r="AJ883" s="42" t="s">
        <v>734</v>
      </c>
      <c r="AK883" s="42" t="s">
        <v>734</v>
      </c>
      <c r="AL883" s="42" t="s">
        <v>734</v>
      </c>
      <c r="AM883" s="42" t="s">
        <v>734</v>
      </c>
      <c r="AN883" s="36"/>
      <c r="AO883" s="36"/>
      <c r="AP883" s="36"/>
      <c r="AQ883" s="36"/>
      <c r="AR883" s="42"/>
      <c r="AS883" s="42"/>
      <c r="AT883" s="42"/>
      <c r="AU883" s="42"/>
      <c r="AV883" s="42"/>
      <c r="AW883" s="42"/>
      <c r="AX883" s="68"/>
      <c r="AY883" s="68"/>
      <c r="BA883" s="38" t="s">
        <v>784</v>
      </c>
      <c r="BB883" s="38"/>
      <c r="BD883" s="67">
        <f t="shared" si="300"/>
        <v>0</v>
      </c>
      <c r="BG883" s="73">
        <v>1</v>
      </c>
      <c r="BI883" s="67"/>
      <c r="BO883" s="70">
        <f t="shared" si="286"/>
        <v>0</v>
      </c>
      <c r="BP883" s="37">
        <v>9</v>
      </c>
      <c r="BQ883" s="37">
        <v>0</v>
      </c>
      <c r="BR883" s="37">
        <v>0</v>
      </c>
      <c r="BS883" s="37">
        <v>0</v>
      </c>
      <c r="BT883" s="87">
        <f t="shared" si="287"/>
        <v>0</v>
      </c>
      <c r="BU883" s="87"/>
      <c r="BV883" s="87"/>
      <c r="BW883" s="87"/>
      <c r="BX883" s="87"/>
      <c r="BY883" s="87"/>
      <c r="BZ883" s="87"/>
      <c r="CA883" s="87"/>
      <c r="CB883" s="87"/>
      <c r="CC883" s="87"/>
      <c r="CD883" s="87"/>
      <c r="CF883" s="67">
        <f t="shared" si="288"/>
        <v>0</v>
      </c>
      <c r="CG883" s="67">
        <f t="shared" si="289"/>
        <v>0</v>
      </c>
      <c r="CH883" s="67">
        <f t="shared" si="299"/>
        <v>0</v>
      </c>
      <c r="CI883" s="67">
        <f t="shared" si="294"/>
        <v>0</v>
      </c>
      <c r="CJ883" s="37">
        <f t="shared" si="290"/>
        <v>180</v>
      </c>
      <c r="CK883" s="37">
        <f t="shared" si="291"/>
        <v>0</v>
      </c>
      <c r="CL883" s="37">
        <f t="shared" si="292"/>
        <v>0</v>
      </c>
      <c r="CM883" s="37">
        <f t="shared" si="293"/>
        <v>0</v>
      </c>
    </row>
    <row r="884" spans="1:91" s="66" customFormat="1" ht="25.5">
      <c r="A884" s="152"/>
      <c r="B884" s="156">
        <v>868</v>
      </c>
      <c r="C884" s="169">
        <v>634</v>
      </c>
      <c r="D884" s="169">
        <v>546</v>
      </c>
      <c r="E884" s="170">
        <v>0.82777777777777783</v>
      </c>
      <c r="F884" s="170">
        <v>0.85138888888888886</v>
      </c>
      <c r="G884" s="171" t="s">
        <v>64</v>
      </c>
      <c r="H884" s="160" t="s">
        <v>479</v>
      </c>
      <c r="I884" s="169">
        <v>20</v>
      </c>
      <c r="J884" s="172">
        <v>19</v>
      </c>
      <c r="K884" s="165">
        <v>240</v>
      </c>
      <c r="L884" s="166">
        <f t="shared" si="298"/>
        <v>4800</v>
      </c>
      <c r="M884" s="177" t="s">
        <v>784</v>
      </c>
      <c r="N884" s="150" t="s">
        <v>829</v>
      </c>
      <c r="O884" s="150">
        <v>21</v>
      </c>
      <c r="P884" s="150" t="s">
        <v>830</v>
      </c>
      <c r="Q884" s="150" t="s">
        <v>831</v>
      </c>
      <c r="R884" s="154" t="s">
        <v>1307</v>
      </c>
      <c r="S884" s="151">
        <v>17</v>
      </c>
      <c r="T884" s="45">
        <v>6220</v>
      </c>
      <c r="U884" s="45" t="s">
        <v>1384</v>
      </c>
      <c r="V884" s="45">
        <v>6755</v>
      </c>
      <c r="W884" s="45" t="s">
        <v>1383</v>
      </c>
      <c r="X884" s="99">
        <v>44816</v>
      </c>
      <c r="Y884" s="99">
        <v>45100</v>
      </c>
      <c r="Z884" s="99"/>
      <c r="AA884" s="99"/>
      <c r="AB884" s="45" t="s">
        <v>1124</v>
      </c>
      <c r="AC884" s="45"/>
      <c r="AD884" s="42" t="s">
        <v>734</v>
      </c>
      <c r="AE884" s="42"/>
      <c r="AF884" s="42" t="s">
        <v>734</v>
      </c>
      <c r="AG884" s="42"/>
      <c r="AH884" s="42" t="s">
        <v>734</v>
      </c>
      <c r="AI884" s="42" t="s">
        <v>734</v>
      </c>
      <c r="AJ884" s="42" t="s">
        <v>734</v>
      </c>
      <c r="AK884" s="42" t="s">
        <v>734</v>
      </c>
      <c r="AL884" s="42" t="s">
        <v>734</v>
      </c>
      <c r="AM884" s="42" t="s">
        <v>734</v>
      </c>
      <c r="AN884" s="36"/>
      <c r="AO884" s="36"/>
      <c r="AP884" s="36"/>
      <c r="AQ884" s="36"/>
      <c r="AR884" s="42"/>
      <c r="AS884" s="42"/>
      <c r="AT884" s="42"/>
      <c r="AU884" s="42"/>
      <c r="AV884" s="42"/>
      <c r="AW884" s="42"/>
      <c r="AX884" s="68"/>
      <c r="AY884" s="68"/>
      <c r="BA884" s="38" t="s">
        <v>784</v>
      </c>
      <c r="BB884" s="38"/>
      <c r="BD884" s="67">
        <f t="shared" si="300"/>
        <v>0</v>
      </c>
      <c r="BG884" s="73">
        <v>1</v>
      </c>
      <c r="BI884" s="67"/>
      <c r="BO884" s="70">
        <f t="shared" si="286"/>
        <v>0</v>
      </c>
      <c r="BP884" s="37">
        <v>17</v>
      </c>
      <c r="BQ884" s="37">
        <v>26</v>
      </c>
      <c r="BR884" s="37">
        <v>25</v>
      </c>
      <c r="BS884" s="37">
        <v>25</v>
      </c>
      <c r="BT884" s="87">
        <f t="shared" si="287"/>
        <v>0</v>
      </c>
      <c r="BU884" s="87"/>
      <c r="BV884" s="87"/>
      <c r="BW884" s="87"/>
      <c r="BX884" s="87"/>
      <c r="BY884" s="87"/>
      <c r="BZ884" s="87"/>
      <c r="CA884" s="87"/>
      <c r="CB884" s="87"/>
      <c r="CC884" s="87"/>
      <c r="CD884" s="87"/>
      <c r="CF884" s="67">
        <f t="shared" si="288"/>
        <v>0</v>
      </c>
      <c r="CG884" s="67">
        <f t="shared" si="289"/>
        <v>0</v>
      </c>
      <c r="CH884" s="67">
        <f t="shared" si="299"/>
        <v>0</v>
      </c>
      <c r="CI884" s="67">
        <f t="shared" si="294"/>
        <v>0</v>
      </c>
      <c r="CJ884" s="37">
        <f t="shared" si="290"/>
        <v>340</v>
      </c>
      <c r="CK884" s="37">
        <f t="shared" si="291"/>
        <v>520</v>
      </c>
      <c r="CL884" s="37">
        <f t="shared" si="292"/>
        <v>500</v>
      </c>
      <c r="CM884" s="37">
        <f t="shared" si="293"/>
        <v>500</v>
      </c>
    </row>
    <row r="885" spans="1:91" s="66" customFormat="1" ht="63.75">
      <c r="A885" s="3"/>
      <c r="B885" s="156">
        <v>869</v>
      </c>
      <c r="C885" s="160">
        <v>637</v>
      </c>
      <c r="D885" s="174">
        <v>745</v>
      </c>
      <c r="E885" s="173">
        <v>0.21527777777777779</v>
      </c>
      <c r="F885" s="173">
        <v>0.23194444444444443</v>
      </c>
      <c r="G885" s="174" t="s">
        <v>1054</v>
      </c>
      <c r="H885" s="160" t="s">
        <v>597</v>
      </c>
      <c r="I885" s="163">
        <v>17</v>
      </c>
      <c r="J885" s="164" t="s">
        <v>99</v>
      </c>
      <c r="K885" s="165">
        <v>152</v>
      </c>
      <c r="L885" s="166">
        <f t="shared" si="298"/>
        <v>2584</v>
      </c>
      <c r="M885" s="167" t="s">
        <v>1227</v>
      </c>
      <c r="N885" s="154" t="s">
        <v>798</v>
      </c>
      <c r="O885" s="154">
        <v>21</v>
      </c>
      <c r="P885" s="154" t="s">
        <v>960</v>
      </c>
      <c r="Q885" s="154">
        <v>24</v>
      </c>
      <c r="R885" s="154" t="s">
        <v>961</v>
      </c>
      <c r="S885" s="151">
        <v>21</v>
      </c>
      <c r="T885" s="45">
        <v>6290</v>
      </c>
      <c r="U885" s="45" t="s">
        <v>1774</v>
      </c>
      <c r="V885" s="45" t="s">
        <v>1775</v>
      </c>
      <c r="W885" s="45" t="s">
        <v>1776</v>
      </c>
      <c r="X885" s="99">
        <v>44816</v>
      </c>
      <c r="Y885" s="99">
        <v>45100</v>
      </c>
      <c r="Z885" s="99"/>
      <c r="AA885" s="99"/>
      <c r="AB885" s="41" t="s">
        <v>1864</v>
      </c>
      <c r="AC885" s="42" t="s">
        <v>1135</v>
      </c>
      <c r="AD885" s="36" t="s">
        <v>734</v>
      </c>
      <c r="AE885" s="36"/>
      <c r="AF885" s="46" t="s">
        <v>734</v>
      </c>
      <c r="AG885" s="36"/>
      <c r="AH885" s="36" t="s">
        <v>734</v>
      </c>
      <c r="AI885" s="36" t="s">
        <v>734</v>
      </c>
      <c r="AJ885" s="36" t="s">
        <v>734</v>
      </c>
      <c r="AK885" s="36" t="s">
        <v>734</v>
      </c>
      <c r="AL885" s="36" t="s">
        <v>734</v>
      </c>
      <c r="AM885" s="36" t="s">
        <v>734</v>
      </c>
      <c r="AN885" s="36"/>
      <c r="AO885" s="36"/>
      <c r="AP885" s="36"/>
      <c r="AQ885" s="36"/>
      <c r="AR885" s="36"/>
      <c r="AS885" s="36"/>
      <c r="AT885" s="36"/>
      <c r="AU885" s="36"/>
      <c r="AV885" s="36"/>
      <c r="AW885" s="36"/>
      <c r="AX885" s="68">
        <v>70.430000000000007</v>
      </c>
      <c r="AY885" s="68"/>
      <c r="BD885" s="67">
        <f t="shared" si="300"/>
        <v>10705.36</v>
      </c>
      <c r="BE885" s="67"/>
      <c r="BG885" s="73">
        <v>1</v>
      </c>
      <c r="BH885" s="67">
        <f t="shared" ref="BH885:BH905" si="304">IF(AND((AX885/I885)&lt;2,BG885=1),(I885*2)-AX885,0)</f>
        <v>0</v>
      </c>
      <c r="BI885" s="67">
        <f t="shared" ref="BI885:BI905" si="305">IF(AND((AX885/I885)&lt;3,BG885=2),(I885*3)-AX885,0)</f>
        <v>0</v>
      </c>
      <c r="BJ885" s="70">
        <f t="shared" ref="BJ885:BJ905" si="306">(BH885+BI885)*K885</f>
        <v>0</v>
      </c>
      <c r="BN885" s="67">
        <f>IF((AX885+AY885+AZ885)&lt;20,(20-(AX885+AY885+AZ885)),0)</f>
        <v>0</v>
      </c>
      <c r="BO885" s="70">
        <f t="shared" si="286"/>
        <v>0</v>
      </c>
      <c r="BP885" s="50">
        <v>0</v>
      </c>
      <c r="BQ885" s="50">
        <v>0</v>
      </c>
      <c r="BR885" s="66">
        <v>0</v>
      </c>
      <c r="BS885" s="66">
        <v>17</v>
      </c>
      <c r="BT885" s="87">
        <f t="shared" si="287"/>
        <v>70.430000000000007</v>
      </c>
      <c r="BU885" s="87"/>
      <c r="BV885" s="87"/>
      <c r="BW885" s="87"/>
      <c r="BX885" s="87"/>
      <c r="BY885" s="87"/>
      <c r="BZ885" s="87"/>
      <c r="CA885" s="87"/>
      <c r="CB885" s="87"/>
      <c r="CC885" s="87"/>
      <c r="CD885" s="87"/>
      <c r="CF885" s="67">
        <f t="shared" si="288"/>
        <v>0</v>
      </c>
      <c r="CG885" s="67">
        <f t="shared" si="289"/>
        <v>0</v>
      </c>
      <c r="CH885" s="67">
        <f t="shared" si="299"/>
        <v>0</v>
      </c>
      <c r="CI885" s="67">
        <f t="shared" si="294"/>
        <v>1197.3100000000002</v>
      </c>
      <c r="CJ885" s="37">
        <f t="shared" si="290"/>
        <v>0</v>
      </c>
      <c r="CK885" s="37">
        <f t="shared" si="291"/>
        <v>0</v>
      </c>
      <c r="CL885" s="37">
        <f t="shared" si="292"/>
        <v>0</v>
      </c>
      <c r="CM885" s="37">
        <f t="shared" si="293"/>
        <v>289</v>
      </c>
    </row>
    <row r="886" spans="1:91" s="66" customFormat="1" ht="51">
      <c r="A886" s="3"/>
      <c r="B886" s="156">
        <v>870</v>
      </c>
      <c r="C886" s="160">
        <v>637</v>
      </c>
      <c r="D886" s="160">
        <v>629</v>
      </c>
      <c r="E886" s="173">
        <v>0.21527777777777779</v>
      </c>
      <c r="F886" s="173">
        <v>0.23194444444444443</v>
      </c>
      <c r="G886" s="160" t="s">
        <v>596</v>
      </c>
      <c r="H886" s="160" t="s">
        <v>818</v>
      </c>
      <c r="I886" s="163">
        <v>17</v>
      </c>
      <c r="J886" s="164" t="s">
        <v>99</v>
      </c>
      <c r="K886" s="165">
        <v>67</v>
      </c>
      <c r="L886" s="166">
        <f t="shared" si="298"/>
        <v>1139</v>
      </c>
      <c r="M886" s="167" t="s">
        <v>1227</v>
      </c>
      <c r="N886" s="154" t="s">
        <v>798</v>
      </c>
      <c r="O886" s="154">
        <v>21</v>
      </c>
      <c r="P886" s="154" t="s">
        <v>960</v>
      </c>
      <c r="Q886" s="154">
        <v>24</v>
      </c>
      <c r="R886" s="154" t="s">
        <v>961</v>
      </c>
      <c r="S886" s="151">
        <v>21</v>
      </c>
      <c r="T886" s="45">
        <v>6290</v>
      </c>
      <c r="U886" s="45" t="s">
        <v>1774</v>
      </c>
      <c r="V886" s="45" t="s">
        <v>1775</v>
      </c>
      <c r="W886" s="45" t="s">
        <v>1776</v>
      </c>
      <c r="X886" s="99">
        <v>44562</v>
      </c>
      <c r="Y886" s="99">
        <v>44815</v>
      </c>
      <c r="Z886" s="99">
        <v>45101</v>
      </c>
      <c r="AA886" s="99">
        <v>45169</v>
      </c>
      <c r="AB886" s="46" t="s">
        <v>1862</v>
      </c>
      <c r="AC886" s="42" t="s">
        <v>1135</v>
      </c>
      <c r="AD886" s="36"/>
      <c r="AE886" s="36" t="s">
        <v>734</v>
      </c>
      <c r="AF886" s="46" t="s">
        <v>734</v>
      </c>
      <c r="AG886" s="36"/>
      <c r="AH886" s="36" t="s">
        <v>734</v>
      </c>
      <c r="AI886" s="36" t="s">
        <v>734</v>
      </c>
      <c r="AJ886" s="36" t="s">
        <v>734</v>
      </c>
      <c r="AK886" s="36" t="s">
        <v>734</v>
      </c>
      <c r="AL886" s="36" t="s">
        <v>734</v>
      </c>
      <c r="AM886" s="36" t="s">
        <v>734</v>
      </c>
      <c r="AN886" s="36"/>
      <c r="AO886" s="36"/>
      <c r="AP886" s="36"/>
      <c r="AQ886" s="36"/>
      <c r="AR886" s="36"/>
      <c r="AS886" s="36"/>
      <c r="AT886" s="36"/>
      <c r="AU886" s="36"/>
      <c r="AV886" s="36"/>
      <c r="AW886" s="36"/>
      <c r="AX886" s="68">
        <v>70.430000000000007</v>
      </c>
      <c r="AY886" s="68"/>
      <c r="BD886" s="67">
        <f t="shared" si="300"/>
        <v>4718.8100000000004</v>
      </c>
      <c r="BE886" s="67"/>
      <c r="BG886" s="73">
        <v>1</v>
      </c>
      <c r="BH886" s="67">
        <f t="shared" si="304"/>
        <v>0</v>
      </c>
      <c r="BI886" s="67">
        <f t="shared" si="305"/>
        <v>0</v>
      </c>
      <c r="BJ886" s="70">
        <f t="shared" si="306"/>
        <v>0</v>
      </c>
      <c r="BN886" s="67">
        <f>IF((AX886+AY886+AZ886)&lt;20,(20-(AX886+AY886+AZ886)),0)</f>
        <v>0</v>
      </c>
      <c r="BO886" s="70">
        <f t="shared" ref="BO886:BO944" si="307">BN886*K886</f>
        <v>0</v>
      </c>
      <c r="BP886" s="50">
        <v>9</v>
      </c>
      <c r="BQ886" s="37">
        <v>0</v>
      </c>
      <c r="BR886" s="37">
        <v>0</v>
      </c>
      <c r="BT886" s="87">
        <f t="shared" ref="BT886:BT949" si="308">SUM(AX886:AZ886)+SUM(BH886:BI886)+SUM(BK886:BL886)+BN886</f>
        <v>70.430000000000007</v>
      </c>
      <c r="BU886" s="87"/>
      <c r="BV886" s="87"/>
      <c r="BW886" s="87"/>
      <c r="BX886" s="87"/>
      <c r="BY886" s="87"/>
      <c r="BZ886" s="87"/>
      <c r="CA886" s="87"/>
      <c r="CB886" s="87"/>
      <c r="CC886" s="87"/>
      <c r="CD886" s="87"/>
      <c r="CF886" s="67">
        <f t="shared" ref="CF886:CF949" si="309">(BT886*BP886)+(BV886*CD886)</f>
        <v>633.87000000000012</v>
      </c>
      <c r="CG886" s="67">
        <f t="shared" si="289"/>
        <v>0</v>
      </c>
      <c r="CH886" s="67">
        <f t="shared" si="299"/>
        <v>0</v>
      </c>
      <c r="CI886" s="67">
        <f t="shared" si="294"/>
        <v>0</v>
      </c>
      <c r="CJ886" s="37">
        <f t="shared" si="290"/>
        <v>153</v>
      </c>
      <c r="CK886" s="37">
        <f t="shared" si="291"/>
        <v>0</v>
      </c>
      <c r="CL886" s="37">
        <f t="shared" si="292"/>
        <v>0</v>
      </c>
      <c r="CM886" s="37">
        <f t="shared" si="293"/>
        <v>0</v>
      </c>
    </row>
    <row r="887" spans="1:91" s="66" customFormat="1" ht="63.75">
      <c r="A887" s="152"/>
      <c r="B887" s="156">
        <v>871</v>
      </c>
      <c r="C887" s="160">
        <v>637</v>
      </c>
      <c r="D887" s="174">
        <v>639</v>
      </c>
      <c r="E887" s="161">
        <v>0.2986111111111111</v>
      </c>
      <c r="F887" s="161">
        <v>0.31944444444444448</v>
      </c>
      <c r="G887" s="160" t="s">
        <v>600</v>
      </c>
      <c r="H887" s="160" t="s">
        <v>819</v>
      </c>
      <c r="I887" s="163">
        <v>17</v>
      </c>
      <c r="J887" s="164" t="s">
        <v>99</v>
      </c>
      <c r="K887" s="214">
        <v>0</v>
      </c>
      <c r="L887" s="166">
        <f t="shared" si="298"/>
        <v>0</v>
      </c>
      <c r="M887" s="167" t="s">
        <v>1227</v>
      </c>
      <c r="N887" s="154" t="s">
        <v>798</v>
      </c>
      <c r="O887" s="154">
        <v>21</v>
      </c>
      <c r="P887" s="154" t="s">
        <v>960</v>
      </c>
      <c r="Q887" s="154">
        <v>24</v>
      </c>
      <c r="R887" s="154" t="s">
        <v>961</v>
      </c>
      <c r="S887" s="151">
        <v>21</v>
      </c>
      <c r="T887" s="45">
        <v>6290</v>
      </c>
      <c r="U887" s="45" t="s">
        <v>1774</v>
      </c>
      <c r="V887" s="45" t="s">
        <v>1775</v>
      </c>
      <c r="W887" s="45" t="s">
        <v>1776</v>
      </c>
      <c r="X887" s="99">
        <v>44562</v>
      </c>
      <c r="Y887" s="99">
        <v>44815</v>
      </c>
      <c r="Z887" s="99">
        <v>45101</v>
      </c>
      <c r="AA887" s="99">
        <v>45169</v>
      </c>
      <c r="AB887" s="46" t="s">
        <v>1865</v>
      </c>
      <c r="AC887" s="42" t="s">
        <v>1135</v>
      </c>
      <c r="AD887" s="36"/>
      <c r="AE887" s="36" t="s">
        <v>734</v>
      </c>
      <c r="AF887" s="46" t="s">
        <v>734</v>
      </c>
      <c r="AG887" s="36"/>
      <c r="AH887" s="36" t="s">
        <v>734</v>
      </c>
      <c r="AI887" s="36" t="s">
        <v>734</v>
      </c>
      <c r="AJ887" s="36" t="s">
        <v>734</v>
      </c>
      <c r="AK887" s="36" t="s">
        <v>734</v>
      </c>
      <c r="AL887" s="36" t="s">
        <v>734</v>
      </c>
      <c r="AM887" s="36"/>
      <c r="AN887" s="36"/>
      <c r="AO887" s="36"/>
      <c r="AP887" s="36"/>
      <c r="AQ887" s="36"/>
      <c r="AR887" s="36"/>
      <c r="AS887" s="36"/>
      <c r="AT887" s="36"/>
      <c r="AU887" s="36"/>
      <c r="AV887" s="36"/>
      <c r="AW887" s="36"/>
      <c r="AX887" s="68">
        <v>70.430000000000007</v>
      </c>
      <c r="AY887" s="68"/>
      <c r="BD887" s="67">
        <f t="shared" ref="BD887:BD918" si="310">AX887*K887</f>
        <v>0</v>
      </c>
      <c r="BE887" s="67"/>
      <c r="BG887" s="73">
        <v>1</v>
      </c>
      <c r="BH887" s="67">
        <f t="shared" si="304"/>
        <v>0</v>
      </c>
      <c r="BI887" s="67">
        <f t="shared" si="305"/>
        <v>0</v>
      </c>
      <c r="BJ887" s="70">
        <f t="shared" si="306"/>
        <v>0</v>
      </c>
      <c r="BO887" s="70">
        <f t="shared" si="307"/>
        <v>0</v>
      </c>
      <c r="BP887" s="73">
        <v>0</v>
      </c>
      <c r="BQ887" s="37">
        <v>0</v>
      </c>
      <c r="BR887" s="37">
        <v>0</v>
      </c>
      <c r="BT887" s="87">
        <f t="shared" si="308"/>
        <v>70.430000000000007</v>
      </c>
      <c r="BU887" s="87"/>
      <c r="BV887" s="87"/>
      <c r="BW887" s="87"/>
      <c r="BX887" s="87"/>
      <c r="BY887" s="87"/>
      <c r="BZ887" s="87"/>
      <c r="CA887" s="87"/>
      <c r="CB887" s="87"/>
      <c r="CC887" s="87"/>
      <c r="CD887" s="87"/>
      <c r="CF887" s="67">
        <f t="shared" si="309"/>
        <v>0</v>
      </c>
      <c r="CG887" s="67">
        <f t="shared" si="289"/>
        <v>0</v>
      </c>
      <c r="CH887" s="67">
        <f t="shared" si="299"/>
        <v>0</v>
      </c>
      <c r="CI887" s="67">
        <f t="shared" si="294"/>
        <v>0</v>
      </c>
      <c r="CJ887" s="37">
        <f t="shared" si="290"/>
        <v>0</v>
      </c>
      <c r="CK887" s="37">
        <f t="shared" si="291"/>
        <v>0</v>
      </c>
      <c r="CL887" s="37">
        <f t="shared" si="292"/>
        <v>0</v>
      </c>
      <c r="CM887" s="37">
        <f t="shared" si="293"/>
        <v>0</v>
      </c>
    </row>
    <row r="888" spans="1:91" s="66" customFormat="1" ht="63.75">
      <c r="A888" s="3"/>
      <c r="B888" s="156">
        <v>872</v>
      </c>
      <c r="C888" s="160">
        <v>637</v>
      </c>
      <c r="D888" s="160">
        <v>629</v>
      </c>
      <c r="E888" s="173">
        <v>0.29166666666666669</v>
      </c>
      <c r="F888" s="173">
        <v>0.30833333333333335</v>
      </c>
      <c r="G888" s="160" t="s">
        <v>598</v>
      </c>
      <c r="H888" s="160" t="s">
        <v>599</v>
      </c>
      <c r="I888" s="163">
        <v>17</v>
      </c>
      <c r="J888" s="164" t="s">
        <v>99</v>
      </c>
      <c r="K888" s="165">
        <v>73</v>
      </c>
      <c r="L888" s="166">
        <f t="shared" si="298"/>
        <v>1241</v>
      </c>
      <c r="M888" s="167" t="s">
        <v>1227</v>
      </c>
      <c r="N888" s="154" t="s">
        <v>798</v>
      </c>
      <c r="O888" s="154">
        <v>21</v>
      </c>
      <c r="P888" s="154" t="s">
        <v>960</v>
      </c>
      <c r="Q888" s="154">
        <v>24</v>
      </c>
      <c r="R888" s="154" t="s">
        <v>961</v>
      </c>
      <c r="S888" s="151">
        <v>21</v>
      </c>
      <c r="T888" s="45">
        <v>6290</v>
      </c>
      <c r="U888" s="45" t="s">
        <v>1774</v>
      </c>
      <c r="V888" s="45" t="s">
        <v>1775</v>
      </c>
      <c r="W888" s="45" t="s">
        <v>1776</v>
      </c>
      <c r="X888" s="99">
        <v>44816</v>
      </c>
      <c r="Y888" s="99">
        <v>45100</v>
      </c>
      <c r="Z888" s="99"/>
      <c r="AA888" s="99"/>
      <c r="AB888" s="46" t="s">
        <v>1866</v>
      </c>
      <c r="AC888" s="42" t="s">
        <v>1135</v>
      </c>
      <c r="AD888" s="36" t="s">
        <v>734</v>
      </c>
      <c r="AE888" s="36"/>
      <c r="AF888" s="46" t="s">
        <v>734</v>
      </c>
      <c r="AG888" s="36"/>
      <c r="AH888" s="36" t="s">
        <v>734</v>
      </c>
      <c r="AI888" s="36" t="s">
        <v>734</v>
      </c>
      <c r="AJ888" s="36" t="s">
        <v>734</v>
      </c>
      <c r="AK888" s="36" t="s">
        <v>734</v>
      </c>
      <c r="AL888" s="36" t="s">
        <v>734</v>
      </c>
      <c r="AM888" s="36"/>
      <c r="AN888" s="36"/>
      <c r="AO888" s="36"/>
      <c r="AP888" s="36"/>
      <c r="AQ888" s="36"/>
      <c r="AR888" s="36"/>
      <c r="AS888" s="36"/>
      <c r="AT888" s="36"/>
      <c r="AU888" s="36"/>
      <c r="AV888" s="36"/>
      <c r="AW888" s="36"/>
      <c r="AX888" s="68">
        <v>70.430000000000007</v>
      </c>
      <c r="AY888" s="68"/>
      <c r="BD888" s="67">
        <f t="shared" si="310"/>
        <v>5141.3900000000003</v>
      </c>
      <c r="BE888" s="67"/>
      <c r="BG888" s="73">
        <v>1</v>
      </c>
      <c r="BH888" s="67">
        <f t="shared" si="304"/>
        <v>0</v>
      </c>
      <c r="BI888" s="67">
        <f t="shared" si="305"/>
        <v>0</v>
      </c>
      <c r="BJ888" s="70">
        <f t="shared" si="306"/>
        <v>0</v>
      </c>
      <c r="BO888" s="70">
        <f t="shared" si="307"/>
        <v>0</v>
      </c>
      <c r="BP888" s="50">
        <v>15</v>
      </c>
      <c r="BQ888" s="38">
        <v>21</v>
      </c>
      <c r="BR888" s="66">
        <v>21</v>
      </c>
      <c r="BS888" s="66">
        <v>6</v>
      </c>
      <c r="BT888" s="87">
        <f t="shared" si="308"/>
        <v>70.430000000000007</v>
      </c>
      <c r="BU888" s="87"/>
      <c r="BV888" s="87"/>
      <c r="BW888" s="87"/>
      <c r="BX888" s="87"/>
      <c r="BY888" s="87"/>
      <c r="BZ888" s="87"/>
      <c r="CA888" s="87"/>
      <c r="CB888" s="87"/>
      <c r="CC888" s="87"/>
      <c r="CD888" s="87"/>
      <c r="CF888" s="67">
        <f t="shared" si="309"/>
        <v>1056.45</v>
      </c>
      <c r="CG888" s="67">
        <f t="shared" si="289"/>
        <v>1479.0300000000002</v>
      </c>
      <c r="CH888" s="67">
        <f t="shared" si="299"/>
        <v>1479.0300000000002</v>
      </c>
      <c r="CI888" s="67">
        <f t="shared" si="294"/>
        <v>422.58000000000004</v>
      </c>
      <c r="CJ888" s="37">
        <f t="shared" si="290"/>
        <v>255</v>
      </c>
      <c r="CK888" s="37">
        <f t="shared" si="291"/>
        <v>357</v>
      </c>
      <c r="CL888" s="37">
        <f t="shared" si="292"/>
        <v>357</v>
      </c>
      <c r="CM888" s="37">
        <f t="shared" si="293"/>
        <v>102</v>
      </c>
    </row>
    <row r="889" spans="1:91" s="66" customFormat="1" ht="25.5">
      <c r="A889" s="3"/>
      <c r="B889" s="156">
        <v>873</v>
      </c>
      <c r="C889" s="160">
        <v>637</v>
      </c>
      <c r="D889" s="160">
        <v>746</v>
      </c>
      <c r="E889" s="161">
        <v>0.53125</v>
      </c>
      <c r="F889" s="161">
        <v>0.54166666666666663</v>
      </c>
      <c r="G889" s="160" t="s">
        <v>464</v>
      </c>
      <c r="H889" s="160" t="s">
        <v>465</v>
      </c>
      <c r="I889" s="163">
        <v>9</v>
      </c>
      <c r="J889" s="164" t="s">
        <v>116</v>
      </c>
      <c r="K889" s="165">
        <f>34+34+36+34</f>
        <v>138</v>
      </c>
      <c r="L889" s="166">
        <f t="shared" si="298"/>
        <v>1242</v>
      </c>
      <c r="M889" s="177" t="s">
        <v>785</v>
      </c>
      <c r="N889" s="154" t="s">
        <v>871</v>
      </c>
      <c r="O889" s="154">
        <v>9</v>
      </c>
      <c r="P889" s="154" t="s">
        <v>1308</v>
      </c>
      <c r="Q889" s="154">
        <v>9</v>
      </c>
      <c r="R889" s="150"/>
      <c r="S889" s="154"/>
      <c r="T889" s="45">
        <v>6655</v>
      </c>
      <c r="U889" s="45" t="s">
        <v>1765</v>
      </c>
      <c r="V889" s="45">
        <v>6640</v>
      </c>
      <c r="W889" s="45" t="s">
        <v>1764</v>
      </c>
      <c r="X889" s="98">
        <v>44816</v>
      </c>
      <c r="Y889" s="98">
        <v>45086</v>
      </c>
      <c r="Z889" s="98"/>
      <c r="AA889" s="98"/>
      <c r="AB889" s="46" t="s">
        <v>1169</v>
      </c>
      <c r="AC889" s="46"/>
      <c r="AD889" s="36"/>
      <c r="AE889" s="36"/>
      <c r="AF889" s="36"/>
      <c r="AG889" s="36" t="s">
        <v>734</v>
      </c>
      <c r="AH889" s="36"/>
      <c r="AI889" s="36" t="s">
        <v>734</v>
      </c>
      <c r="AJ889" s="36"/>
      <c r="AK889" s="36" t="s">
        <v>734</v>
      </c>
      <c r="AL889" s="36" t="s">
        <v>734</v>
      </c>
      <c r="AM889" s="36" t="s">
        <v>734</v>
      </c>
      <c r="AN889" s="36"/>
      <c r="AO889" s="36"/>
      <c r="AP889" s="36"/>
      <c r="AQ889" s="36"/>
      <c r="AR889" s="36"/>
      <c r="AS889" s="36"/>
      <c r="AT889" s="36"/>
      <c r="AU889" s="36"/>
      <c r="AV889" s="36"/>
      <c r="AW889" s="36"/>
      <c r="AX889" s="68">
        <v>27</v>
      </c>
      <c r="AY889" s="68"/>
      <c r="BD889" s="67">
        <f t="shared" si="310"/>
        <v>3726</v>
      </c>
      <c r="BE889" s="67"/>
      <c r="BG889" s="73">
        <v>1</v>
      </c>
      <c r="BH889" s="67">
        <f t="shared" si="304"/>
        <v>0</v>
      </c>
      <c r="BI889" s="67">
        <f t="shared" si="305"/>
        <v>0</v>
      </c>
      <c r="BJ889" s="70">
        <f t="shared" si="306"/>
        <v>0</v>
      </c>
      <c r="BO889" s="70">
        <f t="shared" si="307"/>
        <v>0</v>
      </c>
      <c r="BP889" s="66">
        <v>11</v>
      </c>
      <c r="BQ889" s="66">
        <v>17</v>
      </c>
      <c r="BR889" s="66">
        <v>16</v>
      </c>
      <c r="BS889" s="66">
        <v>12</v>
      </c>
      <c r="BT889" s="87">
        <f t="shared" si="308"/>
        <v>27</v>
      </c>
      <c r="BU889" s="87"/>
      <c r="BV889" s="87"/>
      <c r="BW889" s="87"/>
      <c r="BX889" s="87"/>
      <c r="BY889" s="87"/>
      <c r="BZ889" s="87"/>
      <c r="CA889" s="87"/>
      <c r="CB889" s="87"/>
      <c r="CC889" s="87"/>
      <c r="CD889" s="87"/>
      <c r="CF889" s="67">
        <f t="shared" si="309"/>
        <v>297</v>
      </c>
      <c r="CG889" s="67">
        <f t="shared" si="289"/>
        <v>459</v>
      </c>
      <c r="CH889" s="67">
        <f t="shared" si="299"/>
        <v>432</v>
      </c>
      <c r="CI889" s="67">
        <f t="shared" si="294"/>
        <v>324</v>
      </c>
      <c r="CJ889" s="37">
        <f t="shared" si="290"/>
        <v>99</v>
      </c>
      <c r="CK889" s="37">
        <f t="shared" si="291"/>
        <v>153</v>
      </c>
      <c r="CL889" s="37">
        <f t="shared" si="292"/>
        <v>144</v>
      </c>
      <c r="CM889" s="37">
        <f t="shared" si="293"/>
        <v>108</v>
      </c>
    </row>
    <row r="890" spans="1:91" s="66" customFormat="1" ht="63.75">
      <c r="A890" s="3"/>
      <c r="B890" s="156">
        <v>874</v>
      </c>
      <c r="C890" s="160">
        <v>637</v>
      </c>
      <c r="D890" s="160">
        <v>742</v>
      </c>
      <c r="E890" s="173">
        <v>0.53125</v>
      </c>
      <c r="F890" s="173">
        <v>0.5444444444444444</v>
      </c>
      <c r="G890" s="160" t="s">
        <v>601</v>
      </c>
      <c r="H890" s="160" t="s">
        <v>597</v>
      </c>
      <c r="I890" s="163">
        <v>17</v>
      </c>
      <c r="J890" s="164" t="s">
        <v>99</v>
      </c>
      <c r="K890" s="165">
        <v>152</v>
      </c>
      <c r="L890" s="166">
        <f t="shared" si="298"/>
        <v>2584</v>
      </c>
      <c r="M890" s="167" t="s">
        <v>1227</v>
      </c>
      <c r="N890" s="154" t="s">
        <v>798</v>
      </c>
      <c r="O890" s="154">
        <v>21</v>
      </c>
      <c r="P890" s="154" t="s">
        <v>960</v>
      </c>
      <c r="Q890" s="154">
        <v>24</v>
      </c>
      <c r="R890" s="154" t="s">
        <v>961</v>
      </c>
      <c r="S890" s="151">
        <v>21</v>
      </c>
      <c r="T890" s="45" t="s">
        <v>1775</v>
      </c>
      <c r="U890" s="45" t="s">
        <v>1776</v>
      </c>
      <c r="V890" s="45">
        <v>6290</v>
      </c>
      <c r="W890" s="45" t="s">
        <v>1774</v>
      </c>
      <c r="X890" s="99">
        <v>44816</v>
      </c>
      <c r="Y890" s="99">
        <v>45100</v>
      </c>
      <c r="Z890" s="99"/>
      <c r="AA890" s="99"/>
      <c r="AB890" s="41" t="s">
        <v>1864</v>
      </c>
      <c r="AC890" s="42" t="s">
        <v>1135</v>
      </c>
      <c r="AD890" s="36" t="s">
        <v>734</v>
      </c>
      <c r="AE890" s="36"/>
      <c r="AF890" s="46" t="s">
        <v>734</v>
      </c>
      <c r="AG890" s="36"/>
      <c r="AH890" s="36" t="s">
        <v>734</v>
      </c>
      <c r="AI890" s="36" t="s">
        <v>734</v>
      </c>
      <c r="AJ890" s="36" t="s">
        <v>734</v>
      </c>
      <c r="AK890" s="36" t="s">
        <v>734</v>
      </c>
      <c r="AL890" s="36" t="s">
        <v>734</v>
      </c>
      <c r="AM890" s="36" t="s">
        <v>734</v>
      </c>
      <c r="AN890" s="36"/>
      <c r="AO890" s="36"/>
      <c r="AP890" s="36"/>
      <c r="AQ890" s="36"/>
      <c r="AR890" s="36"/>
      <c r="AS890" s="36"/>
      <c r="AT890" s="36"/>
      <c r="AU890" s="36"/>
      <c r="AV890" s="36"/>
      <c r="AW890" s="36"/>
      <c r="AX890" s="68">
        <v>70.430000000000007</v>
      </c>
      <c r="AY890" s="68"/>
      <c r="BD890" s="67">
        <f t="shared" si="310"/>
        <v>10705.36</v>
      </c>
      <c r="BE890" s="67"/>
      <c r="BG890" s="73">
        <v>1</v>
      </c>
      <c r="BH890" s="67">
        <f t="shared" si="304"/>
        <v>0</v>
      </c>
      <c r="BI890" s="67">
        <f t="shared" si="305"/>
        <v>0</v>
      </c>
      <c r="BJ890" s="70">
        <f t="shared" si="306"/>
        <v>0</v>
      </c>
      <c r="BO890" s="70">
        <f t="shared" si="307"/>
        <v>0</v>
      </c>
      <c r="BP890" s="50">
        <v>0</v>
      </c>
      <c r="BQ890" s="50">
        <v>0</v>
      </c>
      <c r="BR890" s="66">
        <v>0</v>
      </c>
      <c r="BS890" s="66">
        <v>17</v>
      </c>
      <c r="BT890" s="87">
        <f t="shared" si="308"/>
        <v>70.430000000000007</v>
      </c>
      <c r="BU890" s="87"/>
      <c r="BV890" s="87"/>
      <c r="BW890" s="87"/>
      <c r="BX890" s="87"/>
      <c r="BY890" s="87"/>
      <c r="BZ890" s="87"/>
      <c r="CA890" s="87"/>
      <c r="CB890" s="87"/>
      <c r="CC890" s="87"/>
      <c r="CD890" s="87"/>
      <c r="CF890" s="67">
        <f t="shared" si="309"/>
        <v>0</v>
      </c>
      <c r="CG890" s="67">
        <f t="shared" si="289"/>
        <v>0</v>
      </c>
      <c r="CH890" s="67">
        <f t="shared" si="299"/>
        <v>0</v>
      </c>
      <c r="CI890" s="67">
        <f t="shared" si="294"/>
        <v>1197.3100000000002</v>
      </c>
      <c r="CJ890" s="37">
        <f t="shared" si="290"/>
        <v>0</v>
      </c>
      <c r="CK890" s="37">
        <f t="shared" si="291"/>
        <v>0</v>
      </c>
      <c r="CL890" s="37">
        <f t="shared" si="292"/>
        <v>0</v>
      </c>
      <c r="CM890" s="37">
        <f t="shared" si="293"/>
        <v>289</v>
      </c>
    </row>
    <row r="891" spans="1:91" s="66" customFormat="1" ht="51">
      <c r="A891" s="3"/>
      <c r="B891" s="156">
        <v>875</v>
      </c>
      <c r="C891" s="160">
        <v>637</v>
      </c>
      <c r="D891" s="174">
        <v>748</v>
      </c>
      <c r="E891" s="173">
        <v>0.53125</v>
      </c>
      <c r="F891" s="173">
        <v>0.5444444444444444</v>
      </c>
      <c r="G891" s="160" t="s">
        <v>601</v>
      </c>
      <c r="H891" s="160" t="s">
        <v>818</v>
      </c>
      <c r="I891" s="163">
        <v>17</v>
      </c>
      <c r="J891" s="164" t="s">
        <v>99</v>
      </c>
      <c r="K891" s="165">
        <v>67</v>
      </c>
      <c r="L891" s="166">
        <f t="shared" si="298"/>
        <v>1139</v>
      </c>
      <c r="M891" s="167" t="s">
        <v>1227</v>
      </c>
      <c r="N891" s="154" t="s">
        <v>798</v>
      </c>
      <c r="O891" s="154">
        <v>21</v>
      </c>
      <c r="P891" s="154" t="s">
        <v>960</v>
      </c>
      <c r="Q891" s="154">
        <v>24</v>
      </c>
      <c r="R891" s="154" t="s">
        <v>961</v>
      </c>
      <c r="S891" s="151">
        <v>21</v>
      </c>
      <c r="T891" s="45" t="s">
        <v>1775</v>
      </c>
      <c r="U891" s="45" t="s">
        <v>1776</v>
      </c>
      <c r="V891" s="45">
        <v>6290</v>
      </c>
      <c r="W891" s="45" t="s">
        <v>1774</v>
      </c>
      <c r="X891" s="99">
        <v>44562</v>
      </c>
      <c r="Y891" s="99">
        <v>44815</v>
      </c>
      <c r="Z891" s="99">
        <v>45101</v>
      </c>
      <c r="AA891" s="99">
        <v>45169</v>
      </c>
      <c r="AB891" s="46" t="s">
        <v>1862</v>
      </c>
      <c r="AC891" s="42" t="s">
        <v>1135</v>
      </c>
      <c r="AD891" s="36"/>
      <c r="AE891" s="36" t="s">
        <v>734</v>
      </c>
      <c r="AF891" s="46" t="s">
        <v>734</v>
      </c>
      <c r="AG891" s="36"/>
      <c r="AH891" s="36" t="s">
        <v>734</v>
      </c>
      <c r="AI891" s="36" t="s">
        <v>734</v>
      </c>
      <c r="AJ891" s="36" t="s">
        <v>734</v>
      </c>
      <c r="AK891" s="36" t="s">
        <v>734</v>
      </c>
      <c r="AL891" s="36" t="s">
        <v>734</v>
      </c>
      <c r="AM891" s="36" t="s">
        <v>734</v>
      </c>
      <c r="AN891" s="36"/>
      <c r="AO891" s="36"/>
      <c r="AP891" s="36"/>
      <c r="AQ891" s="36"/>
      <c r="AR891" s="36"/>
      <c r="AS891" s="36"/>
      <c r="AT891" s="36"/>
      <c r="AU891" s="36"/>
      <c r="AV891" s="36"/>
      <c r="AW891" s="36"/>
      <c r="AX891" s="68">
        <v>70.430000000000007</v>
      </c>
      <c r="AY891" s="68"/>
      <c r="BD891" s="67">
        <f t="shared" si="310"/>
        <v>4718.8100000000004</v>
      </c>
      <c r="BE891" s="67"/>
      <c r="BG891" s="73">
        <v>1</v>
      </c>
      <c r="BH891" s="67">
        <f t="shared" si="304"/>
        <v>0</v>
      </c>
      <c r="BI891" s="67">
        <f t="shared" si="305"/>
        <v>0</v>
      </c>
      <c r="BJ891" s="70">
        <f t="shared" si="306"/>
        <v>0</v>
      </c>
      <c r="BO891" s="70">
        <f t="shared" si="307"/>
        <v>0</v>
      </c>
      <c r="BP891" s="50">
        <v>9</v>
      </c>
      <c r="BQ891" s="37">
        <v>0</v>
      </c>
      <c r="BR891" s="37">
        <v>0</v>
      </c>
      <c r="BT891" s="87">
        <f t="shared" si="308"/>
        <v>70.430000000000007</v>
      </c>
      <c r="BU891" s="87"/>
      <c r="BV891" s="87"/>
      <c r="BW891" s="87"/>
      <c r="BX891" s="87"/>
      <c r="BY891" s="87"/>
      <c r="BZ891" s="87"/>
      <c r="CA891" s="87"/>
      <c r="CB891" s="87"/>
      <c r="CC891" s="87"/>
      <c r="CD891" s="87"/>
      <c r="CF891" s="67">
        <f t="shared" si="309"/>
        <v>633.87000000000012</v>
      </c>
      <c r="CG891" s="67">
        <f t="shared" si="289"/>
        <v>0</v>
      </c>
      <c r="CH891" s="67">
        <f t="shared" si="299"/>
        <v>0</v>
      </c>
      <c r="CI891" s="67">
        <f t="shared" si="294"/>
        <v>0</v>
      </c>
      <c r="CJ891" s="37">
        <f t="shared" si="290"/>
        <v>153</v>
      </c>
      <c r="CK891" s="37">
        <f t="shared" si="291"/>
        <v>0</v>
      </c>
      <c r="CL891" s="37">
        <f t="shared" si="292"/>
        <v>0</v>
      </c>
      <c r="CM891" s="37">
        <f t="shared" si="293"/>
        <v>0</v>
      </c>
    </row>
    <row r="892" spans="1:91" s="66" customFormat="1" ht="25.5">
      <c r="A892" s="3"/>
      <c r="B892" s="156">
        <v>876</v>
      </c>
      <c r="C892" s="160">
        <v>637</v>
      </c>
      <c r="D892" s="160">
        <v>738</v>
      </c>
      <c r="E892" s="161">
        <v>0.55902777777777779</v>
      </c>
      <c r="F892" s="161">
        <v>0.56944444444444442</v>
      </c>
      <c r="G892" s="160" t="s">
        <v>315</v>
      </c>
      <c r="H892" s="160" t="s">
        <v>103</v>
      </c>
      <c r="I892" s="163">
        <v>9</v>
      </c>
      <c r="J892" s="164" t="s">
        <v>99</v>
      </c>
      <c r="K892" s="165">
        <v>174</v>
      </c>
      <c r="L892" s="166">
        <f t="shared" si="298"/>
        <v>1566</v>
      </c>
      <c r="M892" s="177" t="s">
        <v>780</v>
      </c>
      <c r="N892" s="150" t="s">
        <v>1076</v>
      </c>
      <c r="O892" s="150">
        <v>23</v>
      </c>
      <c r="P892" s="150" t="s">
        <v>796</v>
      </c>
      <c r="Q892" s="150">
        <v>21</v>
      </c>
      <c r="R892" s="150" t="s">
        <v>877</v>
      </c>
      <c r="S892" s="151">
        <v>23</v>
      </c>
      <c r="T892" s="45">
        <v>6655</v>
      </c>
      <c r="U892" s="45" t="s">
        <v>1765</v>
      </c>
      <c r="V892" s="45">
        <v>6640</v>
      </c>
      <c r="W892" s="45" t="s">
        <v>1764</v>
      </c>
      <c r="X892" s="98">
        <v>44816</v>
      </c>
      <c r="Y892" s="98">
        <v>45086</v>
      </c>
      <c r="Z892" s="98"/>
      <c r="AA892" s="98"/>
      <c r="AB892" s="41" t="s">
        <v>1114</v>
      </c>
      <c r="AC892" s="41"/>
      <c r="AD892" s="36"/>
      <c r="AE892" s="36"/>
      <c r="AF892" s="36"/>
      <c r="AG892" s="42" t="s">
        <v>734</v>
      </c>
      <c r="AH892" s="42" t="s">
        <v>734</v>
      </c>
      <c r="AI892" s="42" t="s">
        <v>734</v>
      </c>
      <c r="AJ892" s="42" t="s">
        <v>734</v>
      </c>
      <c r="AK892" s="42" t="s">
        <v>734</v>
      </c>
      <c r="AL892" s="42" t="s">
        <v>734</v>
      </c>
      <c r="AM892" s="36"/>
      <c r="AN892" s="36"/>
      <c r="AO892" s="36"/>
      <c r="AP892" s="36"/>
      <c r="AQ892" s="36"/>
      <c r="AR892" s="42"/>
      <c r="AS892" s="42"/>
      <c r="AT892" s="42"/>
      <c r="AU892" s="42"/>
      <c r="AV892" s="42"/>
      <c r="AW892" s="36"/>
      <c r="AX892" s="68">
        <v>16.2</v>
      </c>
      <c r="AY892" s="68"/>
      <c r="BD892" s="67">
        <f t="shared" si="310"/>
        <v>2818.7999999999997</v>
      </c>
      <c r="BE892" s="67"/>
      <c r="BG892" s="73">
        <v>1</v>
      </c>
      <c r="BH892" s="67">
        <f t="shared" si="304"/>
        <v>1.8000000000000007</v>
      </c>
      <c r="BI892" s="67">
        <f t="shared" si="305"/>
        <v>0</v>
      </c>
      <c r="BJ892" s="67">
        <f t="shared" si="306"/>
        <v>313.2000000000001</v>
      </c>
      <c r="BO892" s="70">
        <f t="shared" si="307"/>
        <v>0</v>
      </c>
      <c r="BP892" s="37">
        <v>15</v>
      </c>
      <c r="BQ892" s="37">
        <v>20</v>
      </c>
      <c r="BR892" s="37">
        <v>21</v>
      </c>
      <c r="BS892" s="37">
        <v>15</v>
      </c>
      <c r="BT892" s="87">
        <f t="shared" si="308"/>
        <v>18</v>
      </c>
      <c r="BU892" s="87"/>
      <c r="BV892" s="87"/>
      <c r="BW892" s="87"/>
      <c r="BX892" s="87"/>
      <c r="BY892" s="87"/>
      <c r="BZ892" s="87"/>
      <c r="CA892" s="87"/>
      <c r="CB892" s="87"/>
      <c r="CC892" s="87"/>
      <c r="CD892" s="87"/>
      <c r="CF892" s="67">
        <f t="shared" si="309"/>
        <v>270</v>
      </c>
      <c r="CG892" s="67">
        <f t="shared" ref="CG892:CG956" si="311">(BT892*BQ892)+(BX892*CD892)</f>
        <v>360</v>
      </c>
      <c r="CH892" s="67">
        <f t="shared" si="299"/>
        <v>378</v>
      </c>
      <c r="CI892" s="67">
        <f t="shared" si="294"/>
        <v>270</v>
      </c>
      <c r="CJ892" s="37">
        <f t="shared" si="290"/>
        <v>135</v>
      </c>
      <c r="CK892" s="37">
        <f t="shared" si="291"/>
        <v>180</v>
      </c>
      <c r="CL892" s="37">
        <f t="shared" si="292"/>
        <v>189</v>
      </c>
      <c r="CM892" s="37">
        <f t="shared" si="293"/>
        <v>135</v>
      </c>
    </row>
    <row r="893" spans="1:91" s="66" customFormat="1" ht="25.5">
      <c r="A893" s="3"/>
      <c r="B893" s="156">
        <v>877</v>
      </c>
      <c r="C893" s="160">
        <v>637</v>
      </c>
      <c r="D893" s="162">
        <v>748</v>
      </c>
      <c r="E893" s="161">
        <v>0.72916666666666663</v>
      </c>
      <c r="F893" s="161">
        <v>0.73958333333333337</v>
      </c>
      <c r="G893" s="160" t="s">
        <v>315</v>
      </c>
      <c r="H893" s="160" t="s">
        <v>103</v>
      </c>
      <c r="I893" s="163">
        <v>9</v>
      </c>
      <c r="J893" s="164" t="s">
        <v>99</v>
      </c>
      <c r="K893" s="165">
        <v>174</v>
      </c>
      <c r="L893" s="166">
        <f t="shared" si="298"/>
        <v>1566</v>
      </c>
      <c r="M893" s="177" t="s">
        <v>780</v>
      </c>
      <c r="N893" s="150" t="s">
        <v>1076</v>
      </c>
      <c r="O893" s="150">
        <v>23</v>
      </c>
      <c r="P893" s="150" t="s">
        <v>876</v>
      </c>
      <c r="Q893" s="150">
        <v>23</v>
      </c>
      <c r="R893" s="150" t="s">
        <v>796</v>
      </c>
      <c r="S893" s="151">
        <v>21</v>
      </c>
      <c r="T893" s="45">
        <v>6655</v>
      </c>
      <c r="U893" s="45" t="s">
        <v>1765</v>
      </c>
      <c r="V893" s="45">
        <v>6640</v>
      </c>
      <c r="W893" s="45" t="s">
        <v>1764</v>
      </c>
      <c r="X893" s="98">
        <v>44816</v>
      </c>
      <c r="Y893" s="98">
        <v>45086</v>
      </c>
      <c r="Z893" s="98"/>
      <c r="AA893" s="98"/>
      <c r="AB893" s="41" t="s">
        <v>1114</v>
      </c>
      <c r="AC893" s="41"/>
      <c r="AD893" s="36"/>
      <c r="AE893" s="36"/>
      <c r="AF893" s="36"/>
      <c r="AG893" s="42" t="s">
        <v>734</v>
      </c>
      <c r="AH893" s="42" t="s">
        <v>734</v>
      </c>
      <c r="AI893" s="42" t="s">
        <v>734</v>
      </c>
      <c r="AJ893" s="42" t="s">
        <v>734</v>
      </c>
      <c r="AK893" s="42" t="s">
        <v>734</v>
      </c>
      <c r="AL893" s="42" t="s">
        <v>734</v>
      </c>
      <c r="AM893" s="36"/>
      <c r="AN893" s="36"/>
      <c r="AO893" s="36"/>
      <c r="AP893" s="36"/>
      <c r="AQ893" s="36"/>
      <c r="AR893" s="42"/>
      <c r="AS893" s="42"/>
      <c r="AT893" s="42"/>
      <c r="AU893" s="42"/>
      <c r="AV893" s="42"/>
      <c r="AW893" s="36"/>
      <c r="AX893" s="68">
        <v>53.22</v>
      </c>
      <c r="AY893" s="68"/>
      <c r="BD893" s="67">
        <f t="shared" si="310"/>
        <v>9260.2800000000007</v>
      </c>
      <c r="BE893" s="67"/>
      <c r="BG893" s="73">
        <v>1</v>
      </c>
      <c r="BH893" s="67">
        <f t="shared" si="304"/>
        <v>0</v>
      </c>
      <c r="BI893" s="67">
        <f t="shared" si="305"/>
        <v>0</v>
      </c>
      <c r="BJ893" s="70">
        <f t="shared" si="306"/>
        <v>0</v>
      </c>
      <c r="BO893" s="70">
        <f t="shared" si="307"/>
        <v>0</v>
      </c>
      <c r="BP893" s="37">
        <v>15</v>
      </c>
      <c r="BQ893" s="37">
        <v>20</v>
      </c>
      <c r="BR893" s="37">
        <v>21</v>
      </c>
      <c r="BS893" s="37">
        <v>15</v>
      </c>
      <c r="BT893" s="87">
        <f t="shared" si="308"/>
        <v>53.22</v>
      </c>
      <c r="BU893" s="87"/>
      <c r="BV893" s="87"/>
      <c r="BW893" s="87"/>
      <c r="BX893" s="87"/>
      <c r="BY893" s="87"/>
      <c r="BZ893" s="87"/>
      <c r="CA893" s="87"/>
      <c r="CB893" s="87"/>
      <c r="CC893" s="87"/>
      <c r="CD893" s="87"/>
      <c r="CF893" s="67">
        <f t="shared" si="309"/>
        <v>798.3</v>
      </c>
      <c r="CG893" s="67">
        <f t="shared" si="311"/>
        <v>1064.4000000000001</v>
      </c>
      <c r="CH893" s="67">
        <f t="shared" si="299"/>
        <v>1117.6199999999999</v>
      </c>
      <c r="CI893" s="67">
        <f t="shared" si="294"/>
        <v>798.3</v>
      </c>
      <c r="CJ893" s="37">
        <f t="shared" si="290"/>
        <v>135</v>
      </c>
      <c r="CK893" s="37">
        <f t="shared" si="291"/>
        <v>180</v>
      </c>
      <c r="CL893" s="37">
        <f t="shared" si="292"/>
        <v>189</v>
      </c>
      <c r="CM893" s="37">
        <f t="shared" si="293"/>
        <v>135</v>
      </c>
    </row>
    <row r="894" spans="1:91" s="66" customFormat="1" ht="25.5">
      <c r="A894" s="3"/>
      <c r="B894" s="156">
        <v>878</v>
      </c>
      <c r="C894" s="160">
        <v>637</v>
      </c>
      <c r="D894" s="160">
        <v>751</v>
      </c>
      <c r="E894" s="161">
        <v>0.7402777777777777</v>
      </c>
      <c r="F894" s="161">
        <v>0.75</v>
      </c>
      <c r="G894" s="160" t="s">
        <v>314</v>
      </c>
      <c r="H894" s="160" t="s">
        <v>103</v>
      </c>
      <c r="I894" s="163">
        <v>9</v>
      </c>
      <c r="J894" s="164" t="s">
        <v>99</v>
      </c>
      <c r="K894" s="165">
        <v>174</v>
      </c>
      <c r="L894" s="166">
        <f t="shared" si="298"/>
        <v>1566</v>
      </c>
      <c r="M894" s="177" t="s">
        <v>780</v>
      </c>
      <c r="N894" s="150" t="s">
        <v>1076</v>
      </c>
      <c r="O894" s="150">
        <v>23</v>
      </c>
      <c r="P894" s="150" t="s">
        <v>796</v>
      </c>
      <c r="Q894" s="150">
        <v>21</v>
      </c>
      <c r="R894" s="150"/>
      <c r="S894" s="150"/>
      <c r="T894" s="45">
        <v>6640</v>
      </c>
      <c r="U894" s="45" t="s">
        <v>1764</v>
      </c>
      <c r="V894" s="45">
        <v>6655</v>
      </c>
      <c r="W894" s="45" t="s">
        <v>1765</v>
      </c>
      <c r="X894" s="98">
        <v>44816</v>
      </c>
      <c r="Y894" s="98">
        <v>45086</v>
      </c>
      <c r="Z894" s="98"/>
      <c r="AA894" s="98"/>
      <c r="AB894" s="41" t="s">
        <v>1114</v>
      </c>
      <c r="AC894" s="41"/>
      <c r="AD894" s="36"/>
      <c r="AE894" s="36"/>
      <c r="AF894" s="36"/>
      <c r="AG894" s="42" t="s">
        <v>734</v>
      </c>
      <c r="AH894" s="42" t="s">
        <v>734</v>
      </c>
      <c r="AI894" s="42" t="s">
        <v>734</v>
      </c>
      <c r="AJ894" s="42" t="s">
        <v>734</v>
      </c>
      <c r="AK894" s="42" t="s">
        <v>734</v>
      </c>
      <c r="AL894" s="42" t="s">
        <v>734</v>
      </c>
      <c r="AM894" s="36"/>
      <c r="AN894" s="36"/>
      <c r="AO894" s="36"/>
      <c r="AP894" s="36"/>
      <c r="AQ894" s="36"/>
      <c r="AR894" s="42"/>
      <c r="AS894" s="42"/>
      <c r="AT894" s="42"/>
      <c r="AU894" s="42"/>
      <c r="AV894" s="42"/>
      <c r="AW894" s="36"/>
      <c r="AX894" s="68">
        <v>16.739999999999998</v>
      </c>
      <c r="AY894" s="68"/>
      <c r="BD894" s="67">
        <f t="shared" si="310"/>
        <v>2912.7599999999998</v>
      </c>
      <c r="BE894" s="67"/>
      <c r="BG894" s="73">
        <v>1</v>
      </c>
      <c r="BH894" s="67">
        <f t="shared" si="304"/>
        <v>1.2600000000000016</v>
      </c>
      <c r="BI894" s="67">
        <f t="shared" si="305"/>
        <v>0</v>
      </c>
      <c r="BJ894" s="67">
        <f t="shared" si="306"/>
        <v>219.24000000000026</v>
      </c>
      <c r="BO894" s="70">
        <f t="shared" si="307"/>
        <v>0</v>
      </c>
      <c r="BP894" s="37">
        <v>15</v>
      </c>
      <c r="BQ894" s="37">
        <v>20</v>
      </c>
      <c r="BR894" s="37">
        <v>21</v>
      </c>
      <c r="BS894" s="37">
        <v>15</v>
      </c>
      <c r="BT894" s="87">
        <f t="shared" si="308"/>
        <v>18</v>
      </c>
      <c r="BU894" s="87"/>
      <c r="BV894" s="87"/>
      <c r="BW894" s="87"/>
      <c r="BX894" s="87"/>
      <c r="BY894" s="87"/>
      <c r="BZ894" s="87"/>
      <c r="CA894" s="87"/>
      <c r="CB894" s="87"/>
      <c r="CC894" s="87"/>
      <c r="CD894" s="87"/>
      <c r="CF894" s="67">
        <f t="shared" si="309"/>
        <v>270</v>
      </c>
      <c r="CG894" s="67">
        <f t="shared" si="311"/>
        <v>360</v>
      </c>
      <c r="CH894" s="67">
        <f t="shared" si="299"/>
        <v>378</v>
      </c>
      <c r="CI894" s="67">
        <f t="shared" si="294"/>
        <v>270</v>
      </c>
      <c r="CJ894" s="37">
        <f t="shared" si="290"/>
        <v>135</v>
      </c>
      <c r="CK894" s="37">
        <f t="shared" si="291"/>
        <v>180</v>
      </c>
      <c r="CL894" s="37">
        <f t="shared" si="292"/>
        <v>189</v>
      </c>
      <c r="CM894" s="37">
        <f t="shared" si="293"/>
        <v>135</v>
      </c>
    </row>
    <row r="895" spans="1:91" s="66" customFormat="1" ht="76.5">
      <c r="A895" s="152"/>
      <c r="B895" s="156">
        <v>879</v>
      </c>
      <c r="C895" s="160">
        <v>637</v>
      </c>
      <c r="D895" s="160">
        <v>645</v>
      </c>
      <c r="E895" s="161">
        <v>0.75347222222222221</v>
      </c>
      <c r="F895" s="161">
        <v>0.76666666666666661</v>
      </c>
      <c r="G895" s="160" t="s">
        <v>602</v>
      </c>
      <c r="H895" s="160" t="s">
        <v>603</v>
      </c>
      <c r="I895" s="163">
        <v>17</v>
      </c>
      <c r="J895" s="164" t="s">
        <v>99</v>
      </c>
      <c r="K895" s="165">
        <v>73</v>
      </c>
      <c r="L895" s="166">
        <f t="shared" si="298"/>
        <v>1241</v>
      </c>
      <c r="M895" s="167" t="s">
        <v>1227</v>
      </c>
      <c r="N895" s="154" t="s">
        <v>798</v>
      </c>
      <c r="O895" s="154">
        <v>21</v>
      </c>
      <c r="P895" s="154" t="s">
        <v>960</v>
      </c>
      <c r="Q895" s="154">
        <v>24</v>
      </c>
      <c r="R895" s="154" t="s">
        <v>961</v>
      </c>
      <c r="S895" s="151">
        <v>21</v>
      </c>
      <c r="T895" s="45" t="s">
        <v>1775</v>
      </c>
      <c r="U895" s="45" t="s">
        <v>1776</v>
      </c>
      <c r="V895" s="45">
        <v>6290</v>
      </c>
      <c r="W895" s="45" t="s">
        <v>1774</v>
      </c>
      <c r="X895" s="98">
        <v>44805</v>
      </c>
      <c r="Y895" s="98">
        <v>45169</v>
      </c>
      <c r="Z895" s="98"/>
      <c r="AA895" s="98"/>
      <c r="AB895" s="41" t="s">
        <v>1863</v>
      </c>
      <c r="AC895" s="42" t="s">
        <v>1135</v>
      </c>
      <c r="AD895" s="36" t="s">
        <v>734</v>
      </c>
      <c r="AE895" s="36" t="s">
        <v>734</v>
      </c>
      <c r="AF895" s="46" t="s">
        <v>734</v>
      </c>
      <c r="AG895" s="36"/>
      <c r="AH895" s="36" t="s">
        <v>734</v>
      </c>
      <c r="AI895" s="36" t="s">
        <v>734</v>
      </c>
      <c r="AJ895" s="36" t="s">
        <v>734</v>
      </c>
      <c r="AK895" s="36" t="s">
        <v>734</v>
      </c>
      <c r="AL895" s="36" t="s">
        <v>734</v>
      </c>
      <c r="AM895" s="36"/>
      <c r="AN895" s="36"/>
      <c r="AO895" s="36"/>
      <c r="AP895" s="36"/>
      <c r="AQ895" s="36"/>
      <c r="AR895" s="36"/>
      <c r="AS895" s="36"/>
      <c r="AT895" s="36"/>
      <c r="AU895" s="36"/>
      <c r="AV895" s="36"/>
      <c r="AW895" s="36"/>
      <c r="AX895" s="68">
        <v>70.430000000000007</v>
      </c>
      <c r="AY895" s="68"/>
      <c r="BD895" s="67">
        <f t="shared" si="310"/>
        <v>5141.3900000000003</v>
      </c>
      <c r="BE895" s="67"/>
      <c r="BG895" s="73">
        <v>1</v>
      </c>
      <c r="BH895" s="67">
        <f t="shared" si="304"/>
        <v>0</v>
      </c>
      <c r="BI895" s="67">
        <f t="shared" si="305"/>
        <v>0</v>
      </c>
      <c r="BJ895" s="70">
        <f t="shared" si="306"/>
        <v>0</v>
      </c>
      <c r="BO895" s="70">
        <f t="shared" si="307"/>
        <v>0</v>
      </c>
      <c r="BP895" s="50">
        <v>15</v>
      </c>
      <c r="BQ895" s="80">
        <v>21</v>
      </c>
      <c r="BR895" s="80">
        <v>21</v>
      </c>
      <c r="BS895" s="66">
        <v>6</v>
      </c>
      <c r="BT895" s="87">
        <f t="shared" si="308"/>
        <v>70.430000000000007</v>
      </c>
      <c r="BU895" s="87"/>
      <c r="BV895" s="87"/>
      <c r="BW895" s="87"/>
      <c r="BX895" s="87"/>
      <c r="BY895" s="87"/>
      <c r="BZ895" s="87"/>
      <c r="CA895" s="87"/>
      <c r="CB895" s="87"/>
      <c r="CC895" s="87"/>
      <c r="CD895" s="87"/>
      <c r="CF895" s="67">
        <f t="shared" si="309"/>
        <v>1056.45</v>
      </c>
      <c r="CG895" s="67">
        <f t="shared" si="311"/>
        <v>1479.0300000000002</v>
      </c>
      <c r="CH895" s="67">
        <f t="shared" si="299"/>
        <v>1479.0300000000002</v>
      </c>
      <c r="CI895" s="67">
        <f t="shared" si="294"/>
        <v>422.58000000000004</v>
      </c>
      <c r="CJ895" s="37">
        <f t="shared" si="290"/>
        <v>255</v>
      </c>
      <c r="CK895" s="37">
        <f t="shared" si="291"/>
        <v>357</v>
      </c>
      <c r="CL895" s="37">
        <f t="shared" si="292"/>
        <v>357</v>
      </c>
      <c r="CM895" s="37">
        <f t="shared" si="293"/>
        <v>102</v>
      </c>
    </row>
    <row r="896" spans="1:91" s="66" customFormat="1" ht="45">
      <c r="A896" s="3" t="s">
        <v>1180</v>
      </c>
      <c r="B896" s="156">
        <v>880</v>
      </c>
      <c r="C896" s="160">
        <v>640</v>
      </c>
      <c r="D896" s="160">
        <v>630</v>
      </c>
      <c r="E896" s="161">
        <v>0.58333333333333337</v>
      </c>
      <c r="F896" s="161">
        <v>0.60763888888888895</v>
      </c>
      <c r="G896" s="160" t="s">
        <v>120</v>
      </c>
      <c r="H896" s="162" t="s">
        <v>119</v>
      </c>
      <c r="I896" s="188">
        <v>18.5</v>
      </c>
      <c r="J896" s="164" t="s">
        <v>125</v>
      </c>
      <c r="K896" s="165">
        <v>36</v>
      </c>
      <c r="L896" s="166">
        <f t="shared" si="298"/>
        <v>666</v>
      </c>
      <c r="M896" s="167" t="s">
        <v>1227</v>
      </c>
      <c r="N896" s="154" t="s">
        <v>960</v>
      </c>
      <c r="O896" s="154">
        <v>24</v>
      </c>
      <c r="P896" s="150" t="s">
        <v>798</v>
      </c>
      <c r="Q896" s="150">
        <v>21</v>
      </c>
      <c r="R896" s="150" t="s">
        <v>961</v>
      </c>
      <c r="S896" s="151">
        <v>21</v>
      </c>
      <c r="T896" s="45">
        <v>6300</v>
      </c>
      <c r="U896" s="45" t="s">
        <v>1385</v>
      </c>
      <c r="V896" s="45">
        <v>6328</v>
      </c>
      <c r="W896" s="45" t="s">
        <v>1386</v>
      </c>
      <c r="X896" s="98">
        <v>44816</v>
      </c>
      <c r="Y896" s="98">
        <v>45086</v>
      </c>
      <c r="Z896" s="98"/>
      <c r="AA896" s="98"/>
      <c r="AB896" s="42" t="s">
        <v>1133</v>
      </c>
      <c r="AC896" s="42"/>
      <c r="AD896" s="36"/>
      <c r="AE896" s="36"/>
      <c r="AF896" s="36"/>
      <c r="AG896" s="42" t="s">
        <v>734</v>
      </c>
      <c r="AH896" s="42"/>
      <c r="AI896" s="42"/>
      <c r="AJ896" s="42"/>
      <c r="AK896" s="42"/>
      <c r="AL896" s="42" t="s">
        <v>734</v>
      </c>
      <c r="AM896" s="36"/>
      <c r="AN896" s="36"/>
      <c r="AO896" s="36"/>
      <c r="AP896" s="36"/>
      <c r="AQ896" s="36"/>
      <c r="AR896" s="36"/>
      <c r="AS896" s="36"/>
      <c r="AT896" s="36"/>
      <c r="AU896" s="36"/>
      <c r="AV896" s="36"/>
      <c r="AW896" s="36"/>
      <c r="AX896" s="68">
        <v>31.5</v>
      </c>
      <c r="AY896" s="68"/>
      <c r="BD896" s="67">
        <f t="shared" si="310"/>
        <v>1134</v>
      </c>
      <c r="BE896" s="67"/>
      <c r="BG896" s="73">
        <v>1</v>
      </c>
      <c r="BH896" s="67">
        <f t="shared" si="304"/>
        <v>5.5</v>
      </c>
      <c r="BI896" s="67">
        <f t="shared" si="305"/>
        <v>0</v>
      </c>
      <c r="BJ896" s="67">
        <f t="shared" si="306"/>
        <v>198</v>
      </c>
      <c r="BO896" s="70">
        <f t="shared" si="307"/>
        <v>0</v>
      </c>
      <c r="BP896" s="37">
        <v>3</v>
      </c>
      <c r="BQ896" s="37">
        <v>4</v>
      </c>
      <c r="BR896" s="37">
        <v>4</v>
      </c>
      <c r="BS896" s="37">
        <v>3</v>
      </c>
      <c r="BT896" s="87">
        <f t="shared" si="308"/>
        <v>37</v>
      </c>
      <c r="BU896" s="87"/>
      <c r="BV896" s="87"/>
      <c r="BW896" s="87"/>
      <c r="BX896" s="87"/>
      <c r="BY896" s="87"/>
      <c r="BZ896" s="87"/>
      <c r="CA896" s="87"/>
      <c r="CB896" s="87"/>
      <c r="CC896" s="87"/>
      <c r="CD896" s="87"/>
      <c r="CF896" s="67">
        <f t="shared" si="309"/>
        <v>111</v>
      </c>
      <c r="CG896" s="67">
        <f t="shared" si="311"/>
        <v>148</v>
      </c>
      <c r="CH896" s="67">
        <f t="shared" si="299"/>
        <v>148</v>
      </c>
      <c r="CI896" s="67">
        <f t="shared" si="294"/>
        <v>111</v>
      </c>
      <c r="CJ896" s="37">
        <f t="shared" si="290"/>
        <v>55.5</v>
      </c>
      <c r="CK896" s="37">
        <f t="shared" si="291"/>
        <v>74</v>
      </c>
      <c r="CL896" s="37">
        <f t="shared" si="292"/>
        <v>74</v>
      </c>
      <c r="CM896" s="37">
        <f t="shared" si="293"/>
        <v>55.5</v>
      </c>
    </row>
    <row r="897" spans="1:91" s="66" customFormat="1" ht="45">
      <c r="A897" s="152"/>
      <c r="B897" s="156">
        <v>881</v>
      </c>
      <c r="C897" s="160">
        <v>641</v>
      </c>
      <c r="D897" s="160">
        <v>385</v>
      </c>
      <c r="E897" s="161">
        <v>0.28125</v>
      </c>
      <c r="F897" s="161">
        <v>0.2951388888888889</v>
      </c>
      <c r="G897" s="160" t="s">
        <v>124</v>
      </c>
      <c r="H897" s="162" t="s">
        <v>123</v>
      </c>
      <c r="I897" s="163">
        <v>7.5</v>
      </c>
      <c r="J897" s="164" t="s">
        <v>116</v>
      </c>
      <c r="K897" s="165">
        <v>34</v>
      </c>
      <c r="L897" s="166">
        <f t="shared" si="298"/>
        <v>255</v>
      </c>
      <c r="M897" s="167" t="s">
        <v>1227</v>
      </c>
      <c r="N897" s="154" t="s">
        <v>962</v>
      </c>
      <c r="O897" s="154">
        <v>9</v>
      </c>
      <c r="P897" s="154" t="s">
        <v>798</v>
      </c>
      <c r="Q897" s="154">
        <v>21</v>
      </c>
      <c r="R897" s="154" t="s">
        <v>960</v>
      </c>
      <c r="S897" s="151">
        <v>24</v>
      </c>
      <c r="T897" s="45">
        <v>6302</v>
      </c>
      <c r="U897" s="45" t="s">
        <v>1777</v>
      </c>
      <c r="V897" s="45">
        <v>6300</v>
      </c>
      <c r="W897" s="45" t="s">
        <v>1385</v>
      </c>
      <c r="X897" s="98">
        <v>44816</v>
      </c>
      <c r="Y897" s="98">
        <v>45086</v>
      </c>
      <c r="Z897" s="98"/>
      <c r="AA897" s="98"/>
      <c r="AB897" s="41" t="s">
        <v>1123</v>
      </c>
      <c r="AC897" s="41"/>
      <c r="AD897" s="36"/>
      <c r="AE897" s="36"/>
      <c r="AF897" s="36"/>
      <c r="AG897" s="42" t="s">
        <v>734</v>
      </c>
      <c r="AH897" s="42"/>
      <c r="AI897" s="42"/>
      <c r="AJ897" s="42"/>
      <c r="AK897" s="42"/>
      <c r="AL897" s="42"/>
      <c r="AM897" s="42" t="s">
        <v>734</v>
      </c>
      <c r="AN897" s="36"/>
      <c r="AO897" s="36"/>
      <c r="AP897" s="36"/>
      <c r="AQ897" s="36"/>
      <c r="AR897" s="36"/>
      <c r="AS897" s="36"/>
      <c r="AT897" s="36"/>
      <c r="AU897" s="36"/>
      <c r="AV897" s="36"/>
      <c r="AW897" s="36"/>
      <c r="AX897" s="68">
        <v>15</v>
      </c>
      <c r="AY897" s="68"/>
      <c r="BD897" s="67">
        <f t="shared" si="310"/>
        <v>510</v>
      </c>
      <c r="BE897" s="67"/>
      <c r="BG897" s="73">
        <v>1</v>
      </c>
      <c r="BH897" s="67">
        <f t="shared" si="304"/>
        <v>0</v>
      </c>
      <c r="BI897" s="67">
        <f t="shared" si="305"/>
        <v>0</v>
      </c>
      <c r="BJ897" s="70">
        <f t="shared" si="306"/>
        <v>0</v>
      </c>
      <c r="BN897" s="67">
        <f>IF((AX897+AY897+AZ897)&lt;20,(20-(AX897+AY897+AZ897)),0)</f>
        <v>5</v>
      </c>
      <c r="BO897" s="70">
        <f t="shared" si="307"/>
        <v>170</v>
      </c>
      <c r="BP897" s="37">
        <v>2</v>
      </c>
      <c r="BQ897" s="37">
        <v>5</v>
      </c>
      <c r="BR897" s="37">
        <v>4</v>
      </c>
      <c r="BS897" s="37">
        <v>3</v>
      </c>
      <c r="BT897" s="87">
        <f t="shared" si="308"/>
        <v>20</v>
      </c>
      <c r="BU897" s="87"/>
      <c r="BV897" s="87"/>
      <c r="BW897" s="87"/>
      <c r="BX897" s="87"/>
      <c r="BY897" s="87"/>
      <c r="BZ897" s="87"/>
      <c r="CA897" s="87"/>
      <c r="CB897" s="87"/>
      <c r="CC897" s="87"/>
      <c r="CD897" s="87"/>
      <c r="CF897" s="67">
        <f t="shared" si="309"/>
        <v>40</v>
      </c>
      <c r="CG897" s="67">
        <f t="shared" si="311"/>
        <v>100</v>
      </c>
      <c r="CH897" s="67">
        <f t="shared" si="299"/>
        <v>80</v>
      </c>
      <c r="CI897" s="67">
        <f t="shared" si="294"/>
        <v>60</v>
      </c>
      <c r="CJ897" s="37">
        <f t="shared" si="290"/>
        <v>15</v>
      </c>
      <c r="CK897" s="37">
        <f t="shared" si="291"/>
        <v>37.5</v>
      </c>
      <c r="CL897" s="37">
        <f t="shared" si="292"/>
        <v>30</v>
      </c>
      <c r="CM897" s="37">
        <f t="shared" si="293"/>
        <v>22.5</v>
      </c>
    </row>
    <row r="898" spans="1:91" s="66" customFormat="1" ht="45">
      <c r="A898" s="152"/>
      <c r="B898" s="156">
        <v>882</v>
      </c>
      <c r="C898" s="160">
        <v>641</v>
      </c>
      <c r="D898" s="160">
        <v>382</v>
      </c>
      <c r="E898" s="161">
        <v>0.53125</v>
      </c>
      <c r="F898" s="161">
        <v>0.54166666666666663</v>
      </c>
      <c r="G898" s="160" t="s">
        <v>122</v>
      </c>
      <c r="H898" s="160" t="s">
        <v>97</v>
      </c>
      <c r="I898" s="163">
        <v>7</v>
      </c>
      <c r="J898" s="164" t="s">
        <v>116</v>
      </c>
      <c r="K898" s="165">
        <v>208</v>
      </c>
      <c r="L898" s="166">
        <f t="shared" si="298"/>
        <v>1456</v>
      </c>
      <c r="M898" s="167" t="s">
        <v>1227</v>
      </c>
      <c r="N898" s="154" t="s">
        <v>962</v>
      </c>
      <c r="O898" s="154">
        <v>9</v>
      </c>
      <c r="P898" s="154" t="s">
        <v>798</v>
      </c>
      <c r="Q898" s="154">
        <v>21</v>
      </c>
      <c r="R898" s="154" t="s">
        <v>960</v>
      </c>
      <c r="S898" s="151">
        <v>24</v>
      </c>
      <c r="T898" s="45">
        <v>6300</v>
      </c>
      <c r="U898" s="45" t="s">
        <v>1385</v>
      </c>
      <c r="V898" s="45">
        <v>6302</v>
      </c>
      <c r="W898" s="45" t="s">
        <v>1777</v>
      </c>
      <c r="X898" s="98">
        <v>44816</v>
      </c>
      <c r="Y898" s="98">
        <v>45086</v>
      </c>
      <c r="Z898" s="98"/>
      <c r="AA898" s="98"/>
      <c r="AB898" s="41" t="s">
        <v>1118</v>
      </c>
      <c r="AC898" s="41"/>
      <c r="AD898" s="36"/>
      <c r="AE898" s="36"/>
      <c r="AF898" s="36"/>
      <c r="AG898" s="42" t="s">
        <v>734</v>
      </c>
      <c r="AH898" s="42" t="s">
        <v>734</v>
      </c>
      <c r="AI898" s="42" t="s">
        <v>734</v>
      </c>
      <c r="AJ898" s="42" t="s">
        <v>734</v>
      </c>
      <c r="AK898" s="42" t="s">
        <v>734</v>
      </c>
      <c r="AL898" s="42" t="s">
        <v>734</v>
      </c>
      <c r="AM898" s="42" t="s">
        <v>734</v>
      </c>
      <c r="AN898" s="36"/>
      <c r="AO898" s="36"/>
      <c r="AP898" s="36"/>
      <c r="AQ898" s="36"/>
      <c r="AR898" s="42"/>
      <c r="AS898" s="42"/>
      <c r="AT898" s="42"/>
      <c r="AU898" s="42"/>
      <c r="AV898" s="42"/>
      <c r="AW898" s="42"/>
      <c r="AX898" s="68">
        <v>17.739999999999998</v>
      </c>
      <c r="AY898" s="68"/>
      <c r="BD898" s="67">
        <f t="shared" si="310"/>
        <v>3689.9199999999996</v>
      </c>
      <c r="BE898" s="67"/>
      <c r="BG898" s="73">
        <v>1</v>
      </c>
      <c r="BH898" s="67">
        <f t="shared" si="304"/>
        <v>0</v>
      </c>
      <c r="BI898" s="67">
        <f t="shared" si="305"/>
        <v>0</v>
      </c>
      <c r="BJ898" s="70">
        <f t="shared" si="306"/>
        <v>0</v>
      </c>
      <c r="BO898" s="70">
        <f t="shared" si="307"/>
        <v>0</v>
      </c>
      <c r="BP898" s="37">
        <v>17</v>
      </c>
      <c r="BQ898" s="37">
        <v>25</v>
      </c>
      <c r="BR898" s="37">
        <v>25</v>
      </c>
      <c r="BS898" s="37">
        <v>18</v>
      </c>
      <c r="BT898" s="87">
        <f t="shared" si="308"/>
        <v>17.739999999999998</v>
      </c>
      <c r="BU898" s="87"/>
      <c r="BV898" s="87"/>
      <c r="BW898" s="87"/>
      <c r="BX898" s="87"/>
      <c r="BY898" s="87"/>
      <c r="BZ898" s="87"/>
      <c r="CA898" s="87"/>
      <c r="CB898" s="87"/>
      <c r="CC898" s="87"/>
      <c r="CD898" s="87"/>
      <c r="CF898" s="67">
        <f t="shared" si="309"/>
        <v>301.58</v>
      </c>
      <c r="CG898" s="67">
        <f t="shared" si="311"/>
        <v>443.49999999999994</v>
      </c>
      <c r="CH898" s="67">
        <f t="shared" si="299"/>
        <v>443.49999999999994</v>
      </c>
      <c r="CI898" s="67">
        <f t="shared" si="294"/>
        <v>319.32</v>
      </c>
      <c r="CJ898" s="37">
        <f t="shared" si="290"/>
        <v>119</v>
      </c>
      <c r="CK898" s="37">
        <f t="shared" si="291"/>
        <v>175</v>
      </c>
      <c r="CL898" s="37">
        <f t="shared" si="292"/>
        <v>175</v>
      </c>
      <c r="CM898" s="37">
        <f t="shared" si="293"/>
        <v>126</v>
      </c>
    </row>
    <row r="899" spans="1:91" s="66" customFormat="1" ht="45">
      <c r="A899" s="3"/>
      <c r="B899" s="156">
        <v>883</v>
      </c>
      <c r="C899" s="160">
        <v>641</v>
      </c>
      <c r="D899" s="160">
        <v>383</v>
      </c>
      <c r="E899" s="161">
        <v>0.54166666666666663</v>
      </c>
      <c r="F899" s="173">
        <v>0.55555555555555558</v>
      </c>
      <c r="G899" s="160" t="s">
        <v>121</v>
      </c>
      <c r="H899" s="160" t="s">
        <v>97</v>
      </c>
      <c r="I899" s="163">
        <v>7</v>
      </c>
      <c r="J899" s="164" t="s">
        <v>116</v>
      </c>
      <c r="K899" s="165">
        <v>208</v>
      </c>
      <c r="L899" s="166">
        <f t="shared" si="298"/>
        <v>1456</v>
      </c>
      <c r="M899" s="167" t="s">
        <v>1227</v>
      </c>
      <c r="N899" s="154" t="s">
        <v>962</v>
      </c>
      <c r="O899" s="154">
        <v>9</v>
      </c>
      <c r="P899" s="154" t="s">
        <v>798</v>
      </c>
      <c r="Q899" s="154">
        <v>21</v>
      </c>
      <c r="R899" s="154" t="s">
        <v>960</v>
      </c>
      <c r="S899" s="151">
        <v>24</v>
      </c>
      <c r="T899" s="45">
        <v>6302</v>
      </c>
      <c r="U899" s="45" t="s">
        <v>1777</v>
      </c>
      <c r="V899" s="45">
        <v>6300</v>
      </c>
      <c r="W899" s="45" t="s">
        <v>1385</v>
      </c>
      <c r="X899" s="98">
        <v>44816</v>
      </c>
      <c r="Y899" s="98">
        <v>45086</v>
      </c>
      <c r="Z899" s="98"/>
      <c r="AA899" s="98"/>
      <c r="AB899" s="41" t="s">
        <v>1118</v>
      </c>
      <c r="AC899" s="41"/>
      <c r="AD899" s="36"/>
      <c r="AE899" s="36"/>
      <c r="AF899" s="36"/>
      <c r="AG899" s="42" t="s">
        <v>734</v>
      </c>
      <c r="AH899" s="42" t="s">
        <v>734</v>
      </c>
      <c r="AI899" s="42" t="s">
        <v>734</v>
      </c>
      <c r="AJ899" s="42" t="s">
        <v>734</v>
      </c>
      <c r="AK899" s="42" t="s">
        <v>734</v>
      </c>
      <c r="AL899" s="42" t="s">
        <v>734</v>
      </c>
      <c r="AM899" s="42" t="s">
        <v>734</v>
      </c>
      <c r="AN899" s="36"/>
      <c r="AO899" s="36"/>
      <c r="AP899" s="36"/>
      <c r="AQ899" s="36"/>
      <c r="AR899" s="42"/>
      <c r="AS899" s="42"/>
      <c r="AT899" s="42"/>
      <c r="AU899" s="42"/>
      <c r="AV899" s="42"/>
      <c r="AW899" s="42"/>
      <c r="AX899" s="68">
        <v>17.739999999999998</v>
      </c>
      <c r="AY899" s="68"/>
      <c r="BD899" s="67">
        <f t="shared" si="310"/>
        <v>3689.9199999999996</v>
      </c>
      <c r="BE899" s="67"/>
      <c r="BG899" s="73">
        <v>1</v>
      </c>
      <c r="BH899" s="67">
        <f t="shared" si="304"/>
        <v>0</v>
      </c>
      <c r="BI899" s="67">
        <f t="shared" si="305"/>
        <v>0</v>
      </c>
      <c r="BJ899" s="70">
        <f t="shared" si="306"/>
        <v>0</v>
      </c>
      <c r="BO899" s="70">
        <f t="shared" si="307"/>
        <v>0</v>
      </c>
      <c r="BP899" s="37">
        <v>17</v>
      </c>
      <c r="BQ899" s="37">
        <v>25</v>
      </c>
      <c r="BR899" s="37">
        <v>25</v>
      </c>
      <c r="BS899" s="37">
        <v>18</v>
      </c>
      <c r="BT899" s="87">
        <f t="shared" si="308"/>
        <v>17.739999999999998</v>
      </c>
      <c r="BU899" s="87"/>
      <c r="BV899" s="87"/>
      <c r="BW899" s="87"/>
      <c r="BX899" s="87"/>
      <c r="BY899" s="87"/>
      <c r="BZ899" s="87"/>
      <c r="CA899" s="87"/>
      <c r="CB899" s="87"/>
      <c r="CC899" s="87"/>
      <c r="CD899" s="87"/>
      <c r="CF899" s="67">
        <f t="shared" si="309"/>
        <v>301.58</v>
      </c>
      <c r="CG899" s="67">
        <f t="shared" si="311"/>
        <v>443.49999999999994</v>
      </c>
      <c r="CH899" s="67">
        <f t="shared" si="299"/>
        <v>443.49999999999994</v>
      </c>
      <c r="CI899" s="67">
        <f t="shared" si="294"/>
        <v>319.32</v>
      </c>
      <c r="CJ899" s="37">
        <f t="shared" ref="CJ899:CJ966" si="312">BP899*I899</f>
        <v>119</v>
      </c>
      <c r="CK899" s="37">
        <f t="shared" ref="CK899:CK966" si="313">BQ899*I899</f>
        <v>175</v>
      </c>
      <c r="CL899" s="37">
        <f t="shared" ref="CL899:CL966" si="314">BR899*I899</f>
        <v>175</v>
      </c>
      <c r="CM899" s="37">
        <f t="shared" ref="CM899:CM966" si="315">BS899*I899</f>
        <v>126</v>
      </c>
    </row>
    <row r="900" spans="1:91" s="66" customFormat="1" ht="25.5">
      <c r="A900" s="152"/>
      <c r="B900" s="156">
        <v>884</v>
      </c>
      <c r="C900" s="160">
        <v>642</v>
      </c>
      <c r="D900" s="160">
        <v>349</v>
      </c>
      <c r="E900" s="161">
        <v>0.2638888888888889</v>
      </c>
      <c r="F900" s="161">
        <v>0.29166666666666669</v>
      </c>
      <c r="G900" s="208" t="s">
        <v>555</v>
      </c>
      <c r="H900" s="160" t="s">
        <v>97</v>
      </c>
      <c r="I900" s="163">
        <v>25</v>
      </c>
      <c r="J900" s="164" t="s">
        <v>93</v>
      </c>
      <c r="K900" s="165">
        <v>208</v>
      </c>
      <c r="L900" s="166">
        <f t="shared" si="298"/>
        <v>5200</v>
      </c>
      <c r="M900" s="177" t="s">
        <v>786</v>
      </c>
      <c r="N900" s="154" t="s">
        <v>847</v>
      </c>
      <c r="O900" s="154">
        <v>23</v>
      </c>
      <c r="P900" s="154" t="s">
        <v>1309</v>
      </c>
      <c r="Q900" s="154">
        <v>9</v>
      </c>
      <c r="R900" s="154" t="s">
        <v>1310</v>
      </c>
      <c r="S900" s="154">
        <v>8</v>
      </c>
      <c r="T900" s="45">
        <v>2470</v>
      </c>
      <c r="U900" s="45" t="s">
        <v>1778</v>
      </c>
      <c r="V900" s="45" t="s">
        <v>1779</v>
      </c>
      <c r="W900" s="45" t="s">
        <v>1780</v>
      </c>
      <c r="X900" s="98">
        <v>44816</v>
      </c>
      <c r="Y900" s="98">
        <v>45086</v>
      </c>
      <c r="Z900" s="98"/>
      <c r="AA900" s="98"/>
      <c r="AB900" s="41" t="s">
        <v>1118</v>
      </c>
      <c r="AC900" s="41"/>
      <c r="AD900" s="36"/>
      <c r="AE900" s="36"/>
      <c r="AF900" s="36"/>
      <c r="AG900" s="42" t="s">
        <v>734</v>
      </c>
      <c r="AH900" s="42" t="s">
        <v>734</v>
      </c>
      <c r="AI900" s="42" t="s">
        <v>734</v>
      </c>
      <c r="AJ900" s="42" t="s">
        <v>734</v>
      </c>
      <c r="AK900" s="42" t="s">
        <v>734</v>
      </c>
      <c r="AL900" s="42" t="s">
        <v>734</v>
      </c>
      <c r="AM900" s="42" t="s">
        <v>734</v>
      </c>
      <c r="AN900" s="36"/>
      <c r="AO900" s="36"/>
      <c r="AP900" s="36"/>
      <c r="AQ900" s="36"/>
      <c r="AR900" s="42"/>
      <c r="AS900" s="42"/>
      <c r="AT900" s="42"/>
      <c r="AU900" s="42"/>
      <c r="AV900" s="42"/>
      <c r="AW900" s="42"/>
      <c r="AX900" s="68">
        <v>75</v>
      </c>
      <c r="AY900" s="68"/>
      <c r="BD900" s="67">
        <f t="shared" si="310"/>
        <v>15600</v>
      </c>
      <c r="BE900" s="67"/>
      <c r="BG900" s="73">
        <v>1</v>
      </c>
      <c r="BH900" s="67">
        <f t="shared" si="304"/>
        <v>0</v>
      </c>
      <c r="BI900" s="67">
        <f t="shared" si="305"/>
        <v>0</v>
      </c>
      <c r="BJ900" s="70">
        <f t="shared" si="306"/>
        <v>0</v>
      </c>
      <c r="BN900" s="67">
        <f>IF((AX900+AY900+AZ900)&lt;20,(20-(AX900+AY900+AZ900)),0)</f>
        <v>0</v>
      </c>
      <c r="BO900" s="70">
        <f t="shared" si="307"/>
        <v>0</v>
      </c>
      <c r="BP900" s="37">
        <v>17</v>
      </c>
      <c r="BQ900" s="37">
        <v>25</v>
      </c>
      <c r="BR900" s="37">
        <v>25</v>
      </c>
      <c r="BS900" s="37">
        <v>18</v>
      </c>
      <c r="BT900" s="87">
        <f t="shared" si="308"/>
        <v>75</v>
      </c>
      <c r="BU900" s="87"/>
      <c r="BV900" s="87"/>
      <c r="BW900" s="87"/>
      <c r="BX900" s="87"/>
      <c r="BY900" s="87"/>
      <c r="BZ900" s="87"/>
      <c r="CA900" s="87"/>
      <c r="CB900" s="87"/>
      <c r="CC900" s="87"/>
      <c r="CD900" s="87"/>
      <c r="CF900" s="67">
        <f t="shared" si="309"/>
        <v>1275</v>
      </c>
      <c r="CG900" s="67">
        <f t="shared" si="311"/>
        <v>1875</v>
      </c>
      <c r="CH900" s="67">
        <f t="shared" si="299"/>
        <v>1875</v>
      </c>
      <c r="CI900" s="67">
        <f t="shared" ref="CI900:CI967" si="316">(BS900*BT900)+(CB900*CD900)</f>
        <v>1350</v>
      </c>
      <c r="CJ900" s="37">
        <f t="shared" si="312"/>
        <v>425</v>
      </c>
      <c r="CK900" s="37">
        <f t="shared" si="313"/>
        <v>625</v>
      </c>
      <c r="CL900" s="37">
        <f t="shared" si="314"/>
        <v>625</v>
      </c>
      <c r="CM900" s="37">
        <f t="shared" si="315"/>
        <v>450</v>
      </c>
    </row>
    <row r="901" spans="1:91" s="66" customFormat="1" ht="33.75">
      <c r="A901" s="150"/>
      <c r="B901" s="156">
        <v>885</v>
      </c>
      <c r="C901" s="160">
        <v>642</v>
      </c>
      <c r="D901" s="160">
        <v>348</v>
      </c>
      <c r="E901" s="161">
        <v>0.58472222222222225</v>
      </c>
      <c r="F901" s="161">
        <v>0.61249999999999993</v>
      </c>
      <c r="G901" s="160" t="s">
        <v>492</v>
      </c>
      <c r="H901" s="160" t="s">
        <v>103</v>
      </c>
      <c r="I901" s="163">
        <v>25</v>
      </c>
      <c r="J901" s="164" t="s">
        <v>93</v>
      </c>
      <c r="K901" s="165">
        <v>174</v>
      </c>
      <c r="L901" s="166">
        <f t="shared" si="298"/>
        <v>4350</v>
      </c>
      <c r="M901" s="177" t="s">
        <v>787</v>
      </c>
      <c r="N901" s="154" t="s">
        <v>932</v>
      </c>
      <c r="O901" s="154">
        <v>21</v>
      </c>
      <c r="P901" s="154" t="s">
        <v>933</v>
      </c>
      <c r="Q901" s="154">
        <v>17</v>
      </c>
      <c r="R901" s="150"/>
      <c r="S901" s="154"/>
      <c r="T901" s="45" t="s">
        <v>1779</v>
      </c>
      <c r="U901" s="45" t="s">
        <v>1780</v>
      </c>
      <c r="V901" s="45" t="s">
        <v>1781</v>
      </c>
      <c r="W901" s="45" t="s">
        <v>1782</v>
      </c>
      <c r="X901" s="98">
        <v>44816</v>
      </c>
      <c r="Y901" s="98">
        <v>45086</v>
      </c>
      <c r="Z901" s="98"/>
      <c r="AA901" s="98"/>
      <c r="AB901" s="41" t="s">
        <v>1114</v>
      </c>
      <c r="AC901" s="41"/>
      <c r="AD901" s="36"/>
      <c r="AE901" s="36"/>
      <c r="AF901" s="36"/>
      <c r="AG901" s="42" t="s">
        <v>734</v>
      </c>
      <c r="AH901" s="42" t="s">
        <v>734</v>
      </c>
      <c r="AI901" s="42" t="s">
        <v>734</v>
      </c>
      <c r="AJ901" s="42" t="s">
        <v>734</v>
      </c>
      <c r="AK901" s="42" t="s">
        <v>734</v>
      </c>
      <c r="AL901" s="42" t="s">
        <v>734</v>
      </c>
      <c r="AM901" s="36"/>
      <c r="AN901" s="36"/>
      <c r="AO901" s="36"/>
      <c r="AP901" s="36"/>
      <c r="AQ901" s="36"/>
      <c r="AR901" s="42"/>
      <c r="AS901" s="42"/>
      <c r="AT901" s="42"/>
      <c r="AU901" s="42"/>
      <c r="AV901" s="42"/>
      <c r="AW901" s="36"/>
      <c r="AX901" s="68">
        <v>75</v>
      </c>
      <c r="AY901" s="68"/>
      <c r="BD901" s="67">
        <f t="shared" si="310"/>
        <v>13050</v>
      </c>
      <c r="BE901" s="67"/>
      <c r="BG901" s="73">
        <v>1</v>
      </c>
      <c r="BH901" s="67">
        <f t="shared" si="304"/>
        <v>0</v>
      </c>
      <c r="BI901" s="67">
        <f t="shared" si="305"/>
        <v>0</v>
      </c>
      <c r="BJ901" s="70">
        <f t="shared" si="306"/>
        <v>0</v>
      </c>
      <c r="BO901" s="70">
        <f t="shared" si="307"/>
        <v>0</v>
      </c>
      <c r="BP901" s="37">
        <v>15</v>
      </c>
      <c r="BQ901" s="37">
        <v>20</v>
      </c>
      <c r="BR901" s="37">
        <v>21</v>
      </c>
      <c r="BS901" s="37">
        <v>15</v>
      </c>
      <c r="BT901" s="87">
        <f t="shared" si="308"/>
        <v>75</v>
      </c>
      <c r="BU901" s="87"/>
      <c r="BV901" s="87"/>
      <c r="BW901" s="87"/>
      <c r="BX901" s="87"/>
      <c r="BY901" s="87"/>
      <c r="BZ901" s="87"/>
      <c r="CA901" s="87"/>
      <c r="CB901" s="87"/>
      <c r="CC901" s="87"/>
      <c r="CD901" s="87"/>
      <c r="CF901" s="67">
        <f t="shared" si="309"/>
        <v>1125</v>
      </c>
      <c r="CG901" s="67">
        <f t="shared" si="311"/>
        <v>1500</v>
      </c>
      <c r="CH901" s="67">
        <f t="shared" si="299"/>
        <v>1575</v>
      </c>
      <c r="CI901" s="67">
        <f t="shared" si="316"/>
        <v>1125</v>
      </c>
      <c r="CJ901" s="37">
        <f t="shared" si="312"/>
        <v>375</v>
      </c>
      <c r="CK901" s="37">
        <f t="shared" si="313"/>
        <v>500</v>
      </c>
      <c r="CL901" s="37">
        <f t="shared" si="314"/>
        <v>525</v>
      </c>
      <c r="CM901" s="37">
        <f t="shared" si="315"/>
        <v>375</v>
      </c>
    </row>
    <row r="902" spans="1:91" s="66" customFormat="1" ht="25.5">
      <c r="A902" s="152"/>
      <c r="B902" s="156">
        <v>886</v>
      </c>
      <c r="C902" s="160">
        <v>643</v>
      </c>
      <c r="D902" s="160">
        <v>395</v>
      </c>
      <c r="E902" s="161">
        <v>0.27430555555555552</v>
      </c>
      <c r="F902" s="161">
        <v>0.28611111111111115</v>
      </c>
      <c r="G902" s="160" t="s">
        <v>556</v>
      </c>
      <c r="H902" s="160" t="s">
        <v>97</v>
      </c>
      <c r="I902" s="163">
        <v>9.5</v>
      </c>
      <c r="J902" s="164" t="s">
        <v>116</v>
      </c>
      <c r="K902" s="165">
        <v>208</v>
      </c>
      <c r="L902" s="166">
        <f t="shared" si="298"/>
        <v>1976</v>
      </c>
      <c r="M902" s="177" t="s">
        <v>788</v>
      </c>
      <c r="N902" s="150" t="s">
        <v>989</v>
      </c>
      <c r="O902" s="150">
        <v>8</v>
      </c>
      <c r="P902" s="150" t="s">
        <v>1311</v>
      </c>
      <c r="Q902" s="150">
        <v>5</v>
      </c>
      <c r="R902" s="213"/>
      <c r="S902" s="150"/>
      <c r="T902" s="45" t="s">
        <v>1783</v>
      </c>
      <c r="U902" s="45" t="s">
        <v>1784</v>
      </c>
      <c r="V902" s="45">
        <v>6381</v>
      </c>
      <c r="W902" s="45" t="s">
        <v>1785</v>
      </c>
      <c r="X902" s="98">
        <v>44816</v>
      </c>
      <c r="Y902" s="98">
        <v>45086</v>
      </c>
      <c r="Z902" s="98"/>
      <c r="AA902" s="98"/>
      <c r="AB902" s="41" t="s">
        <v>1118</v>
      </c>
      <c r="AC902" s="41"/>
      <c r="AD902" s="36"/>
      <c r="AE902" s="36"/>
      <c r="AF902" s="36"/>
      <c r="AG902" s="42" t="s">
        <v>734</v>
      </c>
      <c r="AH902" s="42" t="s">
        <v>734</v>
      </c>
      <c r="AI902" s="42" t="s">
        <v>734</v>
      </c>
      <c r="AJ902" s="42" t="s">
        <v>734</v>
      </c>
      <c r="AK902" s="42" t="s">
        <v>734</v>
      </c>
      <c r="AL902" s="42" t="s">
        <v>734</v>
      </c>
      <c r="AM902" s="42" t="s">
        <v>734</v>
      </c>
      <c r="AN902" s="36"/>
      <c r="AO902" s="36"/>
      <c r="AP902" s="36"/>
      <c r="AQ902" s="36"/>
      <c r="AR902" s="42"/>
      <c r="AS902" s="42"/>
      <c r="AT902" s="42"/>
      <c r="AU902" s="42"/>
      <c r="AV902" s="42"/>
      <c r="AW902" s="42"/>
      <c r="AX902" s="68">
        <v>31.95</v>
      </c>
      <c r="AY902" s="68"/>
      <c r="BD902" s="67">
        <f t="shared" si="310"/>
        <v>6645.5999999999995</v>
      </c>
      <c r="BE902" s="67"/>
      <c r="BG902" s="73">
        <v>1</v>
      </c>
      <c r="BH902" s="67">
        <f t="shared" si="304"/>
        <v>0</v>
      </c>
      <c r="BI902" s="67">
        <f t="shared" si="305"/>
        <v>0</v>
      </c>
      <c r="BJ902" s="70">
        <f t="shared" si="306"/>
        <v>0</v>
      </c>
      <c r="BN902" s="67">
        <f>IF((AX902+AY902+AZ902)&lt;20,(20-(AX902+AY902+AZ902)),0)</f>
        <v>0</v>
      </c>
      <c r="BO902" s="70">
        <f t="shared" si="307"/>
        <v>0</v>
      </c>
      <c r="BP902" s="37">
        <v>17</v>
      </c>
      <c r="BQ902" s="37">
        <v>25</v>
      </c>
      <c r="BR902" s="37">
        <v>25</v>
      </c>
      <c r="BS902" s="37">
        <v>18</v>
      </c>
      <c r="BT902" s="87">
        <f t="shared" si="308"/>
        <v>31.95</v>
      </c>
      <c r="BU902" s="87"/>
      <c r="BV902" s="87"/>
      <c r="BW902" s="87"/>
      <c r="BX902" s="87"/>
      <c r="BY902" s="87"/>
      <c r="BZ902" s="87"/>
      <c r="CA902" s="87"/>
      <c r="CB902" s="87"/>
      <c r="CC902" s="87"/>
      <c r="CD902" s="87"/>
      <c r="CF902" s="67">
        <f t="shared" si="309"/>
        <v>543.15</v>
      </c>
      <c r="CG902" s="67">
        <f t="shared" si="311"/>
        <v>798.75</v>
      </c>
      <c r="CH902" s="67">
        <f t="shared" si="299"/>
        <v>798.75</v>
      </c>
      <c r="CI902" s="67">
        <f t="shared" si="316"/>
        <v>575.1</v>
      </c>
      <c r="CJ902" s="37">
        <f t="shared" si="312"/>
        <v>161.5</v>
      </c>
      <c r="CK902" s="37">
        <f t="shared" si="313"/>
        <v>237.5</v>
      </c>
      <c r="CL902" s="37">
        <f t="shared" si="314"/>
        <v>237.5</v>
      </c>
      <c r="CM902" s="37">
        <f t="shared" si="315"/>
        <v>171</v>
      </c>
    </row>
    <row r="903" spans="1:91" s="66" customFormat="1" ht="25.5">
      <c r="A903" s="3"/>
      <c r="B903" s="156">
        <v>887</v>
      </c>
      <c r="C903" s="160">
        <v>643</v>
      </c>
      <c r="D903" s="160">
        <v>390</v>
      </c>
      <c r="E903" s="161">
        <v>0.36805555555555558</v>
      </c>
      <c r="F903" s="161">
        <v>0.39930555555555558</v>
      </c>
      <c r="G903" s="160" t="s">
        <v>582</v>
      </c>
      <c r="H903" s="160" t="s">
        <v>424</v>
      </c>
      <c r="I903" s="163">
        <v>22</v>
      </c>
      <c r="J903" s="164" t="s">
        <v>99</v>
      </c>
      <c r="K903" s="165">
        <v>67</v>
      </c>
      <c r="L903" s="166">
        <f t="shared" si="298"/>
        <v>1474</v>
      </c>
      <c r="M903" s="177" t="s">
        <v>789</v>
      </c>
      <c r="N903" s="154" t="s">
        <v>974</v>
      </c>
      <c r="O903" s="154">
        <v>24</v>
      </c>
      <c r="P903" s="154" t="s">
        <v>975</v>
      </c>
      <c r="Q903" s="154">
        <v>20</v>
      </c>
      <c r="R903" s="150"/>
      <c r="S903" s="154"/>
      <c r="T903" s="45">
        <v>6300</v>
      </c>
      <c r="U903" s="45" t="s">
        <v>1385</v>
      </c>
      <c r="V903" s="45" t="s">
        <v>1786</v>
      </c>
      <c r="W903" s="45" t="s">
        <v>1787</v>
      </c>
      <c r="X903" s="99">
        <v>44562</v>
      </c>
      <c r="Y903" s="99">
        <v>44815</v>
      </c>
      <c r="Z903" s="99">
        <v>45101</v>
      </c>
      <c r="AA903" s="99">
        <v>45169</v>
      </c>
      <c r="AB903" s="42" t="s">
        <v>1119</v>
      </c>
      <c r="AC903" s="42"/>
      <c r="AD903" s="36"/>
      <c r="AE903" s="42" t="s">
        <v>734</v>
      </c>
      <c r="AF903" s="42" t="s">
        <v>734</v>
      </c>
      <c r="AG903" s="42"/>
      <c r="AH903" s="42" t="s">
        <v>734</v>
      </c>
      <c r="AI903" s="42" t="s">
        <v>734</v>
      </c>
      <c r="AJ903" s="42" t="s">
        <v>734</v>
      </c>
      <c r="AK903" s="42" t="s">
        <v>734</v>
      </c>
      <c r="AL903" s="42" t="s">
        <v>734</v>
      </c>
      <c r="AM903" s="42" t="s">
        <v>734</v>
      </c>
      <c r="AN903" s="36"/>
      <c r="AO903" s="36"/>
      <c r="AP903" s="36"/>
      <c r="AQ903" s="42"/>
      <c r="AR903" s="42"/>
      <c r="AS903" s="42"/>
      <c r="AT903" s="42"/>
      <c r="AU903" s="42"/>
      <c r="AV903" s="42"/>
      <c r="AW903" s="42"/>
      <c r="AX903" s="68">
        <f>30+36</f>
        <v>66</v>
      </c>
      <c r="AY903" s="68"/>
      <c r="BD903" s="67">
        <f t="shared" si="310"/>
        <v>4422</v>
      </c>
      <c r="BE903" s="67"/>
      <c r="BG903" s="73">
        <v>1</v>
      </c>
      <c r="BH903" s="67">
        <f t="shared" si="304"/>
        <v>0</v>
      </c>
      <c r="BI903" s="67">
        <f t="shared" si="305"/>
        <v>0</v>
      </c>
      <c r="BJ903" s="70">
        <f t="shared" si="306"/>
        <v>0</v>
      </c>
      <c r="BO903" s="70">
        <f t="shared" si="307"/>
        <v>0</v>
      </c>
      <c r="BP903" s="37">
        <v>9</v>
      </c>
      <c r="BQ903" s="37">
        <v>0</v>
      </c>
      <c r="BR903" s="37">
        <v>0</v>
      </c>
      <c r="BS903" s="37">
        <v>0</v>
      </c>
      <c r="BT903" s="87">
        <f t="shared" si="308"/>
        <v>66</v>
      </c>
      <c r="BU903" s="87"/>
      <c r="BV903" s="87"/>
      <c r="BW903" s="87"/>
      <c r="BX903" s="87"/>
      <c r="BY903" s="87"/>
      <c r="BZ903" s="87"/>
      <c r="CA903" s="87"/>
      <c r="CB903" s="87"/>
      <c r="CC903" s="87"/>
      <c r="CD903" s="87"/>
      <c r="CF903" s="67">
        <f t="shared" si="309"/>
        <v>594</v>
      </c>
      <c r="CG903" s="67">
        <f t="shared" si="311"/>
        <v>0</v>
      </c>
      <c r="CH903" s="67">
        <f t="shared" si="299"/>
        <v>0</v>
      </c>
      <c r="CI903" s="67">
        <f t="shared" si="316"/>
        <v>0</v>
      </c>
      <c r="CJ903" s="37">
        <f t="shared" si="312"/>
        <v>198</v>
      </c>
      <c r="CK903" s="37">
        <f t="shared" si="313"/>
        <v>0</v>
      </c>
      <c r="CL903" s="37">
        <f t="shared" si="314"/>
        <v>0</v>
      </c>
      <c r="CM903" s="37">
        <f t="shared" si="315"/>
        <v>0</v>
      </c>
    </row>
    <row r="904" spans="1:91" s="66" customFormat="1" ht="25.5">
      <c r="A904" s="3"/>
      <c r="B904" s="156">
        <v>888</v>
      </c>
      <c r="C904" s="160">
        <v>643</v>
      </c>
      <c r="D904" s="160">
        <v>391</v>
      </c>
      <c r="E904" s="161">
        <v>0.42222222222222222</v>
      </c>
      <c r="F904" s="161">
        <v>0.45347222222222222</v>
      </c>
      <c r="G904" s="160" t="s">
        <v>583</v>
      </c>
      <c r="H904" s="160" t="s">
        <v>424</v>
      </c>
      <c r="I904" s="163">
        <v>22</v>
      </c>
      <c r="J904" s="164" t="s">
        <v>99</v>
      </c>
      <c r="K904" s="165">
        <v>67</v>
      </c>
      <c r="L904" s="166">
        <f t="shared" si="298"/>
        <v>1474</v>
      </c>
      <c r="M904" s="177" t="s">
        <v>789</v>
      </c>
      <c r="N904" s="154" t="s">
        <v>974</v>
      </c>
      <c r="O904" s="154">
        <v>24</v>
      </c>
      <c r="P904" s="154" t="s">
        <v>975</v>
      </c>
      <c r="Q904" s="154">
        <v>20</v>
      </c>
      <c r="R904" s="150"/>
      <c r="S904" s="154"/>
      <c r="T904" s="45" t="s">
        <v>1786</v>
      </c>
      <c r="U904" s="45" t="s">
        <v>1787</v>
      </c>
      <c r="V904" s="45">
        <v>6300</v>
      </c>
      <c r="W904" s="45" t="s">
        <v>1385</v>
      </c>
      <c r="X904" s="99">
        <v>44562</v>
      </c>
      <c r="Y904" s="99">
        <v>44815</v>
      </c>
      <c r="Z904" s="99">
        <v>45101</v>
      </c>
      <c r="AA904" s="99">
        <v>45169</v>
      </c>
      <c r="AB904" s="42" t="s">
        <v>1119</v>
      </c>
      <c r="AC904" s="42"/>
      <c r="AD904" s="36"/>
      <c r="AE904" s="42" t="s">
        <v>734</v>
      </c>
      <c r="AF904" s="42" t="s">
        <v>734</v>
      </c>
      <c r="AG904" s="42"/>
      <c r="AH904" s="42" t="s">
        <v>734</v>
      </c>
      <c r="AI904" s="42" t="s">
        <v>734</v>
      </c>
      <c r="AJ904" s="42" t="s">
        <v>734</v>
      </c>
      <c r="AK904" s="42" t="s">
        <v>734</v>
      </c>
      <c r="AL904" s="42" t="s">
        <v>734</v>
      </c>
      <c r="AM904" s="42" t="s">
        <v>734</v>
      </c>
      <c r="AN904" s="36"/>
      <c r="AO904" s="36"/>
      <c r="AP904" s="36"/>
      <c r="AQ904" s="42"/>
      <c r="AR904" s="42"/>
      <c r="AS904" s="42"/>
      <c r="AT904" s="42"/>
      <c r="AU904" s="42"/>
      <c r="AV904" s="42"/>
      <c r="AW904" s="42"/>
      <c r="AX904" s="68">
        <f>30+36</f>
        <v>66</v>
      </c>
      <c r="AY904" s="68"/>
      <c r="BD904" s="67">
        <f t="shared" si="310"/>
        <v>4422</v>
      </c>
      <c r="BE904" s="67"/>
      <c r="BG904" s="73">
        <v>1</v>
      </c>
      <c r="BH904" s="67">
        <f t="shared" si="304"/>
        <v>0</v>
      </c>
      <c r="BI904" s="67">
        <f t="shared" si="305"/>
        <v>0</v>
      </c>
      <c r="BJ904" s="70">
        <f t="shared" si="306"/>
        <v>0</v>
      </c>
      <c r="BO904" s="70">
        <f t="shared" si="307"/>
        <v>0</v>
      </c>
      <c r="BP904" s="37">
        <v>9</v>
      </c>
      <c r="BQ904" s="37">
        <v>0</v>
      </c>
      <c r="BR904" s="37">
        <v>0</v>
      </c>
      <c r="BS904" s="37">
        <v>0</v>
      </c>
      <c r="BT904" s="87">
        <f t="shared" si="308"/>
        <v>66</v>
      </c>
      <c r="BU904" s="87"/>
      <c r="BV904" s="87"/>
      <c r="BW904" s="87"/>
      <c r="BX904" s="87"/>
      <c r="BY904" s="87"/>
      <c r="BZ904" s="87"/>
      <c r="CA904" s="87"/>
      <c r="CB904" s="87"/>
      <c r="CC904" s="87"/>
      <c r="CD904" s="87"/>
      <c r="CF904" s="67">
        <f t="shared" si="309"/>
        <v>594</v>
      </c>
      <c r="CG904" s="67">
        <f t="shared" si="311"/>
        <v>0</v>
      </c>
      <c r="CH904" s="67">
        <f t="shared" si="299"/>
        <v>0</v>
      </c>
      <c r="CI904" s="67">
        <f t="shared" si="316"/>
        <v>0</v>
      </c>
      <c r="CJ904" s="37">
        <f t="shared" si="312"/>
        <v>198</v>
      </c>
      <c r="CK904" s="37">
        <f t="shared" si="313"/>
        <v>0</v>
      </c>
      <c r="CL904" s="37">
        <f t="shared" si="314"/>
        <v>0</v>
      </c>
      <c r="CM904" s="37">
        <f t="shared" si="315"/>
        <v>0</v>
      </c>
    </row>
    <row r="905" spans="1:91" s="66" customFormat="1" ht="33.75">
      <c r="A905" s="152"/>
      <c r="B905" s="156">
        <v>889</v>
      </c>
      <c r="C905" s="160">
        <v>644</v>
      </c>
      <c r="D905" s="164">
        <v>311</v>
      </c>
      <c r="E905" s="161">
        <v>0.2673611111111111</v>
      </c>
      <c r="F905" s="161">
        <v>0.27986111111111112</v>
      </c>
      <c r="G905" s="160" t="s">
        <v>250</v>
      </c>
      <c r="H905" s="160" t="s">
        <v>97</v>
      </c>
      <c r="I905" s="163">
        <v>9</v>
      </c>
      <c r="J905" s="164">
        <v>16</v>
      </c>
      <c r="K905" s="165">
        <v>208</v>
      </c>
      <c r="L905" s="166">
        <f t="shared" si="298"/>
        <v>1872</v>
      </c>
      <c r="M905" s="177" t="s">
        <v>790</v>
      </c>
      <c r="N905" s="154" t="s">
        <v>965</v>
      </c>
      <c r="O905" s="154">
        <v>17</v>
      </c>
      <c r="P905" s="154" t="s">
        <v>1312</v>
      </c>
      <c r="Q905" s="154">
        <v>17</v>
      </c>
      <c r="R905" s="154" t="s">
        <v>1313</v>
      </c>
      <c r="S905" s="154">
        <v>23</v>
      </c>
      <c r="T905" s="45">
        <v>6391</v>
      </c>
      <c r="U905" s="45" t="s">
        <v>1788</v>
      </c>
      <c r="V905" s="45">
        <v>6386</v>
      </c>
      <c r="W905" s="45" t="s">
        <v>1789</v>
      </c>
      <c r="X905" s="98">
        <v>44816</v>
      </c>
      <c r="Y905" s="98">
        <v>45086</v>
      </c>
      <c r="Z905" s="98"/>
      <c r="AA905" s="98"/>
      <c r="AB905" s="41" t="s">
        <v>1118</v>
      </c>
      <c r="AC905" s="41"/>
      <c r="AD905" s="36"/>
      <c r="AE905" s="36"/>
      <c r="AF905" s="36"/>
      <c r="AG905" s="42" t="s">
        <v>734</v>
      </c>
      <c r="AH905" s="42" t="s">
        <v>734</v>
      </c>
      <c r="AI905" s="42" t="s">
        <v>734</v>
      </c>
      <c r="AJ905" s="42" t="s">
        <v>734</v>
      </c>
      <c r="AK905" s="42" t="s">
        <v>734</v>
      </c>
      <c r="AL905" s="42" t="s">
        <v>734</v>
      </c>
      <c r="AM905" s="42" t="s">
        <v>734</v>
      </c>
      <c r="AN905" s="36"/>
      <c r="AO905" s="36"/>
      <c r="AP905" s="36"/>
      <c r="AQ905" s="36"/>
      <c r="AR905" s="42"/>
      <c r="AS905" s="42"/>
      <c r="AT905" s="42"/>
      <c r="AU905" s="42"/>
      <c r="AV905" s="42"/>
      <c r="AW905" s="42"/>
      <c r="AX905" s="68">
        <v>47</v>
      </c>
      <c r="AY905" s="68"/>
      <c r="BC905" s="66">
        <v>13</v>
      </c>
      <c r="BD905" s="67">
        <f t="shared" si="310"/>
        <v>9776</v>
      </c>
      <c r="BE905" s="67"/>
      <c r="BG905" s="73">
        <v>1</v>
      </c>
      <c r="BH905" s="67">
        <f t="shared" si="304"/>
        <v>0</v>
      </c>
      <c r="BI905" s="67">
        <f t="shared" si="305"/>
        <v>0</v>
      </c>
      <c r="BJ905" s="70">
        <f t="shared" si="306"/>
        <v>0</v>
      </c>
      <c r="BN905" s="67">
        <f>IF((AX905+AY905+AZ905)&lt;20,(20-(AX905+AY905+AZ905)),0)</f>
        <v>0</v>
      </c>
      <c r="BO905" s="70">
        <f t="shared" si="307"/>
        <v>0</v>
      </c>
      <c r="BP905" s="37">
        <v>17</v>
      </c>
      <c r="BQ905" s="37">
        <v>25</v>
      </c>
      <c r="BR905" s="37">
        <v>25</v>
      </c>
      <c r="BS905" s="37">
        <v>18</v>
      </c>
      <c r="BT905" s="87">
        <f t="shared" si="308"/>
        <v>47</v>
      </c>
      <c r="BU905" s="87" t="s">
        <v>1871</v>
      </c>
      <c r="BV905" s="127">
        <v>1</v>
      </c>
      <c r="BW905" s="127"/>
      <c r="BX905" s="127">
        <v>1</v>
      </c>
      <c r="BY905" s="127"/>
      <c r="BZ905" s="127">
        <v>1</v>
      </c>
      <c r="CA905" s="127"/>
      <c r="CB905" s="127">
        <v>1</v>
      </c>
      <c r="CC905" s="127"/>
      <c r="CD905" s="87">
        <v>1049.96</v>
      </c>
      <c r="CF905" s="67">
        <f t="shared" si="309"/>
        <v>1848.96</v>
      </c>
      <c r="CG905" s="67">
        <f t="shared" si="311"/>
        <v>2224.96</v>
      </c>
      <c r="CH905" s="67">
        <f t="shared" si="299"/>
        <v>2224.96</v>
      </c>
      <c r="CI905" s="67">
        <f>(BS905*BT905)+(CB905*CD905)</f>
        <v>1895.96</v>
      </c>
      <c r="CJ905" s="37">
        <f t="shared" si="312"/>
        <v>153</v>
      </c>
      <c r="CK905" s="37">
        <f t="shared" si="313"/>
        <v>225</v>
      </c>
      <c r="CL905" s="37">
        <f t="shared" si="314"/>
        <v>225</v>
      </c>
      <c r="CM905" s="37">
        <f t="shared" si="315"/>
        <v>162</v>
      </c>
    </row>
    <row r="906" spans="1:91" s="66" customFormat="1" ht="33.75">
      <c r="A906" s="152"/>
      <c r="B906" s="156">
        <v>890</v>
      </c>
      <c r="C906" s="169">
        <v>644</v>
      </c>
      <c r="D906" s="169">
        <v>370</v>
      </c>
      <c r="E906" s="170">
        <v>0.34722222222222227</v>
      </c>
      <c r="F906" s="170">
        <v>0.35972222222222222</v>
      </c>
      <c r="G906" s="171" t="s">
        <v>43</v>
      </c>
      <c r="H906" s="171" t="s">
        <v>20</v>
      </c>
      <c r="I906" s="169">
        <v>8</v>
      </c>
      <c r="J906" s="172">
        <v>19</v>
      </c>
      <c r="K906" s="165">
        <v>55</v>
      </c>
      <c r="L906" s="166">
        <f t="shared" si="298"/>
        <v>440</v>
      </c>
      <c r="M906" s="177" t="s">
        <v>790</v>
      </c>
      <c r="N906" s="154" t="s">
        <v>965</v>
      </c>
      <c r="O906" s="154">
        <v>17</v>
      </c>
      <c r="P906" s="154" t="s">
        <v>1312</v>
      </c>
      <c r="Q906" s="154">
        <v>17</v>
      </c>
      <c r="R906" s="150"/>
      <c r="S906" s="154"/>
      <c r="T906" s="45">
        <v>6386</v>
      </c>
      <c r="U906" s="45" t="s">
        <v>1789</v>
      </c>
      <c r="V906" s="45">
        <v>6391</v>
      </c>
      <c r="W906" s="45" t="s">
        <v>1788</v>
      </c>
      <c r="X906" s="99">
        <v>44562</v>
      </c>
      <c r="Y906" s="99">
        <v>44815</v>
      </c>
      <c r="Z906" s="99">
        <v>45101</v>
      </c>
      <c r="AA906" s="99">
        <v>45169</v>
      </c>
      <c r="AB906" s="43" t="s">
        <v>1121</v>
      </c>
      <c r="AC906" s="43"/>
      <c r="AD906" s="36"/>
      <c r="AE906" s="36" t="s">
        <v>734</v>
      </c>
      <c r="AF906" s="36" t="s">
        <v>734</v>
      </c>
      <c r="AG906" s="36"/>
      <c r="AH906" s="36" t="s">
        <v>734</v>
      </c>
      <c r="AI906" s="36" t="s">
        <v>734</v>
      </c>
      <c r="AJ906" s="36" t="s">
        <v>734</v>
      </c>
      <c r="AK906" s="36" t="s">
        <v>734</v>
      </c>
      <c r="AL906" s="36" t="s">
        <v>734</v>
      </c>
      <c r="AM906" s="36"/>
      <c r="AN906" s="36"/>
      <c r="AO906" s="36"/>
      <c r="AP906" s="36"/>
      <c r="AQ906" s="36"/>
      <c r="AR906" s="36"/>
      <c r="AS906" s="36"/>
      <c r="AT906" s="36"/>
      <c r="AU906" s="36"/>
      <c r="AV906" s="36"/>
      <c r="AW906" s="36"/>
      <c r="AX906" s="67"/>
      <c r="AY906" s="67">
        <f>3*8+3*2.05</f>
        <v>30.15</v>
      </c>
      <c r="BD906" s="67">
        <f t="shared" si="310"/>
        <v>0</v>
      </c>
      <c r="BE906" s="67">
        <f>AY906*K906</f>
        <v>1658.25</v>
      </c>
      <c r="BG906" s="73">
        <v>1</v>
      </c>
      <c r="BI906" s="67"/>
      <c r="BK906" s="67">
        <f>IF(AND((AY906/I906)&lt;2,BG906=1),(I906*2)-AY906,0)</f>
        <v>0</v>
      </c>
      <c r="BL906" s="67">
        <f>IF(AND((AY906/I906)&lt;3,BG906=2),(I906*3)-AY906,0)</f>
        <v>0</v>
      </c>
      <c r="BM906" s="70">
        <f>(BK906+BL906)*K906</f>
        <v>0</v>
      </c>
      <c r="BO906" s="70">
        <f t="shared" si="307"/>
        <v>0</v>
      </c>
      <c r="BP906" s="37">
        <v>7</v>
      </c>
      <c r="BQ906" s="37">
        <v>0</v>
      </c>
      <c r="BR906" s="37">
        <v>0</v>
      </c>
      <c r="BT906" s="87">
        <f t="shared" si="308"/>
        <v>30.15</v>
      </c>
      <c r="BU906" s="87"/>
      <c r="BV906" s="87"/>
      <c r="BW906" s="87"/>
      <c r="BX906" s="87"/>
      <c r="BY906" s="87"/>
      <c r="BZ906" s="87"/>
      <c r="CA906" s="87"/>
      <c r="CB906" s="87"/>
      <c r="CC906" s="87"/>
      <c r="CD906" s="87"/>
      <c r="CF906" s="67">
        <f t="shared" si="309"/>
        <v>211.04999999999998</v>
      </c>
      <c r="CG906" s="67">
        <f t="shared" si="311"/>
        <v>0</v>
      </c>
      <c r="CH906" s="67">
        <f t="shared" si="299"/>
        <v>0</v>
      </c>
      <c r="CI906" s="67">
        <f t="shared" si="316"/>
        <v>0</v>
      </c>
      <c r="CJ906" s="37">
        <f t="shared" si="312"/>
        <v>56</v>
      </c>
      <c r="CK906" s="37">
        <f t="shared" si="313"/>
        <v>0</v>
      </c>
      <c r="CL906" s="37">
        <f t="shared" si="314"/>
        <v>0</v>
      </c>
      <c r="CM906" s="37">
        <f t="shared" si="315"/>
        <v>0</v>
      </c>
    </row>
    <row r="907" spans="1:91" s="66" customFormat="1" ht="33.75">
      <c r="A907" s="3"/>
      <c r="B907" s="156">
        <v>891</v>
      </c>
      <c r="C907" s="169">
        <v>644</v>
      </c>
      <c r="D907" s="169">
        <v>371</v>
      </c>
      <c r="E907" s="170">
        <v>0.36319444444444443</v>
      </c>
      <c r="F907" s="170">
        <v>0.3756944444444445</v>
      </c>
      <c r="G907" s="171" t="s">
        <v>42</v>
      </c>
      <c r="H907" s="171" t="s">
        <v>20</v>
      </c>
      <c r="I907" s="169">
        <v>8</v>
      </c>
      <c r="J907" s="172">
        <v>19</v>
      </c>
      <c r="K907" s="165">
        <v>55</v>
      </c>
      <c r="L907" s="166">
        <f t="shared" si="298"/>
        <v>440</v>
      </c>
      <c r="M907" s="177" t="s">
        <v>790</v>
      </c>
      <c r="N907" s="154" t="s">
        <v>965</v>
      </c>
      <c r="O907" s="154">
        <v>17</v>
      </c>
      <c r="P907" s="154" t="s">
        <v>1312</v>
      </c>
      <c r="Q907" s="154">
        <v>17</v>
      </c>
      <c r="R907" s="150"/>
      <c r="S907" s="154"/>
      <c r="T907" s="45">
        <v>6391</v>
      </c>
      <c r="U907" s="45" t="s">
        <v>1788</v>
      </c>
      <c r="V907" s="45">
        <v>6386</v>
      </c>
      <c r="W907" s="45" t="s">
        <v>1789</v>
      </c>
      <c r="X907" s="99">
        <v>44562</v>
      </c>
      <c r="Y907" s="99">
        <v>44815</v>
      </c>
      <c r="Z907" s="99">
        <v>45101</v>
      </c>
      <c r="AA907" s="99">
        <v>45169</v>
      </c>
      <c r="AB907" s="43" t="s">
        <v>1121</v>
      </c>
      <c r="AC907" s="43"/>
      <c r="AD907" s="36"/>
      <c r="AE907" s="36" t="s">
        <v>734</v>
      </c>
      <c r="AF907" s="36" t="s">
        <v>734</v>
      </c>
      <c r="AG907" s="36"/>
      <c r="AH907" s="36" t="s">
        <v>734</v>
      </c>
      <c r="AI907" s="36" t="s">
        <v>734</v>
      </c>
      <c r="AJ907" s="36" t="s">
        <v>734</v>
      </c>
      <c r="AK907" s="36" t="s">
        <v>734</v>
      </c>
      <c r="AL907" s="36" t="s">
        <v>734</v>
      </c>
      <c r="AM907" s="36"/>
      <c r="AN907" s="36"/>
      <c r="AO907" s="36"/>
      <c r="AP907" s="36"/>
      <c r="AQ907" s="36"/>
      <c r="AR907" s="36"/>
      <c r="AS907" s="36"/>
      <c r="AT907" s="36"/>
      <c r="AU907" s="36"/>
      <c r="AV907" s="36"/>
      <c r="AW907" s="36"/>
      <c r="AX907" s="67"/>
      <c r="AY907" s="67">
        <f>3*8+3*2.05</f>
        <v>30.15</v>
      </c>
      <c r="BD907" s="67">
        <f t="shared" si="310"/>
        <v>0</v>
      </c>
      <c r="BE907" s="67">
        <f>AY907*K907</f>
        <v>1658.25</v>
      </c>
      <c r="BG907" s="73">
        <v>1</v>
      </c>
      <c r="BI907" s="67"/>
      <c r="BK907" s="67">
        <f>IF(AND((AY907/I907)&lt;2,BG907=1),(I907*2)-AY907,0)</f>
        <v>0</v>
      </c>
      <c r="BL907" s="67">
        <f>IF(AND((AY907/I907)&lt;3,BG907=2),(I907*3)-AY907,0)</f>
        <v>0</v>
      </c>
      <c r="BM907" s="70">
        <f>(BK907+BL907)*K907</f>
        <v>0</v>
      </c>
      <c r="BO907" s="70">
        <f t="shared" si="307"/>
        <v>0</v>
      </c>
      <c r="BP907" s="37">
        <v>7</v>
      </c>
      <c r="BQ907" s="37">
        <v>0</v>
      </c>
      <c r="BR907" s="37">
        <v>0</v>
      </c>
      <c r="BT907" s="87">
        <f t="shared" si="308"/>
        <v>30.15</v>
      </c>
      <c r="BU907" s="87"/>
      <c r="BV907" s="87"/>
      <c r="BW907" s="87"/>
      <c r="BX907" s="87"/>
      <c r="BY907" s="87"/>
      <c r="BZ907" s="87"/>
      <c r="CA907" s="87"/>
      <c r="CB907" s="87"/>
      <c r="CC907" s="87"/>
      <c r="CD907" s="87"/>
      <c r="CF907" s="67">
        <f t="shared" si="309"/>
        <v>211.04999999999998</v>
      </c>
      <c r="CG907" s="67">
        <f t="shared" si="311"/>
        <v>0</v>
      </c>
      <c r="CH907" s="67">
        <f t="shared" si="299"/>
        <v>0</v>
      </c>
      <c r="CI907" s="67">
        <f t="shared" si="316"/>
        <v>0</v>
      </c>
      <c r="CJ907" s="37">
        <f t="shared" si="312"/>
        <v>56</v>
      </c>
      <c r="CK907" s="37">
        <f t="shared" si="313"/>
        <v>0</v>
      </c>
      <c r="CL907" s="37">
        <f t="shared" si="314"/>
        <v>0</v>
      </c>
      <c r="CM907" s="37">
        <f t="shared" si="315"/>
        <v>0</v>
      </c>
    </row>
    <row r="908" spans="1:91" ht="33.75">
      <c r="B908" s="156">
        <v>892</v>
      </c>
      <c r="C908" s="160">
        <v>644</v>
      </c>
      <c r="D908" s="164">
        <v>374</v>
      </c>
      <c r="E908" s="161">
        <v>0.46180555555555558</v>
      </c>
      <c r="F908" s="161">
        <v>0.47430555555555554</v>
      </c>
      <c r="G908" s="160" t="s">
        <v>665</v>
      </c>
      <c r="H908" s="160" t="s">
        <v>427</v>
      </c>
      <c r="I908" s="163">
        <v>8.1999999999999993</v>
      </c>
      <c r="J908" s="164" t="s">
        <v>125</v>
      </c>
      <c r="K908" s="165">
        <v>39</v>
      </c>
      <c r="L908" s="166">
        <f t="shared" si="298"/>
        <v>319.79999999999995</v>
      </c>
      <c r="M908" s="177" t="s">
        <v>790</v>
      </c>
      <c r="N908" s="154" t="s">
        <v>966</v>
      </c>
      <c r="O908" s="154">
        <v>9</v>
      </c>
      <c r="P908" s="154" t="s">
        <v>1314</v>
      </c>
      <c r="Q908" s="154">
        <v>9</v>
      </c>
      <c r="R908" s="154" t="s">
        <v>1313</v>
      </c>
      <c r="S908" s="154">
        <v>23</v>
      </c>
      <c r="T908" s="45">
        <v>6386</v>
      </c>
      <c r="U908" s="45" t="s">
        <v>1789</v>
      </c>
      <c r="V908" s="45">
        <v>6391</v>
      </c>
      <c r="W908" s="45" t="s">
        <v>1788</v>
      </c>
      <c r="X908" s="99">
        <v>44816</v>
      </c>
      <c r="Y908" s="99">
        <v>45100</v>
      </c>
      <c r="Z908" s="99"/>
      <c r="AA908" s="99"/>
      <c r="AB908" s="45" t="s">
        <v>1156</v>
      </c>
      <c r="AC908" s="45"/>
      <c r="AD908" s="42" t="s">
        <v>734</v>
      </c>
      <c r="AE908" s="42"/>
      <c r="AF908" s="42" t="s">
        <v>734</v>
      </c>
      <c r="AG908" s="42"/>
      <c r="AH908" s="42"/>
      <c r="AI908" s="42"/>
      <c r="AJ908" s="42"/>
      <c r="AK908" s="42" t="s">
        <v>734</v>
      </c>
      <c r="AL908" s="42"/>
      <c r="AM908" s="42"/>
      <c r="AN908" s="42"/>
      <c r="AO908" s="42"/>
      <c r="AP908" s="42"/>
      <c r="AQ908" s="42"/>
      <c r="AR908" s="42"/>
      <c r="AS908" s="42"/>
      <c r="AT908" s="42"/>
      <c r="AU908" s="42"/>
      <c r="AV908" s="42"/>
      <c r="AW908" s="42"/>
      <c r="AX908" s="68">
        <f>9+9.6</f>
        <v>18.600000000000001</v>
      </c>
      <c r="AY908" s="68"/>
      <c r="BA908" s="37"/>
      <c r="BB908" s="37"/>
      <c r="BC908" s="37">
        <v>14</v>
      </c>
      <c r="BD908" s="67">
        <f t="shared" si="310"/>
        <v>725.40000000000009</v>
      </c>
      <c r="BE908" s="67"/>
      <c r="BF908" s="37"/>
      <c r="BG908" s="73">
        <v>1</v>
      </c>
      <c r="BH908" s="67">
        <f>IF(AND((AX908/I908)&lt;2,BG908=1),(I908*2)-AX908,0)</f>
        <v>0</v>
      </c>
      <c r="BI908" s="67">
        <f>IF(AND((AX908/I908)&lt;3,BG908=2),(I908*3)-AX908,0)</f>
        <v>0</v>
      </c>
      <c r="BJ908" s="70">
        <f>(BH908+BI908)*K908</f>
        <v>0</v>
      </c>
      <c r="BN908" s="37"/>
      <c r="BO908" s="70">
        <f t="shared" si="307"/>
        <v>0</v>
      </c>
      <c r="BP908" s="37">
        <v>3</v>
      </c>
      <c r="BQ908" s="37">
        <v>4</v>
      </c>
      <c r="BR908" s="37">
        <v>4</v>
      </c>
      <c r="BS908" s="37">
        <v>4</v>
      </c>
      <c r="BT908" s="87">
        <f t="shared" si="308"/>
        <v>18.600000000000001</v>
      </c>
      <c r="BU908" s="87"/>
      <c r="BV908" s="87"/>
      <c r="BW908" s="87"/>
      <c r="BX908" s="87"/>
      <c r="BY908" s="87"/>
      <c r="BZ908" s="87"/>
      <c r="CA908" s="87"/>
      <c r="CB908" s="87"/>
      <c r="CC908" s="87"/>
      <c r="CD908" s="87"/>
      <c r="CF908" s="67">
        <f t="shared" si="309"/>
        <v>55.800000000000004</v>
      </c>
      <c r="CG908" s="67">
        <f t="shared" si="311"/>
        <v>74.400000000000006</v>
      </c>
      <c r="CH908" s="67">
        <f t="shared" si="299"/>
        <v>74.400000000000006</v>
      </c>
      <c r="CI908" s="67">
        <f t="shared" si="316"/>
        <v>74.400000000000006</v>
      </c>
      <c r="CJ908" s="37">
        <f t="shared" si="312"/>
        <v>24.599999999999998</v>
      </c>
      <c r="CK908" s="37">
        <f t="shared" si="313"/>
        <v>32.799999999999997</v>
      </c>
      <c r="CL908" s="37">
        <f t="shared" si="314"/>
        <v>32.799999999999997</v>
      </c>
      <c r="CM908" s="37">
        <f t="shared" si="315"/>
        <v>32.799999999999997</v>
      </c>
    </row>
    <row r="909" spans="1:91" ht="25.5">
      <c r="B909" s="156">
        <v>893</v>
      </c>
      <c r="C909" s="169">
        <v>644</v>
      </c>
      <c r="D909" s="169">
        <v>372</v>
      </c>
      <c r="E909" s="170">
        <v>0.47222222222222227</v>
      </c>
      <c r="F909" s="170">
        <v>0.48472222222222222</v>
      </c>
      <c r="G909" s="171" t="s">
        <v>43</v>
      </c>
      <c r="H909" s="160" t="s">
        <v>290</v>
      </c>
      <c r="I909" s="169">
        <v>8</v>
      </c>
      <c r="J909" s="172">
        <v>19</v>
      </c>
      <c r="K909" s="165">
        <v>11</v>
      </c>
      <c r="L909" s="166">
        <f t="shared" si="298"/>
        <v>88</v>
      </c>
      <c r="M909" s="177" t="s">
        <v>789</v>
      </c>
      <c r="N909" s="154" t="s">
        <v>974</v>
      </c>
      <c r="O909" s="154">
        <v>24</v>
      </c>
      <c r="P909" s="154" t="s">
        <v>975</v>
      </c>
      <c r="Q909" s="154">
        <v>20</v>
      </c>
      <c r="S909" s="154"/>
      <c r="T909" s="45">
        <v>6386</v>
      </c>
      <c r="U909" s="45" t="s">
        <v>1789</v>
      </c>
      <c r="V909" s="45">
        <v>6391</v>
      </c>
      <c r="W909" s="45" t="s">
        <v>1788</v>
      </c>
      <c r="X909" s="99">
        <v>44562</v>
      </c>
      <c r="Y909" s="99">
        <v>44815</v>
      </c>
      <c r="Z909" s="99">
        <v>45101</v>
      </c>
      <c r="AA909" s="99">
        <v>45169</v>
      </c>
      <c r="AB909" s="46" t="s">
        <v>1154</v>
      </c>
      <c r="AC909" s="46"/>
      <c r="AD909" s="42"/>
      <c r="AE909" s="42" t="s">
        <v>734</v>
      </c>
      <c r="AF909" s="42" t="s">
        <v>734</v>
      </c>
      <c r="AG909" s="42"/>
      <c r="AH909" s="42"/>
      <c r="AI909" s="42"/>
      <c r="AJ909" s="42"/>
      <c r="AK909" s="42" t="s">
        <v>734</v>
      </c>
      <c r="AL909" s="42"/>
      <c r="AM909" s="42"/>
      <c r="AN909" s="42"/>
      <c r="AO909" s="42"/>
      <c r="AP909" s="42"/>
      <c r="AQ909" s="42"/>
      <c r="AR909" s="42"/>
      <c r="AS909" s="42"/>
      <c r="AT909" s="42"/>
      <c r="AU909" s="42"/>
      <c r="AV909" s="42"/>
      <c r="AW909" s="42"/>
      <c r="AY909" s="68">
        <f>1.9*8</f>
        <v>15.2</v>
      </c>
      <c r="BA909" s="37"/>
      <c r="BB909" s="37"/>
      <c r="BD909" s="67">
        <f t="shared" si="310"/>
        <v>0</v>
      </c>
      <c r="BE909" s="67">
        <f>AY909*K909</f>
        <v>167.2</v>
      </c>
      <c r="BF909" s="37"/>
      <c r="BG909" s="73">
        <v>1</v>
      </c>
      <c r="BI909" s="67"/>
      <c r="BJ909" s="37"/>
      <c r="BK909" s="67">
        <f>IF(AND((AY909/I909)&lt;2,BG909=1),(I909*2)-AY909,0)</f>
        <v>0.80000000000000071</v>
      </c>
      <c r="BL909" s="67">
        <f>IF(AND((AY909/I909)&lt;3,BG909=2),(I909*3)-AY909,0)</f>
        <v>0</v>
      </c>
      <c r="BM909" s="70">
        <f>(BK909+BL909)*K909</f>
        <v>8.8000000000000078</v>
      </c>
      <c r="BN909" s="37"/>
      <c r="BO909" s="70">
        <f t="shared" si="307"/>
        <v>0</v>
      </c>
      <c r="BP909" s="37">
        <v>2</v>
      </c>
      <c r="BQ909" s="37">
        <v>0</v>
      </c>
      <c r="BR909" s="37">
        <v>0</v>
      </c>
      <c r="BS909" s="37">
        <v>0</v>
      </c>
      <c r="BT909" s="87">
        <f t="shared" si="308"/>
        <v>16</v>
      </c>
      <c r="BU909" s="87"/>
      <c r="BV909" s="87"/>
      <c r="BW909" s="87"/>
      <c r="BX909" s="87"/>
      <c r="BY909" s="87"/>
      <c r="BZ909" s="87"/>
      <c r="CA909" s="87"/>
      <c r="CB909" s="87"/>
      <c r="CC909" s="87"/>
      <c r="CD909" s="87"/>
      <c r="CF909" s="67">
        <f t="shared" si="309"/>
        <v>32</v>
      </c>
      <c r="CG909" s="67">
        <f t="shared" si="311"/>
        <v>0</v>
      </c>
      <c r="CH909" s="67">
        <f t="shared" si="299"/>
        <v>0</v>
      </c>
      <c r="CI909" s="67">
        <f t="shared" si="316"/>
        <v>0</v>
      </c>
      <c r="CJ909" s="37">
        <f t="shared" si="312"/>
        <v>16</v>
      </c>
      <c r="CK909" s="37">
        <f t="shared" si="313"/>
        <v>0</v>
      </c>
      <c r="CL909" s="37">
        <f t="shared" si="314"/>
        <v>0</v>
      </c>
      <c r="CM909" s="37">
        <f t="shared" si="315"/>
        <v>0</v>
      </c>
    </row>
    <row r="910" spans="1:91" ht="33.75">
      <c r="B910" s="156">
        <v>894</v>
      </c>
      <c r="C910" s="160">
        <v>644</v>
      </c>
      <c r="D910" s="164">
        <v>375</v>
      </c>
      <c r="E910" s="161">
        <v>0.47430555555555554</v>
      </c>
      <c r="F910" s="161">
        <v>0.48680555555555555</v>
      </c>
      <c r="G910" s="160" t="s">
        <v>666</v>
      </c>
      <c r="H910" s="160" t="s">
        <v>427</v>
      </c>
      <c r="I910" s="163">
        <v>8.1999999999999993</v>
      </c>
      <c r="J910" s="164" t="s">
        <v>125</v>
      </c>
      <c r="K910" s="165">
        <v>39</v>
      </c>
      <c r="L910" s="166">
        <f t="shared" si="298"/>
        <v>319.79999999999995</v>
      </c>
      <c r="M910" s="177" t="s">
        <v>790</v>
      </c>
      <c r="N910" s="154" t="s">
        <v>966</v>
      </c>
      <c r="O910" s="154">
        <v>9</v>
      </c>
      <c r="P910" s="154" t="s">
        <v>1314</v>
      </c>
      <c r="Q910" s="154">
        <v>9</v>
      </c>
      <c r="R910" s="154" t="s">
        <v>1313</v>
      </c>
      <c r="S910" s="154">
        <v>23</v>
      </c>
      <c r="T910" s="45">
        <v>6391</v>
      </c>
      <c r="U910" s="45" t="s">
        <v>1788</v>
      </c>
      <c r="V910" s="45">
        <v>6386</v>
      </c>
      <c r="W910" s="45" t="s">
        <v>1789</v>
      </c>
      <c r="X910" s="99">
        <v>44816</v>
      </c>
      <c r="Y910" s="99">
        <v>45100</v>
      </c>
      <c r="Z910" s="99"/>
      <c r="AA910" s="99"/>
      <c r="AB910" s="45" t="s">
        <v>1156</v>
      </c>
      <c r="AC910" s="45"/>
      <c r="AD910" s="42" t="s">
        <v>734</v>
      </c>
      <c r="AE910" s="42"/>
      <c r="AF910" s="42" t="s">
        <v>734</v>
      </c>
      <c r="AG910" s="42"/>
      <c r="AH910" s="42"/>
      <c r="AI910" s="42"/>
      <c r="AJ910" s="42"/>
      <c r="AK910" s="42" t="s">
        <v>734</v>
      </c>
      <c r="AL910" s="42"/>
      <c r="AM910" s="42"/>
      <c r="AN910" s="42"/>
      <c r="AO910" s="42"/>
      <c r="AP910" s="42"/>
      <c r="AQ910" s="42"/>
      <c r="AR910" s="42"/>
      <c r="AS910" s="42"/>
      <c r="AT910" s="42"/>
      <c r="AU910" s="42"/>
      <c r="AV910" s="42"/>
      <c r="AW910" s="42"/>
      <c r="AX910" s="68">
        <f>9.6+9</f>
        <v>18.600000000000001</v>
      </c>
      <c r="AY910" s="68"/>
      <c r="BA910" s="37"/>
      <c r="BB910" s="37"/>
      <c r="BC910" s="37">
        <v>15</v>
      </c>
      <c r="BD910" s="67">
        <f t="shared" si="310"/>
        <v>725.40000000000009</v>
      </c>
      <c r="BE910" s="67"/>
      <c r="BF910" s="37"/>
      <c r="BG910" s="73">
        <v>1</v>
      </c>
      <c r="BH910" s="67">
        <f>IF(AND((AX910/I910)&lt;2,BG910=1),(I910*2)-AX910,0)</f>
        <v>0</v>
      </c>
      <c r="BI910" s="67">
        <f>IF(AND((AX910/I910)&lt;3,BG910=2),(I910*3)-AX910,0)</f>
        <v>0</v>
      </c>
      <c r="BJ910" s="70">
        <f>(BH910+BI910)*K910</f>
        <v>0</v>
      </c>
      <c r="BN910" s="37"/>
      <c r="BO910" s="70">
        <f t="shared" si="307"/>
        <v>0</v>
      </c>
      <c r="BP910" s="37">
        <v>3</v>
      </c>
      <c r="BQ910" s="37">
        <v>4</v>
      </c>
      <c r="BR910" s="37">
        <v>4</v>
      </c>
      <c r="BS910" s="37">
        <v>4</v>
      </c>
      <c r="BT910" s="87">
        <f t="shared" si="308"/>
        <v>18.600000000000001</v>
      </c>
      <c r="BU910" s="87"/>
      <c r="BV910" s="87"/>
      <c r="BW910" s="87"/>
      <c r="BX910" s="87"/>
      <c r="BY910" s="87"/>
      <c r="BZ910" s="87"/>
      <c r="CA910" s="87"/>
      <c r="CB910" s="87"/>
      <c r="CC910" s="87"/>
      <c r="CD910" s="87"/>
      <c r="CF910" s="67">
        <f t="shared" si="309"/>
        <v>55.800000000000004</v>
      </c>
      <c r="CG910" s="67">
        <f t="shared" si="311"/>
        <v>74.400000000000006</v>
      </c>
      <c r="CH910" s="67">
        <f t="shared" si="299"/>
        <v>74.400000000000006</v>
      </c>
      <c r="CI910" s="67">
        <f t="shared" si="316"/>
        <v>74.400000000000006</v>
      </c>
      <c r="CJ910" s="37">
        <f t="shared" si="312"/>
        <v>24.599999999999998</v>
      </c>
      <c r="CK910" s="37">
        <f t="shared" si="313"/>
        <v>32.799999999999997</v>
      </c>
      <c r="CL910" s="37">
        <f t="shared" si="314"/>
        <v>32.799999999999997</v>
      </c>
      <c r="CM910" s="37">
        <f t="shared" si="315"/>
        <v>32.799999999999997</v>
      </c>
    </row>
    <row r="911" spans="1:91" ht="25.5">
      <c r="B911" s="156">
        <v>895</v>
      </c>
      <c r="C911" s="169">
        <v>644</v>
      </c>
      <c r="D911" s="169">
        <v>373</v>
      </c>
      <c r="E911" s="170">
        <v>0.48819444444444443</v>
      </c>
      <c r="F911" s="170">
        <v>0.50069444444444444</v>
      </c>
      <c r="G911" s="171" t="s">
        <v>42</v>
      </c>
      <c r="H911" s="160" t="s">
        <v>290</v>
      </c>
      <c r="I911" s="169">
        <v>8</v>
      </c>
      <c r="J911" s="172">
        <v>19</v>
      </c>
      <c r="K911" s="165">
        <v>11</v>
      </c>
      <c r="L911" s="166">
        <f t="shared" si="298"/>
        <v>88</v>
      </c>
      <c r="M911" s="177" t="s">
        <v>789</v>
      </c>
      <c r="N911" s="154" t="s">
        <v>974</v>
      </c>
      <c r="O911" s="154">
        <v>24</v>
      </c>
      <c r="P911" s="154" t="s">
        <v>975</v>
      </c>
      <c r="Q911" s="154">
        <v>20</v>
      </c>
      <c r="S911" s="154"/>
      <c r="T911" s="45">
        <v>6391</v>
      </c>
      <c r="U911" s="45" t="s">
        <v>1788</v>
      </c>
      <c r="V911" s="45">
        <v>6386</v>
      </c>
      <c r="W911" s="45" t="s">
        <v>1789</v>
      </c>
      <c r="X911" s="99">
        <v>44562</v>
      </c>
      <c r="Y911" s="99">
        <v>44815</v>
      </c>
      <c r="Z911" s="99">
        <v>45101</v>
      </c>
      <c r="AA911" s="99">
        <v>45169</v>
      </c>
      <c r="AB911" s="46" t="s">
        <v>1154</v>
      </c>
      <c r="AC911" s="46"/>
      <c r="AD911" s="42"/>
      <c r="AE911" s="42" t="s">
        <v>734</v>
      </c>
      <c r="AF911" s="42" t="s">
        <v>734</v>
      </c>
      <c r="AG911" s="42"/>
      <c r="AH911" s="42"/>
      <c r="AI911" s="42"/>
      <c r="AJ911" s="42"/>
      <c r="AK911" s="42" t="s">
        <v>734</v>
      </c>
      <c r="AL911" s="42"/>
      <c r="AM911" s="42"/>
      <c r="AN911" s="42"/>
      <c r="AO911" s="42"/>
      <c r="AP911" s="42"/>
      <c r="AQ911" s="42"/>
      <c r="AR911" s="42"/>
      <c r="AS911" s="42"/>
      <c r="AT911" s="42"/>
      <c r="AU911" s="42"/>
      <c r="AV911" s="42"/>
      <c r="AW911" s="42"/>
      <c r="AY911" s="68">
        <f>1.9*8</f>
        <v>15.2</v>
      </c>
      <c r="BA911" s="37"/>
      <c r="BB911" s="37"/>
      <c r="BD911" s="67">
        <f t="shared" si="310"/>
        <v>0</v>
      </c>
      <c r="BE911" s="67">
        <f>AY911*K911</f>
        <v>167.2</v>
      </c>
      <c r="BF911" s="37"/>
      <c r="BG911" s="73">
        <v>1</v>
      </c>
      <c r="BI911" s="67"/>
      <c r="BJ911" s="37"/>
      <c r="BK911" s="67">
        <f>IF(AND((AY911/I911)&lt;2,BG911=1),(I911*2)-AY911,0)</f>
        <v>0.80000000000000071</v>
      </c>
      <c r="BL911" s="67">
        <f>IF(AND((AY911/I911)&lt;3,BG911=2),(I911*3)-AY911,0)</f>
        <v>0</v>
      </c>
      <c r="BM911" s="70">
        <f>(BK911+BL911)*K911</f>
        <v>8.8000000000000078</v>
      </c>
      <c r="BN911" s="37"/>
      <c r="BO911" s="70">
        <f t="shared" si="307"/>
        <v>0</v>
      </c>
      <c r="BP911" s="37">
        <v>2</v>
      </c>
      <c r="BQ911" s="37">
        <v>0</v>
      </c>
      <c r="BR911" s="37">
        <v>0</v>
      </c>
      <c r="BS911" s="37">
        <v>0</v>
      </c>
      <c r="BT911" s="87">
        <f t="shared" si="308"/>
        <v>16</v>
      </c>
      <c r="BU911" s="87"/>
      <c r="BV911" s="87"/>
      <c r="BW911" s="87"/>
      <c r="BX911" s="87"/>
      <c r="BY911" s="87"/>
      <c r="BZ911" s="87"/>
      <c r="CA911" s="87"/>
      <c r="CB911" s="87"/>
      <c r="CC911" s="87"/>
      <c r="CD911" s="87"/>
      <c r="CF911" s="67">
        <f t="shared" si="309"/>
        <v>32</v>
      </c>
      <c r="CG911" s="67">
        <f t="shared" si="311"/>
        <v>0</v>
      </c>
      <c r="CH911" s="67">
        <f t="shared" si="299"/>
        <v>0</v>
      </c>
      <c r="CI911" s="67">
        <f t="shared" si="316"/>
        <v>0</v>
      </c>
      <c r="CJ911" s="37">
        <f t="shared" si="312"/>
        <v>16</v>
      </c>
      <c r="CK911" s="37">
        <f t="shared" si="313"/>
        <v>0</v>
      </c>
      <c r="CL911" s="37">
        <f t="shared" si="314"/>
        <v>0</v>
      </c>
      <c r="CM911" s="37">
        <f t="shared" si="315"/>
        <v>0</v>
      </c>
    </row>
    <row r="912" spans="1:91" ht="25.5">
      <c r="B912" s="156">
        <v>896</v>
      </c>
      <c r="C912" s="169">
        <v>644</v>
      </c>
      <c r="D912" s="160">
        <v>374</v>
      </c>
      <c r="E912" s="161">
        <v>0.51388888888888895</v>
      </c>
      <c r="F912" s="161">
        <v>0.52638888888888891</v>
      </c>
      <c r="G912" s="160" t="s">
        <v>43</v>
      </c>
      <c r="H912" s="160" t="s">
        <v>425</v>
      </c>
      <c r="I912" s="169">
        <v>8</v>
      </c>
      <c r="J912" s="172">
        <v>19</v>
      </c>
      <c r="K912" s="165">
        <v>55</v>
      </c>
      <c r="L912" s="166">
        <f t="shared" si="298"/>
        <v>440</v>
      </c>
      <c r="M912" s="177" t="s">
        <v>789</v>
      </c>
      <c r="N912" s="154" t="s">
        <v>974</v>
      </c>
      <c r="O912" s="154">
        <v>24</v>
      </c>
      <c r="P912" s="154" t="s">
        <v>975</v>
      </c>
      <c r="Q912" s="154">
        <v>20</v>
      </c>
      <c r="S912" s="154"/>
      <c r="T912" s="45">
        <v>6386</v>
      </c>
      <c r="U912" s="45" t="s">
        <v>1789</v>
      </c>
      <c r="V912" s="45">
        <v>6391</v>
      </c>
      <c r="W912" s="45" t="s">
        <v>1788</v>
      </c>
      <c r="X912" s="99">
        <v>44562</v>
      </c>
      <c r="Y912" s="99">
        <v>44815</v>
      </c>
      <c r="Z912" s="99">
        <v>45101</v>
      </c>
      <c r="AA912" s="99">
        <v>45169</v>
      </c>
      <c r="AB912" s="41" t="s">
        <v>1121</v>
      </c>
      <c r="AC912" s="41"/>
      <c r="AD912" s="42"/>
      <c r="AE912" s="42" t="s">
        <v>734</v>
      </c>
      <c r="AF912" s="42" t="s">
        <v>734</v>
      </c>
      <c r="AG912" s="42"/>
      <c r="AH912" s="42" t="s">
        <v>734</v>
      </c>
      <c r="AI912" s="42" t="s">
        <v>734</v>
      </c>
      <c r="AJ912" s="42" t="s">
        <v>734</v>
      </c>
      <c r="AK912" s="42" t="s">
        <v>734</v>
      </c>
      <c r="AL912" s="42" t="s">
        <v>734</v>
      </c>
      <c r="AM912" s="42"/>
      <c r="AN912" s="42"/>
      <c r="AO912" s="42"/>
      <c r="AP912" s="42"/>
      <c r="AQ912" s="42"/>
      <c r="AR912" s="42"/>
      <c r="AS912" s="42"/>
      <c r="AT912" s="42"/>
      <c r="AU912" s="42"/>
      <c r="AV912" s="42"/>
      <c r="AW912" s="42"/>
      <c r="AY912" s="68">
        <f>1.9*8</f>
        <v>15.2</v>
      </c>
      <c r="BA912" s="37"/>
      <c r="BB912" s="37"/>
      <c r="BD912" s="67">
        <f t="shared" si="310"/>
        <v>0</v>
      </c>
      <c r="BE912" s="67">
        <f>AY912*K912</f>
        <v>836</v>
      </c>
      <c r="BF912" s="37"/>
      <c r="BG912" s="73">
        <v>1</v>
      </c>
      <c r="BI912" s="67"/>
      <c r="BJ912" s="37"/>
      <c r="BK912" s="67">
        <f>IF(AND((AY912/I912)&lt;2,BG912=1),(I912*2)-AY912,0)</f>
        <v>0.80000000000000071</v>
      </c>
      <c r="BL912" s="67">
        <f>IF(AND((AY912/I912)&lt;3,BG912=2),(I912*3)-AY912,0)</f>
        <v>0</v>
      </c>
      <c r="BM912" s="70">
        <f>(BK912+BL912)*K912</f>
        <v>44.000000000000043</v>
      </c>
      <c r="BN912" s="37"/>
      <c r="BO912" s="70">
        <f t="shared" si="307"/>
        <v>0</v>
      </c>
      <c r="BP912" s="37">
        <v>7</v>
      </c>
      <c r="BQ912" s="37">
        <v>0</v>
      </c>
      <c r="BR912" s="37">
        <v>0</v>
      </c>
      <c r="BT912" s="87">
        <f t="shared" si="308"/>
        <v>16</v>
      </c>
      <c r="BU912" s="87"/>
      <c r="BV912" s="87"/>
      <c r="BW912" s="87"/>
      <c r="BX912" s="87"/>
      <c r="BY912" s="87"/>
      <c r="BZ912" s="87"/>
      <c r="CA912" s="87"/>
      <c r="CB912" s="87"/>
      <c r="CC912" s="87"/>
      <c r="CD912" s="87"/>
      <c r="CF912" s="67">
        <f t="shared" si="309"/>
        <v>112</v>
      </c>
      <c r="CG912" s="67">
        <f t="shared" si="311"/>
        <v>0</v>
      </c>
      <c r="CH912" s="67">
        <f t="shared" si="299"/>
        <v>0</v>
      </c>
      <c r="CI912" s="67">
        <f t="shared" si="316"/>
        <v>0</v>
      </c>
      <c r="CJ912" s="37">
        <f t="shared" si="312"/>
        <v>56</v>
      </c>
      <c r="CK912" s="37">
        <f t="shared" si="313"/>
        <v>0</v>
      </c>
      <c r="CL912" s="37">
        <f t="shared" si="314"/>
        <v>0</v>
      </c>
      <c r="CM912" s="37">
        <f t="shared" si="315"/>
        <v>0</v>
      </c>
    </row>
    <row r="913" spans="2:91" ht="25.5">
      <c r="B913" s="156">
        <v>897</v>
      </c>
      <c r="C913" s="169">
        <v>644</v>
      </c>
      <c r="D913" s="160">
        <v>375</v>
      </c>
      <c r="E913" s="161">
        <v>0.52986111111111112</v>
      </c>
      <c r="F913" s="161">
        <v>0.54236111111111118</v>
      </c>
      <c r="G913" s="160" t="s">
        <v>42</v>
      </c>
      <c r="H913" s="160" t="s">
        <v>425</v>
      </c>
      <c r="I913" s="169">
        <v>8</v>
      </c>
      <c r="J913" s="172">
        <v>19</v>
      </c>
      <c r="K913" s="165">
        <v>55</v>
      </c>
      <c r="L913" s="166">
        <f t="shared" si="298"/>
        <v>440</v>
      </c>
      <c r="M913" s="177" t="s">
        <v>789</v>
      </c>
      <c r="N913" s="154" t="s">
        <v>974</v>
      </c>
      <c r="O913" s="154">
        <v>24</v>
      </c>
      <c r="P913" s="154" t="s">
        <v>975</v>
      </c>
      <c r="Q913" s="154">
        <v>20</v>
      </c>
      <c r="S913" s="154"/>
      <c r="T913" s="45">
        <v>6391</v>
      </c>
      <c r="U913" s="45" t="s">
        <v>1788</v>
      </c>
      <c r="V913" s="45">
        <v>6386</v>
      </c>
      <c r="W913" s="45" t="s">
        <v>1789</v>
      </c>
      <c r="X913" s="99">
        <v>44562</v>
      </c>
      <c r="Y913" s="99">
        <v>44815</v>
      </c>
      <c r="Z913" s="99">
        <v>45101</v>
      </c>
      <c r="AA913" s="99">
        <v>45169</v>
      </c>
      <c r="AB913" s="41" t="s">
        <v>1121</v>
      </c>
      <c r="AC913" s="41"/>
      <c r="AD913" s="42"/>
      <c r="AE913" s="42" t="s">
        <v>734</v>
      </c>
      <c r="AF913" s="42" t="s">
        <v>734</v>
      </c>
      <c r="AG913" s="42"/>
      <c r="AH913" s="42" t="s">
        <v>734</v>
      </c>
      <c r="AI913" s="42" t="s">
        <v>734</v>
      </c>
      <c r="AJ913" s="42" t="s">
        <v>734</v>
      </c>
      <c r="AK913" s="42" t="s">
        <v>734</v>
      </c>
      <c r="AL913" s="42" t="s">
        <v>734</v>
      </c>
      <c r="AM913" s="42"/>
      <c r="AN913" s="42"/>
      <c r="AO913" s="42"/>
      <c r="AP913" s="42"/>
      <c r="AQ913" s="42"/>
      <c r="AR913" s="42"/>
      <c r="AS913" s="42"/>
      <c r="AT913" s="42"/>
      <c r="AU913" s="42"/>
      <c r="AV913" s="42"/>
      <c r="AW913" s="42"/>
      <c r="AY913" s="68">
        <f>1.9*8</f>
        <v>15.2</v>
      </c>
      <c r="BA913" s="37"/>
      <c r="BB913" s="37"/>
      <c r="BD913" s="67">
        <f t="shared" si="310"/>
        <v>0</v>
      </c>
      <c r="BE913" s="67">
        <f>AY913*K913</f>
        <v>836</v>
      </c>
      <c r="BF913" s="37"/>
      <c r="BG913" s="73">
        <v>1</v>
      </c>
      <c r="BI913" s="67"/>
      <c r="BJ913" s="37"/>
      <c r="BK913" s="67">
        <f>IF(AND((AY913/I913)&lt;2,BG913=1),(I913*2)-AY913,0)</f>
        <v>0.80000000000000071</v>
      </c>
      <c r="BL913" s="67">
        <f>IF(AND((AY913/I913)&lt;3,BG913=2),(I913*3)-AY913,0)</f>
        <v>0</v>
      </c>
      <c r="BM913" s="70">
        <f>(BK913+BL913)*K913</f>
        <v>44.000000000000043</v>
      </c>
      <c r="BN913" s="37"/>
      <c r="BO913" s="70">
        <f t="shared" si="307"/>
        <v>0</v>
      </c>
      <c r="BP913" s="37">
        <v>7</v>
      </c>
      <c r="BQ913" s="37">
        <v>0</v>
      </c>
      <c r="BR913" s="37">
        <v>0</v>
      </c>
      <c r="BT913" s="87">
        <f t="shared" si="308"/>
        <v>16</v>
      </c>
      <c r="BU913" s="87"/>
      <c r="BV913" s="87"/>
      <c r="BW913" s="87"/>
      <c r="BX913" s="87"/>
      <c r="BY913" s="87"/>
      <c r="BZ913" s="87"/>
      <c r="CA913" s="87"/>
      <c r="CB913" s="87"/>
      <c r="CC913" s="87"/>
      <c r="CD913" s="87"/>
      <c r="CF913" s="67">
        <f t="shared" si="309"/>
        <v>112</v>
      </c>
      <c r="CG913" s="67">
        <f t="shared" si="311"/>
        <v>0</v>
      </c>
      <c r="CH913" s="67">
        <f t="shared" si="299"/>
        <v>0</v>
      </c>
      <c r="CI913" s="67">
        <f t="shared" si="316"/>
        <v>0</v>
      </c>
      <c r="CJ913" s="37">
        <f t="shared" si="312"/>
        <v>56</v>
      </c>
      <c r="CK913" s="37">
        <f t="shared" si="313"/>
        <v>0</v>
      </c>
      <c r="CL913" s="37">
        <f t="shared" si="314"/>
        <v>0</v>
      </c>
      <c r="CM913" s="37">
        <f t="shared" si="315"/>
        <v>0</v>
      </c>
    </row>
    <row r="914" spans="2:91" ht="33.75">
      <c r="B914" s="156">
        <v>898</v>
      </c>
      <c r="C914" s="160">
        <v>644</v>
      </c>
      <c r="D914" s="164">
        <v>378</v>
      </c>
      <c r="E914" s="161">
        <v>0.57986111111111105</v>
      </c>
      <c r="F914" s="161">
        <v>0.59236111111111112</v>
      </c>
      <c r="G914" s="160" t="s">
        <v>448</v>
      </c>
      <c r="H914" s="160" t="s">
        <v>203</v>
      </c>
      <c r="I914" s="163">
        <v>8</v>
      </c>
      <c r="J914" s="164" t="s">
        <v>125</v>
      </c>
      <c r="K914" s="165">
        <v>202</v>
      </c>
      <c r="L914" s="166">
        <f t="shared" si="298"/>
        <v>1616</v>
      </c>
      <c r="M914" s="177" t="s">
        <v>790</v>
      </c>
      <c r="N914" s="154" t="s">
        <v>965</v>
      </c>
      <c r="O914" s="154">
        <v>17</v>
      </c>
      <c r="P914" s="154" t="s">
        <v>1312</v>
      </c>
      <c r="Q914" s="154">
        <v>17</v>
      </c>
      <c r="S914" s="154"/>
      <c r="T914" s="45">
        <v>6386</v>
      </c>
      <c r="U914" s="45" t="s">
        <v>1789</v>
      </c>
      <c r="V914" s="45">
        <v>6391</v>
      </c>
      <c r="W914" s="45" t="s">
        <v>1788</v>
      </c>
      <c r="X914" s="99">
        <v>44816</v>
      </c>
      <c r="Y914" s="99">
        <v>45100</v>
      </c>
      <c r="Z914" s="99"/>
      <c r="AA914" s="99"/>
      <c r="AB914" s="41" t="s">
        <v>1120</v>
      </c>
      <c r="AC914" s="41"/>
      <c r="AD914" s="42" t="s">
        <v>734</v>
      </c>
      <c r="AE914" s="42"/>
      <c r="AF914" s="42" t="s">
        <v>734</v>
      </c>
      <c r="AG914" s="42"/>
      <c r="AH914" s="42" t="s">
        <v>734</v>
      </c>
      <c r="AI914" s="42" t="s">
        <v>734</v>
      </c>
      <c r="AJ914" s="42" t="s">
        <v>734</v>
      </c>
      <c r="AK914" s="42" t="s">
        <v>734</v>
      </c>
      <c r="AL914" s="42" t="s">
        <v>734</v>
      </c>
      <c r="AM914" s="42"/>
      <c r="AN914" s="42"/>
      <c r="AO914" s="42"/>
      <c r="AP914" s="42"/>
      <c r="AQ914" s="42"/>
      <c r="AR914" s="42"/>
      <c r="AS914" s="42"/>
      <c r="AT914" s="42"/>
      <c r="AU914" s="42"/>
      <c r="AV914" s="42"/>
      <c r="AW914" s="42"/>
      <c r="AX914" s="68">
        <v>15.45</v>
      </c>
      <c r="AY914" s="68"/>
      <c r="BA914" s="37"/>
      <c r="BB914" s="37"/>
      <c r="BC914" s="37">
        <v>16</v>
      </c>
      <c r="BD914" s="67">
        <f t="shared" si="310"/>
        <v>3120.8999999999996</v>
      </c>
      <c r="BE914" s="67"/>
      <c r="BF914" s="37"/>
      <c r="BG914" s="73">
        <v>1</v>
      </c>
      <c r="BH914" s="71"/>
      <c r="BI914" s="71"/>
      <c r="BJ914" s="71"/>
      <c r="BN914" s="37"/>
      <c r="BO914" s="70">
        <f t="shared" si="307"/>
        <v>0</v>
      </c>
      <c r="BP914" s="37">
        <v>15</v>
      </c>
      <c r="BQ914" s="37">
        <v>21</v>
      </c>
      <c r="BR914" s="37">
        <v>21</v>
      </c>
      <c r="BS914" s="37">
        <v>20</v>
      </c>
      <c r="BT914" s="87">
        <f t="shared" si="308"/>
        <v>15.45</v>
      </c>
      <c r="BU914" s="87"/>
      <c r="BV914" s="87"/>
      <c r="BW914" s="87"/>
      <c r="BX914" s="87"/>
      <c r="BY914" s="87"/>
      <c r="BZ914" s="87"/>
      <c r="CA914" s="87"/>
      <c r="CB914" s="87"/>
      <c r="CC914" s="87"/>
      <c r="CD914" s="87"/>
      <c r="CF914" s="67">
        <f t="shared" si="309"/>
        <v>231.75</v>
      </c>
      <c r="CG914" s="67">
        <f t="shared" si="311"/>
        <v>324.45</v>
      </c>
      <c r="CH914" s="67">
        <f t="shared" si="299"/>
        <v>324.45</v>
      </c>
      <c r="CI914" s="67">
        <f t="shared" si="316"/>
        <v>309</v>
      </c>
      <c r="CJ914" s="37">
        <f t="shared" si="312"/>
        <v>120</v>
      </c>
      <c r="CK914" s="37">
        <f t="shared" si="313"/>
        <v>168</v>
      </c>
      <c r="CL914" s="37">
        <f t="shared" si="314"/>
        <v>168</v>
      </c>
      <c r="CM914" s="37">
        <f t="shared" si="315"/>
        <v>160</v>
      </c>
    </row>
    <row r="915" spans="2:91" ht="33.75">
      <c r="B915" s="156">
        <v>899</v>
      </c>
      <c r="C915" s="160">
        <v>644</v>
      </c>
      <c r="D915" s="164">
        <v>660</v>
      </c>
      <c r="E915" s="161">
        <v>0.76388888888888884</v>
      </c>
      <c r="F915" s="173">
        <v>0.77500000000000002</v>
      </c>
      <c r="G915" s="160" t="s">
        <v>246</v>
      </c>
      <c r="H915" s="160" t="s">
        <v>245</v>
      </c>
      <c r="I915" s="163">
        <v>6.5</v>
      </c>
      <c r="J915" s="164" t="s">
        <v>167</v>
      </c>
      <c r="K915" s="165">
        <f>174-34</f>
        <v>140</v>
      </c>
      <c r="L915" s="166">
        <f t="shared" si="298"/>
        <v>910</v>
      </c>
      <c r="M915" s="177" t="s">
        <v>790</v>
      </c>
      <c r="N915" s="154" t="s">
        <v>965</v>
      </c>
      <c r="O915" s="154">
        <v>17</v>
      </c>
      <c r="P915" s="154" t="s">
        <v>1312</v>
      </c>
      <c r="Q915" s="154">
        <v>17</v>
      </c>
      <c r="S915" s="154"/>
      <c r="T915" s="45">
        <v>6387</v>
      </c>
      <c r="U915" s="45" t="s">
        <v>1790</v>
      </c>
      <c r="V915" s="45">
        <v>6391</v>
      </c>
      <c r="W915" s="45" t="s">
        <v>1788</v>
      </c>
      <c r="X915" s="98">
        <v>44816</v>
      </c>
      <c r="Y915" s="98">
        <v>45086</v>
      </c>
      <c r="Z915" s="98"/>
      <c r="AA915" s="98"/>
      <c r="AB915" s="42" t="s">
        <v>1170</v>
      </c>
      <c r="AC915" s="42"/>
      <c r="AD915" s="42"/>
      <c r="AE915" s="42"/>
      <c r="AF915" s="42"/>
      <c r="AG915" s="42" t="s">
        <v>734</v>
      </c>
      <c r="AH915" s="42" t="s">
        <v>734</v>
      </c>
      <c r="AI915" s="42"/>
      <c r="AJ915" s="42" t="s">
        <v>734</v>
      </c>
      <c r="AK915" s="42" t="s">
        <v>734</v>
      </c>
      <c r="AL915" s="42" t="s">
        <v>734</v>
      </c>
      <c r="AM915" s="42"/>
      <c r="AN915" s="42"/>
      <c r="AO915" s="42"/>
      <c r="AP915" s="42"/>
      <c r="AQ915" s="42"/>
      <c r="AR915" s="42"/>
      <c r="AS915" s="42"/>
      <c r="AT915" s="42"/>
      <c r="AU915" s="42"/>
      <c r="AV915" s="42"/>
      <c r="AW915" s="42"/>
      <c r="AX915" s="68">
        <v>31.28</v>
      </c>
      <c r="AY915" s="68"/>
      <c r="BA915" s="37"/>
      <c r="BB915" s="37"/>
      <c r="BC915" s="37">
        <v>17</v>
      </c>
      <c r="BD915" s="67">
        <f t="shared" si="310"/>
        <v>4379.2</v>
      </c>
      <c r="BE915" s="67"/>
      <c r="BF915" s="37"/>
      <c r="BG915" s="73">
        <v>1</v>
      </c>
      <c r="BH915" s="67">
        <f t="shared" ref="BH915:BH929" si="317">IF(AND((AX915/I915)&lt;2,BG915=1),(I915*2)-AX915,0)</f>
        <v>0</v>
      </c>
      <c r="BI915" s="67">
        <f t="shared" ref="BI915:BI929" si="318">IF(AND((AX915/I915)&lt;3,BG915=2),(I915*3)-AX915,0)</f>
        <v>0</v>
      </c>
      <c r="BJ915" s="70">
        <f t="shared" ref="BJ915:BJ929" si="319">(BH915+BI915)*K915</f>
        <v>0</v>
      </c>
      <c r="BN915" s="37"/>
      <c r="BO915" s="70">
        <f t="shared" si="307"/>
        <v>0</v>
      </c>
      <c r="BP915" s="37">
        <v>12</v>
      </c>
      <c r="BQ915" s="37">
        <v>16</v>
      </c>
      <c r="BR915" s="37">
        <v>17</v>
      </c>
      <c r="BS915" s="37">
        <v>12</v>
      </c>
      <c r="BT915" s="87">
        <f t="shared" si="308"/>
        <v>31.28</v>
      </c>
      <c r="BU915" s="87"/>
      <c r="BV915" s="87"/>
      <c r="BW915" s="87"/>
      <c r="BX915" s="87"/>
      <c r="BY915" s="87"/>
      <c r="BZ915" s="87"/>
      <c r="CA915" s="87"/>
      <c r="CB915" s="87"/>
      <c r="CC915" s="87"/>
      <c r="CD915" s="87"/>
      <c r="CF915" s="67">
        <f t="shared" si="309"/>
        <v>375.36</v>
      </c>
      <c r="CG915" s="67">
        <f t="shared" si="311"/>
        <v>500.48</v>
      </c>
      <c r="CH915" s="67">
        <f t="shared" si="299"/>
        <v>531.76</v>
      </c>
      <c r="CI915" s="67">
        <f t="shared" si="316"/>
        <v>375.36</v>
      </c>
      <c r="CJ915" s="37">
        <f t="shared" si="312"/>
        <v>78</v>
      </c>
      <c r="CK915" s="37">
        <f t="shared" si="313"/>
        <v>104</v>
      </c>
      <c r="CL915" s="37">
        <f t="shared" si="314"/>
        <v>110.5</v>
      </c>
      <c r="CM915" s="37">
        <f t="shared" si="315"/>
        <v>78</v>
      </c>
    </row>
    <row r="916" spans="2:91" ht="25.5">
      <c r="B916" s="156">
        <v>900</v>
      </c>
      <c r="C916" s="160">
        <v>645</v>
      </c>
      <c r="D916" s="164">
        <v>784</v>
      </c>
      <c r="E916" s="161">
        <v>0.2638888888888889</v>
      </c>
      <c r="F916" s="161">
        <v>0.2673611111111111</v>
      </c>
      <c r="G916" s="160" t="s">
        <v>699</v>
      </c>
      <c r="H916" s="160" t="s">
        <v>242</v>
      </c>
      <c r="I916" s="163">
        <v>2.5</v>
      </c>
      <c r="J916" s="164" t="s">
        <v>116</v>
      </c>
      <c r="K916" s="165">
        <v>34</v>
      </c>
      <c r="L916" s="166">
        <f t="shared" si="298"/>
        <v>85</v>
      </c>
      <c r="M916" s="177" t="s">
        <v>791</v>
      </c>
      <c r="N916" s="154" t="s">
        <v>916</v>
      </c>
      <c r="O916" s="154">
        <v>9</v>
      </c>
      <c r="P916" s="154" t="s">
        <v>1315</v>
      </c>
      <c r="Q916" s="154">
        <v>8</v>
      </c>
      <c r="S916" s="154"/>
      <c r="T916" s="45">
        <v>6402</v>
      </c>
      <c r="U916" s="45" t="s">
        <v>1791</v>
      </c>
      <c r="V916" s="45" t="s">
        <v>1792</v>
      </c>
      <c r="W916" s="45" t="s">
        <v>1793</v>
      </c>
      <c r="X916" s="98">
        <v>44816</v>
      </c>
      <c r="Y916" s="98">
        <v>45086</v>
      </c>
      <c r="Z916" s="98"/>
      <c r="AA916" s="98"/>
      <c r="AB916" s="42" t="s">
        <v>1123</v>
      </c>
      <c r="AC916" s="42"/>
      <c r="AD916" s="42"/>
      <c r="AE916" s="42"/>
      <c r="AF916" s="42"/>
      <c r="AG916" s="42" t="s">
        <v>734</v>
      </c>
      <c r="AH916" s="42"/>
      <c r="AI916" s="42"/>
      <c r="AJ916" s="42"/>
      <c r="AK916" s="42"/>
      <c r="AL916" s="42"/>
      <c r="AM916" s="42" t="s">
        <v>734</v>
      </c>
      <c r="AN916" s="42"/>
      <c r="AO916" s="42"/>
      <c r="AP916" s="42"/>
      <c r="AQ916" s="42"/>
      <c r="AR916" s="42"/>
      <c r="AS916" s="42"/>
      <c r="AT916" s="42"/>
      <c r="AU916" s="42"/>
      <c r="AV916" s="42"/>
      <c r="AW916" s="42"/>
      <c r="AX916" s="68">
        <v>8.1999999999999993</v>
      </c>
      <c r="AY916" s="68"/>
      <c r="BA916" s="37"/>
      <c r="BB916" s="37"/>
      <c r="BD916" s="67">
        <f t="shared" si="310"/>
        <v>278.79999999999995</v>
      </c>
      <c r="BE916" s="67"/>
      <c r="BF916" s="37"/>
      <c r="BG916" s="73">
        <v>1</v>
      </c>
      <c r="BH916" s="67">
        <f t="shared" si="317"/>
        <v>0</v>
      </c>
      <c r="BI916" s="67">
        <f t="shared" si="318"/>
        <v>0</v>
      </c>
      <c r="BJ916" s="70">
        <f t="shared" si="319"/>
        <v>0</v>
      </c>
      <c r="BN916" s="67">
        <f t="shared" ref="BN916:BN921" si="320">IF((AX916+AY916+AZ916)&lt;20,(20-(AX916+AY916+AZ916)),0)</f>
        <v>11.8</v>
      </c>
      <c r="BO916" s="70">
        <f t="shared" si="307"/>
        <v>401.20000000000005</v>
      </c>
      <c r="BP916" s="37">
        <v>2</v>
      </c>
      <c r="BQ916" s="37">
        <v>5</v>
      </c>
      <c r="BR916" s="37">
        <v>4</v>
      </c>
      <c r="BS916" s="37">
        <v>3</v>
      </c>
      <c r="BT916" s="87">
        <f t="shared" si="308"/>
        <v>20</v>
      </c>
      <c r="BU916" s="87"/>
      <c r="BV916" s="87"/>
      <c r="BW916" s="87"/>
      <c r="BX916" s="87"/>
      <c r="BY916" s="87"/>
      <c r="BZ916" s="87"/>
      <c r="CA916" s="87"/>
      <c r="CB916" s="87"/>
      <c r="CC916" s="87"/>
      <c r="CD916" s="87"/>
      <c r="CF916" s="67">
        <f t="shared" si="309"/>
        <v>40</v>
      </c>
      <c r="CG916" s="67">
        <f t="shared" si="311"/>
        <v>100</v>
      </c>
      <c r="CH916" s="67">
        <f t="shared" si="299"/>
        <v>80</v>
      </c>
      <c r="CI916" s="67">
        <f t="shared" si="316"/>
        <v>60</v>
      </c>
      <c r="CJ916" s="37">
        <f t="shared" si="312"/>
        <v>5</v>
      </c>
      <c r="CK916" s="37">
        <f t="shared" si="313"/>
        <v>12.5</v>
      </c>
      <c r="CL916" s="37">
        <f t="shared" si="314"/>
        <v>10</v>
      </c>
      <c r="CM916" s="37">
        <f t="shared" si="315"/>
        <v>7.5</v>
      </c>
    </row>
    <row r="917" spans="2:91" ht="25.5">
      <c r="B917" s="156">
        <v>901</v>
      </c>
      <c r="C917" s="160">
        <v>645</v>
      </c>
      <c r="D917" s="164">
        <v>639</v>
      </c>
      <c r="E917" s="161">
        <v>0.26805555555555555</v>
      </c>
      <c r="F917" s="161">
        <v>0.27083333333333331</v>
      </c>
      <c r="G917" s="160" t="s">
        <v>244</v>
      </c>
      <c r="H917" s="160" t="s">
        <v>242</v>
      </c>
      <c r="I917" s="163">
        <v>2.5</v>
      </c>
      <c r="J917" s="164" t="s">
        <v>116</v>
      </c>
      <c r="K917" s="165">
        <v>34</v>
      </c>
      <c r="L917" s="166">
        <f t="shared" ref="L917:L981" si="321">+K917*I917</f>
        <v>85</v>
      </c>
      <c r="M917" s="177" t="s">
        <v>791</v>
      </c>
      <c r="N917" s="154" t="s">
        <v>916</v>
      </c>
      <c r="O917" s="154">
        <v>9</v>
      </c>
      <c r="P917" s="154" t="s">
        <v>1315</v>
      </c>
      <c r="Q917" s="154">
        <v>8</v>
      </c>
      <c r="S917" s="154"/>
      <c r="T917" s="45" t="s">
        <v>1792</v>
      </c>
      <c r="U917" s="45" t="s">
        <v>1793</v>
      </c>
      <c r="V917" s="45">
        <v>6402</v>
      </c>
      <c r="W917" s="45" t="s">
        <v>1791</v>
      </c>
      <c r="X917" s="98">
        <v>44816</v>
      </c>
      <c r="Y917" s="98">
        <v>45086</v>
      </c>
      <c r="Z917" s="98"/>
      <c r="AA917" s="98"/>
      <c r="AB917" s="42" t="s">
        <v>1123</v>
      </c>
      <c r="AC917" s="42"/>
      <c r="AD917" s="42"/>
      <c r="AE917" s="42"/>
      <c r="AF917" s="42"/>
      <c r="AG917" s="42" t="s">
        <v>734</v>
      </c>
      <c r="AH917" s="42"/>
      <c r="AI917" s="42"/>
      <c r="AJ917" s="42"/>
      <c r="AK917" s="42"/>
      <c r="AL917" s="42"/>
      <c r="AM917" s="42" t="s">
        <v>734</v>
      </c>
      <c r="AN917" s="42"/>
      <c r="AO917" s="42"/>
      <c r="AP917" s="42"/>
      <c r="AQ917" s="42"/>
      <c r="AR917" s="42"/>
      <c r="AS917" s="42"/>
      <c r="AT917" s="42"/>
      <c r="AU917" s="42"/>
      <c r="AV917" s="42"/>
      <c r="AW917" s="42"/>
      <c r="AX917" s="68">
        <v>8.1999999999999993</v>
      </c>
      <c r="AY917" s="68"/>
      <c r="BA917" s="37"/>
      <c r="BB917" s="37"/>
      <c r="BD917" s="67">
        <f t="shared" si="310"/>
        <v>278.79999999999995</v>
      </c>
      <c r="BE917" s="67"/>
      <c r="BF917" s="37"/>
      <c r="BG917" s="73">
        <v>1</v>
      </c>
      <c r="BH917" s="67">
        <f t="shared" si="317"/>
        <v>0</v>
      </c>
      <c r="BI917" s="67">
        <f t="shared" si="318"/>
        <v>0</v>
      </c>
      <c r="BJ917" s="70">
        <f t="shared" si="319"/>
        <v>0</v>
      </c>
      <c r="BN917" s="67">
        <f t="shared" si="320"/>
        <v>11.8</v>
      </c>
      <c r="BO917" s="70">
        <f t="shared" si="307"/>
        <v>401.20000000000005</v>
      </c>
      <c r="BP917" s="37">
        <v>2</v>
      </c>
      <c r="BQ917" s="37">
        <v>5</v>
      </c>
      <c r="BR917" s="37">
        <v>4</v>
      </c>
      <c r="BS917" s="37">
        <v>3</v>
      </c>
      <c r="BT917" s="87">
        <f t="shared" si="308"/>
        <v>20</v>
      </c>
      <c r="BU917" s="87"/>
      <c r="BV917" s="87"/>
      <c r="BW917" s="87"/>
      <c r="BX917" s="87"/>
      <c r="BY917" s="87"/>
      <c r="BZ917" s="87"/>
      <c r="CA917" s="87"/>
      <c r="CB917" s="87"/>
      <c r="CC917" s="87"/>
      <c r="CD917" s="87"/>
      <c r="CF917" s="67">
        <f t="shared" si="309"/>
        <v>40</v>
      </c>
      <c r="CG917" s="67">
        <f t="shared" si="311"/>
        <v>100</v>
      </c>
      <c r="CH917" s="67">
        <f t="shared" ref="CH917:CH973" si="322">(BR917*BT917)+(BZ917*CD917)</f>
        <v>80</v>
      </c>
      <c r="CI917" s="67">
        <f t="shared" si="316"/>
        <v>60</v>
      </c>
      <c r="CJ917" s="37">
        <f t="shared" si="312"/>
        <v>5</v>
      </c>
      <c r="CK917" s="37">
        <f t="shared" si="313"/>
        <v>12.5</v>
      </c>
      <c r="CL917" s="37">
        <f t="shared" si="314"/>
        <v>10</v>
      </c>
      <c r="CM917" s="37">
        <f t="shared" si="315"/>
        <v>7.5</v>
      </c>
    </row>
    <row r="918" spans="2:91" ht="25.5">
      <c r="B918" s="156">
        <v>902</v>
      </c>
      <c r="C918" s="160">
        <v>645</v>
      </c>
      <c r="D918" s="164">
        <v>784</v>
      </c>
      <c r="E918" s="161">
        <v>0.27083333333333331</v>
      </c>
      <c r="F918" s="161">
        <v>0.27430555555555552</v>
      </c>
      <c r="G918" s="160" t="s">
        <v>699</v>
      </c>
      <c r="H918" s="160" t="s">
        <v>103</v>
      </c>
      <c r="I918" s="163">
        <v>2.5</v>
      </c>
      <c r="J918" s="164" t="s">
        <v>116</v>
      </c>
      <c r="K918" s="165">
        <v>174</v>
      </c>
      <c r="L918" s="166">
        <f t="shared" si="321"/>
        <v>435</v>
      </c>
      <c r="M918" s="177" t="s">
        <v>791</v>
      </c>
      <c r="N918" s="154" t="s">
        <v>916</v>
      </c>
      <c r="O918" s="154">
        <v>9</v>
      </c>
      <c r="P918" s="154" t="s">
        <v>1315</v>
      </c>
      <c r="Q918" s="154">
        <v>8</v>
      </c>
      <c r="S918" s="154"/>
      <c r="T918" s="45">
        <v>6402</v>
      </c>
      <c r="U918" s="45" t="s">
        <v>1791</v>
      </c>
      <c r="V918" s="45" t="s">
        <v>1792</v>
      </c>
      <c r="W918" s="45" t="s">
        <v>1793</v>
      </c>
      <c r="X918" s="98">
        <v>44816</v>
      </c>
      <c r="Y918" s="98">
        <v>45086</v>
      </c>
      <c r="Z918" s="98"/>
      <c r="AA918" s="98"/>
      <c r="AB918" s="41" t="s">
        <v>1114</v>
      </c>
      <c r="AC918" s="41"/>
      <c r="AD918" s="42"/>
      <c r="AE918" s="42"/>
      <c r="AF918" s="42"/>
      <c r="AG918" s="42" t="s">
        <v>734</v>
      </c>
      <c r="AH918" s="42" t="s">
        <v>734</v>
      </c>
      <c r="AI918" s="42" t="s">
        <v>734</v>
      </c>
      <c r="AJ918" s="42" t="s">
        <v>734</v>
      </c>
      <c r="AK918" s="42" t="s">
        <v>734</v>
      </c>
      <c r="AL918" s="42" t="s">
        <v>734</v>
      </c>
      <c r="AM918" s="42"/>
      <c r="AN918" s="42"/>
      <c r="AO918" s="42"/>
      <c r="AP918" s="42"/>
      <c r="AQ918" s="42"/>
      <c r="AR918" s="42"/>
      <c r="AS918" s="42"/>
      <c r="AT918" s="42"/>
      <c r="AU918" s="42"/>
      <c r="AV918" s="42"/>
      <c r="AW918" s="42"/>
      <c r="AX918" s="68">
        <v>8.1999999999999993</v>
      </c>
      <c r="AY918" s="68"/>
      <c r="BA918" s="37"/>
      <c r="BB918" s="37"/>
      <c r="BD918" s="67">
        <f t="shared" si="310"/>
        <v>1426.8</v>
      </c>
      <c r="BE918" s="67"/>
      <c r="BF918" s="37"/>
      <c r="BG918" s="73">
        <v>1</v>
      </c>
      <c r="BH918" s="67">
        <f t="shared" si="317"/>
        <v>0</v>
      </c>
      <c r="BI918" s="67">
        <f t="shared" si="318"/>
        <v>0</v>
      </c>
      <c r="BJ918" s="70">
        <f t="shared" si="319"/>
        <v>0</v>
      </c>
      <c r="BN918" s="67">
        <f t="shared" si="320"/>
        <v>11.8</v>
      </c>
      <c r="BO918" s="70">
        <f t="shared" si="307"/>
        <v>2053.2000000000003</v>
      </c>
      <c r="BP918" s="37">
        <v>15</v>
      </c>
      <c r="BQ918" s="37">
        <v>20</v>
      </c>
      <c r="BR918" s="37">
        <v>21</v>
      </c>
      <c r="BS918" s="37">
        <v>15</v>
      </c>
      <c r="BT918" s="87">
        <f t="shared" si="308"/>
        <v>20</v>
      </c>
      <c r="BU918" s="87"/>
      <c r="BV918" s="87"/>
      <c r="BW918" s="87"/>
      <c r="BX918" s="87"/>
      <c r="BY918" s="87"/>
      <c r="BZ918" s="87"/>
      <c r="CA918" s="87"/>
      <c r="CB918" s="87"/>
      <c r="CC918" s="87"/>
      <c r="CD918" s="87"/>
      <c r="CF918" s="67">
        <f t="shared" si="309"/>
        <v>300</v>
      </c>
      <c r="CG918" s="67">
        <f t="shared" si="311"/>
        <v>400</v>
      </c>
      <c r="CH918" s="67">
        <f t="shared" si="322"/>
        <v>420</v>
      </c>
      <c r="CI918" s="67">
        <f t="shared" si="316"/>
        <v>300</v>
      </c>
      <c r="CJ918" s="37">
        <f t="shared" si="312"/>
        <v>37.5</v>
      </c>
      <c r="CK918" s="37">
        <f t="shared" si="313"/>
        <v>50</v>
      </c>
      <c r="CL918" s="37">
        <f t="shared" si="314"/>
        <v>52.5</v>
      </c>
      <c r="CM918" s="37">
        <f t="shared" si="315"/>
        <v>37.5</v>
      </c>
    </row>
    <row r="919" spans="2:91" ht="25.5">
      <c r="B919" s="156">
        <v>903</v>
      </c>
      <c r="C919" s="160">
        <v>645</v>
      </c>
      <c r="D919" s="164">
        <v>639</v>
      </c>
      <c r="E919" s="161">
        <v>0.27430555555555552</v>
      </c>
      <c r="F919" s="161">
        <v>0.27777777777777779</v>
      </c>
      <c r="G919" s="160" t="s">
        <v>244</v>
      </c>
      <c r="H919" s="160" t="s">
        <v>103</v>
      </c>
      <c r="I919" s="163">
        <v>2.5</v>
      </c>
      <c r="J919" s="164" t="s">
        <v>116</v>
      </c>
      <c r="K919" s="165">
        <v>174</v>
      </c>
      <c r="L919" s="166">
        <f t="shared" si="321"/>
        <v>435</v>
      </c>
      <c r="M919" s="177" t="s">
        <v>791</v>
      </c>
      <c r="N919" s="154" t="s">
        <v>916</v>
      </c>
      <c r="O919" s="154">
        <v>9</v>
      </c>
      <c r="P919" s="154" t="s">
        <v>1315</v>
      </c>
      <c r="Q919" s="154">
        <v>8</v>
      </c>
      <c r="S919" s="154"/>
      <c r="T919" s="45" t="s">
        <v>1792</v>
      </c>
      <c r="U919" s="45" t="s">
        <v>1793</v>
      </c>
      <c r="V919" s="45">
        <v>6402</v>
      </c>
      <c r="W919" s="45" t="s">
        <v>1791</v>
      </c>
      <c r="X919" s="98">
        <v>44816</v>
      </c>
      <c r="Y919" s="98">
        <v>45086</v>
      </c>
      <c r="Z919" s="98"/>
      <c r="AA919" s="98"/>
      <c r="AB919" s="41" t="s">
        <v>1114</v>
      </c>
      <c r="AC919" s="41"/>
      <c r="AD919" s="42"/>
      <c r="AE919" s="42"/>
      <c r="AF919" s="42"/>
      <c r="AG919" s="42" t="s">
        <v>734</v>
      </c>
      <c r="AH919" s="42" t="s">
        <v>734</v>
      </c>
      <c r="AI919" s="42" t="s">
        <v>734</v>
      </c>
      <c r="AJ919" s="42" t="s">
        <v>734</v>
      </c>
      <c r="AK919" s="42" t="s">
        <v>734</v>
      </c>
      <c r="AL919" s="42" t="s">
        <v>734</v>
      </c>
      <c r="AM919" s="42"/>
      <c r="AN919" s="42"/>
      <c r="AO919" s="42"/>
      <c r="AP919" s="42"/>
      <c r="AQ919" s="42"/>
      <c r="AR919" s="42"/>
      <c r="AS919" s="42"/>
      <c r="AT919" s="42"/>
      <c r="AU919" s="42"/>
      <c r="AV919" s="42"/>
      <c r="AW919" s="42"/>
      <c r="AX919" s="68">
        <v>8.1999999999999993</v>
      </c>
      <c r="AY919" s="68"/>
      <c r="BA919" s="37"/>
      <c r="BB919" s="37"/>
      <c r="BD919" s="67">
        <f t="shared" ref="BD919:BD944" si="323">AX919*K919</f>
        <v>1426.8</v>
      </c>
      <c r="BE919" s="67"/>
      <c r="BF919" s="37"/>
      <c r="BG919" s="73">
        <v>1</v>
      </c>
      <c r="BH919" s="67">
        <f t="shared" si="317"/>
        <v>0</v>
      </c>
      <c r="BI919" s="67">
        <f t="shared" si="318"/>
        <v>0</v>
      </c>
      <c r="BJ919" s="70">
        <f t="shared" si="319"/>
        <v>0</v>
      </c>
      <c r="BN919" s="67">
        <f t="shared" si="320"/>
        <v>11.8</v>
      </c>
      <c r="BO919" s="70">
        <f t="shared" si="307"/>
        <v>2053.2000000000003</v>
      </c>
      <c r="BP919" s="37">
        <v>15</v>
      </c>
      <c r="BQ919" s="37">
        <v>20</v>
      </c>
      <c r="BR919" s="37">
        <v>21</v>
      </c>
      <c r="BS919" s="37">
        <v>15</v>
      </c>
      <c r="BT919" s="87">
        <f t="shared" si="308"/>
        <v>20</v>
      </c>
      <c r="BU919" s="87"/>
      <c r="BV919" s="87"/>
      <c r="BW919" s="87"/>
      <c r="BX919" s="87"/>
      <c r="BY919" s="87"/>
      <c r="BZ919" s="87"/>
      <c r="CA919" s="87"/>
      <c r="CB919" s="87"/>
      <c r="CC919" s="87"/>
      <c r="CD919" s="87"/>
      <c r="CF919" s="67">
        <f t="shared" si="309"/>
        <v>300</v>
      </c>
      <c r="CG919" s="67">
        <f t="shared" si="311"/>
        <v>400</v>
      </c>
      <c r="CH919" s="67">
        <f t="shared" si="322"/>
        <v>420</v>
      </c>
      <c r="CI919" s="67">
        <f t="shared" si="316"/>
        <v>300</v>
      </c>
      <c r="CJ919" s="37">
        <f t="shared" si="312"/>
        <v>37.5</v>
      </c>
      <c r="CK919" s="37">
        <f t="shared" si="313"/>
        <v>50</v>
      </c>
      <c r="CL919" s="37">
        <f t="shared" si="314"/>
        <v>52.5</v>
      </c>
      <c r="CM919" s="37">
        <f t="shared" si="315"/>
        <v>37.5</v>
      </c>
    </row>
    <row r="920" spans="2:91" ht="25.5">
      <c r="B920" s="156">
        <v>904</v>
      </c>
      <c r="C920" s="160">
        <v>645</v>
      </c>
      <c r="D920" s="164">
        <v>639</v>
      </c>
      <c r="E920" s="161">
        <v>0.27430555555555552</v>
      </c>
      <c r="F920" s="161">
        <v>0.27638888888888885</v>
      </c>
      <c r="G920" s="160" t="s">
        <v>243</v>
      </c>
      <c r="H920" s="160" t="s">
        <v>242</v>
      </c>
      <c r="I920" s="163">
        <v>1.5</v>
      </c>
      <c r="J920" s="164" t="s">
        <v>116</v>
      </c>
      <c r="K920" s="165">
        <v>34</v>
      </c>
      <c r="L920" s="166">
        <f t="shared" si="321"/>
        <v>51</v>
      </c>
      <c r="M920" s="177" t="s">
        <v>791</v>
      </c>
      <c r="N920" s="154" t="s">
        <v>916</v>
      </c>
      <c r="O920" s="154">
        <v>9</v>
      </c>
      <c r="P920" s="154" t="s">
        <v>1315</v>
      </c>
      <c r="Q920" s="154">
        <v>8</v>
      </c>
      <c r="S920" s="154"/>
      <c r="T920" s="45" t="s">
        <v>1794</v>
      </c>
      <c r="U920" s="45" t="s">
        <v>1795</v>
      </c>
      <c r="V920" s="45">
        <v>6402</v>
      </c>
      <c r="W920" s="45" t="s">
        <v>1791</v>
      </c>
      <c r="X920" s="98">
        <v>44816</v>
      </c>
      <c r="Y920" s="98">
        <v>45086</v>
      </c>
      <c r="Z920" s="98"/>
      <c r="AA920" s="98"/>
      <c r="AB920" s="42" t="s">
        <v>1123</v>
      </c>
      <c r="AC920" s="42"/>
      <c r="AD920" s="42"/>
      <c r="AE920" s="42"/>
      <c r="AF920" s="42"/>
      <c r="AG920" s="42" t="s">
        <v>734</v>
      </c>
      <c r="AH920" s="42"/>
      <c r="AI920" s="42"/>
      <c r="AJ920" s="42"/>
      <c r="AK920" s="42"/>
      <c r="AL920" s="42"/>
      <c r="AM920" s="42" t="s">
        <v>734</v>
      </c>
      <c r="AN920" s="42"/>
      <c r="AO920" s="42"/>
      <c r="AP920" s="42"/>
      <c r="AQ920" s="42"/>
      <c r="AR920" s="42"/>
      <c r="AS920" s="42"/>
      <c r="AT920" s="42"/>
      <c r="AU920" s="42"/>
      <c r="AV920" s="42"/>
      <c r="AW920" s="42"/>
      <c r="AX920" s="68">
        <v>10</v>
      </c>
      <c r="AY920" s="68"/>
      <c r="BA920" s="37"/>
      <c r="BB920" s="37"/>
      <c r="BD920" s="67">
        <f t="shared" si="323"/>
        <v>340</v>
      </c>
      <c r="BE920" s="67"/>
      <c r="BF920" s="37"/>
      <c r="BG920" s="73">
        <v>1</v>
      </c>
      <c r="BH920" s="67">
        <f t="shared" si="317"/>
        <v>0</v>
      </c>
      <c r="BI920" s="67">
        <f t="shared" si="318"/>
        <v>0</v>
      </c>
      <c r="BJ920" s="70">
        <f t="shared" si="319"/>
        <v>0</v>
      </c>
      <c r="BN920" s="67">
        <f t="shared" si="320"/>
        <v>10</v>
      </c>
      <c r="BO920" s="70">
        <f t="shared" si="307"/>
        <v>340</v>
      </c>
      <c r="BP920" s="37">
        <v>2</v>
      </c>
      <c r="BQ920" s="37">
        <v>5</v>
      </c>
      <c r="BR920" s="37">
        <v>4</v>
      </c>
      <c r="BS920" s="37">
        <v>3</v>
      </c>
      <c r="BT920" s="87">
        <f t="shared" si="308"/>
        <v>20</v>
      </c>
      <c r="BU920" s="87"/>
      <c r="BV920" s="87"/>
      <c r="BW920" s="87"/>
      <c r="BX920" s="87"/>
      <c r="BY920" s="87"/>
      <c r="BZ920" s="87"/>
      <c r="CA920" s="87"/>
      <c r="CB920" s="87"/>
      <c r="CC920" s="87"/>
      <c r="CD920" s="87"/>
      <c r="CF920" s="67">
        <f t="shared" si="309"/>
        <v>40</v>
      </c>
      <c r="CG920" s="67">
        <f t="shared" si="311"/>
        <v>100</v>
      </c>
      <c r="CH920" s="67">
        <f t="shared" si="322"/>
        <v>80</v>
      </c>
      <c r="CI920" s="67">
        <f t="shared" si="316"/>
        <v>60</v>
      </c>
      <c r="CJ920" s="37">
        <f t="shared" si="312"/>
        <v>3</v>
      </c>
      <c r="CK920" s="37">
        <f t="shared" si="313"/>
        <v>7.5</v>
      </c>
      <c r="CL920" s="37">
        <f t="shared" si="314"/>
        <v>6</v>
      </c>
      <c r="CM920" s="37">
        <f t="shared" si="315"/>
        <v>4.5</v>
      </c>
    </row>
    <row r="921" spans="2:91" ht="33.75">
      <c r="B921" s="156">
        <v>905</v>
      </c>
      <c r="C921" s="160">
        <v>645</v>
      </c>
      <c r="D921" s="160">
        <v>418</v>
      </c>
      <c r="E921" s="161">
        <v>0.28819444444444448</v>
      </c>
      <c r="F921" s="161">
        <v>0.2902777777777778</v>
      </c>
      <c r="G921" s="160" t="s">
        <v>481</v>
      </c>
      <c r="H921" s="160" t="s">
        <v>97</v>
      </c>
      <c r="I921" s="163">
        <v>2</v>
      </c>
      <c r="J921" s="164" t="s">
        <v>167</v>
      </c>
      <c r="K921" s="165">
        <v>208</v>
      </c>
      <c r="L921" s="166">
        <f t="shared" si="321"/>
        <v>416</v>
      </c>
      <c r="M921" s="177" t="s">
        <v>787</v>
      </c>
      <c r="N921" s="154" t="s">
        <v>934</v>
      </c>
      <c r="O921" s="154">
        <v>9</v>
      </c>
      <c r="P921" s="154" t="s">
        <v>933</v>
      </c>
      <c r="Q921" s="154">
        <v>17</v>
      </c>
      <c r="R921" s="154" t="s">
        <v>935</v>
      </c>
      <c r="S921" s="151">
        <v>7</v>
      </c>
      <c r="T921" s="45" t="s">
        <v>1796</v>
      </c>
      <c r="U921" s="45" t="s">
        <v>1797</v>
      </c>
      <c r="V921" s="45">
        <v>6350</v>
      </c>
      <c r="W921" s="45" t="s">
        <v>1798</v>
      </c>
      <c r="X921" s="98">
        <v>44816</v>
      </c>
      <c r="Y921" s="98">
        <v>45086</v>
      </c>
      <c r="Z921" s="98"/>
      <c r="AA921" s="98"/>
      <c r="AB921" s="41" t="s">
        <v>1118</v>
      </c>
      <c r="AC921" s="41"/>
      <c r="AD921" s="42"/>
      <c r="AE921" s="42"/>
      <c r="AF921" s="42"/>
      <c r="AG921" s="42" t="s">
        <v>734</v>
      </c>
      <c r="AH921" s="42" t="s">
        <v>734</v>
      </c>
      <c r="AI921" s="42" t="s">
        <v>734</v>
      </c>
      <c r="AJ921" s="42" t="s">
        <v>734</v>
      </c>
      <c r="AK921" s="42" t="s">
        <v>734</v>
      </c>
      <c r="AL921" s="42" t="s">
        <v>734</v>
      </c>
      <c r="AM921" s="42" t="s">
        <v>734</v>
      </c>
      <c r="AN921" s="42"/>
      <c r="AO921" s="42"/>
      <c r="AP921" s="42"/>
      <c r="AQ921" s="42"/>
      <c r="AR921" s="42"/>
      <c r="AS921" s="42"/>
      <c r="AT921" s="42"/>
      <c r="AU921" s="42"/>
      <c r="AV921" s="42"/>
      <c r="AW921" s="42"/>
      <c r="AX921" s="68">
        <v>10</v>
      </c>
      <c r="AY921" s="68"/>
      <c r="BA921" s="37"/>
      <c r="BB921" s="37"/>
      <c r="BD921" s="67">
        <f t="shared" si="323"/>
        <v>2080</v>
      </c>
      <c r="BE921" s="67"/>
      <c r="BF921" s="37"/>
      <c r="BG921" s="73">
        <v>1</v>
      </c>
      <c r="BH921" s="67">
        <f t="shared" si="317"/>
        <v>0</v>
      </c>
      <c r="BI921" s="67">
        <f t="shared" si="318"/>
        <v>0</v>
      </c>
      <c r="BJ921" s="70">
        <f t="shared" si="319"/>
        <v>0</v>
      </c>
      <c r="BN921" s="67">
        <f t="shared" si="320"/>
        <v>10</v>
      </c>
      <c r="BO921" s="70">
        <f t="shared" si="307"/>
        <v>2080</v>
      </c>
      <c r="BP921" s="37">
        <v>17</v>
      </c>
      <c r="BQ921" s="37">
        <v>25</v>
      </c>
      <c r="BR921" s="37">
        <v>25</v>
      </c>
      <c r="BS921" s="37">
        <v>18</v>
      </c>
      <c r="BT921" s="87">
        <f t="shared" si="308"/>
        <v>20</v>
      </c>
      <c r="BU921" s="87"/>
      <c r="BV921" s="87"/>
      <c r="BW921" s="87"/>
      <c r="BX921" s="87"/>
      <c r="BY921" s="87"/>
      <c r="BZ921" s="87"/>
      <c r="CA921" s="87"/>
      <c r="CB921" s="87"/>
      <c r="CC921" s="87"/>
      <c r="CD921" s="87"/>
      <c r="CF921" s="67">
        <f t="shared" si="309"/>
        <v>340</v>
      </c>
      <c r="CG921" s="67">
        <f t="shared" si="311"/>
        <v>500</v>
      </c>
      <c r="CH921" s="67">
        <f t="shared" si="322"/>
        <v>500</v>
      </c>
      <c r="CI921" s="67">
        <f t="shared" si="316"/>
        <v>360</v>
      </c>
      <c r="CJ921" s="37">
        <f t="shared" si="312"/>
        <v>34</v>
      </c>
      <c r="CK921" s="37">
        <f t="shared" si="313"/>
        <v>50</v>
      </c>
      <c r="CL921" s="37">
        <f t="shared" si="314"/>
        <v>50</v>
      </c>
      <c r="CM921" s="37">
        <f t="shared" si="315"/>
        <v>36</v>
      </c>
    </row>
    <row r="922" spans="2:91" ht="45">
      <c r="B922" s="156">
        <v>906</v>
      </c>
      <c r="C922" s="160">
        <v>645</v>
      </c>
      <c r="D922" s="160">
        <v>43</v>
      </c>
      <c r="E922" s="161">
        <v>0.3611111111111111</v>
      </c>
      <c r="F922" s="161">
        <v>0.36805555555555558</v>
      </c>
      <c r="G922" s="160" t="s">
        <v>576</v>
      </c>
      <c r="H922" s="160" t="s">
        <v>577</v>
      </c>
      <c r="I922" s="163">
        <v>6</v>
      </c>
      <c r="J922" s="195">
        <v>23</v>
      </c>
      <c r="K922" s="165">
        <v>4</v>
      </c>
      <c r="L922" s="166">
        <f t="shared" si="321"/>
        <v>24</v>
      </c>
      <c r="M922" s="167" t="s">
        <v>1227</v>
      </c>
      <c r="N922" s="154" t="s">
        <v>960</v>
      </c>
      <c r="O922" s="154">
        <v>24</v>
      </c>
      <c r="P922" s="154" t="s">
        <v>961</v>
      </c>
      <c r="Q922" s="154">
        <v>21</v>
      </c>
      <c r="S922" s="154"/>
      <c r="T922" s="45" t="s">
        <v>1799</v>
      </c>
      <c r="U922" s="45" t="s">
        <v>1800</v>
      </c>
      <c r="V922" s="45">
        <v>6300</v>
      </c>
      <c r="W922" s="45" t="s">
        <v>1385</v>
      </c>
      <c r="X922" s="99">
        <v>44562</v>
      </c>
      <c r="Y922" s="99">
        <v>44815</v>
      </c>
      <c r="Z922" s="99">
        <v>45101</v>
      </c>
      <c r="AA922" s="99">
        <v>45169</v>
      </c>
      <c r="AB922" s="42" t="s">
        <v>1171</v>
      </c>
      <c r="AC922" s="42" t="s">
        <v>1135</v>
      </c>
      <c r="AD922" s="42"/>
      <c r="AE922" s="42" t="s">
        <v>734</v>
      </c>
      <c r="AF922" s="42" t="s">
        <v>734</v>
      </c>
      <c r="AG922" s="42"/>
      <c r="AH922" s="42"/>
      <c r="AI922" s="42"/>
      <c r="AJ922" s="42" t="s">
        <v>734</v>
      </c>
      <c r="AK922" s="42"/>
      <c r="AL922" s="42"/>
      <c r="AM922" s="42"/>
      <c r="AN922" s="42"/>
      <c r="AO922" s="42"/>
      <c r="AP922" s="42"/>
      <c r="AQ922" s="42"/>
      <c r="AR922" s="42"/>
      <c r="AS922" s="42"/>
      <c r="AT922" s="42"/>
      <c r="AU922" s="42"/>
      <c r="AV922" s="42"/>
      <c r="AW922" s="42"/>
      <c r="AX922" s="68">
        <v>18</v>
      </c>
      <c r="AY922" s="68"/>
      <c r="BA922" s="37"/>
      <c r="BB922" s="37"/>
      <c r="BD922" s="67">
        <f t="shared" si="323"/>
        <v>72</v>
      </c>
      <c r="BE922" s="67"/>
      <c r="BF922" s="37"/>
      <c r="BG922" s="73">
        <v>1</v>
      </c>
      <c r="BH922" s="67">
        <f t="shared" si="317"/>
        <v>0</v>
      </c>
      <c r="BI922" s="67">
        <f t="shared" si="318"/>
        <v>0</v>
      </c>
      <c r="BJ922" s="70">
        <f t="shared" si="319"/>
        <v>0</v>
      </c>
      <c r="BN922" s="37"/>
      <c r="BO922" s="70">
        <f t="shared" si="307"/>
        <v>0</v>
      </c>
      <c r="BP922" s="37">
        <v>0</v>
      </c>
      <c r="BQ922" s="37">
        <v>0</v>
      </c>
      <c r="BR922" s="37">
        <v>0</v>
      </c>
      <c r="BT922" s="87">
        <f t="shared" si="308"/>
        <v>18</v>
      </c>
      <c r="BU922" s="87"/>
      <c r="BV922" s="87"/>
      <c r="BW922" s="87"/>
      <c r="BX922" s="87"/>
      <c r="BY922" s="87"/>
      <c r="BZ922" s="87"/>
      <c r="CA922" s="87"/>
      <c r="CB922" s="87"/>
      <c r="CC922" s="87"/>
      <c r="CD922" s="87"/>
      <c r="CF922" s="67">
        <f t="shared" si="309"/>
        <v>0</v>
      </c>
      <c r="CG922" s="67">
        <f t="shared" si="311"/>
        <v>0</v>
      </c>
      <c r="CH922" s="67">
        <f t="shared" si="322"/>
        <v>0</v>
      </c>
      <c r="CI922" s="67">
        <f t="shared" si="316"/>
        <v>0</v>
      </c>
      <c r="CJ922" s="37">
        <f t="shared" si="312"/>
        <v>0</v>
      </c>
      <c r="CK922" s="37">
        <f t="shared" si="313"/>
        <v>0</v>
      </c>
      <c r="CL922" s="37">
        <f t="shared" si="314"/>
        <v>0</v>
      </c>
      <c r="CM922" s="37">
        <f t="shared" si="315"/>
        <v>0</v>
      </c>
    </row>
    <row r="923" spans="2:91" ht="38.25">
      <c r="B923" s="156">
        <v>907</v>
      </c>
      <c r="C923" s="160">
        <v>645</v>
      </c>
      <c r="D923" s="164">
        <v>739</v>
      </c>
      <c r="E923" s="161">
        <v>0.3611111111111111</v>
      </c>
      <c r="F923" s="161">
        <v>0.375</v>
      </c>
      <c r="G923" s="160" t="s">
        <v>241</v>
      </c>
      <c r="H923" s="160" t="s">
        <v>239</v>
      </c>
      <c r="I923" s="163">
        <v>9</v>
      </c>
      <c r="J923" s="164" t="s">
        <v>93</v>
      </c>
      <c r="K923" s="165">
        <v>104</v>
      </c>
      <c r="L923" s="166">
        <f t="shared" si="321"/>
        <v>936</v>
      </c>
      <c r="M923" s="177" t="s">
        <v>791</v>
      </c>
      <c r="N923" s="154" t="s">
        <v>917</v>
      </c>
      <c r="O923" s="154">
        <v>23</v>
      </c>
      <c r="P923" s="154" t="s">
        <v>918</v>
      </c>
      <c r="Q923" s="154">
        <v>21</v>
      </c>
      <c r="R923" s="154"/>
      <c r="S923" s="154"/>
      <c r="T923" s="45" t="s">
        <v>1801</v>
      </c>
      <c r="U923" s="45" t="s">
        <v>1802</v>
      </c>
      <c r="V923" s="45">
        <v>6405</v>
      </c>
      <c r="W923" s="45" t="s">
        <v>1803</v>
      </c>
      <c r="X923" s="98">
        <v>44805</v>
      </c>
      <c r="Y923" s="98">
        <v>45169</v>
      </c>
      <c r="Z923" s="98"/>
      <c r="AA923" s="98"/>
      <c r="AB923" s="43" t="s">
        <v>1172</v>
      </c>
      <c r="AC923" s="43"/>
      <c r="AD923" s="42" t="s">
        <v>734</v>
      </c>
      <c r="AE923" s="42" t="s">
        <v>734</v>
      </c>
      <c r="AF923" s="42" t="s">
        <v>734</v>
      </c>
      <c r="AG923" s="42"/>
      <c r="AH923" s="42"/>
      <c r="AI923" s="42" t="s">
        <v>734</v>
      </c>
      <c r="AJ923" s="42"/>
      <c r="AK923" s="42"/>
      <c r="AL923" s="42" t="s">
        <v>734</v>
      </c>
      <c r="AM923" s="42"/>
      <c r="AN923" s="42"/>
      <c r="AO923" s="42"/>
      <c r="AP923" s="42"/>
      <c r="AQ923" s="42"/>
      <c r="AR923" s="42"/>
      <c r="AS923" s="42"/>
      <c r="AT923" s="42"/>
      <c r="AU923" s="42"/>
      <c r="AV923" s="42"/>
      <c r="AW923" s="42"/>
      <c r="AX923" s="68">
        <v>50.17</v>
      </c>
      <c r="AY923" s="68"/>
      <c r="BA923" s="37"/>
      <c r="BB923" s="37"/>
      <c r="BD923" s="67">
        <f t="shared" si="323"/>
        <v>5217.68</v>
      </c>
      <c r="BE923" s="67"/>
      <c r="BF923" s="37"/>
      <c r="BG923" s="73">
        <v>1</v>
      </c>
      <c r="BH923" s="67">
        <f t="shared" si="317"/>
        <v>0</v>
      </c>
      <c r="BI923" s="67">
        <f t="shared" si="318"/>
        <v>0</v>
      </c>
      <c r="BJ923" s="70">
        <f t="shared" si="319"/>
        <v>0</v>
      </c>
      <c r="BN923" s="37"/>
      <c r="BO923" s="70">
        <f t="shared" si="307"/>
        <v>0</v>
      </c>
      <c r="BP923" s="37">
        <v>9</v>
      </c>
      <c r="BQ923" s="37">
        <v>8</v>
      </c>
      <c r="BR923" s="37">
        <v>8</v>
      </c>
      <c r="BS923" s="37">
        <v>9</v>
      </c>
      <c r="BT923" s="87">
        <f t="shared" si="308"/>
        <v>50.17</v>
      </c>
      <c r="BU923" s="87"/>
      <c r="BV923" s="87"/>
      <c r="BW923" s="87"/>
      <c r="BX923" s="87"/>
      <c r="BY923" s="87"/>
      <c r="BZ923" s="87"/>
      <c r="CA923" s="87"/>
      <c r="CB923" s="87"/>
      <c r="CC923" s="87"/>
      <c r="CD923" s="87"/>
      <c r="CF923" s="67">
        <f t="shared" si="309"/>
        <v>451.53000000000003</v>
      </c>
      <c r="CG923" s="67">
        <f t="shared" si="311"/>
        <v>401.36</v>
      </c>
      <c r="CH923" s="67">
        <f t="shared" si="322"/>
        <v>401.36</v>
      </c>
      <c r="CI923" s="67">
        <f t="shared" si="316"/>
        <v>451.53000000000003</v>
      </c>
      <c r="CJ923" s="37">
        <f t="shared" si="312"/>
        <v>81</v>
      </c>
      <c r="CK923" s="37">
        <f t="shared" si="313"/>
        <v>72</v>
      </c>
      <c r="CL923" s="37">
        <f t="shared" si="314"/>
        <v>72</v>
      </c>
      <c r="CM923" s="37">
        <f t="shared" si="315"/>
        <v>81</v>
      </c>
    </row>
    <row r="924" spans="2:91" ht="38.25">
      <c r="B924" s="156">
        <v>908</v>
      </c>
      <c r="C924" s="160">
        <v>645</v>
      </c>
      <c r="D924" s="162">
        <v>741</v>
      </c>
      <c r="E924" s="161">
        <v>0.45833333333333331</v>
      </c>
      <c r="F924" s="161">
        <v>0.47222222222222227</v>
      </c>
      <c r="G924" s="160" t="s">
        <v>240</v>
      </c>
      <c r="H924" s="160" t="s">
        <v>239</v>
      </c>
      <c r="I924" s="163">
        <v>9</v>
      </c>
      <c r="J924" s="164" t="s">
        <v>93</v>
      </c>
      <c r="K924" s="165">
        <v>104</v>
      </c>
      <c r="L924" s="166">
        <f t="shared" si="321"/>
        <v>936</v>
      </c>
      <c r="M924" s="177" t="s">
        <v>791</v>
      </c>
      <c r="N924" s="154" t="s">
        <v>917</v>
      </c>
      <c r="O924" s="154">
        <v>23</v>
      </c>
      <c r="P924" s="154" t="s">
        <v>918</v>
      </c>
      <c r="Q924" s="154">
        <v>21</v>
      </c>
      <c r="R924" s="154"/>
      <c r="S924" s="154"/>
      <c r="T924" s="45">
        <v>6405</v>
      </c>
      <c r="U924" s="45" t="s">
        <v>1803</v>
      </c>
      <c r="V924" s="45" t="s">
        <v>1792</v>
      </c>
      <c r="W924" s="45" t="s">
        <v>1793</v>
      </c>
      <c r="X924" s="98">
        <v>44805</v>
      </c>
      <c r="Y924" s="98">
        <v>45169</v>
      </c>
      <c r="Z924" s="98"/>
      <c r="AA924" s="98"/>
      <c r="AB924" s="43" t="s">
        <v>1172</v>
      </c>
      <c r="AC924" s="43"/>
      <c r="AD924" s="42" t="s">
        <v>734</v>
      </c>
      <c r="AE924" s="42" t="s">
        <v>734</v>
      </c>
      <c r="AF924" s="42" t="s">
        <v>734</v>
      </c>
      <c r="AG924" s="42"/>
      <c r="AH924" s="42"/>
      <c r="AI924" s="42" t="s">
        <v>734</v>
      </c>
      <c r="AJ924" s="42"/>
      <c r="AK924" s="42"/>
      <c r="AL924" s="42" t="s">
        <v>734</v>
      </c>
      <c r="AM924" s="42"/>
      <c r="AN924" s="42"/>
      <c r="AO924" s="42"/>
      <c r="AP924" s="42"/>
      <c r="AQ924" s="42"/>
      <c r="AR924" s="42"/>
      <c r="AS924" s="42"/>
      <c r="AT924" s="42"/>
      <c r="AU924" s="42"/>
      <c r="AV924" s="42"/>
      <c r="AW924" s="42"/>
      <c r="AX924" s="68">
        <v>50.17</v>
      </c>
      <c r="AY924" s="68"/>
      <c r="BA924" s="37"/>
      <c r="BB924" s="37"/>
      <c r="BD924" s="67">
        <f t="shared" si="323"/>
        <v>5217.68</v>
      </c>
      <c r="BE924" s="67"/>
      <c r="BF924" s="37"/>
      <c r="BG924" s="73">
        <v>1</v>
      </c>
      <c r="BH924" s="67">
        <f t="shared" si="317"/>
        <v>0</v>
      </c>
      <c r="BI924" s="67">
        <f t="shared" si="318"/>
        <v>0</v>
      </c>
      <c r="BJ924" s="70">
        <f t="shared" si="319"/>
        <v>0</v>
      </c>
      <c r="BN924" s="37"/>
      <c r="BO924" s="70">
        <f t="shared" si="307"/>
        <v>0</v>
      </c>
      <c r="BP924" s="37">
        <v>9</v>
      </c>
      <c r="BQ924" s="37">
        <v>8</v>
      </c>
      <c r="BR924" s="37">
        <v>8</v>
      </c>
      <c r="BS924" s="37">
        <v>9</v>
      </c>
      <c r="BT924" s="87">
        <f t="shared" si="308"/>
        <v>50.17</v>
      </c>
      <c r="BU924" s="87"/>
      <c r="BV924" s="87"/>
      <c r="BW924" s="87"/>
      <c r="BX924" s="87"/>
      <c r="BY924" s="87"/>
      <c r="BZ924" s="87"/>
      <c r="CA924" s="87"/>
      <c r="CB924" s="87"/>
      <c r="CC924" s="87"/>
      <c r="CD924" s="87"/>
      <c r="CF924" s="67">
        <f t="shared" si="309"/>
        <v>451.53000000000003</v>
      </c>
      <c r="CG924" s="67">
        <f t="shared" si="311"/>
        <v>401.36</v>
      </c>
      <c r="CH924" s="67">
        <f t="shared" si="322"/>
        <v>401.36</v>
      </c>
      <c r="CI924" s="67">
        <f t="shared" si="316"/>
        <v>451.53000000000003</v>
      </c>
      <c r="CJ924" s="37">
        <f t="shared" si="312"/>
        <v>81</v>
      </c>
      <c r="CK924" s="37">
        <f t="shared" si="313"/>
        <v>72</v>
      </c>
      <c r="CL924" s="37">
        <f t="shared" si="314"/>
        <v>72</v>
      </c>
      <c r="CM924" s="37">
        <f t="shared" si="315"/>
        <v>81</v>
      </c>
    </row>
    <row r="925" spans="2:91" ht="45">
      <c r="B925" s="156">
        <v>909</v>
      </c>
      <c r="C925" s="160">
        <v>645</v>
      </c>
      <c r="D925" s="160">
        <v>44</v>
      </c>
      <c r="E925" s="173">
        <v>0.51388888888888895</v>
      </c>
      <c r="F925" s="173">
        <v>0.52083333333333337</v>
      </c>
      <c r="G925" s="160" t="s">
        <v>578</v>
      </c>
      <c r="H925" s="160" t="s">
        <v>577</v>
      </c>
      <c r="I925" s="163">
        <v>6</v>
      </c>
      <c r="J925" s="195">
        <v>23</v>
      </c>
      <c r="K925" s="165">
        <v>4</v>
      </c>
      <c r="L925" s="166">
        <f t="shared" si="321"/>
        <v>24</v>
      </c>
      <c r="M925" s="167" t="s">
        <v>1227</v>
      </c>
      <c r="N925" s="154" t="s">
        <v>960</v>
      </c>
      <c r="O925" s="154">
        <v>24</v>
      </c>
      <c r="P925" s="154" t="s">
        <v>961</v>
      </c>
      <c r="Q925" s="154">
        <v>21</v>
      </c>
      <c r="S925" s="154"/>
      <c r="T925" s="45">
        <v>6300</v>
      </c>
      <c r="U925" s="45" t="s">
        <v>1385</v>
      </c>
      <c r="V925" s="45" t="s">
        <v>1799</v>
      </c>
      <c r="W925" s="45" t="s">
        <v>1800</v>
      </c>
      <c r="X925" s="99">
        <v>44562</v>
      </c>
      <c r="Y925" s="99">
        <v>44815</v>
      </c>
      <c r="Z925" s="99">
        <v>45101</v>
      </c>
      <c r="AA925" s="99">
        <v>45169</v>
      </c>
      <c r="AB925" s="42" t="s">
        <v>1171</v>
      </c>
      <c r="AC925" s="42" t="s">
        <v>1135</v>
      </c>
      <c r="AD925" s="42"/>
      <c r="AE925" s="42" t="s">
        <v>734</v>
      </c>
      <c r="AF925" s="42" t="s">
        <v>734</v>
      </c>
      <c r="AG925" s="42"/>
      <c r="AH925" s="42"/>
      <c r="AI925" s="42"/>
      <c r="AJ925" s="42" t="s">
        <v>734</v>
      </c>
      <c r="AK925" s="42"/>
      <c r="AL925" s="42"/>
      <c r="AM925" s="42"/>
      <c r="AN925" s="42"/>
      <c r="AO925" s="42"/>
      <c r="AP925" s="42"/>
      <c r="AQ925" s="42"/>
      <c r="AR925" s="42"/>
      <c r="AS925" s="42"/>
      <c r="AT925" s="42"/>
      <c r="AU925" s="42"/>
      <c r="AV925" s="42"/>
      <c r="AW925" s="42"/>
      <c r="AX925" s="68">
        <v>18</v>
      </c>
      <c r="AY925" s="68"/>
      <c r="BA925" s="37"/>
      <c r="BB925" s="37"/>
      <c r="BD925" s="67">
        <f t="shared" si="323"/>
        <v>72</v>
      </c>
      <c r="BE925" s="67"/>
      <c r="BF925" s="37"/>
      <c r="BG925" s="73">
        <v>1</v>
      </c>
      <c r="BH925" s="67">
        <f t="shared" si="317"/>
        <v>0</v>
      </c>
      <c r="BI925" s="67">
        <f t="shared" si="318"/>
        <v>0</v>
      </c>
      <c r="BJ925" s="70">
        <f t="shared" si="319"/>
        <v>0</v>
      </c>
      <c r="BN925" s="37"/>
      <c r="BO925" s="70">
        <f t="shared" si="307"/>
        <v>0</v>
      </c>
      <c r="BP925" s="37">
        <v>0</v>
      </c>
      <c r="BQ925" s="37">
        <v>0</v>
      </c>
      <c r="BR925" s="37">
        <v>0</v>
      </c>
      <c r="BT925" s="87">
        <f t="shared" si="308"/>
        <v>18</v>
      </c>
      <c r="BU925" s="87"/>
      <c r="BV925" s="87"/>
      <c r="BW925" s="87"/>
      <c r="BX925" s="87"/>
      <c r="BY925" s="87"/>
      <c r="BZ925" s="87"/>
      <c r="CA925" s="87"/>
      <c r="CB925" s="87"/>
      <c r="CC925" s="87"/>
      <c r="CD925" s="87"/>
      <c r="CF925" s="67">
        <f t="shared" si="309"/>
        <v>0</v>
      </c>
      <c r="CG925" s="67">
        <f t="shared" si="311"/>
        <v>0</v>
      </c>
      <c r="CH925" s="67">
        <f t="shared" si="322"/>
        <v>0</v>
      </c>
      <c r="CI925" s="67">
        <f t="shared" si="316"/>
        <v>0</v>
      </c>
      <c r="CJ925" s="37">
        <f t="shared" si="312"/>
        <v>0</v>
      </c>
      <c r="CK925" s="37">
        <f t="shared" si="313"/>
        <v>0</v>
      </c>
      <c r="CL925" s="37">
        <f t="shared" si="314"/>
        <v>0</v>
      </c>
      <c r="CM925" s="37">
        <f t="shared" si="315"/>
        <v>0</v>
      </c>
    </row>
    <row r="926" spans="2:91" ht="25.5">
      <c r="B926" s="156">
        <v>910</v>
      </c>
      <c r="C926" s="160">
        <v>645</v>
      </c>
      <c r="D926" s="162">
        <v>786</v>
      </c>
      <c r="E926" s="161">
        <v>0.54583333333333328</v>
      </c>
      <c r="F926" s="161">
        <v>0.54722222222222217</v>
      </c>
      <c r="G926" s="160" t="s">
        <v>438</v>
      </c>
      <c r="H926" s="160" t="s">
        <v>97</v>
      </c>
      <c r="I926" s="163">
        <v>3</v>
      </c>
      <c r="J926" s="164" t="s">
        <v>93</v>
      </c>
      <c r="K926" s="165">
        <v>208</v>
      </c>
      <c r="L926" s="166">
        <f t="shared" si="321"/>
        <v>624</v>
      </c>
      <c r="M926" s="177" t="s">
        <v>791</v>
      </c>
      <c r="N926" s="154" t="s">
        <v>1039</v>
      </c>
      <c r="O926" s="154">
        <v>21</v>
      </c>
      <c r="P926" s="154" t="s">
        <v>1316</v>
      </c>
      <c r="Q926" s="154">
        <v>23</v>
      </c>
      <c r="R926" s="154"/>
      <c r="S926" s="154"/>
      <c r="T926" s="45">
        <v>6403</v>
      </c>
      <c r="U926" s="45" t="s">
        <v>1804</v>
      </c>
      <c r="V926" s="45">
        <v>6403</v>
      </c>
      <c r="W926" s="45" t="s">
        <v>1804</v>
      </c>
      <c r="X926" s="98">
        <v>44816</v>
      </c>
      <c r="Y926" s="98">
        <v>45086</v>
      </c>
      <c r="Z926" s="98"/>
      <c r="AA926" s="98"/>
      <c r="AB926" s="41" t="s">
        <v>1118</v>
      </c>
      <c r="AC926" s="41"/>
      <c r="AD926" s="42"/>
      <c r="AE926" s="42"/>
      <c r="AF926" s="42"/>
      <c r="AG926" s="42" t="s">
        <v>734</v>
      </c>
      <c r="AH926" s="42" t="s">
        <v>734</v>
      </c>
      <c r="AI926" s="42" t="s">
        <v>734</v>
      </c>
      <c r="AJ926" s="42" t="s">
        <v>734</v>
      </c>
      <c r="AK926" s="42" t="s">
        <v>734</v>
      </c>
      <c r="AL926" s="42" t="s">
        <v>734</v>
      </c>
      <c r="AM926" s="42" t="s">
        <v>734</v>
      </c>
      <c r="AN926" s="42"/>
      <c r="AO926" s="42"/>
      <c r="AP926" s="42"/>
      <c r="AQ926" s="42"/>
      <c r="AR926" s="42"/>
      <c r="AS926" s="42"/>
      <c r="AT926" s="42"/>
      <c r="AU926" s="42"/>
      <c r="AV926" s="42"/>
      <c r="AW926" s="42"/>
      <c r="AX926" s="68">
        <v>9</v>
      </c>
      <c r="AY926" s="68"/>
      <c r="BA926" s="37"/>
      <c r="BB926" s="37"/>
      <c r="BD926" s="67">
        <f t="shared" si="323"/>
        <v>1872</v>
      </c>
      <c r="BE926" s="67"/>
      <c r="BF926" s="37"/>
      <c r="BG926" s="73">
        <v>1</v>
      </c>
      <c r="BH926" s="67">
        <f t="shared" si="317"/>
        <v>0</v>
      </c>
      <c r="BI926" s="67">
        <f t="shared" si="318"/>
        <v>0</v>
      </c>
      <c r="BJ926" s="70">
        <f t="shared" si="319"/>
        <v>0</v>
      </c>
      <c r="BN926" s="37"/>
      <c r="BO926" s="70">
        <f t="shared" si="307"/>
        <v>0</v>
      </c>
      <c r="BP926" s="37">
        <v>17</v>
      </c>
      <c r="BQ926" s="37">
        <v>25</v>
      </c>
      <c r="BR926" s="37">
        <v>25</v>
      </c>
      <c r="BS926" s="37">
        <v>18</v>
      </c>
      <c r="BT926" s="87">
        <f t="shared" si="308"/>
        <v>9</v>
      </c>
      <c r="BU926" s="87"/>
      <c r="BV926" s="87"/>
      <c r="BW926" s="87"/>
      <c r="BX926" s="87"/>
      <c r="BY926" s="87"/>
      <c r="BZ926" s="87"/>
      <c r="CA926" s="87"/>
      <c r="CB926" s="87"/>
      <c r="CC926" s="87"/>
      <c r="CD926" s="87"/>
      <c r="CF926" s="67">
        <f t="shared" si="309"/>
        <v>153</v>
      </c>
      <c r="CG926" s="67">
        <f t="shared" si="311"/>
        <v>225</v>
      </c>
      <c r="CH926" s="67">
        <f t="shared" si="322"/>
        <v>225</v>
      </c>
      <c r="CI926" s="67">
        <f t="shared" si="316"/>
        <v>162</v>
      </c>
      <c r="CJ926" s="37">
        <f t="shared" si="312"/>
        <v>51</v>
      </c>
      <c r="CK926" s="37">
        <f t="shared" si="313"/>
        <v>75</v>
      </c>
      <c r="CL926" s="37">
        <f t="shared" si="314"/>
        <v>75</v>
      </c>
      <c r="CM926" s="37">
        <f t="shared" si="315"/>
        <v>54</v>
      </c>
    </row>
    <row r="927" spans="2:91" ht="25.5">
      <c r="B927" s="156">
        <v>911</v>
      </c>
      <c r="C927" s="160">
        <v>645</v>
      </c>
      <c r="D927" s="162">
        <v>786</v>
      </c>
      <c r="E927" s="161">
        <v>0.54722222222222217</v>
      </c>
      <c r="F927" s="161">
        <v>0.55277777777777781</v>
      </c>
      <c r="G927" s="160" t="s">
        <v>436</v>
      </c>
      <c r="H927" s="160" t="s">
        <v>437</v>
      </c>
      <c r="I927" s="163">
        <v>3.1</v>
      </c>
      <c r="J927" s="164" t="s">
        <v>125</v>
      </c>
      <c r="K927" s="165">
        <f>174-33-34</f>
        <v>107</v>
      </c>
      <c r="L927" s="166">
        <f t="shared" si="321"/>
        <v>331.7</v>
      </c>
      <c r="M927" s="177" t="s">
        <v>791</v>
      </c>
      <c r="N927" s="154" t="s">
        <v>918</v>
      </c>
      <c r="O927" s="154">
        <v>21</v>
      </c>
      <c r="P927" s="154" t="s">
        <v>917</v>
      </c>
      <c r="Q927" s="154">
        <v>23</v>
      </c>
      <c r="R927" s="154" t="s">
        <v>916</v>
      </c>
      <c r="S927" s="151">
        <v>9</v>
      </c>
      <c r="T927" s="45">
        <v>6403</v>
      </c>
      <c r="U927" s="45" t="s">
        <v>1804</v>
      </c>
      <c r="V927" s="45" t="s">
        <v>1792</v>
      </c>
      <c r="W927" s="45" t="s">
        <v>1793</v>
      </c>
      <c r="X927" s="98">
        <v>44816</v>
      </c>
      <c r="Y927" s="98">
        <v>45086</v>
      </c>
      <c r="Z927" s="98"/>
      <c r="AA927" s="98"/>
      <c r="AB927" s="43" t="s">
        <v>1167</v>
      </c>
      <c r="AC927" s="43"/>
      <c r="AD927" s="42"/>
      <c r="AE927" s="42"/>
      <c r="AF927" s="42"/>
      <c r="AG927" s="42" t="s">
        <v>734</v>
      </c>
      <c r="AH927" s="42"/>
      <c r="AI927" s="42" t="s">
        <v>734</v>
      </c>
      <c r="AJ927" s="42" t="s">
        <v>734</v>
      </c>
      <c r="AK927" s="42"/>
      <c r="AL927" s="42" t="s">
        <v>734</v>
      </c>
      <c r="AM927" s="42"/>
      <c r="AN927" s="42"/>
      <c r="AO927" s="42"/>
      <c r="AP927" s="42"/>
      <c r="AQ927" s="42"/>
      <c r="AR927" s="42"/>
      <c r="AS927" s="42"/>
      <c r="AT927" s="42"/>
      <c r="AU927" s="42"/>
      <c r="AV927" s="42"/>
      <c r="AW927" s="42"/>
      <c r="AX927" s="68">
        <v>5.58</v>
      </c>
      <c r="AY927" s="68"/>
      <c r="BA927" s="37"/>
      <c r="BB927" s="37"/>
      <c r="BD927" s="67">
        <f t="shared" si="323"/>
        <v>597.06000000000006</v>
      </c>
      <c r="BE927" s="67"/>
      <c r="BF927" s="37"/>
      <c r="BG927" s="73">
        <v>1</v>
      </c>
      <c r="BH927" s="67">
        <f t="shared" si="317"/>
        <v>0.62000000000000011</v>
      </c>
      <c r="BI927" s="67">
        <f t="shared" si="318"/>
        <v>0</v>
      </c>
      <c r="BJ927" s="67">
        <f t="shared" si="319"/>
        <v>66.340000000000018</v>
      </c>
      <c r="BN927" s="37"/>
      <c r="BO927" s="70">
        <f t="shared" si="307"/>
        <v>0</v>
      </c>
      <c r="BP927" s="37">
        <v>9</v>
      </c>
      <c r="BQ927" s="37">
        <v>12</v>
      </c>
      <c r="BR927" s="37">
        <v>13</v>
      </c>
      <c r="BS927" s="37">
        <v>9</v>
      </c>
      <c r="BT927" s="87">
        <f t="shared" si="308"/>
        <v>6.2</v>
      </c>
      <c r="BU927" s="87"/>
      <c r="BV927" s="87"/>
      <c r="BW927" s="87"/>
      <c r="BX927" s="87"/>
      <c r="BY927" s="87"/>
      <c r="BZ927" s="87"/>
      <c r="CA927" s="87"/>
      <c r="CB927" s="87"/>
      <c r="CC927" s="87"/>
      <c r="CD927" s="87"/>
      <c r="CF927" s="67">
        <f t="shared" si="309"/>
        <v>55.800000000000004</v>
      </c>
      <c r="CG927" s="67">
        <f t="shared" si="311"/>
        <v>74.400000000000006</v>
      </c>
      <c r="CH927" s="67">
        <f t="shared" si="322"/>
        <v>80.600000000000009</v>
      </c>
      <c r="CI927" s="67">
        <f t="shared" si="316"/>
        <v>55.800000000000004</v>
      </c>
      <c r="CJ927" s="37">
        <f t="shared" si="312"/>
        <v>27.900000000000002</v>
      </c>
      <c r="CK927" s="37">
        <f t="shared" si="313"/>
        <v>37.200000000000003</v>
      </c>
      <c r="CL927" s="37">
        <f t="shared" si="314"/>
        <v>40.300000000000004</v>
      </c>
      <c r="CM927" s="37">
        <f t="shared" si="315"/>
        <v>27.900000000000002</v>
      </c>
    </row>
    <row r="928" spans="2:91" ht="33.75">
      <c r="B928" s="156">
        <v>912</v>
      </c>
      <c r="C928" s="160">
        <v>645</v>
      </c>
      <c r="D928" s="162">
        <v>682</v>
      </c>
      <c r="E928" s="161">
        <v>0.5541666666666667</v>
      </c>
      <c r="F928" s="161">
        <v>0.59861111111111109</v>
      </c>
      <c r="G928" s="160" t="s">
        <v>430</v>
      </c>
      <c r="H928" s="160" t="s">
        <v>103</v>
      </c>
      <c r="I928" s="163">
        <f>41.5+3.2</f>
        <v>44.7</v>
      </c>
      <c r="J928" s="164" t="s">
        <v>111</v>
      </c>
      <c r="K928" s="165">
        <v>174</v>
      </c>
      <c r="L928" s="166">
        <f t="shared" si="321"/>
        <v>7777.8</v>
      </c>
      <c r="M928" s="177" t="s">
        <v>791</v>
      </c>
      <c r="N928" s="154" t="s">
        <v>919</v>
      </c>
      <c r="O928" s="154">
        <v>61</v>
      </c>
      <c r="P928" s="154" t="s">
        <v>1317</v>
      </c>
      <c r="Q928" s="154">
        <v>45</v>
      </c>
      <c r="R928" s="154" t="s">
        <v>1994</v>
      </c>
      <c r="S928" s="151">
        <v>58</v>
      </c>
      <c r="T928" s="45" t="s">
        <v>1805</v>
      </c>
      <c r="U928" s="45" t="s">
        <v>1806</v>
      </c>
      <c r="V928" s="45">
        <v>6407</v>
      </c>
      <c r="W928" s="45" t="s">
        <v>1807</v>
      </c>
      <c r="X928" s="98">
        <v>44816</v>
      </c>
      <c r="Y928" s="98">
        <v>45086</v>
      </c>
      <c r="Z928" s="98"/>
      <c r="AA928" s="98"/>
      <c r="AB928" s="41" t="s">
        <v>1114</v>
      </c>
      <c r="AC928" s="41"/>
      <c r="AD928" s="42"/>
      <c r="AE928" s="42"/>
      <c r="AF928" s="42"/>
      <c r="AG928" s="42" t="s">
        <v>734</v>
      </c>
      <c r="AH928" s="42" t="s">
        <v>734</v>
      </c>
      <c r="AI928" s="42" t="s">
        <v>734</v>
      </c>
      <c r="AJ928" s="42" t="s">
        <v>734</v>
      </c>
      <c r="AK928" s="42" t="s">
        <v>734</v>
      </c>
      <c r="AL928" s="42" t="s">
        <v>734</v>
      </c>
      <c r="AM928" s="42"/>
      <c r="AN928" s="42"/>
      <c r="AO928" s="42"/>
      <c r="AP928" s="42"/>
      <c r="AQ928" s="42"/>
      <c r="AR928" s="42"/>
      <c r="AS928" s="42"/>
      <c r="AT928" s="42"/>
      <c r="AU928" s="42"/>
      <c r="AV928" s="42"/>
      <c r="AW928" s="42"/>
      <c r="AX928" s="68">
        <v>134.1</v>
      </c>
      <c r="AY928" s="68"/>
      <c r="BA928" s="37"/>
      <c r="BB928" s="37"/>
      <c r="BD928" s="67">
        <f t="shared" si="323"/>
        <v>23333.399999999998</v>
      </c>
      <c r="BE928" s="67"/>
      <c r="BF928" s="37"/>
      <c r="BG928" s="69">
        <v>2</v>
      </c>
      <c r="BH928" s="67">
        <f t="shared" si="317"/>
        <v>0</v>
      </c>
      <c r="BI928" s="67">
        <f t="shared" si="318"/>
        <v>0</v>
      </c>
      <c r="BJ928" s="70">
        <f t="shared" si="319"/>
        <v>0</v>
      </c>
      <c r="BN928" s="37"/>
      <c r="BO928" s="70">
        <f t="shared" si="307"/>
        <v>0</v>
      </c>
      <c r="BP928" s="37">
        <v>15</v>
      </c>
      <c r="BQ928" s="37">
        <v>20</v>
      </c>
      <c r="BR928" s="37">
        <v>21</v>
      </c>
      <c r="BS928" s="37">
        <v>15</v>
      </c>
      <c r="BT928" s="87">
        <f t="shared" si="308"/>
        <v>134.1</v>
      </c>
      <c r="BU928" s="87"/>
      <c r="BV928" s="87"/>
      <c r="BW928" s="87"/>
      <c r="BX928" s="87"/>
      <c r="BY928" s="87"/>
      <c r="BZ928" s="87"/>
      <c r="CA928" s="87"/>
      <c r="CB928" s="87"/>
      <c r="CC928" s="87"/>
      <c r="CD928" s="87"/>
      <c r="CF928" s="67">
        <f t="shared" si="309"/>
        <v>2011.5</v>
      </c>
      <c r="CG928" s="67">
        <f t="shared" si="311"/>
        <v>2682</v>
      </c>
      <c r="CH928" s="67">
        <f t="shared" si="322"/>
        <v>2816.1</v>
      </c>
      <c r="CI928" s="67">
        <f t="shared" si="316"/>
        <v>2011.5</v>
      </c>
      <c r="CJ928" s="37">
        <f t="shared" si="312"/>
        <v>670.5</v>
      </c>
      <c r="CK928" s="37">
        <f t="shared" si="313"/>
        <v>894</v>
      </c>
      <c r="CL928" s="37">
        <f t="shared" si="314"/>
        <v>938.7</v>
      </c>
      <c r="CM928" s="37">
        <f t="shared" si="315"/>
        <v>670.5</v>
      </c>
    </row>
    <row r="929" spans="1:91" ht="33.75">
      <c r="B929" s="156">
        <v>913</v>
      </c>
      <c r="C929" s="160">
        <v>645</v>
      </c>
      <c r="D929" s="160">
        <v>314</v>
      </c>
      <c r="E929" s="161">
        <v>0.7631944444444444</v>
      </c>
      <c r="F929" s="161">
        <v>0.77986111111111101</v>
      </c>
      <c r="G929" s="160" t="s">
        <v>412</v>
      </c>
      <c r="H929" s="160" t="s">
        <v>479</v>
      </c>
      <c r="I929" s="163">
        <v>12.4</v>
      </c>
      <c r="J929" s="164" t="s">
        <v>146</v>
      </c>
      <c r="K929" s="165">
        <v>240</v>
      </c>
      <c r="L929" s="166">
        <f t="shared" si="321"/>
        <v>2976</v>
      </c>
      <c r="M929" s="177" t="s">
        <v>787</v>
      </c>
      <c r="N929" s="154" t="s">
        <v>933</v>
      </c>
      <c r="O929" s="154">
        <v>17</v>
      </c>
      <c r="P929" s="154" t="s">
        <v>932</v>
      </c>
      <c r="Q929" s="154">
        <v>21</v>
      </c>
      <c r="R929" s="154"/>
      <c r="S929" s="154"/>
      <c r="T929" s="45">
        <v>6401</v>
      </c>
      <c r="U929" s="45" t="s">
        <v>1808</v>
      </c>
      <c r="V929" s="45">
        <v>6407</v>
      </c>
      <c r="W929" s="45" t="s">
        <v>1807</v>
      </c>
      <c r="X929" s="99">
        <v>44816</v>
      </c>
      <c r="Y929" s="99">
        <v>45100</v>
      </c>
      <c r="Z929" s="99"/>
      <c r="AA929" s="99"/>
      <c r="AB929" s="45" t="s">
        <v>1124</v>
      </c>
      <c r="AC929" s="45"/>
      <c r="AD929" s="42" t="s">
        <v>734</v>
      </c>
      <c r="AE929" s="42"/>
      <c r="AF929" s="42" t="s">
        <v>734</v>
      </c>
      <c r="AG929" s="42"/>
      <c r="AH929" s="42" t="s">
        <v>734</v>
      </c>
      <c r="AI929" s="42" t="s">
        <v>734</v>
      </c>
      <c r="AJ929" s="42" t="s">
        <v>734</v>
      </c>
      <c r="AK929" s="42" t="s">
        <v>734</v>
      </c>
      <c r="AL929" s="42" t="s">
        <v>734</v>
      </c>
      <c r="AM929" s="42" t="s">
        <v>734</v>
      </c>
      <c r="AN929" s="42"/>
      <c r="AO929" s="42"/>
      <c r="AP929" s="42"/>
      <c r="AQ929" s="42"/>
      <c r="AR929" s="42"/>
      <c r="AS929" s="42"/>
      <c r="AT929" s="42"/>
      <c r="AU929" s="42"/>
      <c r="AV929" s="42"/>
      <c r="AW929" s="42"/>
      <c r="AX929" s="68">
        <v>31</v>
      </c>
      <c r="AY929" s="68"/>
      <c r="BA929" s="37"/>
      <c r="BB929" s="37"/>
      <c r="BD929" s="67">
        <f t="shared" si="323"/>
        <v>7440</v>
      </c>
      <c r="BE929" s="67"/>
      <c r="BF929" s="37"/>
      <c r="BG929" s="73">
        <v>1</v>
      </c>
      <c r="BH929" s="67">
        <f t="shared" si="317"/>
        <v>0</v>
      </c>
      <c r="BI929" s="67">
        <f t="shared" si="318"/>
        <v>0</v>
      </c>
      <c r="BJ929" s="70">
        <f t="shared" si="319"/>
        <v>0</v>
      </c>
      <c r="BN929" s="37"/>
      <c r="BO929" s="70">
        <f t="shared" si="307"/>
        <v>0</v>
      </c>
      <c r="BP929" s="37">
        <v>17</v>
      </c>
      <c r="BQ929" s="37">
        <v>26</v>
      </c>
      <c r="BR929" s="37">
        <v>25</v>
      </c>
      <c r="BS929" s="37">
        <v>25</v>
      </c>
      <c r="BT929" s="87">
        <f t="shared" si="308"/>
        <v>31</v>
      </c>
      <c r="BU929" s="87"/>
      <c r="BV929" s="87"/>
      <c r="BW929" s="87"/>
      <c r="BX929" s="87"/>
      <c r="BY929" s="87"/>
      <c r="BZ929" s="87"/>
      <c r="CA929" s="87"/>
      <c r="CB929" s="87"/>
      <c r="CC929" s="87"/>
      <c r="CD929" s="87"/>
      <c r="CF929" s="67">
        <f t="shared" si="309"/>
        <v>527</v>
      </c>
      <c r="CG929" s="67">
        <f t="shared" si="311"/>
        <v>806</v>
      </c>
      <c r="CH929" s="67">
        <f t="shared" si="322"/>
        <v>775</v>
      </c>
      <c r="CI929" s="67">
        <f t="shared" si="316"/>
        <v>775</v>
      </c>
      <c r="CJ929" s="37">
        <f t="shared" si="312"/>
        <v>210.8</v>
      </c>
      <c r="CK929" s="37">
        <f t="shared" si="313"/>
        <v>322.40000000000003</v>
      </c>
      <c r="CL929" s="37">
        <f t="shared" si="314"/>
        <v>310</v>
      </c>
      <c r="CM929" s="37">
        <f t="shared" si="315"/>
        <v>310</v>
      </c>
    </row>
    <row r="930" spans="1:91" ht="25.5">
      <c r="B930" s="156">
        <v>914</v>
      </c>
      <c r="C930" s="160">
        <v>645</v>
      </c>
      <c r="D930" s="160">
        <v>312</v>
      </c>
      <c r="E930" s="161">
        <v>0.78819444444444453</v>
      </c>
      <c r="F930" s="161">
        <v>0.81458333333333333</v>
      </c>
      <c r="G930" s="160" t="s">
        <v>584</v>
      </c>
      <c r="H930" s="160" t="s">
        <v>424</v>
      </c>
      <c r="I930" s="163">
        <v>19</v>
      </c>
      <c r="J930" s="164" t="s">
        <v>93</v>
      </c>
      <c r="K930" s="165">
        <v>67</v>
      </c>
      <c r="L930" s="166">
        <f t="shared" si="321"/>
        <v>1273</v>
      </c>
      <c r="M930" s="177" t="s">
        <v>789</v>
      </c>
      <c r="N930" s="154" t="s">
        <v>974</v>
      </c>
      <c r="O930" s="154">
        <v>24</v>
      </c>
      <c r="P930" s="154" t="s">
        <v>975</v>
      </c>
      <c r="Q930" s="154">
        <v>20</v>
      </c>
      <c r="S930" s="154"/>
      <c r="T930" s="45" t="s">
        <v>1809</v>
      </c>
      <c r="U930" s="45" t="s">
        <v>1810</v>
      </c>
      <c r="V930" s="45">
        <v>6407</v>
      </c>
      <c r="W930" s="45" t="s">
        <v>1807</v>
      </c>
      <c r="X930" s="99">
        <v>44562</v>
      </c>
      <c r="Y930" s="99">
        <v>44815</v>
      </c>
      <c r="Z930" s="99">
        <v>45101</v>
      </c>
      <c r="AA930" s="99">
        <v>45169</v>
      </c>
      <c r="AB930" s="42" t="s">
        <v>1119</v>
      </c>
      <c r="AC930" s="42"/>
      <c r="AD930" s="42"/>
      <c r="AE930" s="42" t="s">
        <v>734</v>
      </c>
      <c r="AF930" s="42" t="s">
        <v>734</v>
      </c>
      <c r="AG930" s="42"/>
      <c r="AH930" s="42" t="s">
        <v>734</v>
      </c>
      <c r="AI930" s="42" t="s">
        <v>734</v>
      </c>
      <c r="AJ930" s="42" t="s">
        <v>734</v>
      </c>
      <c r="AK930" s="42" t="s">
        <v>734</v>
      </c>
      <c r="AL930" s="42" t="s">
        <v>734</v>
      </c>
      <c r="AM930" s="42" t="s">
        <v>734</v>
      </c>
      <c r="AN930" s="42"/>
      <c r="AO930" s="42"/>
      <c r="AP930" s="42"/>
      <c r="AQ930" s="42"/>
      <c r="AR930" s="42"/>
      <c r="AS930" s="42"/>
      <c r="AT930" s="42"/>
      <c r="AU930" s="42"/>
      <c r="AV930" s="42"/>
      <c r="AW930" s="42"/>
      <c r="AY930" s="67">
        <f>1.9*19</f>
        <v>36.1</v>
      </c>
      <c r="BA930" s="37"/>
      <c r="BB930" s="37"/>
      <c r="BD930" s="67">
        <f t="shared" si="323"/>
        <v>0</v>
      </c>
      <c r="BE930" s="67">
        <f>AY930*K930</f>
        <v>2418.7000000000003</v>
      </c>
      <c r="BF930" s="37"/>
      <c r="BG930" s="73">
        <v>1</v>
      </c>
      <c r="BI930" s="67"/>
      <c r="BJ930" s="37"/>
      <c r="BK930" s="67">
        <f>IF(AND((AY930/I930)&lt;2,BG930=1),(I930*2)-AY930,0)</f>
        <v>1.8999999999999986</v>
      </c>
      <c r="BL930" s="67">
        <f>IF(AND((AY930/I930)&lt;3,BG930=2),(I930*3)-AY930,0)</f>
        <v>0</v>
      </c>
      <c r="BM930" s="70">
        <f>(BK930+BL930)*K930</f>
        <v>127.2999999999999</v>
      </c>
      <c r="BN930" s="37"/>
      <c r="BO930" s="70">
        <f t="shared" si="307"/>
        <v>0</v>
      </c>
      <c r="BP930" s="37">
        <v>9</v>
      </c>
      <c r="BQ930" s="37">
        <v>0</v>
      </c>
      <c r="BR930" s="37">
        <v>0</v>
      </c>
      <c r="BS930" s="37">
        <v>0</v>
      </c>
      <c r="BT930" s="87">
        <f t="shared" si="308"/>
        <v>38</v>
      </c>
      <c r="BU930" s="87"/>
      <c r="BV930" s="87"/>
      <c r="BW930" s="87"/>
      <c r="BX930" s="87"/>
      <c r="BY930" s="87"/>
      <c r="BZ930" s="87"/>
      <c r="CA930" s="87"/>
      <c r="CB930" s="87"/>
      <c r="CC930" s="87"/>
      <c r="CD930" s="87"/>
      <c r="CF930" s="67">
        <f t="shared" si="309"/>
        <v>342</v>
      </c>
      <c r="CG930" s="67">
        <f t="shared" si="311"/>
        <v>0</v>
      </c>
      <c r="CH930" s="67">
        <f t="shared" si="322"/>
        <v>0</v>
      </c>
      <c r="CI930" s="67">
        <f t="shared" si="316"/>
        <v>0</v>
      </c>
      <c r="CJ930" s="37">
        <f t="shared" si="312"/>
        <v>171</v>
      </c>
      <c r="CK930" s="37">
        <f t="shared" si="313"/>
        <v>0</v>
      </c>
      <c r="CL930" s="37">
        <f t="shared" si="314"/>
        <v>0</v>
      </c>
      <c r="CM930" s="37">
        <f t="shared" si="315"/>
        <v>0</v>
      </c>
    </row>
    <row r="931" spans="1:91" ht="25.5">
      <c r="B931" s="156">
        <v>915</v>
      </c>
      <c r="C931" s="160">
        <v>645</v>
      </c>
      <c r="D931" s="160">
        <v>418</v>
      </c>
      <c r="E931" s="161">
        <v>0.79861111111111116</v>
      </c>
      <c r="F931" s="161">
        <v>0.83263888888888893</v>
      </c>
      <c r="G931" s="160" t="s">
        <v>411</v>
      </c>
      <c r="H931" s="160" t="s">
        <v>479</v>
      </c>
      <c r="I931" s="163">
        <v>25.7</v>
      </c>
      <c r="J931" s="164" t="s">
        <v>125</v>
      </c>
      <c r="K931" s="165">
        <v>240</v>
      </c>
      <c r="L931" s="166">
        <f t="shared" si="321"/>
        <v>6168</v>
      </c>
      <c r="M931" s="177" t="s">
        <v>789</v>
      </c>
      <c r="N931" s="154" t="s">
        <v>975</v>
      </c>
      <c r="O931" s="154">
        <v>20</v>
      </c>
      <c r="P931" s="150" t="s">
        <v>1318</v>
      </c>
      <c r="Q931" s="150">
        <v>56</v>
      </c>
      <c r="R931" s="154" t="s">
        <v>975</v>
      </c>
      <c r="S931" s="151">
        <v>20</v>
      </c>
      <c r="T931" s="45">
        <v>6300</v>
      </c>
      <c r="U931" s="45" t="s">
        <v>1385</v>
      </c>
      <c r="V931" s="45">
        <v>6405</v>
      </c>
      <c r="W931" s="45" t="s">
        <v>1803</v>
      </c>
      <c r="X931" s="99">
        <v>44816</v>
      </c>
      <c r="Y931" s="99">
        <v>45100</v>
      </c>
      <c r="Z931" s="99"/>
      <c r="AA931" s="99"/>
      <c r="AB931" s="45" t="s">
        <v>1124</v>
      </c>
      <c r="AC931" s="45"/>
      <c r="AD931" s="42" t="s">
        <v>734</v>
      </c>
      <c r="AE931" s="42"/>
      <c r="AF931" s="42" t="s">
        <v>734</v>
      </c>
      <c r="AG931" s="42"/>
      <c r="AH931" s="42" t="s">
        <v>734</v>
      </c>
      <c r="AI931" s="42" t="s">
        <v>734</v>
      </c>
      <c r="AJ931" s="42" t="s">
        <v>734</v>
      </c>
      <c r="AK931" s="42" t="s">
        <v>734</v>
      </c>
      <c r="AL931" s="42" t="s">
        <v>734</v>
      </c>
      <c r="AM931" s="42" t="s">
        <v>734</v>
      </c>
      <c r="AN931" s="42"/>
      <c r="AO931" s="42"/>
      <c r="AP931" s="42"/>
      <c r="AQ931" s="42"/>
      <c r="AR931" s="42"/>
      <c r="AS931" s="42"/>
      <c r="AT931" s="42"/>
      <c r="AU931" s="42"/>
      <c r="AV931" s="42"/>
      <c r="AW931" s="42"/>
      <c r="AX931" s="67">
        <v>64.25</v>
      </c>
      <c r="AY931" s="68"/>
      <c r="BA931" s="37"/>
      <c r="BB931" s="37"/>
      <c r="BD931" s="67">
        <f t="shared" si="323"/>
        <v>15420</v>
      </c>
      <c r="BE931" s="67"/>
      <c r="BF931" s="37"/>
      <c r="BG931" s="73">
        <v>1</v>
      </c>
      <c r="BH931" s="67">
        <f>IF(AND((AX931/I931)&lt;2,BG931=1),(I931*2)-AX931,0)</f>
        <v>0</v>
      </c>
      <c r="BI931" s="67">
        <f>IF(AND((AX931/I931)&lt;3,BG931=2),(I931*3)-AX931,0)</f>
        <v>0</v>
      </c>
      <c r="BJ931" s="70">
        <f>(BH931+BI931)*K931</f>
        <v>0</v>
      </c>
      <c r="BN931" s="37"/>
      <c r="BO931" s="70">
        <f t="shared" si="307"/>
        <v>0</v>
      </c>
      <c r="BP931" s="37">
        <v>17</v>
      </c>
      <c r="BQ931" s="37">
        <v>26</v>
      </c>
      <c r="BR931" s="37">
        <v>25</v>
      </c>
      <c r="BS931" s="37">
        <v>25</v>
      </c>
      <c r="BT931" s="87">
        <f t="shared" si="308"/>
        <v>64.25</v>
      </c>
      <c r="BU931" s="87"/>
      <c r="BV931" s="87"/>
      <c r="BW931" s="87"/>
      <c r="BX931" s="87"/>
      <c r="BY931" s="87"/>
      <c r="BZ931" s="87"/>
      <c r="CA931" s="87"/>
      <c r="CB931" s="87"/>
      <c r="CC931" s="87"/>
      <c r="CD931" s="87"/>
      <c r="CF931" s="67">
        <f t="shared" si="309"/>
        <v>1092.25</v>
      </c>
      <c r="CG931" s="67">
        <f t="shared" si="311"/>
        <v>1670.5</v>
      </c>
      <c r="CH931" s="67">
        <f t="shared" si="322"/>
        <v>1606.25</v>
      </c>
      <c r="CI931" s="67">
        <f t="shared" si="316"/>
        <v>1606.25</v>
      </c>
      <c r="CJ931" s="37">
        <f t="shared" si="312"/>
        <v>436.9</v>
      </c>
      <c r="CK931" s="37">
        <f t="shared" si="313"/>
        <v>668.19999999999993</v>
      </c>
      <c r="CL931" s="37">
        <f t="shared" si="314"/>
        <v>642.5</v>
      </c>
      <c r="CM931" s="37">
        <f t="shared" si="315"/>
        <v>642.5</v>
      </c>
    </row>
    <row r="932" spans="1:91" ht="25.5">
      <c r="B932" s="156">
        <v>916</v>
      </c>
      <c r="C932" s="160">
        <v>645</v>
      </c>
      <c r="D932" s="160">
        <v>419</v>
      </c>
      <c r="E932" s="161">
        <v>0.81944444444444453</v>
      </c>
      <c r="F932" s="161">
        <v>0.83611111111111114</v>
      </c>
      <c r="G932" s="160" t="s">
        <v>585</v>
      </c>
      <c r="H932" s="160" t="s">
        <v>424</v>
      </c>
      <c r="I932" s="163">
        <v>12</v>
      </c>
      <c r="J932" s="164" t="s">
        <v>93</v>
      </c>
      <c r="K932" s="165">
        <v>67</v>
      </c>
      <c r="L932" s="166">
        <f t="shared" si="321"/>
        <v>804</v>
      </c>
      <c r="M932" s="177" t="s">
        <v>789</v>
      </c>
      <c r="N932" s="154" t="s">
        <v>974</v>
      </c>
      <c r="O932" s="154">
        <v>24</v>
      </c>
      <c r="P932" s="150" t="s">
        <v>975</v>
      </c>
      <c r="Q932" s="150">
        <v>20</v>
      </c>
      <c r="S932" s="154"/>
      <c r="T932" s="45">
        <v>6407</v>
      </c>
      <c r="U932" s="45" t="s">
        <v>1807</v>
      </c>
      <c r="V932" s="45">
        <v>6401</v>
      </c>
      <c r="W932" s="45" t="s">
        <v>1808</v>
      </c>
      <c r="X932" s="99">
        <v>44562</v>
      </c>
      <c r="Y932" s="99">
        <v>44815</v>
      </c>
      <c r="Z932" s="99">
        <v>45101</v>
      </c>
      <c r="AA932" s="99">
        <v>45169</v>
      </c>
      <c r="AB932" s="42" t="s">
        <v>1119</v>
      </c>
      <c r="AC932" s="42"/>
      <c r="AD932" s="42"/>
      <c r="AE932" s="42" t="s">
        <v>734</v>
      </c>
      <c r="AF932" s="42" t="s">
        <v>734</v>
      </c>
      <c r="AG932" s="42"/>
      <c r="AH932" s="42" t="s">
        <v>734</v>
      </c>
      <c r="AI932" s="42" t="s">
        <v>734</v>
      </c>
      <c r="AJ932" s="42" t="s">
        <v>734</v>
      </c>
      <c r="AK932" s="42" t="s">
        <v>734</v>
      </c>
      <c r="AL932" s="42" t="s">
        <v>734</v>
      </c>
      <c r="AM932" s="42" t="s">
        <v>734</v>
      </c>
      <c r="AN932" s="42"/>
      <c r="AO932" s="42"/>
      <c r="AP932" s="42"/>
      <c r="AQ932" s="42"/>
      <c r="AR932" s="42"/>
      <c r="AS932" s="42"/>
      <c r="AT932" s="42"/>
      <c r="AU932" s="42"/>
      <c r="AV932" s="42"/>
      <c r="AW932" s="42"/>
      <c r="AY932" s="67">
        <f>1.9*12</f>
        <v>22.799999999999997</v>
      </c>
      <c r="BA932" s="37"/>
      <c r="BB932" s="37"/>
      <c r="BD932" s="67">
        <f t="shared" si="323"/>
        <v>0</v>
      </c>
      <c r="BE932" s="67">
        <f>AY932*K932</f>
        <v>1527.6</v>
      </c>
      <c r="BF932" s="37"/>
      <c r="BG932" s="73">
        <v>1</v>
      </c>
      <c r="BI932" s="67"/>
      <c r="BJ932" s="37"/>
      <c r="BK932" s="67">
        <f>IF(AND((AY932/I932)&lt;2,BG932=1),(I932*2)-AY932,0)</f>
        <v>1.2000000000000028</v>
      </c>
      <c r="BL932" s="67">
        <f>IF(AND((AY932/I932)&lt;3,BG932=2),(I932*3)-AY932,0)</f>
        <v>0</v>
      </c>
      <c r="BM932" s="70">
        <f>(BK932+BL932)*K932</f>
        <v>80.40000000000019</v>
      </c>
      <c r="BN932" s="37"/>
      <c r="BO932" s="70">
        <f t="shared" si="307"/>
        <v>0</v>
      </c>
      <c r="BP932" s="37">
        <v>9</v>
      </c>
      <c r="BQ932" s="37">
        <v>0</v>
      </c>
      <c r="BR932" s="37">
        <v>0</v>
      </c>
      <c r="BS932" s="37">
        <v>0</v>
      </c>
      <c r="BT932" s="87">
        <f t="shared" si="308"/>
        <v>24</v>
      </c>
      <c r="BU932" s="87"/>
      <c r="BV932" s="87"/>
      <c r="BW932" s="87"/>
      <c r="BX932" s="87"/>
      <c r="BY932" s="87"/>
      <c r="BZ932" s="87"/>
      <c r="CA932" s="87"/>
      <c r="CB932" s="87"/>
      <c r="CC932" s="87"/>
      <c r="CD932" s="87"/>
      <c r="CF932" s="67">
        <f t="shared" si="309"/>
        <v>216</v>
      </c>
      <c r="CG932" s="67">
        <f t="shared" si="311"/>
        <v>0</v>
      </c>
      <c r="CH932" s="67">
        <f t="shared" si="322"/>
        <v>0</v>
      </c>
      <c r="CI932" s="67">
        <f t="shared" si="316"/>
        <v>0</v>
      </c>
      <c r="CJ932" s="37">
        <f t="shared" si="312"/>
        <v>108</v>
      </c>
      <c r="CK932" s="37">
        <f t="shared" si="313"/>
        <v>0</v>
      </c>
      <c r="CL932" s="37">
        <f t="shared" si="314"/>
        <v>0</v>
      </c>
      <c r="CM932" s="37">
        <f t="shared" si="315"/>
        <v>0</v>
      </c>
    </row>
    <row r="933" spans="1:91" ht="33.75">
      <c r="B933" s="156">
        <v>917</v>
      </c>
      <c r="C933" s="160">
        <v>646</v>
      </c>
      <c r="D933" s="164">
        <v>653</v>
      </c>
      <c r="E933" s="161">
        <v>0.25694444444444448</v>
      </c>
      <c r="F933" s="161">
        <v>0.2673611111111111</v>
      </c>
      <c r="G933" s="160" t="s">
        <v>249</v>
      </c>
      <c r="H933" s="160" t="s">
        <v>97</v>
      </c>
      <c r="I933" s="163">
        <v>14</v>
      </c>
      <c r="J933" s="164" t="s">
        <v>146</v>
      </c>
      <c r="K933" s="165">
        <v>208</v>
      </c>
      <c r="L933" s="166">
        <f t="shared" si="321"/>
        <v>2912</v>
      </c>
      <c r="M933" s="177" t="s">
        <v>790</v>
      </c>
      <c r="N933" s="154" t="s">
        <v>965</v>
      </c>
      <c r="O933" s="154">
        <v>17</v>
      </c>
      <c r="P933" s="154" t="s">
        <v>1312</v>
      </c>
      <c r="Q933" s="154">
        <v>17</v>
      </c>
      <c r="R933" s="154" t="s">
        <v>1313</v>
      </c>
      <c r="S933" s="154">
        <v>23</v>
      </c>
      <c r="T933" s="45">
        <v>6410</v>
      </c>
      <c r="U933" s="45" t="s">
        <v>1811</v>
      </c>
      <c r="V933" s="45">
        <v>6408</v>
      </c>
      <c r="W933" s="45" t="s">
        <v>1812</v>
      </c>
      <c r="X933" s="98">
        <v>44816</v>
      </c>
      <c r="Y933" s="98">
        <v>45086</v>
      </c>
      <c r="Z933" s="98"/>
      <c r="AA933" s="98"/>
      <c r="AB933" s="41" t="s">
        <v>1118</v>
      </c>
      <c r="AC933" s="41"/>
      <c r="AD933" s="42"/>
      <c r="AE933" s="42"/>
      <c r="AF933" s="42"/>
      <c r="AG933" s="42" t="s">
        <v>734</v>
      </c>
      <c r="AH933" s="42" t="s">
        <v>734</v>
      </c>
      <c r="AI933" s="42" t="s">
        <v>734</v>
      </c>
      <c r="AJ933" s="42" t="s">
        <v>734</v>
      </c>
      <c r="AK933" s="42" t="s">
        <v>734</v>
      </c>
      <c r="AL933" s="42" t="s">
        <v>734</v>
      </c>
      <c r="AM933" s="42" t="s">
        <v>734</v>
      </c>
      <c r="AN933" s="42"/>
      <c r="AO933" s="42"/>
      <c r="AP933" s="42"/>
      <c r="AQ933" s="42"/>
      <c r="AR933" s="42"/>
      <c r="AS933" s="42"/>
      <c r="AT933" s="42"/>
      <c r="AU933" s="42"/>
      <c r="AV933" s="42"/>
      <c r="AW933" s="42"/>
      <c r="AX933" s="68">
        <v>47</v>
      </c>
      <c r="AY933" s="68"/>
      <c r="BA933" s="37"/>
      <c r="BB933" s="37"/>
      <c r="BC933" s="37">
        <v>18</v>
      </c>
      <c r="BD933" s="67">
        <f t="shared" si="323"/>
        <v>9776</v>
      </c>
      <c r="BE933" s="67"/>
      <c r="BF933" s="37"/>
      <c r="BG933" s="73">
        <v>1</v>
      </c>
      <c r="BH933" s="67">
        <f t="shared" ref="BH933:BH944" si="324">IF(AND((AX933/I933)&lt;2,BG933=1),(I933*2)-AX933,0)</f>
        <v>0</v>
      </c>
      <c r="BI933" s="67">
        <f t="shared" ref="BI933:BI944" si="325">IF(AND((AX933/I933)&lt;3,BG933=2),(I933*3)-AX933,0)</f>
        <v>0</v>
      </c>
      <c r="BJ933" s="70">
        <f t="shared" ref="BJ933:BJ944" si="326">(BH933+BI933)*K933</f>
        <v>0</v>
      </c>
      <c r="BN933" s="67">
        <f>IF((AX933+AY933+AZ933)&lt;20,(20-(AX933+AY933+AZ933)),0)</f>
        <v>0</v>
      </c>
      <c r="BO933" s="70">
        <f t="shared" si="307"/>
        <v>0</v>
      </c>
      <c r="BP933" s="37">
        <v>17</v>
      </c>
      <c r="BQ933" s="37">
        <v>25</v>
      </c>
      <c r="BR933" s="37">
        <v>25</v>
      </c>
      <c r="BS933" s="37">
        <v>18</v>
      </c>
      <c r="BT933" s="87">
        <f t="shared" si="308"/>
        <v>47</v>
      </c>
      <c r="BU933" s="87"/>
      <c r="BV933" s="87"/>
      <c r="BW933" s="87"/>
      <c r="BX933" s="87"/>
      <c r="BY933" s="87"/>
      <c r="BZ933" s="87"/>
      <c r="CA933" s="87"/>
      <c r="CB933" s="87"/>
      <c r="CC933" s="87"/>
      <c r="CD933" s="87"/>
      <c r="CF933" s="67">
        <f t="shared" si="309"/>
        <v>799</v>
      </c>
      <c r="CG933" s="67">
        <f t="shared" si="311"/>
        <v>1175</v>
      </c>
      <c r="CH933" s="67">
        <f t="shared" si="322"/>
        <v>1175</v>
      </c>
      <c r="CI933" s="67">
        <f t="shared" si="316"/>
        <v>846</v>
      </c>
      <c r="CJ933" s="37">
        <f t="shared" si="312"/>
        <v>238</v>
      </c>
      <c r="CK933" s="37">
        <f t="shared" si="313"/>
        <v>350</v>
      </c>
      <c r="CL933" s="37">
        <f t="shared" si="314"/>
        <v>350</v>
      </c>
      <c r="CM933" s="37">
        <f t="shared" si="315"/>
        <v>252</v>
      </c>
    </row>
    <row r="934" spans="1:91" ht="33.75">
      <c r="B934" s="156">
        <v>918</v>
      </c>
      <c r="C934" s="160">
        <v>646</v>
      </c>
      <c r="D934" s="164">
        <v>682</v>
      </c>
      <c r="E934" s="161">
        <v>0.59027777777777779</v>
      </c>
      <c r="F934" s="173">
        <v>0.60486111111111118</v>
      </c>
      <c r="G934" s="160" t="s">
        <v>664</v>
      </c>
      <c r="H934" s="160" t="s">
        <v>103</v>
      </c>
      <c r="I934" s="163">
        <v>15</v>
      </c>
      <c r="J934" s="164">
        <v>16</v>
      </c>
      <c r="K934" s="165">
        <v>174</v>
      </c>
      <c r="L934" s="166">
        <f t="shared" si="321"/>
        <v>2610</v>
      </c>
      <c r="M934" s="177" t="s">
        <v>790</v>
      </c>
      <c r="N934" s="154" t="s">
        <v>966</v>
      </c>
      <c r="O934" s="154">
        <v>9</v>
      </c>
      <c r="P934" s="154" t="s">
        <v>1312</v>
      </c>
      <c r="Q934" s="154">
        <v>17</v>
      </c>
      <c r="R934" s="154" t="s">
        <v>1314</v>
      </c>
      <c r="S934" s="151">
        <v>9</v>
      </c>
      <c r="T934" s="45" t="s">
        <v>1813</v>
      </c>
      <c r="U934" s="45" t="s">
        <v>1814</v>
      </c>
      <c r="V934" s="45">
        <v>6410</v>
      </c>
      <c r="W934" s="45" t="s">
        <v>1811</v>
      </c>
      <c r="X934" s="98">
        <v>44816</v>
      </c>
      <c r="Y934" s="98">
        <v>45086</v>
      </c>
      <c r="Z934" s="98"/>
      <c r="AA934" s="98"/>
      <c r="AB934" s="41" t="s">
        <v>1114</v>
      </c>
      <c r="AC934" s="41"/>
      <c r="AD934" s="42"/>
      <c r="AE934" s="42"/>
      <c r="AF934" s="42"/>
      <c r="AG934" s="42" t="s">
        <v>734</v>
      </c>
      <c r="AH934" s="42" t="s">
        <v>734</v>
      </c>
      <c r="AI934" s="42" t="s">
        <v>734</v>
      </c>
      <c r="AJ934" s="42" t="s">
        <v>734</v>
      </c>
      <c r="AK934" s="42" t="s">
        <v>734</v>
      </c>
      <c r="AL934" s="42" t="s">
        <v>734</v>
      </c>
      <c r="AM934" s="42"/>
      <c r="AN934" s="42"/>
      <c r="AO934" s="42"/>
      <c r="AP934" s="42"/>
      <c r="AQ934" s="42"/>
      <c r="AR934" s="42"/>
      <c r="AS934" s="42"/>
      <c r="AT934" s="42"/>
      <c r="AU934" s="42"/>
      <c r="AV934" s="42"/>
      <c r="AW934" s="42"/>
      <c r="AX934" s="68">
        <f>31.5+13.5</f>
        <v>45</v>
      </c>
      <c r="AY934" s="68"/>
      <c r="BA934" s="37"/>
      <c r="BB934" s="37"/>
      <c r="BC934" s="37">
        <v>19</v>
      </c>
      <c r="BD934" s="67">
        <f t="shared" si="323"/>
        <v>7830</v>
      </c>
      <c r="BE934" s="67"/>
      <c r="BF934" s="37"/>
      <c r="BG934" s="73">
        <v>1</v>
      </c>
      <c r="BH934" s="67">
        <f t="shared" si="324"/>
        <v>0</v>
      </c>
      <c r="BI934" s="67">
        <f t="shared" si="325"/>
        <v>0</v>
      </c>
      <c r="BJ934" s="70">
        <f t="shared" si="326"/>
        <v>0</v>
      </c>
      <c r="BN934" s="37"/>
      <c r="BO934" s="70">
        <f t="shared" si="307"/>
        <v>0</v>
      </c>
      <c r="BP934" s="37">
        <v>15</v>
      </c>
      <c r="BQ934" s="37">
        <v>20</v>
      </c>
      <c r="BR934" s="37">
        <v>21</v>
      </c>
      <c r="BS934" s="37">
        <v>15</v>
      </c>
      <c r="BT934" s="87">
        <f t="shared" si="308"/>
        <v>45</v>
      </c>
      <c r="BU934" s="87"/>
      <c r="BV934" s="87"/>
      <c r="BW934" s="87"/>
      <c r="BX934" s="87"/>
      <c r="BY934" s="87"/>
      <c r="BZ934" s="87"/>
      <c r="CA934" s="87"/>
      <c r="CB934" s="87"/>
      <c r="CC934" s="87"/>
      <c r="CD934" s="87"/>
      <c r="CF934" s="67">
        <f t="shared" si="309"/>
        <v>675</v>
      </c>
      <c r="CG934" s="67">
        <f t="shared" si="311"/>
        <v>900</v>
      </c>
      <c r="CH934" s="67">
        <f t="shared" si="322"/>
        <v>945</v>
      </c>
      <c r="CI934" s="67">
        <f t="shared" si="316"/>
        <v>675</v>
      </c>
      <c r="CJ934" s="37">
        <f t="shared" si="312"/>
        <v>225</v>
      </c>
      <c r="CK934" s="37">
        <f t="shared" si="313"/>
        <v>300</v>
      </c>
      <c r="CL934" s="37">
        <f t="shared" si="314"/>
        <v>315</v>
      </c>
      <c r="CM934" s="37">
        <f t="shared" si="315"/>
        <v>225</v>
      </c>
    </row>
    <row r="935" spans="1:91" ht="33.75">
      <c r="B935" s="156">
        <v>919</v>
      </c>
      <c r="C935" s="160">
        <v>646</v>
      </c>
      <c r="D935" s="190">
        <v>445</v>
      </c>
      <c r="E935" s="161">
        <v>0.60763888888888895</v>
      </c>
      <c r="F935" s="161">
        <v>0.62222222222222223</v>
      </c>
      <c r="G935" s="160" t="s">
        <v>565</v>
      </c>
      <c r="H935" s="160" t="s">
        <v>103</v>
      </c>
      <c r="I935" s="163">
        <v>11</v>
      </c>
      <c r="J935" s="164">
        <v>16</v>
      </c>
      <c r="K935" s="165">
        <v>174</v>
      </c>
      <c r="L935" s="166">
        <f t="shared" si="321"/>
        <v>1914</v>
      </c>
      <c r="M935" s="177" t="s">
        <v>790</v>
      </c>
      <c r="N935" s="154" t="s">
        <v>966</v>
      </c>
      <c r="O935" s="154">
        <v>9</v>
      </c>
      <c r="P935" s="154" t="s">
        <v>1312</v>
      </c>
      <c r="Q935" s="154">
        <v>17</v>
      </c>
      <c r="R935" s="154" t="s">
        <v>1314</v>
      </c>
      <c r="S935" s="151">
        <v>9</v>
      </c>
      <c r="T935" s="45">
        <v>6410</v>
      </c>
      <c r="U935" s="45" t="s">
        <v>1811</v>
      </c>
      <c r="V935" s="45">
        <v>6408</v>
      </c>
      <c r="W935" s="45" t="s">
        <v>1812</v>
      </c>
      <c r="X935" s="98">
        <v>44816</v>
      </c>
      <c r="Y935" s="98">
        <v>45086</v>
      </c>
      <c r="Z935" s="98"/>
      <c r="AA935" s="98"/>
      <c r="AB935" s="41" t="s">
        <v>1114</v>
      </c>
      <c r="AC935" s="41"/>
      <c r="AD935" s="42"/>
      <c r="AE935" s="42"/>
      <c r="AF935" s="42"/>
      <c r="AG935" s="42" t="s">
        <v>734</v>
      </c>
      <c r="AH935" s="42" t="s">
        <v>734</v>
      </c>
      <c r="AI935" s="42" t="s">
        <v>734</v>
      </c>
      <c r="AJ935" s="42" t="s">
        <v>734</v>
      </c>
      <c r="AK935" s="42" t="s">
        <v>734</v>
      </c>
      <c r="AL935" s="42" t="s">
        <v>734</v>
      </c>
      <c r="AM935" s="42"/>
      <c r="AN935" s="42"/>
      <c r="AO935" s="42"/>
      <c r="AP935" s="42"/>
      <c r="AQ935" s="42"/>
      <c r="AR935" s="42"/>
      <c r="AS935" s="42"/>
      <c r="AT935" s="42"/>
      <c r="AU935" s="42"/>
      <c r="AV935" s="42"/>
      <c r="AW935" s="42"/>
      <c r="AX935" s="68">
        <v>33</v>
      </c>
      <c r="AY935" s="68"/>
      <c r="BA935" s="37"/>
      <c r="BB935" s="37"/>
      <c r="BC935" s="37">
        <v>20</v>
      </c>
      <c r="BD935" s="67">
        <f t="shared" si="323"/>
        <v>5742</v>
      </c>
      <c r="BE935" s="67"/>
      <c r="BF935" s="37"/>
      <c r="BG935" s="73">
        <v>1</v>
      </c>
      <c r="BH935" s="67">
        <f t="shared" si="324"/>
        <v>0</v>
      </c>
      <c r="BI935" s="67">
        <f t="shared" si="325"/>
        <v>0</v>
      </c>
      <c r="BJ935" s="70">
        <f t="shared" si="326"/>
        <v>0</v>
      </c>
      <c r="BN935" s="37"/>
      <c r="BO935" s="70">
        <f t="shared" si="307"/>
        <v>0</v>
      </c>
      <c r="BP935" s="37">
        <v>15</v>
      </c>
      <c r="BQ935" s="37">
        <v>20</v>
      </c>
      <c r="BR935" s="37">
        <v>21</v>
      </c>
      <c r="BS935" s="37">
        <v>15</v>
      </c>
      <c r="BT935" s="87">
        <f t="shared" si="308"/>
        <v>33</v>
      </c>
      <c r="BU935" s="87"/>
      <c r="BV935" s="87"/>
      <c r="BW935" s="87"/>
      <c r="BX935" s="87"/>
      <c r="BY935" s="87"/>
      <c r="BZ935" s="87"/>
      <c r="CA935" s="87"/>
      <c r="CB935" s="87"/>
      <c r="CC935" s="87"/>
      <c r="CD935" s="87"/>
      <c r="CF935" s="67">
        <f t="shared" si="309"/>
        <v>495</v>
      </c>
      <c r="CG935" s="67">
        <f t="shared" si="311"/>
        <v>660</v>
      </c>
      <c r="CH935" s="67">
        <f t="shared" si="322"/>
        <v>693</v>
      </c>
      <c r="CI935" s="67">
        <f t="shared" si="316"/>
        <v>495</v>
      </c>
      <c r="CJ935" s="37">
        <f t="shared" si="312"/>
        <v>165</v>
      </c>
      <c r="CK935" s="37">
        <f t="shared" si="313"/>
        <v>220</v>
      </c>
      <c r="CL935" s="37">
        <f t="shared" si="314"/>
        <v>231</v>
      </c>
      <c r="CM935" s="37">
        <f t="shared" si="315"/>
        <v>165</v>
      </c>
    </row>
    <row r="936" spans="1:91" ht="38.25">
      <c r="B936" s="156">
        <v>920</v>
      </c>
      <c r="C936" s="160">
        <v>646</v>
      </c>
      <c r="D936" s="164">
        <v>655</v>
      </c>
      <c r="E936" s="161">
        <v>0.64027777777777783</v>
      </c>
      <c r="F936" s="161">
        <v>0.68263888888888891</v>
      </c>
      <c r="G936" s="160" t="s">
        <v>248</v>
      </c>
      <c r="H936" s="160" t="s">
        <v>103</v>
      </c>
      <c r="I936" s="163">
        <v>27</v>
      </c>
      <c r="J936" s="164">
        <v>16</v>
      </c>
      <c r="K936" s="165">
        <v>174</v>
      </c>
      <c r="L936" s="166">
        <f t="shared" si="321"/>
        <v>4698</v>
      </c>
      <c r="M936" s="177" t="s">
        <v>790</v>
      </c>
      <c r="N936" s="154" t="s">
        <v>966</v>
      </c>
      <c r="O936" s="154">
        <v>9</v>
      </c>
      <c r="P936" s="154" t="s">
        <v>1312</v>
      </c>
      <c r="Q936" s="154">
        <v>17</v>
      </c>
      <c r="S936" s="154"/>
      <c r="T936" s="45">
        <v>6410</v>
      </c>
      <c r="U936" s="45" t="s">
        <v>1811</v>
      </c>
      <c r="V936" s="45" t="s">
        <v>1815</v>
      </c>
      <c r="W936" s="45" t="s">
        <v>1816</v>
      </c>
      <c r="X936" s="98">
        <v>44816</v>
      </c>
      <c r="Y936" s="98">
        <v>45086</v>
      </c>
      <c r="Z936" s="98"/>
      <c r="AA936" s="98"/>
      <c r="AB936" s="41" t="s">
        <v>1114</v>
      </c>
      <c r="AC936" s="41"/>
      <c r="AD936" s="42"/>
      <c r="AE936" s="42"/>
      <c r="AF936" s="42"/>
      <c r="AG936" s="42" t="s">
        <v>734</v>
      </c>
      <c r="AH936" s="42" t="s">
        <v>734</v>
      </c>
      <c r="AI936" s="42" t="s">
        <v>734</v>
      </c>
      <c r="AJ936" s="42" t="s">
        <v>734</v>
      </c>
      <c r="AK936" s="42" t="s">
        <v>734</v>
      </c>
      <c r="AL936" s="42" t="s">
        <v>734</v>
      </c>
      <c r="AM936" s="42"/>
      <c r="AN936" s="42"/>
      <c r="AO936" s="42"/>
      <c r="AP936" s="42"/>
      <c r="AQ936" s="42"/>
      <c r="AR936" s="42"/>
      <c r="AS936" s="42"/>
      <c r="AT936" s="42"/>
      <c r="AU936" s="42"/>
      <c r="AV936" s="42"/>
      <c r="AW936" s="42"/>
      <c r="AX936" s="68">
        <v>130.35</v>
      </c>
      <c r="AY936" s="68"/>
      <c r="BA936" s="37"/>
      <c r="BB936" s="37"/>
      <c r="BC936" s="37">
        <v>21</v>
      </c>
      <c r="BD936" s="67">
        <f t="shared" si="323"/>
        <v>22680.899999999998</v>
      </c>
      <c r="BE936" s="67"/>
      <c r="BF936" s="37"/>
      <c r="BG936" s="73">
        <v>1</v>
      </c>
      <c r="BH936" s="67">
        <f t="shared" si="324"/>
        <v>0</v>
      </c>
      <c r="BI936" s="67">
        <f t="shared" si="325"/>
        <v>0</v>
      </c>
      <c r="BJ936" s="70">
        <f t="shared" si="326"/>
        <v>0</v>
      </c>
      <c r="BN936" s="37"/>
      <c r="BO936" s="70">
        <f t="shared" si="307"/>
        <v>0</v>
      </c>
      <c r="BP936" s="37">
        <v>15</v>
      </c>
      <c r="BQ936" s="37">
        <v>20</v>
      </c>
      <c r="BR936" s="37">
        <v>21</v>
      </c>
      <c r="BS936" s="37">
        <v>15</v>
      </c>
      <c r="BT936" s="87">
        <f t="shared" si="308"/>
        <v>130.35</v>
      </c>
      <c r="BU936" s="87"/>
      <c r="BV936" s="87"/>
      <c r="BW936" s="87"/>
      <c r="BX936" s="87"/>
      <c r="BY936" s="87"/>
      <c r="BZ936" s="87"/>
      <c r="CA936" s="87"/>
      <c r="CB936" s="87"/>
      <c r="CC936" s="87"/>
      <c r="CD936" s="87"/>
      <c r="CF936" s="67">
        <f t="shared" si="309"/>
        <v>1955.25</v>
      </c>
      <c r="CG936" s="67">
        <f t="shared" si="311"/>
        <v>2607</v>
      </c>
      <c r="CH936" s="67">
        <f t="shared" si="322"/>
        <v>2737.35</v>
      </c>
      <c r="CI936" s="67">
        <f t="shared" si="316"/>
        <v>1955.25</v>
      </c>
      <c r="CJ936" s="37">
        <f t="shared" si="312"/>
        <v>405</v>
      </c>
      <c r="CK936" s="37">
        <f t="shared" si="313"/>
        <v>540</v>
      </c>
      <c r="CL936" s="37">
        <f t="shared" si="314"/>
        <v>567</v>
      </c>
      <c r="CM936" s="37">
        <f t="shared" si="315"/>
        <v>405</v>
      </c>
    </row>
    <row r="937" spans="1:91" ht="33.75">
      <c r="B937" s="156">
        <v>921</v>
      </c>
      <c r="C937" s="160">
        <v>646</v>
      </c>
      <c r="D937" s="164">
        <v>650</v>
      </c>
      <c r="E937" s="161">
        <v>0.67013888888888884</v>
      </c>
      <c r="F937" s="161">
        <v>0.69097222222222221</v>
      </c>
      <c r="G937" s="160" t="s">
        <v>247</v>
      </c>
      <c r="H937" s="160" t="s">
        <v>194</v>
      </c>
      <c r="I937" s="163">
        <v>17</v>
      </c>
      <c r="J937" s="164" t="s">
        <v>125</v>
      </c>
      <c r="K937" s="165">
        <f>34+34+36+33</f>
        <v>137</v>
      </c>
      <c r="L937" s="166">
        <f t="shared" si="321"/>
        <v>2329</v>
      </c>
      <c r="M937" s="177" t="s">
        <v>790</v>
      </c>
      <c r="N937" s="154" t="s">
        <v>965</v>
      </c>
      <c r="O937" s="154">
        <v>17</v>
      </c>
      <c r="P937" s="154" t="s">
        <v>1312</v>
      </c>
      <c r="Q937" s="154">
        <v>17</v>
      </c>
      <c r="S937" s="154"/>
      <c r="T937" s="45">
        <v>6395</v>
      </c>
      <c r="U937" s="45" t="s">
        <v>1817</v>
      </c>
      <c r="V937" s="45">
        <v>6410</v>
      </c>
      <c r="W937" s="45" t="s">
        <v>1811</v>
      </c>
      <c r="X937" s="98">
        <v>44816</v>
      </c>
      <c r="Y937" s="98">
        <v>45086</v>
      </c>
      <c r="Z937" s="98"/>
      <c r="AA937" s="98"/>
      <c r="AB937" s="43" t="s">
        <v>1117</v>
      </c>
      <c r="AC937" s="43"/>
      <c r="AD937" s="42"/>
      <c r="AE937" s="42"/>
      <c r="AF937" s="42"/>
      <c r="AG937" s="42" t="s">
        <v>734</v>
      </c>
      <c r="AH937" s="42" t="s">
        <v>734</v>
      </c>
      <c r="AI937" s="42" t="s">
        <v>734</v>
      </c>
      <c r="AJ937" s="42" t="s">
        <v>734</v>
      </c>
      <c r="AK937" s="42" t="s">
        <v>734</v>
      </c>
      <c r="AL937" s="42"/>
      <c r="AM937" s="42"/>
      <c r="AN937" s="42"/>
      <c r="AO937" s="42"/>
      <c r="AP937" s="42"/>
      <c r="AQ937" s="42"/>
      <c r="AR937" s="42"/>
      <c r="AS937" s="42"/>
      <c r="AT937" s="42"/>
      <c r="AU937" s="42"/>
      <c r="AV937" s="42"/>
      <c r="AW937" s="42"/>
      <c r="AX937" s="68">
        <v>51.52</v>
      </c>
      <c r="AY937" s="68"/>
      <c r="BA937" s="37"/>
      <c r="BB937" s="37"/>
      <c r="BC937" s="37">
        <v>22</v>
      </c>
      <c r="BD937" s="67">
        <f t="shared" si="323"/>
        <v>7058.2400000000007</v>
      </c>
      <c r="BE937" s="67"/>
      <c r="BF937" s="37"/>
      <c r="BG937" s="73">
        <v>1</v>
      </c>
      <c r="BH937" s="67">
        <f t="shared" si="324"/>
        <v>0</v>
      </c>
      <c r="BI937" s="67">
        <f t="shared" si="325"/>
        <v>0</v>
      </c>
      <c r="BJ937" s="70">
        <f t="shared" si="326"/>
        <v>0</v>
      </c>
      <c r="BN937" s="37"/>
      <c r="BO937" s="70">
        <f t="shared" si="307"/>
        <v>0</v>
      </c>
      <c r="BP937" s="37">
        <v>12</v>
      </c>
      <c r="BQ937" s="37">
        <v>16</v>
      </c>
      <c r="BR937" s="37">
        <v>17</v>
      </c>
      <c r="BS937" s="37">
        <v>12</v>
      </c>
      <c r="BT937" s="87">
        <f t="shared" si="308"/>
        <v>51.52</v>
      </c>
      <c r="BU937" s="87"/>
      <c r="BV937" s="87"/>
      <c r="BW937" s="87"/>
      <c r="BX937" s="87"/>
      <c r="BY937" s="87"/>
      <c r="BZ937" s="87"/>
      <c r="CA937" s="87"/>
      <c r="CB937" s="87"/>
      <c r="CC937" s="87"/>
      <c r="CD937" s="87"/>
      <c r="CF937" s="67">
        <f t="shared" si="309"/>
        <v>618.24</v>
      </c>
      <c r="CG937" s="67">
        <f t="shared" si="311"/>
        <v>824.32</v>
      </c>
      <c r="CH937" s="67">
        <f t="shared" si="322"/>
        <v>875.84</v>
      </c>
      <c r="CI937" s="67">
        <f t="shared" si="316"/>
        <v>618.24</v>
      </c>
      <c r="CJ937" s="37">
        <f t="shared" si="312"/>
        <v>204</v>
      </c>
      <c r="CK937" s="37">
        <f t="shared" si="313"/>
        <v>272</v>
      </c>
      <c r="CL937" s="37">
        <f t="shared" si="314"/>
        <v>289</v>
      </c>
      <c r="CM937" s="37">
        <f t="shared" si="315"/>
        <v>204</v>
      </c>
    </row>
    <row r="938" spans="1:91" ht="51">
      <c r="B938" s="156">
        <v>922</v>
      </c>
      <c r="C938" s="160">
        <v>646</v>
      </c>
      <c r="D938" s="160">
        <v>319</v>
      </c>
      <c r="E938" s="173">
        <v>0.73263888888888884</v>
      </c>
      <c r="F938" s="173">
        <v>0.74791666666666667</v>
      </c>
      <c r="G938" s="160" t="s">
        <v>604</v>
      </c>
      <c r="H938" s="160" t="s">
        <v>479</v>
      </c>
      <c r="I938" s="163">
        <v>11.5</v>
      </c>
      <c r="J938" s="164" t="s">
        <v>146</v>
      </c>
      <c r="K938" s="165">
        <v>240</v>
      </c>
      <c r="L938" s="166">
        <f t="shared" si="321"/>
        <v>2760</v>
      </c>
      <c r="M938" s="177" t="s">
        <v>787</v>
      </c>
      <c r="N938" s="154" t="s">
        <v>933</v>
      </c>
      <c r="O938" s="154">
        <v>17</v>
      </c>
      <c r="P938" s="154" t="s">
        <v>932</v>
      </c>
      <c r="Q938" s="154">
        <v>21</v>
      </c>
      <c r="R938" s="154"/>
      <c r="S938" s="154"/>
      <c r="T938" s="45" t="s">
        <v>1813</v>
      </c>
      <c r="U938" s="45" t="s">
        <v>1814</v>
      </c>
      <c r="V938" s="45" t="s">
        <v>1809</v>
      </c>
      <c r="W938" s="45" t="s">
        <v>1810</v>
      </c>
      <c r="X938" s="99">
        <v>44816</v>
      </c>
      <c r="Y938" s="99">
        <v>44902</v>
      </c>
      <c r="Z938" s="99">
        <v>45005</v>
      </c>
      <c r="AA938" s="99">
        <v>45100</v>
      </c>
      <c r="AB938" s="41" t="s">
        <v>1859</v>
      </c>
      <c r="AC938" s="45" t="s">
        <v>1135</v>
      </c>
      <c r="AD938" s="42" t="s">
        <v>734</v>
      </c>
      <c r="AE938" s="42"/>
      <c r="AF938" s="42" t="s">
        <v>734</v>
      </c>
      <c r="AG938" s="42"/>
      <c r="AH938" s="42" t="s">
        <v>734</v>
      </c>
      <c r="AI938" s="42" t="s">
        <v>734</v>
      </c>
      <c r="AJ938" s="42" t="s">
        <v>734</v>
      </c>
      <c r="AK938" s="42" t="s">
        <v>734</v>
      </c>
      <c r="AL938" s="42" t="s">
        <v>734</v>
      </c>
      <c r="AM938" s="42" t="s">
        <v>734</v>
      </c>
      <c r="AN938" s="42"/>
      <c r="AO938" s="42"/>
      <c r="AP938" s="42"/>
      <c r="AQ938" s="42"/>
      <c r="AR938" s="42"/>
      <c r="AS938" s="42"/>
      <c r="AT938" s="42"/>
      <c r="AU938" s="42"/>
      <c r="AV938" s="42"/>
      <c r="AW938" s="42"/>
      <c r="AX938" s="68">
        <v>28.75</v>
      </c>
      <c r="AY938" s="68"/>
      <c r="BA938" s="37"/>
      <c r="BB938" s="37"/>
      <c r="BD938" s="67">
        <f t="shared" si="323"/>
        <v>6900</v>
      </c>
      <c r="BE938" s="67"/>
      <c r="BF938" s="37"/>
      <c r="BG938" s="73">
        <v>1</v>
      </c>
      <c r="BH938" s="67">
        <f t="shared" si="324"/>
        <v>0</v>
      </c>
      <c r="BI938" s="67">
        <f t="shared" si="325"/>
        <v>0</v>
      </c>
      <c r="BJ938" s="70">
        <f t="shared" si="326"/>
        <v>0</v>
      </c>
      <c r="BN938" s="37"/>
      <c r="BO938" s="70">
        <f t="shared" si="307"/>
        <v>0</v>
      </c>
      <c r="BP938" s="37">
        <v>17</v>
      </c>
      <c r="BQ938" s="37">
        <v>26</v>
      </c>
      <c r="BR938" s="37">
        <v>25</v>
      </c>
      <c r="BS938" s="37">
        <v>6</v>
      </c>
      <c r="BT938" s="87">
        <f t="shared" si="308"/>
        <v>28.75</v>
      </c>
      <c r="BU938" s="87"/>
      <c r="BV938" s="87"/>
      <c r="BW938" s="87"/>
      <c r="BX938" s="87"/>
      <c r="BY938" s="87"/>
      <c r="BZ938" s="87"/>
      <c r="CA938" s="87"/>
      <c r="CB938" s="87"/>
      <c r="CC938" s="87"/>
      <c r="CD938" s="87"/>
      <c r="CF938" s="67">
        <f t="shared" si="309"/>
        <v>488.75</v>
      </c>
      <c r="CG938" s="67">
        <f t="shared" si="311"/>
        <v>747.5</v>
      </c>
      <c r="CH938" s="67">
        <f t="shared" si="322"/>
        <v>718.75</v>
      </c>
      <c r="CI938" s="67">
        <f t="shared" si="316"/>
        <v>172.5</v>
      </c>
      <c r="CJ938" s="37">
        <f t="shared" si="312"/>
        <v>195.5</v>
      </c>
      <c r="CK938" s="37">
        <f t="shared" si="313"/>
        <v>299</v>
      </c>
      <c r="CL938" s="37">
        <f t="shared" si="314"/>
        <v>287.5</v>
      </c>
      <c r="CM938" s="37">
        <f t="shared" si="315"/>
        <v>69</v>
      </c>
    </row>
    <row r="939" spans="1:91" ht="45">
      <c r="B939" s="156">
        <v>923</v>
      </c>
      <c r="C939" s="160">
        <v>646</v>
      </c>
      <c r="D939" s="160">
        <v>406</v>
      </c>
      <c r="E939" s="161">
        <v>0.73611111111111116</v>
      </c>
      <c r="F939" s="161">
        <v>0.79513888888888884</v>
      </c>
      <c r="G939" s="160" t="s">
        <v>145</v>
      </c>
      <c r="H939" s="160" t="s">
        <v>103</v>
      </c>
      <c r="I939" s="163">
        <v>43</v>
      </c>
      <c r="J939" s="164" t="s">
        <v>93</v>
      </c>
      <c r="K939" s="165">
        <v>174</v>
      </c>
      <c r="L939" s="166">
        <f t="shared" si="321"/>
        <v>7482</v>
      </c>
      <c r="M939" s="177" t="s">
        <v>789</v>
      </c>
      <c r="N939" s="154" t="s">
        <v>974</v>
      </c>
      <c r="O939" s="154">
        <v>24</v>
      </c>
      <c r="P939" s="150" t="s">
        <v>1318</v>
      </c>
      <c r="Q939" s="150">
        <v>56</v>
      </c>
      <c r="R939" s="154" t="s">
        <v>975</v>
      </c>
      <c r="S939" s="151">
        <v>20</v>
      </c>
      <c r="T939" s="64" t="s">
        <v>2021</v>
      </c>
      <c r="U939" s="45" t="s">
        <v>2022</v>
      </c>
      <c r="V939" s="45">
        <v>6300</v>
      </c>
      <c r="W939" s="45" t="s">
        <v>1385</v>
      </c>
      <c r="X939" s="98">
        <v>44816</v>
      </c>
      <c r="Y939" s="98">
        <v>45086</v>
      </c>
      <c r="Z939" s="98"/>
      <c r="AA939" s="98"/>
      <c r="AB939" s="41" t="s">
        <v>1114</v>
      </c>
      <c r="AC939" s="41"/>
      <c r="AD939" s="42"/>
      <c r="AE939" s="42"/>
      <c r="AF939" s="42"/>
      <c r="AG939" s="42" t="s">
        <v>734</v>
      </c>
      <c r="AH939" s="42" t="s">
        <v>734</v>
      </c>
      <c r="AI939" s="42" t="s">
        <v>734</v>
      </c>
      <c r="AJ939" s="42" t="s">
        <v>734</v>
      </c>
      <c r="AK939" s="42" t="s">
        <v>734</v>
      </c>
      <c r="AL939" s="42" t="s">
        <v>734</v>
      </c>
      <c r="AM939" s="42"/>
      <c r="AN939" s="42"/>
      <c r="AO939" s="42"/>
      <c r="AP939" s="42"/>
      <c r="AQ939" s="42"/>
      <c r="AR939" s="42"/>
      <c r="AS939" s="42"/>
      <c r="AT939" s="42"/>
      <c r="AU939" s="42"/>
      <c r="AV939" s="42"/>
      <c r="AW939" s="42"/>
      <c r="AX939" s="68">
        <v>135.59</v>
      </c>
      <c r="AY939" s="68"/>
      <c r="BA939" s="37"/>
      <c r="BB939" s="37"/>
      <c r="BD939" s="67">
        <f t="shared" si="323"/>
        <v>23592.66</v>
      </c>
      <c r="BE939" s="67"/>
      <c r="BF939" s="37"/>
      <c r="BG939" s="73">
        <v>1</v>
      </c>
      <c r="BH939" s="67">
        <f t="shared" si="324"/>
        <v>0</v>
      </c>
      <c r="BI939" s="67">
        <f t="shared" si="325"/>
        <v>0</v>
      </c>
      <c r="BJ939" s="70">
        <f t="shared" si="326"/>
        <v>0</v>
      </c>
      <c r="BN939" s="37"/>
      <c r="BO939" s="70">
        <f t="shared" si="307"/>
        <v>0</v>
      </c>
      <c r="BP939" s="37">
        <v>15</v>
      </c>
      <c r="BQ939" s="37">
        <v>20</v>
      </c>
      <c r="BR939" s="37">
        <v>21</v>
      </c>
      <c r="BS939" s="37">
        <v>15</v>
      </c>
      <c r="BT939" s="87">
        <f t="shared" si="308"/>
        <v>135.59</v>
      </c>
      <c r="BU939" s="87"/>
      <c r="BV939" s="87"/>
      <c r="BW939" s="87"/>
      <c r="BX939" s="87"/>
      <c r="BY939" s="87"/>
      <c r="BZ939" s="87"/>
      <c r="CA939" s="87"/>
      <c r="CB939" s="87"/>
      <c r="CC939" s="87"/>
      <c r="CD939" s="87"/>
      <c r="CF939" s="67">
        <f t="shared" si="309"/>
        <v>2033.8500000000001</v>
      </c>
      <c r="CG939" s="67">
        <f t="shared" si="311"/>
        <v>2711.8</v>
      </c>
      <c r="CH939" s="67">
        <f t="shared" si="322"/>
        <v>2847.39</v>
      </c>
      <c r="CI939" s="67">
        <f t="shared" si="316"/>
        <v>2033.8500000000001</v>
      </c>
      <c r="CJ939" s="37">
        <f t="shared" si="312"/>
        <v>645</v>
      </c>
      <c r="CK939" s="37">
        <f t="shared" si="313"/>
        <v>860</v>
      </c>
      <c r="CL939" s="37">
        <f t="shared" si="314"/>
        <v>903</v>
      </c>
      <c r="CM939" s="37">
        <f t="shared" si="315"/>
        <v>645</v>
      </c>
    </row>
    <row r="940" spans="1:91" ht="38.25">
      <c r="A940" s="178" t="s">
        <v>1179</v>
      </c>
      <c r="B940" s="156">
        <v>924</v>
      </c>
      <c r="C940" s="160">
        <v>646</v>
      </c>
      <c r="D940" s="160">
        <v>319</v>
      </c>
      <c r="E940" s="161">
        <v>0.73958333333333337</v>
      </c>
      <c r="F940" s="161">
        <v>0.74791666666666667</v>
      </c>
      <c r="G940" s="160" t="s">
        <v>605</v>
      </c>
      <c r="H940" s="174" t="s">
        <v>1079</v>
      </c>
      <c r="I940" s="163">
        <v>6</v>
      </c>
      <c r="J940" s="164" t="s">
        <v>146</v>
      </c>
      <c r="K940" s="179">
        <v>225</v>
      </c>
      <c r="L940" s="166">
        <f t="shared" si="321"/>
        <v>1350</v>
      </c>
      <c r="M940" s="177" t="s">
        <v>787</v>
      </c>
      <c r="N940" s="154" t="s">
        <v>933</v>
      </c>
      <c r="O940" s="154">
        <v>17</v>
      </c>
      <c r="P940" s="154" t="s">
        <v>932</v>
      </c>
      <c r="Q940" s="154">
        <v>21</v>
      </c>
      <c r="R940" s="154"/>
      <c r="S940" s="154"/>
      <c r="T940" s="45">
        <v>6401</v>
      </c>
      <c r="U940" s="45" t="s">
        <v>1808</v>
      </c>
      <c r="V940" s="45" t="s">
        <v>1809</v>
      </c>
      <c r="W940" s="45" t="s">
        <v>1810</v>
      </c>
      <c r="X940" s="99">
        <v>44903</v>
      </c>
      <c r="Y940" s="99">
        <v>45004</v>
      </c>
      <c r="Z940" s="99"/>
      <c r="AA940" s="99"/>
      <c r="AB940" s="42" t="s">
        <v>1858</v>
      </c>
      <c r="AC940" s="42" t="s">
        <v>1135</v>
      </c>
      <c r="AD940" s="42" t="s">
        <v>734</v>
      </c>
      <c r="AE940" s="42"/>
      <c r="AF940" s="42" t="s">
        <v>734</v>
      </c>
      <c r="AG940" s="42"/>
      <c r="AH940" s="42" t="s">
        <v>734</v>
      </c>
      <c r="AI940" s="42" t="s">
        <v>734</v>
      </c>
      <c r="AJ940" s="42" t="s">
        <v>734</v>
      </c>
      <c r="AK940" s="42" t="s">
        <v>734</v>
      </c>
      <c r="AL940" s="42" t="s">
        <v>734</v>
      </c>
      <c r="AM940" s="42"/>
      <c r="AN940" s="42"/>
      <c r="AO940" s="42"/>
      <c r="AP940" s="42"/>
      <c r="AQ940" s="42"/>
      <c r="AR940" s="42"/>
      <c r="AS940" s="42"/>
      <c r="AT940" s="42"/>
      <c r="AU940" s="42"/>
      <c r="AV940" s="42"/>
      <c r="AW940" s="42"/>
      <c r="AX940" s="68">
        <v>28.75</v>
      </c>
      <c r="AY940" s="68"/>
      <c r="BA940" s="37"/>
      <c r="BB940" s="37"/>
      <c r="BD940" s="67">
        <f t="shared" si="323"/>
        <v>6468.75</v>
      </c>
      <c r="BE940" s="67"/>
      <c r="BF940" s="37"/>
      <c r="BG940" s="73">
        <v>1</v>
      </c>
      <c r="BH940" s="67">
        <f t="shared" si="324"/>
        <v>0</v>
      </c>
      <c r="BI940" s="67">
        <f t="shared" si="325"/>
        <v>0</v>
      </c>
      <c r="BJ940" s="70">
        <f t="shared" si="326"/>
        <v>0</v>
      </c>
      <c r="BN940" s="37"/>
      <c r="BO940" s="70">
        <f t="shared" si="307"/>
        <v>0</v>
      </c>
      <c r="BP940" s="37">
        <v>0</v>
      </c>
      <c r="BQ940" s="37">
        <v>0</v>
      </c>
      <c r="BR940" s="37">
        <v>0</v>
      </c>
      <c r="BS940" s="37">
        <v>15</v>
      </c>
      <c r="BT940" s="87">
        <f t="shared" si="308"/>
        <v>28.75</v>
      </c>
      <c r="BU940" s="87"/>
      <c r="BV940" s="87"/>
      <c r="BW940" s="87"/>
      <c r="BX940" s="87"/>
      <c r="BY940" s="87"/>
      <c r="BZ940" s="87"/>
      <c r="CA940" s="87"/>
      <c r="CB940" s="87"/>
      <c r="CC940" s="87"/>
      <c r="CD940" s="87"/>
      <c r="CF940" s="67">
        <f t="shared" si="309"/>
        <v>0</v>
      </c>
      <c r="CG940" s="67">
        <f t="shared" si="311"/>
        <v>0</v>
      </c>
      <c r="CH940" s="67">
        <f t="shared" si="322"/>
        <v>0</v>
      </c>
      <c r="CI940" s="67">
        <f t="shared" si="316"/>
        <v>431.25</v>
      </c>
      <c r="CJ940" s="37">
        <f t="shared" si="312"/>
        <v>0</v>
      </c>
      <c r="CK940" s="37">
        <f t="shared" si="313"/>
        <v>0</v>
      </c>
      <c r="CL940" s="37">
        <f t="shared" si="314"/>
        <v>0</v>
      </c>
      <c r="CM940" s="37">
        <f t="shared" si="315"/>
        <v>90</v>
      </c>
    </row>
    <row r="941" spans="1:91" ht="33.75">
      <c r="B941" s="156">
        <v>925</v>
      </c>
      <c r="C941" s="160">
        <v>646</v>
      </c>
      <c r="D941" s="164">
        <v>314</v>
      </c>
      <c r="E941" s="161">
        <v>0.76874999999999993</v>
      </c>
      <c r="F941" s="173">
        <v>0.78819444444444453</v>
      </c>
      <c r="G941" s="160" t="s">
        <v>664</v>
      </c>
      <c r="H941" s="160" t="s">
        <v>663</v>
      </c>
      <c r="I941" s="163">
        <v>15</v>
      </c>
      <c r="J941" s="164">
        <v>16</v>
      </c>
      <c r="K941" s="165">
        <f>174-33</f>
        <v>141</v>
      </c>
      <c r="L941" s="166">
        <f t="shared" si="321"/>
        <v>2115</v>
      </c>
      <c r="M941" s="177" t="s">
        <v>790</v>
      </c>
      <c r="N941" s="154" t="s">
        <v>966</v>
      </c>
      <c r="O941" s="154">
        <v>9</v>
      </c>
      <c r="P941" s="154" t="s">
        <v>1314</v>
      </c>
      <c r="Q941" s="154">
        <v>9</v>
      </c>
      <c r="S941" s="154"/>
      <c r="T941" s="45" t="s">
        <v>1813</v>
      </c>
      <c r="U941" s="45" t="s">
        <v>1814</v>
      </c>
      <c r="V941" s="45">
        <v>6410</v>
      </c>
      <c r="W941" s="45" t="s">
        <v>1811</v>
      </c>
      <c r="X941" s="98">
        <v>44816</v>
      </c>
      <c r="Y941" s="98">
        <v>45086</v>
      </c>
      <c r="Z941" s="98"/>
      <c r="AA941" s="98"/>
      <c r="AB941" s="42" t="s">
        <v>1173</v>
      </c>
      <c r="AC941" s="42"/>
      <c r="AD941" s="42"/>
      <c r="AE941" s="42"/>
      <c r="AF941" s="42"/>
      <c r="AG941" s="42" t="s">
        <v>734</v>
      </c>
      <c r="AH941" s="42"/>
      <c r="AI941" s="42" t="s">
        <v>734</v>
      </c>
      <c r="AJ941" s="42" t="s">
        <v>734</v>
      </c>
      <c r="AK941" s="42" t="s">
        <v>734</v>
      </c>
      <c r="AL941" s="42" t="s">
        <v>734</v>
      </c>
      <c r="AM941" s="42"/>
      <c r="AN941" s="42"/>
      <c r="AO941" s="42"/>
      <c r="AP941" s="42"/>
      <c r="AQ941" s="42"/>
      <c r="AR941" s="42"/>
      <c r="AS941" s="42"/>
      <c r="AT941" s="42"/>
      <c r="AU941" s="42"/>
      <c r="AV941" s="42"/>
      <c r="AW941" s="42"/>
      <c r="AX941" s="68">
        <v>45</v>
      </c>
      <c r="AY941" s="68"/>
      <c r="BA941" s="37"/>
      <c r="BB941" s="37"/>
      <c r="BC941" s="37">
        <v>23</v>
      </c>
      <c r="BD941" s="67">
        <f t="shared" si="323"/>
        <v>6345</v>
      </c>
      <c r="BE941" s="67"/>
      <c r="BF941" s="37"/>
      <c r="BG941" s="73">
        <v>1</v>
      </c>
      <c r="BH941" s="67">
        <f t="shared" si="324"/>
        <v>0</v>
      </c>
      <c r="BI941" s="67">
        <f t="shared" si="325"/>
        <v>0</v>
      </c>
      <c r="BJ941" s="70">
        <f t="shared" si="326"/>
        <v>0</v>
      </c>
      <c r="BN941" s="37"/>
      <c r="BO941" s="70">
        <f t="shared" si="307"/>
        <v>0</v>
      </c>
      <c r="BP941" s="37">
        <v>12</v>
      </c>
      <c r="BQ941" s="37">
        <v>16</v>
      </c>
      <c r="BR941" s="37">
        <v>17</v>
      </c>
      <c r="BS941" s="37">
        <v>12</v>
      </c>
      <c r="BT941" s="87">
        <f t="shared" si="308"/>
        <v>45</v>
      </c>
      <c r="BU941" s="87"/>
      <c r="BV941" s="87"/>
      <c r="BW941" s="87"/>
      <c r="BX941" s="87"/>
      <c r="BY941" s="87"/>
      <c r="BZ941" s="87"/>
      <c r="CA941" s="87"/>
      <c r="CB941" s="87"/>
      <c r="CC941" s="87"/>
      <c r="CD941" s="87"/>
      <c r="CF941" s="67">
        <f t="shared" si="309"/>
        <v>540</v>
      </c>
      <c r="CG941" s="67">
        <f t="shared" si="311"/>
        <v>720</v>
      </c>
      <c r="CH941" s="67">
        <f t="shared" si="322"/>
        <v>765</v>
      </c>
      <c r="CI941" s="67">
        <f t="shared" si="316"/>
        <v>540</v>
      </c>
      <c r="CJ941" s="37">
        <f t="shared" si="312"/>
        <v>180</v>
      </c>
      <c r="CK941" s="37">
        <f t="shared" si="313"/>
        <v>240</v>
      </c>
      <c r="CL941" s="37">
        <f t="shared" si="314"/>
        <v>255</v>
      </c>
      <c r="CM941" s="37">
        <f t="shared" si="315"/>
        <v>180</v>
      </c>
    </row>
    <row r="942" spans="1:91" ht="63.75">
      <c r="B942" s="156">
        <v>926</v>
      </c>
      <c r="C942" s="160">
        <v>646</v>
      </c>
      <c r="D942" s="160">
        <v>314</v>
      </c>
      <c r="E942" s="161">
        <v>0.77638888888888891</v>
      </c>
      <c r="F942" s="173">
        <v>0.78194444444444444</v>
      </c>
      <c r="G942" s="160" t="s">
        <v>144</v>
      </c>
      <c r="H942" s="160" t="s">
        <v>143</v>
      </c>
      <c r="I942" s="163">
        <v>7</v>
      </c>
      <c r="J942" s="164" t="s">
        <v>116</v>
      </c>
      <c r="K942" s="165">
        <v>30</v>
      </c>
      <c r="L942" s="166">
        <f t="shared" si="321"/>
        <v>210</v>
      </c>
      <c r="M942" s="177" t="s">
        <v>789</v>
      </c>
      <c r="N942" s="154" t="s">
        <v>974</v>
      </c>
      <c r="O942" s="154">
        <v>24</v>
      </c>
      <c r="P942" s="150" t="s">
        <v>1318</v>
      </c>
      <c r="Q942" s="150">
        <v>56</v>
      </c>
      <c r="R942" s="154" t="s">
        <v>975</v>
      </c>
      <c r="S942" s="151">
        <v>20</v>
      </c>
      <c r="T942" s="45">
        <v>6401</v>
      </c>
      <c r="U942" s="45" t="s">
        <v>1808</v>
      </c>
      <c r="V942" s="45" t="s">
        <v>1813</v>
      </c>
      <c r="W942" s="45" t="s">
        <v>1814</v>
      </c>
      <c r="X942" s="99">
        <v>44816</v>
      </c>
      <c r="Y942" s="99">
        <v>44902</v>
      </c>
      <c r="Z942" s="99">
        <v>45005</v>
      </c>
      <c r="AA942" s="99">
        <v>45100</v>
      </c>
      <c r="AB942" s="41" t="s">
        <v>1860</v>
      </c>
      <c r="AC942" s="42" t="s">
        <v>1135</v>
      </c>
      <c r="AD942" s="42" t="s">
        <v>734</v>
      </c>
      <c r="AE942" s="42"/>
      <c r="AF942" s="42"/>
      <c r="AG942" s="42"/>
      <c r="AH942" s="42"/>
      <c r="AI942" s="42"/>
      <c r="AJ942" s="42"/>
      <c r="AK942" s="42"/>
      <c r="AL942" s="42"/>
      <c r="AM942" s="42"/>
      <c r="AN942" s="42" t="s">
        <v>734</v>
      </c>
      <c r="AO942" s="42"/>
      <c r="AP942" s="42"/>
      <c r="AQ942" s="42"/>
      <c r="AR942" s="42"/>
      <c r="AS942" s="42"/>
      <c r="AT942" s="42"/>
      <c r="AU942" s="42"/>
      <c r="AV942" s="42"/>
      <c r="AW942" s="42"/>
      <c r="AX942" s="68">
        <v>27.46</v>
      </c>
      <c r="AY942" s="68"/>
      <c r="BA942" s="37"/>
      <c r="BB942" s="37"/>
      <c r="BD942" s="67">
        <f t="shared" si="323"/>
        <v>823.80000000000007</v>
      </c>
      <c r="BE942" s="67"/>
      <c r="BF942" s="37"/>
      <c r="BG942" s="73">
        <v>1</v>
      </c>
      <c r="BH942" s="67">
        <f t="shared" si="324"/>
        <v>0</v>
      </c>
      <c r="BI942" s="67">
        <f t="shared" si="325"/>
        <v>0</v>
      </c>
      <c r="BJ942" s="70">
        <f t="shared" si="326"/>
        <v>0</v>
      </c>
      <c r="BN942" s="37"/>
      <c r="BO942" s="70">
        <f t="shared" si="307"/>
        <v>0</v>
      </c>
      <c r="BP942" s="37">
        <v>2</v>
      </c>
      <c r="BQ942" s="37">
        <v>5</v>
      </c>
      <c r="BR942" s="37">
        <v>5</v>
      </c>
      <c r="BS942" s="37">
        <v>1</v>
      </c>
      <c r="BT942" s="87">
        <f t="shared" si="308"/>
        <v>27.46</v>
      </c>
      <c r="BU942" s="87"/>
      <c r="BV942" s="87"/>
      <c r="BW942" s="87"/>
      <c r="BX942" s="87"/>
      <c r="BY942" s="87"/>
      <c r="BZ942" s="87"/>
      <c r="CA942" s="87"/>
      <c r="CB942" s="87"/>
      <c r="CC942" s="87"/>
      <c r="CD942" s="87"/>
      <c r="CF942" s="67">
        <f t="shared" si="309"/>
        <v>54.92</v>
      </c>
      <c r="CG942" s="67">
        <f t="shared" si="311"/>
        <v>137.30000000000001</v>
      </c>
      <c r="CH942" s="67">
        <f t="shared" si="322"/>
        <v>137.30000000000001</v>
      </c>
      <c r="CI942" s="67">
        <f t="shared" si="316"/>
        <v>27.46</v>
      </c>
      <c r="CJ942" s="37">
        <f t="shared" si="312"/>
        <v>14</v>
      </c>
      <c r="CK942" s="37">
        <f t="shared" si="313"/>
        <v>35</v>
      </c>
      <c r="CL942" s="37">
        <f t="shared" si="314"/>
        <v>35</v>
      </c>
      <c r="CM942" s="37">
        <f t="shared" si="315"/>
        <v>7</v>
      </c>
    </row>
    <row r="943" spans="1:91" ht="33.75">
      <c r="B943" s="156">
        <v>927</v>
      </c>
      <c r="C943" s="160">
        <v>646</v>
      </c>
      <c r="D943" s="160">
        <v>418</v>
      </c>
      <c r="E943" s="161">
        <v>0.8256944444444444</v>
      </c>
      <c r="F943" s="161">
        <v>0.83124999999999993</v>
      </c>
      <c r="G943" s="160" t="s">
        <v>144</v>
      </c>
      <c r="H943" s="160" t="s">
        <v>479</v>
      </c>
      <c r="I943" s="163">
        <v>4.5</v>
      </c>
      <c r="J943" s="164" t="s">
        <v>146</v>
      </c>
      <c r="K943" s="165">
        <v>240</v>
      </c>
      <c r="L943" s="166">
        <f t="shared" si="321"/>
        <v>1080</v>
      </c>
      <c r="M943" s="177" t="s">
        <v>787</v>
      </c>
      <c r="N943" s="154" t="s">
        <v>933</v>
      </c>
      <c r="O943" s="154">
        <v>17</v>
      </c>
      <c r="P943" s="154" t="s">
        <v>932</v>
      </c>
      <c r="Q943" s="154">
        <v>21</v>
      </c>
      <c r="R943" s="154"/>
      <c r="S943" s="154"/>
      <c r="T943" s="45">
        <v>6401</v>
      </c>
      <c r="U943" s="45" t="s">
        <v>1808</v>
      </c>
      <c r="V943" s="45" t="s">
        <v>1813</v>
      </c>
      <c r="W943" s="45" t="s">
        <v>1814</v>
      </c>
      <c r="X943" s="99">
        <v>44816</v>
      </c>
      <c r="Y943" s="99">
        <v>45100</v>
      </c>
      <c r="Z943" s="99"/>
      <c r="AA943" s="99"/>
      <c r="AB943" s="45" t="s">
        <v>1124</v>
      </c>
      <c r="AC943" s="45"/>
      <c r="AD943" s="42" t="s">
        <v>734</v>
      </c>
      <c r="AE943" s="42"/>
      <c r="AF943" s="42" t="s">
        <v>734</v>
      </c>
      <c r="AG943" s="42"/>
      <c r="AH943" s="42" t="s">
        <v>734</v>
      </c>
      <c r="AI943" s="42" t="s">
        <v>734</v>
      </c>
      <c r="AJ943" s="42" t="s">
        <v>734</v>
      </c>
      <c r="AK943" s="42" t="s">
        <v>734</v>
      </c>
      <c r="AL943" s="42" t="s">
        <v>734</v>
      </c>
      <c r="AM943" s="42" t="s">
        <v>734</v>
      </c>
      <c r="AN943" s="42"/>
      <c r="AO943" s="42"/>
      <c r="AP943" s="42"/>
      <c r="AQ943" s="42"/>
      <c r="AR943" s="42"/>
      <c r="AS943" s="42"/>
      <c r="AT943" s="42"/>
      <c r="AU943" s="42"/>
      <c r="AV943" s="42"/>
      <c r="AW943" s="42"/>
      <c r="AX943" s="68">
        <v>11.25</v>
      </c>
      <c r="AY943" s="68"/>
      <c r="BA943" s="37"/>
      <c r="BB943" s="37"/>
      <c r="BD943" s="67">
        <f t="shared" si="323"/>
        <v>2700</v>
      </c>
      <c r="BE943" s="67"/>
      <c r="BF943" s="37"/>
      <c r="BG943" s="73">
        <v>1</v>
      </c>
      <c r="BH943" s="67">
        <f t="shared" si="324"/>
        <v>0</v>
      </c>
      <c r="BI943" s="67">
        <f t="shared" si="325"/>
        <v>0</v>
      </c>
      <c r="BJ943" s="70">
        <f t="shared" si="326"/>
        <v>0</v>
      </c>
      <c r="BN943" s="37"/>
      <c r="BO943" s="70">
        <f t="shared" si="307"/>
        <v>0</v>
      </c>
      <c r="BP943" s="37">
        <v>17</v>
      </c>
      <c r="BQ943" s="37">
        <v>26</v>
      </c>
      <c r="BR943" s="37">
        <v>25</v>
      </c>
      <c r="BS943" s="37">
        <v>25</v>
      </c>
      <c r="BT943" s="87">
        <f t="shared" si="308"/>
        <v>11.25</v>
      </c>
      <c r="BU943" s="87"/>
      <c r="BV943" s="87"/>
      <c r="BW943" s="87"/>
      <c r="BX943" s="87"/>
      <c r="BY943" s="87"/>
      <c r="BZ943" s="87"/>
      <c r="CA943" s="87"/>
      <c r="CB943" s="87"/>
      <c r="CC943" s="87"/>
      <c r="CD943" s="87"/>
      <c r="CF943" s="67">
        <f t="shared" si="309"/>
        <v>191.25</v>
      </c>
      <c r="CG943" s="67">
        <f t="shared" si="311"/>
        <v>292.5</v>
      </c>
      <c r="CH943" s="67">
        <f t="shared" si="322"/>
        <v>281.25</v>
      </c>
      <c r="CI943" s="67">
        <f t="shared" si="316"/>
        <v>281.25</v>
      </c>
      <c r="CJ943" s="37">
        <f t="shared" si="312"/>
        <v>76.5</v>
      </c>
      <c r="CK943" s="37">
        <f t="shared" si="313"/>
        <v>117</v>
      </c>
      <c r="CL943" s="37">
        <f t="shared" si="314"/>
        <v>112.5</v>
      </c>
      <c r="CM943" s="37">
        <f t="shared" si="315"/>
        <v>112.5</v>
      </c>
    </row>
    <row r="944" spans="1:91" ht="56.25">
      <c r="B944" s="156">
        <v>928</v>
      </c>
      <c r="C944" s="174">
        <v>401</v>
      </c>
      <c r="D944" s="160">
        <v>124</v>
      </c>
      <c r="E944" s="173">
        <v>0.30277777777777776</v>
      </c>
      <c r="F944" s="173">
        <v>0.32777777777777778</v>
      </c>
      <c r="G944" s="160" t="s">
        <v>202</v>
      </c>
      <c r="H944" s="160" t="s">
        <v>97</v>
      </c>
      <c r="I944" s="163">
        <f>20+2.5</f>
        <v>22.5</v>
      </c>
      <c r="J944" s="164" t="s">
        <v>101</v>
      </c>
      <c r="K944" s="165">
        <v>208</v>
      </c>
      <c r="L944" s="166">
        <f t="shared" si="321"/>
        <v>4680</v>
      </c>
      <c r="M944" s="167" t="s">
        <v>761</v>
      </c>
      <c r="N944" s="154" t="s">
        <v>838</v>
      </c>
      <c r="O944" s="154">
        <v>57</v>
      </c>
      <c r="P944" s="154" t="s">
        <v>1288</v>
      </c>
      <c r="Q944" s="154">
        <v>57</v>
      </c>
      <c r="S944" s="154"/>
      <c r="T944" s="45" t="s">
        <v>1818</v>
      </c>
      <c r="U944" s="45" t="s">
        <v>1819</v>
      </c>
      <c r="V944" s="45">
        <v>4400</v>
      </c>
      <c r="W944" s="45" t="s">
        <v>1679</v>
      </c>
      <c r="X944" s="98">
        <v>44816</v>
      </c>
      <c r="Y944" s="98">
        <v>45086</v>
      </c>
      <c r="Z944" s="98"/>
      <c r="AA944" s="98"/>
      <c r="AB944" s="41" t="s">
        <v>1118</v>
      </c>
      <c r="AC944" s="41"/>
      <c r="AD944" s="42"/>
      <c r="AE944" s="42"/>
      <c r="AF944" s="42"/>
      <c r="AG944" s="42" t="s">
        <v>734</v>
      </c>
      <c r="AH944" s="42" t="s">
        <v>734</v>
      </c>
      <c r="AI944" s="42" t="s">
        <v>734</v>
      </c>
      <c r="AJ944" s="42" t="s">
        <v>734</v>
      </c>
      <c r="AK944" s="42" t="s">
        <v>734</v>
      </c>
      <c r="AL944" s="42" t="s">
        <v>734</v>
      </c>
      <c r="AM944" s="42" t="s">
        <v>734</v>
      </c>
      <c r="AN944" s="42"/>
      <c r="AO944" s="42"/>
      <c r="AP944" s="42"/>
      <c r="AQ944" s="42"/>
      <c r="AR944" s="42"/>
      <c r="AS944" s="42"/>
      <c r="AT944" s="42"/>
      <c r="AU944" s="42"/>
      <c r="AV944" s="42"/>
      <c r="AW944" s="42"/>
      <c r="AX944" s="68">
        <v>182.5</v>
      </c>
      <c r="AY944" s="68"/>
      <c r="BA944" s="37"/>
      <c r="BB944" s="37"/>
      <c r="BD944" s="67">
        <f t="shared" si="323"/>
        <v>37960</v>
      </c>
      <c r="BE944" s="67"/>
      <c r="BF944" s="37"/>
      <c r="BG944" s="69">
        <v>2</v>
      </c>
      <c r="BH944" s="67">
        <f t="shared" si="324"/>
        <v>0</v>
      </c>
      <c r="BI944" s="67">
        <f t="shared" si="325"/>
        <v>0</v>
      </c>
      <c r="BJ944" s="70">
        <f t="shared" si="326"/>
        <v>0</v>
      </c>
      <c r="BN944" s="37"/>
      <c r="BO944" s="70">
        <f t="shared" si="307"/>
        <v>0</v>
      </c>
      <c r="BP944" s="37">
        <v>17</v>
      </c>
      <c r="BQ944" s="37">
        <v>25</v>
      </c>
      <c r="BR944" s="37">
        <v>25</v>
      </c>
      <c r="BS944" s="37">
        <v>18</v>
      </c>
      <c r="BT944" s="87">
        <f t="shared" si="308"/>
        <v>182.5</v>
      </c>
      <c r="BU944" s="87"/>
      <c r="BV944" s="87"/>
      <c r="BW944" s="87"/>
      <c r="BX944" s="87"/>
      <c r="BY944" s="87"/>
      <c r="BZ944" s="87"/>
      <c r="CA944" s="87"/>
      <c r="CB944" s="87"/>
      <c r="CC944" s="87"/>
      <c r="CD944" s="87"/>
      <c r="CF944" s="67">
        <f t="shared" si="309"/>
        <v>3102.5</v>
      </c>
      <c r="CG944" s="67">
        <f t="shared" si="311"/>
        <v>4562.5</v>
      </c>
      <c r="CH944" s="67">
        <f t="shared" si="322"/>
        <v>4562.5</v>
      </c>
      <c r="CI944" s="67">
        <f t="shared" si="316"/>
        <v>3285</v>
      </c>
      <c r="CJ944" s="37">
        <f t="shared" si="312"/>
        <v>382.5</v>
      </c>
      <c r="CK944" s="37">
        <f t="shared" si="313"/>
        <v>562.5</v>
      </c>
      <c r="CL944" s="37">
        <f t="shared" si="314"/>
        <v>562.5</v>
      </c>
      <c r="CM944" s="37">
        <f t="shared" si="315"/>
        <v>405</v>
      </c>
    </row>
    <row r="945" spans="1:91" ht="33.75">
      <c r="A945" s="3" t="s">
        <v>1073</v>
      </c>
      <c r="B945" s="156" t="s">
        <v>1878</v>
      </c>
      <c r="C945" s="160">
        <v>645</v>
      </c>
      <c r="D945" s="160">
        <v>307</v>
      </c>
      <c r="E945" s="161">
        <v>0.28333333333333333</v>
      </c>
      <c r="F945" s="161">
        <v>0.28819444444444448</v>
      </c>
      <c r="G945" s="160" t="s">
        <v>1072</v>
      </c>
      <c r="H945" s="160" t="s">
        <v>97</v>
      </c>
      <c r="I945" s="163">
        <v>2.8</v>
      </c>
      <c r="J945" s="164">
        <v>8</v>
      </c>
      <c r="K945" s="165">
        <v>208</v>
      </c>
      <c r="L945" s="166">
        <f t="shared" si="321"/>
        <v>582.4</v>
      </c>
      <c r="M945" s="167" t="s">
        <v>787</v>
      </c>
      <c r="N945" s="150" t="s">
        <v>935</v>
      </c>
      <c r="O945" s="150">
        <v>7</v>
      </c>
      <c r="P945" s="150" t="s">
        <v>934</v>
      </c>
      <c r="Q945" s="150">
        <v>9</v>
      </c>
      <c r="R945" s="150"/>
      <c r="T945" s="45" t="s">
        <v>1820</v>
      </c>
      <c r="U945" s="45" t="s">
        <v>1821</v>
      </c>
      <c r="V945" s="45" t="s">
        <v>1822</v>
      </c>
      <c r="W945" s="45" t="s">
        <v>1823</v>
      </c>
      <c r="X945" s="98">
        <v>44816</v>
      </c>
      <c r="Y945" s="98">
        <v>45086</v>
      </c>
      <c r="Z945" s="98"/>
      <c r="AA945" s="98"/>
      <c r="AB945" s="41" t="s">
        <v>1118</v>
      </c>
      <c r="AC945" s="46"/>
      <c r="AD945" s="42"/>
      <c r="AE945" s="42"/>
      <c r="AF945" s="42"/>
      <c r="AG945" s="42" t="s">
        <v>734</v>
      </c>
      <c r="AH945" s="42" t="s">
        <v>734</v>
      </c>
      <c r="AI945" s="42" t="s">
        <v>734</v>
      </c>
      <c r="AJ945" s="42" t="s">
        <v>734</v>
      </c>
      <c r="AK945" s="42" t="s">
        <v>734</v>
      </c>
      <c r="AL945" s="42" t="s">
        <v>734</v>
      </c>
      <c r="AM945" s="42" t="s">
        <v>734</v>
      </c>
      <c r="AN945" s="42"/>
      <c r="AO945" s="42"/>
      <c r="AP945" s="42"/>
      <c r="AQ945" s="42"/>
      <c r="AR945" s="42"/>
      <c r="AS945" s="42"/>
      <c r="AT945" s="42"/>
      <c r="AU945" s="42"/>
      <c r="AV945" s="42"/>
      <c r="AW945" s="42"/>
      <c r="AX945" s="68"/>
      <c r="AZ945" s="67">
        <f>25/1.1</f>
        <v>22.727272727272727</v>
      </c>
      <c r="BA945" s="68"/>
      <c r="BB945" s="68"/>
      <c r="BF945" s="67">
        <f t="shared" ref="BF945:BF971" si="327">AZ945*K945</f>
        <v>4727.272727272727</v>
      </c>
      <c r="BG945" s="73">
        <v>1</v>
      </c>
      <c r="BH945" s="73"/>
      <c r="BI945" s="73"/>
      <c r="BJ945" s="79"/>
      <c r="BK945" s="73"/>
      <c r="BL945" s="73"/>
      <c r="BM945" s="73"/>
      <c r="BN945" s="79"/>
      <c r="BO945" s="86"/>
      <c r="BP945" s="37">
        <v>17</v>
      </c>
      <c r="BQ945" s="37">
        <v>25</v>
      </c>
      <c r="BR945" s="37">
        <v>25</v>
      </c>
      <c r="BS945" s="37">
        <v>18</v>
      </c>
      <c r="BT945" s="87">
        <f t="shared" si="308"/>
        <v>22.727272727272727</v>
      </c>
      <c r="BU945" s="281"/>
      <c r="BV945" s="281"/>
      <c r="BW945" s="281"/>
      <c r="BX945" s="281"/>
      <c r="BY945" s="281"/>
      <c r="BZ945" s="281"/>
      <c r="CA945" s="281"/>
      <c r="CB945" s="281"/>
      <c r="CC945" s="281"/>
      <c r="CD945" s="281"/>
      <c r="CE945" s="73"/>
      <c r="CF945" s="67">
        <f t="shared" si="309"/>
        <v>386.36363636363637</v>
      </c>
      <c r="CG945" s="67">
        <f t="shared" si="311"/>
        <v>568.18181818181813</v>
      </c>
      <c r="CH945" s="67">
        <f t="shared" si="322"/>
        <v>568.18181818181813</v>
      </c>
      <c r="CI945" s="67">
        <f t="shared" si="316"/>
        <v>409.09090909090907</v>
      </c>
      <c r="CJ945" s="37">
        <f t="shared" si="312"/>
        <v>47.599999999999994</v>
      </c>
      <c r="CK945" s="37">
        <f t="shared" si="313"/>
        <v>70</v>
      </c>
      <c r="CL945" s="37">
        <f t="shared" si="314"/>
        <v>70</v>
      </c>
      <c r="CM945" s="37">
        <f t="shared" si="315"/>
        <v>50.4</v>
      </c>
    </row>
    <row r="946" spans="1:91" ht="33.75">
      <c r="A946" s="3" t="s">
        <v>1100</v>
      </c>
      <c r="B946" s="156" t="s">
        <v>1878</v>
      </c>
      <c r="C946" s="160">
        <v>101</v>
      </c>
      <c r="D946" s="160">
        <v>57</v>
      </c>
      <c r="E946" s="161">
        <v>0.70833333333333337</v>
      </c>
      <c r="F946" s="161">
        <v>0.79166666666666663</v>
      </c>
      <c r="G946" s="160" t="s">
        <v>1097</v>
      </c>
      <c r="H946" s="160" t="s">
        <v>1098</v>
      </c>
      <c r="I946" s="163">
        <v>92</v>
      </c>
      <c r="J946" s="164">
        <v>19</v>
      </c>
      <c r="K946" s="165">
        <v>18</v>
      </c>
      <c r="L946" s="166">
        <f t="shared" si="321"/>
        <v>1656</v>
      </c>
      <c r="M946" s="167" t="s">
        <v>1099</v>
      </c>
      <c r="N946" s="150" t="s">
        <v>860</v>
      </c>
      <c r="O946" s="150">
        <v>21</v>
      </c>
      <c r="P946" s="150" t="s">
        <v>859</v>
      </c>
      <c r="Q946" s="150">
        <v>24</v>
      </c>
      <c r="T946" s="45" t="s">
        <v>1824</v>
      </c>
      <c r="U946" s="45" t="s">
        <v>1825</v>
      </c>
      <c r="V946" s="45">
        <v>1</v>
      </c>
      <c r="W946" s="45" t="s">
        <v>1430</v>
      </c>
      <c r="X946" s="98">
        <v>44816</v>
      </c>
      <c r="Y946" s="98">
        <v>45086</v>
      </c>
      <c r="Z946" s="98"/>
      <c r="AA946" s="98"/>
      <c r="AB946" s="42" t="s">
        <v>1174</v>
      </c>
      <c r="AC946" s="42" t="s">
        <v>1135</v>
      </c>
      <c r="AD946" s="42"/>
      <c r="AE946" s="42"/>
      <c r="AF946" s="42"/>
      <c r="AG946" s="42" t="s">
        <v>734</v>
      </c>
      <c r="AH946" s="42"/>
      <c r="AI946" s="42"/>
      <c r="AJ946" s="42"/>
      <c r="AK946" s="42"/>
      <c r="AL946" s="42" t="s">
        <v>734</v>
      </c>
      <c r="AM946" s="42"/>
      <c r="AN946" s="42"/>
      <c r="AO946" s="42"/>
      <c r="AP946" s="42"/>
      <c r="AQ946" s="42"/>
      <c r="AR946" s="42"/>
      <c r="AS946" s="42"/>
      <c r="AT946" s="42"/>
      <c r="AU946" s="42"/>
      <c r="AV946" s="42"/>
      <c r="AW946" s="42"/>
      <c r="AX946" s="68"/>
      <c r="AZ946" s="67">
        <f t="shared" ref="AZ946:AZ953" si="328">3*I946</f>
        <v>276</v>
      </c>
      <c r="BA946" s="68"/>
      <c r="BB946" s="68"/>
      <c r="BF946" s="67">
        <f t="shared" si="327"/>
        <v>4968</v>
      </c>
      <c r="BG946" s="73">
        <v>1</v>
      </c>
      <c r="BH946" s="73"/>
      <c r="BI946" s="73"/>
      <c r="BJ946" s="79"/>
      <c r="BK946" s="73"/>
      <c r="BL946" s="73"/>
      <c r="BM946" s="73"/>
      <c r="BN946" s="73"/>
      <c r="BO946" s="86"/>
      <c r="BP946" s="37">
        <v>1</v>
      </c>
      <c r="BQ946" s="37">
        <v>2</v>
      </c>
      <c r="BR946" s="37">
        <v>2</v>
      </c>
      <c r="BS946" s="37">
        <v>2</v>
      </c>
      <c r="BT946" s="87">
        <f t="shared" si="308"/>
        <v>276</v>
      </c>
      <c r="BU946" s="281"/>
      <c r="BV946" s="281"/>
      <c r="BW946" s="281"/>
      <c r="BX946" s="281"/>
      <c r="BY946" s="281"/>
      <c r="BZ946" s="281"/>
      <c r="CA946" s="281"/>
      <c r="CB946" s="281"/>
      <c r="CC946" s="281"/>
      <c r="CD946" s="281"/>
      <c r="CE946" s="73"/>
      <c r="CF946" s="67">
        <f t="shared" si="309"/>
        <v>276</v>
      </c>
      <c r="CG946" s="67">
        <f t="shared" si="311"/>
        <v>552</v>
      </c>
      <c r="CH946" s="67">
        <f t="shared" si="322"/>
        <v>552</v>
      </c>
      <c r="CI946" s="67">
        <f t="shared" si="316"/>
        <v>552</v>
      </c>
      <c r="CJ946" s="37">
        <f t="shared" si="312"/>
        <v>92</v>
      </c>
      <c r="CK946" s="37">
        <f t="shared" si="313"/>
        <v>184</v>
      </c>
      <c r="CL946" s="37">
        <f t="shared" si="314"/>
        <v>184</v>
      </c>
      <c r="CM946" s="37">
        <f t="shared" si="315"/>
        <v>184</v>
      </c>
    </row>
    <row r="947" spans="1:91" ht="25.5">
      <c r="A947" s="3" t="s">
        <v>1100</v>
      </c>
      <c r="B947" s="156" t="s">
        <v>1878</v>
      </c>
      <c r="C947" s="160">
        <v>101</v>
      </c>
      <c r="D947" s="160">
        <v>57</v>
      </c>
      <c r="E947" s="161">
        <v>0.70833333333333337</v>
      </c>
      <c r="F947" s="161">
        <v>0.79166666666666663</v>
      </c>
      <c r="G947" s="160" t="s">
        <v>1097</v>
      </c>
      <c r="H947" s="160" t="s">
        <v>1098</v>
      </c>
      <c r="I947" s="163">
        <v>92</v>
      </c>
      <c r="J947" s="164">
        <v>19</v>
      </c>
      <c r="K947" s="165">
        <v>18</v>
      </c>
      <c r="L947" s="166">
        <f t="shared" si="321"/>
        <v>1656</v>
      </c>
      <c r="M947" s="167" t="s">
        <v>1101</v>
      </c>
      <c r="N947" s="150" t="s">
        <v>1102</v>
      </c>
      <c r="O947" s="150">
        <v>21</v>
      </c>
      <c r="P947" s="150" t="s">
        <v>1319</v>
      </c>
      <c r="Q947" s="150">
        <v>23</v>
      </c>
      <c r="R947" s="150" t="s">
        <v>1320</v>
      </c>
      <c r="S947" s="151">
        <v>16</v>
      </c>
      <c r="T947" s="45" t="s">
        <v>1824</v>
      </c>
      <c r="U947" s="45" t="s">
        <v>1825</v>
      </c>
      <c r="V947" s="45">
        <v>1</v>
      </c>
      <c r="W947" s="45" t="s">
        <v>1430</v>
      </c>
      <c r="X947" s="98">
        <v>44816</v>
      </c>
      <c r="Y947" s="98">
        <v>45086</v>
      </c>
      <c r="Z947" s="98"/>
      <c r="AA947" s="98"/>
      <c r="AB947" s="42" t="s">
        <v>1174</v>
      </c>
      <c r="AC947" s="42" t="s">
        <v>1135</v>
      </c>
      <c r="AD947" s="42"/>
      <c r="AE947" s="42"/>
      <c r="AF947" s="42"/>
      <c r="AG947" s="42" t="s">
        <v>734</v>
      </c>
      <c r="AH947" s="42"/>
      <c r="AI947" s="42"/>
      <c r="AJ947" s="42"/>
      <c r="AK947" s="42"/>
      <c r="AL947" s="42" t="s">
        <v>734</v>
      </c>
      <c r="AM947" s="42"/>
      <c r="AN947" s="42"/>
      <c r="AO947" s="42"/>
      <c r="AP947" s="42"/>
      <c r="AQ947" s="42"/>
      <c r="AR947" s="42"/>
      <c r="AS947" s="42"/>
      <c r="AT947" s="42"/>
      <c r="AU947" s="42"/>
      <c r="AV947" s="42"/>
      <c r="AW947" s="42"/>
      <c r="AX947" s="68"/>
      <c r="AZ947" s="67">
        <f t="shared" si="328"/>
        <v>276</v>
      </c>
      <c r="BA947" s="68"/>
      <c r="BB947" s="68"/>
      <c r="BF947" s="67">
        <f t="shared" si="327"/>
        <v>4968</v>
      </c>
      <c r="BG947" s="73">
        <v>1</v>
      </c>
      <c r="BH947" s="73"/>
      <c r="BI947" s="73"/>
      <c r="BJ947" s="79"/>
      <c r="BK947" s="73"/>
      <c r="BL947" s="73"/>
      <c r="BM947" s="73"/>
      <c r="BN947" s="73"/>
      <c r="BO947" s="86"/>
      <c r="BP947" s="37">
        <v>1</v>
      </c>
      <c r="BQ947" s="37">
        <v>2</v>
      </c>
      <c r="BR947" s="37">
        <v>2</v>
      </c>
      <c r="BS947" s="37">
        <v>2</v>
      </c>
      <c r="BT947" s="87">
        <f t="shared" si="308"/>
        <v>276</v>
      </c>
      <c r="BU947" s="281"/>
      <c r="BV947" s="281"/>
      <c r="BW947" s="281"/>
      <c r="BX947" s="281"/>
      <c r="BY947" s="281"/>
      <c r="BZ947" s="281"/>
      <c r="CA947" s="281"/>
      <c r="CB947" s="281"/>
      <c r="CC947" s="281"/>
      <c r="CD947" s="281"/>
      <c r="CE947" s="73"/>
      <c r="CF947" s="67">
        <f t="shared" si="309"/>
        <v>276</v>
      </c>
      <c r="CG947" s="67">
        <f t="shared" si="311"/>
        <v>552</v>
      </c>
      <c r="CH947" s="67">
        <f t="shared" si="322"/>
        <v>552</v>
      </c>
      <c r="CI947" s="67">
        <f t="shared" si="316"/>
        <v>552</v>
      </c>
      <c r="CJ947" s="37">
        <f t="shared" si="312"/>
        <v>92</v>
      </c>
      <c r="CK947" s="37">
        <f t="shared" si="313"/>
        <v>184</v>
      </c>
      <c r="CL947" s="37">
        <f t="shared" si="314"/>
        <v>184</v>
      </c>
      <c r="CM947" s="37">
        <f t="shared" si="315"/>
        <v>184</v>
      </c>
    </row>
    <row r="948" spans="1:91" ht="51">
      <c r="A948" s="3" t="s">
        <v>1100</v>
      </c>
      <c r="B948" s="156" t="s">
        <v>1878</v>
      </c>
      <c r="C948" s="160">
        <v>101</v>
      </c>
      <c r="D948" s="160">
        <v>50</v>
      </c>
      <c r="E948" s="161">
        <v>0.76250000000000007</v>
      </c>
      <c r="F948" s="161">
        <v>0.84583333333333333</v>
      </c>
      <c r="G948" s="160" t="s">
        <v>1103</v>
      </c>
      <c r="H948" s="160" t="s">
        <v>1104</v>
      </c>
      <c r="I948" s="163">
        <v>92</v>
      </c>
      <c r="J948" s="164">
        <v>19</v>
      </c>
      <c r="K948" s="165">
        <v>18</v>
      </c>
      <c r="L948" s="166">
        <f t="shared" si="321"/>
        <v>1656</v>
      </c>
      <c r="M948" s="167" t="s">
        <v>1099</v>
      </c>
      <c r="N948" s="150" t="s">
        <v>860</v>
      </c>
      <c r="O948" s="150">
        <v>21</v>
      </c>
      <c r="P948" s="150" t="s">
        <v>859</v>
      </c>
      <c r="Q948" s="150">
        <v>24</v>
      </c>
      <c r="T948" s="45">
        <v>1</v>
      </c>
      <c r="U948" s="45" t="s">
        <v>1430</v>
      </c>
      <c r="V948" s="45" t="s">
        <v>1826</v>
      </c>
      <c r="W948" s="45" t="s">
        <v>1827</v>
      </c>
      <c r="X948" s="98">
        <v>44816</v>
      </c>
      <c r="Y948" s="98">
        <v>45086</v>
      </c>
      <c r="Z948" s="98"/>
      <c r="AA948" s="98"/>
      <c r="AB948" s="42" t="s">
        <v>1175</v>
      </c>
      <c r="AC948" s="42" t="s">
        <v>1135</v>
      </c>
      <c r="AD948" s="42"/>
      <c r="AE948" s="42"/>
      <c r="AF948" s="42"/>
      <c r="AG948" s="42" t="s">
        <v>734</v>
      </c>
      <c r="AH948" s="42"/>
      <c r="AI948" s="42"/>
      <c r="AJ948" s="42"/>
      <c r="AK948" s="42"/>
      <c r="AL948" s="42"/>
      <c r="AM948" s="42"/>
      <c r="AN948" s="42" t="s">
        <v>734</v>
      </c>
      <c r="AO948" s="42"/>
      <c r="AP948" s="42"/>
      <c r="AQ948" s="42"/>
      <c r="AR948" s="42"/>
      <c r="AS948" s="42"/>
      <c r="AT948" s="42"/>
      <c r="AU948" s="42"/>
      <c r="AV948" s="42"/>
      <c r="AW948" s="42"/>
      <c r="AX948" s="68"/>
      <c r="AZ948" s="67">
        <f t="shared" si="328"/>
        <v>276</v>
      </c>
      <c r="BA948" s="68"/>
      <c r="BB948" s="68"/>
      <c r="BF948" s="67">
        <f t="shared" si="327"/>
        <v>4968</v>
      </c>
      <c r="BG948" s="73">
        <v>1</v>
      </c>
      <c r="BH948" s="73"/>
      <c r="BI948" s="73"/>
      <c r="BJ948" s="79"/>
      <c r="BK948" s="73"/>
      <c r="BL948" s="73"/>
      <c r="BM948" s="73"/>
      <c r="BN948" s="73"/>
      <c r="BO948" s="86"/>
      <c r="BP948" s="37">
        <v>1</v>
      </c>
      <c r="BQ948" s="37">
        <v>2</v>
      </c>
      <c r="BR948" s="37">
        <v>2</v>
      </c>
      <c r="BS948" s="37">
        <v>2</v>
      </c>
      <c r="BT948" s="87">
        <f t="shared" si="308"/>
        <v>276</v>
      </c>
      <c r="BU948" s="281"/>
      <c r="BV948" s="281"/>
      <c r="BW948" s="281"/>
      <c r="BX948" s="281"/>
      <c r="BY948" s="281"/>
      <c r="BZ948" s="281"/>
      <c r="CA948" s="281"/>
      <c r="CB948" s="281"/>
      <c r="CC948" s="281"/>
      <c r="CD948" s="281"/>
      <c r="CE948" s="73"/>
      <c r="CF948" s="67">
        <f t="shared" si="309"/>
        <v>276</v>
      </c>
      <c r="CG948" s="67">
        <f t="shared" si="311"/>
        <v>552</v>
      </c>
      <c r="CH948" s="67">
        <f t="shared" si="322"/>
        <v>552</v>
      </c>
      <c r="CI948" s="67">
        <f t="shared" si="316"/>
        <v>552</v>
      </c>
      <c r="CJ948" s="37">
        <f t="shared" si="312"/>
        <v>92</v>
      </c>
      <c r="CK948" s="37">
        <f t="shared" si="313"/>
        <v>184</v>
      </c>
      <c r="CL948" s="37">
        <f t="shared" si="314"/>
        <v>184</v>
      </c>
      <c r="CM948" s="37">
        <f t="shared" si="315"/>
        <v>184</v>
      </c>
    </row>
    <row r="949" spans="1:91" ht="51">
      <c r="A949" s="3" t="s">
        <v>1100</v>
      </c>
      <c r="B949" s="156" t="s">
        <v>1878</v>
      </c>
      <c r="C949" s="160">
        <v>101</v>
      </c>
      <c r="D949" s="160">
        <v>50</v>
      </c>
      <c r="E949" s="161">
        <v>0.76250000000000007</v>
      </c>
      <c r="F949" s="161">
        <v>0.84583333333333333</v>
      </c>
      <c r="G949" s="160" t="s">
        <v>1103</v>
      </c>
      <c r="H949" s="160" t="s">
        <v>1104</v>
      </c>
      <c r="I949" s="163">
        <v>92</v>
      </c>
      <c r="J949" s="164">
        <v>19</v>
      </c>
      <c r="K949" s="165">
        <v>18</v>
      </c>
      <c r="L949" s="166">
        <f t="shared" si="321"/>
        <v>1656</v>
      </c>
      <c r="M949" s="167" t="s">
        <v>1101</v>
      </c>
      <c r="N949" s="150" t="s">
        <v>1102</v>
      </c>
      <c r="O949" s="150">
        <v>21</v>
      </c>
      <c r="P949" s="150" t="s">
        <v>1319</v>
      </c>
      <c r="Q949" s="150">
        <v>23</v>
      </c>
      <c r="R949" s="150" t="s">
        <v>1320</v>
      </c>
      <c r="S949" s="151">
        <v>16</v>
      </c>
      <c r="T949" s="45">
        <v>1</v>
      </c>
      <c r="U949" s="45" t="s">
        <v>1430</v>
      </c>
      <c r="V949" s="45" t="s">
        <v>1826</v>
      </c>
      <c r="W949" s="45" t="s">
        <v>1827</v>
      </c>
      <c r="X949" s="98">
        <v>44816</v>
      </c>
      <c r="Y949" s="98">
        <v>45086</v>
      </c>
      <c r="Z949" s="98"/>
      <c r="AA949" s="98"/>
      <c r="AB949" s="42" t="s">
        <v>1175</v>
      </c>
      <c r="AC949" s="42" t="s">
        <v>1135</v>
      </c>
      <c r="AD949" s="42"/>
      <c r="AE949" s="42"/>
      <c r="AF949" s="42"/>
      <c r="AG949" s="42" t="s">
        <v>734</v>
      </c>
      <c r="AH949" s="42"/>
      <c r="AI949" s="42"/>
      <c r="AJ949" s="42"/>
      <c r="AK949" s="42"/>
      <c r="AL949" s="42"/>
      <c r="AM949" s="42"/>
      <c r="AN949" s="42" t="s">
        <v>734</v>
      </c>
      <c r="AO949" s="42"/>
      <c r="AP949" s="42"/>
      <c r="AQ949" s="42"/>
      <c r="AR949" s="42"/>
      <c r="AS949" s="42"/>
      <c r="AT949" s="42"/>
      <c r="AU949" s="42"/>
      <c r="AV949" s="42"/>
      <c r="AW949" s="42"/>
      <c r="AX949" s="68"/>
      <c r="AZ949" s="67">
        <f t="shared" si="328"/>
        <v>276</v>
      </c>
      <c r="BA949" s="68"/>
      <c r="BB949" s="68"/>
      <c r="BF949" s="67">
        <f t="shared" si="327"/>
        <v>4968</v>
      </c>
      <c r="BG949" s="73">
        <v>1</v>
      </c>
      <c r="BH949" s="73"/>
      <c r="BI949" s="73"/>
      <c r="BJ949" s="79"/>
      <c r="BK949" s="73"/>
      <c r="BL949" s="73"/>
      <c r="BM949" s="73"/>
      <c r="BN949" s="73"/>
      <c r="BO949" s="86"/>
      <c r="BP949" s="37">
        <v>1</v>
      </c>
      <c r="BQ949" s="37">
        <v>2</v>
      </c>
      <c r="BR949" s="37">
        <v>3</v>
      </c>
      <c r="BS949" s="37">
        <v>1</v>
      </c>
      <c r="BT949" s="87">
        <f t="shared" si="308"/>
        <v>276</v>
      </c>
      <c r="BU949" s="281"/>
      <c r="BV949" s="281"/>
      <c r="BW949" s="281"/>
      <c r="BX949" s="281"/>
      <c r="BY949" s="281"/>
      <c r="BZ949" s="281"/>
      <c r="CA949" s="281"/>
      <c r="CB949" s="281"/>
      <c r="CC949" s="281"/>
      <c r="CD949" s="281"/>
      <c r="CE949" s="73"/>
      <c r="CF949" s="67">
        <f t="shared" si="309"/>
        <v>276</v>
      </c>
      <c r="CG949" s="67">
        <f t="shared" si="311"/>
        <v>552</v>
      </c>
      <c r="CH949" s="67">
        <f t="shared" si="322"/>
        <v>828</v>
      </c>
      <c r="CI949" s="67">
        <f t="shared" si="316"/>
        <v>276</v>
      </c>
      <c r="CJ949" s="37">
        <f t="shared" si="312"/>
        <v>92</v>
      </c>
      <c r="CK949" s="37">
        <f t="shared" si="313"/>
        <v>184</v>
      </c>
      <c r="CL949" s="37">
        <f t="shared" si="314"/>
        <v>276</v>
      </c>
      <c r="CM949" s="37">
        <f t="shared" si="315"/>
        <v>92</v>
      </c>
    </row>
    <row r="950" spans="1:91" ht="38.25">
      <c r="A950" s="3" t="s">
        <v>2058</v>
      </c>
      <c r="B950" s="156" t="s">
        <v>1878</v>
      </c>
      <c r="C950" s="160">
        <v>620</v>
      </c>
      <c r="D950" s="160">
        <v>230</v>
      </c>
      <c r="E950" s="173">
        <v>0.25972222222222224</v>
      </c>
      <c r="F950" s="161">
        <v>0.2902777777777778</v>
      </c>
      <c r="G950" s="160" t="s">
        <v>2059</v>
      </c>
      <c r="H950" s="160" t="s">
        <v>103</v>
      </c>
      <c r="I950" s="163">
        <f>21.6-18</f>
        <v>3.6000000000000014</v>
      </c>
      <c r="J950" s="164" t="s">
        <v>93</v>
      </c>
      <c r="K950" s="165">
        <v>174</v>
      </c>
      <c r="L950" s="166">
        <f t="shared" si="321"/>
        <v>626.4000000000002</v>
      </c>
      <c r="M950" s="167" t="s">
        <v>750</v>
      </c>
      <c r="N950" s="187" t="s">
        <v>863</v>
      </c>
      <c r="O950" s="154">
        <v>23</v>
      </c>
      <c r="P950" s="154" t="s">
        <v>1295</v>
      </c>
      <c r="Q950" s="154">
        <v>21</v>
      </c>
      <c r="S950" s="154"/>
      <c r="T950" s="45">
        <v>6144</v>
      </c>
      <c r="U950" s="45" t="s">
        <v>1734</v>
      </c>
      <c r="V950" s="45">
        <v>6146</v>
      </c>
      <c r="W950" s="45" t="s">
        <v>1733</v>
      </c>
      <c r="X950" s="98">
        <v>44816</v>
      </c>
      <c r="Y950" s="98">
        <v>45086</v>
      </c>
      <c r="Z950" s="98"/>
      <c r="AA950" s="98"/>
      <c r="AB950" s="41" t="s">
        <v>1114</v>
      </c>
      <c r="AC950" s="41"/>
      <c r="AD950" s="42"/>
      <c r="AE950" s="42"/>
      <c r="AF950" s="42"/>
      <c r="AG950" s="42" t="s">
        <v>734</v>
      </c>
      <c r="AH950" s="42" t="s">
        <v>734</v>
      </c>
      <c r="AI950" s="42" t="s">
        <v>734</v>
      </c>
      <c r="AJ950" s="42" t="s">
        <v>734</v>
      </c>
      <c r="AK950" s="42" t="s">
        <v>734</v>
      </c>
      <c r="AL950" s="42" t="s">
        <v>734</v>
      </c>
      <c r="AM950" s="42"/>
      <c r="AN950" s="42"/>
      <c r="AO950" s="42"/>
      <c r="AP950" s="42"/>
      <c r="AQ950" s="42"/>
      <c r="AR950" s="42"/>
      <c r="AS950" s="42"/>
      <c r="AT950" s="42"/>
      <c r="AU950" s="42"/>
      <c r="AV950" s="42"/>
      <c r="AW950" s="42"/>
      <c r="AX950" s="68"/>
      <c r="AZ950" s="67">
        <f t="shared" ref="AZ950" si="329">3*I950</f>
        <v>10.800000000000004</v>
      </c>
      <c r="BA950" s="68"/>
      <c r="BB950" s="68"/>
      <c r="BF950" s="67">
        <f t="shared" ref="BF950" si="330">AZ950*K950</f>
        <v>1879.2000000000007</v>
      </c>
      <c r="BG950" s="73">
        <v>1</v>
      </c>
      <c r="BH950" s="73"/>
      <c r="BI950" s="73"/>
      <c r="BJ950" s="79"/>
      <c r="BK950" s="73"/>
      <c r="BL950" s="73"/>
      <c r="BM950" s="73"/>
      <c r="BN950" s="73"/>
      <c r="BO950" s="86"/>
      <c r="BP950" s="37">
        <v>0</v>
      </c>
      <c r="BQ950" s="37">
        <v>0</v>
      </c>
      <c r="BR950" s="37">
        <v>56</v>
      </c>
      <c r="BS950" s="37">
        <v>15</v>
      </c>
      <c r="BT950" s="87">
        <f t="shared" ref="BT950" si="331">SUM(AX950:AZ950)+SUM(BH950:BI950)+SUM(BK950:BL950)+BN950</f>
        <v>10.800000000000004</v>
      </c>
      <c r="BU950" s="281"/>
      <c r="BV950" s="281"/>
      <c r="BW950" s="281"/>
      <c r="BX950" s="281"/>
      <c r="BY950" s="281"/>
      <c r="BZ950" s="281"/>
      <c r="CA950" s="281"/>
      <c r="CB950" s="281"/>
      <c r="CC950" s="281"/>
      <c r="CD950" s="281"/>
      <c r="CE950" s="73"/>
      <c r="CF950" s="67">
        <f t="shared" ref="CF950" si="332">(BT950*BP950)+(BV950*CD950)</f>
        <v>0</v>
      </c>
      <c r="CG950" s="67">
        <f t="shared" ref="CG950" si="333">(BT950*BQ950)+(BX950*CD950)</f>
        <v>0</v>
      </c>
      <c r="CH950" s="67">
        <f t="shared" ref="CH950:CH951" si="334">(BR950*BT950)+(BZ950*CD950)</f>
        <v>604.80000000000018</v>
      </c>
      <c r="CI950" s="67">
        <f t="shared" si="316"/>
        <v>162.00000000000006</v>
      </c>
      <c r="CJ950" s="37">
        <f t="shared" si="312"/>
        <v>0</v>
      </c>
      <c r="CK950" s="37">
        <f t="shared" si="313"/>
        <v>0</v>
      </c>
      <c r="CL950" s="37">
        <f t="shared" si="314"/>
        <v>201.60000000000008</v>
      </c>
      <c r="CM950" s="37">
        <f t="shared" si="315"/>
        <v>54.000000000000021</v>
      </c>
    </row>
    <row r="951" spans="1:91" ht="45">
      <c r="A951" s="3" t="s">
        <v>1903</v>
      </c>
      <c r="B951" s="156" t="s">
        <v>1878</v>
      </c>
      <c r="C951" s="160">
        <v>211</v>
      </c>
      <c r="D951" s="160">
        <v>8</v>
      </c>
      <c r="E951" s="161">
        <v>0.26944444444444443</v>
      </c>
      <c r="F951" s="161">
        <v>0.28472222222222221</v>
      </c>
      <c r="G951" s="160" t="s">
        <v>1107</v>
      </c>
      <c r="H951" s="160" t="s">
        <v>103</v>
      </c>
      <c r="I951" s="160">
        <v>1.3</v>
      </c>
      <c r="J951" s="164" t="s">
        <v>99</v>
      </c>
      <c r="K951" s="199">
        <v>15</v>
      </c>
      <c r="L951" s="166">
        <f t="shared" si="321"/>
        <v>19.5</v>
      </c>
      <c r="M951" s="167" t="s">
        <v>752</v>
      </c>
      <c r="N951" s="150" t="s">
        <v>875</v>
      </c>
      <c r="O951" s="150">
        <v>23</v>
      </c>
      <c r="P951" s="154" t="s">
        <v>1270</v>
      </c>
      <c r="Q951" s="154">
        <v>9</v>
      </c>
      <c r="T951" s="45" t="s">
        <v>1535</v>
      </c>
      <c r="U951" s="45" t="s">
        <v>1536</v>
      </c>
      <c r="V951" s="45" t="s">
        <v>1537</v>
      </c>
      <c r="W951" s="45" t="s">
        <v>1538</v>
      </c>
      <c r="X951" s="98">
        <v>44816</v>
      </c>
      <c r="Y951" s="98">
        <v>44834</v>
      </c>
      <c r="Z951" s="98"/>
      <c r="AA951" s="98"/>
      <c r="AB951" s="41" t="s">
        <v>1114</v>
      </c>
      <c r="AC951" s="46"/>
      <c r="AD951" s="42"/>
      <c r="AE951" s="42"/>
      <c r="AF951" s="42"/>
      <c r="AG951" s="42" t="s">
        <v>734</v>
      </c>
      <c r="AH951" s="42" t="s">
        <v>734</v>
      </c>
      <c r="AI951" s="42" t="s">
        <v>734</v>
      </c>
      <c r="AJ951" s="42" t="s">
        <v>734</v>
      </c>
      <c r="AK951" s="42" t="s">
        <v>734</v>
      </c>
      <c r="AL951" s="42" t="s">
        <v>734</v>
      </c>
      <c r="AM951" s="42"/>
      <c r="AN951" s="42"/>
      <c r="AO951" s="42"/>
      <c r="AP951" s="42"/>
      <c r="AQ951" s="42"/>
      <c r="AR951" s="42"/>
      <c r="AS951" s="42"/>
      <c r="AT951" s="42"/>
      <c r="AU951" s="42"/>
      <c r="AV951" s="42"/>
      <c r="AW951" s="42"/>
      <c r="AX951" s="68"/>
      <c r="AZ951" s="67">
        <f t="shared" si="328"/>
        <v>3.9000000000000004</v>
      </c>
      <c r="BA951" s="68"/>
      <c r="BB951" s="68"/>
      <c r="BF951" s="67">
        <f t="shared" si="327"/>
        <v>58.500000000000007</v>
      </c>
      <c r="BG951" s="73">
        <v>1</v>
      </c>
      <c r="BH951" s="73"/>
      <c r="BI951" s="73"/>
      <c r="BJ951" s="79"/>
      <c r="BK951" s="73"/>
      <c r="BL951" s="73"/>
      <c r="BM951" s="73"/>
      <c r="BN951" s="79"/>
      <c r="BO951" s="86"/>
      <c r="BP951" s="37">
        <v>15</v>
      </c>
      <c r="BQ951" s="73">
        <v>0</v>
      </c>
      <c r="BR951" s="315">
        <v>0</v>
      </c>
      <c r="BS951" s="315">
        <v>0</v>
      </c>
      <c r="BT951" s="87">
        <f t="shared" ref="BT951:BT971" si="335">SUM(AX951:AZ951)+SUM(BH951:BI951)+SUM(BK951:BL951)+BN951</f>
        <v>3.9000000000000004</v>
      </c>
      <c r="BU951" s="281"/>
      <c r="BV951" s="281"/>
      <c r="BW951" s="281"/>
      <c r="BX951" s="281"/>
      <c r="BY951" s="281"/>
      <c r="BZ951" s="281"/>
      <c r="CA951" s="281"/>
      <c r="CB951" s="281"/>
      <c r="CC951" s="281"/>
      <c r="CD951" s="281"/>
      <c r="CE951" s="73"/>
      <c r="CF951" s="67">
        <f t="shared" ref="CF951:CF973" si="336">(BT951*BP951)+(BV951*CD951)</f>
        <v>58.500000000000007</v>
      </c>
      <c r="CG951" s="67">
        <f t="shared" si="311"/>
        <v>0</v>
      </c>
      <c r="CH951" s="277">
        <f t="shared" si="334"/>
        <v>0</v>
      </c>
      <c r="CI951" s="277">
        <f t="shared" ref="CI951" si="337">(BS951*BT951)+(CB951*CD951)</f>
        <v>0</v>
      </c>
      <c r="CJ951" s="37">
        <f t="shared" si="312"/>
        <v>19.5</v>
      </c>
      <c r="CK951" s="37">
        <f t="shared" si="313"/>
        <v>0</v>
      </c>
      <c r="CL951" s="37">
        <f t="shared" si="314"/>
        <v>0</v>
      </c>
      <c r="CM951" s="37">
        <f t="shared" si="315"/>
        <v>0</v>
      </c>
    </row>
    <row r="952" spans="1:91" ht="38.25">
      <c r="A952" s="3" t="s">
        <v>1875</v>
      </c>
      <c r="B952" s="156" t="s">
        <v>1878</v>
      </c>
      <c r="C952" s="160">
        <v>336</v>
      </c>
      <c r="D952" s="164">
        <v>794</v>
      </c>
      <c r="E952" s="161">
        <v>0.59027777777777779</v>
      </c>
      <c r="F952" s="161">
        <v>0.60416666666666663</v>
      </c>
      <c r="G952" s="160" t="s">
        <v>1110</v>
      </c>
      <c r="H952" s="160" t="s">
        <v>97</v>
      </c>
      <c r="I952" s="163">
        <v>1.8</v>
      </c>
      <c r="J952" s="164" t="s">
        <v>116</v>
      </c>
      <c r="K952" s="165">
        <v>208</v>
      </c>
      <c r="L952" s="166">
        <f t="shared" si="321"/>
        <v>374.40000000000003</v>
      </c>
      <c r="M952" s="167" t="s">
        <v>769</v>
      </c>
      <c r="N952" s="154" t="s">
        <v>923</v>
      </c>
      <c r="O952" s="154">
        <v>9</v>
      </c>
      <c r="P952" s="154" t="s">
        <v>1285</v>
      </c>
      <c r="Q952" s="154">
        <v>9</v>
      </c>
      <c r="R952" s="154" t="s">
        <v>1286</v>
      </c>
      <c r="S952" s="151">
        <v>9</v>
      </c>
      <c r="T952" s="45" t="s">
        <v>1662</v>
      </c>
      <c r="U952" s="45" t="s">
        <v>1663</v>
      </c>
      <c r="V952" s="45" t="s">
        <v>1673</v>
      </c>
      <c r="W952" s="45" t="s">
        <v>1674</v>
      </c>
      <c r="X952" s="98">
        <v>44816</v>
      </c>
      <c r="Y952" s="98">
        <v>45086</v>
      </c>
      <c r="Z952" s="98"/>
      <c r="AA952" s="98"/>
      <c r="AB952" s="41" t="s">
        <v>1118</v>
      </c>
      <c r="AC952" s="46"/>
      <c r="AD952" s="42"/>
      <c r="AE952" s="42"/>
      <c r="AF952" s="42"/>
      <c r="AG952" s="42" t="s">
        <v>734</v>
      </c>
      <c r="AH952" s="42" t="s">
        <v>734</v>
      </c>
      <c r="AI952" s="42" t="s">
        <v>734</v>
      </c>
      <c r="AJ952" s="42" t="s">
        <v>734</v>
      </c>
      <c r="AK952" s="42" t="s">
        <v>734</v>
      </c>
      <c r="AL952" s="42" t="s">
        <v>734</v>
      </c>
      <c r="AM952" s="42" t="s">
        <v>734</v>
      </c>
      <c r="AN952" s="42"/>
      <c r="AO952" s="42"/>
      <c r="AP952" s="42"/>
      <c r="AQ952" s="42"/>
      <c r="AR952" s="42"/>
      <c r="AS952" s="42"/>
      <c r="AT952" s="42"/>
      <c r="AU952" s="42"/>
      <c r="AV952" s="42"/>
      <c r="AW952" s="42"/>
      <c r="AX952" s="68"/>
      <c r="AZ952" s="67">
        <f t="shared" si="328"/>
        <v>5.4</v>
      </c>
      <c r="BA952" s="68"/>
      <c r="BB952" s="68"/>
      <c r="BF952" s="67">
        <f t="shared" si="327"/>
        <v>1123.2</v>
      </c>
      <c r="BG952" s="73">
        <v>1</v>
      </c>
      <c r="BH952" s="73"/>
      <c r="BI952" s="73"/>
      <c r="BJ952" s="79"/>
      <c r="BK952" s="73"/>
      <c r="BL952" s="73"/>
      <c r="BM952" s="73"/>
      <c r="BN952" s="73"/>
      <c r="BO952" s="86"/>
      <c r="BP952" s="37">
        <v>17</v>
      </c>
      <c r="BQ952" s="37">
        <v>25</v>
      </c>
      <c r="BR952" s="37">
        <v>25</v>
      </c>
      <c r="BS952" s="37">
        <v>18</v>
      </c>
      <c r="BT952" s="87">
        <f t="shared" si="335"/>
        <v>5.4</v>
      </c>
      <c r="BU952" s="281"/>
      <c r="BV952" s="281"/>
      <c r="BW952" s="281"/>
      <c r="BX952" s="281"/>
      <c r="BY952" s="281"/>
      <c r="BZ952" s="281"/>
      <c r="CA952" s="281"/>
      <c r="CB952" s="281"/>
      <c r="CC952" s="281"/>
      <c r="CD952" s="281"/>
      <c r="CE952" s="73"/>
      <c r="CF952" s="67">
        <f t="shared" si="336"/>
        <v>91.800000000000011</v>
      </c>
      <c r="CG952" s="67">
        <f t="shared" si="311"/>
        <v>135</v>
      </c>
      <c r="CH952" s="67">
        <f t="shared" si="322"/>
        <v>135</v>
      </c>
      <c r="CI952" s="67">
        <f t="shared" si="316"/>
        <v>97.2</v>
      </c>
      <c r="CJ952" s="37">
        <f t="shared" si="312"/>
        <v>30.6</v>
      </c>
      <c r="CK952" s="37">
        <f t="shared" si="313"/>
        <v>45</v>
      </c>
      <c r="CL952" s="37">
        <f t="shared" si="314"/>
        <v>45</v>
      </c>
      <c r="CM952" s="37">
        <f t="shared" si="315"/>
        <v>32.4</v>
      </c>
    </row>
    <row r="953" spans="1:91" ht="33.75">
      <c r="A953" s="3" t="s">
        <v>1876</v>
      </c>
      <c r="B953" s="156" t="s">
        <v>1878</v>
      </c>
      <c r="C953" s="160">
        <v>215</v>
      </c>
      <c r="D953" s="162">
        <v>127</v>
      </c>
      <c r="E953" s="208">
        <v>0.28541666666666665</v>
      </c>
      <c r="F953" s="208">
        <v>0.29166666666666669</v>
      </c>
      <c r="G953" s="194" t="s">
        <v>1186</v>
      </c>
      <c r="H953" s="207" t="s">
        <v>103</v>
      </c>
      <c r="I953" s="192">
        <f>29.7-26.5</f>
        <v>3.1999999999999993</v>
      </c>
      <c r="J953" s="164" t="s">
        <v>101</v>
      </c>
      <c r="K953" s="165">
        <v>174</v>
      </c>
      <c r="L953" s="166">
        <f t="shared" si="321"/>
        <v>556.79999999999984</v>
      </c>
      <c r="M953" s="167" t="s">
        <v>751</v>
      </c>
      <c r="N953" s="154" t="s">
        <v>836</v>
      </c>
      <c r="O953" s="154">
        <v>57</v>
      </c>
      <c r="P953" s="154" t="s">
        <v>1979</v>
      </c>
      <c r="Q953" s="154">
        <v>60</v>
      </c>
      <c r="R953" s="150" t="s">
        <v>1986</v>
      </c>
      <c r="S953" s="150">
        <v>57</v>
      </c>
      <c r="T953" s="45" t="s">
        <v>1830</v>
      </c>
      <c r="U953" s="45" t="s">
        <v>1831</v>
      </c>
      <c r="V953" s="45" t="s">
        <v>1572</v>
      </c>
      <c r="W953" s="45" t="s">
        <v>1573</v>
      </c>
      <c r="X953" s="98">
        <v>44816</v>
      </c>
      <c r="Y953" s="98">
        <v>45086</v>
      </c>
      <c r="Z953" s="98"/>
      <c r="AA953" s="98"/>
      <c r="AB953" s="41" t="s">
        <v>1114</v>
      </c>
      <c r="AC953" s="46"/>
      <c r="AD953" s="42"/>
      <c r="AE953" s="42"/>
      <c r="AF953" s="42"/>
      <c r="AG953" s="42" t="s">
        <v>734</v>
      </c>
      <c r="AH953" s="42" t="s">
        <v>734</v>
      </c>
      <c r="AI953" s="42" t="s">
        <v>734</v>
      </c>
      <c r="AJ953" s="42" t="s">
        <v>734</v>
      </c>
      <c r="AK953" s="42" t="s">
        <v>734</v>
      </c>
      <c r="AL953" s="42" t="s">
        <v>734</v>
      </c>
      <c r="AM953" s="42"/>
      <c r="AN953" s="42"/>
      <c r="AO953" s="42"/>
      <c r="AP953" s="42"/>
      <c r="AQ953" s="42"/>
      <c r="AR953" s="42"/>
      <c r="AS953" s="42"/>
      <c r="AT953" s="42"/>
      <c r="AU953" s="42"/>
      <c r="AV953" s="42"/>
      <c r="AW953" s="42"/>
      <c r="AX953" s="68"/>
      <c r="AZ953" s="67">
        <f t="shared" si="328"/>
        <v>9.5999999999999979</v>
      </c>
      <c r="BA953" s="68"/>
      <c r="BB953" s="68"/>
      <c r="BF953" s="67">
        <f t="shared" si="327"/>
        <v>1670.3999999999996</v>
      </c>
      <c r="BG953" s="69">
        <v>2</v>
      </c>
      <c r="BH953" s="73"/>
      <c r="BI953" s="73"/>
      <c r="BJ953" s="79"/>
      <c r="BK953" s="73"/>
      <c r="BL953" s="73"/>
      <c r="BM953" s="73"/>
      <c r="BN953" s="79"/>
      <c r="BO953" s="86"/>
      <c r="BP953" s="37">
        <v>15</v>
      </c>
      <c r="BQ953" s="37">
        <v>20</v>
      </c>
      <c r="BR953" s="37">
        <v>21</v>
      </c>
      <c r="BS953" s="37">
        <v>15</v>
      </c>
      <c r="BT953" s="87">
        <f t="shared" si="335"/>
        <v>9.5999999999999979</v>
      </c>
      <c r="BU953" s="281"/>
      <c r="BV953" s="281"/>
      <c r="BW953" s="281"/>
      <c r="BX953" s="281"/>
      <c r="BY953" s="281"/>
      <c r="BZ953" s="281"/>
      <c r="CA953" s="281"/>
      <c r="CB953" s="281"/>
      <c r="CC953" s="281"/>
      <c r="CD953" s="281"/>
      <c r="CE953" s="73"/>
      <c r="CF953" s="67">
        <f t="shared" si="336"/>
        <v>143.99999999999997</v>
      </c>
      <c r="CG953" s="67">
        <f t="shared" si="311"/>
        <v>191.99999999999994</v>
      </c>
      <c r="CH953" s="67">
        <f t="shared" si="322"/>
        <v>201.59999999999997</v>
      </c>
      <c r="CI953" s="67">
        <f t="shared" si="316"/>
        <v>143.99999999999997</v>
      </c>
      <c r="CJ953" s="37">
        <f t="shared" si="312"/>
        <v>47.999999999999986</v>
      </c>
      <c r="CK953" s="37">
        <f t="shared" si="313"/>
        <v>63.999999999999986</v>
      </c>
      <c r="CL953" s="37">
        <f t="shared" si="314"/>
        <v>67.199999999999989</v>
      </c>
      <c r="CM953" s="37">
        <f t="shared" si="315"/>
        <v>47.999999999999986</v>
      </c>
    </row>
    <row r="954" spans="1:91" ht="45">
      <c r="A954" s="3" t="s">
        <v>1106</v>
      </c>
      <c r="B954" s="156" t="s">
        <v>1878</v>
      </c>
      <c r="C954" s="160">
        <v>102</v>
      </c>
      <c r="D954" s="160">
        <v>145</v>
      </c>
      <c r="E954" s="161">
        <v>0.59097222222222223</v>
      </c>
      <c r="F954" s="161">
        <v>0.60277777777777775</v>
      </c>
      <c r="G954" s="160" t="s">
        <v>667</v>
      </c>
      <c r="H954" s="160" t="s">
        <v>1105</v>
      </c>
      <c r="I954" s="163">
        <v>8</v>
      </c>
      <c r="J954" s="164" t="s">
        <v>167</v>
      </c>
      <c r="K954" s="165">
        <f>103-6</f>
        <v>97</v>
      </c>
      <c r="L954" s="166">
        <f t="shared" si="321"/>
        <v>776</v>
      </c>
      <c r="M954" s="167" t="s">
        <v>727</v>
      </c>
      <c r="N954" s="154" t="s">
        <v>840</v>
      </c>
      <c r="O954" s="154">
        <v>9</v>
      </c>
      <c r="P954" s="154" t="s">
        <v>1256</v>
      </c>
      <c r="Q954" s="154">
        <v>9</v>
      </c>
      <c r="R954" s="154"/>
      <c r="S954" s="154"/>
      <c r="T954" s="45">
        <v>1084</v>
      </c>
      <c r="U954" s="45" t="s">
        <v>1828</v>
      </c>
      <c r="V954" s="45">
        <v>1082</v>
      </c>
      <c r="W954" s="45" t="s">
        <v>1829</v>
      </c>
      <c r="X954" s="98">
        <v>44830</v>
      </c>
      <c r="Y954" s="98">
        <v>45086</v>
      </c>
      <c r="Z954" s="98"/>
      <c r="AA954" s="98"/>
      <c r="AB954" s="45" t="s">
        <v>1176</v>
      </c>
      <c r="AC954" s="45"/>
      <c r="AD954" s="42"/>
      <c r="AE954" s="42"/>
      <c r="AF954" s="42"/>
      <c r="AG954" s="42" t="s">
        <v>734</v>
      </c>
      <c r="AH954" s="42" t="s">
        <v>734</v>
      </c>
      <c r="AI954" s="42"/>
      <c r="AJ954" s="42"/>
      <c r="AK954" s="42" t="s">
        <v>734</v>
      </c>
      <c r="AL954" s="42" t="s">
        <v>734</v>
      </c>
      <c r="AM954" s="42"/>
      <c r="AN954" s="42"/>
      <c r="AO954" s="42"/>
      <c r="AP954" s="42"/>
      <c r="AQ954" s="42"/>
      <c r="AR954" s="42"/>
      <c r="AS954" s="42"/>
      <c r="AT954" s="42"/>
      <c r="AU954" s="42"/>
      <c r="AV954" s="42"/>
      <c r="AW954" s="42"/>
      <c r="AX954" s="68"/>
      <c r="AZ954" s="67">
        <v>45</v>
      </c>
      <c r="BA954" s="68"/>
      <c r="BB954" s="68"/>
      <c r="BF954" s="67">
        <f t="shared" si="327"/>
        <v>4365</v>
      </c>
      <c r="BG954" s="73">
        <v>1</v>
      </c>
      <c r="BH954" s="79"/>
      <c r="BI954" s="79"/>
      <c r="BJ954" s="86"/>
      <c r="BK954" s="73"/>
      <c r="BL954" s="73"/>
      <c r="BM954" s="73"/>
      <c r="BN954" s="73"/>
      <c r="BO954" s="86"/>
      <c r="BP954" s="309">
        <v>3</v>
      </c>
      <c r="BQ954" s="37">
        <v>12</v>
      </c>
      <c r="BR954" s="37">
        <v>12</v>
      </c>
      <c r="BS954" s="37">
        <v>9</v>
      </c>
      <c r="BT954" s="87">
        <f t="shared" si="335"/>
        <v>45</v>
      </c>
      <c r="BU954" s="281"/>
      <c r="BV954" s="281"/>
      <c r="BW954" s="281"/>
      <c r="BX954" s="281"/>
      <c r="BY954" s="281"/>
      <c r="BZ954" s="281"/>
      <c r="CA954" s="281"/>
      <c r="CB954" s="281"/>
      <c r="CC954" s="281"/>
      <c r="CD954" s="281"/>
      <c r="CE954" s="73"/>
      <c r="CF954" s="277">
        <f t="shared" si="336"/>
        <v>135</v>
      </c>
      <c r="CG954" s="67">
        <f t="shared" si="311"/>
        <v>540</v>
      </c>
      <c r="CH954" s="67">
        <f t="shared" si="322"/>
        <v>540</v>
      </c>
      <c r="CI954" s="67">
        <f t="shared" si="316"/>
        <v>405</v>
      </c>
      <c r="CJ954" s="37">
        <f t="shared" si="312"/>
        <v>24</v>
      </c>
      <c r="CK954" s="37">
        <f t="shared" si="313"/>
        <v>96</v>
      </c>
      <c r="CL954" s="37">
        <f t="shared" si="314"/>
        <v>96</v>
      </c>
      <c r="CM954" s="37">
        <f t="shared" si="315"/>
        <v>72</v>
      </c>
    </row>
    <row r="955" spans="1:91" ht="33.75">
      <c r="A955" s="225" t="s">
        <v>2054</v>
      </c>
      <c r="B955" s="226" t="s">
        <v>1878</v>
      </c>
      <c r="C955" s="227">
        <v>625</v>
      </c>
      <c r="D955" s="228">
        <v>581</v>
      </c>
      <c r="E955" s="229">
        <v>0.29791666666666666</v>
      </c>
      <c r="F955" s="229">
        <v>0.3</v>
      </c>
      <c r="G955" s="227" t="s">
        <v>1231</v>
      </c>
      <c r="H955" s="227" t="s">
        <v>103</v>
      </c>
      <c r="I955" s="230">
        <v>1</v>
      </c>
      <c r="J955" s="231" t="s">
        <v>127</v>
      </c>
      <c r="K955" s="239">
        <v>35</v>
      </c>
      <c r="L955" s="233">
        <f t="shared" si="321"/>
        <v>35</v>
      </c>
      <c r="M955" s="234" t="s">
        <v>2124</v>
      </c>
      <c r="N955" s="249" t="s">
        <v>963</v>
      </c>
      <c r="O955" s="249">
        <v>43</v>
      </c>
      <c r="P955" s="249" t="s">
        <v>1302</v>
      </c>
      <c r="Q955" s="249">
        <v>54</v>
      </c>
      <c r="R955" s="249" t="s">
        <v>1303</v>
      </c>
      <c r="S955" s="254">
        <v>55</v>
      </c>
      <c r="T955" s="240" t="s">
        <v>1745</v>
      </c>
      <c r="U955" s="240" t="s">
        <v>1746</v>
      </c>
      <c r="V955" s="240" t="s">
        <v>1745</v>
      </c>
      <c r="W955" s="240" t="s">
        <v>1746</v>
      </c>
      <c r="X955" s="251">
        <v>44831</v>
      </c>
      <c r="Y955" s="251">
        <v>44865</v>
      </c>
      <c r="Z955" s="251"/>
      <c r="AA955" s="251"/>
      <c r="AB955" s="240" t="s">
        <v>1114</v>
      </c>
      <c r="AC955" s="240"/>
      <c r="AD955" s="252"/>
      <c r="AE955" s="252"/>
      <c r="AF955" s="252"/>
      <c r="AG955" s="252" t="s">
        <v>734</v>
      </c>
      <c r="AH955" s="252" t="s">
        <v>734</v>
      </c>
      <c r="AI955" s="252" t="s">
        <v>734</v>
      </c>
      <c r="AJ955" s="252" t="s">
        <v>734</v>
      </c>
      <c r="AK955" s="252" t="s">
        <v>734</v>
      </c>
      <c r="AL955" s="252" t="s">
        <v>734</v>
      </c>
      <c r="AM955" s="252"/>
      <c r="AN955" s="252"/>
      <c r="AO955" s="252"/>
      <c r="AP955" s="252"/>
      <c r="AQ955" s="252"/>
      <c r="AR955" s="252"/>
      <c r="AS955" s="252"/>
      <c r="AT955" s="252"/>
      <c r="AU955" s="252"/>
      <c r="AV955" s="252"/>
      <c r="AW955" s="252"/>
      <c r="AX955" s="238"/>
      <c r="AY955" s="238"/>
      <c r="AZ955" s="238">
        <f t="shared" ref="AZ955:AZ971" si="338">3*I955</f>
        <v>3</v>
      </c>
      <c r="BA955" s="236"/>
      <c r="BB955" s="236"/>
      <c r="BC955" s="236"/>
      <c r="BD955" s="238"/>
      <c r="BE955" s="238"/>
      <c r="BF955" s="238">
        <f t="shared" si="327"/>
        <v>105</v>
      </c>
      <c r="BG955" s="236">
        <v>2</v>
      </c>
      <c r="BH955" s="236"/>
      <c r="BI955" s="236"/>
      <c r="BJ955" s="238"/>
      <c r="BK955" s="236"/>
      <c r="BL955" s="236"/>
      <c r="BM955" s="236"/>
      <c r="BN955" s="238"/>
      <c r="BO955" s="250"/>
      <c r="BP955" s="309">
        <v>4</v>
      </c>
      <c r="BQ955" s="236">
        <v>20</v>
      </c>
      <c r="BR955" s="236">
        <v>0</v>
      </c>
      <c r="BS955" s="236">
        <v>0</v>
      </c>
      <c r="BT955" s="237">
        <f t="shared" si="335"/>
        <v>3</v>
      </c>
      <c r="BU955" s="237"/>
      <c r="BV955" s="237"/>
      <c r="BW955" s="237"/>
      <c r="BX955" s="237"/>
      <c r="BY955" s="237"/>
      <c r="BZ955" s="237"/>
      <c r="CA955" s="237"/>
      <c r="CB955" s="237"/>
      <c r="CC955" s="237"/>
      <c r="CD955" s="237"/>
      <c r="CE955" s="236"/>
      <c r="CF955" s="277">
        <f t="shared" si="336"/>
        <v>12</v>
      </c>
      <c r="CG955" s="238">
        <f t="shared" si="311"/>
        <v>60</v>
      </c>
      <c r="CH955" s="238">
        <f t="shared" si="322"/>
        <v>0</v>
      </c>
      <c r="CI955" s="238"/>
      <c r="CJ955" s="236">
        <f t="shared" si="312"/>
        <v>4</v>
      </c>
      <c r="CK955" s="236">
        <f t="shared" si="313"/>
        <v>20</v>
      </c>
      <c r="CL955" s="236">
        <f t="shared" si="314"/>
        <v>0</v>
      </c>
      <c r="CM955" s="236"/>
    </row>
    <row r="956" spans="1:91" ht="45">
      <c r="A956" s="3" t="s">
        <v>2046</v>
      </c>
      <c r="B956" s="156" t="s">
        <v>1878</v>
      </c>
      <c r="C956" s="160">
        <v>625</v>
      </c>
      <c r="D956" s="162">
        <v>581</v>
      </c>
      <c r="E956" s="173">
        <v>0.29791666666666666</v>
      </c>
      <c r="F956" s="161">
        <v>0.3</v>
      </c>
      <c r="G956" s="160" t="s">
        <v>1231</v>
      </c>
      <c r="H956" s="160" t="s">
        <v>103</v>
      </c>
      <c r="I956" s="163">
        <v>1.5</v>
      </c>
      <c r="J956" s="164" t="s">
        <v>127</v>
      </c>
      <c r="K956" s="165">
        <v>174</v>
      </c>
      <c r="L956" s="166">
        <f t="shared" si="321"/>
        <v>261</v>
      </c>
      <c r="M956" s="167" t="s">
        <v>1227</v>
      </c>
      <c r="N956" s="154" t="s">
        <v>963</v>
      </c>
      <c r="O956" s="154">
        <v>43</v>
      </c>
      <c r="P956" s="154" t="s">
        <v>1302</v>
      </c>
      <c r="Q956" s="154">
        <v>54</v>
      </c>
      <c r="R956" s="154" t="s">
        <v>1303</v>
      </c>
      <c r="S956" s="151">
        <v>55</v>
      </c>
      <c r="T956" s="45" t="s">
        <v>1745</v>
      </c>
      <c r="U956" s="45" t="s">
        <v>1746</v>
      </c>
      <c r="V956" s="45" t="s">
        <v>1745</v>
      </c>
      <c r="W956" s="45" t="s">
        <v>1746</v>
      </c>
      <c r="X956" s="98">
        <v>44867</v>
      </c>
      <c r="Y956" s="98">
        <v>45086</v>
      </c>
      <c r="Z956" s="98"/>
      <c r="AA956" s="98"/>
      <c r="AB956" s="41" t="s">
        <v>1114</v>
      </c>
      <c r="AC956" s="41"/>
      <c r="AD956" s="42"/>
      <c r="AE956" s="42"/>
      <c r="AF956" s="42"/>
      <c r="AG956" s="42" t="s">
        <v>734</v>
      </c>
      <c r="AH956" s="42" t="s">
        <v>734</v>
      </c>
      <c r="AI956" s="42" t="s">
        <v>734</v>
      </c>
      <c r="AJ956" s="42" t="s">
        <v>734</v>
      </c>
      <c r="AK956" s="42" t="s">
        <v>734</v>
      </c>
      <c r="AL956" s="42" t="s">
        <v>734</v>
      </c>
      <c r="AM956" s="42"/>
      <c r="AN956" s="42"/>
      <c r="AO956" s="42"/>
      <c r="AP956" s="42"/>
      <c r="AQ956" s="42"/>
      <c r="AR956" s="42"/>
      <c r="AS956" s="42"/>
      <c r="AT956" s="42"/>
      <c r="AU956" s="42"/>
      <c r="AV956" s="42"/>
      <c r="AW956" s="42"/>
      <c r="AX956" s="68"/>
      <c r="AY956" s="68"/>
      <c r="AZ956" s="67">
        <f t="shared" si="338"/>
        <v>4.5</v>
      </c>
      <c r="BA956" s="37"/>
      <c r="BB956" s="37"/>
      <c r="BD956" s="67"/>
      <c r="BE956" s="67"/>
      <c r="BF956" s="67">
        <f t="shared" si="327"/>
        <v>783</v>
      </c>
      <c r="BG956" s="69">
        <v>2</v>
      </c>
      <c r="BH956" s="73"/>
      <c r="BI956" s="73"/>
      <c r="BJ956" s="79"/>
      <c r="BK956" s="73"/>
      <c r="BL956" s="73"/>
      <c r="BM956" s="73"/>
      <c r="BN956" s="79"/>
      <c r="BO956" s="86"/>
      <c r="BP956" s="37">
        <v>0</v>
      </c>
      <c r="BQ956" s="37">
        <v>0</v>
      </c>
      <c r="BR956" s="37">
        <v>21</v>
      </c>
      <c r="BS956" s="37">
        <v>15</v>
      </c>
      <c r="BT956" s="87">
        <f t="shared" si="335"/>
        <v>4.5</v>
      </c>
      <c r="BU956" s="281"/>
      <c r="BV956" s="281"/>
      <c r="BW956" s="281"/>
      <c r="BX956" s="281"/>
      <c r="BY956" s="281"/>
      <c r="BZ956" s="281"/>
      <c r="CA956" s="281"/>
      <c r="CB956" s="281"/>
      <c r="CC956" s="281"/>
      <c r="CD956" s="281"/>
      <c r="CE956" s="73"/>
      <c r="CF956" s="67">
        <f t="shared" si="336"/>
        <v>0</v>
      </c>
      <c r="CG956" s="67">
        <f t="shared" si="311"/>
        <v>0</v>
      </c>
      <c r="CH956" s="67">
        <f t="shared" si="322"/>
        <v>94.5</v>
      </c>
      <c r="CI956" s="67">
        <f t="shared" si="316"/>
        <v>67.5</v>
      </c>
      <c r="CJ956" s="37">
        <f t="shared" si="312"/>
        <v>0</v>
      </c>
      <c r="CK956" s="37">
        <f t="shared" si="313"/>
        <v>0</v>
      </c>
      <c r="CL956" s="37">
        <f t="shared" si="314"/>
        <v>31.5</v>
      </c>
      <c r="CM956" s="37">
        <f t="shared" si="315"/>
        <v>22.5</v>
      </c>
    </row>
    <row r="957" spans="1:91" ht="25.5">
      <c r="A957" s="3" t="s">
        <v>1109</v>
      </c>
      <c r="B957" s="156" t="s">
        <v>1878</v>
      </c>
      <c r="C957" s="160">
        <v>210</v>
      </c>
      <c r="D957" s="164">
        <v>458</v>
      </c>
      <c r="E957" s="161">
        <v>0.6875</v>
      </c>
      <c r="F957" s="161">
        <v>0.70763888888888893</v>
      </c>
      <c r="G957" s="160" t="s">
        <v>277</v>
      </c>
      <c r="H957" s="160" t="s">
        <v>1108</v>
      </c>
      <c r="I957" s="163">
        <v>11</v>
      </c>
      <c r="J957" s="164">
        <v>44</v>
      </c>
      <c r="K957" s="165">
        <f>36-2</f>
        <v>34</v>
      </c>
      <c r="L957" s="166">
        <f t="shared" si="321"/>
        <v>374</v>
      </c>
      <c r="M957" s="167" t="s">
        <v>744</v>
      </c>
      <c r="N957" s="154" t="s">
        <v>976</v>
      </c>
      <c r="O957" s="154">
        <v>29</v>
      </c>
      <c r="P957" s="154" t="s">
        <v>802</v>
      </c>
      <c r="Q957" s="154">
        <v>29</v>
      </c>
      <c r="R957" s="154" t="s">
        <v>979</v>
      </c>
      <c r="S957" s="152">
        <v>25</v>
      </c>
      <c r="T957" s="45">
        <v>2180</v>
      </c>
      <c r="U957" s="45" t="s">
        <v>1483</v>
      </c>
      <c r="V957" s="45">
        <v>2208</v>
      </c>
      <c r="W957" s="45" t="s">
        <v>1529</v>
      </c>
      <c r="X957" s="98">
        <v>44832</v>
      </c>
      <c r="Y957" s="98">
        <v>45086</v>
      </c>
      <c r="Z957" s="98"/>
      <c r="AA957" s="98"/>
      <c r="AB957" s="45" t="s">
        <v>1177</v>
      </c>
      <c r="AC957" s="45"/>
      <c r="AD957" s="42"/>
      <c r="AE957" s="42"/>
      <c r="AF957" s="42"/>
      <c r="AG957" s="42" t="s">
        <v>734</v>
      </c>
      <c r="AH957" s="42"/>
      <c r="AI957" s="42"/>
      <c r="AJ957" s="42" t="s">
        <v>734</v>
      </c>
      <c r="AK957" s="42"/>
      <c r="AL957" s="42"/>
      <c r="AM957" s="42"/>
      <c r="AN957" s="42"/>
      <c r="AO957" s="42"/>
      <c r="AP957" s="42"/>
      <c r="AQ957" s="42"/>
      <c r="AR957" s="42"/>
      <c r="AS957" s="42"/>
      <c r="AT957" s="42"/>
      <c r="AU957" s="42"/>
      <c r="AV957" s="42"/>
      <c r="AW957" s="42"/>
      <c r="AX957" s="68"/>
      <c r="AZ957" s="67">
        <f t="shared" si="338"/>
        <v>33</v>
      </c>
      <c r="BA957" s="68"/>
      <c r="BB957" s="68"/>
      <c r="BF957" s="67">
        <f t="shared" si="327"/>
        <v>1122</v>
      </c>
      <c r="BG957" s="69">
        <v>2</v>
      </c>
      <c r="BH957" s="73"/>
      <c r="BI957" s="73"/>
      <c r="BJ957" s="79"/>
      <c r="BK957" s="73"/>
      <c r="BL957" s="73"/>
      <c r="BM957" s="73"/>
      <c r="BN957" s="73"/>
      <c r="BO957" s="86"/>
      <c r="BP957" s="310">
        <v>1</v>
      </c>
      <c r="BQ957" s="37">
        <v>4</v>
      </c>
      <c r="BR957" s="37">
        <v>5</v>
      </c>
      <c r="BS957" s="37">
        <v>3</v>
      </c>
      <c r="BT957" s="87">
        <f t="shared" si="335"/>
        <v>33</v>
      </c>
      <c r="BU957" s="281"/>
      <c r="BV957" s="281"/>
      <c r="BW957" s="281"/>
      <c r="BX957" s="281"/>
      <c r="BY957" s="281"/>
      <c r="BZ957" s="281"/>
      <c r="CA957" s="281"/>
      <c r="CB957" s="281"/>
      <c r="CC957" s="281"/>
      <c r="CD957" s="281"/>
      <c r="CE957" s="73"/>
      <c r="CF957" s="277">
        <f t="shared" si="336"/>
        <v>33</v>
      </c>
      <c r="CG957" s="67">
        <f t="shared" ref="CG957:CG973" si="339">(BT957*BQ957)+(BX957*CD957)</f>
        <v>132</v>
      </c>
      <c r="CH957" s="67">
        <f t="shared" si="322"/>
        <v>165</v>
      </c>
      <c r="CI957" s="67">
        <f t="shared" si="316"/>
        <v>99</v>
      </c>
      <c r="CJ957" s="37">
        <f t="shared" si="312"/>
        <v>11</v>
      </c>
      <c r="CK957" s="37">
        <f t="shared" si="313"/>
        <v>44</v>
      </c>
      <c r="CL957" s="37">
        <f t="shared" si="314"/>
        <v>55</v>
      </c>
      <c r="CM957" s="37">
        <f t="shared" si="315"/>
        <v>33</v>
      </c>
    </row>
    <row r="958" spans="1:91" ht="38.25">
      <c r="A958" s="3" t="s">
        <v>1898</v>
      </c>
      <c r="B958" s="156" t="s">
        <v>1878</v>
      </c>
      <c r="C958" s="160">
        <v>102</v>
      </c>
      <c r="D958" s="164">
        <v>185</v>
      </c>
      <c r="E958" s="161">
        <v>0.65972222222222221</v>
      </c>
      <c r="F958" s="161">
        <v>0.72291666666666676</v>
      </c>
      <c r="G958" s="160" t="s">
        <v>1895</v>
      </c>
      <c r="H958" s="160" t="s">
        <v>194</v>
      </c>
      <c r="I958" s="163">
        <v>3.5</v>
      </c>
      <c r="J958" s="164" t="s">
        <v>254</v>
      </c>
      <c r="K958" s="165">
        <f>34+34+36+33-12</f>
        <v>125</v>
      </c>
      <c r="L958" s="166">
        <f t="shared" si="321"/>
        <v>437.5</v>
      </c>
      <c r="M958" s="177" t="s">
        <v>724</v>
      </c>
      <c r="N958" s="150" t="s">
        <v>985</v>
      </c>
      <c r="O958" s="184">
        <v>46</v>
      </c>
      <c r="P958" s="150" t="s">
        <v>902</v>
      </c>
      <c r="Q958" s="184">
        <v>47</v>
      </c>
      <c r="T958" s="45" t="s">
        <v>1896</v>
      </c>
      <c r="U958" s="45" t="s">
        <v>1897</v>
      </c>
      <c r="V958" s="45" t="s">
        <v>1896</v>
      </c>
      <c r="W958" s="45" t="s">
        <v>1897</v>
      </c>
      <c r="X958" s="98">
        <v>44837</v>
      </c>
      <c r="Y958" s="98">
        <v>45086</v>
      </c>
      <c r="Z958" s="98"/>
      <c r="AA958" s="98"/>
      <c r="AB958" s="43" t="s">
        <v>1117</v>
      </c>
      <c r="AC958" s="43"/>
      <c r="AD958" s="42"/>
      <c r="AE958" s="42"/>
      <c r="AF958" s="42"/>
      <c r="AG958" s="42" t="s">
        <v>734</v>
      </c>
      <c r="AH958" s="42" t="s">
        <v>734</v>
      </c>
      <c r="AI958" s="42" t="s">
        <v>734</v>
      </c>
      <c r="AJ958" s="42" t="s">
        <v>734</v>
      </c>
      <c r="AK958" s="42" t="s">
        <v>734</v>
      </c>
      <c r="AL958" s="42"/>
      <c r="AM958" s="42"/>
      <c r="AN958" s="42"/>
      <c r="AO958" s="42"/>
      <c r="AP958" s="42"/>
      <c r="AQ958" s="42"/>
      <c r="AR958" s="42"/>
      <c r="AS958" s="42"/>
      <c r="AT958" s="42"/>
      <c r="AU958" s="42"/>
      <c r="AV958" s="42"/>
      <c r="AW958" s="42"/>
      <c r="AX958" s="68"/>
      <c r="AY958" s="37"/>
      <c r="AZ958" s="67">
        <f t="shared" si="338"/>
        <v>10.5</v>
      </c>
      <c r="BA958" s="68"/>
      <c r="BB958" s="68"/>
      <c r="BD958" s="67"/>
      <c r="BE958" s="67"/>
      <c r="BF958" s="67">
        <f t="shared" si="327"/>
        <v>1312.5</v>
      </c>
      <c r="BG958" s="69">
        <v>2</v>
      </c>
      <c r="BH958" s="73"/>
      <c r="BI958" s="73"/>
      <c r="BJ958" s="79"/>
      <c r="BK958" s="73"/>
      <c r="BL958" s="73"/>
      <c r="BM958" s="73"/>
      <c r="BN958" s="79"/>
      <c r="BO958" s="86"/>
      <c r="BP958" s="37">
        <v>0</v>
      </c>
      <c r="BQ958" s="37">
        <v>16</v>
      </c>
      <c r="BR958" s="37">
        <v>17</v>
      </c>
      <c r="BS958" s="37">
        <v>12</v>
      </c>
      <c r="BT958" s="87">
        <f t="shared" si="335"/>
        <v>10.5</v>
      </c>
      <c r="BU958" s="281"/>
      <c r="BV958" s="281"/>
      <c r="BW958" s="281"/>
      <c r="BX958" s="281"/>
      <c r="BY958" s="281"/>
      <c r="BZ958" s="281"/>
      <c r="CA958" s="281"/>
      <c r="CB958" s="281"/>
      <c r="CC958" s="281"/>
      <c r="CD958" s="281"/>
      <c r="CE958" s="73"/>
      <c r="CF958" s="67">
        <f t="shared" si="336"/>
        <v>0</v>
      </c>
      <c r="CG958" s="67">
        <f t="shared" si="339"/>
        <v>168</v>
      </c>
      <c r="CH958" s="67">
        <f t="shared" si="322"/>
        <v>178.5</v>
      </c>
      <c r="CI958" s="67">
        <f t="shared" si="316"/>
        <v>126</v>
      </c>
      <c r="CJ958" s="37">
        <f t="shared" si="312"/>
        <v>0</v>
      </c>
      <c r="CK958" s="37">
        <f t="shared" si="313"/>
        <v>56</v>
      </c>
      <c r="CL958" s="37">
        <f t="shared" si="314"/>
        <v>59.5</v>
      </c>
      <c r="CM958" s="37">
        <f t="shared" si="315"/>
        <v>42</v>
      </c>
    </row>
    <row r="959" spans="1:91" ht="25.5">
      <c r="A959" s="3" t="s">
        <v>1877</v>
      </c>
      <c r="B959" s="156" t="s">
        <v>1878</v>
      </c>
      <c r="C959" s="160">
        <v>645</v>
      </c>
      <c r="D959" s="162">
        <v>682</v>
      </c>
      <c r="E959" s="161">
        <v>0.5541666666666667</v>
      </c>
      <c r="F959" s="161">
        <v>0.58333333333333337</v>
      </c>
      <c r="G959" s="160" t="s">
        <v>1321</v>
      </c>
      <c r="H959" s="160" t="s">
        <v>1202</v>
      </c>
      <c r="I959" s="163">
        <v>31.5</v>
      </c>
      <c r="J959" s="164" t="s">
        <v>111</v>
      </c>
      <c r="K959" s="165">
        <v>54</v>
      </c>
      <c r="L959" s="166">
        <f t="shared" si="321"/>
        <v>1701</v>
      </c>
      <c r="M959" s="167" t="s">
        <v>788</v>
      </c>
      <c r="N959" s="3" t="s">
        <v>1322</v>
      </c>
      <c r="O959" s="3">
        <v>21</v>
      </c>
      <c r="P959" s="3" t="s">
        <v>1323</v>
      </c>
      <c r="Q959" s="3">
        <v>31</v>
      </c>
      <c r="R959" s="3" t="s">
        <v>1324</v>
      </c>
      <c r="S959" s="3">
        <v>57</v>
      </c>
      <c r="T959" s="45" t="s">
        <v>1805</v>
      </c>
      <c r="U959" s="45" t="s">
        <v>1806</v>
      </c>
      <c r="V959" s="45">
        <v>6401</v>
      </c>
      <c r="W959" s="45" t="s">
        <v>1832</v>
      </c>
      <c r="X959" s="98">
        <v>44845</v>
      </c>
      <c r="Y959" s="98">
        <v>45086</v>
      </c>
      <c r="Z959" s="98"/>
      <c r="AA959" s="98"/>
      <c r="AB959" s="41" t="s">
        <v>1134</v>
      </c>
      <c r="AC959" s="41"/>
      <c r="AD959" s="42"/>
      <c r="AE959" s="42"/>
      <c r="AF959" s="42"/>
      <c r="AG959" s="42" t="s">
        <v>734</v>
      </c>
      <c r="AH959" s="42"/>
      <c r="AI959" s="42" t="s">
        <v>734</v>
      </c>
      <c r="AJ959" s="42"/>
      <c r="AK959" s="42" t="s">
        <v>734</v>
      </c>
      <c r="AL959" s="42"/>
      <c r="AM959" s="42"/>
      <c r="AN959" s="42"/>
      <c r="AO959" s="42"/>
      <c r="AP959" s="42"/>
      <c r="AQ959" s="42"/>
      <c r="AR959" s="42"/>
      <c r="AS959" s="42"/>
      <c r="AT959" s="42"/>
      <c r="AU959" s="42"/>
      <c r="AV959" s="42"/>
      <c r="AW959" s="42"/>
      <c r="AX959" s="68"/>
      <c r="AY959" s="68"/>
      <c r="AZ959" s="67">
        <f t="shared" si="338"/>
        <v>94.5</v>
      </c>
      <c r="BA959" s="37"/>
      <c r="BB959" s="37"/>
      <c r="BD959" s="67"/>
      <c r="BE959" s="67"/>
      <c r="BF959" s="67">
        <f t="shared" si="327"/>
        <v>5103</v>
      </c>
      <c r="BG959" s="69"/>
      <c r="BH959" s="73"/>
      <c r="BI959" s="73"/>
      <c r="BJ959" s="79"/>
      <c r="BK959" s="73"/>
      <c r="BL959" s="73"/>
      <c r="BM959" s="73"/>
      <c r="BN959" s="79"/>
      <c r="BO959" s="86"/>
      <c r="BP959" s="37">
        <v>0</v>
      </c>
      <c r="BQ959" s="314">
        <v>6</v>
      </c>
      <c r="BR959" s="37">
        <v>8</v>
      </c>
      <c r="BS959" s="37">
        <v>6</v>
      </c>
      <c r="BT959" s="87">
        <f t="shared" si="335"/>
        <v>94.5</v>
      </c>
      <c r="BU959" s="281"/>
      <c r="BV959" s="281"/>
      <c r="BW959" s="281"/>
      <c r="BX959" s="281"/>
      <c r="BY959" s="281"/>
      <c r="BZ959" s="281"/>
      <c r="CA959" s="281"/>
      <c r="CB959" s="281"/>
      <c r="CC959" s="281"/>
      <c r="CD959" s="281"/>
      <c r="CE959" s="73"/>
      <c r="CF959" s="67">
        <f t="shared" si="336"/>
        <v>0</v>
      </c>
      <c r="CG959" s="277">
        <f t="shared" si="339"/>
        <v>567</v>
      </c>
      <c r="CH959" s="67">
        <f t="shared" si="322"/>
        <v>756</v>
      </c>
      <c r="CI959" s="67">
        <f t="shared" si="316"/>
        <v>567</v>
      </c>
      <c r="CJ959" s="37">
        <f t="shared" si="312"/>
        <v>0</v>
      </c>
      <c r="CK959" s="37">
        <f t="shared" si="313"/>
        <v>189</v>
      </c>
      <c r="CL959" s="37">
        <f t="shared" si="314"/>
        <v>252</v>
      </c>
      <c r="CM959" s="37">
        <f t="shared" si="315"/>
        <v>189</v>
      </c>
    </row>
    <row r="960" spans="1:91" ht="25.5">
      <c r="A960" s="3" t="s">
        <v>1904</v>
      </c>
      <c r="B960" s="156" t="s">
        <v>1878</v>
      </c>
      <c r="C960" s="160">
        <v>101</v>
      </c>
      <c r="D960" s="160">
        <v>656</v>
      </c>
      <c r="E960" s="161">
        <v>0.29375000000000001</v>
      </c>
      <c r="F960" s="161">
        <v>0.2986111111111111</v>
      </c>
      <c r="G960" s="160" t="s">
        <v>1905</v>
      </c>
      <c r="H960" s="160" t="s">
        <v>97</v>
      </c>
      <c r="I960" s="163">
        <v>2.1</v>
      </c>
      <c r="J960" s="164" t="s">
        <v>125</v>
      </c>
      <c r="K960" s="165">
        <f>208-17-9</f>
        <v>182</v>
      </c>
      <c r="L960" s="166">
        <f t="shared" si="321"/>
        <v>382.2</v>
      </c>
      <c r="M960" s="177" t="s">
        <v>721</v>
      </c>
      <c r="N960" s="154" t="s">
        <v>1082</v>
      </c>
      <c r="O960" s="154">
        <v>17</v>
      </c>
      <c r="P960" s="154" t="s">
        <v>1973</v>
      </c>
      <c r="Q960" s="154">
        <v>24</v>
      </c>
      <c r="R960" s="150" t="s">
        <v>1996</v>
      </c>
      <c r="S960" s="151">
        <v>9</v>
      </c>
      <c r="T960" s="73"/>
      <c r="U960" s="45" t="s">
        <v>1906</v>
      </c>
      <c r="V960" s="45" t="s">
        <v>1387</v>
      </c>
      <c r="W960" s="45" t="s">
        <v>1388</v>
      </c>
      <c r="X960" s="98">
        <v>44846</v>
      </c>
      <c r="Y960" s="98">
        <v>45086</v>
      </c>
      <c r="AB960" s="41" t="s">
        <v>1118</v>
      </c>
      <c r="AC960" s="41"/>
      <c r="AD960" s="42"/>
      <c r="AE960" s="42"/>
      <c r="AF960" s="42"/>
      <c r="AG960" s="42" t="s">
        <v>734</v>
      </c>
      <c r="AH960" s="42" t="s">
        <v>734</v>
      </c>
      <c r="AI960" s="42" t="s">
        <v>734</v>
      </c>
      <c r="AJ960" s="42" t="s">
        <v>734</v>
      </c>
      <c r="AK960" s="42" t="s">
        <v>734</v>
      </c>
      <c r="AL960" s="42" t="s">
        <v>734</v>
      </c>
      <c r="AM960" s="42" t="s">
        <v>734</v>
      </c>
      <c r="AZ960" s="67">
        <f t="shared" si="338"/>
        <v>6.3000000000000007</v>
      </c>
      <c r="BA960" s="37"/>
      <c r="BB960" s="37"/>
      <c r="BD960" s="67"/>
      <c r="BE960" s="67"/>
      <c r="BF960" s="67">
        <f t="shared" si="327"/>
        <v>1146.6000000000001</v>
      </c>
      <c r="BG960" s="73">
        <v>1</v>
      </c>
      <c r="BH960" s="79"/>
      <c r="BI960" s="79"/>
      <c r="BJ960" s="86"/>
      <c r="BK960" s="73"/>
      <c r="BL960" s="73"/>
      <c r="BM960" s="73"/>
      <c r="BN960" s="73"/>
      <c r="BO960" s="86"/>
      <c r="BP960" s="37">
        <v>0</v>
      </c>
      <c r="BQ960" s="37">
        <v>16</v>
      </c>
      <c r="BR960" s="37">
        <v>25</v>
      </c>
      <c r="BS960" s="37">
        <v>18</v>
      </c>
      <c r="BT960" s="87">
        <f t="shared" si="335"/>
        <v>6.3000000000000007</v>
      </c>
      <c r="BU960" s="281"/>
      <c r="BV960" s="281"/>
      <c r="BW960" s="281"/>
      <c r="BX960" s="281"/>
      <c r="BY960" s="281"/>
      <c r="BZ960" s="281"/>
      <c r="CA960" s="281"/>
      <c r="CB960" s="281"/>
      <c r="CC960" s="281"/>
      <c r="CD960" s="281"/>
      <c r="CE960" s="73"/>
      <c r="CF960" s="67">
        <f t="shared" si="336"/>
        <v>0</v>
      </c>
      <c r="CG960" s="67">
        <f t="shared" si="339"/>
        <v>100.80000000000001</v>
      </c>
      <c r="CH960" s="67">
        <f t="shared" si="322"/>
        <v>157.50000000000003</v>
      </c>
      <c r="CI960" s="67">
        <f t="shared" si="316"/>
        <v>113.4</v>
      </c>
      <c r="CJ960" s="37">
        <f t="shared" si="312"/>
        <v>0</v>
      </c>
      <c r="CK960" s="37">
        <f t="shared" si="313"/>
        <v>33.6</v>
      </c>
      <c r="CL960" s="37">
        <f t="shared" si="314"/>
        <v>52.5</v>
      </c>
      <c r="CM960" s="37">
        <f t="shared" si="315"/>
        <v>37.800000000000004</v>
      </c>
    </row>
    <row r="961" spans="1:91" ht="25.5">
      <c r="A961" s="225" t="s">
        <v>2094</v>
      </c>
      <c r="B961" s="226" t="s">
        <v>1878</v>
      </c>
      <c r="C961" s="227">
        <v>615</v>
      </c>
      <c r="D961" s="227">
        <v>524</v>
      </c>
      <c r="E961" s="229">
        <v>0.57847222222222217</v>
      </c>
      <c r="F961" s="229">
        <v>0.59375</v>
      </c>
      <c r="G961" s="227" t="s">
        <v>2095</v>
      </c>
      <c r="H961" s="227" t="s">
        <v>1144</v>
      </c>
      <c r="I961" s="230">
        <v>6</v>
      </c>
      <c r="J961" s="231">
        <v>19</v>
      </c>
      <c r="K961" s="239">
        <v>10</v>
      </c>
      <c r="L961" s="233">
        <f t="shared" si="321"/>
        <v>60</v>
      </c>
      <c r="M961" s="234" t="s">
        <v>2123</v>
      </c>
      <c r="N961" s="249" t="s">
        <v>910</v>
      </c>
      <c r="O961" s="249">
        <v>24</v>
      </c>
      <c r="P961" s="249" t="s">
        <v>911</v>
      </c>
      <c r="Q961" s="249">
        <v>21</v>
      </c>
      <c r="R961" s="249"/>
      <c r="S961" s="254"/>
      <c r="T961" s="240" t="s">
        <v>1731</v>
      </c>
      <c r="U961" s="240" t="s">
        <v>1732</v>
      </c>
      <c r="V961" s="240" t="s">
        <v>1728</v>
      </c>
      <c r="W961" s="240" t="s">
        <v>1729</v>
      </c>
      <c r="X961" s="251">
        <v>44882</v>
      </c>
      <c r="Y961" s="251">
        <v>44904</v>
      </c>
      <c r="Z961" s="236"/>
      <c r="AA961" s="236"/>
      <c r="AB961" s="240" t="s">
        <v>1144</v>
      </c>
      <c r="AC961" s="240"/>
      <c r="AD961" s="252"/>
      <c r="AE961" s="252"/>
      <c r="AF961" s="252"/>
      <c r="AG961" s="252"/>
      <c r="AH961" s="252"/>
      <c r="AI961" s="252"/>
      <c r="AJ961" s="252"/>
      <c r="AK961" s="252"/>
      <c r="AL961" s="252"/>
      <c r="AM961" s="252"/>
      <c r="AN961" s="236"/>
      <c r="AO961" s="236"/>
      <c r="AP961" s="236"/>
      <c r="AQ961" s="236"/>
      <c r="AR961" s="236"/>
      <c r="AS961" s="236"/>
      <c r="AT961" s="236"/>
      <c r="AU961" s="236"/>
      <c r="AV961" s="236"/>
      <c r="AW961" s="236"/>
      <c r="AX961" s="238"/>
      <c r="AY961" s="238"/>
      <c r="AZ961" s="238"/>
      <c r="BA961" s="236"/>
      <c r="BB961" s="236"/>
      <c r="BC961" s="236"/>
      <c r="BD961" s="238"/>
      <c r="BE961" s="238"/>
      <c r="BF961" s="238"/>
      <c r="BG961" s="236"/>
      <c r="BH961" s="238"/>
      <c r="BI961" s="238"/>
      <c r="BJ961" s="250"/>
      <c r="BK961" s="236"/>
      <c r="BL961" s="236"/>
      <c r="BM961" s="236"/>
      <c r="BN961" s="236"/>
      <c r="BO961" s="250"/>
      <c r="BP961" s="236"/>
      <c r="BQ961" s="236"/>
      <c r="BR961" s="236">
        <v>6</v>
      </c>
      <c r="BS961" s="236">
        <v>4</v>
      </c>
      <c r="BT961" s="237">
        <f>3*I961</f>
        <v>18</v>
      </c>
      <c r="BU961" s="237"/>
      <c r="BV961" s="237"/>
      <c r="BW961" s="237"/>
      <c r="BX961" s="237"/>
      <c r="BY961" s="237"/>
      <c r="BZ961" s="237"/>
      <c r="CA961" s="237"/>
      <c r="CB961" s="237"/>
      <c r="CC961" s="237"/>
      <c r="CD961" s="237"/>
      <c r="CE961" s="236"/>
      <c r="CF961" s="238"/>
      <c r="CG961" s="238"/>
      <c r="CH961" s="238">
        <f t="shared" si="322"/>
        <v>108</v>
      </c>
      <c r="CI961" s="238">
        <f t="shared" si="316"/>
        <v>72</v>
      </c>
      <c r="CJ961" s="236"/>
      <c r="CK961" s="236"/>
      <c r="CL961" s="236">
        <f t="shared" si="314"/>
        <v>36</v>
      </c>
      <c r="CM961" s="236">
        <f t="shared" si="315"/>
        <v>24</v>
      </c>
    </row>
    <row r="962" spans="1:91" ht="25.5">
      <c r="A962" s="225" t="s">
        <v>2094</v>
      </c>
      <c r="B962" s="226" t="s">
        <v>1878</v>
      </c>
      <c r="C962" s="227">
        <v>615</v>
      </c>
      <c r="D962" s="227">
        <v>524</v>
      </c>
      <c r="E962" s="229">
        <v>0.57847222222222217</v>
      </c>
      <c r="F962" s="229">
        <v>0.59027777777777779</v>
      </c>
      <c r="G962" s="227" t="s">
        <v>526</v>
      </c>
      <c r="H962" s="227" t="s">
        <v>1134</v>
      </c>
      <c r="I962" s="230">
        <v>8.6</v>
      </c>
      <c r="J962" s="231">
        <v>19</v>
      </c>
      <c r="K962" s="239">
        <v>6</v>
      </c>
      <c r="L962" s="233">
        <f t="shared" si="321"/>
        <v>51.599999999999994</v>
      </c>
      <c r="M962" s="234" t="s">
        <v>2123</v>
      </c>
      <c r="N962" s="249" t="s">
        <v>910</v>
      </c>
      <c r="O962" s="249">
        <v>24</v>
      </c>
      <c r="P962" s="249" t="s">
        <v>911</v>
      </c>
      <c r="Q962" s="249">
        <v>21</v>
      </c>
      <c r="R962" s="249"/>
      <c r="S962" s="254"/>
      <c r="T962" s="240" t="s">
        <v>1731</v>
      </c>
      <c r="U962" s="240" t="s">
        <v>1732</v>
      </c>
      <c r="V962" s="240">
        <v>6127</v>
      </c>
      <c r="W962" s="240" t="s">
        <v>1730</v>
      </c>
      <c r="X962" s="251">
        <v>44882</v>
      </c>
      <c r="Y962" s="251">
        <v>44904</v>
      </c>
      <c r="Z962" s="236"/>
      <c r="AA962" s="236"/>
      <c r="AB962" s="240" t="s">
        <v>1134</v>
      </c>
      <c r="AC962" s="240"/>
      <c r="AD962" s="252"/>
      <c r="AE962" s="252"/>
      <c r="AF962" s="252"/>
      <c r="AG962" s="252"/>
      <c r="AH962" s="252"/>
      <c r="AI962" s="252"/>
      <c r="AJ962" s="252"/>
      <c r="AK962" s="252"/>
      <c r="AL962" s="252"/>
      <c r="AM962" s="252"/>
      <c r="AN962" s="236"/>
      <c r="AO962" s="236"/>
      <c r="AP962" s="236"/>
      <c r="AQ962" s="236"/>
      <c r="AR962" s="236"/>
      <c r="AS962" s="236"/>
      <c r="AT962" s="236"/>
      <c r="AU962" s="236"/>
      <c r="AV962" s="236"/>
      <c r="AW962" s="236"/>
      <c r="AX962" s="238"/>
      <c r="AY962" s="238"/>
      <c r="AZ962" s="238"/>
      <c r="BA962" s="236"/>
      <c r="BB962" s="236"/>
      <c r="BC962" s="236"/>
      <c r="BD962" s="238"/>
      <c r="BE962" s="238"/>
      <c r="BF962" s="238"/>
      <c r="BG962" s="236"/>
      <c r="BH962" s="238"/>
      <c r="BI962" s="238"/>
      <c r="BJ962" s="250"/>
      <c r="BK962" s="236"/>
      <c r="BL962" s="236"/>
      <c r="BM962" s="236"/>
      <c r="BN962" s="236"/>
      <c r="BO962" s="250"/>
      <c r="BP962" s="236"/>
      <c r="BQ962" s="236"/>
      <c r="BR962" s="236">
        <v>4</v>
      </c>
      <c r="BS962" s="236">
        <v>2</v>
      </c>
      <c r="BT962" s="237">
        <f t="shared" ref="BT962:BT964" si="340">3*I962</f>
        <v>25.799999999999997</v>
      </c>
      <c r="BU962" s="237"/>
      <c r="BV962" s="237"/>
      <c r="BW962" s="237"/>
      <c r="BX962" s="237"/>
      <c r="BY962" s="237"/>
      <c r="BZ962" s="237"/>
      <c r="CA962" s="237"/>
      <c r="CB962" s="237"/>
      <c r="CC962" s="237"/>
      <c r="CD962" s="237"/>
      <c r="CE962" s="236"/>
      <c r="CF962" s="238"/>
      <c r="CG962" s="238"/>
      <c r="CH962" s="238">
        <f t="shared" si="322"/>
        <v>103.19999999999999</v>
      </c>
      <c r="CI962" s="238">
        <f t="shared" si="316"/>
        <v>51.599999999999994</v>
      </c>
      <c r="CJ962" s="236"/>
      <c r="CK962" s="236"/>
      <c r="CL962" s="236">
        <f t="shared" si="314"/>
        <v>34.4</v>
      </c>
      <c r="CM962" s="236">
        <f t="shared" si="315"/>
        <v>17.2</v>
      </c>
    </row>
    <row r="963" spans="1:91" ht="33.75">
      <c r="A963" s="225" t="s">
        <v>2094</v>
      </c>
      <c r="B963" s="226" t="s">
        <v>1878</v>
      </c>
      <c r="C963" s="227">
        <v>615</v>
      </c>
      <c r="D963" s="227">
        <v>522</v>
      </c>
      <c r="E963" s="229">
        <v>0.71527777777777779</v>
      </c>
      <c r="F963" s="229">
        <v>0.72916666666666663</v>
      </c>
      <c r="G963" s="227" t="s">
        <v>47</v>
      </c>
      <c r="H963" s="227" t="s">
        <v>103</v>
      </c>
      <c r="I963" s="230">
        <v>7.7</v>
      </c>
      <c r="J963" s="231">
        <v>19</v>
      </c>
      <c r="K963" s="239">
        <v>16</v>
      </c>
      <c r="L963" s="233">
        <f t="shared" si="321"/>
        <v>123.2</v>
      </c>
      <c r="M963" s="234" t="s">
        <v>2123</v>
      </c>
      <c r="N963" s="249" t="s">
        <v>910</v>
      </c>
      <c r="O963" s="249">
        <v>24</v>
      </c>
      <c r="P963" s="249" t="s">
        <v>1980</v>
      </c>
      <c r="Q963" s="249">
        <v>24</v>
      </c>
      <c r="R963" s="249"/>
      <c r="S963" s="254"/>
      <c r="T963" s="240">
        <v>6120</v>
      </c>
      <c r="U963" s="240" t="s">
        <v>1341</v>
      </c>
      <c r="V963" s="240">
        <v>6127</v>
      </c>
      <c r="W963" s="240" t="s">
        <v>1730</v>
      </c>
      <c r="X963" s="251">
        <v>44882</v>
      </c>
      <c r="Y963" s="251">
        <v>44904</v>
      </c>
      <c r="Z963" s="236"/>
      <c r="AA963" s="236"/>
      <c r="AB963" s="240" t="s">
        <v>1114</v>
      </c>
      <c r="AC963" s="240"/>
      <c r="AD963" s="252"/>
      <c r="AE963" s="252"/>
      <c r="AF963" s="252"/>
      <c r="AG963" s="252"/>
      <c r="AH963" s="252"/>
      <c r="AI963" s="252"/>
      <c r="AJ963" s="252"/>
      <c r="AK963" s="252"/>
      <c r="AL963" s="252"/>
      <c r="AM963" s="252"/>
      <c r="AN963" s="236"/>
      <c r="AO963" s="236"/>
      <c r="AP963" s="236"/>
      <c r="AQ963" s="236"/>
      <c r="AR963" s="236"/>
      <c r="AS963" s="236"/>
      <c r="AT963" s="236"/>
      <c r="AU963" s="236"/>
      <c r="AV963" s="236"/>
      <c r="AW963" s="236"/>
      <c r="AX963" s="238"/>
      <c r="AY963" s="238"/>
      <c r="AZ963" s="238"/>
      <c r="BA963" s="236"/>
      <c r="BB963" s="236"/>
      <c r="BC963" s="236"/>
      <c r="BD963" s="238"/>
      <c r="BE963" s="238"/>
      <c r="BF963" s="238"/>
      <c r="BG963" s="236"/>
      <c r="BH963" s="238"/>
      <c r="BI963" s="238"/>
      <c r="BJ963" s="250"/>
      <c r="BK963" s="236"/>
      <c r="BL963" s="236"/>
      <c r="BM963" s="236"/>
      <c r="BN963" s="236"/>
      <c r="BO963" s="250"/>
      <c r="BP963" s="236"/>
      <c r="BQ963" s="236"/>
      <c r="BR963" s="236">
        <v>10</v>
      </c>
      <c r="BS963" s="236">
        <v>6</v>
      </c>
      <c r="BT963" s="237">
        <f t="shared" si="340"/>
        <v>23.1</v>
      </c>
      <c r="BU963" s="237"/>
      <c r="BV963" s="237"/>
      <c r="BW963" s="237"/>
      <c r="BX963" s="237"/>
      <c r="BY963" s="237"/>
      <c r="BZ963" s="237"/>
      <c r="CA963" s="237"/>
      <c r="CB963" s="237"/>
      <c r="CC963" s="237"/>
      <c r="CD963" s="237"/>
      <c r="CE963" s="236"/>
      <c r="CF963" s="238"/>
      <c r="CG963" s="238"/>
      <c r="CH963" s="238">
        <f t="shared" si="322"/>
        <v>231</v>
      </c>
      <c r="CI963" s="238">
        <f t="shared" si="316"/>
        <v>138.60000000000002</v>
      </c>
      <c r="CJ963" s="236"/>
      <c r="CK963" s="236"/>
      <c r="CL963" s="236">
        <f t="shared" si="314"/>
        <v>77</v>
      </c>
      <c r="CM963" s="236">
        <f t="shared" si="315"/>
        <v>46.2</v>
      </c>
    </row>
    <row r="964" spans="1:91" ht="33.75">
      <c r="A964" s="225" t="s">
        <v>2094</v>
      </c>
      <c r="B964" s="226" t="s">
        <v>1878</v>
      </c>
      <c r="C964" s="241">
        <v>615</v>
      </c>
      <c r="D964" s="241">
        <v>520</v>
      </c>
      <c r="E964" s="242">
        <v>0.75347222222222221</v>
      </c>
      <c r="F964" s="242">
        <v>0.78541666666666676</v>
      </c>
      <c r="G964" s="243" t="s">
        <v>2096</v>
      </c>
      <c r="H964" s="227" t="s">
        <v>479</v>
      </c>
      <c r="I964" s="230">
        <v>5.2</v>
      </c>
      <c r="J964" s="231">
        <v>19</v>
      </c>
      <c r="K964" s="239">
        <v>19</v>
      </c>
      <c r="L964" s="233">
        <f t="shared" si="321"/>
        <v>98.8</v>
      </c>
      <c r="M964" s="234" t="s">
        <v>2123</v>
      </c>
      <c r="N964" s="249" t="s">
        <v>910</v>
      </c>
      <c r="O964" s="249">
        <v>24</v>
      </c>
      <c r="P964" s="249" t="s">
        <v>2077</v>
      </c>
      <c r="Q964" s="249">
        <v>42</v>
      </c>
      <c r="R964" s="249"/>
      <c r="S964" s="254"/>
      <c r="T964" s="240">
        <v>6120</v>
      </c>
      <c r="U964" s="240" t="s">
        <v>1341</v>
      </c>
      <c r="V964" s="240">
        <v>6120</v>
      </c>
      <c r="W964" s="240" t="s">
        <v>1341</v>
      </c>
      <c r="X964" s="251">
        <v>44882</v>
      </c>
      <c r="Y964" s="251">
        <v>44904</v>
      </c>
      <c r="Z964" s="236"/>
      <c r="AA964" s="236"/>
      <c r="AB964" s="311" t="s">
        <v>1124</v>
      </c>
      <c r="AC964" s="240"/>
      <c r="AD964" s="252"/>
      <c r="AE964" s="252"/>
      <c r="AF964" s="252"/>
      <c r="AG964" s="252"/>
      <c r="AH964" s="252"/>
      <c r="AI964" s="252"/>
      <c r="AJ964" s="252"/>
      <c r="AK964" s="252"/>
      <c r="AL964" s="252"/>
      <c r="AM964" s="252"/>
      <c r="AN964" s="236"/>
      <c r="AO964" s="236"/>
      <c r="AP964" s="236"/>
      <c r="AQ964" s="236"/>
      <c r="AR964" s="236"/>
      <c r="AS964" s="236"/>
      <c r="AT964" s="236"/>
      <c r="AU964" s="236"/>
      <c r="AV964" s="236"/>
      <c r="AW964" s="236"/>
      <c r="AX964" s="238"/>
      <c r="AY964" s="238"/>
      <c r="AZ964" s="238"/>
      <c r="BA964" s="236"/>
      <c r="BB964" s="236"/>
      <c r="BC964" s="236"/>
      <c r="BD964" s="238"/>
      <c r="BE964" s="238"/>
      <c r="BF964" s="238"/>
      <c r="BG964" s="236"/>
      <c r="BH964" s="238"/>
      <c r="BI964" s="238"/>
      <c r="BJ964" s="250"/>
      <c r="BK964" s="236"/>
      <c r="BL964" s="236"/>
      <c r="BM964" s="236"/>
      <c r="BN964" s="236"/>
      <c r="BO964" s="250"/>
      <c r="BP964" s="236"/>
      <c r="BQ964" s="236"/>
      <c r="BR964" s="236">
        <v>12</v>
      </c>
      <c r="BS964" s="236">
        <v>7</v>
      </c>
      <c r="BT964" s="237">
        <f t="shared" si="340"/>
        <v>15.600000000000001</v>
      </c>
      <c r="BU964" s="237"/>
      <c r="BV964" s="237"/>
      <c r="BW964" s="237"/>
      <c r="BX964" s="237"/>
      <c r="BY964" s="237"/>
      <c r="BZ964" s="237"/>
      <c r="CA964" s="237"/>
      <c r="CB964" s="237"/>
      <c r="CC964" s="237"/>
      <c r="CD964" s="237"/>
      <c r="CE964" s="236"/>
      <c r="CF964" s="238"/>
      <c r="CG964" s="238"/>
      <c r="CH964" s="238">
        <f t="shared" si="322"/>
        <v>187.20000000000002</v>
      </c>
      <c r="CI964" s="238">
        <f t="shared" si="316"/>
        <v>109.20000000000002</v>
      </c>
      <c r="CJ964" s="236"/>
      <c r="CK964" s="236"/>
      <c r="CL964" s="236">
        <f t="shared" si="314"/>
        <v>62.400000000000006</v>
      </c>
      <c r="CM964" s="236">
        <f t="shared" si="315"/>
        <v>36.4</v>
      </c>
    </row>
    <row r="965" spans="1:91" ht="25.5">
      <c r="A965" s="3" t="s">
        <v>2023</v>
      </c>
      <c r="B965" s="156" t="s">
        <v>1878</v>
      </c>
      <c r="C965" s="160">
        <v>634</v>
      </c>
      <c r="D965" s="160">
        <v>548</v>
      </c>
      <c r="E965" s="161">
        <v>0.58194444444444449</v>
      </c>
      <c r="F965" s="161">
        <v>0.60972222222222217</v>
      </c>
      <c r="G965" s="160" t="s">
        <v>2024</v>
      </c>
      <c r="H965" s="160" t="s">
        <v>103</v>
      </c>
      <c r="I965" s="163">
        <v>20</v>
      </c>
      <c r="J965" s="164">
        <v>19</v>
      </c>
      <c r="K965" s="165">
        <v>144</v>
      </c>
      <c r="L965" s="166">
        <f t="shared" si="321"/>
        <v>2880</v>
      </c>
      <c r="M965" s="177" t="s">
        <v>784</v>
      </c>
      <c r="N965" s="150" t="s">
        <v>829</v>
      </c>
      <c r="O965" s="150">
        <v>21</v>
      </c>
      <c r="P965" s="150" t="s">
        <v>830</v>
      </c>
      <c r="Q965" s="150" t="s">
        <v>831</v>
      </c>
      <c r="R965" s="154" t="s">
        <v>1307</v>
      </c>
      <c r="S965" s="151">
        <v>17</v>
      </c>
      <c r="T965" s="41">
        <v>6220</v>
      </c>
      <c r="U965" s="41" t="s">
        <v>2025</v>
      </c>
      <c r="V965" s="41">
        <v>6755</v>
      </c>
      <c r="W965" s="45" t="s">
        <v>2026</v>
      </c>
      <c r="X965" s="98">
        <v>44886</v>
      </c>
      <c r="Y965" s="98">
        <v>45086</v>
      </c>
      <c r="AB965" s="41" t="s">
        <v>1114</v>
      </c>
      <c r="AC965" s="41"/>
      <c r="AD965" s="42"/>
      <c r="AE965" s="42"/>
      <c r="AF965" s="42"/>
      <c r="AG965" s="42" t="s">
        <v>734</v>
      </c>
      <c r="AH965" s="42" t="s">
        <v>734</v>
      </c>
      <c r="AI965" s="42" t="s">
        <v>734</v>
      </c>
      <c r="AJ965" s="42" t="s">
        <v>734</v>
      </c>
      <c r="AK965" s="42" t="s">
        <v>734</v>
      </c>
      <c r="AL965" s="42" t="s">
        <v>734</v>
      </c>
      <c r="AM965" s="42"/>
      <c r="AN965" s="42"/>
      <c r="AO965" s="42"/>
      <c r="AP965" s="42"/>
      <c r="AQ965" s="42"/>
      <c r="AR965" s="42"/>
      <c r="AS965" s="42"/>
      <c r="AT965" s="42"/>
      <c r="AU965" s="42"/>
      <c r="AV965" s="42"/>
      <c r="AW965" s="42"/>
      <c r="AY965" s="37"/>
      <c r="AZ965" s="67">
        <f t="shared" si="338"/>
        <v>60</v>
      </c>
      <c r="BA965" s="37"/>
      <c r="BB965" s="37"/>
      <c r="BD965" s="67"/>
      <c r="BE965" s="67"/>
      <c r="BF965" s="67">
        <f t="shared" si="327"/>
        <v>8640</v>
      </c>
      <c r="BG965" s="73">
        <v>1</v>
      </c>
      <c r="BH965" s="79"/>
      <c r="BI965" s="79"/>
      <c r="BJ965" s="86"/>
      <c r="BK965" s="73"/>
      <c r="BL965" s="73"/>
      <c r="BM965" s="73"/>
      <c r="BN965" s="73"/>
      <c r="BO965" s="86"/>
      <c r="BP965" s="37">
        <v>0</v>
      </c>
      <c r="BQ965" s="37">
        <v>0</v>
      </c>
      <c r="BR965" s="37">
        <v>8</v>
      </c>
      <c r="BS965" s="37">
        <v>15</v>
      </c>
      <c r="BT965" s="87">
        <f t="shared" si="335"/>
        <v>60</v>
      </c>
      <c r="BU965" s="281"/>
      <c r="BV965" s="281"/>
      <c r="BW965" s="281"/>
      <c r="BX965" s="281"/>
      <c r="BY965" s="281"/>
      <c r="BZ965" s="281"/>
      <c r="CA965" s="281"/>
      <c r="CB965" s="281"/>
      <c r="CC965" s="281"/>
      <c r="CD965" s="281"/>
      <c r="CE965" s="73"/>
      <c r="CF965" s="67">
        <f t="shared" si="336"/>
        <v>0</v>
      </c>
      <c r="CG965" s="67">
        <f t="shared" si="339"/>
        <v>0</v>
      </c>
      <c r="CH965" s="67">
        <f t="shared" si="322"/>
        <v>480</v>
      </c>
      <c r="CI965" s="67">
        <f t="shared" si="316"/>
        <v>900</v>
      </c>
      <c r="CJ965" s="37">
        <f t="shared" si="312"/>
        <v>0</v>
      </c>
      <c r="CK965" s="37">
        <f t="shared" si="313"/>
        <v>0</v>
      </c>
      <c r="CL965" s="37">
        <f t="shared" si="314"/>
        <v>160</v>
      </c>
      <c r="CM965" s="37">
        <f t="shared" si="315"/>
        <v>300</v>
      </c>
    </row>
    <row r="966" spans="1:91" ht="27" customHeight="1">
      <c r="A966" s="3" t="s">
        <v>2000</v>
      </c>
      <c r="B966" s="156" t="s">
        <v>1878</v>
      </c>
      <c r="C966" s="160">
        <v>205</v>
      </c>
      <c r="D966" s="162">
        <v>368</v>
      </c>
      <c r="E966" s="161">
        <v>0.71875</v>
      </c>
      <c r="F966" s="161">
        <v>0.73055555555555562</v>
      </c>
      <c r="G966" s="160" t="s">
        <v>496</v>
      </c>
      <c r="H966" s="160" t="s">
        <v>1079</v>
      </c>
      <c r="I966" s="163">
        <v>9</v>
      </c>
      <c r="J966" s="164" t="s">
        <v>93</v>
      </c>
      <c r="K966" s="165">
        <v>143</v>
      </c>
      <c r="L966" s="166">
        <f t="shared" si="321"/>
        <v>1287</v>
      </c>
      <c r="M966" s="167" t="s">
        <v>743</v>
      </c>
      <c r="N966" s="150" t="s">
        <v>954</v>
      </c>
      <c r="O966" s="150">
        <v>17</v>
      </c>
      <c r="P966" s="150" t="s">
        <v>1926</v>
      </c>
      <c r="Q966" s="150">
        <v>37</v>
      </c>
      <c r="R966" s="150"/>
      <c r="S966" s="150"/>
      <c r="T966" s="41">
        <v>2120</v>
      </c>
      <c r="U966" s="41" t="s">
        <v>1501</v>
      </c>
      <c r="V966" s="41" t="s">
        <v>1497</v>
      </c>
      <c r="W966" s="41" t="s">
        <v>1498</v>
      </c>
      <c r="X966" s="99">
        <v>44895</v>
      </c>
      <c r="Y966" s="99">
        <v>45100</v>
      </c>
      <c r="Z966" s="99"/>
      <c r="AA966" s="99"/>
      <c r="AB966" s="41" t="s">
        <v>1120</v>
      </c>
      <c r="AC966" s="41"/>
      <c r="AD966" s="42" t="s">
        <v>734</v>
      </c>
      <c r="AE966" s="42"/>
      <c r="AF966" s="42" t="s">
        <v>734</v>
      </c>
      <c r="AG966" s="42"/>
      <c r="AH966" s="42" t="s">
        <v>734</v>
      </c>
      <c r="AI966" s="42" t="s">
        <v>734</v>
      </c>
      <c r="AJ966" s="42" t="s">
        <v>734</v>
      </c>
      <c r="AK966" s="42" t="s">
        <v>734</v>
      </c>
      <c r="AL966" s="42" t="s">
        <v>734</v>
      </c>
      <c r="AM966" s="42"/>
      <c r="AN966" s="42"/>
      <c r="AO966" s="42"/>
      <c r="AP966" s="42"/>
      <c r="AQ966" s="42"/>
      <c r="AR966" s="42"/>
      <c r="AS966" s="42"/>
      <c r="AT966" s="42"/>
      <c r="AU966" s="42"/>
      <c r="AV966" s="42"/>
      <c r="AW966" s="42"/>
      <c r="AY966" s="37"/>
      <c r="AZ966" s="67">
        <f t="shared" si="338"/>
        <v>27</v>
      </c>
      <c r="BA966" s="37"/>
      <c r="BB966" s="37"/>
      <c r="BD966" s="67"/>
      <c r="BE966" s="67"/>
      <c r="BF966" s="67">
        <f t="shared" si="327"/>
        <v>3861</v>
      </c>
      <c r="BG966" s="73">
        <v>1</v>
      </c>
      <c r="BH966" s="79"/>
      <c r="BI966" s="79"/>
      <c r="BJ966" s="86"/>
      <c r="BK966" s="73"/>
      <c r="BL966" s="73"/>
      <c r="BM966" s="73"/>
      <c r="BN966" s="73"/>
      <c r="BO966" s="86"/>
      <c r="BP966" s="37">
        <v>0</v>
      </c>
      <c r="BQ966" s="37">
        <v>0</v>
      </c>
      <c r="BR966" s="37">
        <v>1</v>
      </c>
      <c r="BS966" s="37">
        <v>20</v>
      </c>
      <c r="BT966" s="87">
        <f t="shared" si="335"/>
        <v>27</v>
      </c>
      <c r="BU966" s="281"/>
      <c r="BV966" s="281"/>
      <c r="BW966" s="281"/>
      <c r="BX966" s="281"/>
      <c r="BY966" s="281"/>
      <c r="BZ966" s="281"/>
      <c r="CA966" s="281"/>
      <c r="CB966" s="281"/>
      <c r="CC966" s="281"/>
      <c r="CD966" s="281"/>
      <c r="CE966" s="73"/>
      <c r="CF966" s="67">
        <f t="shared" si="336"/>
        <v>0</v>
      </c>
      <c r="CG966" s="67">
        <f t="shared" si="339"/>
        <v>0</v>
      </c>
      <c r="CH966" s="67">
        <f t="shared" si="322"/>
        <v>27</v>
      </c>
      <c r="CI966" s="67">
        <f t="shared" si="316"/>
        <v>540</v>
      </c>
      <c r="CJ966" s="37">
        <f t="shared" si="312"/>
        <v>0</v>
      </c>
      <c r="CK966" s="37">
        <f t="shared" si="313"/>
        <v>0</v>
      </c>
      <c r="CL966" s="37">
        <f t="shared" si="314"/>
        <v>9</v>
      </c>
      <c r="CM966" s="37">
        <f t="shared" si="315"/>
        <v>180</v>
      </c>
    </row>
    <row r="967" spans="1:91" ht="27" customHeight="1">
      <c r="A967" s="3" t="s">
        <v>2000</v>
      </c>
      <c r="B967" s="156" t="s">
        <v>1878</v>
      </c>
      <c r="C967" s="160">
        <v>205</v>
      </c>
      <c r="D967" s="162">
        <v>366</v>
      </c>
      <c r="E967" s="161">
        <v>0.70277777777777783</v>
      </c>
      <c r="F967" s="161">
        <v>0.70624999999999993</v>
      </c>
      <c r="G967" s="160" t="s">
        <v>187</v>
      </c>
      <c r="H967" s="160" t="s">
        <v>1999</v>
      </c>
      <c r="I967" s="163">
        <v>4</v>
      </c>
      <c r="J967" s="164" t="s">
        <v>93</v>
      </c>
      <c r="K967" s="165">
        <v>120</v>
      </c>
      <c r="L967" s="166">
        <f t="shared" si="321"/>
        <v>480</v>
      </c>
      <c r="M967" s="167" t="s">
        <v>743</v>
      </c>
      <c r="N967" s="150" t="s">
        <v>954</v>
      </c>
      <c r="O967" s="150">
        <v>17</v>
      </c>
      <c r="P967" s="150" t="s">
        <v>1926</v>
      </c>
      <c r="Q967" s="150">
        <v>37</v>
      </c>
      <c r="R967" s="150"/>
      <c r="S967" s="150"/>
      <c r="T967" s="41">
        <v>2120</v>
      </c>
      <c r="U967" s="41" t="s">
        <v>1501</v>
      </c>
      <c r="V967" s="41">
        <v>2122</v>
      </c>
      <c r="W967" s="41" t="s">
        <v>2001</v>
      </c>
      <c r="X967" s="98">
        <v>44895</v>
      </c>
      <c r="Y967" s="99">
        <v>45086</v>
      </c>
      <c r="Z967" s="99"/>
      <c r="AA967" s="99"/>
      <c r="AB967" s="41" t="s">
        <v>1118</v>
      </c>
      <c r="AC967" s="41"/>
      <c r="AD967" s="42"/>
      <c r="AE967" s="42"/>
      <c r="AF967" s="42"/>
      <c r="AG967" s="42" t="s">
        <v>734</v>
      </c>
      <c r="AH967" s="42" t="s">
        <v>734</v>
      </c>
      <c r="AI967" s="42" t="s">
        <v>734</v>
      </c>
      <c r="AJ967" s="42" t="s">
        <v>734</v>
      </c>
      <c r="AK967" s="42" t="s">
        <v>734</v>
      </c>
      <c r="AL967" s="42" t="s">
        <v>734</v>
      </c>
      <c r="AM967" s="42" t="s">
        <v>734</v>
      </c>
      <c r="AN967" s="42"/>
      <c r="AO967" s="42"/>
      <c r="AP967" s="42"/>
      <c r="AQ967" s="42"/>
      <c r="AR967" s="42"/>
      <c r="AS967" s="42"/>
      <c r="AT967" s="42"/>
      <c r="AU967" s="42"/>
      <c r="AV967" s="42"/>
      <c r="AW967" s="42"/>
      <c r="AY967" s="37"/>
      <c r="AZ967" s="67">
        <f t="shared" si="338"/>
        <v>12</v>
      </c>
      <c r="BA967" s="37"/>
      <c r="BB967" s="37"/>
      <c r="BD967" s="67"/>
      <c r="BE967" s="67"/>
      <c r="BF967" s="67">
        <f t="shared" si="327"/>
        <v>1440</v>
      </c>
      <c r="BG967" s="73">
        <v>1</v>
      </c>
      <c r="BH967" s="79"/>
      <c r="BI967" s="79"/>
      <c r="BJ967" s="86"/>
      <c r="BK967" s="73"/>
      <c r="BL967" s="73"/>
      <c r="BM967" s="73"/>
      <c r="BN967" s="73"/>
      <c r="BO967" s="86"/>
      <c r="BP967" s="37">
        <v>0</v>
      </c>
      <c r="BQ967" s="37">
        <v>0</v>
      </c>
      <c r="BR967" s="37">
        <v>1</v>
      </c>
      <c r="BS967" s="37">
        <v>18</v>
      </c>
      <c r="BT967" s="87">
        <f t="shared" si="335"/>
        <v>12</v>
      </c>
      <c r="BU967" s="281"/>
      <c r="BV967" s="281"/>
      <c r="BW967" s="281"/>
      <c r="BX967" s="281"/>
      <c r="BY967" s="281"/>
      <c r="BZ967" s="281"/>
      <c r="CA967" s="281"/>
      <c r="CB967" s="281"/>
      <c r="CC967" s="281"/>
      <c r="CD967" s="281"/>
      <c r="CE967" s="73"/>
      <c r="CF967" s="67">
        <f t="shared" si="336"/>
        <v>0</v>
      </c>
      <c r="CG967" s="67">
        <f t="shared" si="339"/>
        <v>0</v>
      </c>
      <c r="CH967" s="67">
        <f t="shared" si="322"/>
        <v>12</v>
      </c>
      <c r="CI967" s="67">
        <f t="shared" si="316"/>
        <v>216</v>
      </c>
      <c r="CJ967" s="37">
        <f t="shared" ref="CJ967:CJ981" si="341">BP967*I967</f>
        <v>0</v>
      </c>
      <c r="CK967" s="37">
        <f t="shared" ref="CK967:CK981" si="342">BQ967*I967</f>
        <v>0</v>
      </c>
      <c r="CL967" s="37">
        <f t="shared" ref="CL967:CL981" si="343">BR967*I967</f>
        <v>4</v>
      </c>
      <c r="CM967" s="37">
        <f t="shared" ref="CM967:CM981" si="344">BS967*I967</f>
        <v>72</v>
      </c>
    </row>
    <row r="968" spans="1:91" ht="25.5">
      <c r="A968" s="3" t="s">
        <v>2012</v>
      </c>
      <c r="B968" s="156" t="s">
        <v>1878</v>
      </c>
      <c r="C968" s="160" t="s">
        <v>2013</v>
      </c>
      <c r="D968" s="162">
        <v>645</v>
      </c>
      <c r="E968" s="161">
        <v>0.32083333333333336</v>
      </c>
      <c r="F968" s="161">
        <v>0.34375</v>
      </c>
      <c r="G968" s="160" t="s">
        <v>2014</v>
      </c>
      <c r="H968" s="160" t="s">
        <v>103</v>
      </c>
      <c r="I968" s="163">
        <v>22</v>
      </c>
      <c r="J968" s="164">
        <v>24</v>
      </c>
      <c r="K968" s="165">
        <f>174-35</f>
        <v>139</v>
      </c>
      <c r="L968" s="166">
        <f t="shared" si="321"/>
        <v>3058</v>
      </c>
      <c r="M968" s="167" t="s">
        <v>2006</v>
      </c>
      <c r="N968" s="150" t="s">
        <v>2011</v>
      </c>
      <c r="O968" s="150">
        <v>23</v>
      </c>
      <c r="P968" s="150" t="s">
        <v>2010</v>
      </c>
      <c r="Q968" s="150">
        <v>22</v>
      </c>
      <c r="R968" s="37"/>
      <c r="S968" s="37"/>
      <c r="T968" s="45">
        <v>1078</v>
      </c>
      <c r="U968" s="45" t="s">
        <v>1397</v>
      </c>
      <c r="V968" s="41" t="s">
        <v>1452</v>
      </c>
      <c r="W968" s="41" t="s">
        <v>1453</v>
      </c>
      <c r="X968" s="98">
        <v>44893</v>
      </c>
      <c r="Y968" s="99">
        <v>45086</v>
      </c>
      <c r="Z968" s="99"/>
      <c r="AA968" s="99"/>
      <c r="AB968" s="41" t="s">
        <v>1114</v>
      </c>
      <c r="AC968" s="41"/>
      <c r="AD968" s="42"/>
      <c r="AE968" s="42"/>
      <c r="AF968" s="42"/>
      <c r="AG968" s="42" t="s">
        <v>734</v>
      </c>
      <c r="AH968" s="42" t="s">
        <v>734</v>
      </c>
      <c r="AI968" s="42" t="s">
        <v>734</v>
      </c>
      <c r="AJ968" s="42" t="s">
        <v>734</v>
      </c>
      <c r="AK968" s="42" t="s">
        <v>734</v>
      </c>
      <c r="AL968" s="42" t="s">
        <v>734</v>
      </c>
      <c r="AM968" s="42"/>
      <c r="AN968" s="42"/>
      <c r="AO968" s="42"/>
      <c r="AP968" s="42"/>
      <c r="AQ968" s="42"/>
      <c r="AR968" s="42"/>
      <c r="AS968" s="42"/>
      <c r="AT968" s="42"/>
      <c r="AU968" s="42"/>
      <c r="AV968" s="42"/>
      <c r="AW968" s="42"/>
      <c r="AY968" s="37"/>
      <c r="AZ968" s="67">
        <f t="shared" si="338"/>
        <v>66</v>
      </c>
      <c r="BA968" s="37"/>
      <c r="BB968" s="37"/>
      <c r="BD968" s="67"/>
      <c r="BE968" s="67"/>
      <c r="BF968" s="67">
        <f t="shared" si="327"/>
        <v>9174</v>
      </c>
      <c r="BG968" s="73">
        <v>1</v>
      </c>
      <c r="BH968" s="79"/>
      <c r="BI968" s="79"/>
      <c r="BJ968" s="86"/>
      <c r="BK968" s="73"/>
      <c r="BL968" s="73"/>
      <c r="BM968" s="73"/>
      <c r="BN968" s="73"/>
      <c r="BO968" s="86"/>
      <c r="BP968" s="37">
        <v>0</v>
      </c>
      <c r="BQ968" s="37">
        <v>0</v>
      </c>
      <c r="BR968" s="37">
        <v>3</v>
      </c>
      <c r="BS968" s="37">
        <v>15</v>
      </c>
      <c r="BT968" s="87">
        <f t="shared" si="335"/>
        <v>66</v>
      </c>
      <c r="BU968" s="281"/>
      <c r="BV968" s="281"/>
      <c r="BW968" s="281"/>
      <c r="BX968" s="281"/>
      <c r="BY968" s="281"/>
      <c r="BZ968" s="281"/>
      <c r="CA968" s="281"/>
      <c r="CB968" s="281"/>
      <c r="CC968" s="281"/>
      <c r="CD968" s="281"/>
      <c r="CE968" s="73"/>
      <c r="CF968" s="67">
        <f t="shared" si="336"/>
        <v>0</v>
      </c>
      <c r="CG968" s="67">
        <f t="shared" si="339"/>
        <v>0</v>
      </c>
      <c r="CH968" s="67">
        <f t="shared" si="322"/>
        <v>198</v>
      </c>
      <c r="CI968" s="67">
        <f t="shared" ref="CI968:CI973" si="345">(BS968*BT968)+(CB968*CD968)</f>
        <v>990</v>
      </c>
      <c r="CJ968" s="37">
        <f t="shared" si="341"/>
        <v>0</v>
      </c>
      <c r="CK968" s="37">
        <f t="shared" si="342"/>
        <v>0</v>
      </c>
      <c r="CL968" s="37">
        <f t="shared" si="343"/>
        <v>66</v>
      </c>
      <c r="CM968" s="37">
        <f t="shared" si="344"/>
        <v>330</v>
      </c>
    </row>
    <row r="969" spans="1:91" ht="39.75" customHeight="1">
      <c r="A969" s="3" t="s">
        <v>2012</v>
      </c>
      <c r="B969" s="156" t="s">
        <v>1878</v>
      </c>
      <c r="C969" s="160">
        <v>646</v>
      </c>
      <c r="D969" s="162">
        <v>406</v>
      </c>
      <c r="E969" s="161">
        <v>0.66666666666666663</v>
      </c>
      <c r="F969" s="161">
        <v>0.69861111111111107</v>
      </c>
      <c r="G969" s="160" t="s">
        <v>2020</v>
      </c>
      <c r="H969" s="160" t="s">
        <v>2017</v>
      </c>
      <c r="I969" s="163">
        <v>22</v>
      </c>
      <c r="J969" s="164">
        <v>19</v>
      </c>
      <c r="K969" s="165">
        <v>23</v>
      </c>
      <c r="L969" s="166">
        <f t="shared" si="321"/>
        <v>506</v>
      </c>
      <c r="M969" s="167" t="s">
        <v>789</v>
      </c>
      <c r="N969" s="154" t="s">
        <v>974</v>
      </c>
      <c r="O969" s="154">
        <v>24</v>
      </c>
      <c r="P969" s="150" t="s">
        <v>1318</v>
      </c>
      <c r="Q969" s="150">
        <v>56</v>
      </c>
      <c r="R969" s="154" t="s">
        <v>975</v>
      </c>
      <c r="S969" s="151">
        <v>20</v>
      </c>
      <c r="T969" s="64" t="s">
        <v>2021</v>
      </c>
      <c r="U969" s="45" t="s">
        <v>2022</v>
      </c>
      <c r="V969" s="41" t="s">
        <v>2018</v>
      </c>
      <c r="W969" s="41" t="s">
        <v>2019</v>
      </c>
      <c r="X969" s="98">
        <v>44893</v>
      </c>
      <c r="Y969" s="99">
        <v>45086</v>
      </c>
      <c r="Z969" s="99"/>
      <c r="AA969" s="99"/>
      <c r="AB969" s="41" t="s">
        <v>1132</v>
      </c>
      <c r="AC969" s="41"/>
      <c r="AD969" s="42"/>
      <c r="AE969" s="42"/>
      <c r="AF969" s="42"/>
      <c r="AG969" s="42" t="s">
        <v>734</v>
      </c>
      <c r="AH969" s="42" t="s">
        <v>734</v>
      </c>
      <c r="AI969" s="42"/>
      <c r="AJ969" s="42"/>
      <c r="AK969" s="42"/>
      <c r="AL969" s="42"/>
      <c r="AM969" s="42"/>
      <c r="AN969" s="42"/>
      <c r="AO969" s="42"/>
      <c r="AP969" s="42"/>
      <c r="AQ969" s="42"/>
      <c r="AR969" s="42"/>
      <c r="AS969" s="42"/>
      <c r="AT969" s="42"/>
      <c r="AU969" s="42"/>
      <c r="AV969" s="42"/>
      <c r="AW969" s="42"/>
      <c r="AY969" s="37"/>
      <c r="AZ969" s="67">
        <f t="shared" si="338"/>
        <v>66</v>
      </c>
      <c r="BA969" s="37"/>
      <c r="BB969" s="37"/>
      <c r="BD969" s="67"/>
      <c r="BE969" s="67"/>
      <c r="BF969" s="67">
        <f t="shared" si="327"/>
        <v>1518</v>
      </c>
      <c r="BG969" s="73">
        <v>1</v>
      </c>
      <c r="BH969" s="79"/>
      <c r="BI969" s="79"/>
      <c r="BJ969" s="86"/>
      <c r="BK969" s="73"/>
      <c r="BL969" s="73"/>
      <c r="BM969" s="73"/>
      <c r="BN969" s="73"/>
      <c r="BO969" s="86"/>
      <c r="BP969" s="37">
        <v>0</v>
      </c>
      <c r="BQ969" s="37">
        <v>0</v>
      </c>
      <c r="BR969" s="37">
        <v>1</v>
      </c>
      <c r="BS969" s="37">
        <v>3</v>
      </c>
      <c r="BT969" s="87">
        <f t="shared" si="335"/>
        <v>66</v>
      </c>
      <c r="BU969" s="281"/>
      <c r="BV969" s="281"/>
      <c r="BW969" s="281"/>
      <c r="BX969" s="281"/>
      <c r="BY969" s="281"/>
      <c r="BZ969" s="281"/>
      <c r="CA969" s="281"/>
      <c r="CB969" s="281"/>
      <c r="CC969" s="281"/>
      <c r="CD969" s="281"/>
      <c r="CE969" s="73"/>
      <c r="CF969" s="67">
        <f t="shared" si="336"/>
        <v>0</v>
      </c>
      <c r="CG969" s="67">
        <f t="shared" si="339"/>
        <v>0</v>
      </c>
      <c r="CH969" s="67">
        <f t="shared" si="322"/>
        <v>66</v>
      </c>
      <c r="CI969" s="67">
        <f t="shared" si="345"/>
        <v>198</v>
      </c>
      <c r="CJ969" s="37">
        <f t="shared" si="341"/>
        <v>0</v>
      </c>
      <c r="CK969" s="37">
        <f t="shared" si="342"/>
        <v>0</v>
      </c>
      <c r="CL969" s="37">
        <f t="shared" si="343"/>
        <v>22</v>
      </c>
      <c r="CM969" s="37">
        <f t="shared" si="344"/>
        <v>66</v>
      </c>
    </row>
    <row r="970" spans="1:91" ht="33.75">
      <c r="A970" s="3" t="s">
        <v>2015</v>
      </c>
      <c r="B970" s="156" t="s">
        <v>1878</v>
      </c>
      <c r="C970" s="160">
        <v>644</v>
      </c>
      <c r="D970" s="164">
        <v>660</v>
      </c>
      <c r="E970" s="161">
        <v>0.76388888888888884</v>
      </c>
      <c r="F970" s="173">
        <v>0.77500000000000002</v>
      </c>
      <c r="G970" s="160" t="s">
        <v>246</v>
      </c>
      <c r="H970" s="160" t="s">
        <v>2016</v>
      </c>
      <c r="I970" s="163">
        <v>6.5</v>
      </c>
      <c r="J970" s="164" t="s">
        <v>167</v>
      </c>
      <c r="K970" s="165">
        <v>23</v>
      </c>
      <c r="L970" s="166">
        <f t="shared" si="321"/>
        <v>149.5</v>
      </c>
      <c r="M970" s="177" t="s">
        <v>790</v>
      </c>
      <c r="N970" s="154" t="s">
        <v>965</v>
      </c>
      <c r="O970" s="154">
        <v>17</v>
      </c>
      <c r="P970" s="154" t="s">
        <v>1312</v>
      </c>
      <c r="Q970" s="154">
        <v>17</v>
      </c>
      <c r="S970" s="154"/>
      <c r="T970" s="45">
        <v>6387</v>
      </c>
      <c r="U970" s="45" t="s">
        <v>1790</v>
      </c>
      <c r="V970" s="45">
        <v>6391</v>
      </c>
      <c r="W970" s="45" t="s">
        <v>1788</v>
      </c>
      <c r="X970" s="98">
        <v>44894</v>
      </c>
      <c r="Y970" s="98">
        <v>45086</v>
      </c>
      <c r="Z970" s="98"/>
      <c r="AA970" s="98"/>
      <c r="AB970" s="42" t="s">
        <v>1129</v>
      </c>
      <c r="AC970" s="42"/>
      <c r="AD970" s="42"/>
      <c r="AE970" s="42"/>
      <c r="AF970" s="42"/>
      <c r="AG970" s="42" t="s">
        <v>734</v>
      </c>
      <c r="AH970" s="42"/>
      <c r="AI970" s="42" t="s">
        <v>734</v>
      </c>
      <c r="AJ970" s="42"/>
      <c r="AK970" s="42"/>
      <c r="AL970" s="42"/>
      <c r="AM970" s="42"/>
      <c r="AN970" s="42"/>
      <c r="AO970" s="42"/>
      <c r="AP970" s="42"/>
      <c r="AQ970" s="42"/>
      <c r="AR970" s="42"/>
      <c r="AS970" s="42"/>
      <c r="AT970" s="42"/>
      <c r="AU970" s="42"/>
      <c r="AV970" s="42"/>
      <c r="AW970" s="42"/>
      <c r="AX970" s="68"/>
      <c r="AY970" s="68"/>
      <c r="AZ970" s="67">
        <f t="shared" si="338"/>
        <v>19.5</v>
      </c>
      <c r="BA970" s="37"/>
      <c r="BB970" s="37"/>
      <c r="BD970" s="67"/>
      <c r="BE970" s="67"/>
      <c r="BF970" s="67">
        <f t="shared" si="327"/>
        <v>448.5</v>
      </c>
      <c r="BG970" s="73">
        <v>1</v>
      </c>
      <c r="BH970" s="79"/>
      <c r="BI970" s="79"/>
      <c r="BJ970" s="86"/>
      <c r="BK970" s="73"/>
      <c r="BL970" s="73"/>
      <c r="BM970" s="73"/>
      <c r="BN970" s="73"/>
      <c r="BO970" s="86"/>
      <c r="BP970" s="37">
        <v>0</v>
      </c>
      <c r="BQ970" s="37">
        <v>0</v>
      </c>
      <c r="BR970" s="37">
        <v>1</v>
      </c>
      <c r="BS970" s="37">
        <v>3</v>
      </c>
      <c r="BT970" s="87">
        <f t="shared" si="335"/>
        <v>19.5</v>
      </c>
      <c r="BU970" s="281"/>
      <c r="BV970" s="281"/>
      <c r="BW970" s="281"/>
      <c r="BX970" s="281"/>
      <c r="BY970" s="281"/>
      <c r="BZ970" s="281"/>
      <c r="CA970" s="281"/>
      <c r="CB970" s="281"/>
      <c r="CC970" s="281"/>
      <c r="CD970" s="281"/>
      <c r="CE970" s="73"/>
      <c r="CF970" s="67">
        <f t="shared" si="336"/>
        <v>0</v>
      </c>
      <c r="CG970" s="67">
        <f t="shared" si="339"/>
        <v>0</v>
      </c>
      <c r="CH970" s="67">
        <f t="shared" si="322"/>
        <v>19.5</v>
      </c>
      <c r="CI970" s="67">
        <f t="shared" si="345"/>
        <v>58.5</v>
      </c>
      <c r="CJ970" s="37">
        <f t="shared" si="341"/>
        <v>0</v>
      </c>
      <c r="CK970" s="37">
        <f t="shared" si="342"/>
        <v>0</v>
      </c>
      <c r="CL970" s="37">
        <f t="shared" si="343"/>
        <v>6.5</v>
      </c>
      <c r="CM970" s="37">
        <f t="shared" si="344"/>
        <v>19.5</v>
      </c>
    </row>
    <row r="971" spans="1:91" ht="25.5">
      <c r="A971" s="3" t="s">
        <v>2000</v>
      </c>
      <c r="B971" s="156" t="s">
        <v>1878</v>
      </c>
      <c r="C971" s="160">
        <v>103</v>
      </c>
      <c r="D971" s="162">
        <v>203</v>
      </c>
      <c r="E971" s="161">
        <v>0.60416666666666663</v>
      </c>
      <c r="F971" s="161">
        <v>0.6166666666666667</v>
      </c>
      <c r="G971" s="160" t="s">
        <v>2004</v>
      </c>
      <c r="H971" s="160" t="s">
        <v>2005</v>
      </c>
      <c r="I971" s="163">
        <v>12.5</v>
      </c>
      <c r="J971" s="164">
        <v>19</v>
      </c>
      <c r="K971" s="165">
        <v>48</v>
      </c>
      <c r="L971" s="166">
        <f t="shared" si="321"/>
        <v>600</v>
      </c>
      <c r="M971" s="167" t="s">
        <v>2006</v>
      </c>
      <c r="N971" s="150" t="s">
        <v>2010</v>
      </c>
      <c r="O971" s="150">
        <v>22</v>
      </c>
      <c r="P971" s="150" t="s">
        <v>2011</v>
      </c>
      <c r="Q971" s="150">
        <v>23</v>
      </c>
      <c r="R971" s="150"/>
      <c r="S971" s="150"/>
      <c r="T971" s="41" t="s">
        <v>2008</v>
      </c>
      <c r="U971" s="41" t="s">
        <v>2007</v>
      </c>
      <c r="V971" s="41">
        <v>1122</v>
      </c>
      <c r="W971" s="41" t="s">
        <v>2009</v>
      </c>
      <c r="X971" s="98">
        <v>44895</v>
      </c>
      <c r="Y971" s="99">
        <v>45086</v>
      </c>
      <c r="Z971" s="99"/>
      <c r="AA971" s="99"/>
      <c r="AB971" s="41" t="s">
        <v>1128</v>
      </c>
      <c r="AC971" s="41"/>
      <c r="AD971" s="42"/>
      <c r="AE971" s="42"/>
      <c r="AF971" s="42"/>
      <c r="AG971" s="42" t="s">
        <v>734</v>
      </c>
      <c r="AH971" s="42"/>
      <c r="AI971" s="42" t="s">
        <v>734</v>
      </c>
      <c r="AJ971" s="42" t="s">
        <v>734</v>
      </c>
      <c r="AK971" s="42"/>
      <c r="AL971" s="42"/>
      <c r="AM971" s="42"/>
      <c r="AN971" s="42"/>
      <c r="AO971" s="42"/>
      <c r="AP971" s="42"/>
      <c r="AQ971" s="42"/>
      <c r="AR971" s="42"/>
      <c r="AS971" s="42"/>
      <c r="AT971" s="42"/>
      <c r="AU971" s="42"/>
      <c r="AV971" s="42"/>
      <c r="AW971" s="42"/>
      <c r="AY971" s="37"/>
      <c r="AZ971" s="67">
        <f t="shared" si="338"/>
        <v>37.5</v>
      </c>
      <c r="BA971" s="37"/>
      <c r="BB971" s="37"/>
      <c r="BD971" s="67"/>
      <c r="BE971" s="67"/>
      <c r="BF971" s="67">
        <f t="shared" si="327"/>
        <v>1800</v>
      </c>
      <c r="BG971" s="73">
        <v>1</v>
      </c>
      <c r="BH971" s="79"/>
      <c r="BI971" s="79"/>
      <c r="BJ971" s="86"/>
      <c r="BK971" s="73"/>
      <c r="BL971" s="73"/>
      <c r="BM971" s="73"/>
      <c r="BN971" s="73"/>
      <c r="BO971" s="86"/>
      <c r="BP971" s="37">
        <v>0</v>
      </c>
      <c r="BQ971" s="37">
        <v>0</v>
      </c>
      <c r="BR971" s="37">
        <v>1</v>
      </c>
      <c r="BS971" s="37">
        <v>6</v>
      </c>
      <c r="BT971" s="87">
        <f t="shared" si="335"/>
        <v>37.5</v>
      </c>
      <c r="BU971" s="281"/>
      <c r="BV971" s="281"/>
      <c r="BW971" s="281"/>
      <c r="BX971" s="281"/>
      <c r="BY971" s="281"/>
      <c r="BZ971" s="281"/>
      <c r="CA971" s="281"/>
      <c r="CB971" s="281"/>
      <c r="CC971" s="281"/>
      <c r="CD971" s="281"/>
      <c r="CE971" s="73"/>
      <c r="CF971" s="67">
        <f t="shared" si="336"/>
        <v>0</v>
      </c>
      <c r="CG971" s="67">
        <f t="shared" si="339"/>
        <v>0</v>
      </c>
      <c r="CH971" s="67">
        <f t="shared" si="322"/>
        <v>37.5</v>
      </c>
      <c r="CI971" s="67">
        <f t="shared" si="345"/>
        <v>225</v>
      </c>
      <c r="CJ971" s="37">
        <f t="shared" si="341"/>
        <v>0</v>
      </c>
      <c r="CK971" s="37">
        <f t="shared" si="342"/>
        <v>0</v>
      </c>
      <c r="CL971" s="37">
        <f t="shared" si="343"/>
        <v>12.5</v>
      </c>
      <c r="CM971" s="37">
        <f t="shared" si="344"/>
        <v>75</v>
      </c>
    </row>
    <row r="972" spans="1:91" ht="25.5">
      <c r="A972" s="3" t="s">
        <v>2045</v>
      </c>
      <c r="B972" s="156" t="s">
        <v>1878</v>
      </c>
      <c r="C972" s="189">
        <v>334</v>
      </c>
      <c r="D972" s="189">
        <v>401</v>
      </c>
      <c r="E972" s="176">
        <v>0.69236111111111109</v>
      </c>
      <c r="F972" s="176">
        <v>0.69861111111111107</v>
      </c>
      <c r="G972" s="185" t="s">
        <v>29</v>
      </c>
      <c r="H972" s="160" t="s">
        <v>242</v>
      </c>
      <c r="I972" s="189">
        <v>4</v>
      </c>
      <c r="J972" s="172">
        <v>19</v>
      </c>
      <c r="K972" s="165">
        <v>34</v>
      </c>
      <c r="L972" s="166">
        <f t="shared" si="321"/>
        <v>136</v>
      </c>
      <c r="M972" s="177" t="s">
        <v>765</v>
      </c>
      <c r="N972" s="150" t="s">
        <v>955</v>
      </c>
      <c r="O972" s="150">
        <v>22</v>
      </c>
      <c r="P972" s="154" t="s">
        <v>1946</v>
      </c>
      <c r="Q972" s="154">
        <v>29</v>
      </c>
      <c r="R972" s="3" t="s">
        <v>1284</v>
      </c>
      <c r="S972" s="150">
        <v>21</v>
      </c>
      <c r="T972" s="45" t="s">
        <v>1664</v>
      </c>
      <c r="U972" s="45" t="s">
        <v>1665</v>
      </c>
      <c r="V972" s="45" t="s">
        <v>1662</v>
      </c>
      <c r="W972" s="45" t="s">
        <v>1663</v>
      </c>
      <c r="X972" s="98">
        <v>44870</v>
      </c>
      <c r="Y972" s="98">
        <v>45086</v>
      </c>
      <c r="Z972" s="98"/>
      <c r="AA972" s="98"/>
      <c r="AB972" s="42" t="s">
        <v>1123</v>
      </c>
      <c r="AC972" s="42"/>
      <c r="AD972" s="42"/>
      <c r="AE972" s="42"/>
      <c r="AF972" s="42"/>
      <c r="AG972" s="42" t="s">
        <v>734</v>
      </c>
      <c r="AH972" s="42"/>
      <c r="AI972" s="42"/>
      <c r="AJ972" s="42"/>
      <c r="AK972" s="42"/>
      <c r="AL972" s="42"/>
      <c r="AM972" s="42" t="s">
        <v>734</v>
      </c>
      <c r="AN972" s="42"/>
      <c r="AO972" s="42"/>
      <c r="AP972" s="42"/>
      <c r="AQ972" s="42"/>
      <c r="AR972" s="42"/>
      <c r="AS972" s="42"/>
      <c r="AT972" s="42"/>
      <c r="AU972" s="42"/>
      <c r="AV972" s="42"/>
      <c r="AW972" s="42"/>
      <c r="AY972" s="37"/>
      <c r="BA972" s="39" t="s">
        <v>1013</v>
      </c>
      <c r="BB972" s="39"/>
      <c r="BC972" s="37">
        <v>35</v>
      </c>
      <c r="BD972" s="67">
        <f t="shared" ref="BD972" si="346">AX972*K972</f>
        <v>0</v>
      </c>
      <c r="BF972" s="37"/>
      <c r="BG972" s="73">
        <v>1</v>
      </c>
      <c r="BI972" s="67"/>
      <c r="BJ972" s="37"/>
      <c r="BN972" s="37"/>
      <c r="BO972" s="70">
        <f t="shared" ref="BO972" si="347">BN972*K972</f>
        <v>0</v>
      </c>
      <c r="BR972" s="37">
        <v>4</v>
      </c>
      <c r="BS972" s="37">
        <v>3</v>
      </c>
      <c r="BT972" s="87">
        <f>SUM(AX972:AZ972)+SUM(BH972:BI972)+SUM(BK972:BL972)+BN972</f>
        <v>0</v>
      </c>
      <c r="BU972" s="87"/>
      <c r="BV972" s="87"/>
      <c r="BW972" s="87"/>
      <c r="BX972" s="87"/>
      <c r="BY972" s="87"/>
      <c r="BZ972" s="87"/>
      <c r="CA972" s="87"/>
      <c r="CB972" s="87"/>
      <c r="CC972" s="87"/>
      <c r="CD972" s="87"/>
      <c r="CF972" s="67">
        <f t="shared" si="336"/>
        <v>0</v>
      </c>
      <c r="CG972" s="67">
        <f t="shared" si="339"/>
        <v>0</v>
      </c>
      <c r="CH972" s="67">
        <f t="shared" si="322"/>
        <v>0</v>
      </c>
      <c r="CI972" s="67">
        <f t="shared" si="345"/>
        <v>0</v>
      </c>
      <c r="CJ972" s="37">
        <f t="shared" si="341"/>
        <v>0</v>
      </c>
      <c r="CK972" s="37">
        <f t="shared" si="342"/>
        <v>0</v>
      </c>
      <c r="CL972" s="37">
        <f t="shared" si="343"/>
        <v>16</v>
      </c>
      <c r="CM972" s="37">
        <f t="shared" si="344"/>
        <v>12</v>
      </c>
    </row>
    <row r="973" spans="1:91" ht="25.5">
      <c r="A973" s="3" t="s">
        <v>2029</v>
      </c>
      <c r="B973" s="156" t="s">
        <v>1878</v>
      </c>
      <c r="C973" s="160">
        <v>611</v>
      </c>
      <c r="D973" s="160">
        <v>757</v>
      </c>
      <c r="E973" s="161">
        <v>0.30208333333333331</v>
      </c>
      <c r="F973" s="161">
        <v>0.31944444444444448</v>
      </c>
      <c r="G973" s="160" t="s">
        <v>2031</v>
      </c>
      <c r="H973" s="160" t="s">
        <v>103</v>
      </c>
      <c r="I973" s="188">
        <v>13.5</v>
      </c>
      <c r="J973" s="164" t="s">
        <v>165</v>
      </c>
      <c r="K973" s="165">
        <v>174</v>
      </c>
      <c r="L973" s="166">
        <f t="shared" si="321"/>
        <v>2349</v>
      </c>
      <c r="M973" s="308" t="s">
        <v>2088</v>
      </c>
      <c r="N973" s="352" t="s">
        <v>2139</v>
      </c>
      <c r="O973" s="352">
        <v>57</v>
      </c>
      <c r="P973" s="150" t="s">
        <v>2140</v>
      </c>
      <c r="Q973" s="40">
        <v>57</v>
      </c>
      <c r="R973" s="38" t="s">
        <v>2028</v>
      </c>
      <c r="S973" s="38">
        <v>57</v>
      </c>
      <c r="T973" s="41">
        <v>6136</v>
      </c>
      <c r="U973" s="41" t="s">
        <v>2032</v>
      </c>
      <c r="V973" s="45">
        <v>6120</v>
      </c>
      <c r="W973" s="45" t="s">
        <v>1341</v>
      </c>
      <c r="X973" s="98">
        <v>44867</v>
      </c>
      <c r="Y973" s="98">
        <v>45086</v>
      </c>
      <c r="Z973" s="98"/>
      <c r="AA973" s="98"/>
      <c r="AB973" s="41" t="s">
        <v>1114</v>
      </c>
      <c r="AC973" s="41"/>
      <c r="AD973" s="42"/>
      <c r="AE973" s="42"/>
      <c r="AF973" s="42"/>
      <c r="AG973" s="42" t="s">
        <v>734</v>
      </c>
      <c r="AH973" s="42" t="s">
        <v>734</v>
      </c>
      <c r="AI973" s="42" t="s">
        <v>734</v>
      </c>
      <c r="AJ973" s="42" t="s">
        <v>734</v>
      </c>
      <c r="AK973" s="42" t="s">
        <v>734</v>
      </c>
      <c r="AL973" s="42" t="s">
        <v>734</v>
      </c>
      <c r="AM973" s="42"/>
      <c r="AN973" s="42"/>
      <c r="AO973" s="42"/>
      <c r="AP973" s="42"/>
      <c r="AQ973" s="42"/>
      <c r="AR973" s="42"/>
      <c r="AS973" s="42"/>
      <c r="AT973" s="42"/>
      <c r="AU973" s="42"/>
      <c r="AV973" s="42"/>
      <c r="AW973" s="42"/>
      <c r="AX973" s="67">
        <v>153.79</v>
      </c>
      <c r="AY973" s="37"/>
      <c r="BA973" s="67"/>
      <c r="BB973" s="67"/>
      <c r="BD973" s="67">
        <f t="shared" ref="BD973" si="348">AX973*K973</f>
        <v>26759.46</v>
      </c>
      <c r="BE973" s="67"/>
      <c r="BF973" s="37"/>
      <c r="BG973" s="37">
        <v>2</v>
      </c>
      <c r="BH973" s="67">
        <f>IF(AND((AX973/I973)&lt;2,BG973=1),(I973*2)-AX973,0)</f>
        <v>0</v>
      </c>
      <c r="BI973" s="67">
        <f>IF(AND((AX973/I973)&lt;3,BG973=2),(I973*3)-AX973,0)</f>
        <v>0</v>
      </c>
      <c r="BJ973" s="70">
        <f>(BH973+BI973)*K973</f>
        <v>0</v>
      </c>
      <c r="BN973" s="67">
        <f>IF((AX973+AY973+AZ973)&lt;20,(20-(AX973+AY973+AZ973)),0)</f>
        <v>0</v>
      </c>
      <c r="BO973" s="70">
        <f t="shared" ref="BO973" si="349">BN973*K973</f>
        <v>0</v>
      </c>
      <c r="BR973" s="37">
        <v>21</v>
      </c>
      <c r="BS973" s="37">
        <v>15</v>
      </c>
      <c r="BT973" s="87">
        <f>SUM(AX973:AZ973)+SUM(BH973:BI973)+SUM(BK973:BL973)+BN973</f>
        <v>153.79</v>
      </c>
      <c r="BU973" s="87"/>
      <c r="BV973" s="87"/>
      <c r="BW973" s="87"/>
      <c r="BX973" s="87"/>
      <c r="BY973" s="87"/>
      <c r="BZ973" s="87"/>
      <c r="CA973" s="87"/>
      <c r="CB973" s="87"/>
      <c r="CC973" s="87"/>
      <c r="CD973" s="87"/>
      <c r="CF973" s="67">
        <f t="shared" si="336"/>
        <v>0</v>
      </c>
      <c r="CG973" s="67">
        <f t="shared" si="339"/>
        <v>0</v>
      </c>
      <c r="CH973" s="67">
        <f t="shared" si="322"/>
        <v>3229.5899999999997</v>
      </c>
      <c r="CI973" s="67">
        <f t="shared" si="345"/>
        <v>2306.85</v>
      </c>
      <c r="CJ973" s="37">
        <f t="shared" si="341"/>
        <v>0</v>
      </c>
      <c r="CK973" s="37">
        <f t="shared" si="342"/>
        <v>0</v>
      </c>
      <c r="CL973" s="37">
        <f t="shared" si="343"/>
        <v>283.5</v>
      </c>
      <c r="CM973" s="37">
        <f t="shared" si="344"/>
        <v>202.5</v>
      </c>
    </row>
    <row r="974" spans="1:91" ht="25.5">
      <c r="A974" s="3" t="s">
        <v>2122</v>
      </c>
      <c r="B974" s="156" t="s">
        <v>1878</v>
      </c>
      <c r="C974" s="160">
        <v>332</v>
      </c>
      <c r="D974" s="160">
        <v>223</v>
      </c>
      <c r="E974" s="161">
        <v>0.32777777777777778</v>
      </c>
      <c r="F974" s="161">
        <v>0.36874999999999997</v>
      </c>
      <c r="G974" s="160" t="s">
        <v>2135</v>
      </c>
      <c r="H974" s="160" t="s">
        <v>103</v>
      </c>
      <c r="I974" s="188">
        <v>27</v>
      </c>
      <c r="J974" s="164">
        <v>50</v>
      </c>
      <c r="K974" s="165">
        <v>40</v>
      </c>
      <c r="L974" s="166">
        <f t="shared" si="321"/>
        <v>1080</v>
      </c>
      <c r="M974" s="167" t="s">
        <v>743</v>
      </c>
      <c r="N974" s="350" t="s">
        <v>949</v>
      </c>
      <c r="O974" s="350">
        <v>55</v>
      </c>
      <c r="P974" s="350" t="s">
        <v>1245</v>
      </c>
      <c r="Q974" s="350">
        <v>54</v>
      </c>
      <c r="R974" s="350" t="s">
        <v>952</v>
      </c>
      <c r="S974" s="350">
        <v>57</v>
      </c>
      <c r="T974" s="41">
        <v>3520</v>
      </c>
      <c r="U974" s="41" t="s">
        <v>2132</v>
      </c>
      <c r="V974" s="45" t="s">
        <v>2133</v>
      </c>
      <c r="W974" s="45" t="s">
        <v>2134</v>
      </c>
      <c r="X974" s="98">
        <v>44945</v>
      </c>
      <c r="Y974" s="351">
        <v>45004</v>
      </c>
      <c r="Z974" s="98"/>
      <c r="AA974" s="98"/>
      <c r="AB974" s="41" t="s">
        <v>1114</v>
      </c>
      <c r="AC974" s="41"/>
      <c r="AD974" s="42"/>
      <c r="AE974" s="42"/>
      <c r="AF974" s="42"/>
      <c r="AG974" s="42" t="s">
        <v>734</v>
      </c>
      <c r="AH974" s="42" t="s">
        <v>734</v>
      </c>
      <c r="AI974" s="42" t="s">
        <v>734</v>
      </c>
      <c r="AJ974" s="42" t="s">
        <v>734</v>
      </c>
      <c r="AK974" s="42" t="s">
        <v>734</v>
      </c>
      <c r="AL974" s="42" t="s">
        <v>734</v>
      </c>
      <c r="AM974" s="42"/>
      <c r="AN974" s="42"/>
      <c r="AO974" s="42"/>
      <c r="AP974" s="42"/>
      <c r="AQ974" s="42"/>
      <c r="AR974" s="42"/>
      <c r="AS974" s="42"/>
      <c r="AT974" s="42"/>
      <c r="AU974" s="42"/>
      <c r="AV974" s="42"/>
      <c r="AW974" s="42"/>
      <c r="AY974" s="37"/>
      <c r="AZ974" s="67">
        <f t="shared" ref="AZ974:AZ976" si="350">3*I974</f>
        <v>81</v>
      </c>
      <c r="BA974" s="67"/>
      <c r="BB974" s="67"/>
      <c r="BD974" s="67"/>
      <c r="BE974" s="67"/>
      <c r="BF974" s="37"/>
      <c r="BH974" s="67"/>
      <c r="BI974" s="67"/>
      <c r="BJ974" s="70"/>
      <c r="BO974" s="70"/>
      <c r="BT974" s="87"/>
      <c r="BU974" s="87"/>
      <c r="BV974" s="87"/>
      <c r="BW974" s="87"/>
      <c r="BX974" s="87"/>
      <c r="BY974" s="87"/>
      <c r="BZ974" s="87"/>
      <c r="CA974" s="87"/>
      <c r="CB974" s="87"/>
      <c r="CC974" s="87"/>
      <c r="CD974" s="87"/>
      <c r="CF974" s="67"/>
      <c r="CG974" s="67"/>
      <c r="CH974" s="67"/>
      <c r="CI974" s="67"/>
      <c r="CJ974" s="37">
        <f t="shared" si="341"/>
        <v>0</v>
      </c>
      <c r="CK974" s="37">
        <f t="shared" si="342"/>
        <v>0</v>
      </c>
    </row>
    <row r="975" spans="1:91" ht="25.5">
      <c r="A975" s="3" t="s">
        <v>2122</v>
      </c>
      <c r="B975" s="156" t="s">
        <v>1878</v>
      </c>
      <c r="C975" s="160">
        <v>301</v>
      </c>
      <c r="D975" s="160">
        <v>241</v>
      </c>
      <c r="E975" s="161">
        <v>0.37083333333333335</v>
      </c>
      <c r="F975" s="161">
        <v>0.40416666666666662</v>
      </c>
      <c r="G975" s="160" t="s">
        <v>2138</v>
      </c>
      <c r="H975" s="160" t="s">
        <v>103</v>
      </c>
      <c r="I975" s="188">
        <v>27</v>
      </c>
      <c r="J975" s="164">
        <v>50</v>
      </c>
      <c r="K975" s="165">
        <v>40</v>
      </c>
      <c r="L975" s="166">
        <f t="shared" si="321"/>
        <v>1080</v>
      </c>
      <c r="M975" s="167" t="s">
        <v>743</v>
      </c>
      <c r="N975" s="350" t="s">
        <v>949</v>
      </c>
      <c r="O975" s="350">
        <v>55</v>
      </c>
      <c r="P975" s="350" t="s">
        <v>1245</v>
      </c>
      <c r="Q975" s="350">
        <v>54</v>
      </c>
      <c r="R975" s="350" t="s">
        <v>952</v>
      </c>
      <c r="S975" s="350">
        <v>57</v>
      </c>
      <c r="T975" s="41" t="s">
        <v>2133</v>
      </c>
      <c r="U975" s="41" t="s">
        <v>2134</v>
      </c>
      <c r="V975" s="45">
        <v>1</v>
      </c>
      <c r="W975" s="45" t="s">
        <v>1430</v>
      </c>
      <c r="X975" s="98">
        <v>44945</v>
      </c>
      <c r="Y975" s="351">
        <v>45004</v>
      </c>
      <c r="Z975" s="98"/>
      <c r="AA975" s="98"/>
      <c r="AB975" s="41" t="s">
        <v>1114</v>
      </c>
      <c r="AC975" s="41"/>
      <c r="AD975" s="42"/>
      <c r="AE975" s="42"/>
      <c r="AF975" s="42"/>
      <c r="AG975" s="42" t="s">
        <v>734</v>
      </c>
      <c r="AH975" s="42" t="s">
        <v>734</v>
      </c>
      <c r="AI975" s="42" t="s">
        <v>734</v>
      </c>
      <c r="AJ975" s="42" t="s">
        <v>734</v>
      </c>
      <c r="AK975" s="42" t="s">
        <v>734</v>
      </c>
      <c r="AL975" s="42" t="s">
        <v>734</v>
      </c>
      <c r="AM975" s="42"/>
      <c r="AN975" s="42"/>
      <c r="AO975" s="42"/>
      <c r="AP975" s="42"/>
      <c r="AQ975" s="42"/>
      <c r="AR975" s="42"/>
      <c r="AS975" s="42"/>
      <c r="AT975" s="42"/>
      <c r="AU975" s="42"/>
      <c r="AV975" s="42"/>
      <c r="AW975" s="42"/>
      <c r="AY975" s="37"/>
      <c r="AZ975" s="67">
        <f>3*I975</f>
        <v>81</v>
      </c>
      <c r="BA975" s="67"/>
      <c r="BB975" s="67"/>
      <c r="BD975" s="67"/>
      <c r="BE975" s="67"/>
      <c r="BF975" s="37"/>
      <c r="BH975" s="67"/>
      <c r="BI975" s="67"/>
      <c r="BJ975" s="70"/>
      <c r="BO975" s="70"/>
      <c r="BT975" s="87"/>
      <c r="BU975" s="87"/>
      <c r="BV975" s="87"/>
      <c r="BW975" s="87"/>
      <c r="BX975" s="87"/>
      <c r="BY975" s="87"/>
      <c r="BZ975" s="87"/>
      <c r="CA975" s="87"/>
      <c r="CB975" s="87"/>
      <c r="CC975" s="87"/>
      <c r="CD975" s="87"/>
      <c r="CF975" s="67"/>
      <c r="CG975" s="67"/>
      <c r="CH975" s="67"/>
      <c r="CI975" s="67"/>
    </row>
    <row r="976" spans="1:91" ht="25.5">
      <c r="A976" s="3" t="s">
        <v>2122</v>
      </c>
      <c r="B976" s="156" t="s">
        <v>1878</v>
      </c>
      <c r="C976" s="160">
        <v>205</v>
      </c>
      <c r="D976" s="160">
        <v>188</v>
      </c>
      <c r="E976" s="161">
        <v>0.42708333333333331</v>
      </c>
      <c r="F976" s="161">
        <v>0.48472222222222222</v>
      </c>
      <c r="G976" s="160" t="s">
        <v>2136</v>
      </c>
      <c r="H976" s="160" t="s">
        <v>103</v>
      </c>
      <c r="I976" s="188">
        <v>43</v>
      </c>
      <c r="J976" s="164">
        <v>50</v>
      </c>
      <c r="K976" s="165">
        <v>40</v>
      </c>
      <c r="L976" s="166">
        <f t="shared" si="321"/>
        <v>1720</v>
      </c>
      <c r="M976" s="167" t="s">
        <v>743</v>
      </c>
      <c r="N976" s="350" t="s">
        <v>949</v>
      </c>
      <c r="O976" s="350">
        <v>55</v>
      </c>
      <c r="P976" s="350" t="s">
        <v>1245</v>
      </c>
      <c r="Q976" s="350">
        <v>54</v>
      </c>
      <c r="R976" s="350" t="s">
        <v>952</v>
      </c>
      <c r="S976" s="350">
        <v>57</v>
      </c>
      <c r="T976" s="41">
        <v>1</v>
      </c>
      <c r="U976" s="41" t="s">
        <v>1430</v>
      </c>
      <c r="V976" s="45">
        <v>960</v>
      </c>
      <c r="W976" s="45" t="s">
        <v>2137</v>
      </c>
      <c r="X976" s="98">
        <v>44945</v>
      </c>
      <c r="Y976" s="351">
        <v>45004</v>
      </c>
      <c r="Z976" s="98"/>
      <c r="AA976" s="98"/>
      <c r="AB976" s="41" t="s">
        <v>1114</v>
      </c>
      <c r="AC976" s="41"/>
      <c r="AD976" s="42"/>
      <c r="AE976" s="42"/>
      <c r="AF976" s="42"/>
      <c r="AG976" s="42" t="s">
        <v>734</v>
      </c>
      <c r="AH976" s="42" t="s">
        <v>734</v>
      </c>
      <c r="AI976" s="42" t="s">
        <v>734</v>
      </c>
      <c r="AJ976" s="42" t="s">
        <v>734</v>
      </c>
      <c r="AK976" s="42" t="s">
        <v>734</v>
      </c>
      <c r="AL976" s="42" t="s">
        <v>734</v>
      </c>
      <c r="AM976" s="42"/>
      <c r="AN976" s="42"/>
      <c r="AO976" s="42"/>
      <c r="AP976" s="42"/>
      <c r="AQ976" s="42"/>
      <c r="AR976" s="42"/>
      <c r="AS976" s="42"/>
      <c r="AT976" s="42"/>
      <c r="AU976" s="42"/>
      <c r="AV976" s="42"/>
      <c r="AW976" s="42"/>
      <c r="AY976" s="37"/>
      <c r="AZ976" s="67">
        <f t="shared" si="350"/>
        <v>129</v>
      </c>
      <c r="BA976" s="67"/>
      <c r="BB976" s="67"/>
      <c r="BD976" s="67"/>
      <c r="BE976" s="67"/>
      <c r="BF976" s="37"/>
      <c r="BH976" s="67"/>
      <c r="BI976" s="67"/>
      <c r="BJ976" s="70"/>
      <c r="BO976" s="70"/>
      <c r="BT976" s="87"/>
      <c r="BU976" s="87"/>
      <c r="BV976" s="87"/>
      <c r="BW976" s="87"/>
      <c r="BX976" s="87"/>
      <c r="BY976" s="87"/>
      <c r="BZ976" s="87"/>
      <c r="CA976" s="87"/>
      <c r="CB976" s="87"/>
      <c r="CC976" s="87"/>
      <c r="CD976" s="87"/>
      <c r="CF976" s="67"/>
      <c r="CG976" s="67"/>
      <c r="CH976" s="67"/>
      <c r="CI976" s="67"/>
    </row>
    <row r="977" spans="1:93" ht="25.5">
      <c r="A977" s="282" t="s">
        <v>2040</v>
      </c>
      <c r="B977" s="283" t="s">
        <v>2034</v>
      </c>
      <c r="C977" s="284">
        <v>102</v>
      </c>
      <c r="D977" s="284">
        <v>131</v>
      </c>
      <c r="E977" s="286">
        <v>0.28541666666666665</v>
      </c>
      <c r="F977" s="286">
        <v>0.3125</v>
      </c>
      <c r="G977" s="284" t="s">
        <v>2030</v>
      </c>
      <c r="H977" s="284" t="s">
        <v>103</v>
      </c>
      <c r="I977" s="287">
        <v>-21</v>
      </c>
      <c r="J977" s="288">
        <v>55</v>
      </c>
      <c r="K977" s="289">
        <f>174-35</f>
        <v>139</v>
      </c>
      <c r="L977" s="290">
        <f t="shared" si="321"/>
        <v>-2919</v>
      </c>
      <c r="M977" s="291" t="s">
        <v>2125</v>
      </c>
      <c r="N977" s="312"/>
      <c r="O977" s="313"/>
      <c r="P977" s="312"/>
      <c r="Q977" s="312"/>
      <c r="R977" s="292"/>
      <c r="S977" s="293"/>
      <c r="T977" s="294"/>
      <c r="U977" s="294"/>
      <c r="V977" s="294"/>
      <c r="W977" s="294"/>
      <c r="X977" s="295">
        <v>44867</v>
      </c>
      <c r="Y977" s="295">
        <v>45086</v>
      </c>
      <c r="Z977" s="298"/>
      <c r="AA977" s="298"/>
      <c r="AB977" s="294" t="s">
        <v>1114</v>
      </c>
      <c r="AC977" s="294"/>
      <c r="AD977" s="296"/>
      <c r="AE977" s="296"/>
      <c r="AF977" s="296"/>
      <c r="AG977" s="296"/>
      <c r="AH977" s="296"/>
      <c r="AI977" s="296"/>
      <c r="AJ977" s="296"/>
      <c r="AK977" s="296"/>
      <c r="AL977" s="296"/>
      <c r="AM977" s="296"/>
      <c r="AN977" s="298"/>
      <c r="AO977" s="298"/>
      <c r="AP977" s="298"/>
      <c r="AQ977" s="298"/>
      <c r="AR977" s="298"/>
      <c r="AS977" s="298"/>
      <c r="AT977" s="298"/>
      <c r="AU977" s="298"/>
      <c r="AV977" s="298"/>
      <c r="AW977" s="298"/>
      <c r="AX977" s="297"/>
      <c r="AY977" s="297"/>
      <c r="AZ977" s="297"/>
      <c r="BA977" s="298"/>
      <c r="BB977" s="298"/>
      <c r="BC977" s="298"/>
      <c r="BD977" s="297"/>
      <c r="BE977" s="297"/>
      <c r="BF977" s="297"/>
      <c r="BG977" s="298"/>
      <c r="BH977" s="297"/>
      <c r="BI977" s="297"/>
      <c r="BJ977" s="299"/>
      <c r="BK977" s="298"/>
      <c r="BL977" s="298"/>
      <c r="BM977" s="298"/>
      <c r="BN977" s="298"/>
      <c r="BO977" s="299"/>
      <c r="BP977" s="298">
        <v>0</v>
      </c>
      <c r="BQ977" s="298">
        <v>0</v>
      </c>
      <c r="BR977" s="298">
        <v>21</v>
      </c>
      <c r="BS977" s="298">
        <v>15</v>
      </c>
      <c r="BT977" s="300"/>
      <c r="BU977" s="300"/>
      <c r="BV977" s="300"/>
      <c r="BW977" s="300"/>
      <c r="BX977" s="300"/>
      <c r="BY977" s="300"/>
      <c r="BZ977" s="300"/>
      <c r="CA977" s="300"/>
      <c r="CB977" s="300"/>
      <c r="CC977" s="300"/>
      <c r="CD977" s="300"/>
      <c r="CE977" s="298"/>
      <c r="CF977" s="297"/>
      <c r="CG977" s="297"/>
      <c r="CH977" s="298"/>
      <c r="CI977" s="297"/>
      <c r="CJ977" s="298">
        <f t="shared" si="341"/>
        <v>0</v>
      </c>
      <c r="CK977" s="298">
        <f t="shared" si="342"/>
        <v>0</v>
      </c>
      <c r="CL977" s="298">
        <f t="shared" si="343"/>
        <v>-441</v>
      </c>
      <c r="CM977" s="298">
        <f t="shared" si="344"/>
        <v>-315</v>
      </c>
    </row>
    <row r="978" spans="1:93" ht="25.5">
      <c r="A978" s="282" t="s">
        <v>2055</v>
      </c>
      <c r="B978" s="283" t="s">
        <v>2034</v>
      </c>
      <c r="C978" s="284">
        <v>205</v>
      </c>
      <c r="D978" s="285">
        <v>171</v>
      </c>
      <c r="E978" s="286">
        <v>0.66666666666666663</v>
      </c>
      <c r="F978" s="286">
        <v>0.69861111111111107</v>
      </c>
      <c r="G978" s="284" t="s">
        <v>570</v>
      </c>
      <c r="H978" s="284" t="s">
        <v>103</v>
      </c>
      <c r="I978" s="287">
        <v>-23</v>
      </c>
      <c r="J978" s="288" t="s">
        <v>101</v>
      </c>
      <c r="K978" s="289">
        <v>139</v>
      </c>
      <c r="L978" s="290">
        <f t="shared" si="321"/>
        <v>-3197</v>
      </c>
      <c r="M978" s="291" t="s">
        <v>2126</v>
      </c>
      <c r="N978" s="292"/>
      <c r="O978" s="292"/>
      <c r="P978" s="292"/>
      <c r="Q978" s="292"/>
      <c r="R978" s="292"/>
      <c r="S978" s="293"/>
      <c r="T978" s="298"/>
      <c r="U978" s="294"/>
      <c r="V978" s="294"/>
      <c r="W978" s="294"/>
      <c r="X978" s="295">
        <v>44867</v>
      </c>
      <c r="Y978" s="295">
        <v>45086</v>
      </c>
      <c r="Z978" s="298"/>
      <c r="AA978" s="298"/>
      <c r="AB978" s="294" t="s">
        <v>1114</v>
      </c>
      <c r="AC978" s="294"/>
      <c r="AD978" s="296"/>
      <c r="AE978" s="296"/>
      <c r="AF978" s="296"/>
      <c r="AG978" s="296"/>
      <c r="AH978" s="296"/>
      <c r="AI978" s="296"/>
      <c r="AJ978" s="296"/>
      <c r="AK978" s="296"/>
      <c r="AL978" s="296"/>
      <c r="AM978" s="296"/>
      <c r="AN978" s="298"/>
      <c r="AO978" s="298"/>
      <c r="AP978" s="298"/>
      <c r="AQ978" s="298"/>
      <c r="AR978" s="298"/>
      <c r="AS978" s="298"/>
      <c r="AT978" s="298"/>
      <c r="AU978" s="298"/>
      <c r="AV978" s="298"/>
      <c r="AW978" s="298"/>
      <c r="AX978" s="297"/>
      <c r="AY978" s="297"/>
      <c r="AZ978" s="297"/>
      <c r="BA978" s="298"/>
      <c r="BB978" s="298"/>
      <c r="BC978" s="298"/>
      <c r="BD978" s="297"/>
      <c r="BE978" s="297"/>
      <c r="BF978" s="297"/>
      <c r="BG978" s="298"/>
      <c r="BH978" s="297"/>
      <c r="BI978" s="297"/>
      <c r="BJ978" s="299"/>
      <c r="BK978" s="298"/>
      <c r="BL978" s="298"/>
      <c r="BM978" s="298"/>
      <c r="BN978" s="298"/>
      <c r="BO978" s="299"/>
      <c r="BP978" s="298">
        <v>0</v>
      </c>
      <c r="BQ978" s="298">
        <v>0</v>
      </c>
      <c r="BR978" s="298">
        <v>21</v>
      </c>
      <c r="BS978" s="298">
        <v>15</v>
      </c>
      <c r="BT978" s="300"/>
      <c r="BU978" s="300"/>
      <c r="BV978" s="300"/>
      <c r="BW978" s="300"/>
      <c r="BX978" s="300"/>
      <c r="BY978" s="300"/>
      <c r="BZ978" s="300"/>
      <c r="CA978" s="300"/>
      <c r="CB978" s="300"/>
      <c r="CC978" s="300"/>
      <c r="CD978" s="300"/>
      <c r="CE978" s="298"/>
      <c r="CF978" s="297"/>
      <c r="CG978" s="297"/>
      <c r="CH978" s="298"/>
      <c r="CI978" s="297"/>
      <c r="CJ978" s="298">
        <f t="shared" si="341"/>
        <v>0</v>
      </c>
      <c r="CK978" s="298">
        <f t="shared" si="342"/>
        <v>0</v>
      </c>
      <c r="CL978" s="298">
        <f t="shared" si="343"/>
        <v>-483</v>
      </c>
      <c r="CM978" s="298">
        <f t="shared" si="344"/>
        <v>-345</v>
      </c>
    </row>
    <row r="979" spans="1:93" ht="25.5">
      <c r="A979" s="282" t="s">
        <v>2041</v>
      </c>
      <c r="B979" s="283" t="s">
        <v>2034</v>
      </c>
      <c r="C979" s="301">
        <v>334</v>
      </c>
      <c r="D979" s="301">
        <v>401</v>
      </c>
      <c r="E979" s="302">
        <v>0.6875</v>
      </c>
      <c r="F979" s="302">
        <v>0.69861111111111107</v>
      </c>
      <c r="G979" s="303" t="s">
        <v>2044</v>
      </c>
      <c r="H979" s="284" t="s">
        <v>242</v>
      </c>
      <c r="I979" s="301">
        <v>-10</v>
      </c>
      <c r="J979" s="304">
        <v>19</v>
      </c>
      <c r="K979" s="289">
        <f>34-7</f>
        <v>27</v>
      </c>
      <c r="L979" s="290">
        <f t="shared" si="321"/>
        <v>-270</v>
      </c>
      <c r="M979" s="291" t="s">
        <v>2127</v>
      </c>
      <c r="N979" s="292"/>
      <c r="O979" s="292"/>
      <c r="P979" s="292"/>
      <c r="Q979" s="292"/>
      <c r="R979" s="292"/>
      <c r="S979" s="293"/>
      <c r="T979" s="294"/>
      <c r="U979" s="294"/>
      <c r="V979" s="294"/>
      <c r="W979" s="294"/>
      <c r="X979" s="295">
        <v>44870</v>
      </c>
      <c r="Y979" s="295">
        <v>45086</v>
      </c>
      <c r="Z979" s="298"/>
      <c r="AA979" s="298"/>
      <c r="AB979" s="296" t="s">
        <v>1123</v>
      </c>
      <c r="AC979" s="294"/>
      <c r="AD979" s="296"/>
      <c r="AE979" s="296"/>
      <c r="AF979" s="296"/>
      <c r="AG979" s="296"/>
      <c r="AH979" s="296"/>
      <c r="AI979" s="296"/>
      <c r="AJ979" s="296"/>
      <c r="AK979" s="296"/>
      <c r="AL979" s="296"/>
      <c r="AM979" s="296"/>
      <c r="AN979" s="298"/>
      <c r="AO979" s="298"/>
      <c r="AP979" s="298"/>
      <c r="AQ979" s="298"/>
      <c r="AR979" s="298"/>
      <c r="AS979" s="298"/>
      <c r="AT979" s="298"/>
      <c r="AU979" s="298"/>
      <c r="AV979" s="298"/>
      <c r="AW979" s="298"/>
      <c r="AX979" s="297"/>
      <c r="AY979" s="297"/>
      <c r="AZ979" s="297"/>
      <c r="BA979" s="298"/>
      <c r="BB979" s="298"/>
      <c r="BC979" s="298"/>
      <c r="BD979" s="297"/>
      <c r="BE979" s="297"/>
      <c r="BF979" s="297"/>
      <c r="BG979" s="298"/>
      <c r="BH979" s="297"/>
      <c r="BI979" s="297"/>
      <c r="BJ979" s="299"/>
      <c r="BK979" s="298"/>
      <c r="BL979" s="298"/>
      <c r="BM979" s="298"/>
      <c r="BN979" s="298"/>
      <c r="BO979" s="299"/>
      <c r="BP979" s="298">
        <v>0</v>
      </c>
      <c r="BQ979" s="298">
        <v>0</v>
      </c>
      <c r="BR979" s="298">
        <v>4</v>
      </c>
      <c r="BS979" s="298">
        <v>3</v>
      </c>
      <c r="BT979" s="300"/>
      <c r="BU979" s="300"/>
      <c r="BV979" s="300"/>
      <c r="BW979" s="300"/>
      <c r="BX979" s="300"/>
      <c r="BY979" s="300"/>
      <c r="BZ979" s="300"/>
      <c r="CA979" s="300"/>
      <c r="CB979" s="300"/>
      <c r="CC979" s="300"/>
      <c r="CD979" s="300"/>
      <c r="CE979" s="298"/>
      <c r="CF979" s="297"/>
      <c r="CG979" s="297"/>
      <c r="CH979" s="298"/>
      <c r="CI979" s="297"/>
      <c r="CJ979" s="298">
        <f t="shared" si="341"/>
        <v>0</v>
      </c>
      <c r="CK979" s="298">
        <f t="shared" si="342"/>
        <v>0</v>
      </c>
      <c r="CL979" s="298">
        <f t="shared" si="343"/>
        <v>-40</v>
      </c>
      <c r="CM979" s="298">
        <f t="shared" si="344"/>
        <v>-30</v>
      </c>
    </row>
    <row r="980" spans="1:93" ht="25.5">
      <c r="A980" s="282" t="s">
        <v>2035</v>
      </c>
      <c r="B980" s="283" t="s">
        <v>2034</v>
      </c>
      <c r="C980" s="284">
        <v>214</v>
      </c>
      <c r="D980" s="288">
        <v>582</v>
      </c>
      <c r="E980" s="286">
        <v>0.28472222222222221</v>
      </c>
      <c r="F980" s="286">
        <v>0.31805555555555554</v>
      </c>
      <c r="G980" s="284" t="s">
        <v>692</v>
      </c>
      <c r="H980" s="284" t="s">
        <v>102</v>
      </c>
      <c r="I980" s="287">
        <v>-24</v>
      </c>
      <c r="J980" s="288" t="s">
        <v>101</v>
      </c>
      <c r="K980" s="289">
        <f>33-7</f>
        <v>26</v>
      </c>
      <c r="L980" s="290">
        <f t="shared" si="321"/>
        <v>-624</v>
      </c>
      <c r="M980" s="291" t="s">
        <v>2126</v>
      </c>
      <c r="N980" s="292"/>
      <c r="O980" s="292"/>
      <c r="P980" s="292"/>
      <c r="Q980" s="292"/>
      <c r="R980" s="292"/>
      <c r="S980" s="293"/>
      <c r="T980" s="298"/>
      <c r="U980" s="294"/>
      <c r="V980" s="294"/>
      <c r="W980" s="294"/>
      <c r="X980" s="295">
        <v>44879</v>
      </c>
      <c r="Y980" s="295">
        <v>45086</v>
      </c>
      <c r="Z980" s="298"/>
      <c r="AA980" s="298"/>
      <c r="AB980" s="294" t="s">
        <v>1132</v>
      </c>
      <c r="AC980" s="294"/>
      <c r="AD980" s="296"/>
      <c r="AE980" s="296"/>
      <c r="AF980" s="296"/>
      <c r="AG980" s="296"/>
      <c r="AH980" s="296"/>
      <c r="AI980" s="296"/>
      <c r="AJ980" s="296"/>
      <c r="AK980" s="296"/>
      <c r="AL980" s="296"/>
      <c r="AM980" s="296"/>
      <c r="AN980" s="298"/>
      <c r="AO980" s="298"/>
      <c r="AP980" s="298"/>
      <c r="AQ980" s="298"/>
      <c r="AR980" s="298"/>
      <c r="AS980" s="298"/>
      <c r="AT980" s="298"/>
      <c r="AU980" s="298"/>
      <c r="AV980" s="298"/>
      <c r="AW980" s="298"/>
      <c r="AX980" s="297"/>
      <c r="AY980" s="297"/>
      <c r="AZ980" s="297"/>
      <c r="BA980" s="298"/>
      <c r="BB980" s="298"/>
      <c r="BC980" s="298"/>
      <c r="BD980" s="297"/>
      <c r="BE980" s="297"/>
      <c r="BF980" s="297"/>
      <c r="BG980" s="298"/>
      <c r="BH980" s="297"/>
      <c r="BI980" s="297"/>
      <c r="BJ980" s="299"/>
      <c r="BK980" s="298"/>
      <c r="BL980" s="298"/>
      <c r="BM980" s="298"/>
      <c r="BN980" s="298"/>
      <c r="BO980" s="299"/>
      <c r="BP980" s="298">
        <v>0</v>
      </c>
      <c r="BQ980" s="298">
        <v>0</v>
      </c>
      <c r="BR980" s="298">
        <v>3</v>
      </c>
      <c r="BS980" s="298">
        <v>3</v>
      </c>
      <c r="BT980" s="300"/>
      <c r="BU980" s="300"/>
      <c r="BV980" s="300"/>
      <c r="BW980" s="300"/>
      <c r="BX980" s="300"/>
      <c r="BY980" s="300"/>
      <c r="BZ980" s="300"/>
      <c r="CA980" s="300"/>
      <c r="CB980" s="300"/>
      <c r="CC980" s="300"/>
      <c r="CD980" s="300"/>
      <c r="CE980" s="298"/>
      <c r="CF980" s="297"/>
      <c r="CG980" s="297"/>
      <c r="CH980" s="298"/>
      <c r="CI980" s="297"/>
      <c r="CJ980" s="298">
        <f t="shared" si="341"/>
        <v>0</v>
      </c>
      <c r="CK980" s="298">
        <f t="shared" si="342"/>
        <v>0</v>
      </c>
      <c r="CL980" s="298">
        <f t="shared" si="343"/>
        <v>-72</v>
      </c>
      <c r="CM980" s="298">
        <f t="shared" si="344"/>
        <v>-72</v>
      </c>
    </row>
    <row r="981" spans="1:93" ht="27" customHeight="1">
      <c r="A981" s="282" t="s">
        <v>2036</v>
      </c>
      <c r="B981" s="283" t="s">
        <v>2034</v>
      </c>
      <c r="C981" s="284">
        <v>205</v>
      </c>
      <c r="D981" s="285">
        <v>366</v>
      </c>
      <c r="E981" s="286">
        <v>0.70277777777777783</v>
      </c>
      <c r="F981" s="286">
        <v>0.71458333333333324</v>
      </c>
      <c r="G981" s="284" t="s">
        <v>496</v>
      </c>
      <c r="H981" s="284" t="s">
        <v>2003</v>
      </c>
      <c r="I981" s="287">
        <v>-9</v>
      </c>
      <c r="J981" s="288" t="s">
        <v>93</v>
      </c>
      <c r="K981" s="289">
        <f>(240-43)</f>
        <v>197</v>
      </c>
      <c r="L981" s="290">
        <f t="shared" si="321"/>
        <v>-1773</v>
      </c>
      <c r="M981" s="291" t="s">
        <v>2126</v>
      </c>
      <c r="N981" s="292"/>
      <c r="O981" s="292"/>
      <c r="P981" s="292"/>
      <c r="Q981" s="292"/>
      <c r="R981" s="292"/>
      <c r="S981" s="292"/>
      <c r="T981" s="294"/>
      <c r="U981" s="294"/>
      <c r="V981" s="294"/>
      <c r="W981" s="294"/>
      <c r="X981" s="305">
        <v>44895</v>
      </c>
      <c r="Y981" s="295">
        <v>45086</v>
      </c>
      <c r="Z981" s="305"/>
      <c r="AA981" s="305"/>
      <c r="AB981" s="294" t="s">
        <v>1118</v>
      </c>
      <c r="AC981" s="294"/>
      <c r="AD981" s="296"/>
      <c r="AE981" s="296"/>
      <c r="AF981" s="296"/>
      <c r="AG981" s="296"/>
      <c r="AH981" s="296"/>
      <c r="AI981" s="296"/>
      <c r="AJ981" s="296"/>
      <c r="AK981" s="296"/>
      <c r="AL981" s="296"/>
      <c r="AM981" s="296"/>
      <c r="AN981" s="296"/>
      <c r="AO981" s="296"/>
      <c r="AP981" s="296"/>
      <c r="AQ981" s="296"/>
      <c r="AR981" s="296"/>
      <c r="AS981" s="296"/>
      <c r="AT981" s="296"/>
      <c r="AU981" s="296"/>
      <c r="AV981" s="296"/>
      <c r="AW981" s="296"/>
      <c r="AX981" s="297"/>
      <c r="AY981" s="298"/>
      <c r="AZ981" s="298"/>
      <c r="BA981" s="297"/>
      <c r="BB981" s="297"/>
      <c r="BC981" s="298"/>
      <c r="BD981" s="297"/>
      <c r="BE981" s="297"/>
      <c r="BF981" s="298"/>
      <c r="BG981" s="298"/>
      <c r="BH981" s="297"/>
      <c r="BI981" s="297"/>
      <c r="BJ981" s="299"/>
      <c r="BK981" s="298"/>
      <c r="BL981" s="298"/>
      <c r="BM981" s="298"/>
      <c r="BN981" s="298"/>
      <c r="BO981" s="299"/>
      <c r="BP981" s="298">
        <v>0</v>
      </c>
      <c r="BQ981" s="298">
        <v>0</v>
      </c>
      <c r="BR981" s="298">
        <v>0</v>
      </c>
      <c r="BS981" s="298">
        <v>25</v>
      </c>
      <c r="BT981" s="300"/>
      <c r="BU981" s="300"/>
      <c r="BV981" s="300"/>
      <c r="BW981" s="300"/>
      <c r="BX981" s="300"/>
      <c r="BY981" s="300"/>
      <c r="BZ981" s="300"/>
      <c r="CA981" s="300"/>
      <c r="CB981" s="300"/>
      <c r="CC981" s="300"/>
      <c r="CD981" s="300"/>
      <c r="CE981" s="298"/>
      <c r="CF981" s="297"/>
      <c r="CG981" s="297"/>
      <c r="CH981" s="298"/>
      <c r="CI981" s="297"/>
      <c r="CJ981" s="298">
        <f t="shared" si="341"/>
        <v>0</v>
      </c>
      <c r="CK981" s="298">
        <f t="shared" si="342"/>
        <v>0</v>
      </c>
      <c r="CL981" s="298">
        <f t="shared" si="343"/>
        <v>0</v>
      </c>
      <c r="CM981" s="298">
        <f t="shared" si="344"/>
        <v>-225</v>
      </c>
    </row>
    <row r="982" spans="1:93">
      <c r="C982" s="3"/>
      <c r="D982" s="3"/>
      <c r="E982" s="3"/>
      <c r="F982" s="3"/>
      <c r="I982" s="215"/>
      <c r="K982" s="217"/>
      <c r="CJ982" s="306">
        <f>SUM(CJ2:CJ981)</f>
        <v>157008.39999999994</v>
      </c>
      <c r="CK982" s="306">
        <f>SUM(CK2:CK981)</f>
        <v>176246.75</v>
      </c>
      <c r="CL982" s="306">
        <f>SUM(CL2:CL981)</f>
        <v>174390.89999999997</v>
      </c>
      <c r="CM982" s="263">
        <f>SUM(CM2:CM981)</f>
        <v>153489.59999999995</v>
      </c>
    </row>
    <row r="983" spans="1:93">
      <c r="C983" s="3"/>
      <c r="D983" s="3"/>
      <c r="E983" s="3"/>
      <c r="F983" s="3"/>
      <c r="I983" s="215"/>
      <c r="K983" s="217"/>
    </row>
    <row r="984" spans="1:93" ht="45">
      <c r="C984" s="3"/>
      <c r="D984" s="3"/>
      <c r="E984" s="3"/>
      <c r="F984" s="3"/>
      <c r="I984" s="215"/>
      <c r="K984" s="217"/>
      <c r="CM984" s="37">
        <f>175.7-180.8</f>
        <v>-5.1000000000000227</v>
      </c>
      <c r="CN984" s="37" t="s">
        <v>2083</v>
      </c>
    </row>
    <row r="985" spans="1:93">
      <c r="C985" s="3"/>
      <c r="D985" s="3"/>
      <c r="E985" s="3"/>
      <c r="F985" s="3"/>
      <c r="I985" s="215"/>
      <c r="K985" s="217"/>
      <c r="BE985" s="67"/>
    </row>
    <row r="986" spans="1:93">
      <c r="C986" s="3"/>
      <c r="D986" s="3"/>
      <c r="E986" s="3"/>
      <c r="F986" s="3"/>
      <c r="I986" s="215"/>
      <c r="K986" s="217"/>
      <c r="CM986" s="307">
        <f>SUM(CM982:CM985)</f>
        <v>153484.49999999994</v>
      </c>
      <c r="CO986" s="339">
        <f>CJ982+CK982+CL982+CM986</f>
        <v>661130.54999999981</v>
      </c>
    </row>
    <row r="987" spans="1:93">
      <c r="C987" s="3"/>
      <c r="D987" s="3"/>
      <c r="E987" s="3"/>
      <c r="F987" s="3"/>
      <c r="I987" s="215"/>
      <c r="K987" s="217"/>
      <c r="BD987" s="87"/>
      <c r="BE987" s="87"/>
    </row>
    <row r="988" spans="1:93">
      <c r="C988" s="3"/>
      <c r="D988" s="3"/>
      <c r="E988" s="3"/>
      <c r="F988" s="3"/>
      <c r="I988" s="215"/>
      <c r="K988" s="217"/>
      <c r="BD988" s="272"/>
      <c r="BE988" s="87"/>
    </row>
    <row r="989" spans="1:93">
      <c r="C989" s="3"/>
      <c r="D989" s="3"/>
      <c r="E989" s="3"/>
      <c r="F989" s="3"/>
      <c r="I989" s="215"/>
      <c r="K989" s="217"/>
      <c r="BD989" s="272"/>
      <c r="BE989" s="87"/>
      <c r="CJ989" s="263">
        <f>SUM(CJ945:CJ981)</f>
        <v>552.70000000000005</v>
      </c>
      <c r="CK989" s="263">
        <f t="shared" ref="CK989:CM989" si="351">SUM(CK945:CK981)</f>
        <v>1353.6</v>
      </c>
      <c r="CL989" s="263">
        <f t="shared" si="351"/>
        <v>1511.6000000000004</v>
      </c>
      <c r="CM989" s="263">
        <f t="shared" si="351"/>
        <v>1618.9</v>
      </c>
      <c r="CN989" s="263">
        <f>SUM(CJ989:CM989)</f>
        <v>5036.8000000000011</v>
      </c>
    </row>
    <row r="990" spans="1:93">
      <c r="C990" s="3"/>
      <c r="D990" s="3"/>
      <c r="E990" s="3"/>
      <c r="F990" s="3"/>
      <c r="I990" s="215"/>
      <c r="K990" s="217"/>
    </row>
    <row r="991" spans="1:93">
      <c r="C991" s="3"/>
      <c r="D991" s="3"/>
      <c r="E991" s="3"/>
      <c r="F991" s="3"/>
      <c r="I991" s="215"/>
      <c r="K991" s="217"/>
    </row>
    <row r="992" spans="1:93">
      <c r="C992" s="3"/>
      <c r="D992" s="3"/>
      <c r="E992" s="3"/>
      <c r="F992" s="3"/>
      <c r="I992" s="215"/>
      <c r="K992" s="217"/>
    </row>
    <row r="993" spans="3:11">
      <c r="C993" s="3"/>
      <c r="D993" s="3"/>
      <c r="E993" s="3"/>
      <c r="F993" s="3"/>
      <c r="I993" s="215"/>
      <c r="K993" s="217"/>
    </row>
    <row r="994" spans="3:11">
      <c r="C994" s="3"/>
      <c r="D994" s="3"/>
      <c r="E994" s="3"/>
      <c r="F994" s="3"/>
      <c r="I994" s="215"/>
      <c r="K994" s="217"/>
    </row>
    <row r="995" spans="3:11">
      <c r="C995" s="3"/>
      <c r="D995" s="3"/>
      <c r="E995" s="3"/>
      <c r="F995" s="3"/>
      <c r="I995" s="215"/>
      <c r="K995" s="217"/>
    </row>
    <row r="996" spans="3:11">
      <c r="C996" s="3"/>
      <c r="D996" s="3"/>
      <c r="E996" s="3"/>
      <c r="F996" s="3"/>
      <c r="I996" s="215"/>
      <c r="K996" s="217"/>
    </row>
    <row r="997" spans="3:11">
      <c r="C997" s="3"/>
      <c r="D997" s="3"/>
      <c r="E997" s="3"/>
      <c r="F997" s="3"/>
      <c r="I997" s="215"/>
      <c r="K997" s="217"/>
    </row>
    <row r="998" spans="3:11">
      <c r="C998" s="3"/>
      <c r="D998" s="3"/>
      <c r="E998" s="3"/>
      <c r="F998" s="3"/>
      <c r="I998" s="215"/>
      <c r="K998" s="217"/>
    </row>
    <row r="999" spans="3:11">
      <c r="C999" s="3"/>
      <c r="D999" s="3"/>
      <c r="E999" s="3"/>
      <c r="F999" s="3"/>
      <c r="I999" s="215"/>
      <c r="K999" s="217"/>
    </row>
    <row r="1000" spans="3:11">
      <c r="C1000" s="3"/>
      <c r="D1000" s="3"/>
      <c r="E1000" s="3"/>
      <c r="F1000" s="3"/>
      <c r="I1000" s="215"/>
      <c r="K1000" s="217"/>
    </row>
    <row r="1001" spans="3:11">
      <c r="C1001" s="3"/>
      <c r="D1001" s="3"/>
      <c r="E1001" s="3"/>
      <c r="F1001" s="3"/>
      <c r="I1001" s="215"/>
      <c r="K1001" s="217"/>
    </row>
    <row r="1002" spans="3:11">
      <c r="C1002" s="3"/>
      <c r="D1002" s="3"/>
      <c r="E1002" s="3"/>
      <c r="F1002" s="3"/>
      <c r="I1002" s="215"/>
      <c r="K1002" s="217"/>
    </row>
    <row r="1003" spans="3:11">
      <c r="C1003" s="3"/>
      <c r="D1003" s="3"/>
      <c r="E1003" s="3"/>
      <c r="F1003" s="3"/>
      <c r="I1003" s="215"/>
      <c r="K1003" s="217"/>
    </row>
    <row r="1004" spans="3:11">
      <c r="C1004" s="3"/>
      <c r="D1004" s="3"/>
      <c r="E1004" s="3"/>
      <c r="F1004" s="3"/>
      <c r="I1004" s="215"/>
      <c r="K1004" s="217"/>
    </row>
    <row r="1005" spans="3:11">
      <c r="C1005" s="3"/>
      <c r="D1005" s="3"/>
      <c r="E1005" s="3"/>
      <c r="F1005" s="3"/>
      <c r="I1005" s="215"/>
      <c r="K1005" s="217"/>
    </row>
    <row r="1006" spans="3:11">
      <c r="C1006" s="3"/>
      <c r="D1006" s="3"/>
      <c r="E1006" s="3"/>
      <c r="F1006" s="3"/>
      <c r="I1006" s="215"/>
      <c r="K1006" s="217"/>
    </row>
    <row r="1007" spans="3:11">
      <c r="C1007" s="3"/>
      <c r="D1007" s="3"/>
      <c r="E1007" s="3"/>
      <c r="F1007" s="3"/>
      <c r="I1007" s="215"/>
      <c r="K1007" s="217"/>
    </row>
    <row r="1008" spans="3:11">
      <c r="C1008" s="3"/>
      <c r="D1008" s="3"/>
      <c r="E1008" s="3"/>
      <c r="F1008" s="3"/>
      <c r="I1008" s="215"/>
      <c r="K1008" s="217"/>
    </row>
    <row r="1009" spans="3:11">
      <c r="C1009" s="3"/>
      <c r="D1009" s="3"/>
      <c r="E1009" s="3"/>
      <c r="F1009" s="3"/>
      <c r="I1009" s="215"/>
      <c r="K1009" s="217"/>
    </row>
    <row r="1010" spans="3:11">
      <c r="C1010" s="3"/>
      <c r="D1010" s="3"/>
      <c r="E1010" s="3"/>
      <c r="F1010" s="3"/>
      <c r="I1010" s="215"/>
      <c r="K1010" s="217"/>
    </row>
    <row r="1011" spans="3:11">
      <c r="C1011" s="3"/>
      <c r="D1011" s="3"/>
      <c r="E1011" s="3"/>
      <c r="F1011" s="3"/>
      <c r="I1011" s="215"/>
      <c r="K1011" s="217"/>
    </row>
    <row r="1012" spans="3:11">
      <c r="C1012" s="3"/>
      <c r="D1012" s="3"/>
      <c r="E1012" s="3"/>
      <c r="F1012" s="3"/>
      <c r="I1012" s="215"/>
      <c r="K1012" s="217"/>
    </row>
    <row r="1013" spans="3:11">
      <c r="C1013" s="3"/>
      <c r="D1013" s="3"/>
      <c r="E1013" s="3"/>
      <c r="F1013" s="3"/>
      <c r="I1013" s="215"/>
      <c r="K1013" s="217"/>
    </row>
    <row r="1014" spans="3:11">
      <c r="C1014" s="3"/>
      <c r="D1014" s="3"/>
      <c r="E1014" s="3"/>
      <c r="F1014" s="3"/>
      <c r="I1014" s="215"/>
      <c r="K1014" s="217"/>
    </row>
    <row r="1015" spans="3:11">
      <c r="C1015" s="3"/>
      <c r="D1015" s="3"/>
      <c r="E1015" s="3"/>
      <c r="F1015" s="3"/>
      <c r="I1015" s="215"/>
      <c r="K1015" s="217"/>
    </row>
    <row r="1016" spans="3:11">
      <c r="C1016" s="3"/>
      <c r="D1016" s="3"/>
      <c r="E1016" s="3"/>
      <c r="F1016" s="3"/>
      <c r="I1016" s="215"/>
      <c r="K1016" s="217"/>
    </row>
    <row r="1017" spans="3:11">
      <c r="C1017" s="3"/>
      <c r="D1017" s="3"/>
      <c r="E1017" s="3"/>
      <c r="F1017" s="3"/>
      <c r="I1017" s="215"/>
      <c r="K1017" s="217"/>
    </row>
    <row r="1018" spans="3:11">
      <c r="C1018" s="3"/>
      <c r="D1018" s="3"/>
      <c r="E1018" s="3"/>
      <c r="F1018" s="3"/>
      <c r="I1018" s="215"/>
      <c r="K1018" s="217"/>
    </row>
  </sheetData>
  <autoFilter ref="A1:CM984"/>
  <phoneticPr fontId="21" type="noConversion"/>
  <conditionalFormatting sqref="AB784:AC785">
    <cfRule type="cellIs" dxfId="395" priority="687" operator="equal">
      <formula>#REF!</formula>
    </cfRule>
  </conditionalFormatting>
  <conditionalFormatting sqref="AB895 AC945 A901 A418 A485 A414 A467 A451 A427 AB347:AC347 AB615:AC615 AB677:AC677 AB775:AC775 AB754:AC755 AB433:AC433 AB228:AC229 AB764:AC764 AB908:AC908 AB243:AC243 AB81:AC81 AB620:AC620 AB606:AC607 AB562:AC562 AB957:AC957 AB51:AC51 AB217:AC218 AB629:AC629 AB631:AC631 AB685:AC685 AB744:AC747 AB245:AC246 AB423:AC424 AB707:AC708 AB910:AC910 AB13:AC14 AB376:AC377 AB97:AC98 AB100:AC101 AB103:AC103 AB473:AC473 AB543:AC543 AB547:AC547 AB550:AC550 AB556:AC556 AB575:AC575 AB581:AC581 AB611:AC612 AB312:AC312 AB518:AC527 AB85:AC85 AB87:AC87 AB91:AC91 AB93:AC94 AB125:AC125 AB161:AC162 AB170:AC171 AB176:AC176 AB182:AC183 AB185:AC185 AB187:AC187 AB189:AC189 AB192:AC193 AB196:AC196 AB198:AC198 AB200:AC200 AB202:AC202 AB207:AC207 AB220:AC220 AB223:AC223 AB225:AC225 AB254:AC263 AB265:AC269 AB278:AC279 AB306:AC306 AB323:AC323 AB335:AC335 AB339:AC339 AB357:AC359 AB362:AC362 AB488:AC488 AB540:AC541 AB447:AC447 AB451:AC451 AB458:AC458 AB470:AC470 AB478:AC480 AB499:AC499 AB501:AC501 AB284:AC285 AB298:AC298 AB302:AC302 AB304:AC304 AB463:AC463 AB571:AC571 AB682:AC682 AB859:AC859 AB861:AC861 AB875:AC875 AB877:AC877 AB880:AC880 AB882:AC883 AB281:AC282 AB294:AC295 AB644:AC645 AB328:AC328 AB510:AC510 AB851:AC851 AB512:AC512 AB71:AC74 AB466:AC467 AB482:AC482 AB318:AC319 AB10:AC10 AB122:AC122 AB134:AC134 AB231:AC231 AB384:AC384 AB398:AC398 AB409:AC409 AB412:AC412 AB490:AC491 AB494:AC495 AB855:AC855 AB937:AC937 AB565:AC565 AB504:AC505 AB497:AC497 AB321:AC321 AB287:AC292 AB344:AC344 AB55:AC55 AB2:AC6 AB530:AC531">
    <cfRule type="expression" dxfId="394" priority="688">
      <formula>A2=#REF!</formula>
    </cfRule>
  </conditionalFormatting>
  <conditionalFormatting sqref="AB7:AC7 AB57:AC57 AB155:AC158 AB191:AC191 AB194:AC194 AB215:AC216 AB683:AC683 AB53:AC53 AB59:AC59 AB80:AC80 AB104:AC104 AB112:AC114 AB119:AC121 AB124:AC124 AB126:AC127 AB133:AC133 AB139:AC140 AB143:AC143 AB145:AC146 AB164:AC165 AB180:AC180 AB199:AC199 AB205:AC205 AB209:AC211 AB233:AC233 AB250:AC252 AB316:AC316 AB329:AC329 AB331:AC331 AB338:AC338 AB341:AC342 AB345:AC345 AB364:AC364 AB366:AC366 AB368:AC368 AB370:AC371 AB380:AC380 AB382:AC383 AB385:AC386 AB391:AC391 AB394:AC396 AB400:AC400 AB408:AC408 AB411:AC411 AB414:AC415 AB418:AC418 AB436:AC436 AB459:AC459 AB474:AC474 AB485:AC486 AB489:AC489 AB502:AC503 AB511:AC511 AB528:AC529 AB551:AC552 AB567:AC570 AB592:AC593 AB597:AC597 AB602:AC603 AB605:AC605 AB608:AC608 AB616:AC616 AB618:AC618 AB628:AC628 AB655:AC655 AB657:AC657 AB659:AC660 AB662:AC662 AB687:AC688 AB691:AC691 AB697:AC698 AB713:AC716 AB722:AC722 AB734:AC736 AB738:AC738 AB742:AC743 AB749:AC750 AB752:AC752 AB756:AC756 AB768:AC769 AB771:AC773 AB776:AC776 AB780:AC780 AB782:AC782 AB787:AC787 AB800:AC800 AB807:AC808 AB825:AC825 AB828:AC828 AB830:AC830 AB832:AC832 AB834:AC836 AB841:AC841 AB852:AC852 AB854:AC854 AB863:AC863 AB865:AC867 AB892:AC894 AB901:AC901 AB918:AC919 AB928:AC928 AB934:AC936 AB939:AC939 AB65:AC70 AB563:AC564 AB955:AC955 X944:AA949 X957:AA957 X951:AA955">
    <cfRule type="expression" dxfId="393" priority="686">
      <formula>X7=#REF!</formula>
    </cfRule>
  </conditionalFormatting>
  <conditionalFormatting sqref="AC952 N831:O840 N826:Q827 N828:O829 R828:S828 R829">
    <cfRule type="expression" dxfId="392" priority="681">
      <formula>N826=#REF!</formula>
    </cfRule>
  </conditionalFormatting>
  <conditionalFormatting sqref="AC953 N968:O968 Q968 X960:Y960 N960:S960 N978:S980 N618:Q618 N617:O617 R617:S617 X55:AA55 N55:O55 R55:S55 X2:AA6 X531:AA531 N2:S6 N531:S531 N384:Q394 N395:O395 R395:S395 Q614:Q615 X965:Y965 S257:S264 S266:S269 N265:Q265 R271:S274 N275:O275 R276:S277 R279:S279 N278:O278 S282 N281:O281 R288:R291 N287 N420:N422 R477 N477:O477 R514:R515 N514:O515 P454:R454 R455 N455:O455 R977:S977 R961:S964 X977:Y980 X975:AA976 N13:O14 P15:Q15 P17:Q17">
    <cfRule type="expression" dxfId="391" priority="680">
      <formula>N2=#REF!</formula>
    </cfRule>
  </conditionalFormatting>
  <conditionalFormatting sqref="AC951">
    <cfRule type="expression" dxfId="390" priority="679">
      <formula>AC951=#REF!</formula>
    </cfRule>
  </conditionalFormatting>
  <conditionalFormatting sqref="AC959">
    <cfRule type="expression" dxfId="389" priority="622">
      <formula>AC959=#REF!</formula>
    </cfRule>
  </conditionalFormatting>
  <conditionalFormatting sqref="G693 G597">
    <cfRule type="containsText" dxfId="388" priority="616" operator="containsText" text="esti">
      <formula>NOT(ISERROR(SEARCH("esti",G597)))</formula>
    </cfRule>
  </conditionalFormatting>
  <conditionalFormatting sqref="A431 A434 A438 A441 A446 A449 A474 A497 A510 A516">
    <cfRule type="expression" dxfId="387" priority="619">
      <formula>A431=#REF!</formula>
    </cfRule>
  </conditionalFormatting>
  <conditionalFormatting sqref="N945:R945 N957:R957 N953:O953 Q953">
    <cfRule type="expression" dxfId="386" priority="556">
      <formula>N945=#REF!</formula>
    </cfRule>
  </conditionalFormatting>
  <conditionalFormatting sqref="N946 R949 R947">
    <cfRule type="expression" dxfId="385" priority="555">
      <formula>N946=#REF!</formula>
    </cfRule>
  </conditionalFormatting>
  <conditionalFormatting sqref="O946 N949 P949">
    <cfRule type="expression" dxfId="384" priority="554">
      <formula>N946=#REF!</formula>
    </cfRule>
  </conditionalFormatting>
  <conditionalFormatting sqref="P946">
    <cfRule type="expression" dxfId="383" priority="553">
      <formula>P946=#REF!</formula>
    </cfRule>
  </conditionalFormatting>
  <conditionalFormatting sqref="Q946">
    <cfRule type="expression" dxfId="382" priority="552">
      <formula>Q946=#REF!</formula>
    </cfRule>
  </conditionalFormatting>
  <conditionalFormatting sqref="N948">
    <cfRule type="expression" dxfId="381" priority="551">
      <formula>N948=#REF!</formula>
    </cfRule>
  </conditionalFormatting>
  <conditionalFormatting sqref="O948">
    <cfRule type="expression" dxfId="380" priority="550">
      <formula>O948=#REF!</formula>
    </cfRule>
  </conditionalFormatting>
  <conditionalFormatting sqref="P948">
    <cfRule type="expression" dxfId="379" priority="549">
      <formula>P948=#REF!</formula>
    </cfRule>
  </conditionalFormatting>
  <conditionalFormatting sqref="Q948">
    <cfRule type="expression" dxfId="378" priority="548">
      <formula>Q948=#REF!</formula>
    </cfRule>
  </conditionalFormatting>
  <conditionalFormatting sqref="O949">
    <cfRule type="expression" dxfId="377" priority="547">
      <formula>O949=#REF!</formula>
    </cfRule>
  </conditionalFormatting>
  <conditionalFormatting sqref="Q949">
    <cfRule type="expression" dxfId="376" priority="546">
      <formula>Q949=#REF!</formula>
    </cfRule>
  </conditionalFormatting>
  <conditionalFormatting sqref="N947 P947">
    <cfRule type="expression" dxfId="375" priority="544">
      <formula>N947=#REF!</formula>
    </cfRule>
  </conditionalFormatting>
  <conditionalFormatting sqref="O947">
    <cfRule type="expression" dxfId="374" priority="543">
      <formula>O947=#REF!</formula>
    </cfRule>
  </conditionalFormatting>
  <conditionalFormatting sqref="Q947">
    <cfRule type="expression" dxfId="373" priority="542">
      <formula>Q947=#REF!</formula>
    </cfRule>
  </conditionalFormatting>
  <conditionalFormatting sqref="N954:Q954">
    <cfRule type="expression" dxfId="372" priority="540">
      <formula>N954=#REF!</formula>
    </cfRule>
  </conditionalFormatting>
  <conditionalFormatting sqref="N951:Q951">
    <cfRule type="expression" dxfId="371" priority="539">
      <formula>N951=#REF!</formula>
    </cfRule>
  </conditionalFormatting>
  <conditionalFormatting sqref="N952:Q952">
    <cfRule type="expression" dxfId="370" priority="538">
      <formula>N952=#REF!</formula>
    </cfRule>
  </conditionalFormatting>
  <conditionalFormatting sqref="X13:AA14 X51:AA51 X71:AA74 X105:AA106 X116:AA116 X138:AA138 X217:AA219 X224:AA224 X227:AA227 X232:AA232 X245:AA246 X296:AA297 X346:AA350 X352:AA352 X355:AA357 X365:AA365 X378:AA379 X423:AA424 X458:AA458 X466:AA466 X519:AA527 X609:AA609 X612:AA612 X615:AA615 X620:AA627 X629:AA629 X631:AA631 X634:AA641 X670:AA672 X685:AA685 X707:AA708 X721:AA721 X724:AA725 X729:AA729 X731:AA731 X737:AA737 X739:AA740 X744:AA747 X755:AA755 X895:AA895 X923:AA924">
    <cfRule type="expression" dxfId="369" priority="535">
      <formula>X13=#REF!</formula>
    </cfRule>
  </conditionalFormatting>
  <conditionalFormatting sqref="X7:AA7 X10:AA10 X15:AA16 X50:AA50 X52:AA53 X59:AA59 X61:AA70 X75:AA80 X82:AA83 X104:AA104 X118:AA120 X124:AA124 X126:AA128 X130:AA135 X139:AA143 X145:AA146 X154:AA154 X165:AA165 X177:AA181 X199:AA199 X204:AA205 X208:AA210 X222:AA222 X228:AA231 X233:AA238 X243:AA244 X247:AA255 X274:AA274 X277:AA277 X311:AA316 X327:AA327 X329:AA329 X331:AA331 X333:AA333 X337:AA338 X341:AA342 X345:AA345 X351:AA351 X354:AA354 X364:AA364 X366:AA366 X368:AA368 X370:AA371 X374:AA375 X380:AA386 X388:AA389 X391:AA391 X394:AA398 X400:AA401 X404:AA406 X408:AA409 X411:AA412 X414:AA418 X421:AA422 X433:AA433 X436:AA437 X452:AA453 X456:AA457 X459:AA460 X474:AA476 X479:AA481 X483:AA486 X488:AA491 X495:AA495 X502:AA504 X506:AA509 X511:AA511 X528:AA529 X532:AA533 X536:AA536 X545:AA545 X548:AA548 X551:AA552 X561:AA561 X563:AA564 X566:AA570 X583:AA583 X585:AA586 X588:AA588 X592:AA593 X597:AA597 X600:AA605 X608:AA608 X613:AA613 X616:AA616 X618:AA619 X628:AA628 X630:AA630 X643:AA643 X649:AA649 X652:AA668 X673:AA677 X687:AA688 X691:AA691 X694:AA698 X703:AA703 X705:AA705 X713:AA718 X722:AA723 X728:AA728 X730:AA730 X732:AA736 X738:AA738 X741:AA743 X748:AA752 X756:AA760 X762:AA762 X765:AA765 X767:AA769 X771:AA773 X776:AA776 X780:AA782 X787:AA787 X789:AA791 X793:AA794 X800:AA800 X806:AA808 X816:AA819 X824:AA825 X828:AA839 X841:AA841 X845:AA855 X863:AA867 X870:AA871 X889:AA889 X892:AA894 X896:AA902 X905:AA905 X915:AA921 X926:AA928 X933:AA937 X939:AA939 X941:AA941 X122:AA122 X959:AA959 X107:AA115">
    <cfRule type="expression" dxfId="368" priority="533">
      <formula>X7=#REF!</formula>
    </cfRule>
  </conditionalFormatting>
  <conditionalFormatting sqref="BU608">
    <cfRule type="expression" dxfId="367" priority="521">
      <formula>BU608=#REF!</formula>
    </cfRule>
  </conditionalFormatting>
  <conditionalFormatting sqref="BU345">
    <cfRule type="expression" dxfId="366" priority="520">
      <formula>BU345=#REF!</formula>
    </cfRule>
  </conditionalFormatting>
  <conditionalFormatting sqref="AX565:BN565">
    <cfRule type="expression" dxfId="365" priority="519">
      <formula>AX565=#REF!</formula>
    </cfRule>
  </conditionalFormatting>
  <conditionalFormatting sqref="X565:AA565">
    <cfRule type="expression" dxfId="364" priority="516">
      <formula>X565=#REF!</formula>
    </cfRule>
  </conditionalFormatting>
  <conditionalFormatting sqref="AX505:BN505">
    <cfRule type="expression" dxfId="363" priority="515">
      <formula>AX505=#REF!</formula>
    </cfRule>
  </conditionalFormatting>
  <conditionalFormatting sqref="X505:AA505">
    <cfRule type="expression" dxfId="362" priority="512">
      <formula>X505=#REF!</formula>
    </cfRule>
  </conditionalFormatting>
  <conditionalFormatting sqref="AX497:BN497">
    <cfRule type="expression" dxfId="361" priority="511">
      <formula>AX497=#REF!</formula>
    </cfRule>
  </conditionalFormatting>
  <conditionalFormatting sqref="X497:AA497">
    <cfRule type="expression" dxfId="360" priority="508">
      <formula>X497=#REF!</formula>
    </cfRule>
  </conditionalFormatting>
  <conditionalFormatting sqref="AX321:BN321">
    <cfRule type="expression" dxfId="359" priority="507">
      <formula>AX321=#REF!</formula>
    </cfRule>
  </conditionalFormatting>
  <conditionalFormatting sqref="X321:AA321">
    <cfRule type="expression" dxfId="358" priority="504">
      <formula>X321=#REF!</formula>
    </cfRule>
  </conditionalFormatting>
  <conditionalFormatting sqref="AX292:BN292">
    <cfRule type="expression" dxfId="357" priority="503">
      <formula>AX292=#REF!</formula>
    </cfRule>
  </conditionalFormatting>
  <conditionalFormatting sqref="X292:AA292">
    <cfRule type="expression" dxfId="356" priority="500">
      <formula>X292=#REF!</formula>
    </cfRule>
  </conditionalFormatting>
  <conditionalFormatting sqref="S949 S947">
    <cfRule type="expression" dxfId="355" priority="434">
      <formula>S947=#REF!</formula>
    </cfRule>
  </conditionalFormatting>
  <conditionalFormatting sqref="S952">
    <cfRule type="expression" dxfId="354" priority="427">
      <formula>S952=#REF!</formula>
    </cfRule>
  </conditionalFormatting>
  <conditionalFormatting sqref="S957">
    <cfRule type="expression" dxfId="353" priority="399">
      <formula>S957=#REF!</formula>
    </cfRule>
  </conditionalFormatting>
  <conditionalFormatting sqref="S953">
    <cfRule type="expression" dxfId="352" priority="389">
      <formula>S953=#REF!</formula>
    </cfRule>
  </conditionalFormatting>
  <conditionalFormatting sqref="N958:Q958">
    <cfRule type="expression" dxfId="351" priority="388">
      <formula>N958=#REF!</formula>
    </cfRule>
  </conditionalFormatting>
  <conditionalFormatting sqref="AB958:AC958">
    <cfRule type="expression" dxfId="350" priority="387">
      <formula>AB958=#REF!</formula>
    </cfRule>
  </conditionalFormatting>
  <conditionalFormatting sqref="X958:AA958">
    <cfRule type="expression" dxfId="349" priority="386">
      <formula>X958=#REF!</formula>
    </cfRule>
  </conditionalFormatting>
  <conditionalFormatting sqref="S431:S432 S441:S442 S445:S450 N901:O901 N418:Q418 N485 N414:R414 N467:R467 P451:R451 N427:R427 S438 S434:S435 R78 R80">
    <cfRule type="expression" dxfId="348" priority="380">
      <formula>N78=#REF!</formula>
    </cfRule>
  </conditionalFormatting>
  <conditionalFormatting sqref="S944 S115:S116 S371 S925 S932 S941 S930 S217 S20:S47 S207 S211 S619:S627 S108:S113 S646 S632:S641 S221 S224 S679 S717 S598 S858:S862 S735 S845:S846 S865 S589:S590 S137 S202 S464 S348 S242 S877 S424:S425 S82 S122 S227:S233 S312 S374:S375 S476 S744:S750 S758 S889 S62:S64 S75:S80 S174 S176 S427:S428 S456 S820:S822 S506:S509 S323:S328 S294:S295 S901:S904 S474 S520:S521 S689:S690 S471 S595:S596 S879 S881 S161:S163 S165 S700:S702 S315 S936:S937 S795:S796 S584 S769 S358 S528 S453:S454 S458 S378 S380:S381 S317:S318 S248:S249 S252:S253 S300 S304:S305 S682:S683 S408 S411:S412 S245 S782:S788 S501 S582 S392 S394 S400 S652:S667 S894 S839:S840 S332:S333 S91 S119 S125 S922 S723:S733 S270 S511 S513:S514 S402:S403 S148:S152 S139:S144 S330 S669:S672 S675 S416:S417 S848:S853 S179:S200 S685:S686 S387 S396 S804:S805 S776 S360 S798:S802 S600:S603 S692 S906:S907 S909 S911:S920 S93:S103 S752:S756 S127 S298 S168:S172 S460 S721 S737:S739 S741:S742 S707:S713">
    <cfRule type="expression" dxfId="347" priority="378">
      <formula>S20=#REF!</formula>
    </cfRule>
  </conditionalFormatting>
  <conditionalFormatting sqref="S823">
    <cfRule type="expression" dxfId="346" priority="377">
      <formula>S823=#REF!</formula>
    </cfRule>
  </conditionalFormatting>
  <conditionalFormatting sqref="S70">
    <cfRule type="expression" dxfId="345" priority="374">
      <formula>S70=#REF!</formula>
    </cfRule>
  </conditionalFormatting>
  <conditionalFormatting sqref="N107:O107">
    <cfRule type="expression" dxfId="344" priority="356">
      <formula>N107=#REF!</formula>
    </cfRule>
  </conditionalFormatting>
  <conditionalFormatting sqref="O67">
    <cfRule type="expression" dxfId="343" priority="340">
      <formula>O67=#REF!</formula>
    </cfRule>
  </conditionalFormatting>
  <conditionalFormatting sqref="S175">
    <cfRule type="expression" dxfId="342" priority="372">
      <formula>S175=#REF!</formula>
    </cfRule>
  </conditionalFormatting>
  <conditionalFormatting sqref="S426">
    <cfRule type="expression" dxfId="341" priority="371">
      <formula>S426=#REF!</formula>
    </cfRule>
  </conditionalFormatting>
  <conditionalFormatting sqref="O69">
    <cfRule type="expression" dxfId="340" priority="336">
      <formula>O69=#REF!</formula>
    </cfRule>
  </conditionalFormatting>
  <conditionalFormatting sqref="S114 S363 S366 S558 S629:S630 S60 S560">
    <cfRule type="expression" dxfId="339" priority="379">
      <formula>S60=#REF!</formula>
    </cfRule>
  </conditionalFormatting>
  <conditionalFormatting sqref="S66">
    <cfRule type="expression" dxfId="338" priority="376">
      <formula>S66=#REF!</formula>
    </cfRule>
  </conditionalFormatting>
  <conditionalFormatting sqref="S68">
    <cfRule type="expression" dxfId="337" priority="375">
      <formula>S68=#REF!</formula>
    </cfRule>
  </conditionalFormatting>
  <conditionalFormatting sqref="N429:O429">
    <cfRule type="expression" dxfId="336" priority="328">
      <formula>N429=#REF!</formula>
    </cfRule>
  </conditionalFormatting>
  <conditionalFormatting sqref="N430:O430">
    <cfRule type="expression" dxfId="335" priority="327">
      <formula>N430=#REF!</formula>
    </cfRule>
  </conditionalFormatting>
  <conditionalFormatting sqref="N454:O454">
    <cfRule type="expression" dxfId="334" priority="322">
      <formula>N454=#REF!</formula>
    </cfRule>
  </conditionalFormatting>
  <conditionalFormatting sqref="N760:O760">
    <cfRule type="expression" dxfId="333" priority="315">
      <formula>N760=#REF!</formula>
    </cfRule>
  </conditionalFormatting>
  <conditionalFormatting sqref="S173">
    <cfRule type="expression" dxfId="332" priority="373">
      <formula>S173=#REF!</formula>
    </cfRule>
  </conditionalFormatting>
  <conditionalFormatting sqref="S430">
    <cfRule type="expression" dxfId="331" priority="369">
      <formula>S430=#REF!</formula>
    </cfRule>
  </conditionalFormatting>
  <conditionalFormatting sqref="S429">
    <cfRule type="expression" dxfId="330" priority="370">
      <formula>S429=#REF!</formula>
    </cfRule>
  </conditionalFormatting>
  <conditionalFormatting sqref="S440">
    <cfRule type="expression" dxfId="329" priority="367">
      <formula>S440=#REF!</formula>
    </cfRule>
  </conditionalFormatting>
  <conditionalFormatting sqref="S439">
    <cfRule type="expression" dxfId="328" priority="368">
      <formula>S439=#REF!</formula>
    </cfRule>
  </conditionalFormatting>
  <conditionalFormatting sqref="S444">
    <cfRule type="expression" dxfId="327" priority="365">
      <formula>S444=#REF!</formula>
    </cfRule>
  </conditionalFormatting>
  <conditionalFormatting sqref="S443">
    <cfRule type="expression" dxfId="326" priority="366">
      <formula>S443=#REF!</formula>
    </cfRule>
  </conditionalFormatting>
  <conditionalFormatting sqref="S455">
    <cfRule type="expression" dxfId="325" priority="364">
      <formula>S455=#REF!</formula>
    </cfRule>
  </conditionalFormatting>
  <conditionalFormatting sqref="N465:O465">
    <cfRule type="expression" dxfId="324" priority="306">
      <formula>N465=#REF!</formula>
    </cfRule>
  </conditionalFormatting>
  <conditionalFormatting sqref="S564">
    <cfRule type="expression" dxfId="323" priority="363">
      <formula>S564=#REF!</formula>
    </cfRule>
  </conditionalFormatting>
  <conditionalFormatting sqref="S760">
    <cfRule type="expression" dxfId="322" priority="362">
      <formula>S760=#REF!</formula>
    </cfRule>
  </conditionalFormatting>
  <conditionalFormatting sqref="N65:O65">
    <cfRule type="expression" dxfId="321" priority="342">
      <formula>N65=#REF!</formula>
    </cfRule>
  </conditionalFormatting>
  <conditionalFormatting sqref="O872 R739 R756 R784:R785">
    <cfRule type="cellIs" dxfId="320" priority="359" operator="equal">
      <formula>#REF!</formula>
    </cfRule>
  </conditionalFormatting>
  <conditionalFormatting sqref="P761:Q761 P764:Q764 P782:Q782">
    <cfRule type="cellIs" dxfId="319" priority="358" operator="equal">
      <formula>#REF!</formula>
    </cfRule>
  </conditionalFormatting>
  <conditionalFormatting sqref="N685:O685 N691:P691 N105:Q106 N944:Q944 P48:Q48 N371:Q371 N402:Q405 N902:O902 N161:Q163 N824:O825 N808:Q808 N876:Q876 N878:Q878 N880:Q881 Q39 N104:O104 Q21:Q22 N888:Q888 N687:O687 N707:O707 N355:Q355 P833:Q833 P835:Q835 Q28 N9:O12 N279:O279 P50:Q50 P195:Q196 P283:Q284 N788:O788 N758:O758 N797:Q797 P85:Q85 N242:O242 N244:Q244 N249:Q251 Q706 Q703:Q704 N692:O692 N694:Q694 N695:O695 N702:Q702 N686:P686 N8:Q8 N304:O305 P305:Q305 P319:Q320 N789:Q790 N306:Q308 N486 Q33:Q37 O485:Q486 N256:Q256 N317:O320 N310:Q316 P379:Q382 N399:Q400 N416:O416 N528:O528 N537:Q537 N87:Q87 P893:Q894 N846:Q854 N911:Q922 N925:Q925 N895:Q896 N932:Q937 N906:Q907 N941:Q941 N466:Q466 N460:Q460 N554:Q554 N903:Q904 N909:Q909 N930:Q930 O329 O468:O469 N358:Q359 N207:Q207 N330:Q340 P815:Q816 N869:O871 N527:Q527 Q30:Q31 N217:O217 Q25:Q26 Q41:Q43 N397:Q397 N408:Q409 N411:Q412 N703:P706 N199:Q200 N194:O197 N746:Q746 N696:Q696 N708:Q712 P901:Q902 N841:Q842 N773:Q773 N210:Q210 N227:Q227 N233:Q233 N376:O382 N545:Q545 N433:Q434 N205:O206 P204:Q206 N417:Q417 N740:Q740 P288:Q290 O463 N95:Q103 N348:N352 N891:O894 N282:O285 N753:Q756 N137:O137 N165:Q166 N211:O211 N619:O627 P837:Q839 N845:O845 N858:Q862 N820:O822 N673:Q674 N61:O64 N471:Q471 N491:O491 P604:Q604 N646:O646 N632:O643 N346:Q347 N570:Q570 N575:Q576 P581:Q584 N742:Q742 N221:Q221 N224:Q224 N561:O562 N571:O573 N577:O584 N588:O588 N688:Q688 N713:O714 P714:Q714 N652:O652 R347 P869:R872 N873:R875 N879:R879 R729:R731 Q38:R38 Q40:R40 N360:R360 P677:Q677 N548:R548 N151:R152 N787:R787 N383:R383 N602:R603 R834 P836:R836 P891:R892 R31 Q23:R23 N791:R794 R788:R790 R754:R756 O741:R741 R921 Q27:R27 Q29:R29 R315 N254:R255 P318:R318 R332 R382 N401:R401 N428:R428 R88:R89 N889:R890 R895 N905:R905 N424:R424 R433 N438:R438 N396:R396 N598:Q601 N435:R435 N484:R484 N863:R863 N761:R761 N762:Q766 N84:R84 Q44:R45 N544:R544 R527:R528 N122:R122 N398:R398 N248:R248 N668:R668 Q47:R47 N908:R908 R336 P194:R194 N574:R574 N243:R243 R42 N123:Q125 R212:R213 N735:R735 N415:R415 N410:R410 N844:R844 N855:R855 P107:R107 N865:R868 P864:R864 N566:R569 R562 R588 P715:R715 R483 R53 R71:R74 O357:R357 N744:R745 N245:R245 N910:R910 O350:R352 N356:R356 P376:R378 R650:R651 N198:R198 N202:R202 R475 R33 Q32:R32 P91:R92 N342:Q342 N406:R407 N413:R413 N470:O470 R363 P304:R304 Q463:R463 R462 N877:R877 R94:R95 N286:R286 N353:R354 N431:R432 R582:R583 R679 R491 N492:R495 N228:R232 R311:R313 N373:R375 P420:Q421 N476:R476 N530:R530 R619:R625 R629:R630 N747:R747 N767:R772 N806:R807 R847:R851 N897:R900 R933:R935 Q329:R329 N452:R453 N441:R442 P65:R70 P425:R426 P429:Q430 P439:R440 P444:R444 P464:Q464 R564 P564 P818:Q818 N589:R593 N716:Q721 N723:Q733 N722:O722 R722 N153:P153 R392:R394 N506:R513 N300:R300 R682 N498:R504 R339:R340 O344:R344 N436:Q437 R437 N293:R295 N322:R328 N298:R298 N296:P297 N75:O80 N751:R752 R748:R750 N748:O750 P678 P699:Q701 Q252:R252 Q253 N115:Q119 N138:Q150 N252:P253 N299:Q299 N679:Q684 P693 N176:O176 Q176 Q171:Q173 P171:P176 N177:Q193 N108:Q113 Q468:R470 N474:O474 Q474 N479:R480 N478:O478 Q478:R478 N689:O690 Q692 P613:Q613 P953 N776:Q776 N800:Q800 Q795:R796 Q799 Q798:R798 N803:Q804 N801:O802 Q801:Q802 N805:O805 Q805:R805 Q242 P734:R734 R743 P606:R607 R609 P612:R612 R642:R645 N126:R128 N456:R459 R953 N795:O799 N488:R490 N301:Q303 O348:Q349 N737:R739 N736:Q736 N532:R536 P93:Q94 P88:Q90 N167:O171 N774:O775 R775 N779:Q783 N777:O778 N786:Q786 N784:O785 N809:O809 N257:R264 R282:R285 N246:Q247 R82 N277:Q277 N280:R280 N288:O291 N445:R447 N473:Q473 P472:R472 N516:R526 N595:R596 N594:P594 N611:P611 N614:P615 N20:O49 N697:O698 N700:O701 N266:R270 P278:Q278 N449:R450 P448:R448">
    <cfRule type="expression" dxfId="318" priority="360">
      <formula>N8=#REF!</formula>
    </cfRule>
  </conditionalFormatting>
  <conditionalFormatting sqref="N823:O823">
    <cfRule type="expression" dxfId="317" priority="357">
      <formula>N823=#REF!</formula>
    </cfRule>
  </conditionalFormatting>
  <conditionalFormatting sqref="N71:O74">
    <cfRule type="expression" dxfId="316" priority="355">
      <formula>N71=#REF!</formula>
    </cfRule>
  </conditionalFormatting>
  <conditionalFormatting sqref="P491:Q491">
    <cfRule type="expression" dxfId="315" priority="354">
      <formula>P491=#REF!</formula>
    </cfRule>
  </conditionalFormatting>
  <conditionalFormatting sqref="N483:O483">
    <cfRule type="expression" dxfId="314" priority="353">
      <formula>N483=#REF!</formula>
    </cfRule>
  </conditionalFormatting>
  <conditionalFormatting sqref="P483:Q483">
    <cfRule type="expression" dxfId="313" priority="352">
      <formula>P483=#REF!</formula>
    </cfRule>
  </conditionalFormatting>
  <conditionalFormatting sqref="N475:O475">
    <cfRule type="expression" dxfId="312" priority="351">
      <formula>N475=#REF!</formula>
    </cfRule>
  </conditionalFormatting>
  <conditionalFormatting sqref="P475:Q475">
    <cfRule type="expression" dxfId="311" priority="350">
      <formula>P475=#REF!</formula>
    </cfRule>
  </conditionalFormatting>
  <conditionalFormatting sqref="N864:O864">
    <cfRule type="expression" dxfId="310" priority="349">
      <formula>N864=#REF!</formula>
    </cfRule>
  </conditionalFormatting>
  <conditionalFormatting sqref="N628:O628">
    <cfRule type="expression" dxfId="309" priority="348">
      <formula>N628=#REF!</formula>
    </cfRule>
  </conditionalFormatting>
  <conditionalFormatting sqref="N649:O649">
    <cfRule type="expression" dxfId="308" priority="347">
      <formula>N649=#REF!</formula>
    </cfRule>
  </conditionalFormatting>
  <conditionalFormatting sqref="P53:Q53">
    <cfRule type="expression" dxfId="307" priority="346">
      <formula>P53=#REF!</formula>
    </cfRule>
  </conditionalFormatting>
  <conditionalFormatting sqref="N83:O83">
    <cfRule type="expression" dxfId="306" priority="345">
      <formula>N83=#REF!</formula>
    </cfRule>
  </conditionalFormatting>
  <conditionalFormatting sqref="P687:Q687">
    <cfRule type="expression" dxfId="305" priority="344">
      <formula>P687=#REF!</formula>
    </cfRule>
  </conditionalFormatting>
  <conditionalFormatting sqref="N675:O676 N669:O672 N653:O667">
    <cfRule type="expression" dxfId="304" priority="343">
      <formula>N653=#REF!</formula>
    </cfRule>
  </conditionalFormatting>
  <conditionalFormatting sqref="N7:O7 N60:O60 N56:O56 N57:R57 N58:Q59 O81:Q81 N341:O341 Q341:R341 N363:Q363 Q364:S364 O366:Q366 P558:Q558 N610:R610 N629:Q631 R631 P561:Q562 P571:Q571 P573:Q573 P577:Q577 P579:Q579 P588:Q588 P597:Q597 R299 R303 R680:R681 R693">
    <cfRule type="expression" dxfId="303" priority="361">
      <formula>N7=#REF!</formula>
    </cfRule>
  </conditionalFormatting>
  <conditionalFormatting sqref="N66:O66">
    <cfRule type="expression" dxfId="302" priority="341">
      <formula>N66=#REF!</formula>
    </cfRule>
  </conditionalFormatting>
  <conditionalFormatting sqref="N444:O444">
    <cfRule type="expression" dxfId="301" priority="323">
      <formula>N444=#REF!</formula>
    </cfRule>
  </conditionalFormatting>
  <conditionalFormatting sqref="N154:P160">
    <cfRule type="expression" dxfId="300" priority="300">
      <formula>N154=#REF!</formula>
    </cfRule>
  </conditionalFormatting>
  <conditionalFormatting sqref="O68">
    <cfRule type="expression" dxfId="299" priority="339">
      <formula>O68=#REF!</formula>
    </cfRule>
  </conditionalFormatting>
  <conditionalFormatting sqref="N67">
    <cfRule type="expression" dxfId="298" priority="338">
      <formula>N67=#REF!</formula>
    </cfRule>
  </conditionalFormatting>
  <conditionalFormatting sqref="N68">
    <cfRule type="expression" dxfId="297" priority="337">
      <formula>N68=#REF!</formula>
    </cfRule>
  </conditionalFormatting>
  <conditionalFormatting sqref="O70">
    <cfRule type="expression" dxfId="296" priority="335">
      <formula>O70=#REF!</formula>
    </cfRule>
  </conditionalFormatting>
  <conditionalFormatting sqref="N69">
    <cfRule type="expression" dxfId="295" priority="334">
      <formula>N69=#REF!</formula>
    </cfRule>
  </conditionalFormatting>
  <conditionalFormatting sqref="N70">
    <cfRule type="expression" dxfId="294" priority="333">
      <formula>N70=#REF!</formula>
    </cfRule>
  </conditionalFormatting>
  <conditionalFormatting sqref="N172:O172">
    <cfRule type="expression" dxfId="293" priority="332">
      <formula>N172=#REF!</formula>
    </cfRule>
  </conditionalFormatting>
  <conditionalFormatting sqref="N173:O173">
    <cfRule type="expression" dxfId="292" priority="331">
      <formula>N173=#REF!</formula>
    </cfRule>
  </conditionalFormatting>
  <conditionalFormatting sqref="P819:Q819">
    <cfRule type="expression" dxfId="291" priority="307">
      <formula>P819=#REF!</formula>
    </cfRule>
  </conditionalFormatting>
  <conditionalFormatting sqref="R173">
    <cfRule type="expression" dxfId="290" priority="314">
      <formula>R173=#REF!</formula>
    </cfRule>
  </conditionalFormatting>
  <conditionalFormatting sqref="N425:O425">
    <cfRule type="expression" dxfId="289" priority="330">
      <formula>N425=#REF!</formula>
    </cfRule>
  </conditionalFormatting>
  <conditionalFormatting sqref="N426:O426">
    <cfRule type="expression" dxfId="288" priority="329">
      <formula>N426=#REF!</formula>
    </cfRule>
  </conditionalFormatting>
  <conditionalFormatting sqref="N564:O564">
    <cfRule type="expression" dxfId="287" priority="317">
      <formula>N564=#REF!</formula>
    </cfRule>
  </conditionalFormatting>
  <conditionalFormatting sqref="N440:O440">
    <cfRule type="expression" dxfId="286" priority="325">
      <formula>N440=#REF!</formula>
    </cfRule>
  </conditionalFormatting>
  <conditionalFormatting sqref="N439:O439">
    <cfRule type="expression" dxfId="285" priority="326">
      <formula>N439=#REF!</formula>
    </cfRule>
  </conditionalFormatting>
  <conditionalFormatting sqref="N443:O443">
    <cfRule type="expression" dxfId="284" priority="324">
      <formula>N443=#REF!</formula>
    </cfRule>
  </conditionalFormatting>
  <conditionalFormatting sqref="P722:Q722">
    <cfRule type="expression" dxfId="283" priority="301">
      <formula>P722=#REF!</formula>
    </cfRule>
  </conditionalFormatting>
  <conditionalFormatting sqref="R175">
    <cfRule type="expression" dxfId="282" priority="310">
      <formula>R175=#REF!</formula>
    </cfRule>
  </conditionalFormatting>
  <conditionalFormatting sqref="N464:O464">
    <cfRule type="expression" dxfId="281" priority="320">
      <formula>N464=#REF!</formula>
    </cfRule>
  </conditionalFormatting>
  <conditionalFormatting sqref="N563:O563">
    <cfRule type="expression" dxfId="280" priority="318">
      <formula>N563=#REF!</formula>
    </cfRule>
  </conditionalFormatting>
  <conditionalFormatting sqref="N759:O759">
    <cfRule type="expression" dxfId="279" priority="316">
      <formula>N759=#REF!</formula>
    </cfRule>
  </conditionalFormatting>
  <conditionalFormatting sqref="Q174:Q175">
    <cfRule type="expression" dxfId="278" priority="313">
      <formula>Q174=#REF!</formula>
    </cfRule>
  </conditionalFormatting>
  <conditionalFormatting sqref="N174:O174">
    <cfRule type="expression" dxfId="277" priority="312">
      <formula>N174=#REF!</formula>
    </cfRule>
  </conditionalFormatting>
  <conditionalFormatting sqref="N175:O175">
    <cfRule type="expression" dxfId="276" priority="311">
      <formula>N175=#REF!</formula>
    </cfRule>
  </conditionalFormatting>
  <conditionalFormatting sqref="P443:Q443">
    <cfRule type="expression" dxfId="275" priority="309">
      <formula>P443=#REF!</formula>
    </cfRule>
  </conditionalFormatting>
  <conditionalFormatting sqref="P817:Q817">
    <cfRule type="expression" dxfId="274" priority="308">
      <formula>P817=#REF!</formula>
    </cfRule>
  </conditionalFormatting>
  <conditionalFormatting sqref="P580">
    <cfRule type="expression" dxfId="273" priority="305">
      <formula>P580=#REF!</formula>
    </cfRule>
  </conditionalFormatting>
  <conditionalFormatting sqref="P578">
    <cfRule type="expression" dxfId="272" priority="304">
      <formula>P578=#REF!</formula>
    </cfRule>
  </conditionalFormatting>
  <conditionalFormatting sqref="P572">
    <cfRule type="expression" dxfId="271" priority="303">
      <formula>P572=#REF!</formula>
    </cfRule>
  </conditionalFormatting>
  <conditionalFormatting sqref="P563">
    <cfRule type="expression" dxfId="270" priority="302">
      <formula>P563=#REF!</formula>
    </cfRule>
  </conditionalFormatting>
  <conditionalFormatting sqref="N164:P164">
    <cfRule type="expression" dxfId="269" priority="299">
      <formula>N164=#REF!</formula>
    </cfRule>
  </conditionalFormatting>
  <conditionalFormatting sqref="S565">
    <cfRule type="expression" dxfId="268" priority="298">
      <formula>S565=#REF!</formula>
    </cfRule>
  </conditionalFormatting>
  <conditionalFormatting sqref="O565 Q565:R565">
    <cfRule type="expression" dxfId="267" priority="297">
      <formula>O565=#REF!</formula>
    </cfRule>
  </conditionalFormatting>
  <conditionalFormatting sqref="S505">
    <cfRule type="expression" dxfId="266" priority="296">
      <formula>S505=#REF!</formula>
    </cfRule>
  </conditionalFormatting>
  <conditionalFormatting sqref="O505 Q505:R505">
    <cfRule type="expression" dxfId="265" priority="295">
      <formula>O505=#REF!</formula>
    </cfRule>
  </conditionalFormatting>
  <conditionalFormatting sqref="S497">
    <cfRule type="expression" dxfId="264" priority="294">
      <formula>S497=#REF!</formula>
    </cfRule>
  </conditionalFormatting>
  <conditionalFormatting sqref="O497 Q497:R497">
    <cfRule type="expression" dxfId="263" priority="293">
      <formula>O497=#REF!</formula>
    </cfRule>
  </conditionalFormatting>
  <conditionalFormatting sqref="S321">
    <cfRule type="expression" dxfId="262" priority="292">
      <formula>S321=#REF!</formula>
    </cfRule>
  </conditionalFormatting>
  <conditionalFormatting sqref="O321 Q321:R321">
    <cfRule type="expression" dxfId="261" priority="291">
      <formula>O321=#REF!</formula>
    </cfRule>
  </conditionalFormatting>
  <conditionalFormatting sqref="S292">
    <cfRule type="expression" dxfId="260" priority="290">
      <formula>S292=#REF!</formula>
    </cfRule>
  </conditionalFormatting>
  <conditionalFormatting sqref="O292 Q292:R292">
    <cfRule type="expression" dxfId="259" priority="289">
      <formula>O292=#REF!</formula>
    </cfRule>
  </conditionalFormatting>
  <conditionalFormatting sqref="P55:Q55">
    <cfRule type="expression" dxfId="258" priority="288">
      <formula>P55=#REF!</formula>
    </cfRule>
  </conditionalFormatting>
  <conditionalFormatting sqref="P926:Q931">
    <cfRule type="expression" dxfId="257" priority="287">
      <formula>P926=#REF!</formula>
    </cfRule>
  </conditionalFormatting>
  <conditionalFormatting sqref="S897:S899 S863">
    <cfRule type="expression" dxfId="256" priority="286">
      <formula>S863=#REF!</formula>
    </cfRule>
  </conditionalFormatting>
  <conditionalFormatting sqref="S628 S71:S74">
    <cfRule type="expression" dxfId="255" priority="285">
      <formula>S71=#REF!</formula>
    </cfRule>
  </conditionalFormatting>
  <conditionalFormatting sqref="S515:S518 S482 S473">
    <cfRule type="expression" dxfId="254" priority="284">
      <formula>S473=#REF!</formula>
    </cfRule>
  </conditionalFormatting>
  <conditionalFormatting sqref="S841 S831:S833 S824:S825">
    <cfRule type="expression" dxfId="253" priority="283">
      <formula>S824=#REF!</formula>
    </cfRule>
  </conditionalFormatting>
  <conditionalFormatting sqref="S687:S688 S128">
    <cfRule type="expression" dxfId="252" priority="282">
      <formula>S128=#REF!</formula>
    </cfRule>
  </conditionalFormatting>
  <conditionalFormatting sqref="S256">
    <cfRule type="expression" dxfId="251" priority="281">
      <formula>S256=#REF!</formula>
    </cfRule>
  </conditionalFormatting>
  <conditionalFormatting sqref="S942 S939 S931">
    <cfRule type="expression" dxfId="250" priority="279">
      <formula>S931=#REF!</formula>
    </cfRule>
  </conditionalFormatting>
  <conditionalFormatting sqref="S591">
    <cfRule type="expression" dxfId="249" priority="278">
      <formula>S591=#REF!</formula>
    </cfRule>
  </conditionalFormatting>
  <conditionalFormatting sqref="S883:S884 S880 S878 S866:S876 S855">
    <cfRule type="expression" dxfId="248" priority="277">
      <formula>S855=#REF!</formula>
    </cfRule>
  </conditionalFormatting>
  <conditionalFormatting sqref="S164 S153:S160">
    <cfRule type="expression" dxfId="247" priority="276">
      <formula>S153=#REF!</formula>
    </cfRule>
  </conditionalFormatting>
  <conditionalFormatting sqref="S695:S698">
    <cfRule type="expression" dxfId="246" priority="275">
      <formula>S695=#REF!</formula>
    </cfRule>
  </conditionalFormatting>
  <conditionalFormatting sqref="S314">
    <cfRule type="expression" dxfId="245" priority="274">
      <formula>S314=#REF!</formula>
    </cfRule>
  </conditionalFormatting>
  <conditionalFormatting sqref="S934:S935">
    <cfRule type="expression" dxfId="244" priority="273">
      <formula>S934=#REF!</formula>
    </cfRule>
  </conditionalFormatting>
  <conditionalFormatting sqref="S790:S791">
    <cfRule type="expression" dxfId="243" priority="272">
      <formula>S790=#REF!</formula>
    </cfRule>
  </conditionalFormatting>
  <conditionalFormatting sqref="S743 S734 S715 S585:S586 S583 S576 S568:S570 S566">
    <cfRule type="expression" dxfId="242" priority="271">
      <formula>S566=#REF!</formula>
    </cfRule>
  </conditionalFormatting>
  <conditionalFormatting sqref="S530">
    <cfRule type="expression" dxfId="241" priority="270">
      <formula>S530=#REF!</formula>
    </cfRule>
  </conditionalFormatting>
  <conditionalFormatting sqref="S597 S588 S579 S577 S573 S571 S561:S562">
    <cfRule type="expression" dxfId="240" priority="269">
      <formula>S561=#REF!</formula>
    </cfRule>
  </conditionalFormatting>
  <conditionalFormatting sqref="S495">
    <cfRule type="expression" dxfId="239" priority="268">
      <formula>S495=#REF!</formula>
    </cfRule>
  </conditionalFormatting>
  <conditionalFormatting sqref="S765 S105:S106">
    <cfRule type="expression" dxfId="238" priority="267">
      <formula>S105=#REF!</formula>
    </cfRule>
  </conditionalFormatting>
  <conditionalFormatting sqref="S526:S527 S524 S519 S352:S357 S313 S311 S53 S56:S57">
    <cfRule type="expression" dxfId="237" priority="266">
      <formula>S53=#REF!</formula>
    </cfRule>
  </conditionalFormatting>
  <conditionalFormatting sqref="S466 S457 S452">
    <cfRule type="expression" dxfId="236" priority="265">
      <formula>S452=#REF!</formula>
    </cfRule>
  </conditionalFormatting>
  <conditionalFormatting sqref="S379 S376:S377 S372:S373">
    <cfRule type="expression" dxfId="235" priority="264">
      <formula>S372=#REF!</formula>
    </cfRule>
  </conditionalFormatting>
  <conditionalFormatting sqref="S337:S338 S316 S254:S255 S50:S51 S87 S118 S124 S301:S302 S306:S310">
    <cfRule type="expression" dxfId="234" priority="263">
      <formula>S50=#REF!</formula>
    </cfRule>
  </conditionalFormatting>
  <conditionalFormatting sqref="S491 S488:S489 S483 S480:S481 S475">
    <cfRule type="expression" dxfId="233" priority="262">
      <formula>S475=#REF!</formula>
    </cfRule>
  </conditionalFormatting>
  <conditionalFormatting sqref="S250">
    <cfRule type="expression" dxfId="232" priority="261">
      <formula>S250=#REF!</formula>
    </cfRule>
  </conditionalFormatting>
  <conditionalFormatting sqref="S693 S680:S681 S303 S299">
    <cfRule type="expression" dxfId="231" priority="259">
      <formula>S299=#REF!</formula>
    </cfRule>
  </conditionalFormatting>
  <conditionalFormatting sqref="S413 S410 S407">
    <cfRule type="expression" dxfId="230" priority="258">
      <formula>S407=#REF!</formula>
    </cfRule>
  </conditionalFormatting>
  <conditionalFormatting sqref="S244">
    <cfRule type="expression" dxfId="229" priority="257">
      <formula>S244=#REF!</formula>
    </cfRule>
  </conditionalFormatting>
  <conditionalFormatting sqref="S551:S554 S548 S544:S545 S532:S537">
    <cfRule type="expression" dxfId="228" priority="256">
      <formula>S532=#REF!</formula>
    </cfRule>
  </conditionalFormatting>
  <conditionalFormatting sqref="S806:S807 S779 S766 S763 S761">
    <cfRule type="expression" dxfId="227" priority="255">
      <formula>S761=#REF!</formula>
    </cfRule>
  </conditionalFormatting>
  <conditionalFormatting sqref="S854">
    <cfRule type="expression" dxfId="226" priority="254">
      <formula>S854=#REF!</formula>
    </cfRule>
  </conditionalFormatting>
  <conditionalFormatting sqref="S121">
    <cfRule type="expression" dxfId="225" priority="253">
      <formula>S121=#REF!</formula>
    </cfRule>
  </conditionalFormatting>
  <conditionalFormatting sqref="S928">
    <cfRule type="expression" dxfId="224" priority="249">
      <formula>S928=#REF!</formula>
    </cfRule>
  </conditionalFormatting>
  <conditionalFormatting sqref="S567">
    <cfRule type="expression" dxfId="223" priority="251">
      <formula>S567=#REF!</formula>
    </cfRule>
  </conditionalFormatting>
  <conditionalFormatting sqref="S592">
    <cfRule type="expression" dxfId="222" priority="250">
      <formula>S592=#REF!</formula>
    </cfRule>
  </conditionalFormatting>
  <conditionalFormatting sqref="O422">
    <cfRule type="expression" dxfId="221" priority="248">
      <formula>O422=#REF!</formula>
    </cfRule>
  </conditionalFormatting>
  <conditionalFormatting sqref="S133">
    <cfRule type="expression" dxfId="220" priority="247">
      <formula>S133=#REF!</formula>
    </cfRule>
  </conditionalFormatting>
  <conditionalFormatting sqref="S136">
    <cfRule type="expression" dxfId="219" priority="246">
      <formula>S136=#REF!</formula>
    </cfRule>
  </conditionalFormatting>
  <conditionalFormatting sqref="S500 S498 S472 S468 S463">
    <cfRule type="expression" dxfId="218" priority="245">
      <formula>S463=#REF!</formula>
    </cfRule>
  </conditionalFormatting>
  <conditionalFormatting sqref="S587 S581 S574:S575">
    <cfRule type="expression" dxfId="217" priority="244">
      <formula>S574=#REF!</formula>
    </cfRule>
  </conditionalFormatting>
  <conditionalFormatting sqref="S496 S493 S465 S399 S393 S390 S283">
    <cfRule type="expression" dxfId="216" priority="243">
      <formula>S283=#REF!</formula>
    </cfRule>
  </conditionalFormatting>
  <conditionalFormatting sqref="S234">
    <cfRule type="expression" dxfId="215" priority="242">
      <formula>S234=#REF!</formula>
    </cfRule>
  </conditionalFormatting>
  <conditionalFormatting sqref="S235:S238">
    <cfRule type="expression" dxfId="214" priority="241">
      <formula>S235=#REF!</formula>
    </cfRule>
  </conditionalFormatting>
  <conditionalFormatting sqref="S895:S896 S890:S891 S885:S888 S826:S827">
    <cfRule type="expression" dxfId="213" priority="240">
      <formula>S826=#REF!</formula>
    </cfRule>
  </conditionalFormatting>
  <conditionalFormatting sqref="S842:S843 S808 S834:S836">
    <cfRule type="expression" dxfId="212" priority="239">
      <formula>S808=#REF!</formula>
    </cfRule>
  </conditionalFormatting>
  <conditionalFormatting sqref="S342 S334:S335 S331">
    <cfRule type="expression" dxfId="211" priority="238">
      <formula>S331=#REF!</formula>
    </cfRule>
  </conditionalFormatting>
  <conditionalFormatting sqref="S52">
    <cfRule type="expression" dxfId="210" priority="236">
      <formula>S52=#REF!</formula>
    </cfRule>
  </conditionalFormatting>
  <conditionalFormatting sqref="S921">
    <cfRule type="expression" dxfId="209" priority="235">
      <formula>S921=#REF!</formula>
    </cfRule>
  </conditionalFormatting>
  <conditionalFormatting sqref="S397">
    <cfRule type="expression" dxfId="208" priority="234">
      <formula>S397=#REF!</formula>
    </cfRule>
  </conditionalFormatting>
  <conditionalFormatting sqref="S504">
    <cfRule type="expression" dxfId="207" priority="233">
      <formula>S504=#REF!</formula>
    </cfRule>
  </conditionalFormatting>
  <conditionalFormatting sqref="S722">
    <cfRule type="expression" dxfId="206" priority="232">
      <formula>S722=#REF!</formula>
    </cfRule>
  </conditionalFormatting>
  <conditionalFormatting sqref="S512 S510 S384 S291 O287 S285">
    <cfRule type="expression" dxfId="205" priority="231">
      <formula>O285=#REF!</formula>
    </cfRule>
  </conditionalFormatting>
  <conditionalFormatting sqref="S401 S69 S67 S65">
    <cfRule type="expression" dxfId="204" priority="230">
      <formula>S65=#REF!</formula>
    </cfRule>
  </conditionalFormatting>
  <conditionalFormatting sqref="S593">
    <cfRule type="expression" dxfId="203" priority="229">
      <formula>S593=#REF!</formula>
    </cfRule>
  </conditionalFormatting>
  <conditionalFormatting sqref="S251 S145:S147">
    <cfRule type="expression" dxfId="202" priority="228">
      <formula>S145=#REF!</formula>
    </cfRule>
  </conditionalFormatting>
  <conditionalFormatting sqref="S208:S210 S204:S206 S138">
    <cfRule type="expression" dxfId="201" priority="227">
      <formula>S138=#REF!</formula>
    </cfRule>
  </conditionalFormatting>
  <conditionalFormatting sqref="S642 S612 S609 S606:S607">
    <cfRule type="expression" dxfId="200" priority="222">
      <formula>S606=#REF!</formula>
    </cfRule>
  </conditionalFormatting>
  <conditionalFormatting sqref="S212:S214 S135 S129">
    <cfRule type="expression" dxfId="199" priority="225">
      <formula>S129=#REF!</formula>
    </cfRule>
  </conditionalFormatting>
  <conditionalFormatting sqref="S485 S418">
    <cfRule type="expression" dxfId="198" priority="224">
      <formula>S418=#REF!</formula>
    </cfRule>
  </conditionalFormatting>
  <conditionalFormatting sqref="S892">
    <cfRule type="expression" dxfId="197" priority="223">
      <formula>S892=#REF!</formula>
    </cfRule>
  </conditionalFormatting>
  <conditionalFormatting sqref="S329 S339:S340 S344 S437">
    <cfRule type="expression" dxfId="196" priority="221">
      <formula>S329=#REF!</formula>
    </cfRule>
  </conditionalFormatting>
  <conditionalFormatting sqref="S673:S674 S668">
    <cfRule type="expression" dxfId="195" priority="220">
      <formula>S668=#REF!</formula>
    </cfRule>
  </conditionalFormatting>
  <conditionalFormatting sqref="S900">
    <cfRule type="expression" dxfId="194" priority="219">
      <formula>S900=#REF!</formula>
    </cfRule>
  </conditionalFormatting>
  <conditionalFormatting sqref="S490 S415 S61">
    <cfRule type="expression" dxfId="193" priority="218">
      <formula>S61=#REF!</formula>
    </cfRule>
  </conditionalFormatting>
  <conditionalFormatting sqref="S893 S847">
    <cfRule type="expression" dxfId="192" priority="217">
      <formula>S847=#REF!</formula>
    </cfRule>
  </conditionalFormatting>
  <conditionalFormatting sqref="S104">
    <cfRule type="expression" dxfId="191" priority="216">
      <formula>S104=#REF!</formula>
    </cfRule>
  </conditionalFormatting>
  <conditionalFormatting sqref="S486 S484 S479 S436 S433">
    <cfRule type="expression" dxfId="190" priority="215">
      <formula>S433=#REF!</formula>
    </cfRule>
  </conditionalFormatting>
  <conditionalFormatting sqref="S177:S178">
    <cfRule type="expression" dxfId="189" priority="214">
      <formula>S177=#REF!</formula>
    </cfRule>
  </conditionalFormatting>
  <conditionalFormatting sqref="S694">
    <cfRule type="expression" dxfId="188" priority="213">
      <formula>S694=#REF!</formula>
    </cfRule>
  </conditionalFormatting>
  <conditionalFormatting sqref="S684">
    <cfRule type="expression" dxfId="187" priority="212">
      <formula>S684=#REF!</formula>
    </cfRule>
  </conditionalFormatting>
  <conditionalFormatting sqref="S404:S406 S391 S388:S389 S386">
    <cfRule type="expression" dxfId="186" priority="211">
      <formula>S386=#REF!</formula>
    </cfRule>
  </conditionalFormatting>
  <conditionalFormatting sqref="S803 S759">
    <cfRule type="expression" dxfId="185" priority="210">
      <formula>S759=#REF!</formula>
    </cfRule>
  </conditionalFormatting>
  <conditionalFormatting sqref="S107">
    <cfRule type="expression" dxfId="184" priority="209">
      <formula>S107=#REF!</formula>
    </cfRule>
  </conditionalFormatting>
  <conditionalFormatting sqref="S819 S817">
    <cfRule type="expression" dxfId="183" priority="208">
      <formula>S817=#REF!</formula>
    </cfRule>
  </conditionalFormatting>
  <conditionalFormatting sqref="S770:S773 S767:S768 S383">
    <cfRule type="expression" dxfId="182" priority="207">
      <formula>S383=#REF!</formula>
    </cfRule>
  </conditionalFormatting>
  <conditionalFormatting sqref="S762">
    <cfRule type="expression" dxfId="181" priority="206">
      <formula>S762=#REF!</formula>
    </cfRule>
  </conditionalFormatting>
  <conditionalFormatting sqref="S523 S351 S336 S322">
    <cfRule type="expression" dxfId="180" priority="205">
      <formula>S322=#REF!</formula>
    </cfRule>
  </conditionalFormatting>
  <conditionalFormatting sqref="S797 S792">
    <cfRule type="expression" dxfId="179" priority="204">
      <formula>S792=#REF!</formula>
    </cfRule>
  </conditionalFormatting>
  <conditionalFormatting sqref="S243">
    <cfRule type="expression" dxfId="178" priority="202">
      <formula>S243=#REF!</formula>
    </cfRule>
  </conditionalFormatting>
  <conditionalFormatting sqref="S933 S910 S908 S905">
    <cfRule type="expression" dxfId="177" priority="201">
      <formula>S905=#REF!</formula>
    </cfRule>
  </conditionalFormatting>
  <conditionalFormatting sqref="S120">
    <cfRule type="expression" dxfId="176" priority="200">
      <formula>S120=#REF!</formula>
    </cfRule>
  </conditionalFormatting>
  <conditionalFormatting sqref="S610 S341">
    <cfRule type="expression" dxfId="175" priority="199">
      <formula>S341=#REF!</formula>
    </cfRule>
  </conditionalFormatting>
  <conditionalFormatting sqref="S499 S382">
    <cfRule type="expression" dxfId="174" priority="198">
      <formula>S382=#REF!</formula>
    </cfRule>
  </conditionalFormatting>
  <conditionalFormatting sqref="S809:S810 S777:S778 S774:S775 S92 S88:S90 S84:S85">
    <cfRule type="expression" dxfId="173" priority="197">
      <formula>S84=#REF!</formula>
    </cfRule>
  </conditionalFormatting>
  <conditionalFormatting sqref="S751">
    <cfRule type="expression" dxfId="172" priority="196">
      <formula>S751=#REF!</formula>
    </cfRule>
  </conditionalFormatting>
  <conditionalFormatting sqref="S631 S58:S59">
    <cfRule type="expression" dxfId="171" priority="195">
      <formula>S58=#REF!</formula>
    </cfRule>
  </conditionalFormatting>
  <conditionalFormatting sqref="S793:S794 S789">
    <cfRule type="expression" dxfId="170" priority="194">
      <formula>S789=#REF!</formula>
    </cfRule>
  </conditionalFormatting>
  <conditionalFormatting sqref="S126">
    <cfRule type="expression" dxfId="169" priority="193">
      <formula>S126=#REF!</formula>
    </cfRule>
  </conditionalFormatting>
  <conditionalFormatting sqref="S502:S503 S409 S398 S385">
    <cfRule type="expression" dxfId="168" priority="192">
      <formula>S385=#REF!</formula>
    </cfRule>
  </conditionalFormatting>
  <conditionalFormatting sqref="S864">
    <cfRule type="expression" dxfId="167" priority="191">
      <formula>S864=#REF!</formula>
    </cfRule>
  </conditionalFormatting>
  <conditionalFormatting sqref="S362 S350 S345:S347 S293">
    <cfRule type="expression" dxfId="166" priority="190">
      <formula>S293=#REF!</formula>
    </cfRule>
  </conditionalFormatting>
  <conditionalFormatting sqref="S927">
    <cfRule type="expression" dxfId="165" priority="189">
      <formula>S927=#REF!</formula>
    </cfRule>
  </conditionalFormatting>
  <conditionalFormatting sqref="S525 S522 S319:S320 Q296:Q297">
    <cfRule type="expression" dxfId="164" priority="188">
      <formula>Q296=#REF!</formula>
    </cfRule>
  </conditionalFormatting>
  <conditionalFormatting sqref="S494 S467 S451 S414 S288:S290 S284">
    <cfRule type="expression" dxfId="163" priority="187">
      <formula>S284=#REF!</formula>
    </cfRule>
  </conditionalFormatting>
  <conditionalFormatting sqref="S166:S167">
    <cfRule type="expression" dxfId="162" priority="185">
      <formula>S166=#REF!</formula>
    </cfRule>
  </conditionalFormatting>
  <conditionalFormatting sqref="Q611 Q594 Q580 Q578 Q572 Q563">
    <cfRule type="expression" dxfId="161" priority="183">
      <formula>Q563=#REF!</formula>
    </cfRule>
  </conditionalFormatting>
  <conditionalFormatting sqref="S478 S470 S459">
    <cfRule type="expression" dxfId="160" priority="182">
      <formula>S459=#REF!</formula>
    </cfRule>
  </conditionalFormatting>
  <conditionalFormatting sqref="P75:Q80 P748:Q750">
    <cfRule type="expression" dxfId="159" priority="181">
      <formula>P75=#REF!</formula>
    </cfRule>
  </conditionalFormatting>
  <conditionalFormatting sqref="BV338:CC338 BV345:CC345 BV608:CC608">
    <cfRule type="expression" dxfId="158" priority="180">
      <formula>BV338=#REF!</formula>
    </cfRule>
  </conditionalFormatting>
  <conditionalFormatting sqref="BU338">
    <cfRule type="expression" dxfId="157" priority="179">
      <formula>BU338=#REF!</formula>
    </cfRule>
  </conditionalFormatting>
  <conditionalFormatting sqref="R7:S7">
    <cfRule type="expression" dxfId="156" priority="178">
      <formula>R7=#REF!</formula>
    </cfRule>
  </conditionalFormatting>
  <conditionalFormatting sqref="R15:S16">
    <cfRule type="expression" dxfId="155" priority="177">
      <formula>R15=#REF!</formula>
    </cfRule>
  </conditionalFormatting>
  <conditionalFormatting sqref="R54 R56">
    <cfRule type="expression" dxfId="154" priority="175">
      <formula>R54=#REF!</formula>
    </cfRule>
  </conditionalFormatting>
  <conditionalFormatting sqref="S829">
    <cfRule type="expression" dxfId="153" priority="174">
      <formula>S829=#REF!</formula>
    </cfRule>
  </conditionalFormatting>
  <conditionalFormatting sqref="P828:Q828 P829 P834">
    <cfRule type="expression" dxfId="152" priority="173">
      <formula>P828=#REF!</formula>
    </cfRule>
  </conditionalFormatting>
  <conditionalFormatting sqref="Q829">
    <cfRule type="expression" dxfId="151" priority="172">
      <formula>Q829=#REF!</formula>
    </cfRule>
  </conditionalFormatting>
  <conditionalFormatting sqref="Q834">
    <cfRule type="expression" dxfId="150" priority="171">
      <formula>Q834=#REF!</formula>
    </cfRule>
  </conditionalFormatting>
  <conditionalFormatting sqref="AB487:AC487">
    <cfRule type="expression" dxfId="149" priority="170">
      <formula>AB487=#REF!</formula>
    </cfRule>
  </conditionalFormatting>
  <conditionalFormatting sqref="AX487:BN487">
    <cfRule type="expression" dxfId="148" priority="169">
      <formula>AX487=#REF!</formula>
    </cfRule>
  </conditionalFormatting>
  <conditionalFormatting sqref="X487:AA487">
    <cfRule type="expression" dxfId="147" priority="168">
      <formula>X487=#REF!</formula>
    </cfRule>
  </conditionalFormatting>
  <conditionalFormatting sqref="S487">
    <cfRule type="expression" dxfId="146" priority="167">
      <formula>S487=#REF!</formula>
    </cfRule>
  </conditionalFormatting>
  <conditionalFormatting sqref="O487 Q487:R487">
    <cfRule type="expression" dxfId="145" priority="166">
      <formula>O487=#REF!</formula>
    </cfRule>
  </conditionalFormatting>
  <conditionalFormatting sqref="AB966:AC966">
    <cfRule type="expression" dxfId="144" priority="165">
      <formula>AB966=#REF!</formula>
    </cfRule>
  </conditionalFormatting>
  <conditionalFormatting sqref="R966">
    <cfRule type="expression" dxfId="143" priority="164">
      <formula>R966=#REF!</formula>
    </cfRule>
  </conditionalFormatting>
  <conditionalFormatting sqref="S966">
    <cfRule type="expression" dxfId="142" priority="163">
      <formula>S966=#REF!</formula>
    </cfRule>
  </conditionalFormatting>
  <conditionalFormatting sqref="AC967">
    <cfRule type="expression" dxfId="141" priority="162">
      <formula>AC967=#REF!</formula>
    </cfRule>
  </conditionalFormatting>
  <conditionalFormatting sqref="O967:R967">
    <cfRule type="expression" dxfId="140" priority="161">
      <formula>O967=#REF!</formula>
    </cfRule>
  </conditionalFormatting>
  <conditionalFormatting sqref="S967">
    <cfRule type="expression" dxfId="139" priority="160">
      <formula>S967=#REF!</formula>
    </cfRule>
  </conditionalFormatting>
  <conditionalFormatting sqref="X967">
    <cfRule type="expression" dxfId="138" priority="159">
      <formula>X967=#REF!</formula>
    </cfRule>
  </conditionalFormatting>
  <conditionalFormatting sqref="O966:Q966">
    <cfRule type="expression" dxfId="137" priority="158">
      <formula>O966=#REF!</formula>
    </cfRule>
  </conditionalFormatting>
  <conditionalFormatting sqref="AC981">
    <cfRule type="expression" dxfId="136" priority="157">
      <formula>AC981=#REF!</formula>
    </cfRule>
  </conditionalFormatting>
  <conditionalFormatting sqref="O981:R981">
    <cfRule type="expression" dxfId="135" priority="156">
      <formula>O981=#REF!</formula>
    </cfRule>
  </conditionalFormatting>
  <conditionalFormatting sqref="S981">
    <cfRule type="expression" dxfId="134" priority="155">
      <formula>S981=#REF!</formula>
    </cfRule>
  </conditionalFormatting>
  <conditionalFormatting sqref="AC971">
    <cfRule type="expression" dxfId="133" priority="154">
      <formula>AC971=#REF!</formula>
    </cfRule>
  </conditionalFormatting>
  <conditionalFormatting sqref="O971:R971">
    <cfRule type="expression" dxfId="132" priority="153">
      <formula>O971=#REF!</formula>
    </cfRule>
  </conditionalFormatting>
  <conditionalFormatting sqref="S971">
    <cfRule type="expression" dxfId="131" priority="152">
      <formula>S971=#REF!</formula>
    </cfRule>
  </conditionalFormatting>
  <conditionalFormatting sqref="X971">
    <cfRule type="expression" dxfId="130" priority="151">
      <formula>X971=#REF!</formula>
    </cfRule>
  </conditionalFormatting>
  <conditionalFormatting sqref="X970:AA970">
    <cfRule type="expression" dxfId="129" priority="141">
      <formula>X970=#REF!</formula>
    </cfRule>
  </conditionalFormatting>
  <conditionalFormatting sqref="X968">
    <cfRule type="expression" dxfId="128" priority="147">
      <formula>X968=#REF!</formula>
    </cfRule>
  </conditionalFormatting>
  <conditionalFormatting sqref="AB968:AC969">
    <cfRule type="expression" dxfId="127" priority="145">
      <formula>AB968=#REF!</formula>
    </cfRule>
  </conditionalFormatting>
  <conditionalFormatting sqref="S970">
    <cfRule type="expression" dxfId="126" priority="140">
      <formula>S970=#REF!</formula>
    </cfRule>
  </conditionalFormatting>
  <conditionalFormatting sqref="N970:Q970">
    <cfRule type="expression" dxfId="125" priority="139">
      <formula>N970=#REF!</formula>
    </cfRule>
  </conditionalFormatting>
  <conditionalFormatting sqref="X969">
    <cfRule type="expression" dxfId="124" priority="138">
      <formula>X969=#REF!</formula>
    </cfRule>
  </conditionalFormatting>
  <conditionalFormatting sqref="S969">
    <cfRule type="expression" dxfId="123" priority="137">
      <formula>S969=#REF!</formula>
    </cfRule>
  </conditionalFormatting>
  <conditionalFormatting sqref="AB965:AC965">
    <cfRule type="expression" dxfId="122" priority="136">
      <formula>AB965=#REF!</formula>
    </cfRule>
  </conditionalFormatting>
  <conditionalFormatting sqref="S965">
    <cfRule type="expression" dxfId="121" priority="135">
      <formula>S965=#REF!</formula>
    </cfRule>
  </conditionalFormatting>
  <conditionalFormatting sqref="N114:Q114">
    <cfRule type="expression" dxfId="120" priority="133">
      <formula>N114=#REF!</formula>
    </cfRule>
  </conditionalFormatting>
  <conditionalFormatting sqref="X956:AC956">
    <cfRule type="expression" dxfId="119" priority="132">
      <formula>X956=#REF!</formula>
    </cfRule>
  </conditionalFormatting>
  <conditionalFormatting sqref="N956:O956">
    <cfRule type="expression" dxfId="118" priority="131">
      <formula>N956=#REF!</formula>
    </cfRule>
  </conditionalFormatting>
  <conditionalFormatting sqref="S956">
    <cfRule type="expression" dxfId="117" priority="130">
      <formula>S956=#REF!</formula>
    </cfRule>
  </conditionalFormatting>
  <conditionalFormatting sqref="AB950:AC950">
    <cfRule type="expression" dxfId="116" priority="129">
      <formula>AB950=#REF!</formula>
    </cfRule>
  </conditionalFormatting>
  <conditionalFormatting sqref="X950:AA950">
    <cfRule type="expression" dxfId="115" priority="128">
      <formula>X950=#REF!</formula>
    </cfRule>
  </conditionalFormatting>
  <conditionalFormatting sqref="S950">
    <cfRule type="expression" dxfId="114" priority="127">
      <formula>S950=#REF!</formula>
    </cfRule>
  </conditionalFormatting>
  <conditionalFormatting sqref="N950:R950">
    <cfRule type="expression" dxfId="113" priority="126">
      <formula>N950=#REF!</formula>
    </cfRule>
  </conditionalFormatting>
  <conditionalFormatting sqref="S349 S359">
    <cfRule type="expression" dxfId="112" priority="121">
      <formula>S349=#REF!</formula>
    </cfRule>
  </conditionalFormatting>
  <conditionalFormatting sqref="S599">
    <cfRule type="expression" dxfId="111" priority="120">
      <formula>S599=#REF!</formula>
    </cfRule>
  </conditionalFormatting>
  <conditionalFormatting sqref="R599">
    <cfRule type="expression" dxfId="110" priority="119">
      <formula>R599=#REF!</formula>
    </cfRule>
  </conditionalFormatting>
  <conditionalFormatting sqref="S691">
    <cfRule type="expression" dxfId="109" priority="118">
      <formula>S691=#REF!</formula>
    </cfRule>
  </conditionalFormatting>
  <conditionalFormatting sqref="R691">
    <cfRule type="expression" dxfId="108" priority="117">
      <formula>R691=#REF!</formula>
    </cfRule>
  </conditionalFormatting>
  <conditionalFormatting sqref="S714">
    <cfRule type="expression" dxfId="107" priority="116">
      <formula>S714=#REF!</formula>
    </cfRule>
  </conditionalFormatting>
  <conditionalFormatting sqref="S716">
    <cfRule type="expression" dxfId="106" priority="114">
      <formula>S716=#REF!</formula>
    </cfRule>
  </conditionalFormatting>
  <conditionalFormatting sqref="S718">
    <cfRule type="expression" dxfId="105" priority="112">
      <formula>S718=#REF!</formula>
    </cfRule>
  </conditionalFormatting>
  <conditionalFormatting sqref="S719">
    <cfRule type="expression" dxfId="104" priority="110">
      <formula>S719=#REF!</formula>
    </cfRule>
  </conditionalFormatting>
  <conditionalFormatting sqref="S720">
    <cfRule type="expression" dxfId="103" priority="108">
      <formula>S720=#REF!</formula>
    </cfRule>
  </conditionalFormatting>
  <conditionalFormatting sqref="S736">
    <cfRule type="expression" dxfId="102" priority="106">
      <formula>S736=#REF!</formula>
    </cfRule>
  </conditionalFormatting>
  <conditionalFormatting sqref="S740">
    <cfRule type="expression" dxfId="101" priority="104">
      <formula>S740=#REF!</formula>
    </cfRule>
  </conditionalFormatting>
  <conditionalFormatting sqref="S492 S477 S469 S462 S286 S280 S608 S419 O420:O421">
    <cfRule type="expression" dxfId="100" priority="699">
      <formula>O280=$Q$531</formula>
    </cfRule>
  </conditionalFormatting>
  <conditionalFormatting sqref="R714 R716 R718:R720 R736 R740">
    <cfRule type="expression" dxfId="99" priority="710">
      <formula>R714=$S$531</formula>
    </cfRule>
  </conditionalFormatting>
  <conditionalFormatting sqref="N85:O86">
    <cfRule type="expression" dxfId="98" priority="101">
      <formula>N85=#REF!</formula>
    </cfRule>
  </conditionalFormatting>
  <conditionalFormatting sqref="N88:O94">
    <cfRule type="expression" dxfId="97" priority="100">
      <formula>N88=#REF!</formula>
    </cfRule>
  </conditionalFormatting>
  <conditionalFormatting sqref="P809:Q811">
    <cfRule type="expression" dxfId="96" priority="89">
      <formula>P809=#REF!</formula>
    </cfRule>
  </conditionalFormatting>
  <conditionalFormatting sqref="P167:Q170">
    <cfRule type="expression" dxfId="95" priority="99">
      <formula>P167=#REF!</formula>
    </cfRule>
  </conditionalFormatting>
  <conditionalFormatting sqref="R764:S764">
    <cfRule type="expression" dxfId="94" priority="98">
      <formula>R764=#REF!</formula>
    </cfRule>
  </conditionalFormatting>
  <conditionalFormatting sqref="P774:Q774">
    <cfRule type="expression" dxfId="93" priority="97">
      <formula>P774=#REF!</formula>
    </cfRule>
  </conditionalFormatting>
  <conditionalFormatting sqref="P775:Q775">
    <cfRule type="expression" dxfId="92" priority="96">
      <formula>P775=#REF!</formula>
    </cfRule>
  </conditionalFormatting>
  <conditionalFormatting sqref="P777:Q777">
    <cfRule type="expression" dxfId="91" priority="95">
      <formula>P777=#REF!</formula>
    </cfRule>
  </conditionalFormatting>
  <conditionalFormatting sqref="P778:Q778">
    <cfRule type="expression" dxfId="90" priority="94">
      <formula>P778=#REF!</formula>
    </cfRule>
  </conditionalFormatting>
  <conditionalFormatting sqref="R780:S780">
    <cfRule type="expression" dxfId="89" priority="93">
      <formula>R780=#REF!</formula>
    </cfRule>
  </conditionalFormatting>
  <conditionalFormatting sqref="R781:S781">
    <cfRule type="expression" dxfId="88" priority="92">
      <formula>R781=#REF!</formula>
    </cfRule>
  </conditionalFormatting>
  <conditionalFormatting sqref="P784:Q784">
    <cfRule type="expression" dxfId="87" priority="91">
      <formula>P784=#REF!</formula>
    </cfRule>
  </conditionalFormatting>
  <conditionalFormatting sqref="P785:Q785">
    <cfRule type="expression" dxfId="86" priority="90">
      <formula>P785=#REF!</formula>
    </cfRule>
  </conditionalFormatting>
  <conditionalFormatting sqref="R246:S246">
    <cfRule type="expression" dxfId="85" priority="88">
      <formula>R246=#REF!</formula>
    </cfRule>
  </conditionalFormatting>
  <conditionalFormatting sqref="R247:S247">
    <cfRule type="expression" dxfId="84" priority="87">
      <formula>R247=#REF!</formula>
    </cfRule>
  </conditionalFormatting>
  <conditionalFormatting sqref="Q370:S370">
    <cfRule type="expression" dxfId="83" priority="82">
      <formula>Q370=#REF!</formula>
    </cfRule>
  </conditionalFormatting>
  <conditionalFormatting sqref="Q365:S365">
    <cfRule type="expression" dxfId="82" priority="86">
      <formula>Q365=#REF!</formula>
    </cfRule>
  </conditionalFormatting>
  <conditionalFormatting sqref="Q367:S367">
    <cfRule type="expression" dxfId="81" priority="85">
      <formula>Q367=#REF!</formula>
    </cfRule>
  </conditionalFormatting>
  <conditionalFormatting sqref="Q368:S368">
    <cfRule type="expression" dxfId="80" priority="84">
      <formula>Q368=#REF!</formula>
    </cfRule>
  </conditionalFormatting>
  <conditionalFormatting sqref="Q369:S369">
    <cfRule type="expression" dxfId="79" priority="83">
      <formula>Q369=#REF!</formula>
    </cfRule>
  </conditionalFormatting>
  <conditionalFormatting sqref="Q538:S538">
    <cfRule type="expression" dxfId="78" priority="81">
      <formula>Q538=#REF!</formula>
    </cfRule>
  </conditionalFormatting>
  <conditionalFormatting sqref="Q539:S539">
    <cfRule type="expression" dxfId="77" priority="80">
      <formula>Q539=#REF!</formula>
    </cfRule>
  </conditionalFormatting>
  <conditionalFormatting sqref="Q540:S540">
    <cfRule type="expression" dxfId="76" priority="79">
      <formula>Q540=#REF!</formula>
    </cfRule>
  </conditionalFormatting>
  <conditionalFormatting sqref="Q541:S541">
    <cfRule type="expression" dxfId="75" priority="78">
      <formula>Q541=#REF!</formula>
    </cfRule>
  </conditionalFormatting>
  <conditionalFormatting sqref="Q542:S542">
    <cfRule type="expression" dxfId="74" priority="77">
      <formula>Q542=#REF!</formula>
    </cfRule>
  </conditionalFormatting>
  <conditionalFormatting sqref="Q543:S543">
    <cfRule type="expression" dxfId="73" priority="76">
      <formula>Q543=#REF!</formula>
    </cfRule>
  </conditionalFormatting>
  <conditionalFormatting sqref="Q546:S546">
    <cfRule type="expression" dxfId="72" priority="75">
      <formula>Q546=#REF!</formula>
    </cfRule>
  </conditionalFormatting>
  <conditionalFormatting sqref="Q547:S547">
    <cfRule type="expression" dxfId="71" priority="74">
      <formula>Q547=#REF!</formula>
    </cfRule>
  </conditionalFormatting>
  <conditionalFormatting sqref="Q549:S549">
    <cfRule type="expression" dxfId="70" priority="73">
      <formula>Q549=#REF!</formula>
    </cfRule>
  </conditionalFormatting>
  <conditionalFormatting sqref="Q550:S550">
    <cfRule type="expression" dxfId="69" priority="72">
      <formula>Q550=#REF!</formula>
    </cfRule>
  </conditionalFormatting>
  <conditionalFormatting sqref="Q555:S555">
    <cfRule type="expression" dxfId="68" priority="71">
      <formula>Q555=#REF!</formula>
    </cfRule>
  </conditionalFormatting>
  <conditionalFormatting sqref="Q556:S556">
    <cfRule type="expression" dxfId="67" priority="70">
      <formula>Q556=#REF!</formula>
    </cfRule>
  </conditionalFormatting>
  <conditionalFormatting sqref="Q557:S557">
    <cfRule type="expression" dxfId="66" priority="69">
      <formula>Q557=#REF!</formula>
    </cfRule>
  </conditionalFormatting>
  <conditionalFormatting sqref="Q559:S559">
    <cfRule type="expression" dxfId="65" priority="68">
      <formula>Q559=#REF!</formula>
    </cfRule>
  </conditionalFormatting>
  <conditionalFormatting sqref="R558">
    <cfRule type="expression" dxfId="64" priority="67">
      <formula>R558=#REF!</formula>
    </cfRule>
  </conditionalFormatting>
  <conditionalFormatting sqref="P560:Q560">
    <cfRule type="expression" dxfId="63" priority="66">
      <formula>P560=#REF!</formula>
    </cfRule>
  </conditionalFormatting>
  <conditionalFormatting sqref="R560">
    <cfRule type="expression" dxfId="62" priority="65">
      <formula>R560=#REF!</formula>
    </cfRule>
  </conditionalFormatting>
  <conditionalFormatting sqref="Q82">
    <cfRule type="expression" dxfId="61" priority="64">
      <formula>Q82=#REF!</formula>
    </cfRule>
  </conditionalFormatting>
  <conditionalFormatting sqref="AB977:AB978">
    <cfRule type="expression" dxfId="60" priority="54">
      <formula>AB977=#REF!</formula>
    </cfRule>
  </conditionalFormatting>
  <conditionalFormatting sqref="AB963">
    <cfRule type="expression" dxfId="59" priority="55">
      <formula>AB963=#REF!</formula>
    </cfRule>
  </conditionalFormatting>
  <conditionalFormatting sqref="X961:Y964">
    <cfRule type="expression" dxfId="58" priority="56">
      <formula>X961=#REF!</formula>
    </cfRule>
  </conditionalFormatting>
  <conditionalFormatting sqref="Q973:S973">
    <cfRule type="expression" dxfId="57" priority="49">
      <formula>Q973=#REF!</formula>
    </cfRule>
  </conditionalFormatting>
  <conditionalFormatting sqref="X973:AA974">
    <cfRule type="expression" dxfId="56" priority="51">
      <formula>X973=#REF!</formula>
    </cfRule>
  </conditionalFormatting>
  <conditionalFormatting sqref="Z972:AA972">
    <cfRule type="expression" dxfId="55" priority="45">
      <formula>Z972=#REF!</formula>
    </cfRule>
  </conditionalFormatting>
  <conditionalFormatting sqref="S972">
    <cfRule type="expression" dxfId="54" priority="44">
      <formula>S972=#REF!</formula>
    </cfRule>
  </conditionalFormatting>
  <conditionalFormatting sqref="N972:O972">
    <cfRule type="expression" dxfId="53" priority="43">
      <formula>N972=#REF!</formula>
    </cfRule>
  </conditionalFormatting>
  <conditionalFormatting sqref="X972:Y972">
    <cfRule type="expression" dxfId="52" priority="42">
      <formula>X972=#REF!</formula>
    </cfRule>
  </conditionalFormatting>
  <conditionalFormatting sqref="N677:O677">
    <cfRule type="expression" dxfId="51" priority="41">
      <formula>N677=#REF!</formula>
    </cfRule>
  </conditionalFormatting>
  <conditionalFormatting sqref="N678:O678">
    <cfRule type="expression" dxfId="50" priority="40">
      <formula>N678=#REF!</formula>
    </cfRule>
  </conditionalFormatting>
  <conditionalFormatting sqref="N699:O699">
    <cfRule type="expression" dxfId="49" priority="39">
      <formula>N699=#REF!</formula>
    </cfRule>
  </conditionalFormatting>
  <conditionalFormatting sqref="R703:S703">
    <cfRule type="expression" dxfId="48" priority="38">
      <formula>R703=#REF!</formula>
    </cfRule>
  </conditionalFormatting>
  <conditionalFormatting sqref="R704:S704">
    <cfRule type="expression" dxfId="47" priority="37">
      <formula>R704=#REF!</formula>
    </cfRule>
  </conditionalFormatting>
  <conditionalFormatting sqref="R705:S705">
    <cfRule type="expression" dxfId="46" priority="36">
      <formula>R705=#REF!</formula>
    </cfRule>
  </conditionalFormatting>
  <conditionalFormatting sqref="R706:S706">
    <cfRule type="expression" dxfId="45" priority="35">
      <formula>R706=#REF!</formula>
    </cfRule>
  </conditionalFormatting>
  <conditionalFormatting sqref="S676">
    <cfRule type="expression" dxfId="44" priority="34">
      <formula>S676=#REF!</formula>
    </cfRule>
  </conditionalFormatting>
  <conditionalFormatting sqref="N448">
    <cfRule type="expression" dxfId="43" priority="32">
      <formula>N448=#REF!</formula>
    </cfRule>
  </conditionalFormatting>
  <conditionalFormatting sqref="O448">
    <cfRule type="expression" dxfId="42" priority="31">
      <formula>O448=#REF!</formula>
    </cfRule>
  </conditionalFormatting>
  <conditionalFormatting sqref="N451">
    <cfRule type="expression" dxfId="41" priority="30">
      <formula>N451=#REF!</formula>
    </cfRule>
  </conditionalFormatting>
  <conditionalFormatting sqref="O451">
    <cfRule type="expression" dxfId="40" priority="29">
      <formula>O451=#REF!</formula>
    </cfRule>
  </conditionalFormatting>
  <conditionalFormatting sqref="N472">
    <cfRule type="expression" dxfId="39" priority="24">
      <formula>N472=#REF!</formula>
    </cfRule>
  </conditionalFormatting>
  <conditionalFormatting sqref="O472">
    <cfRule type="expression" dxfId="38" priority="23">
      <formula>O472=#REF!</formula>
    </cfRule>
  </conditionalFormatting>
  <conditionalFormatting sqref="S974">
    <cfRule type="expression" dxfId="37" priority="20">
      <formula>S974=#REF!</formula>
    </cfRule>
  </conditionalFormatting>
  <conditionalFormatting sqref="N974:O974">
    <cfRule type="expression" dxfId="36" priority="19">
      <formula>N974=#REF!</formula>
    </cfRule>
  </conditionalFormatting>
  <conditionalFormatting sqref="S976">
    <cfRule type="expression" dxfId="35" priority="18">
      <formula>S976=#REF!</formula>
    </cfRule>
  </conditionalFormatting>
  <conditionalFormatting sqref="N976:O976">
    <cfRule type="expression" dxfId="34" priority="17">
      <formula>N976=#REF!</formula>
    </cfRule>
  </conditionalFormatting>
  <conditionalFormatting sqref="S975">
    <cfRule type="expression" dxfId="33" priority="16">
      <formula>S975=#REF!</formula>
    </cfRule>
  </conditionalFormatting>
  <conditionalFormatting sqref="N975:O975">
    <cfRule type="expression" dxfId="32" priority="15">
      <formula>N975=#REF!</formula>
    </cfRule>
  </conditionalFormatting>
  <conditionalFormatting sqref="N977:Q977">
    <cfRule type="expression" dxfId="31" priority="14">
      <formula>N977=#REF!</formula>
    </cfRule>
  </conditionalFormatting>
  <conditionalFormatting sqref="N343:Q343">
    <cfRule type="expression" dxfId="30" priority="13">
      <formula>N343=#REF!</formula>
    </cfRule>
  </conditionalFormatting>
  <conditionalFormatting sqref="S343">
    <cfRule type="expression" dxfId="29" priority="12">
      <formula>S343=#REF!</formula>
    </cfRule>
  </conditionalFormatting>
  <conditionalFormatting sqref="O345:Q345">
    <cfRule type="expression" dxfId="28" priority="11">
      <formula>O345=#REF!</formula>
    </cfRule>
  </conditionalFormatting>
  <conditionalFormatting sqref="S423">
    <cfRule type="expression" dxfId="27" priority="10">
      <formula>S423=#REF!</formula>
    </cfRule>
  </conditionalFormatting>
  <conditionalFormatting sqref="N955:O955">
    <cfRule type="expression" dxfId="26" priority="9">
      <formula>N955=#REF!</formula>
    </cfRule>
  </conditionalFormatting>
  <conditionalFormatting sqref="S955">
    <cfRule type="expression" dxfId="25" priority="8">
      <formula>S955=#REF!</formula>
    </cfRule>
  </conditionalFormatting>
  <conditionalFormatting sqref="N961:Q961">
    <cfRule type="expression" dxfId="24" priority="7">
      <formula>N961=#REF!</formula>
    </cfRule>
  </conditionalFormatting>
  <conditionalFormatting sqref="N962:Q962">
    <cfRule type="expression" dxfId="23" priority="6">
      <formula>N962=#REF!</formula>
    </cfRule>
  </conditionalFormatting>
  <conditionalFormatting sqref="P963:Q963">
    <cfRule type="cellIs" dxfId="22" priority="4" operator="equal">
      <formula>#REF!</formula>
    </cfRule>
  </conditionalFormatting>
  <conditionalFormatting sqref="N964:O964 N963:Q963">
    <cfRule type="expression" dxfId="21" priority="5">
      <formula>N963=#REF!</formula>
    </cfRule>
  </conditionalFormatting>
  <conditionalFormatting sqref="P964:Q964">
    <cfRule type="expression" dxfId="20" priority="3">
      <formula>P964=#REF!</formula>
    </cfRule>
  </conditionalFormatting>
  <conditionalFormatting sqref="Y981">
    <cfRule type="expression" dxfId="19" priority="2">
      <formula>Y981=#REF!</formula>
    </cfRule>
  </conditionalFormatting>
  <conditionalFormatting sqref="P973">
    <cfRule type="expression" dxfId="18" priority="1">
      <formula>P973=#REF!</formula>
    </cfRule>
  </conditionalFormatting>
  <pageMargins left="0.39370078740157483" right="0.15748031496062992" top="0.43307086614173229" bottom="0.51181102362204722" header="0.31496062992125984" footer="0.31496062992125984"/>
  <pageSetup paperSize="8" scale="10" orientation="landscape" r:id="rId1"/>
  <headerFooter alignWithMargins="0">
    <oddFooter>&amp;L&amp;Z&amp;F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AC33"/>
  <sheetViews>
    <sheetView topLeftCell="A7" workbookViewId="0">
      <selection activeCell="W36" sqref="W36"/>
    </sheetView>
  </sheetViews>
  <sheetFormatPr defaultRowHeight="12.75"/>
  <cols>
    <col min="1" max="2" width="17.5703125" customWidth="1"/>
    <col min="3" max="3" width="14.5703125" customWidth="1"/>
    <col min="4" max="4" width="16" style="28" customWidth="1"/>
    <col min="5" max="5" width="6.140625" style="31" customWidth="1"/>
    <col min="6" max="7" width="5.28515625" style="31" customWidth="1"/>
    <col min="8" max="8" width="4.5703125" style="31" customWidth="1"/>
    <col min="9" max="9" width="3" style="31" customWidth="1"/>
    <col min="10" max="10" width="4" style="31" customWidth="1"/>
    <col min="11" max="11" width="4.42578125" style="31" customWidth="1"/>
    <col min="12" max="12" width="3.85546875" style="31" customWidth="1"/>
    <col min="13" max="14" width="3.5703125" style="31" customWidth="1"/>
    <col min="15" max="15" width="3.7109375" style="31" customWidth="1"/>
    <col min="16" max="16" width="6.7109375" style="31" customWidth="1"/>
    <col min="17" max="17" width="8.85546875" style="31" customWidth="1"/>
    <col min="18" max="18" width="6" style="31" customWidth="1"/>
    <col min="19" max="24" width="6.85546875" style="31" customWidth="1"/>
    <col min="25" max="26" width="9.140625" customWidth="1"/>
    <col min="28" max="28" width="14.85546875" bestFit="1" customWidth="1"/>
    <col min="29" max="29" width="14.42578125" customWidth="1"/>
  </cols>
  <sheetData>
    <row r="1" spans="1:29" ht="45">
      <c r="A1" s="26" t="s">
        <v>994</v>
      </c>
      <c r="B1" s="26" t="s">
        <v>1028</v>
      </c>
      <c r="C1" s="27" t="s">
        <v>996</v>
      </c>
      <c r="D1" s="27" t="s">
        <v>1011</v>
      </c>
      <c r="E1" s="22" t="s">
        <v>805</v>
      </c>
      <c r="F1" s="22" t="s">
        <v>806</v>
      </c>
      <c r="G1" s="22" t="s">
        <v>816</v>
      </c>
      <c r="H1" s="22" t="s">
        <v>817</v>
      </c>
      <c r="I1" s="22" t="s">
        <v>807</v>
      </c>
      <c r="J1" s="22" t="s">
        <v>808</v>
      </c>
      <c r="K1" s="22" t="s">
        <v>809</v>
      </c>
      <c r="L1" s="22" t="s">
        <v>810</v>
      </c>
      <c r="M1" s="22" t="s">
        <v>811</v>
      </c>
      <c r="N1" s="22" t="s">
        <v>812</v>
      </c>
      <c r="O1" s="22" t="s">
        <v>813</v>
      </c>
      <c r="P1" s="22" t="s">
        <v>814</v>
      </c>
      <c r="Q1" s="22" t="s">
        <v>826</v>
      </c>
      <c r="R1" s="22" t="s">
        <v>815</v>
      </c>
      <c r="S1" s="22" t="s">
        <v>820</v>
      </c>
      <c r="T1" s="22" t="s">
        <v>821</v>
      </c>
      <c r="U1" s="22" t="s">
        <v>822</v>
      </c>
      <c r="V1" s="22" t="s">
        <v>823</v>
      </c>
      <c r="W1" s="22" t="s">
        <v>824</v>
      </c>
      <c r="X1" s="22" t="s">
        <v>825</v>
      </c>
      <c r="Y1" s="3" t="s">
        <v>1029</v>
      </c>
      <c r="Z1" s="3" t="s">
        <v>1032</v>
      </c>
      <c r="AB1" s="33" t="s">
        <v>1027</v>
      </c>
      <c r="AC1" s="33" t="s">
        <v>1031</v>
      </c>
    </row>
    <row r="2" spans="1:29">
      <c r="A2" s="24" t="s">
        <v>779</v>
      </c>
      <c r="B2" s="24"/>
      <c r="C2" s="1"/>
      <c r="D2" s="28">
        <f>2500*12</f>
        <v>30000</v>
      </c>
      <c r="E2" s="31" t="s">
        <v>734</v>
      </c>
      <c r="F2" s="31" t="s">
        <v>734</v>
      </c>
      <c r="G2" s="31" t="s">
        <v>734</v>
      </c>
      <c r="I2" s="31" t="s">
        <v>734</v>
      </c>
      <c r="J2" s="31" t="s">
        <v>734</v>
      </c>
      <c r="K2" s="31" t="s">
        <v>734</v>
      </c>
      <c r="L2" s="31" t="s">
        <v>734</v>
      </c>
      <c r="M2" s="31" t="s">
        <v>734</v>
      </c>
      <c r="N2" s="31" t="s">
        <v>734</v>
      </c>
      <c r="Z2">
        <v>1</v>
      </c>
      <c r="AB2" s="51">
        <f t="shared" ref="AB2:AB23" si="0">(C2+D2)*(Y2+Z2)</f>
        <v>30000</v>
      </c>
    </row>
    <row r="3" spans="1:29" ht="22.5">
      <c r="A3" s="24" t="s">
        <v>784</v>
      </c>
      <c r="B3" s="24"/>
      <c r="D3" s="28">
        <v>45000</v>
      </c>
      <c r="E3" s="31" t="s">
        <v>734</v>
      </c>
      <c r="F3" s="31" t="s">
        <v>734</v>
      </c>
      <c r="G3" s="31" t="s">
        <v>734</v>
      </c>
      <c r="I3" s="31" t="s">
        <v>734</v>
      </c>
      <c r="J3" s="31" t="s">
        <v>734</v>
      </c>
      <c r="K3" s="31" t="s">
        <v>734</v>
      </c>
      <c r="L3" s="31" t="s">
        <v>734</v>
      </c>
      <c r="M3" s="31" t="s">
        <v>734</v>
      </c>
      <c r="N3" s="31" t="s">
        <v>734</v>
      </c>
      <c r="Z3">
        <v>1</v>
      </c>
      <c r="AB3" s="51">
        <f t="shared" si="0"/>
        <v>45000</v>
      </c>
    </row>
    <row r="4" spans="1:29">
      <c r="A4" s="29" t="s">
        <v>733</v>
      </c>
      <c r="B4" s="29"/>
      <c r="C4" s="28">
        <v>350</v>
      </c>
      <c r="F4" s="23" t="s">
        <v>734</v>
      </c>
      <c r="G4" s="23"/>
      <c r="H4" s="23"/>
      <c r="I4" s="23"/>
      <c r="J4" s="23"/>
      <c r="K4" s="23"/>
      <c r="L4" s="23"/>
      <c r="M4" s="23"/>
      <c r="N4" s="23"/>
      <c r="O4" s="23" t="s">
        <v>734</v>
      </c>
      <c r="Y4">
        <v>13</v>
      </c>
      <c r="AB4" s="51">
        <f t="shared" si="0"/>
        <v>4550</v>
      </c>
    </row>
    <row r="5" spans="1:29" ht="45">
      <c r="A5" s="24" t="s">
        <v>732</v>
      </c>
      <c r="B5" s="24"/>
      <c r="D5" s="28">
        <v>39000</v>
      </c>
      <c r="E5" s="31" t="s">
        <v>734</v>
      </c>
      <c r="F5" s="31" t="s">
        <v>734</v>
      </c>
      <c r="G5" s="31" t="s">
        <v>734</v>
      </c>
      <c r="I5" s="31" t="s">
        <v>734</v>
      </c>
      <c r="J5" s="31" t="s">
        <v>734</v>
      </c>
      <c r="K5" s="31" t="s">
        <v>734</v>
      </c>
      <c r="L5" s="31" t="s">
        <v>734</v>
      </c>
      <c r="M5" s="31" t="s">
        <v>734</v>
      </c>
      <c r="N5" s="31" t="s">
        <v>734</v>
      </c>
      <c r="Z5">
        <v>1</v>
      </c>
      <c r="AB5" s="51">
        <f t="shared" si="0"/>
        <v>39000</v>
      </c>
    </row>
    <row r="6" spans="1:29">
      <c r="A6" s="24" t="s">
        <v>1009</v>
      </c>
      <c r="B6" s="24"/>
      <c r="C6" s="28">
        <v>220</v>
      </c>
      <c r="E6" s="23" t="s">
        <v>734</v>
      </c>
      <c r="F6" s="23" t="s">
        <v>734</v>
      </c>
      <c r="G6" s="23" t="s">
        <v>734</v>
      </c>
      <c r="H6" s="23"/>
      <c r="I6" s="23" t="s">
        <v>734</v>
      </c>
      <c r="J6" s="23" t="s">
        <v>734</v>
      </c>
      <c r="K6" s="23" t="s">
        <v>734</v>
      </c>
      <c r="L6" s="23" t="s">
        <v>734</v>
      </c>
      <c r="M6" s="23" t="s">
        <v>734</v>
      </c>
      <c r="N6" s="23"/>
      <c r="Y6" s="52">
        <f>245</f>
        <v>245</v>
      </c>
      <c r="AB6" s="51">
        <f t="shared" si="0"/>
        <v>53900</v>
      </c>
    </row>
    <row r="7" spans="1:29">
      <c r="A7" s="29" t="s">
        <v>1010</v>
      </c>
      <c r="B7" s="29"/>
      <c r="C7" s="28">
        <v>165</v>
      </c>
      <c r="E7" s="53"/>
      <c r="F7" s="53" t="s">
        <v>734</v>
      </c>
      <c r="G7" s="53" t="s">
        <v>734</v>
      </c>
      <c r="H7" s="53"/>
      <c r="I7" s="53" t="s">
        <v>734</v>
      </c>
      <c r="J7" s="53" t="s">
        <v>734</v>
      </c>
      <c r="K7" s="53" t="s">
        <v>734</v>
      </c>
      <c r="L7" s="53" t="s">
        <v>734</v>
      </c>
      <c r="M7" s="53" t="s">
        <v>734</v>
      </c>
      <c r="N7" s="53" t="s">
        <v>734</v>
      </c>
      <c r="Y7" s="54">
        <v>67</v>
      </c>
      <c r="AB7" s="51">
        <f t="shared" si="0"/>
        <v>11055</v>
      </c>
    </row>
    <row r="8" spans="1:29">
      <c r="A8" s="29" t="s">
        <v>1187</v>
      </c>
      <c r="B8" s="29"/>
      <c r="C8" s="28">
        <v>165</v>
      </c>
      <c r="E8" s="55" t="s">
        <v>734</v>
      </c>
      <c r="F8" s="53"/>
      <c r="G8" s="53"/>
      <c r="H8" s="53"/>
      <c r="I8" s="53"/>
      <c r="J8" s="53"/>
      <c r="K8" s="53"/>
      <c r="L8" s="53"/>
      <c r="M8" s="53"/>
      <c r="N8" s="53"/>
      <c r="S8" s="25" t="s">
        <v>734</v>
      </c>
      <c r="T8" s="25" t="s">
        <v>734</v>
      </c>
      <c r="U8" s="25" t="s">
        <v>734</v>
      </c>
      <c r="V8" s="25" t="s">
        <v>734</v>
      </c>
      <c r="W8" s="25" t="s">
        <v>734</v>
      </c>
      <c r="X8" s="25" t="s">
        <v>734</v>
      </c>
      <c r="Y8" s="54">
        <v>29</v>
      </c>
      <c r="AB8" s="51">
        <f t="shared" si="0"/>
        <v>4785</v>
      </c>
    </row>
    <row r="9" spans="1:29">
      <c r="A9" s="29" t="s">
        <v>1188</v>
      </c>
      <c r="B9" s="29"/>
      <c r="C9" s="56">
        <f>C7+C6</f>
        <v>385</v>
      </c>
      <c r="E9" s="53"/>
      <c r="F9" s="53"/>
      <c r="G9" s="53"/>
      <c r="H9" s="55" t="s">
        <v>734</v>
      </c>
      <c r="I9" s="53"/>
      <c r="J9" s="53"/>
      <c r="K9" s="53"/>
      <c r="L9" s="53"/>
      <c r="M9" s="53"/>
      <c r="N9" s="55" t="s">
        <v>734</v>
      </c>
      <c r="Y9" s="54">
        <v>34</v>
      </c>
      <c r="AB9" s="51">
        <f t="shared" si="0"/>
        <v>13090</v>
      </c>
    </row>
    <row r="10" spans="1:29">
      <c r="A10" s="24" t="s">
        <v>719</v>
      </c>
      <c r="B10" s="24"/>
      <c r="C10" s="28">
        <v>220</v>
      </c>
      <c r="E10" s="53" t="s">
        <v>734</v>
      </c>
      <c r="F10" s="53" t="s">
        <v>734</v>
      </c>
      <c r="G10" s="53" t="s">
        <v>734</v>
      </c>
      <c r="H10" s="53"/>
      <c r="I10" s="53" t="s">
        <v>734</v>
      </c>
      <c r="J10" s="53" t="s">
        <v>734</v>
      </c>
      <c r="K10" s="53" t="s">
        <v>734</v>
      </c>
      <c r="L10" s="53" t="s">
        <v>734</v>
      </c>
      <c r="M10" s="53" t="s">
        <v>734</v>
      </c>
      <c r="N10" s="53" t="s">
        <v>734</v>
      </c>
      <c r="Y10">
        <f>240+67</f>
        <v>307</v>
      </c>
      <c r="AB10" s="51">
        <f t="shared" si="0"/>
        <v>67540</v>
      </c>
    </row>
    <row r="11" spans="1:29" ht="22.5">
      <c r="A11" s="29" t="s">
        <v>738</v>
      </c>
      <c r="B11" s="29"/>
      <c r="D11" s="56">
        <v>30000</v>
      </c>
      <c r="E11" s="31" t="s">
        <v>734</v>
      </c>
      <c r="G11" s="31" t="s">
        <v>734</v>
      </c>
      <c r="I11" s="31" t="s">
        <v>734</v>
      </c>
      <c r="J11" s="31" t="s">
        <v>734</v>
      </c>
      <c r="K11" s="31" t="s">
        <v>734</v>
      </c>
      <c r="L11" s="31" t="s">
        <v>734</v>
      </c>
      <c r="M11" s="31" t="s">
        <v>734</v>
      </c>
      <c r="N11" s="31" t="s">
        <v>734</v>
      </c>
      <c r="Z11">
        <v>1</v>
      </c>
      <c r="AB11" s="51">
        <f t="shared" si="0"/>
        <v>30000</v>
      </c>
    </row>
    <row r="12" spans="1:29" ht="22.5">
      <c r="A12" s="29" t="s">
        <v>1012</v>
      </c>
      <c r="B12" s="29"/>
      <c r="D12" s="56">
        <v>30000</v>
      </c>
      <c r="H12" s="23" t="s">
        <v>734</v>
      </c>
      <c r="I12" s="23" t="s">
        <v>734</v>
      </c>
      <c r="J12" s="23" t="s">
        <v>734</v>
      </c>
      <c r="K12" s="23" t="s">
        <v>734</v>
      </c>
      <c r="L12" s="23" t="s">
        <v>734</v>
      </c>
      <c r="M12" s="23" t="s">
        <v>734</v>
      </c>
      <c r="N12" s="23" t="s">
        <v>734</v>
      </c>
      <c r="Z12">
        <v>1</v>
      </c>
      <c r="AB12" s="51">
        <f t="shared" si="0"/>
        <v>30000</v>
      </c>
    </row>
    <row r="13" spans="1:29" ht="22.5">
      <c r="A13" s="29" t="s">
        <v>1013</v>
      </c>
      <c r="B13" s="29"/>
      <c r="D13" s="56">
        <v>30000</v>
      </c>
      <c r="H13" s="23" t="s">
        <v>734</v>
      </c>
      <c r="I13" s="23" t="s">
        <v>734</v>
      </c>
      <c r="J13" s="23" t="s">
        <v>734</v>
      </c>
      <c r="K13" s="23" t="s">
        <v>734</v>
      </c>
      <c r="L13" s="23" t="s">
        <v>734</v>
      </c>
      <c r="M13" s="23" t="s">
        <v>734</v>
      </c>
      <c r="N13" s="23" t="s">
        <v>734</v>
      </c>
      <c r="Z13">
        <v>1</v>
      </c>
      <c r="AB13" s="51">
        <f t="shared" si="0"/>
        <v>30000</v>
      </c>
    </row>
    <row r="14" spans="1:29">
      <c r="A14" s="24" t="s">
        <v>1014</v>
      </c>
      <c r="B14" s="24"/>
      <c r="C14" s="28">
        <v>350</v>
      </c>
      <c r="F14" s="23" t="s">
        <v>734</v>
      </c>
      <c r="G14" s="23"/>
      <c r="H14" s="23"/>
      <c r="I14" s="23"/>
      <c r="J14" s="23"/>
      <c r="K14" s="23"/>
      <c r="L14" s="23"/>
      <c r="M14" s="23"/>
      <c r="N14" s="23"/>
      <c r="O14" s="23" t="s">
        <v>734</v>
      </c>
      <c r="Y14">
        <v>13</v>
      </c>
      <c r="AB14" s="51">
        <f t="shared" si="0"/>
        <v>4550</v>
      </c>
    </row>
    <row r="15" spans="1:29">
      <c r="A15" s="24" t="s">
        <v>1015</v>
      </c>
      <c r="B15" s="24"/>
      <c r="C15" s="28">
        <v>350</v>
      </c>
      <c r="F15" s="23" t="s">
        <v>734</v>
      </c>
      <c r="G15" s="23"/>
      <c r="H15" s="23"/>
      <c r="I15" s="23"/>
      <c r="J15" s="23"/>
      <c r="K15" s="23"/>
      <c r="L15" s="23"/>
      <c r="M15" s="23"/>
      <c r="N15" s="23"/>
      <c r="O15" s="23" t="s">
        <v>734</v>
      </c>
      <c r="Y15">
        <v>13</v>
      </c>
      <c r="AB15" s="51">
        <f t="shared" si="0"/>
        <v>4550</v>
      </c>
    </row>
    <row r="16" spans="1:29">
      <c r="A16" s="24" t="s">
        <v>1016</v>
      </c>
      <c r="B16" s="24"/>
      <c r="C16" s="28">
        <v>350</v>
      </c>
      <c r="F16" s="23" t="s">
        <v>734</v>
      </c>
      <c r="G16" s="23"/>
      <c r="H16" s="23"/>
      <c r="I16" s="23"/>
      <c r="J16" s="23"/>
      <c r="K16" s="23"/>
      <c r="L16" s="23"/>
      <c r="M16" s="23"/>
      <c r="N16" s="23"/>
      <c r="O16" s="23" t="s">
        <v>734</v>
      </c>
      <c r="Y16">
        <v>13</v>
      </c>
      <c r="AB16" s="51">
        <f t="shared" si="0"/>
        <v>4550</v>
      </c>
    </row>
    <row r="17" spans="1:29">
      <c r="A17" s="24" t="s">
        <v>1017</v>
      </c>
      <c r="B17" s="24"/>
      <c r="C17" s="28">
        <v>220</v>
      </c>
      <c r="F17" s="31" t="s">
        <v>734</v>
      </c>
      <c r="G17" s="31" t="s">
        <v>734</v>
      </c>
      <c r="I17" s="31" t="s">
        <v>734</v>
      </c>
      <c r="J17" s="31" t="s">
        <v>734</v>
      </c>
      <c r="K17" s="31" t="s">
        <v>734</v>
      </c>
      <c r="L17" s="31" t="s">
        <v>734</v>
      </c>
      <c r="M17" s="31" t="s">
        <v>734</v>
      </c>
      <c r="N17" s="31" t="s">
        <v>734</v>
      </c>
      <c r="Y17" s="54">
        <v>67</v>
      </c>
      <c r="AB17" s="51">
        <f t="shared" si="0"/>
        <v>14740</v>
      </c>
    </row>
    <row r="18" spans="1:29" ht="22.5">
      <c r="A18" s="29" t="s">
        <v>720</v>
      </c>
      <c r="B18" s="29"/>
      <c r="C18" s="28">
        <v>400</v>
      </c>
      <c r="E18" s="23" t="s">
        <v>734</v>
      </c>
      <c r="F18" s="23" t="s">
        <v>734</v>
      </c>
      <c r="G18" s="23" t="s">
        <v>734</v>
      </c>
      <c r="H18" s="23"/>
      <c r="I18" s="23" t="s">
        <v>734</v>
      </c>
      <c r="J18" s="23" t="s">
        <v>734</v>
      </c>
      <c r="K18" s="23" t="s">
        <v>734</v>
      </c>
      <c r="L18" s="23" t="s">
        <v>734</v>
      </c>
      <c r="M18" s="23" t="s">
        <v>734</v>
      </c>
      <c r="Y18">
        <v>245</v>
      </c>
      <c r="AB18" s="51">
        <f t="shared" si="0"/>
        <v>98000</v>
      </c>
    </row>
    <row r="19" spans="1:29" ht="22.5">
      <c r="A19" s="24" t="s">
        <v>1018</v>
      </c>
      <c r="B19" s="24"/>
      <c r="C19" s="28">
        <v>220</v>
      </c>
      <c r="E19" s="31" t="s">
        <v>734</v>
      </c>
      <c r="G19" s="31" t="s">
        <v>734</v>
      </c>
      <c r="X19" s="25" t="s">
        <v>734</v>
      </c>
      <c r="Y19" s="34">
        <f>38</f>
        <v>38</v>
      </c>
      <c r="AB19" s="51">
        <f t="shared" si="0"/>
        <v>8360</v>
      </c>
    </row>
    <row r="20" spans="1:29" ht="22.5">
      <c r="A20" s="24" t="s">
        <v>1019</v>
      </c>
      <c r="B20" s="24"/>
      <c r="C20" s="28">
        <v>220</v>
      </c>
      <c r="E20" s="31" t="s">
        <v>734</v>
      </c>
      <c r="G20" s="31" t="s">
        <v>734</v>
      </c>
      <c r="I20" s="31" t="s">
        <v>734</v>
      </c>
      <c r="J20" s="31" t="s">
        <v>734</v>
      </c>
      <c r="K20" s="31" t="s">
        <v>734</v>
      </c>
      <c r="L20" s="31" t="s">
        <v>734</v>
      </c>
      <c r="M20" s="31" t="s">
        <v>734</v>
      </c>
      <c r="N20" s="31" t="s">
        <v>734</v>
      </c>
      <c r="Y20">
        <v>240</v>
      </c>
      <c r="AB20" s="51">
        <f t="shared" si="0"/>
        <v>52800</v>
      </c>
    </row>
    <row r="21" spans="1:29">
      <c r="A21" s="24" t="s">
        <v>759</v>
      </c>
      <c r="B21" s="24"/>
      <c r="C21" s="28">
        <v>350</v>
      </c>
      <c r="F21" s="25" t="s">
        <v>734</v>
      </c>
      <c r="O21" s="25" t="s">
        <v>734</v>
      </c>
      <c r="Y21">
        <v>13</v>
      </c>
      <c r="AB21" s="51">
        <f t="shared" si="0"/>
        <v>4550</v>
      </c>
    </row>
    <row r="22" spans="1:29">
      <c r="A22" s="29" t="s">
        <v>725</v>
      </c>
      <c r="B22" s="29"/>
      <c r="C22" s="28">
        <v>165</v>
      </c>
      <c r="H22" s="23" t="s">
        <v>734</v>
      </c>
      <c r="I22" s="23" t="s">
        <v>734</v>
      </c>
      <c r="J22" s="23" t="s">
        <v>734</v>
      </c>
      <c r="K22" s="23" t="s">
        <v>734</v>
      </c>
      <c r="L22" s="23" t="s">
        <v>734</v>
      </c>
      <c r="M22" s="23" t="s">
        <v>734</v>
      </c>
      <c r="N22" s="23" t="s">
        <v>734</v>
      </c>
      <c r="Y22">
        <v>208</v>
      </c>
      <c r="AB22" s="51">
        <f t="shared" si="0"/>
        <v>34320</v>
      </c>
    </row>
    <row r="23" spans="1:29" ht="22.5">
      <c r="A23" s="29" t="s">
        <v>783</v>
      </c>
      <c r="B23" s="29"/>
      <c r="C23" s="28"/>
      <c r="D23" s="28">
        <v>20000</v>
      </c>
      <c r="E23" s="25" t="s">
        <v>734</v>
      </c>
      <c r="F23" s="25" t="s">
        <v>734</v>
      </c>
      <c r="O23" s="25" t="s">
        <v>734</v>
      </c>
      <c r="Z23">
        <v>1</v>
      </c>
      <c r="AB23" s="51">
        <f t="shared" si="0"/>
        <v>20000</v>
      </c>
    </row>
    <row r="24" spans="1:29" ht="22.5">
      <c r="B24" s="30" t="s">
        <v>754</v>
      </c>
      <c r="C24" s="28">
        <v>350</v>
      </c>
      <c r="F24" s="1" t="s">
        <v>734</v>
      </c>
      <c r="G24" s="1" t="s">
        <v>734</v>
      </c>
      <c r="H24" s="1"/>
      <c r="I24" s="1" t="s">
        <v>734</v>
      </c>
      <c r="J24" s="1" t="s">
        <v>734</v>
      </c>
      <c r="K24" s="1" t="s">
        <v>734</v>
      </c>
      <c r="L24" s="1" t="s">
        <v>734</v>
      </c>
      <c r="M24" s="1" t="s">
        <v>734</v>
      </c>
      <c r="N24" s="1" t="s">
        <v>734</v>
      </c>
      <c r="Y24">
        <v>67</v>
      </c>
      <c r="AC24" s="51">
        <f>(C24+D24)*(Y24+Z24)</f>
        <v>23450</v>
      </c>
    </row>
    <row r="25" spans="1:29" ht="22.5">
      <c r="B25" s="24" t="s">
        <v>1021</v>
      </c>
      <c r="C25" s="28">
        <v>400</v>
      </c>
      <c r="F25" s="25" t="s">
        <v>734</v>
      </c>
      <c r="O25" s="25" t="s">
        <v>734</v>
      </c>
      <c r="Y25">
        <v>13</v>
      </c>
      <c r="AC25" s="51">
        <f>(C25+D25)*(Y25+Z25)</f>
        <v>5200</v>
      </c>
    </row>
    <row r="26" spans="1:29" ht="22.5">
      <c r="B26" s="24" t="s">
        <v>1022</v>
      </c>
      <c r="C26" s="28">
        <v>300</v>
      </c>
      <c r="F26" s="1" t="s">
        <v>734</v>
      </c>
      <c r="G26" s="1" t="s">
        <v>734</v>
      </c>
      <c r="H26" s="1"/>
      <c r="I26" s="1" t="s">
        <v>734</v>
      </c>
      <c r="J26" s="1" t="s">
        <v>734</v>
      </c>
      <c r="K26" s="1" t="s">
        <v>734</v>
      </c>
      <c r="L26" s="1" t="s">
        <v>734</v>
      </c>
      <c r="M26" s="1" t="s">
        <v>734</v>
      </c>
      <c r="N26" s="145"/>
      <c r="Y26" s="146">
        <v>55</v>
      </c>
      <c r="AC26" s="51">
        <f>(C26+D26)*(Y26+Z26)</f>
        <v>16500</v>
      </c>
    </row>
    <row r="27" spans="1:29" ht="45">
      <c r="B27" s="30" t="s">
        <v>756</v>
      </c>
      <c r="C27" s="28">
        <v>350</v>
      </c>
      <c r="F27" s="1" t="s">
        <v>734</v>
      </c>
      <c r="G27" s="1" t="s">
        <v>734</v>
      </c>
      <c r="H27" s="1"/>
      <c r="I27" s="1" t="s">
        <v>734</v>
      </c>
      <c r="J27" s="1" t="s">
        <v>734</v>
      </c>
      <c r="K27" s="1" t="s">
        <v>734</v>
      </c>
      <c r="L27" s="1" t="s">
        <v>734</v>
      </c>
      <c r="M27" s="1" t="s">
        <v>734</v>
      </c>
      <c r="N27" s="1" t="s">
        <v>734</v>
      </c>
      <c r="Y27">
        <v>67</v>
      </c>
      <c r="AC27" s="51">
        <f>(C27+D27)*(Y27+Z27)</f>
        <v>23450</v>
      </c>
    </row>
    <row r="28" spans="1:29">
      <c r="B28" s="30" t="s">
        <v>744</v>
      </c>
      <c r="C28" s="28">
        <v>350</v>
      </c>
      <c r="F28" s="1" t="s">
        <v>734</v>
      </c>
      <c r="G28" s="1" t="s">
        <v>734</v>
      </c>
      <c r="H28" s="1"/>
      <c r="I28" s="1" t="s">
        <v>734</v>
      </c>
      <c r="J28" s="1" t="s">
        <v>734</v>
      </c>
      <c r="K28" s="1" t="s">
        <v>734</v>
      </c>
      <c r="L28" s="1" t="s">
        <v>734</v>
      </c>
      <c r="M28" s="1" t="s">
        <v>734</v>
      </c>
      <c r="N28" s="1" t="s">
        <v>734</v>
      </c>
      <c r="Y28">
        <v>67</v>
      </c>
      <c r="AC28" s="51">
        <f>(C28+D28)*(Y28+Z28)</f>
        <v>23450</v>
      </c>
    </row>
    <row r="30" spans="1:29">
      <c r="AB30" s="32">
        <f>SUM(AB2:AB29)</f>
        <v>605340</v>
      </c>
      <c r="AC30" s="32">
        <f>SUM(AC24:AC29)</f>
        <v>92050</v>
      </c>
    </row>
    <row r="33" spans="27:28">
      <c r="AA33" s="89" t="s">
        <v>1232</v>
      </c>
      <c r="AB33" s="90">
        <f>AB30+AC30</f>
        <v>697390</v>
      </c>
    </row>
  </sheetData>
  <autoFilter ref="A1:E2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>
    <pageSetUpPr fitToPage="1"/>
  </sheetPr>
  <dimension ref="A1:AQ21"/>
  <sheetViews>
    <sheetView zoomScale="80" zoomScaleNormal="80" workbookViewId="0">
      <selection activeCell="H24" sqref="H24"/>
    </sheetView>
  </sheetViews>
  <sheetFormatPr defaultRowHeight="12.75"/>
  <cols>
    <col min="1" max="1" width="15.28515625" customWidth="1"/>
    <col min="2" max="2" width="16.140625" customWidth="1"/>
    <col min="3" max="4" width="15.140625" style="28" customWidth="1"/>
    <col min="17" max="17" width="6.140625" bestFit="1" customWidth="1"/>
    <col min="18" max="18" width="5.28515625" customWidth="1"/>
    <col min="19" max="19" width="3" customWidth="1"/>
    <col min="20" max="20" width="3.85546875" customWidth="1"/>
    <col min="21" max="21" width="3" customWidth="1"/>
    <col min="22" max="22" width="4" customWidth="1"/>
    <col min="23" max="23" width="4.42578125" customWidth="1"/>
    <col min="24" max="24" width="3.85546875" customWidth="1"/>
    <col min="25" max="26" width="3.5703125" customWidth="1"/>
    <col min="27" max="27" width="3.7109375" customWidth="1"/>
    <col min="28" max="28" width="6.7109375" customWidth="1"/>
    <col min="29" max="29" width="8.85546875" customWidth="1"/>
    <col min="30" max="30" width="6" customWidth="1"/>
    <col min="31" max="36" width="6.85546875" customWidth="1"/>
    <col min="39" max="39" width="15.7109375" customWidth="1"/>
    <col min="40" max="40" width="13.7109375" customWidth="1"/>
  </cols>
  <sheetData>
    <row r="1" spans="1:43" ht="22.5">
      <c r="A1" s="26" t="s">
        <v>718</v>
      </c>
      <c r="B1" s="27" t="s">
        <v>1034</v>
      </c>
      <c r="C1" s="27" t="s">
        <v>1035</v>
      </c>
      <c r="D1" s="27" t="s">
        <v>1228</v>
      </c>
      <c r="E1" s="26" t="s">
        <v>997</v>
      </c>
      <c r="F1" s="26" t="s">
        <v>998</v>
      </c>
      <c r="G1" s="26" t="s">
        <v>999</v>
      </c>
      <c r="H1" s="26" t="s">
        <v>1000</v>
      </c>
      <c r="I1" s="26" t="s">
        <v>1001</v>
      </c>
      <c r="J1" s="26" t="s">
        <v>1002</v>
      </c>
      <c r="K1" s="26" t="s">
        <v>1003</v>
      </c>
      <c r="L1" s="26" t="s">
        <v>1004</v>
      </c>
      <c r="M1" s="26" t="s">
        <v>1005</v>
      </c>
      <c r="N1" s="26" t="s">
        <v>1006</v>
      </c>
      <c r="O1" s="26" t="s">
        <v>1007</v>
      </c>
      <c r="P1" s="26" t="s">
        <v>1008</v>
      </c>
      <c r="Q1" s="3" t="s">
        <v>805</v>
      </c>
      <c r="R1" s="3" t="s">
        <v>806</v>
      </c>
      <c r="S1" s="3" t="s">
        <v>816</v>
      </c>
      <c r="T1" s="3" t="s">
        <v>817</v>
      </c>
      <c r="U1" s="3" t="s">
        <v>807</v>
      </c>
      <c r="V1" s="3" t="s">
        <v>808</v>
      </c>
      <c r="W1" s="3" t="s">
        <v>809</v>
      </c>
      <c r="X1" s="3" t="s">
        <v>810</v>
      </c>
      <c r="Y1" s="3" t="s">
        <v>811</v>
      </c>
      <c r="Z1" s="3" t="s">
        <v>812</v>
      </c>
      <c r="AA1" s="3" t="s">
        <v>813</v>
      </c>
      <c r="AB1" s="3" t="s">
        <v>814</v>
      </c>
      <c r="AC1" s="3" t="s">
        <v>826</v>
      </c>
      <c r="AD1" s="3" t="s">
        <v>815</v>
      </c>
      <c r="AE1" s="3" t="s">
        <v>820</v>
      </c>
      <c r="AF1" s="3" t="s">
        <v>821</v>
      </c>
      <c r="AG1" s="3" t="s">
        <v>822</v>
      </c>
      <c r="AH1" s="3" t="s">
        <v>823</v>
      </c>
      <c r="AI1" s="3" t="s">
        <v>824</v>
      </c>
      <c r="AJ1" s="3" t="s">
        <v>825</v>
      </c>
      <c r="AK1" s="3" t="s">
        <v>1029</v>
      </c>
      <c r="AL1" s="3" t="s">
        <v>1030</v>
      </c>
      <c r="AM1" s="3" t="s">
        <v>1033</v>
      </c>
      <c r="AN1" s="3" t="s">
        <v>1036</v>
      </c>
    </row>
    <row r="2" spans="1:43" ht="27" customHeight="1">
      <c r="A2" s="24" t="s">
        <v>779</v>
      </c>
      <c r="B2" s="28">
        <v>103</v>
      </c>
      <c r="E2">
        <v>1</v>
      </c>
      <c r="F2">
        <v>2</v>
      </c>
      <c r="Q2" t="s">
        <v>734</v>
      </c>
      <c r="S2" t="s">
        <v>734</v>
      </c>
      <c r="Z2" t="s">
        <v>734</v>
      </c>
      <c r="AK2">
        <v>38</v>
      </c>
      <c r="AM2" s="35"/>
      <c r="AN2" s="35">
        <f>AK2*B2</f>
        <v>3914</v>
      </c>
    </row>
    <row r="3" spans="1:43" ht="27" customHeight="1">
      <c r="A3" s="29" t="s">
        <v>733</v>
      </c>
      <c r="B3" s="28"/>
      <c r="C3" s="28">
        <v>1191.3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T3" t="s">
        <v>734</v>
      </c>
      <c r="U3" t="s">
        <v>734</v>
      </c>
      <c r="V3" t="s">
        <v>734</v>
      </c>
      <c r="W3" t="s">
        <v>734</v>
      </c>
      <c r="X3" t="s">
        <v>734</v>
      </c>
      <c r="Y3" t="s">
        <v>734</v>
      </c>
      <c r="Z3" t="s">
        <v>734</v>
      </c>
      <c r="AL3">
        <v>10</v>
      </c>
      <c r="AM3" s="35">
        <f>AL3*C3</f>
        <v>11913</v>
      </c>
      <c r="AN3" s="35">
        <f t="shared" ref="AN3:AN9" si="0">AK3*B3</f>
        <v>0</v>
      </c>
    </row>
    <row r="4" spans="1:43" ht="45">
      <c r="A4" s="29" t="s">
        <v>790</v>
      </c>
      <c r="C4" s="28">
        <v>1049.96</v>
      </c>
      <c r="E4">
        <v>13</v>
      </c>
      <c r="F4">
        <v>14</v>
      </c>
      <c r="G4">
        <v>15</v>
      </c>
      <c r="H4">
        <v>16</v>
      </c>
      <c r="I4">
        <v>17</v>
      </c>
      <c r="J4">
        <v>18</v>
      </c>
      <c r="K4">
        <v>19</v>
      </c>
      <c r="L4">
        <v>20</v>
      </c>
      <c r="M4">
        <v>21</v>
      </c>
      <c r="N4">
        <v>22</v>
      </c>
      <c r="O4">
        <v>23</v>
      </c>
      <c r="T4" t="s">
        <v>734</v>
      </c>
      <c r="U4" t="s">
        <v>734</v>
      </c>
      <c r="V4" t="s">
        <v>734</v>
      </c>
      <c r="W4" t="s">
        <v>734</v>
      </c>
      <c r="X4" t="s">
        <v>734</v>
      </c>
      <c r="Y4" t="s">
        <v>734</v>
      </c>
      <c r="Z4" t="s">
        <v>734</v>
      </c>
      <c r="AL4">
        <v>10</v>
      </c>
      <c r="AM4" s="35">
        <f>AL4*C4</f>
        <v>10499.6</v>
      </c>
      <c r="AN4" s="35"/>
    </row>
    <row r="5" spans="1:43" ht="33.75">
      <c r="A5" s="29" t="s">
        <v>736</v>
      </c>
      <c r="B5" s="28">
        <v>20.8</v>
      </c>
      <c r="E5">
        <v>24</v>
      </c>
      <c r="F5">
        <v>25</v>
      </c>
      <c r="G5">
        <v>26</v>
      </c>
      <c r="H5">
        <v>27</v>
      </c>
      <c r="I5">
        <v>28</v>
      </c>
      <c r="J5">
        <v>29</v>
      </c>
      <c r="K5">
        <v>30</v>
      </c>
      <c r="L5">
        <v>31</v>
      </c>
      <c r="R5" t="s">
        <v>734</v>
      </c>
      <c r="S5" t="s">
        <v>734</v>
      </c>
      <c r="U5" t="s">
        <v>734</v>
      </c>
      <c r="V5" t="s">
        <v>734</v>
      </c>
      <c r="W5" t="s">
        <v>734</v>
      </c>
      <c r="X5" t="s">
        <v>734</v>
      </c>
      <c r="Y5" t="s">
        <v>734</v>
      </c>
      <c r="AK5">
        <v>55</v>
      </c>
      <c r="AM5" s="35"/>
      <c r="AN5" s="35">
        <f t="shared" si="0"/>
        <v>1144</v>
      </c>
    </row>
    <row r="6" spans="1:43" ht="33.75">
      <c r="A6" s="29" t="s">
        <v>736</v>
      </c>
      <c r="B6" s="28">
        <v>102.5</v>
      </c>
      <c r="E6">
        <v>24</v>
      </c>
      <c r="F6">
        <v>29</v>
      </c>
      <c r="G6">
        <v>30</v>
      </c>
      <c r="R6" t="s">
        <v>734</v>
      </c>
      <c r="S6" t="s">
        <v>734</v>
      </c>
      <c r="Z6" t="s">
        <v>734</v>
      </c>
      <c r="AK6">
        <v>12</v>
      </c>
      <c r="AM6" s="35"/>
      <c r="AN6" s="35">
        <f t="shared" si="0"/>
        <v>1230</v>
      </c>
    </row>
    <row r="7" spans="1:43" ht="22.5">
      <c r="A7" s="29" t="s">
        <v>765</v>
      </c>
      <c r="B7" s="28">
        <v>41.4</v>
      </c>
      <c r="E7">
        <v>32</v>
      </c>
      <c r="F7">
        <v>33</v>
      </c>
      <c r="G7">
        <v>34</v>
      </c>
      <c r="H7">
        <v>36</v>
      </c>
      <c r="I7">
        <v>37</v>
      </c>
      <c r="J7">
        <v>38</v>
      </c>
      <c r="K7">
        <v>39</v>
      </c>
      <c r="L7">
        <v>40</v>
      </c>
      <c r="M7">
        <v>41</v>
      </c>
      <c r="N7">
        <v>42</v>
      </c>
      <c r="O7">
        <v>43</v>
      </c>
      <c r="T7" t="s">
        <v>734</v>
      </c>
      <c r="U7" t="s">
        <v>734</v>
      </c>
      <c r="V7" t="s">
        <v>734</v>
      </c>
      <c r="W7" t="s">
        <v>734</v>
      </c>
      <c r="X7" t="s">
        <v>734</v>
      </c>
      <c r="Y7" t="s">
        <v>734</v>
      </c>
      <c r="AK7">
        <v>174</v>
      </c>
      <c r="AM7" s="35"/>
      <c r="AN7" s="35">
        <f t="shared" si="0"/>
        <v>7203.5999999999995</v>
      </c>
    </row>
    <row r="8" spans="1:43" ht="22.5">
      <c r="A8" s="29" t="s">
        <v>765</v>
      </c>
      <c r="B8" s="28">
        <v>27.6</v>
      </c>
      <c r="E8">
        <v>32</v>
      </c>
      <c r="F8">
        <v>33</v>
      </c>
      <c r="G8">
        <v>35</v>
      </c>
      <c r="H8">
        <v>36</v>
      </c>
      <c r="I8">
        <v>37</v>
      </c>
      <c r="J8">
        <v>38</v>
      </c>
      <c r="K8">
        <v>39</v>
      </c>
      <c r="L8">
        <v>40</v>
      </c>
      <c r="M8">
        <v>41</v>
      </c>
      <c r="N8">
        <v>42</v>
      </c>
      <c r="O8">
        <v>43</v>
      </c>
      <c r="T8" t="s">
        <v>734</v>
      </c>
      <c r="Z8" t="s">
        <v>734</v>
      </c>
      <c r="AK8">
        <v>34</v>
      </c>
      <c r="AM8" s="35"/>
      <c r="AN8" s="35">
        <f t="shared" si="0"/>
        <v>938.40000000000009</v>
      </c>
    </row>
    <row r="9" spans="1:43" ht="22.5">
      <c r="A9" s="29" t="s">
        <v>745</v>
      </c>
      <c r="B9" s="96">
        <f>2.6*7</f>
        <v>18.2</v>
      </c>
      <c r="E9">
        <v>44</v>
      </c>
      <c r="T9" t="s">
        <v>734</v>
      </c>
      <c r="U9" t="s">
        <v>734</v>
      </c>
      <c r="V9" t="s">
        <v>734</v>
      </c>
      <c r="W9" t="s">
        <v>734</v>
      </c>
      <c r="X9" t="s">
        <v>734</v>
      </c>
      <c r="Y9" t="s">
        <v>734</v>
      </c>
      <c r="Z9" t="s">
        <v>734</v>
      </c>
      <c r="AK9">
        <v>208</v>
      </c>
      <c r="AM9" s="35"/>
      <c r="AN9" s="35">
        <f t="shared" si="0"/>
        <v>3785.6</v>
      </c>
    </row>
    <row r="10" spans="1:43" ht="33.75">
      <c r="A10" s="29" t="s">
        <v>766</v>
      </c>
      <c r="B10" s="28">
        <v>70</v>
      </c>
      <c r="E10">
        <v>55</v>
      </c>
      <c r="T10" t="s">
        <v>734</v>
      </c>
      <c r="U10" t="s">
        <v>734</v>
      </c>
      <c r="V10" t="s">
        <v>734</v>
      </c>
      <c r="W10" t="s">
        <v>734</v>
      </c>
      <c r="X10" t="s">
        <v>734</v>
      </c>
      <c r="Y10" t="s">
        <v>734</v>
      </c>
      <c r="AK10">
        <v>174</v>
      </c>
      <c r="AM10" s="35">
        <f t="shared" ref="AM10:AM15" si="1">AK10*B10</f>
        <v>12180</v>
      </c>
      <c r="AN10" s="35"/>
    </row>
    <row r="11" spans="1:43">
      <c r="A11" s="29" t="s">
        <v>726</v>
      </c>
      <c r="B11" s="28">
        <v>30</v>
      </c>
      <c r="E11">
        <v>56</v>
      </c>
      <c r="T11" t="s">
        <v>734</v>
      </c>
      <c r="U11" t="s">
        <v>734</v>
      </c>
      <c r="V11" t="s">
        <v>734</v>
      </c>
      <c r="W11" t="s">
        <v>734</v>
      </c>
      <c r="X11" t="s">
        <v>734</v>
      </c>
      <c r="Y11" t="s">
        <v>734</v>
      </c>
      <c r="AK11">
        <v>174</v>
      </c>
      <c r="AM11" s="35">
        <f t="shared" si="1"/>
        <v>5220</v>
      </c>
    </row>
    <row r="12" spans="1:43" ht="56.25">
      <c r="A12" s="29" t="s">
        <v>727</v>
      </c>
      <c r="B12" s="28">
        <v>21</v>
      </c>
      <c r="E12">
        <v>57</v>
      </c>
      <c r="T12" t="s">
        <v>734</v>
      </c>
      <c r="V12" t="s">
        <v>734</v>
      </c>
      <c r="W12" t="s">
        <v>734</v>
      </c>
      <c r="AK12">
        <v>70</v>
      </c>
      <c r="AM12" s="35">
        <f t="shared" si="1"/>
        <v>1470</v>
      </c>
    </row>
    <row r="13" spans="1:43" ht="56.25">
      <c r="A13" s="29" t="s">
        <v>756</v>
      </c>
      <c r="B13" s="266">
        <v>180</v>
      </c>
      <c r="E13">
        <v>58</v>
      </c>
      <c r="Q13" t="s">
        <v>734</v>
      </c>
      <c r="S13" t="s">
        <v>734</v>
      </c>
      <c r="Z13" t="s">
        <v>734</v>
      </c>
      <c r="AK13">
        <v>38</v>
      </c>
      <c r="AM13" s="35">
        <f t="shared" si="1"/>
        <v>6840</v>
      </c>
    </row>
    <row r="14" spans="1:43" ht="45">
      <c r="A14" s="49" t="s">
        <v>763</v>
      </c>
      <c r="B14" s="28">
        <v>69</v>
      </c>
      <c r="D14"/>
      <c r="E14" s="122" t="s">
        <v>2060</v>
      </c>
      <c r="AK14" s="34">
        <v>15</v>
      </c>
      <c r="AL14" s="34"/>
      <c r="AM14" s="93">
        <f t="shared" si="1"/>
        <v>1035</v>
      </c>
      <c r="AN14" s="34"/>
      <c r="AO14" s="34" t="s">
        <v>1235</v>
      </c>
      <c r="AP14" s="34"/>
      <c r="AQ14" s="34"/>
    </row>
    <row r="15" spans="1:43">
      <c r="A15" s="49" t="s">
        <v>726</v>
      </c>
      <c r="B15" s="94">
        <v>8</v>
      </c>
      <c r="D15"/>
      <c r="E15" s="122" t="s">
        <v>2060</v>
      </c>
      <c r="AK15" s="34">
        <v>15</v>
      </c>
      <c r="AL15" s="34"/>
      <c r="AM15" s="93">
        <f t="shared" si="1"/>
        <v>120</v>
      </c>
      <c r="AN15" s="34"/>
      <c r="AO15" s="34" t="s">
        <v>1235</v>
      </c>
      <c r="AP15" s="34"/>
      <c r="AQ15" s="34"/>
    </row>
    <row r="16" spans="1:43">
      <c r="A16" s="167" t="s">
        <v>743</v>
      </c>
      <c r="B16" s="28">
        <v>87</v>
      </c>
      <c r="E16">
        <v>59</v>
      </c>
      <c r="T16" t="s">
        <v>734</v>
      </c>
      <c r="U16" t="s">
        <v>734</v>
      </c>
      <c r="V16" t="s">
        <v>734</v>
      </c>
      <c r="W16" t="s">
        <v>734</v>
      </c>
      <c r="X16" t="s">
        <v>734</v>
      </c>
      <c r="Y16" t="s">
        <v>734</v>
      </c>
      <c r="AK16" s="34">
        <v>174</v>
      </c>
      <c r="AL16" s="34"/>
      <c r="AM16" s="93">
        <f>AK16*B16</f>
        <v>15138</v>
      </c>
      <c r="AN16" s="34"/>
      <c r="AO16" s="34" t="s">
        <v>1955</v>
      </c>
      <c r="AP16" s="34"/>
      <c r="AQ16" s="34"/>
    </row>
    <row r="18" spans="38:40">
      <c r="AM18" s="35">
        <f>SUM(AM2:AM16)</f>
        <v>64415.6</v>
      </c>
      <c r="AN18" s="35">
        <f>SUM(AN2:AN13)</f>
        <v>18215.599999999999</v>
      </c>
    </row>
    <row r="21" spans="38:40">
      <c r="AL21" s="89" t="s">
        <v>1233</v>
      </c>
      <c r="AM21" s="90">
        <f>AM18+AN18</f>
        <v>82631.199999999997</v>
      </c>
    </row>
  </sheetData>
  <printOptions gridLines="1"/>
  <pageMargins left="0.70866141732283472" right="0.70866141732283472" top="0.74803149606299213" bottom="0.74803149606299213" header="0.31496062992125984" footer="0.31496062992125984"/>
  <pageSetup paperSize="9" scale="35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/>
  <dimension ref="A1:B121"/>
  <sheetViews>
    <sheetView workbookViewId="0">
      <selection activeCell="F10" sqref="F10"/>
    </sheetView>
  </sheetViews>
  <sheetFormatPr defaultRowHeight="12.75"/>
  <cols>
    <col min="1" max="1" width="38.7109375" style="8" customWidth="1"/>
    <col min="2" max="16384" width="9.140625" style="8"/>
  </cols>
  <sheetData>
    <row r="1" spans="1:2" ht="23.25" customHeight="1">
      <c r="A1" s="124" t="s">
        <v>95</v>
      </c>
      <c r="B1" s="124" t="s">
        <v>711</v>
      </c>
    </row>
    <row r="2" spans="1:2" ht="25.5">
      <c r="A2" s="2" t="s">
        <v>591</v>
      </c>
      <c r="B2" s="19">
        <v>44</v>
      </c>
    </row>
    <row r="3" spans="1:2" ht="25.5">
      <c r="A3" s="13" t="s">
        <v>616</v>
      </c>
      <c r="B3" s="16">
        <v>55</v>
      </c>
    </row>
    <row r="4" spans="1:2" ht="25.5">
      <c r="A4" s="2" t="s">
        <v>458</v>
      </c>
      <c r="B4" s="19">
        <v>11</v>
      </c>
    </row>
    <row r="5" spans="1:2" ht="25.5">
      <c r="A5" s="2" t="s">
        <v>818</v>
      </c>
      <c r="B5" s="19">
        <v>67</v>
      </c>
    </row>
    <row r="6" spans="1:2" ht="25.5">
      <c r="A6" s="2" t="s">
        <v>819</v>
      </c>
      <c r="B6" s="21">
        <v>0</v>
      </c>
    </row>
    <row r="7" spans="1:2">
      <c r="A7" s="7" t="s">
        <v>20</v>
      </c>
      <c r="B7" s="19">
        <v>55</v>
      </c>
    </row>
    <row r="8" spans="1:2" ht="22.5" customHeight="1">
      <c r="A8" s="14" t="s">
        <v>1</v>
      </c>
      <c r="B8" s="16">
        <v>67</v>
      </c>
    </row>
    <row r="9" spans="1:2" ht="25.5">
      <c r="A9" s="13" t="s">
        <v>267</v>
      </c>
      <c r="B9" s="16">
        <v>55</v>
      </c>
    </row>
    <row r="10" spans="1:2" ht="25.5">
      <c r="A10" s="2" t="s">
        <v>290</v>
      </c>
      <c r="B10" s="19">
        <v>11</v>
      </c>
    </row>
    <row r="11" spans="1:2" ht="25.5">
      <c r="A11" s="2" t="s">
        <v>138</v>
      </c>
      <c r="B11" s="19">
        <v>11</v>
      </c>
    </row>
    <row r="12" spans="1:2" ht="25.5">
      <c r="A12" s="2" t="s">
        <v>577</v>
      </c>
      <c r="B12" s="19">
        <v>4</v>
      </c>
    </row>
    <row r="13" spans="1:2" ht="25.5">
      <c r="A13" s="12" t="s">
        <v>501</v>
      </c>
      <c r="B13" s="16">
        <v>67</v>
      </c>
    </row>
    <row r="14" spans="1:2" ht="25.5">
      <c r="A14" s="12" t="s">
        <v>424</v>
      </c>
      <c r="B14" s="16">
        <v>67</v>
      </c>
    </row>
    <row r="15" spans="1:2" ht="25.5">
      <c r="A15" s="2" t="s">
        <v>251</v>
      </c>
      <c r="B15" s="19">
        <v>55</v>
      </c>
    </row>
    <row r="16" spans="1:2" ht="25.5">
      <c r="A16" s="12" t="s">
        <v>425</v>
      </c>
      <c r="B16" s="16">
        <v>55</v>
      </c>
    </row>
    <row r="17" spans="1:2" ht="25.5">
      <c r="A17" s="2" t="s">
        <v>499</v>
      </c>
      <c r="B17" s="19">
        <v>33</v>
      </c>
    </row>
    <row r="18" spans="1:2" ht="25.5">
      <c r="A18" s="12" t="s">
        <v>509</v>
      </c>
      <c r="B18" s="16">
        <v>12</v>
      </c>
    </row>
    <row r="19" spans="1:2" ht="25.5">
      <c r="A19" s="2" t="s">
        <v>521</v>
      </c>
      <c r="B19" s="19">
        <v>58</v>
      </c>
    </row>
    <row r="20" spans="1:2" ht="25.5">
      <c r="A20" s="2" t="s">
        <v>400</v>
      </c>
      <c r="B20" s="19">
        <v>22</v>
      </c>
    </row>
    <row r="21" spans="1:2" ht="32.25" customHeight="1">
      <c r="A21" s="9" t="s">
        <v>18</v>
      </c>
      <c r="B21" s="16">
        <v>296</v>
      </c>
    </row>
    <row r="22" spans="1:2" ht="25.5">
      <c r="A22" s="12" t="s">
        <v>155</v>
      </c>
      <c r="B22" s="16">
        <v>245</v>
      </c>
    </row>
    <row r="23" spans="1:2" ht="38.25">
      <c r="A23" s="2" t="s">
        <v>603</v>
      </c>
      <c r="B23" s="19">
        <v>73</v>
      </c>
    </row>
    <row r="24" spans="1:2" ht="25.5">
      <c r="A24" s="10" t="s">
        <v>714</v>
      </c>
      <c r="B24" s="16">
        <v>255</v>
      </c>
    </row>
    <row r="25" spans="1:2" ht="25.5">
      <c r="A25" s="2" t="s">
        <v>689</v>
      </c>
      <c r="B25" s="19">
        <f>67+29</f>
        <v>96</v>
      </c>
    </row>
    <row r="26" spans="1:2" ht="25.5">
      <c r="A26" s="2" t="s">
        <v>293</v>
      </c>
      <c r="B26" s="19">
        <f>39+11</f>
        <v>50</v>
      </c>
    </row>
    <row r="27" spans="1:2" ht="25.5">
      <c r="A27" s="2" t="s">
        <v>364</v>
      </c>
      <c r="B27" s="19">
        <f>38+39+10+11</f>
        <v>98</v>
      </c>
    </row>
    <row r="28" spans="1:2" ht="25.5">
      <c r="A28" s="2" t="s">
        <v>134</v>
      </c>
      <c r="B28" s="19">
        <f>41+11</f>
        <v>52</v>
      </c>
    </row>
    <row r="29" spans="1:2" ht="25.5">
      <c r="A29" s="2" t="s">
        <v>239</v>
      </c>
      <c r="B29" s="19">
        <v>104</v>
      </c>
    </row>
    <row r="30" spans="1:2" ht="25.5">
      <c r="A30" s="2" t="s">
        <v>626</v>
      </c>
      <c r="B30" s="19">
        <v>156</v>
      </c>
    </row>
    <row r="31" spans="1:2" ht="25.5">
      <c r="A31" s="12" t="s">
        <v>108</v>
      </c>
      <c r="B31" s="16">
        <v>52</v>
      </c>
    </row>
    <row r="32" spans="1:2" ht="25.5">
      <c r="A32" s="2" t="s">
        <v>567</v>
      </c>
      <c r="B32" s="19">
        <v>55</v>
      </c>
    </row>
    <row r="33" spans="1:2" ht="25.5">
      <c r="A33" s="12" t="s">
        <v>441</v>
      </c>
      <c r="B33" s="16">
        <f>55+26</f>
        <v>81</v>
      </c>
    </row>
    <row r="34" spans="1:2" ht="51">
      <c r="A34" s="12" t="s">
        <v>639</v>
      </c>
      <c r="B34" s="16">
        <v>25</v>
      </c>
    </row>
    <row r="35" spans="1:2" ht="25.5">
      <c r="A35" s="2" t="s">
        <v>330</v>
      </c>
      <c r="B35" s="19">
        <f>41+39</f>
        <v>80</v>
      </c>
    </row>
    <row r="36" spans="1:2" ht="25.5">
      <c r="A36" s="2" t="s">
        <v>427</v>
      </c>
      <c r="B36" s="19">
        <v>39</v>
      </c>
    </row>
    <row r="37" spans="1:2" ht="25.5">
      <c r="A37" s="2" t="s">
        <v>476</v>
      </c>
      <c r="B37" s="19">
        <v>38</v>
      </c>
    </row>
    <row r="38" spans="1:2" ht="25.5">
      <c r="A38" s="2" t="s">
        <v>361</v>
      </c>
      <c r="B38" s="19">
        <v>26</v>
      </c>
    </row>
    <row r="39" spans="1:2" ht="25.5">
      <c r="A39" s="6" t="s">
        <v>347</v>
      </c>
      <c r="B39" s="19">
        <v>29</v>
      </c>
    </row>
    <row r="40" spans="1:2" ht="25.5">
      <c r="A40" s="2" t="s">
        <v>396</v>
      </c>
      <c r="B40" s="19">
        <f>48+52</f>
        <v>100</v>
      </c>
    </row>
    <row r="41" spans="1:2" ht="25.5">
      <c r="A41" s="2" t="s">
        <v>105</v>
      </c>
      <c r="B41" s="19">
        <v>67</v>
      </c>
    </row>
    <row r="42" spans="1:2" ht="25.5">
      <c r="A42" s="2" t="s">
        <v>107</v>
      </c>
      <c r="B42" s="19">
        <v>29</v>
      </c>
    </row>
    <row r="43" spans="1:2" ht="25.5">
      <c r="A43" s="11" t="s">
        <v>475</v>
      </c>
      <c r="B43" s="16">
        <v>50</v>
      </c>
    </row>
    <row r="44" spans="1:2">
      <c r="A44" s="12" t="s">
        <v>157</v>
      </c>
      <c r="B44" s="16">
        <v>58</v>
      </c>
    </row>
    <row r="45" spans="1:2" ht="25.5">
      <c r="A45" s="12" t="s">
        <v>550</v>
      </c>
      <c r="B45" s="16">
        <v>13</v>
      </c>
    </row>
    <row r="46" spans="1:2" ht="25.5">
      <c r="A46" s="12" t="s">
        <v>525</v>
      </c>
      <c r="B46" s="16">
        <v>45</v>
      </c>
    </row>
    <row r="47" spans="1:2">
      <c r="A47" s="2" t="s">
        <v>206</v>
      </c>
      <c r="B47" s="19">
        <v>45</v>
      </c>
    </row>
    <row r="48" spans="1:2" ht="25.5">
      <c r="A48" s="2" t="s">
        <v>716</v>
      </c>
      <c r="B48" s="19">
        <v>21</v>
      </c>
    </row>
    <row r="49" spans="1:2" ht="25.5">
      <c r="A49" s="2" t="s">
        <v>548</v>
      </c>
      <c r="B49" s="19">
        <v>45</v>
      </c>
    </row>
    <row r="50" spans="1:2" ht="38.25">
      <c r="A50" s="2" t="s">
        <v>597</v>
      </c>
      <c r="B50" s="19">
        <v>152</v>
      </c>
    </row>
    <row r="51" spans="1:2" ht="25.5">
      <c r="A51" s="2" t="s">
        <v>493</v>
      </c>
      <c r="B51" s="19">
        <v>240</v>
      </c>
    </row>
    <row r="52" spans="1:2" ht="25.5">
      <c r="A52" s="12" t="s">
        <v>444</v>
      </c>
      <c r="B52" s="17">
        <v>47</v>
      </c>
    </row>
    <row r="53" spans="1:2" ht="25.5">
      <c r="A53" s="2" t="s">
        <v>693</v>
      </c>
      <c r="B53" s="19">
        <v>3</v>
      </c>
    </row>
    <row r="54" spans="1:2" ht="25.5">
      <c r="A54" s="2" t="s">
        <v>551</v>
      </c>
      <c r="B54" s="19">
        <v>58</v>
      </c>
    </row>
    <row r="55" spans="1:2" ht="51">
      <c r="A55" s="12" t="s">
        <v>638</v>
      </c>
      <c r="B55" s="16">
        <f>24+27+27+5</f>
        <v>83</v>
      </c>
    </row>
    <row r="56" spans="1:2" ht="25.5">
      <c r="A56" s="2" t="s">
        <v>398</v>
      </c>
      <c r="B56" s="19">
        <v>78</v>
      </c>
    </row>
    <row r="57" spans="1:2" ht="25.5">
      <c r="A57" s="2" t="s">
        <v>136</v>
      </c>
      <c r="B57" s="19">
        <v>41</v>
      </c>
    </row>
    <row r="58" spans="1:2" ht="25.5">
      <c r="A58" s="2" t="s">
        <v>161</v>
      </c>
      <c r="B58" s="19">
        <v>38</v>
      </c>
    </row>
    <row r="59" spans="1:2" ht="25.5">
      <c r="A59" s="2" t="s">
        <v>180</v>
      </c>
      <c r="B59" s="19">
        <v>41</v>
      </c>
    </row>
    <row r="60" spans="1:2" ht="25.5">
      <c r="A60" s="5" t="s">
        <v>653</v>
      </c>
      <c r="B60" s="19">
        <v>38</v>
      </c>
    </row>
    <row r="61" spans="1:2" ht="25.5">
      <c r="A61" s="2" t="s">
        <v>569</v>
      </c>
      <c r="B61" s="19">
        <v>39</v>
      </c>
    </row>
    <row r="62" spans="1:2" ht="38.25">
      <c r="A62" s="2" t="s">
        <v>143</v>
      </c>
      <c r="B62" s="19">
        <v>30</v>
      </c>
    </row>
    <row r="63" spans="1:2">
      <c r="A63" s="2" t="s">
        <v>274</v>
      </c>
      <c r="B63" s="19">
        <v>287</v>
      </c>
    </row>
    <row r="64" spans="1:2" ht="25.5">
      <c r="A64" s="2" t="s">
        <v>452</v>
      </c>
      <c r="B64" s="19">
        <v>26</v>
      </c>
    </row>
    <row r="65" spans="1:2" ht="25.5">
      <c r="A65" s="10" t="s">
        <v>617</v>
      </c>
      <c r="B65" s="16">
        <v>29</v>
      </c>
    </row>
    <row r="66" spans="1:2">
      <c r="A66" s="10" t="s">
        <v>39</v>
      </c>
      <c r="B66" s="16">
        <v>29</v>
      </c>
    </row>
    <row r="67" spans="1:2">
      <c r="A67" s="2" t="s">
        <v>647</v>
      </c>
      <c r="B67" s="19">
        <v>26</v>
      </c>
    </row>
    <row r="68" spans="1:2" ht="25.5">
      <c r="A68" s="12" t="s">
        <v>203</v>
      </c>
      <c r="B68" s="16">
        <v>202</v>
      </c>
    </row>
    <row r="69" spans="1:2" ht="38.25">
      <c r="A69" s="2" t="s">
        <v>599</v>
      </c>
      <c r="B69" s="19">
        <v>73</v>
      </c>
    </row>
    <row r="70" spans="1:2" ht="25.5">
      <c r="A70" s="15" t="s">
        <v>587</v>
      </c>
      <c r="B70" s="18">
        <v>38</v>
      </c>
    </row>
    <row r="71" spans="1:2" ht="25.5">
      <c r="A71" s="2" t="s">
        <v>450</v>
      </c>
      <c r="B71" s="19">
        <v>47</v>
      </c>
    </row>
    <row r="72" spans="1:2" ht="25.5">
      <c r="A72" s="12" t="s">
        <v>479</v>
      </c>
      <c r="B72" s="16">
        <v>240</v>
      </c>
    </row>
    <row r="73" spans="1:2" ht="25.5">
      <c r="A73" s="2" t="s">
        <v>709</v>
      </c>
      <c r="B73" s="19">
        <v>38</v>
      </c>
    </row>
    <row r="74" spans="1:2" ht="25.5">
      <c r="A74" s="2" t="s">
        <v>589</v>
      </c>
      <c r="B74" s="19">
        <v>29</v>
      </c>
    </row>
    <row r="75" spans="1:2" ht="25.5">
      <c r="A75" s="2" t="s">
        <v>590</v>
      </c>
      <c r="B75" s="19">
        <v>26</v>
      </c>
    </row>
    <row r="76" spans="1:2" ht="25.5">
      <c r="A76" s="2" t="s">
        <v>242</v>
      </c>
      <c r="B76" s="19">
        <v>34</v>
      </c>
    </row>
    <row r="77" spans="1:2" ht="25.5">
      <c r="A77" s="12" t="s">
        <v>194</v>
      </c>
      <c r="B77" s="16">
        <f>34+34+36+33</f>
        <v>137</v>
      </c>
    </row>
    <row r="78" spans="1:2" ht="25.5">
      <c r="A78" s="6" t="s">
        <v>370</v>
      </c>
      <c r="B78" s="19">
        <f>34+34+36+33</f>
        <v>137</v>
      </c>
    </row>
    <row r="79" spans="1:2" ht="25.5">
      <c r="A79" s="12" t="s">
        <v>97</v>
      </c>
      <c r="B79" s="16">
        <v>208</v>
      </c>
    </row>
    <row r="80" spans="1:2" ht="25.5">
      <c r="A80" s="12" t="s">
        <v>103</v>
      </c>
      <c r="B80" s="16">
        <v>174</v>
      </c>
    </row>
    <row r="81" spans="1:2" ht="51">
      <c r="A81" s="2" t="s">
        <v>594</v>
      </c>
      <c r="B81" s="19">
        <f>174+14</f>
        <v>188</v>
      </c>
    </row>
    <row r="82" spans="1:2" ht="38.25">
      <c r="A82" s="2" t="s">
        <v>635</v>
      </c>
      <c r="B82" s="19">
        <f>174-33</f>
        <v>141</v>
      </c>
    </row>
    <row r="83" spans="1:2" ht="38.25">
      <c r="A83" s="12" t="s">
        <v>633</v>
      </c>
      <c r="B83" s="16">
        <f>174-33</f>
        <v>141</v>
      </c>
    </row>
    <row r="84" spans="1:2" ht="25.5">
      <c r="A84" s="2" t="s">
        <v>560</v>
      </c>
      <c r="B84" s="19">
        <v>70</v>
      </c>
    </row>
    <row r="85" spans="1:2" ht="25.5">
      <c r="A85" s="2" t="s">
        <v>561</v>
      </c>
      <c r="B85" s="19">
        <v>103</v>
      </c>
    </row>
    <row r="86" spans="1:2" ht="25.5">
      <c r="A86" s="6" t="s">
        <v>389</v>
      </c>
      <c r="B86" s="19">
        <f>174-34</f>
        <v>140</v>
      </c>
    </row>
    <row r="87" spans="1:2" ht="25.5">
      <c r="A87" s="6" t="s">
        <v>558</v>
      </c>
      <c r="B87" s="19">
        <f>33+36+36</f>
        <v>105</v>
      </c>
    </row>
    <row r="88" spans="1:2" ht="25.5">
      <c r="A88" s="12" t="s">
        <v>669</v>
      </c>
      <c r="B88" s="16">
        <v>33</v>
      </c>
    </row>
    <row r="89" spans="1:2" ht="25.5">
      <c r="A89" s="6" t="s">
        <v>715</v>
      </c>
      <c r="B89" s="19">
        <v>16</v>
      </c>
    </row>
    <row r="90" spans="1:2" ht="25.5">
      <c r="A90" s="2" t="s">
        <v>467</v>
      </c>
      <c r="B90" s="19">
        <v>36</v>
      </c>
    </row>
    <row r="91" spans="1:2" ht="25.5">
      <c r="A91" s="2" t="s">
        <v>465</v>
      </c>
      <c r="B91" s="19">
        <f>34+34+36+34</f>
        <v>138</v>
      </c>
    </row>
    <row r="92" spans="1:2" ht="25.5">
      <c r="A92" s="2" t="s">
        <v>663</v>
      </c>
      <c r="B92" s="19">
        <f>174-33</f>
        <v>141</v>
      </c>
    </row>
    <row r="93" spans="1:2" ht="25.5">
      <c r="A93" s="2" t="s">
        <v>659</v>
      </c>
      <c r="B93" s="19">
        <f>34+36+36</f>
        <v>106</v>
      </c>
    </row>
    <row r="94" spans="1:2" ht="25.5">
      <c r="A94" s="12" t="s">
        <v>253</v>
      </c>
      <c r="B94" s="16">
        <v>34</v>
      </c>
    </row>
    <row r="95" spans="1:2" ht="25.5">
      <c r="A95" s="2" t="s">
        <v>422</v>
      </c>
      <c r="B95" s="19">
        <f>33+34+34</f>
        <v>101</v>
      </c>
    </row>
    <row r="96" spans="1:2" ht="25.5">
      <c r="A96" s="11" t="s">
        <v>123</v>
      </c>
      <c r="B96" s="16">
        <v>34</v>
      </c>
    </row>
    <row r="97" spans="1:2" ht="25.5">
      <c r="A97" s="2" t="s">
        <v>713</v>
      </c>
      <c r="B97" s="19">
        <f>33+36</f>
        <v>69</v>
      </c>
    </row>
    <row r="98" spans="1:2" ht="25.5">
      <c r="A98" s="12" t="s">
        <v>634</v>
      </c>
      <c r="B98" s="16">
        <v>36</v>
      </c>
    </row>
    <row r="99" spans="1:2" ht="25.5">
      <c r="A99" s="12" t="s">
        <v>618</v>
      </c>
      <c r="B99" s="16">
        <v>36</v>
      </c>
    </row>
    <row r="100" spans="1:2" ht="25.5">
      <c r="A100" s="2" t="s">
        <v>682</v>
      </c>
      <c r="B100" s="19">
        <f>33+34+34</f>
        <v>101</v>
      </c>
    </row>
    <row r="101" spans="1:2" ht="25.5">
      <c r="A101" s="2" t="s">
        <v>533</v>
      </c>
      <c r="B101" s="19">
        <f>34+34+36</f>
        <v>104</v>
      </c>
    </row>
    <row r="102" spans="1:2" ht="25.5">
      <c r="A102" s="2" t="s">
        <v>418</v>
      </c>
      <c r="B102" s="19">
        <v>34</v>
      </c>
    </row>
    <row r="103" spans="1:2" ht="25.5">
      <c r="A103" s="2" t="s">
        <v>222</v>
      </c>
      <c r="B103" s="19">
        <v>68</v>
      </c>
    </row>
    <row r="104" spans="1:2" ht="25.5">
      <c r="A104" s="2" t="s">
        <v>649</v>
      </c>
      <c r="B104" s="19">
        <v>34</v>
      </c>
    </row>
    <row r="105" spans="1:2" ht="25.5">
      <c r="A105" s="2" t="s">
        <v>529</v>
      </c>
      <c r="B105" s="19">
        <v>34</v>
      </c>
    </row>
    <row r="106" spans="1:2" ht="25.5">
      <c r="A106" s="12" t="s">
        <v>282</v>
      </c>
      <c r="B106" s="16">
        <v>36</v>
      </c>
    </row>
    <row r="107" spans="1:2" ht="25.5">
      <c r="A107" s="11" t="s">
        <v>119</v>
      </c>
      <c r="B107" s="16">
        <v>36</v>
      </c>
    </row>
    <row r="108" spans="1:2" ht="25.5">
      <c r="A108" s="2" t="s">
        <v>378</v>
      </c>
      <c r="B108" s="20">
        <v>70</v>
      </c>
    </row>
    <row r="109" spans="1:2">
      <c r="A109" s="4" t="s">
        <v>660</v>
      </c>
      <c r="B109" s="19">
        <f>174-36</f>
        <v>138</v>
      </c>
    </row>
    <row r="110" spans="1:2">
      <c r="A110" s="4" t="s">
        <v>403</v>
      </c>
      <c r="B110" s="19">
        <v>33</v>
      </c>
    </row>
    <row r="111" spans="1:2">
      <c r="A111" s="2" t="s">
        <v>14</v>
      </c>
      <c r="B111" s="19">
        <v>34</v>
      </c>
    </row>
    <row r="112" spans="1:2">
      <c r="A112" s="12" t="s">
        <v>404</v>
      </c>
      <c r="B112" s="16">
        <v>36</v>
      </c>
    </row>
    <row r="113" spans="1:2" ht="25.5">
      <c r="A113" s="2" t="s">
        <v>374</v>
      </c>
      <c r="B113" s="19">
        <f>174-36</f>
        <v>138</v>
      </c>
    </row>
    <row r="114" spans="1:2" ht="25.5">
      <c r="A114" s="2" t="s">
        <v>245</v>
      </c>
      <c r="B114" s="19">
        <f>174-34</f>
        <v>140</v>
      </c>
    </row>
    <row r="115" spans="1:2" ht="25.5">
      <c r="A115" s="12" t="s">
        <v>311</v>
      </c>
      <c r="B115" s="16">
        <v>68</v>
      </c>
    </row>
    <row r="116" spans="1:2" ht="25.5">
      <c r="A116" s="12" t="s">
        <v>668</v>
      </c>
      <c r="B116" s="16">
        <v>70</v>
      </c>
    </row>
    <row r="117" spans="1:2" ht="25.5">
      <c r="A117" s="12" t="s">
        <v>416</v>
      </c>
      <c r="B117" s="16">
        <v>34</v>
      </c>
    </row>
    <row r="118" spans="1:2" ht="25.5">
      <c r="A118" s="12" t="s">
        <v>534</v>
      </c>
      <c r="B118" s="16">
        <v>34</v>
      </c>
    </row>
    <row r="119" spans="1:2" ht="25.5">
      <c r="A119" s="2" t="s">
        <v>102</v>
      </c>
      <c r="B119" s="19">
        <v>33</v>
      </c>
    </row>
    <row r="120" spans="1:2" ht="25.5">
      <c r="A120" s="2" t="s">
        <v>437</v>
      </c>
      <c r="B120" s="19">
        <f>174-33-34</f>
        <v>107</v>
      </c>
    </row>
    <row r="121" spans="1:2" ht="25.5">
      <c r="A121" s="12" t="s">
        <v>619</v>
      </c>
      <c r="B121" s="16">
        <v>39</v>
      </c>
    </row>
  </sheetData>
  <autoFilter ref="A1:D121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">
    <pageSetUpPr fitToPage="1"/>
  </sheetPr>
  <dimension ref="A1:E1053"/>
  <sheetViews>
    <sheetView topLeftCell="A49" workbookViewId="0">
      <selection activeCell="A56" sqref="A56"/>
    </sheetView>
  </sheetViews>
  <sheetFormatPr defaultRowHeight="12.75"/>
  <cols>
    <col min="1" max="1" width="33" style="119" customWidth="1"/>
    <col min="2" max="2" width="18.5703125" style="121" customWidth="1"/>
    <col min="3" max="3" width="18.85546875" style="122" customWidth="1"/>
    <col min="4" max="4" width="21.85546875" style="122" customWidth="1"/>
    <col min="5" max="5" width="20.140625" style="122" customWidth="1"/>
  </cols>
  <sheetData>
    <row r="1" spans="1:5">
      <c r="A1" s="112" t="s">
        <v>1842</v>
      </c>
      <c r="B1" s="120" t="s">
        <v>1844</v>
      </c>
      <c r="C1" s="113" t="s">
        <v>1845</v>
      </c>
      <c r="D1" s="113" t="s">
        <v>2047</v>
      </c>
      <c r="E1" s="113" t="s">
        <v>2070</v>
      </c>
    </row>
    <row r="2" spans="1:5">
      <c r="A2" s="114" t="s">
        <v>1164</v>
      </c>
      <c r="B2" s="121">
        <v>5</v>
      </c>
      <c r="C2" s="122">
        <v>4</v>
      </c>
      <c r="D2" s="122">
        <v>4</v>
      </c>
      <c r="E2" s="122">
        <v>4</v>
      </c>
    </row>
    <row r="3" spans="1:5">
      <c r="A3" s="115" t="s">
        <v>1160</v>
      </c>
      <c r="B3" s="121">
        <v>9</v>
      </c>
      <c r="C3" s="122">
        <v>9</v>
      </c>
      <c r="D3" s="122">
        <v>8</v>
      </c>
      <c r="E3" s="122">
        <v>7</v>
      </c>
    </row>
    <row r="4" spans="1:5">
      <c r="A4" s="114" t="s">
        <v>1125</v>
      </c>
      <c r="B4" s="121">
        <v>26</v>
      </c>
      <c r="C4" s="122">
        <v>26</v>
      </c>
      <c r="D4" s="122">
        <v>25</v>
      </c>
      <c r="E4" s="122">
        <v>25</v>
      </c>
    </row>
    <row r="5" spans="1:5">
      <c r="A5" s="116" t="s">
        <v>1113</v>
      </c>
      <c r="B5" s="121">
        <v>22</v>
      </c>
      <c r="C5" s="122">
        <v>21</v>
      </c>
      <c r="D5" s="122">
        <v>21</v>
      </c>
      <c r="E5" s="122">
        <v>20</v>
      </c>
    </row>
    <row r="6" spans="1:5">
      <c r="A6" s="41" t="s">
        <v>1861</v>
      </c>
      <c r="B6" s="121">
        <v>22</v>
      </c>
      <c r="C6" s="122">
        <v>21</v>
      </c>
      <c r="D6" s="122">
        <v>21</v>
      </c>
      <c r="E6" s="122">
        <v>20</v>
      </c>
    </row>
    <row r="7" spans="1:5">
      <c r="A7" s="41" t="s">
        <v>1863</v>
      </c>
      <c r="B7" s="50">
        <v>15</v>
      </c>
      <c r="C7" s="50">
        <v>21</v>
      </c>
      <c r="D7" s="122">
        <v>21</v>
      </c>
      <c r="E7" s="122">
        <v>20</v>
      </c>
    </row>
    <row r="8" spans="1:5">
      <c r="A8" s="116" t="s">
        <v>1159</v>
      </c>
      <c r="B8" s="121">
        <v>4</v>
      </c>
      <c r="C8" s="122">
        <v>4</v>
      </c>
      <c r="D8" s="122">
        <v>4</v>
      </c>
      <c r="E8" s="122">
        <v>4</v>
      </c>
    </row>
    <row r="9" spans="1:5">
      <c r="A9" s="114" t="s">
        <v>1126</v>
      </c>
      <c r="B9" s="121">
        <v>22</v>
      </c>
      <c r="C9" s="122">
        <v>21</v>
      </c>
      <c r="D9" s="122">
        <v>21</v>
      </c>
      <c r="E9" s="122">
        <v>22</v>
      </c>
    </row>
    <row r="10" spans="1:5">
      <c r="A10" s="115" t="s">
        <v>1161</v>
      </c>
      <c r="B10" s="121">
        <v>13</v>
      </c>
      <c r="C10" s="122">
        <v>12</v>
      </c>
      <c r="D10" s="122">
        <v>13</v>
      </c>
      <c r="E10" s="122">
        <v>13</v>
      </c>
    </row>
    <row r="11" spans="1:5">
      <c r="A11" s="115" t="s">
        <v>1172</v>
      </c>
      <c r="B11" s="121">
        <v>9</v>
      </c>
      <c r="C11" s="122">
        <v>8</v>
      </c>
      <c r="D11" s="122">
        <v>8</v>
      </c>
      <c r="E11" s="122">
        <v>9</v>
      </c>
    </row>
    <row r="12" spans="1:5">
      <c r="A12" s="114" t="s">
        <v>1138</v>
      </c>
      <c r="B12" s="121">
        <v>4</v>
      </c>
      <c r="C12" s="122">
        <v>4</v>
      </c>
      <c r="D12" s="122">
        <v>5</v>
      </c>
      <c r="E12" s="122">
        <v>4</v>
      </c>
    </row>
    <row r="13" spans="1:5">
      <c r="A13" s="116" t="s">
        <v>1112</v>
      </c>
      <c r="B13" s="121">
        <v>4</v>
      </c>
      <c r="C13" s="122">
        <v>5</v>
      </c>
      <c r="D13" s="122">
        <v>4</v>
      </c>
      <c r="E13" s="122">
        <v>5</v>
      </c>
    </row>
    <row r="14" spans="1:5">
      <c r="A14" s="114" t="s">
        <v>1127</v>
      </c>
      <c r="B14" s="121">
        <v>4</v>
      </c>
      <c r="C14" s="122">
        <v>5</v>
      </c>
      <c r="D14" s="122">
        <v>5</v>
      </c>
      <c r="E14" s="122">
        <v>5</v>
      </c>
    </row>
    <row r="15" spans="1:5">
      <c r="A15" s="116" t="s">
        <v>1843</v>
      </c>
      <c r="B15" s="121">
        <v>8</v>
      </c>
      <c r="C15" s="122">
        <v>9</v>
      </c>
      <c r="D15" s="122">
        <v>9</v>
      </c>
      <c r="E15" s="122">
        <v>7</v>
      </c>
    </row>
    <row r="16" spans="1:5">
      <c r="A16" s="257" t="s">
        <v>1154</v>
      </c>
      <c r="B16" s="121">
        <v>2</v>
      </c>
      <c r="C16" s="122">
        <v>0</v>
      </c>
      <c r="D16" s="255">
        <v>0</v>
      </c>
      <c r="E16" s="255">
        <v>0</v>
      </c>
    </row>
    <row r="17" spans="1:5">
      <c r="A17" s="258" t="s">
        <v>1165</v>
      </c>
      <c r="B17" s="121">
        <v>2</v>
      </c>
      <c r="C17" s="122">
        <v>0</v>
      </c>
      <c r="D17" s="255">
        <v>0</v>
      </c>
      <c r="E17" s="255">
        <v>0</v>
      </c>
    </row>
    <row r="18" spans="1:5">
      <c r="A18" s="259" t="s">
        <v>1141</v>
      </c>
      <c r="B18" s="121">
        <v>4</v>
      </c>
      <c r="C18" s="122">
        <v>0</v>
      </c>
      <c r="D18" s="255">
        <v>0</v>
      </c>
      <c r="E18" s="255">
        <v>0</v>
      </c>
    </row>
    <row r="19" spans="1:5">
      <c r="A19" s="257" t="s">
        <v>1155</v>
      </c>
      <c r="B19" s="121">
        <v>5</v>
      </c>
      <c r="C19" s="122">
        <v>0</v>
      </c>
      <c r="D19" s="255">
        <v>0</v>
      </c>
      <c r="E19" s="255">
        <v>0</v>
      </c>
    </row>
    <row r="20" spans="1:5">
      <c r="A20" s="259" t="s">
        <v>1119</v>
      </c>
      <c r="B20" s="121">
        <v>9</v>
      </c>
      <c r="C20" s="122">
        <v>0</v>
      </c>
      <c r="D20" s="255">
        <v>0</v>
      </c>
      <c r="E20" s="255">
        <v>0</v>
      </c>
    </row>
    <row r="21" spans="1:5">
      <c r="A21" s="260" t="s">
        <v>1862</v>
      </c>
      <c r="B21" s="50">
        <v>9</v>
      </c>
      <c r="C21" s="37">
        <v>0</v>
      </c>
      <c r="D21" s="256">
        <v>0</v>
      </c>
      <c r="E21" s="255">
        <v>0</v>
      </c>
    </row>
    <row r="22" spans="1:5">
      <c r="A22" s="261" t="s">
        <v>1850</v>
      </c>
      <c r="B22" s="121">
        <v>9</v>
      </c>
      <c r="C22" s="122">
        <v>0</v>
      </c>
      <c r="D22" s="255">
        <v>0</v>
      </c>
      <c r="E22" s="255">
        <v>0</v>
      </c>
    </row>
    <row r="23" spans="1:5">
      <c r="A23" s="261" t="s">
        <v>1854</v>
      </c>
      <c r="B23" s="121">
        <v>0</v>
      </c>
      <c r="C23" s="122">
        <v>0</v>
      </c>
      <c r="D23" s="255">
        <v>0</v>
      </c>
      <c r="E23" s="255">
        <v>0</v>
      </c>
    </row>
    <row r="24" spans="1:5">
      <c r="A24" s="261" t="s">
        <v>1851</v>
      </c>
      <c r="B24" s="121">
        <v>0</v>
      </c>
      <c r="C24" s="122">
        <v>0</v>
      </c>
      <c r="D24" s="255">
        <v>0</v>
      </c>
      <c r="E24" s="255">
        <v>0</v>
      </c>
    </row>
    <row r="25" spans="1:5">
      <c r="A25" s="261" t="s">
        <v>1855</v>
      </c>
      <c r="B25" s="121">
        <v>9</v>
      </c>
      <c r="C25" s="122">
        <v>0</v>
      </c>
      <c r="D25" s="255">
        <v>0</v>
      </c>
      <c r="E25" s="255">
        <v>0</v>
      </c>
    </row>
    <row r="26" spans="1:5">
      <c r="A26" s="257" t="s">
        <v>1143</v>
      </c>
      <c r="B26" s="121">
        <v>9</v>
      </c>
      <c r="C26" s="122">
        <v>1</v>
      </c>
      <c r="D26" s="255">
        <v>0</v>
      </c>
      <c r="E26" s="122">
        <v>7</v>
      </c>
    </row>
    <row r="27" spans="1:5">
      <c r="A27" s="259" t="s">
        <v>1130</v>
      </c>
      <c r="B27" s="121">
        <v>9</v>
      </c>
      <c r="C27" s="122">
        <v>1</v>
      </c>
      <c r="D27" s="255">
        <v>0</v>
      </c>
      <c r="E27" s="274">
        <v>5</v>
      </c>
    </row>
    <row r="28" spans="1:5">
      <c r="A28" s="258" t="s">
        <v>1121</v>
      </c>
      <c r="B28" s="121">
        <v>7</v>
      </c>
      <c r="C28" s="122">
        <v>0</v>
      </c>
      <c r="D28" s="255">
        <v>0</v>
      </c>
      <c r="E28" s="255">
        <v>0</v>
      </c>
    </row>
    <row r="29" spans="1:5">
      <c r="A29" s="260" t="s">
        <v>1865</v>
      </c>
      <c r="B29" s="73">
        <v>0</v>
      </c>
      <c r="C29" s="37">
        <v>0</v>
      </c>
      <c r="D29" s="255">
        <v>0</v>
      </c>
      <c r="E29" s="255">
        <v>0</v>
      </c>
    </row>
    <row r="30" spans="1:5">
      <c r="A30" s="258" t="s">
        <v>1157</v>
      </c>
      <c r="B30" s="121">
        <v>1</v>
      </c>
      <c r="C30" s="122">
        <v>0</v>
      </c>
      <c r="D30" s="255">
        <v>0</v>
      </c>
      <c r="E30" s="255">
        <v>0</v>
      </c>
    </row>
    <row r="31" spans="1:5">
      <c r="A31" s="259" t="s">
        <v>1171</v>
      </c>
      <c r="B31" s="121">
        <v>0</v>
      </c>
      <c r="C31" s="122">
        <v>0</v>
      </c>
      <c r="D31" s="255">
        <v>0</v>
      </c>
      <c r="E31" s="255">
        <v>0</v>
      </c>
    </row>
    <row r="32" spans="1:5">
      <c r="A32" s="258" t="s">
        <v>1131</v>
      </c>
      <c r="B32" s="121">
        <v>2</v>
      </c>
      <c r="C32" s="122">
        <v>0</v>
      </c>
      <c r="D32" s="255">
        <v>0</v>
      </c>
      <c r="E32" s="255">
        <v>0</v>
      </c>
    </row>
    <row r="33" spans="1:5">
      <c r="A33" s="262" t="s">
        <v>1116</v>
      </c>
      <c r="B33" s="121">
        <v>2</v>
      </c>
      <c r="C33" s="122">
        <v>0</v>
      </c>
      <c r="D33" s="255">
        <v>0</v>
      </c>
      <c r="E33" s="255">
        <v>0</v>
      </c>
    </row>
    <row r="34" spans="1:5">
      <c r="A34" s="115" t="s">
        <v>1156</v>
      </c>
      <c r="B34" s="121">
        <v>3</v>
      </c>
      <c r="C34" s="122">
        <v>4</v>
      </c>
      <c r="D34" s="122">
        <v>4</v>
      </c>
      <c r="E34" s="122">
        <v>4</v>
      </c>
    </row>
    <row r="35" spans="1:5">
      <c r="A35" s="116" t="s">
        <v>1166</v>
      </c>
      <c r="B35" s="121">
        <v>6</v>
      </c>
      <c r="C35" s="122">
        <v>9</v>
      </c>
      <c r="D35" s="122">
        <v>9</v>
      </c>
      <c r="E35" s="122">
        <v>7</v>
      </c>
    </row>
    <row r="36" spans="1:5" ht="22.5">
      <c r="A36" s="42" t="s">
        <v>1857</v>
      </c>
      <c r="B36" s="121">
        <v>8</v>
      </c>
      <c r="C36" s="122">
        <v>14</v>
      </c>
      <c r="D36" s="122">
        <v>13</v>
      </c>
      <c r="E36" s="122">
        <v>8</v>
      </c>
    </row>
    <row r="37" spans="1:5">
      <c r="A37" s="116" t="s">
        <v>1124</v>
      </c>
      <c r="B37" s="121">
        <v>17</v>
      </c>
      <c r="C37" s="122">
        <v>26</v>
      </c>
      <c r="D37" s="122">
        <v>25</v>
      </c>
      <c r="E37" s="122">
        <v>25</v>
      </c>
    </row>
    <row r="38" spans="1:5" ht="22.5">
      <c r="A38" s="41" t="s">
        <v>1859</v>
      </c>
      <c r="B38" s="37">
        <v>17</v>
      </c>
      <c r="C38" s="37">
        <v>26</v>
      </c>
      <c r="D38" s="122">
        <v>25</v>
      </c>
      <c r="E38" s="122">
        <v>6</v>
      </c>
    </row>
    <row r="39" spans="1:5" ht="22.5">
      <c r="A39" s="42" t="s">
        <v>1856</v>
      </c>
      <c r="B39" s="121">
        <v>0</v>
      </c>
      <c r="C39" s="122">
        <v>0</v>
      </c>
      <c r="D39" s="122">
        <v>0</v>
      </c>
      <c r="E39" s="122">
        <v>12</v>
      </c>
    </row>
    <row r="40" spans="1:5">
      <c r="A40" s="41" t="s">
        <v>1864</v>
      </c>
      <c r="B40" s="50">
        <v>0</v>
      </c>
      <c r="C40" s="50">
        <v>0</v>
      </c>
      <c r="D40" s="122">
        <v>0</v>
      </c>
      <c r="E40" s="122">
        <v>0</v>
      </c>
    </row>
    <row r="41" spans="1:5">
      <c r="A41" s="116" t="s">
        <v>1120</v>
      </c>
      <c r="B41" s="121">
        <v>15</v>
      </c>
      <c r="C41" s="122">
        <v>21</v>
      </c>
      <c r="D41" s="122">
        <v>21</v>
      </c>
      <c r="E41" s="122">
        <v>20</v>
      </c>
    </row>
    <row r="42" spans="1:5" ht="22.5">
      <c r="A42" s="42" t="s">
        <v>1858</v>
      </c>
      <c r="B42" s="37">
        <v>0</v>
      </c>
      <c r="C42" s="37">
        <v>0</v>
      </c>
      <c r="D42" s="122">
        <v>0</v>
      </c>
      <c r="E42" s="122">
        <v>15</v>
      </c>
    </row>
    <row r="43" spans="1:5">
      <c r="A43" s="46" t="s">
        <v>1866</v>
      </c>
      <c r="B43" s="50">
        <v>15</v>
      </c>
      <c r="C43" s="50">
        <v>21</v>
      </c>
      <c r="D43" s="122">
        <v>21</v>
      </c>
      <c r="E43" s="122">
        <v>20</v>
      </c>
    </row>
    <row r="44" spans="1:5">
      <c r="A44" s="116" t="s">
        <v>1158</v>
      </c>
      <c r="B44" s="121">
        <v>3</v>
      </c>
      <c r="C44" s="122">
        <v>4</v>
      </c>
      <c r="D44" s="122">
        <v>4</v>
      </c>
      <c r="E44" s="122">
        <v>4</v>
      </c>
    </row>
    <row r="45" spans="1:5">
      <c r="A45" s="116" t="s">
        <v>1162</v>
      </c>
      <c r="B45" s="121">
        <v>6</v>
      </c>
      <c r="C45" s="122">
        <v>8</v>
      </c>
      <c r="D45" s="122">
        <v>8</v>
      </c>
      <c r="E45" s="122">
        <v>8</v>
      </c>
    </row>
    <row r="46" spans="1:5">
      <c r="A46" s="116" t="s">
        <v>1122</v>
      </c>
      <c r="B46" s="121">
        <v>0</v>
      </c>
      <c r="C46" s="122">
        <v>1</v>
      </c>
      <c r="D46" s="122">
        <v>0</v>
      </c>
      <c r="E46" s="122">
        <v>7</v>
      </c>
    </row>
    <row r="47" spans="1:5">
      <c r="A47" s="116" t="s">
        <v>1147</v>
      </c>
      <c r="B47" s="121">
        <v>0</v>
      </c>
      <c r="C47" s="122">
        <v>1</v>
      </c>
      <c r="D47" s="122">
        <v>0</v>
      </c>
      <c r="E47" s="122">
        <v>5</v>
      </c>
    </row>
    <row r="48" spans="1:5">
      <c r="A48" s="116" t="s">
        <v>1140</v>
      </c>
      <c r="B48" s="121">
        <v>2</v>
      </c>
      <c r="C48" s="122">
        <v>5</v>
      </c>
      <c r="D48" s="122">
        <v>4</v>
      </c>
      <c r="E48" s="122">
        <v>5</v>
      </c>
    </row>
    <row r="49" spans="1:5">
      <c r="A49" s="114" t="s">
        <v>1153</v>
      </c>
      <c r="B49" s="121">
        <v>3</v>
      </c>
      <c r="C49" s="122">
        <v>4</v>
      </c>
      <c r="D49" s="122">
        <v>4</v>
      </c>
      <c r="E49" s="122">
        <v>5</v>
      </c>
    </row>
    <row r="50" spans="1:5">
      <c r="A50" s="117" t="s">
        <v>1115</v>
      </c>
      <c r="B50" s="121">
        <v>2</v>
      </c>
      <c r="C50" s="122">
        <v>5</v>
      </c>
      <c r="D50" s="122">
        <v>5</v>
      </c>
      <c r="E50" s="122">
        <v>6</v>
      </c>
    </row>
    <row r="51" spans="1:5" ht="22.5">
      <c r="A51" s="41" t="s">
        <v>1860</v>
      </c>
      <c r="B51" s="121">
        <v>2</v>
      </c>
      <c r="C51" s="122">
        <v>5</v>
      </c>
      <c r="D51" s="122">
        <v>5</v>
      </c>
      <c r="E51" s="122">
        <v>1</v>
      </c>
    </row>
    <row r="52" spans="1:5">
      <c r="A52" s="116" t="s">
        <v>274</v>
      </c>
      <c r="B52" s="121">
        <v>19</v>
      </c>
      <c r="C52" s="122">
        <v>31</v>
      </c>
      <c r="D52" s="122">
        <v>30</v>
      </c>
      <c r="E52" s="122">
        <v>31</v>
      </c>
    </row>
    <row r="53" spans="1:5">
      <c r="A53" s="114" t="s">
        <v>1175</v>
      </c>
      <c r="B53" s="121" t="s">
        <v>1846</v>
      </c>
      <c r="C53" s="123" t="s">
        <v>1847</v>
      </c>
      <c r="D53" s="123" t="s">
        <v>2048</v>
      </c>
      <c r="E53" s="123" t="s">
        <v>2071</v>
      </c>
    </row>
    <row r="54" spans="1:5">
      <c r="A54" s="115" t="s">
        <v>1168</v>
      </c>
      <c r="B54" s="121">
        <v>3</v>
      </c>
      <c r="C54" s="122">
        <v>4</v>
      </c>
      <c r="D54" s="122">
        <v>4</v>
      </c>
      <c r="E54" s="122">
        <v>3</v>
      </c>
    </row>
    <row r="55" spans="1:5">
      <c r="A55" s="115" t="s">
        <v>1150</v>
      </c>
      <c r="B55" s="121">
        <v>6</v>
      </c>
      <c r="C55" s="122">
        <v>8</v>
      </c>
      <c r="D55" s="122">
        <v>8</v>
      </c>
      <c r="E55" s="122">
        <v>6</v>
      </c>
    </row>
    <row r="56" spans="1:5">
      <c r="A56" s="115" t="s">
        <v>1132</v>
      </c>
      <c r="B56" s="121">
        <v>3</v>
      </c>
      <c r="C56" s="122">
        <v>4</v>
      </c>
      <c r="D56" s="122">
        <v>4</v>
      </c>
      <c r="E56" s="122">
        <v>3</v>
      </c>
    </row>
    <row r="57" spans="1:5">
      <c r="A57" s="116" t="s">
        <v>1136</v>
      </c>
      <c r="B57" s="121">
        <v>3</v>
      </c>
      <c r="C57" s="122">
        <v>4</v>
      </c>
      <c r="D57" s="122">
        <v>5</v>
      </c>
      <c r="E57" s="122">
        <v>4</v>
      </c>
    </row>
    <row r="58" spans="1:5">
      <c r="A58" s="114" t="s">
        <v>1142</v>
      </c>
      <c r="B58" s="121">
        <v>2</v>
      </c>
      <c r="C58" s="122">
        <v>2</v>
      </c>
      <c r="D58" s="122">
        <v>2</v>
      </c>
      <c r="E58" s="122">
        <v>2</v>
      </c>
    </row>
    <row r="59" spans="1:5">
      <c r="A59" s="116" t="s">
        <v>1176</v>
      </c>
      <c r="B59" s="121">
        <v>9</v>
      </c>
      <c r="C59" s="122">
        <v>12</v>
      </c>
      <c r="D59" s="122">
        <v>12</v>
      </c>
      <c r="E59" s="122">
        <v>9</v>
      </c>
    </row>
    <row r="60" spans="1:5">
      <c r="A60" s="116" t="s">
        <v>1146</v>
      </c>
      <c r="B60" s="121">
        <v>12</v>
      </c>
      <c r="C60" s="122">
        <v>16</v>
      </c>
      <c r="D60" s="122">
        <v>16</v>
      </c>
      <c r="E60" s="122">
        <v>12</v>
      </c>
    </row>
    <row r="61" spans="1:5">
      <c r="A61" s="115" t="s">
        <v>1152</v>
      </c>
      <c r="B61" s="121">
        <v>9</v>
      </c>
      <c r="C61" s="122">
        <v>12</v>
      </c>
      <c r="D61" s="122">
        <v>13</v>
      </c>
      <c r="E61" s="122">
        <v>9</v>
      </c>
    </row>
    <row r="62" spans="1:5">
      <c r="A62" s="115" t="s">
        <v>1117</v>
      </c>
      <c r="B62" s="121">
        <v>12</v>
      </c>
      <c r="C62" s="122">
        <v>16</v>
      </c>
      <c r="D62" s="122">
        <v>17</v>
      </c>
      <c r="E62" s="122">
        <v>12</v>
      </c>
    </row>
    <row r="63" spans="1:5">
      <c r="A63" s="116" t="s">
        <v>1145</v>
      </c>
      <c r="B63" s="121">
        <v>12</v>
      </c>
      <c r="C63" s="122">
        <v>16</v>
      </c>
      <c r="D63" s="122">
        <v>17</v>
      </c>
      <c r="E63" s="122">
        <v>12</v>
      </c>
    </row>
    <row r="64" spans="1:5">
      <c r="A64" s="116" t="s">
        <v>1151</v>
      </c>
      <c r="B64" s="121">
        <v>6</v>
      </c>
      <c r="C64" s="122">
        <v>8</v>
      </c>
      <c r="D64" s="122">
        <v>9</v>
      </c>
      <c r="E64" s="122">
        <v>6</v>
      </c>
    </row>
    <row r="65" spans="1:5">
      <c r="A65" s="114" t="s">
        <v>1170</v>
      </c>
      <c r="B65" s="121">
        <v>12</v>
      </c>
      <c r="C65" s="122">
        <v>16</v>
      </c>
      <c r="D65" s="122">
        <v>17</v>
      </c>
      <c r="E65" s="122">
        <v>12</v>
      </c>
    </row>
    <row r="66" spans="1:5">
      <c r="A66" s="116" t="s">
        <v>1144</v>
      </c>
      <c r="B66" s="121">
        <v>9</v>
      </c>
      <c r="C66" s="122">
        <v>12</v>
      </c>
      <c r="D66" s="122">
        <v>13</v>
      </c>
      <c r="E66" s="122">
        <v>9</v>
      </c>
    </row>
    <row r="67" spans="1:5">
      <c r="A67" s="116" t="s">
        <v>1118</v>
      </c>
      <c r="B67" s="121">
        <v>17</v>
      </c>
      <c r="C67" s="122">
        <v>25</v>
      </c>
      <c r="D67" s="122">
        <v>25</v>
      </c>
      <c r="E67" s="122">
        <v>18</v>
      </c>
    </row>
    <row r="68" spans="1:5">
      <c r="A68" s="116" t="s">
        <v>1114</v>
      </c>
      <c r="B68" s="121">
        <v>15</v>
      </c>
      <c r="C68" s="122">
        <v>20</v>
      </c>
      <c r="D68" s="122">
        <v>21</v>
      </c>
      <c r="E68" s="122">
        <v>15</v>
      </c>
    </row>
    <row r="69" spans="1:5">
      <c r="A69" s="41" t="s">
        <v>1852</v>
      </c>
      <c r="B69" s="121">
        <v>0</v>
      </c>
      <c r="C69" s="122">
        <v>20</v>
      </c>
      <c r="D69" s="122">
        <v>0</v>
      </c>
      <c r="E69" s="122">
        <v>15</v>
      </c>
    </row>
    <row r="70" spans="1:5">
      <c r="A70" s="41" t="s">
        <v>1853</v>
      </c>
      <c r="B70" s="121">
        <v>15</v>
      </c>
      <c r="C70" s="122">
        <v>0</v>
      </c>
      <c r="D70" s="122">
        <v>21</v>
      </c>
      <c r="E70" s="122">
        <v>0</v>
      </c>
    </row>
    <row r="71" spans="1:5">
      <c r="A71" s="114" t="s">
        <v>1163</v>
      </c>
      <c r="B71" s="121">
        <v>15</v>
      </c>
      <c r="C71" s="122">
        <v>21</v>
      </c>
      <c r="D71" s="122">
        <v>21</v>
      </c>
      <c r="E71" s="122">
        <v>18</v>
      </c>
    </row>
    <row r="72" spans="1:5">
      <c r="A72" s="115" t="s">
        <v>1129</v>
      </c>
      <c r="B72" s="121">
        <v>3</v>
      </c>
      <c r="C72" s="122">
        <v>4</v>
      </c>
      <c r="D72" s="122">
        <v>4</v>
      </c>
      <c r="E72" s="122">
        <v>3</v>
      </c>
    </row>
    <row r="73" spans="1:5">
      <c r="A73" s="116" t="s">
        <v>1134</v>
      </c>
      <c r="B73" s="121">
        <v>6</v>
      </c>
      <c r="C73" s="122">
        <v>8</v>
      </c>
      <c r="D73" s="122">
        <v>8</v>
      </c>
      <c r="E73" s="122">
        <v>6</v>
      </c>
    </row>
    <row r="74" spans="1:5">
      <c r="A74" s="116" t="s">
        <v>1149</v>
      </c>
      <c r="B74" s="121">
        <v>9</v>
      </c>
      <c r="C74" s="122">
        <v>12</v>
      </c>
      <c r="D74" s="122">
        <v>12</v>
      </c>
      <c r="E74" s="122">
        <v>9</v>
      </c>
    </row>
    <row r="75" spans="1:5">
      <c r="A75" s="115" t="s">
        <v>1169</v>
      </c>
      <c r="B75" s="121">
        <v>11</v>
      </c>
      <c r="C75" s="122">
        <v>17</v>
      </c>
      <c r="D75" s="122">
        <v>16</v>
      </c>
      <c r="E75" s="122">
        <v>12</v>
      </c>
    </row>
    <row r="76" spans="1:5">
      <c r="A76" s="116" t="s">
        <v>1128</v>
      </c>
      <c r="B76" s="121">
        <v>6</v>
      </c>
      <c r="C76" s="122">
        <v>8</v>
      </c>
      <c r="D76" s="122">
        <v>9</v>
      </c>
      <c r="E76" s="122">
        <v>6</v>
      </c>
    </row>
    <row r="77" spans="1:5">
      <c r="A77" s="114" t="s">
        <v>1173</v>
      </c>
      <c r="B77" s="121">
        <v>12</v>
      </c>
      <c r="C77" s="122">
        <v>16</v>
      </c>
      <c r="D77" s="122">
        <v>17</v>
      </c>
      <c r="E77" s="122">
        <v>12</v>
      </c>
    </row>
    <row r="78" spans="1:5">
      <c r="A78" s="116" t="s">
        <v>1139</v>
      </c>
      <c r="B78" s="121">
        <v>12</v>
      </c>
      <c r="C78" s="122">
        <v>16</v>
      </c>
      <c r="D78" s="122">
        <v>16</v>
      </c>
      <c r="E78" s="122">
        <v>11</v>
      </c>
    </row>
    <row r="79" spans="1:5">
      <c r="A79" s="115" t="s">
        <v>1167</v>
      </c>
      <c r="B79" s="121">
        <v>9</v>
      </c>
      <c r="C79" s="122">
        <v>12</v>
      </c>
      <c r="D79" s="122">
        <v>13</v>
      </c>
      <c r="E79" s="122">
        <v>9</v>
      </c>
    </row>
    <row r="80" spans="1:5">
      <c r="A80" s="116" t="s">
        <v>1177</v>
      </c>
      <c r="B80" s="121">
        <v>3</v>
      </c>
      <c r="C80" s="122">
        <v>4</v>
      </c>
      <c r="D80" s="122">
        <v>5</v>
      </c>
      <c r="E80" s="122">
        <v>3</v>
      </c>
    </row>
    <row r="81" spans="1:5">
      <c r="A81" s="114" t="s">
        <v>1123</v>
      </c>
      <c r="B81" s="121">
        <v>2</v>
      </c>
      <c r="C81" s="122">
        <v>5</v>
      </c>
      <c r="D81" s="122">
        <v>4</v>
      </c>
      <c r="E81" s="122">
        <v>3</v>
      </c>
    </row>
    <row r="82" spans="1:5">
      <c r="A82" s="114" t="s">
        <v>1133</v>
      </c>
      <c r="B82" s="121">
        <v>3</v>
      </c>
      <c r="C82" s="122">
        <v>4</v>
      </c>
      <c r="D82" s="122">
        <v>4</v>
      </c>
      <c r="E82" s="122">
        <v>3</v>
      </c>
    </row>
    <row r="83" spans="1:5">
      <c r="A83" s="116" t="s">
        <v>1137</v>
      </c>
      <c r="B83" s="121">
        <v>3</v>
      </c>
      <c r="C83" s="122">
        <v>4</v>
      </c>
      <c r="D83" s="122">
        <v>4</v>
      </c>
      <c r="E83" s="122">
        <v>5</v>
      </c>
    </row>
    <row r="84" spans="1:5">
      <c r="A84" s="114" t="s">
        <v>1174</v>
      </c>
      <c r="B84" s="121" t="s">
        <v>1846</v>
      </c>
      <c r="C84" s="123" t="s">
        <v>1847</v>
      </c>
      <c r="D84" s="123" t="s">
        <v>1847</v>
      </c>
      <c r="E84" s="122" t="s">
        <v>1847</v>
      </c>
    </row>
    <row r="85" spans="1:5">
      <c r="A85" s="116" t="s">
        <v>1148</v>
      </c>
      <c r="B85" s="121">
        <v>5</v>
      </c>
      <c r="C85" s="122">
        <v>9</v>
      </c>
      <c r="D85" s="122">
        <v>8</v>
      </c>
      <c r="E85" s="122">
        <v>6</v>
      </c>
    </row>
    <row r="86" spans="1:5">
      <c r="A86" s="125"/>
    </row>
    <row r="87" spans="1:5">
      <c r="A87" s="125"/>
    </row>
    <row r="88" spans="1:5">
      <c r="A88" s="125"/>
    </row>
    <row r="89" spans="1:5">
      <c r="A89" s="125"/>
    </row>
    <row r="90" spans="1:5">
      <c r="A90" s="125"/>
    </row>
    <row r="91" spans="1:5">
      <c r="A91" s="125"/>
    </row>
    <row r="92" spans="1:5">
      <c r="A92" s="125"/>
    </row>
    <row r="93" spans="1:5">
      <c r="A93" s="125"/>
    </row>
    <row r="94" spans="1:5">
      <c r="A94" s="125"/>
    </row>
    <row r="95" spans="1:5">
      <c r="A95" s="125"/>
    </row>
    <row r="96" spans="1:5">
      <c r="A96" s="125"/>
    </row>
    <row r="97" spans="1:1">
      <c r="A97" s="125"/>
    </row>
    <row r="98" spans="1:1">
      <c r="A98" s="125"/>
    </row>
    <row r="99" spans="1:1">
      <c r="A99" s="125"/>
    </row>
    <row r="100" spans="1:1">
      <c r="A100" s="125"/>
    </row>
    <row r="101" spans="1:1">
      <c r="A101" s="125"/>
    </row>
    <row r="102" spans="1:1">
      <c r="A102" s="125"/>
    </row>
    <row r="103" spans="1:1">
      <c r="A103" s="125"/>
    </row>
    <row r="104" spans="1:1">
      <c r="A104" s="125"/>
    </row>
    <row r="105" spans="1:1">
      <c r="A105" s="125"/>
    </row>
    <row r="106" spans="1:1">
      <c r="A106" s="125"/>
    </row>
    <row r="107" spans="1:1">
      <c r="A107" s="125"/>
    </row>
    <row r="108" spans="1:1">
      <c r="A108" s="125"/>
    </row>
    <row r="109" spans="1:1">
      <c r="A109" s="125"/>
    </row>
    <row r="110" spans="1:1">
      <c r="A110" s="125"/>
    </row>
    <row r="111" spans="1:1">
      <c r="A111" s="125"/>
    </row>
    <row r="112" spans="1:1">
      <c r="A112" s="125"/>
    </row>
    <row r="113" spans="1:1">
      <c r="A113" s="125"/>
    </row>
    <row r="114" spans="1:1">
      <c r="A114" s="125"/>
    </row>
    <row r="115" spans="1:1">
      <c r="A115" s="125"/>
    </row>
    <row r="116" spans="1:1">
      <c r="A116" s="125"/>
    </row>
    <row r="117" spans="1:1">
      <c r="A117" s="125"/>
    </row>
    <row r="118" spans="1:1">
      <c r="A118" s="125"/>
    </row>
    <row r="119" spans="1:1">
      <c r="A119" s="125"/>
    </row>
    <row r="120" spans="1:1">
      <c r="A120" s="125"/>
    </row>
    <row r="121" spans="1:1">
      <c r="A121" s="125"/>
    </row>
    <row r="122" spans="1:1">
      <c r="A122" s="125"/>
    </row>
    <row r="123" spans="1:1">
      <c r="A123" s="125"/>
    </row>
    <row r="124" spans="1:1">
      <c r="A124" s="125"/>
    </row>
    <row r="125" spans="1:1">
      <c r="A125" s="125"/>
    </row>
    <row r="126" spans="1:1">
      <c r="A126" s="125"/>
    </row>
    <row r="127" spans="1:1">
      <c r="A127" s="125"/>
    </row>
    <row r="128" spans="1:1">
      <c r="A128" s="125"/>
    </row>
    <row r="129" spans="1:1">
      <c r="A129" s="125"/>
    </row>
    <row r="130" spans="1:1">
      <c r="A130" s="125"/>
    </row>
    <row r="131" spans="1:1">
      <c r="A131" s="125"/>
    </row>
    <row r="132" spans="1:1">
      <c r="A132" s="125"/>
    </row>
    <row r="133" spans="1:1">
      <c r="A133" s="125"/>
    </row>
    <row r="134" spans="1:1">
      <c r="A134" s="125"/>
    </row>
    <row r="135" spans="1:1">
      <c r="A135" s="125"/>
    </row>
    <row r="136" spans="1:1">
      <c r="A136" s="125"/>
    </row>
    <row r="137" spans="1:1">
      <c r="A137" s="125"/>
    </row>
    <row r="138" spans="1:1">
      <c r="A138" s="125"/>
    </row>
    <row r="139" spans="1:1">
      <c r="A139" s="125"/>
    </row>
    <row r="140" spans="1:1">
      <c r="A140" s="125"/>
    </row>
    <row r="141" spans="1:1">
      <c r="A141" s="125"/>
    </row>
    <row r="142" spans="1:1">
      <c r="A142" s="125"/>
    </row>
    <row r="143" spans="1:1">
      <c r="A143" s="125"/>
    </row>
    <row r="144" spans="1:1">
      <c r="A144" s="125"/>
    </row>
    <row r="145" spans="1:1">
      <c r="A145" s="125"/>
    </row>
    <row r="146" spans="1:1">
      <c r="A146" s="125"/>
    </row>
    <row r="147" spans="1:1">
      <c r="A147" s="125"/>
    </row>
    <row r="148" spans="1:1">
      <c r="A148" s="125"/>
    </row>
    <row r="149" spans="1:1">
      <c r="A149" s="125"/>
    </row>
    <row r="150" spans="1:1">
      <c r="A150" s="125"/>
    </row>
    <row r="151" spans="1:1">
      <c r="A151" s="125"/>
    </row>
    <row r="152" spans="1:1">
      <c r="A152" s="125"/>
    </row>
    <row r="153" spans="1:1">
      <c r="A153" s="125"/>
    </row>
    <row r="154" spans="1:1">
      <c r="A154" s="125"/>
    </row>
    <row r="155" spans="1:1">
      <c r="A155" s="125"/>
    </row>
    <row r="156" spans="1:1">
      <c r="A156" s="125"/>
    </row>
    <row r="157" spans="1:1">
      <c r="A157" s="125"/>
    </row>
    <row r="158" spans="1:1">
      <c r="A158" s="125"/>
    </row>
    <row r="159" spans="1:1">
      <c r="A159" s="125"/>
    </row>
    <row r="160" spans="1:1">
      <c r="A160" s="125"/>
    </row>
    <row r="161" spans="1:1">
      <c r="A161" s="125"/>
    </row>
    <row r="162" spans="1:1">
      <c r="A162" s="125"/>
    </row>
    <row r="163" spans="1:1">
      <c r="A163" s="125"/>
    </row>
    <row r="164" spans="1:1">
      <c r="A164" s="125"/>
    </row>
    <row r="165" spans="1:1">
      <c r="A165" s="125"/>
    </row>
    <row r="166" spans="1:1">
      <c r="A166" s="125"/>
    </row>
    <row r="167" spans="1:1">
      <c r="A167" s="125"/>
    </row>
    <row r="168" spans="1:1">
      <c r="A168" s="125"/>
    </row>
    <row r="169" spans="1:1">
      <c r="A169" s="125"/>
    </row>
    <row r="170" spans="1:1">
      <c r="A170" s="125"/>
    </row>
    <row r="171" spans="1:1">
      <c r="A171" s="125"/>
    </row>
    <row r="172" spans="1:1">
      <c r="A172" s="125"/>
    </row>
    <row r="173" spans="1:1">
      <c r="A173" s="125"/>
    </row>
    <row r="174" spans="1:1">
      <c r="A174" s="125"/>
    </row>
    <row r="175" spans="1:1">
      <c r="A175" s="125"/>
    </row>
    <row r="176" spans="1:1">
      <c r="A176" s="125"/>
    </row>
    <row r="177" spans="1:1">
      <c r="A177" s="125"/>
    </row>
    <row r="178" spans="1:1">
      <c r="A178" s="125"/>
    </row>
    <row r="179" spans="1:1">
      <c r="A179" s="125"/>
    </row>
    <row r="180" spans="1:1">
      <c r="A180" s="125"/>
    </row>
    <row r="181" spans="1:1">
      <c r="A181" s="125"/>
    </row>
    <row r="182" spans="1:1">
      <c r="A182" s="125"/>
    </row>
    <row r="183" spans="1:1">
      <c r="A183" s="125"/>
    </row>
    <row r="184" spans="1:1">
      <c r="A184" s="125"/>
    </row>
    <row r="185" spans="1:1">
      <c r="A185" s="125"/>
    </row>
    <row r="186" spans="1:1">
      <c r="A186" s="125"/>
    </row>
    <row r="187" spans="1:1">
      <c r="A187" s="125"/>
    </row>
    <row r="188" spans="1:1">
      <c r="A188" s="125"/>
    </row>
    <row r="189" spans="1:1">
      <c r="A189" s="125"/>
    </row>
    <row r="190" spans="1:1">
      <c r="A190" s="125"/>
    </row>
    <row r="191" spans="1:1">
      <c r="A191" s="125"/>
    </row>
    <row r="192" spans="1:1">
      <c r="A192" s="125"/>
    </row>
    <row r="193" spans="1:1">
      <c r="A193" s="125"/>
    </row>
    <row r="194" spans="1:1">
      <c r="A194" s="125"/>
    </row>
    <row r="195" spans="1:1">
      <c r="A195" s="125"/>
    </row>
    <row r="196" spans="1:1">
      <c r="A196" s="125"/>
    </row>
    <row r="197" spans="1:1">
      <c r="A197" s="125"/>
    </row>
    <row r="198" spans="1:1">
      <c r="A198" s="125"/>
    </row>
    <row r="199" spans="1:1">
      <c r="A199" s="125"/>
    </row>
    <row r="200" spans="1:1">
      <c r="A200" s="125"/>
    </row>
    <row r="201" spans="1:1">
      <c r="A201" s="125"/>
    </row>
    <row r="202" spans="1:1">
      <c r="A202" s="125"/>
    </row>
    <row r="203" spans="1:1">
      <c r="A203" s="125"/>
    </row>
    <row r="204" spans="1:1">
      <c r="A204" s="125"/>
    </row>
    <row r="205" spans="1:1">
      <c r="A205" s="125"/>
    </row>
    <row r="206" spans="1:1">
      <c r="A206" s="125"/>
    </row>
    <row r="207" spans="1:1">
      <c r="A207" s="125"/>
    </row>
    <row r="208" spans="1:1">
      <c r="A208" s="125"/>
    </row>
    <row r="209" spans="1:1">
      <c r="A209" s="125"/>
    </row>
    <row r="210" spans="1:1">
      <c r="A210" s="125"/>
    </row>
    <row r="211" spans="1:1">
      <c r="A211" s="125"/>
    </row>
    <row r="212" spans="1:1">
      <c r="A212" s="125"/>
    </row>
    <row r="213" spans="1:1">
      <c r="A213" s="125"/>
    </row>
    <row r="214" spans="1:1">
      <c r="A214" s="125"/>
    </row>
    <row r="215" spans="1:1">
      <c r="A215" s="125"/>
    </row>
    <row r="216" spans="1:1">
      <c r="A216" s="125"/>
    </row>
    <row r="217" spans="1:1">
      <c r="A217" s="125"/>
    </row>
    <row r="218" spans="1:1">
      <c r="A218" s="125"/>
    </row>
    <row r="219" spans="1:1">
      <c r="A219" s="125"/>
    </row>
    <row r="220" spans="1:1">
      <c r="A220" s="125"/>
    </row>
    <row r="221" spans="1:1">
      <c r="A221" s="125"/>
    </row>
    <row r="222" spans="1:1">
      <c r="A222" s="125"/>
    </row>
    <row r="223" spans="1:1">
      <c r="A223" s="125"/>
    </row>
    <row r="224" spans="1:1">
      <c r="A224" s="125"/>
    </row>
    <row r="225" spans="1:1">
      <c r="A225" s="125"/>
    </row>
    <row r="226" spans="1:1">
      <c r="A226" s="125"/>
    </row>
    <row r="227" spans="1:1">
      <c r="A227" s="125"/>
    </row>
    <row r="228" spans="1:1">
      <c r="A228" s="125"/>
    </row>
    <row r="229" spans="1:1">
      <c r="A229" s="125"/>
    </row>
    <row r="230" spans="1:1">
      <c r="A230" s="125"/>
    </row>
    <row r="231" spans="1:1">
      <c r="A231" s="125"/>
    </row>
    <row r="232" spans="1:1">
      <c r="A232" s="125"/>
    </row>
    <row r="233" spans="1:1">
      <c r="A233" s="125"/>
    </row>
    <row r="234" spans="1:1">
      <c r="A234" s="125"/>
    </row>
    <row r="235" spans="1:1">
      <c r="A235" s="125"/>
    </row>
    <row r="236" spans="1:1">
      <c r="A236" s="125"/>
    </row>
    <row r="237" spans="1:1">
      <c r="A237" s="125"/>
    </row>
    <row r="238" spans="1:1">
      <c r="A238" s="125"/>
    </row>
    <row r="239" spans="1:1">
      <c r="A239" s="125"/>
    </row>
    <row r="240" spans="1:1">
      <c r="A240" s="125"/>
    </row>
    <row r="241" spans="1:1">
      <c r="A241" s="125"/>
    </row>
    <row r="242" spans="1:1">
      <c r="A242" s="125"/>
    </row>
    <row r="243" spans="1:1">
      <c r="A243" s="125"/>
    </row>
    <row r="244" spans="1:1">
      <c r="A244" s="125"/>
    </row>
    <row r="245" spans="1:1">
      <c r="A245" s="125"/>
    </row>
    <row r="246" spans="1:1">
      <c r="A246" s="125"/>
    </row>
    <row r="247" spans="1:1">
      <c r="A247" s="125"/>
    </row>
    <row r="248" spans="1:1">
      <c r="A248" s="125"/>
    </row>
    <row r="249" spans="1:1">
      <c r="A249" s="125"/>
    </row>
    <row r="250" spans="1:1">
      <c r="A250" s="125"/>
    </row>
    <row r="251" spans="1:1">
      <c r="A251" s="125"/>
    </row>
    <row r="252" spans="1:1">
      <c r="A252" s="125"/>
    </row>
    <row r="253" spans="1:1">
      <c r="A253" s="125"/>
    </row>
    <row r="254" spans="1:1">
      <c r="A254" s="125"/>
    </row>
    <row r="255" spans="1:1">
      <c r="A255" s="125"/>
    </row>
    <row r="256" spans="1:1">
      <c r="A256" s="125"/>
    </row>
    <row r="257" spans="1:1">
      <c r="A257" s="125"/>
    </row>
    <row r="258" spans="1:1">
      <c r="A258" s="125"/>
    </row>
    <row r="259" spans="1:1">
      <c r="A259" s="125"/>
    </row>
    <row r="260" spans="1:1">
      <c r="A260" s="125"/>
    </row>
    <row r="261" spans="1:1">
      <c r="A261" s="125"/>
    </row>
    <row r="262" spans="1:1">
      <c r="A262" s="125"/>
    </row>
    <row r="263" spans="1:1">
      <c r="A263" s="125"/>
    </row>
    <row r="264" spans="1:1">
      <c r="A264" s="125"/>
    </row>
    <row r="265" spans="1:1">
      <c r="A265" s="125"/>
    </row>
    <row r="266" spans="1:1">
      <c r="A266" s="125"/>
    </row>
    <row r="267" spans="1:1">
      <c r="A267" s="125"/>
    </row>
    <row r="268" spans="1:1">
      <c r="A268" s="125"/>
    </row>
    <row r="269" spans="1:1">
      <c r="A269" s="125"/>
    </row>
    <row r="270" spans="1:1">
      <c r="A270" s="125"/>
    </row>
    <row r="271" spans="1:1">
      <c r="A271" s="125"/>
    </row>
    <row r="272" spans="1:1">
      <c r="A272" s="125"/>
    </row>
    <row r="273" spans="1:1">
      <c r="A273" s="125"/>
    </row>
    <row r="274" spans="1:1">
      <c r="A274" s="125"/>
    </row>
    <row r="275" spans="1:1">
      <c r="A275" s="125"/>
    </row>
    <row r="276" spans="1:1">
      <c r="A276" s="125"/>
    </row>
    <row r="277" spans="1:1">
      <c r="A277" s="125"/>
    </row>
    <row r="278" spans="1:1">
      <c r="A278" s="125"/>
    </row>
    <row r="279" spans="1:1">
      <c r="A279" s="125"/>
    </row>
    <row r="280" spans="1:1">
      <c r="A280" s="125"/>
    </row>
    <row r="281" spans="1:1">
      <c r="A281" s="125"/>
    </row>
    <row r="282" spans="1:1">
      <c r="A282" s="125"/>
    </row>
    <row r="283" spans="1:1">
      <c r="A283" s="125"/>
    </row>
    <row r="284" spans="1:1">
      <c r="A284" s="125"/>
    </row>
    <row r="285" spans="1:1">
      <c r="A285" s="125"/>
    </row>
    <row r="286" spans="1:1">
      <c r="A286" s="125"/>
    </row>
    <row r="287" spans="1:1">
      <c r="A287" s="125"/>
    </row>
    <row r="288" spans="1:1">
      <c r="A288" s="125"/>
    </row>
    <row r="289" spans="1:1">
      <c r="A289" s="125"/>
    </row>
    <row r="290" spans="1:1">
      <c r="A290" s="125"/>
    </row>
    <row r="291" spans="1:1">
      <c r="A291" s="125"/>
    </row>
    <row r="292" spans="1:1">
      <c r="A292" s="125"/>
    </row>
    <row r="293" spans="1:1">
      <c r="A293" s="125"/>
    </row>
    <row r="294" spans="1:1">
      <c r="A294" s="125"/>
    </row>
    <row r="295" spans="1:1">
      <c r="A295" s="125"/>
    </row>
    <row r="296" spans="1:1">
      <c r="A296" s="125"/>
    </row>
    <row r="297" spans="1:1">
      <c r="A297" s="125"/>
    </row>
    <row r="298" spans="1:1">
      <c r="A298" s="125"/>
    </row>
    <row r="299" spans="1:1">
      <c r="A299" s="125"/>
    </row>
    <row r="300" spans="1:1">
      <c r="A300" s="125"/>
    </row>
    <row r="301" spans="1:1">
      <c r="A301" s="125"/>
    </row>
    <row r="302" spans="1:1">
      <c r="A302" s="125"/>
    </row>
    <row r="303" spans="1:1">
      <c r="A303" s="125"/>
    </row>
    <row r="304" spans="1:1">
      <c r="A304" s="125"/>
    </row>
    <row r="305" spans="1:1">
      <c r="A305" s="125"/>
    </row>
    <row r="306" spans="1:1">
      <c r="A306" s="125"/>
    </row>
    <row r="307" spans="1:1">
      <c r="A307" s="125"/>
    </row>
    <row r="308" spans="1:1">
      <c r="A308" s="125"/>
    </row>
    <row r="309" spans="1:1">
      <c r="A309" s="125"/>
    </row>
    <row r="310" spans="1:1">
      <c r="A310" s="125"/>
    </row>
    <row r="311" spans="1:1">
      <c r="A311" s="125"/>
    </row>
    <row r="312" spans="1:1">
      <c r="A312" s="125"/>
    </row>
    <row r="313" spans="1:1">
      <c r="A313" s="125"/>
    </row>
    <row r="314" spans="1:1">
      <c r="A314" s="125"/>
    </row>
    <row r="315" spans="1:1">
      <c r="A315" s="125"/>
    </row>
    <row r="316" spans="1:1">
      <c r="A316" s="125"/>
    </row>
    <row r="317" spans="1:1">
      <c r="A317" s="125"/>
    </row>
    <row r="318" spans="1:1">
      <c r="A318" s="125"/>
    </row>
    <row r="319" spans="1:1">
      <c r="A319" s="125"/>
    </row>
    <row r="320" spans="1:1">
      <c r="A320" s="125"/>
    </row>
    <row r="321" spans="1:1">
      <c r="A321" s="125"/>
    </row>
    <row r="322" spans="1:1">
      <c r="A322" s="125"/>
    </row>
    <row r="323" spans="1:1">
      <c r="A323" s="125"/>
    </row>
    <row r="324" spans="1:1">
      <c r="A324" s="125"/>
    </row>
    <row r="325" spans="1:1">
      <c r="A325" s="125"/>
    </row>
    <row r="326" spans="1:1">
      <c r="A326" s="125"/>
    </row>
    <row r="327" spans="1:1">
      <c r="A327" s="125"/>
    </row>
    <row r="328" spans="1:1">
      <c r="A328" s="125"/>
    </row>
    <row r="329" spans="1:1">
      <c r="A329" s="125"/>
    </row>
    <row r="330" spans="1:1">
      <c r="A330" s="125"/>
    </row>
    <row r="331" spans="1:1">
      <c r="A331" s="125"/>
    </row>
    <row r="332" spans="1:1">
      <c r="A332" s="125"/>
    </row>
    <row r="333" spans="1:1">
      <c r="A333" s="125"/>
    </row>
    <row r="334" spans="1:1">
      <c r="A334" s="125"/>
    </row>
    <row r="335" spans="1:1">
      <c r="A335" s="125"/>
    </row>
    <row r="336" spans="1:1">
      <c r="A336" s="125"/>
    </row>
    <row r="337" spans="1:1">
      <c r="A337" s="125"/>
    </row>
    <row r="338" spans="1:1">
      <c r="A338" s="125"/>
    </row>
    <row r="339" spans="1:1">
      <c r="A339" s="125"/>
    </row>
    <row r="340" spans="1:1">
      <c r="A340" s="125"/>
    </row>
    <row r="341" spans="1:1">
      <c r="A341" s="125"/>
    </row>
    <row r="342" spans="1:1">
      <c r="A342" s="125"/>
    </row>
    <row r="343" spans="1:1">
      <c r="A343" s="125"/>
    </row>
    <row r="344" spans="1:1">
      <c r="A344" s="125"/>
    </row>
    <row r="345" spans="1:1">
      <c r="A345" s="125"/>
    </row>
    <row r="346" spans="1:1">
      <c r="A346" s="125"/>
    </row>
    <row r="347" spans="1:1">
      <c r="A347" s="125"/>
    </row>
    <row r="348" spans="1:1">
      <c r="A348" s="125"/>
    </row>
    <row r="349" spans="1:1">
      <c r="A349" s="125"/>
    </row>
    <row r="350" spans="1:1">
      <c r="A350" s="125"/>
    </row>
    <row r="351" spans="1:1">
      <c r="A351" s="125"/>
    </row>
    <row r="352" spans="1:1">
      <c r="A352" s="125"/>
    </row>
    <row r="353" spans="1:1">
      <c r="A353" s="125"/>
    </row>
    <row r="354" spans="1:1">
      <c r="A354" s="125"/>
    </row>
    <row r="355" spans="1:1">
      <c r="A355" s="125"/>
    </row>
    <row r="356" spans="1:1">
      <c r="A356" s="125"/>
    </row>
    <row r="357" spans="1:1">
      <c r="A357" s="125"/>
    </row>
    <row r="358" spans="1:1">
      <c r="A358" s="125"/>
    </row>
    <row r="359" spans="1:1">
      <c r="A359" s="125"/>
    </row>
    <row r="360" spans="1:1">
      <c r="A360" s="125"/>
    </row>
    <row r="361" spans="1:1">
      <c r="A361" s="125"/>
    </row>
    <row r="362" spans="1:1">
      <c r="A362" s="125"/>
    </row>
    <row r="363" spans="1:1">
      <c r="A363" s="125"/>
    </row>
    <row r="364" spans="1:1">
      <c r="A364" s="125"/>
    </row>
    <row r="365" spans="1:1">
      <c r="A365" s="125"/>
    </row>
    <row r="366" spans="1:1">
      <c r="A366" s="125"/>
    </row>
    <row r="367" spans="1:1">
      <c r="A367" s="125"/>
    </row>
    <row r="368" spans="1:1">
      <c r="A368" s="125"/>
    </row>
    <row r="369" spans="1:1">
      <c r="A369" s="125"/>
    </row>
    <row r="370" spans="1:1">
      <c r="A370" s="125"/>
    </row>
    <row r="371" spans="1:1">
      <c r="A371" s="125"/>
    </row>
    <row r="372" spans="1:1">
      <c r="A372" s="125"/>
    </row>
    <row r="373" spans="1:1">
      <c r="A373" s="125"/>
    </row>
    <row r="374" spans="1:1">
      <c r="A374" s="125"/>
    </row>
    <row r="375" spans="1:1">
      <c r="A375" s="125"/>
    </row>
    <row r="376" spans="1:1">
      <c r="A376" s="125"/>
    </row>
    <row r="377" spans="1:1">
      <c r="A377" s="125"/>
    </row>
    <row r="378" spans="1:1">
      <c r="A378" s="125"/>
    </row>
    <row r="379" spans="1:1">
      <c r="A379" s="125"/>
    </row>
    <row r="380" spans="1:1">
      <c r="A380" s="125"/>
    </row>
    <row r="381" spans="1:1">
      <c r="A381" s="125"/>
    </row>
    <row r="382" spans="1:1">
      <c r="A382" s="125"/>
    </row>
    <row r="383" spans="1:1">
      <c r="A383" s="125"/>
    </row>
    <row r="384" spans="1:1">
      <c r="A384" s="125"/>
    </row>
    <row r="385" spans="1:1">
      <c r="A385" s="125"/>
    </row>
    <row r="386" spans="1:1">
      <c r="A386" s="125"/>
    </row>
    <row r="387" spans="1:1">
      <c r="A387" s="125"/>
    </row>
    <row r="388" spans="1:1">
      <c r="A388" s="125"/>
    </row>
    <row r="389" spans="1:1">
      <c r="A389" s="125"/>
    </row>
    <row r="390" spans="1:1">
      <c r="A390" s="125"/>
    </row>
    <row r="391" spans="1:1">
      <c r="A391" s="125"/>
    </row>
    <row r="392" spans="1:1">
      <c r="A392" s="125"/>
    </row>
    <row r="393" spans="1:1">
      <c r="A393" s="125"/>
    </row>
    <row r="394" spans="1:1">
      <c r="A394" s="125"/>
    </row>
    <row r="395" spans="1:1">
      <c r="A395" s="125"/>
    </row>
    <row r="396" spans="1:1">
      <c r="A396" s="125"/>
    </row>
    <row r="397" spans="1:1">
      <c r="A397" s="125"/>
    </row>
    <row r="398" spans="1:1">
      <c r="A398" s="125"/>
    </row>
    <row r="399" spans="1:1">
      <c r="A399" s="125"/>
    </row>
    <row r="400" spans="1:1">
      <c r="A400" s="125"/>
    </row>
    <row r="401" spans="1:1">
      <c r="A401" s="125"/>
    </row>
    <row r="402" spans="1:1">
      <c r="A402" s="125"/>
    </row>
    <row r="403" spans="1:1">
      <c r="A403" s="125"/>
    </row>
    <row r="404" spans="1:1">
      <c r="A404" s="125"/>
    </row>
    <row r="405" spans="1:1">
      <c r="A405" s="125"/>
    </row>
    <row r="406" spans="1:1">
      <c r="A406" s="125"/>
    </row>
    <row r="407" spans="1:1">
      <c r="A407" s="125"/>
    </row>
    <row r="408" spans="1:1">
      <c r="A408" s="125"/>
    </row>
    <row r="409" spans="1:1">
      <c r="A409" s="125"/>
    </row>
    <row r="410" spans="1:1">
      <c r="A410" s="125"/>
    </row>
    <row r="411" spans="1:1">
      <c r="A411" s="125"/>
    </row>
    <row r="412" spans="1:1">
      <c r="A412" s="125"/>
    </row>
    <row r="413" spans="1:1">
      <c r="A413" s="125"/>
    </row>
    <row r="414" spans="1:1">
      <c r="A414" s="125"/>
    </row>
    <row r="415" spans="1:1">
      <c r="A415" s="125"/>
    </row>
    <row r="416" spans="1:1">
      <c r="A416" s="125"/>
    </row>
    <row r="417" spans="1:1">
      <c r="A417" s="125"/>
    </row>
    <row r="418" spans="1:1">
      <c r="A418" s="125"/>
    </row>
    <row r="419" spans="1:1">
      <c r="A419" s="125"/>
    </row>
    <row r="420" spans="1:1">
      <c r="A420" s="125"/>
    </row>
    <row r="421" spans="1:1">
      <c r="A421" s="125"/>
    </row>
    <row r="422" spans="1:1">
      <c r="A422" s="125"/>
    </row>
    <row r="423" spans="1:1">
      <c r="A423" s="125"/>
    </row>
    <row r="424" spans="1:1">
      <c r="A424" s="125"/>
    </row>
    <row r="425" spans="1:1">
      <c r="A425" s="125"/>
    </row>
    <row r="426" spans="1:1">
      <c r="A426" s="125"/>
    </row>
    <row r="427" spans="1:1">
      <c r="A427" s="125"/>
    </row>
    <row r="428" spans="1:1">
      <c r="A428" s="125"/>
    </row>
    <row r="429" spans="1:1">
      <c r="A429" s="125"/>
    </row>
    <row r="430" spans="1:1">
      <c r="A430" s="125"/>
    </row>
    <row r="431" spans="1:1">
      <c r="A431" s="125"/>
    </row>
    <row r="432" spans="1:1">
      <c r="A432" s="125"/>
    </row>
    <row r="433" spans="1:1">
      <c r="A433" s="125"/>
    </row>
    <row r="434" spans="1:1">
      <c r="A434" s="125"/>
    </row>
    <row r="435" spans="1:1">
      <c r="A435" s="125"/>
    </row>
    <row r="436" spans="1:1">
      <c r="A436" s="125"/>
    </row>
    <row r="437" spans="1:1">
      <c r="A437" s="125"/>
    </row>
    <row r="438" spans="1:1">
      <c r="A438" s="125"/>
    </row>
    <row r="439" spans="1:1">
      <c r="A439" s="125"/>
    </row>
    <row r="440" spans="1:1">
      <c r="A440" s="125"/>
    </row>
    <row r="441" spans="1:1">
      <c r="A441" s="125"/>
    </row>
    <row r="442" spans="1:1">
      <c r="A442" s="125"/>
    </row>
    <row r="443" spans="1:1">
      <c r="A443" s="125"/>
    </row>
    <row r="444" spans="1:1">
      <c r="A444" s="125"/>
    </row>
    <row r="445" spans="1:1">
      <c r="A445" s="125"/>
    </row>
    <row r="446" spans="1:1">
      <c r="A446" s="125"/>
    </row>
    <row r="447" spans="1:1">
      <c r="A447" s="125"/>
    </row>
    <row r="448" spans="1:1">
      <c r="A448" s="125"/>
    </row>
    <row r="449" spans="1:1">
      <c r="A449" s="125"/>
    </row>
    <row r="450" spans="1:1">
      <c r="A450" s="125"/>
    </row>
    <row r="451" spans="1:1">
      <c r="A451" s="125"/>
    </row>
    <row r="452" spans="1:1">
      <c r="A452" s="125"/>
    </row>
    <row r="453" spans="1:1">
      <c r="A453" s="125"/>
    </row>
    <row r="454" spans="1:1">
      <c r="A454" s="125"/>
    </row>
    <row r="455" spans="1:1">
      <c r="A455" s="125"/>
    </row>
    <row r="456" spans="1:1">
      <c r="A456" s="125"/>
    </row>
    <row r="457" spans="1:1">
      <c r="A457" s="125"/>
    </row>
    <row r="458" spans="1:1">
      <c r="A458" s="125"/>
    </row>
    <row r="459" spans="1:1">
      <c r="A459" s="125"/>
    </row>
    <row r="460" spans="1:1">
      <c r="A460" s="125"/>
    </row>
    <row r="461" spans="1:1">
      <c r="A461" s="125"/>
    </row>
    <row r="462" spans="1:1">
      <c r="A462" s="125"/>
    </row>
    <row r="463" spans="1:1">
      <c r="A463" s="125"/>
    </row>
    <row r="464" spans="1:1">
      <c r="A464" s="125"/>
    </row>
    <row r="465" spans="1:1">
      <c r="A465" s="125"/>
    </row>
    <row r="466" spans="1:1">
      <c r="A466" s="125"/>
    </row>
    <row r="467" spans="1:1">
      <c r="A467" s="125"/>
    </row>
    <row r="468" spans="1:1">
      <c r="A468" s="125"/>
    </row>
    <row r="469" spans="1:1">
      <c r="A469" s="125"/>
    </row>
    <row r="470" spans="1:1">
      <c r="A470" s="125"/>
    </row>
    <row r="471" spans="1:1">
      <c r="A471" s="125"/>
    </row>
    <row r="472" spans="1:1">
      <c r="A472" s="125"/>
    </row>
    <row r="473" spans="1:1">
      <c r="A473" s="125"/>
    </row>
    <row r="474" spans="1:1">
      <c r="A474" s="125"/>
    </row>
    <row r="475" spans="1:1">
      <c r="A475" s="125"/>
    </row>
    <row r="476" spans="1:1">
      <c r="A476" s="125"/>
    </row>
    <row r="477" spans="1:1">
      <c r="A477" s="125"/>
    </row>
    <row r="478" spans="1:1">
      <c r="A478" s="125"/>
    </row>
    <row r="479" spans="1:1">
      <c r="A479" s="125"/>
    </row>
    <row r="480" spans="1:1">
      <c r="A480" s="125"/>
    </row>
    <row r="481" spans="1:1">
      <c r="A481" s="125"/>
    </row>
    <row r="482" spans="1:1">
      <c r="A482" s="125"/>
    </row>
    <row r="483" spans="1:1">
      <c r="A483" s="125"/>
    </row>
    <row r="484" spans="1:1">
      <c r="A484" s="125"/>
    </row>
    <row r="485" spans="1:1">
      <c r="A485" s="125"/>
    </row>
    <row r="486" spans="1:1">
      <c r="A486" s="125"/>
    </row>
    <row r="487" spans="1:1">
      <c r="A487" s="125"/>
    </row>
    <row r="488" spans="1:1">
      <c r="A488" s="125"/>
    </row>
    <row r="489" spans="1:1">
      <c r="A489" s="125"/>
    </row>
    <row r="490" spans="1:1">
      <c r="A490" s="125"/>
    </row>
    <row r="491" spans="1:1">
      <c r="A491" s="125"/>
    </row>
    <row r="492" spans="1:1">
      <c r="A492" s="125"/>
    </row>
    <row r="493" spans="1:1">
      <c r="A493" s="125"/>
    </row>
    <row r="494" spans="1:1">
      <c r="A494" s="125"/>
    </row>
    <row r="495" spans="1:1">
      <c r="A495" s="125"/>
    </row>
    <row r="496" spans="1:1">
      <c r="A496" s="125"/>
    </row>
    <row r="497" spans="1:1">
      <c r="A497" s="125"/>
    </row>
    <row r="498" spans="1:1">
      <c r="A498" s="125"/>
    </row>
    <row r="499" spans="1:1">
      <c r="A499" s="125"/>
    </row>
    <row r="500" spans="1:1">
      <c r="A500" s="125"/>
    </row>
    <row r="501" spans="1:1">
      <c r="A501" s="125"/>
    </row>
    <row r="502" spans="1:1">
      <c r="A502" s="125"/>
    </row>
    <row r="503" spans="1:1">
      <c r="A503" s="125"/>
    </row>
    <row r="504" spans="1:1">
      <c r="A504" s="125"/>
    </row>
    <row r="505" spans="1:1">
      <c r="A505" s="125"/>
    </row>
    <row r="506" spans="1:1">
      <c r="A506" s="125"/>
    </row>
    <row r="507" spans="1:1">
      <c r="A507" s="125"/>
    </row>
    <row r="508" spans="1:1">
      <c r="A508" s="125"/>
    </row>
    <row r="509" spans="1:1">
      <c r="A509" s="125"/>
    </row>
    <row r="510" spans="1:1">
      <c r="A510" s="125"/>
    </row>
    <row r="511" spans="1:1">
      <c r="A511" s="125"/>
    </row>
    <row r="512" spans="1:1">
      <c r="A512" s="125"/>
    </row>
    <row r="513" spans="1:1">
      <c r="A513" s="125"/>
    </row>
    <row r="514" spans="1:1">
      <c r="A514" s="125"/>
    </row>
    <row r="515" spans="1:1">
      <c r="A515" s="125"/>
    </row>
    <row r="516" spans="1:1">
      <c r="A516" s="125"/>
    </row>
    <row r="517" spans="1:1">
      <c r="A517" s="125"/>
    </row>
    <row r="518" spans="1:1">
      <c r="A518" s="125"/>
    </row>
    <row r="519" spans="1:1">
      <c r="A519" s="125"/>
    </row>
    <row r="520" spans="1:1">
      <c r="A520" s="125"/>
    </row>
    <row r="521" spans="1:1">
      <c r="A521" s="125"/>
    </row>
    <row r="522" spans="1:1">
      <c r="A522" s="125"/>
    </row>
    <row r="523" spans="1:1">
      <c r="A523" s="125"/>
    </row>
    <row r="524" spans="1:1">
      <c r="A524" s="125"/>
    </row>
    <row r="525" spans="1:1">
      <c r="A525" s="125"/>
    </row>
    <row r="526" spans="1:1">
      <c r="A526" s="125"/>
    </row>
    <row r="527" spans="1:1">
      <c r="A527" s="125"/>
    </row>
    <row r="528" spans="1:1">
      <c r="A528" s="125"/>
    </row>
    <row r="529" spans="1:1">
      <c r="A529" s="125"/>
    </row>
    <row r="530" spans="1:1">
      <c r="A530" s="125"/>
    </row>
    <row r="531" spans="1:1">
      <c r="A531" s="125"/>
    </row>
    <row r="532" spans="1:1">
      <c r="A532" s="125"/>
    </row>
    <row r="533" spans="1:1">
      <c r="A533" s="125"/>
    </row>
    <row r="534" spans="1:1">
      <c r="A534" s="125"/>
    </row>
    <row r="535" spans="1:1">
      <c r="A535" s="125"/>
    </row>
    <row r="536" spans="1:1">
      <c r="A536" s="125"/>
    </row>
    <row r="537" spans="1:1">
      <c r="A537" s="125"/>
    </row>
    <row r="538" spans="1:1">
      <c r="A538" s="125"/>
    </row>
    <row r="539" spans="1:1">
      <c r="A539" s="125"/>
    </row>
    <row r="540" spans="1:1">
      <c r="A540" s="125"/>
    </row>
    <row r="541" spans="1:1">
      <c r="A541" s="125"/>
    </row>
    <row r="542" spans="1:1">
      <c r="A542" s="125"/>
    </row>
    <row r="543" spans="1:1">
      <c r="A543" s="125"/>
    </row>
    <row r="544" spans="1:1">
      <c r="A544" s="125"/>
    </row>
    <row r="545" spans="1:1">
      <c r="A545" s="125"/>
    </row>
    <row r="546" spans="1:1">
      <c r="A546" s="125"/>
    </row>
    <row r="547" spans="1:1">
      <c r="A547" s="125"/>
    </row>
    <row r="548" spans="1:1">
      <c r="A548" s="125"/>
    </row>
    <row r="549" spans="1:1">
      <c r="A549" s="125"/>
    </row>
    <row r="550" spans="1:1">
      <c r="A550" s="125"/>
    </row>
    <row r="551" spans="1:1">
      <c r="A551" s="125"/>
    </row>
    <row r="552" spans="1:1">
      <c r="A552" s="125"/>
    </row>
    <row r="553" spans="1:1">
      <c r="A553" s="125"/>
    </row>
    <row r="554" spans="1:1">
      <c r="A554" s="125"/>
    </row>
    <row r="555" spans="1:1">
      <c r="A555" s="125"/>
    </row>
    <row r="556" spans="1:1">
      <c r="A556" s="125"/>
    </row>
    <row r="557" spans="1:1">
      <c r="A557" s="125"/>
    </row>
    <row r="558" spans="1:1">
      <c r="A558" s="125"/>
    </row>
    <row r="559" spans="1:1">
      <c r="A559" s="125"/>
    </row>
    <row r="560" spans="1:1">
      <c r="A560" s="125"/>
    </row>
    <row r="561" spans="1:1">
      <c r="A561" s="125"/>
    </row>
    <row r="562" spans="1:1">
      <c r="A562" s="125"/>
    </row>
    <row r="563" spans="1:1">
      <c r="A563" s="125"/>
    </row>
    <row r="564" spans="1:1">
      <c r="A564" s="125"/>
    </row>
    <row r="565" spans="1:1">
      <c r="A565" s="125"/>
    </row>
    <row r="566" spans="1:1">
      <c r="A566" s="125"/>
    </row>
    <row r="567" spans="1:1">
      <c r="A567" s="125"/>
    </row>
    <row r="568" spans="1:1">
      <c r="A568" s="125"/>
    </row>
    <row r="569" spans="1:1">
      <c r="A569" s="125"/>
    </row>
    <row r="570" spans="1:1">
      <c r="A570" s="125"/>
    </row>
    <row r="571" spans="1:1">
      <c r="A571" s="125"/>
    </row>
    <row r="572" spans="1:1">
      <c r="A572" s="125"/>
    </row>
    <row r="573" spans="1:1">
      <c r="A573" s="125"/>
    </row>
    <row r="574" spans="1:1">
      <c r="A574" s="125"/>
    </row>
    <row r="575" spans="1:1">
      <c r="A575" s="125"/>
    </row>
    <row r="576" spans="1:1">
      <c r="A576" s="125"/>
    </row>
    <row r="577" spans="1:1">
      <c r="A577" s="125"/>
    </row>
    <row r="578" spans="1:1">
      <c r="A578" s="125"/>
    </row>
    <row r="579" spans="1:1">
      <c r="A579" s="125"/>
    </row>
    <row r="580" spans="1:1">
      <c r="A580" s="125"/>
    </row>
    <row r="581" spans="1:1">
      <c r="A581" s="125"/>
    </row>
    <row r="582" spans="1:1">
      <c r="A582" s="125"/>
    </row>
    <row r="583" spans="1:1">
      <c r="A583" s="125"/>
    </row>
    <row r="584" spans="1:1">
      <c r="A584" s="125"/>
    </row>
    <row r="585" spans="1:1">
      <c r="A585" s="125"/>
    </row>
    <row r="586" spans="1:1">
      <c r="A586" s="125"/>
    </row>
    <row r="587" spans="1:1">
      <c r="A587" s="125"/>
    </row>
    <row r="588" spans="1:1">
      <c r="A588" s="125"/>
    </row>
    <row r="589" spans="1:1">
      <c r="A589" s="125"/>
    </row>
    <row r="590" spans="1:1">
      <c r="A590" s="125"/>
    </row>
    <row r="591" spans="1:1">
      <c r="A591" s="125"/>
    </row>
    <row r="592" spans="1:1">
      <c r="A592" s="125"/>
    </row>
    <row r="593" spans="1:1">
      <c r="A593" s="125"/>
    </row>
    <row r="594" spans="1:1">
      <c r="A594" s="125"/>
    </row>
    <row r="595" spans="1:1">
      <c r="A595" s="125"/>
    </row>
    <row r="596" spans="1:1">
      <c r="A596" s="125"/>
    </row>
    <row r="597" spans="1:1">
      <c r="A597" s="125"/>
    </row>
    <row r="598" spans="1:1">
      <c r="A598" s="125"/>
    </row>
    <row r="599" spans="1:1">
      <c r="A599" s="125"/>
    </row>
    <row r="600" spans="1:1">
      <c r="A600" s="125"/>
    </row>
    <row r="601" spans="1:1">
      <c r="A601" s="125"/>
    </row>
    <row r="602" spans="1:1">
      <c r="A602" s="125"/>
    </row>
    <row r="603" spans="1:1">
      <c r="A603" s="125"/>
    </row>
    <row r="604" spans="1:1">
      <c r="A604" s="125"/>
    </row>
    <row r="605" spans="1:1">
      <c r="A605" s="125"/>
    </row>
    <row r="606" spans="1:1">
      <c r="A606" s="125"/>
    </row>
    <row r="607" spans="1:1">
      <c r="A607" s="125"/>
    </row>
    <row r="608" spans="1:1">
      <c r="A608" s="125"/>
    </row>
    <row r="609" spans="1:1">
      <c r="A609" s="125"/>
    </row>
    <row r="610" spans="1:1">
      <c r="A610" s="125"/>
    </row>
    <row r="611" spans="1:1">
      <c r="A611" s="125"/>
    </row>
    <row r="612" spans="1:1">
      <c r="A612" s="125"/>
    </row>
    <row r="613" spans="1:1">
      <c r="A613" s="125"/>
    </row>
    <row r="614" spans="1:1">
      <c r="A614" s="125"/>
    </row>
    <row r="615" spans="1:1">
      <c r="A615" s="125"/>
    </row>
    <row r="616" spans="1:1">
      <c r="A616" s="125"/>
    </row>
    <row r="617" spans="1:1">
      <c r="A617" s="125"/>
    </row>
    <row r="618" spans="1:1">
      <c r="A618" s="125"/>
    </row>
    <row r="619" spans="1:1">
      <c r="A619" s="125"/>
    </row>
    <row r="620" spans="1:1">
      <c r="A620" s="125"/>
    </row>
    <row r="621" spans="1:1">
      <c r="A621" s="125"/>
    </row>
    <row r="622" spans="1:1">
      <c r="A622" s="125"/>
    </row>
    <row r="623" spans="1:1">
      <c r="A623" s="125"/>
    </row>
    <row r="624" spans="1:1">
      <c r="A624" s="125"/>
    </row>
    <row r="625" spans="1:1">
      <c r="A625" s="125"/>
    </row>
    <row r="626" spans="1:1">
      <c r="A626" s="125"/>
    </row>
    <row r="627" spans="1:1">
      <c r="A627" s="125"/>
    </row>
    <row r="628" spans="1:1">
      <c r="A628" s="125"/>
    </row>
    <row r="629" spans="1:1">
      <c r="A629" s="125"/>
    </row>
    <row r="630" spans="1:1">
      <c r="A630" s="125"/>
    </row>
    <row r="631" spans="1:1">
      <c r="A631" s="125"/>
    </row>
    <row r="632" spans="1:1">
      <c r="A632" s="125"/>
    </row>
    <row r="633" spans="1:1">
      <c r="A633" s="125"/>
    </row>
    <row r="634" spans="1:1">
      <c r="A634" s="125"/>
    </row>
    <row r="635" spans="1:1">
      <c r="A635" s="125"/>
    </row>
    <row r="636" spans="1:1">
      <c r="A636" s="125"/>
    </row>
    <row r="637" spans="1:1">
      <c r="A637" s="125"/>
    </row>
    <row r="638" spans="1:1">
      <c r="A638" s="125"/>
    </row>
    <row r="639" spans="1:1">
      <c r="A639" s="125"/>
    </row>
    <row r="640" spans="1:1">
      <c r="A640" s="125"/>
    </row>
    <row r="641" spans="1:1">
      <c r="A641" s="125"/>
    </row>
    <row r="642" spans="1:1">
      <c r="A642" s="125"/>
    </row>
    <row r="643" spans="1:1">
      <c r="A643" s="125"/>
    </row>
    <row r="644" spans="1:1">
      <c r="A644" s="125"/>
    </row>
    <row r="645" spans="1:1">
      <c r="A645" s="125"/>
    </row>
    <row r="646" spans="1:1">
      <c r="A646" s="125"/>
    </row>
    <row r="647" spans="1:1">
      <c r="A647" s="125"/>
    </row>
    <row r="648" spans="1:1">
      <c r="A648" s="125"/>
    </row>
    <row r="649" spans="1:1">
      <c r="A649" s="125"/>
    </row>
    <row r="650" spans="1:1">
      <c r="A650" s="125"/>
    </row>
    <row r="651" spans="1:1">
      <c r="A651" s="125"/>
    </row>
    <row r="652" spans="1:1">
      <c r="A652" s="125"/>
    </row>
    <row r="653" spans="1:1">
      <c r="A653" s="125"/>
    </row>
    <row r="654" spans="1:1">
      <c r="A654" s="125"/>
    </row>
    <row r="655" spans="1:1">
      <c r="A655" s="125"/>
    </row>
    <row r="656" spans="1:1">
      <c r="A656" s="125"/>
    </row>
    <row r="657" spans="1:1">
      <c r="A657" s="125"/>
    </row>
    <row r="658" spans="1:1">
      <c r="A658" s="125"/>
    </row>
    <row r="659" spans="1:1">
      <c r="A659" s="125"/>
    </row>
    <row r="660" spans="1:1">
      <c r="A660" s="125"/>
    </row>
    <row r="661" spans="1:1">
      <c r="A661" s="125"/>
    </row>
    <row r="662" spans="1:1">
      <c r="A662" s="125"/>
    </row>
    <row r="663" spans="1:1">
      <c r="A663" s="125"/>
    </row>
    <row r="664" spans="1:1">
      <c r="A664" s="125"/>
    </row>
    <row r="665" spans="1:1">
      <c r="A665" s="125"/>
    </row>
    <row r="666" spans="1:1">
      <c r="A666" s="125"/>
    </row>
    <row r="667" spans="1:1">
      <c r="A667" s="125"/>
    </row>
    <row r="668" spans="1:1">
      <c r="A668" s="125"/>
    </row>
    <row r="669" spans="1:1">
      <c r="A669" s="125"/>
    </row>
    <row r="670" spans="1:1">
      <c r="A670" s="125"/>
    </row>
    <row r="671" spans="1:1">
      <c r="A671" s="125"/>
    </row>
    <row r="672" spans="1:1">
      <c r="A672" s="125"/>
    </row>
    <row r="673" spans="1:1">
      <c r="A673" s="125"/>
    </row>
    <row r="674" spans="1:1">
      <c r="A674" s="125"/>
    </row>
    <row r="675" spans="1:1">
      <c r="A675" s="125"/>
    </row>
    <row r="676" spans="1:1">
      <c r="A676" s="125"/>
    </row>
    <row r="677" spans="1:1">
      <c r="A677" s="125"/>
    </row>
    <row r="678" spans="1:1">
      <c r="A678" s="125"/>
    </row>
    <row r="679" spans="1:1">
      <c r="A679" s="125"/>
    </row>
    <row r="680" spans="1:1">
      <c r="A680" s="125"/>
    </row>
    <row r="681" spans="1:1">
      <c r="A681" s="125"/>
    </row>
    <row r="682" spans="1:1">
      <c r="A682" s="125"/>
    </row>
    <row r="683" spans="1:1">
      <c r="A683" s="125"/>
    </row>
    <row r="684" spans="1:1">
      <c r="A684" s="125"/>
    </row>
    <row r="685" spans="1:1">
      <c r="A685" s="125"/>
    </row>
    <row r="686" spans="1:1">
      <c r="A686" s="125"/>
    </row>
    <row r="687" spans="1:1">
      <c r="A687" s="125"/>
    </row>
    <row r="688" spans="1:1">
      <c r="A688" s="125"/>
    </row>
    <row r="689" spans="1:1">
      <c r="A689" s="125"/>
    </row>
    <row r="690" spans="1:1">
      <c r="A690" s="125"/>
    </row>
    <row r="691" spans="1:1">
      <c r="A691" s="125"/>
    </row>
    <row r="692" spans="1:1">
      <c r="A692" s="125"/>
    </row>
    <row r="693" spans="1:1">
      <c r="A693" s="125"/>
    </row>
    <row r="694" spans="1:1">
      <c r="A694" s="125"/>
    </row>
    <row r="695" spans="1:1">
      <c r="A695" s="125"/>
    </row>
    <row r="696" spans="1:1">
      <c r="A696" s="125"/>
    </row>
    <row r="697" spans="1:1">
      <c r="A697" s="125"/>
    </row>
    <row r="698" spans="1:1">
      <c r="A698" s="125"/>
    </row>
    <row r="699" spans="1:1">
      <c r="A699" s="125"/>
    </row>
    <row r="700" spans="1:1">
      <c r="A700" s="125"/>
    </row>
    <row r="701" spans="1:1">
      <c r="A701" s="125"/>
    </row>
    <row r="702" spans="1:1">
      <c r="A702" s="125"/>
    </row>
    <row r="703" spans="1:1">
      <c r="A703" s="125"/>
    </row>
    <row r="704" spans="1:1">
      <c r="A704" s="125"/>
    </row>
    <row r="705" spans="1:1">
      <c r="A705" s="125"/>
    </row>
    <row r="706" spans="1:1">
      <c r="A706" s="125"/>
    </row>
    <row r="707" spans="1:1">
      <c r="A707" s="125"/>
    </row>
    <row r="708" spans="1:1">
      <c r="A708" s="125"/>
    </row>
    <row r="709" spans="1:1">
      <c r="A709" s="125"/>
    </row>
    <row r="710" spans="1:1">
      <c r="A710" s="125"/>
    </row>
    <row r="711" spans="1:1">
      <c r="A711" s="125"/>
    </row>
    <row r="712" spans="1:1">
      <c r="A712" s="125"/>
    </row>
    <row r="713" spans="1:1">
      <c r="A713" s="125"/>
    </row>
    <row r="714" spans="1:1">
      <c r="A714" s="125"/>
    </row>
    <row r="715" spans="1:1">
      <c r="A715" s="125"/>
    </row>
    <row r="716" spans="1:1">
      <c r="A716" s="125"/>
    </row>
    <row r="717" spans="1:1">
      <c r="A717" s="125"/>
    </row>
    <row r="718" spans="1:1">
      <c r="A718" s="125"/>
    </row>
    <row r="719" spans="1:1">
      <c r="A719" s="125"/>
    </row>
    <row r="720" spans="1:1">
      <c r="A720" s="125"/>
    </row>
    <row r="721" spans="1:1">
      <c r="A721" s="125"/>
    </row>
    <row r="722" spans="1:1">
      <c r="A722" s="125"/>
    </row>
    <row r="723" spans="1:1">
      <c r="A723" s="125"/>
    </row>
    <row r="724" spans="1:1">
      <c r="A724" s="125"/>
    </row>
    <row r="725" spans="1:1">
      <c r="A725" s="125"/>
    </row>
    <row r="726" spans="1:1">
      <c r="A726" s="125"/>
    </row>
    <row r="727" spans="1:1">
      <c r="A727" s="125"/>
    </row>
    <row r="728" spans="1:1">
      <c r="A728" s="125"/>
    </row>
    <row r="729" spans="1:1">
      <c r="A729" s="125"/>
    </row>
    <row r="730" spans="1:1">
      <c r="A730" s="125"/>
    </row>
    <row r="731" spans="1:1">
      <c r="A731" s="125"/>
    </row>
    <row r="732" spans="1:1">
      <c r="A732" s="125"/>
    </row>
    <row r="733" spans="1:1">
      <c r="A733" s="125"/>
    </row>
    <row r="734" spans="1:1">
      <c r="A734" s="125"/>
    </row>
    <row r="735" spans="1:1">
      <c r="A735" s="125"/>
    </row>
    <row r="736" spans="1:1">
      <c r="A736" s="125"/>
    </row>
    <row r="737" spans="1:1">
      <c r="A737" s="125"/>
    </row>
    <row r="738" spans="1:1">
      <c r="A738" s="125"/>
    </row>
    <row r="739" spans="1:1">
      <c r="A739" s="125"/>
    </row>
    <row r="740" spans="1:1">
      <c r="A740" s="125"/>
    </row>
    <row r="741" spans="1:1">
      <c r="A741" s="125"/>
    </row>
    <row r="742" spans="1:1">
      <c r="A742" s="125"/>
    </row>
    <row r="743" spans="1:1">
      <c r="A743" s="125"/>
    </row>
    <row r="744" spans="1:1">
      <c r="A744" s="125"/>
    </row>
    <row r="745" spans="1:1">
      <c r="A745" s="125"/>
    </row>
    <row r="746" spans="1:1">
      <c r="A746" s="125"/>
    </row>
    <row r="747" spans="1:1">
      <c r="A747" s="125"/>
    </row>
    <row r="748" spans="1:1">
      <c r="A748" s="125"/>
    </row>
    <row r="749" spans="1:1">
      <c r="A749" s="125"/>
    </row>
    <row r="750" spans="1:1">
      <c r="A750" s="125"/>
    </row>
    <row r="751" spans="1:1">
      <c r="A751" s="125"/>
    </row>
    <row r="752" spans="1:1">
      <c r="A752" s="125"/>
    </row>
    <row r="753" spans="1:1">
      <c r="A753" s="125"/>
    </row>
    <row r="754" spans="1:1">
      <c r="A754" s="125"/>
    </row>
    <row r="755" spans="1:1">
      <c r="A755" s="125"/>
    </row>
    <row r="756" spans="1:1">
      <c r="A756" s="125"/>
    </row>
    <row r="757" spans="1:1">
      <c r="A757" s="125"/>
    </row>
    <row r="758" spans="1:1">
      <c r="A758" s="125"/>
    </row>
    <row r="759" spans="1:1">
      <c r="A759" s="125"/>
    </row>
    <row r="760" spans="1:1">
      <c r="A760" s="125"/>
    </row>
    <row r="761" spans="1:1">
      <c r="A761" s="125"/>
    </row>
    <row r="762" spans="1:1">
      <c r="A762" s="125"/>
    </row>
    <row r="763" spans="1:1">
      <c r="A763" s="125"/>
    </row>
    <row r="764" spans="1:1">
      <c r="A764" s="125"/>
    </row>
    <row r="765" spans="1:1">
      <c r="A765" s="125"/>
    </row>
    <row r="766" spans="1:1">
      <c r="A766" s="125"/>
    </row>
    <row r="767" spans="1:1">
      <c r="A767" s="125"/>
    </row>
    <row r="768" spans="1:1">
      <c r="A768" s="125"/>
    </row>
    <row r="769" spans="1:1">
      <c r="A769" s="125"/>
    </row>
    <row r="770" spans="1:1">
      <c r="A770" s="125"/>
    </row>
    <row r="771" spans="1:1">
      <c r="A771" s="125"/>
    </row>
    <row r="772" spans="1:1">
      <c r="A772" s="125"/>
    </row>
    <row r="773" spans="1:1">
      <c r="A773" s="125"/>
    </row>
    <row r="774" spans="1:1">
      <c r="A774" s="125"/>
    </row>
    <row r="775" spans="1:1">
      <c r="A775" s="125"/>
    </row>
    <row r="776" spans="1:1">
      <c r="A776" s="125"/>
    </row>
    <row r="777" spans="1:1">
      <c r="A777" s="125"/>
    </row>
    <row r="778" spans="1:1">
      <c r="A778" s="125"/>
    </row>
    <row r="779" spans="1:1">
      <c r="A779" s="125"/>
    </row>
    <row r="780" spans="1:1">
      <c r="A780" s="125"/>
    </row>
    <row r="781" spans="1:1">
      <c r="A781" s="125"/>
    </row>
    <row r="782" spans="1:1">
      <c r="A782" s="125"/>
    </row>
    <row r="783" spans="1:1">
      <c r="A783" s="125"/>
    </row>
    <row r="784" spans="1:1">
      <c r="A784" s="125"/>
    </row>
    <row r="785" spans="1:1">
      <c r="A785" s="125"/>
    </row>
    <row r="786" spans="1:1">
      <c r="A786" s="125"/>
    </row>
    <row r="787" spans="1:1">
      <c r="A787" s="125"/>
    </row>
    <row r="788" spans="1:1">
      <c r="A788" s="125"/>
    </row>
    <row r="789" spans="1:1">
      <c r="A789" s="125"/>
    </row>
    <row r="790" spans="1:1">
      <c r="A790" s="125"/>
    </row>
    <row r="791" spans="1:1">
      <c r="A791" s="125"/>
    </row>
    <row r="792" spans="1:1">
      <c r="A792" s="125"/>
    </row>
    <row r="793" spans="1:1">
      <c r="A793" s="125"/>
    </row>
    <row r="794" spans="1:1">
      <c r="A794" s="125"/>
    </row>
    <row r="795" spans="1:1">
      <c r="A795" s="125"/>
    </row>
    <row r="796" spans="1:1">
      <c r="A796" s="125"/>
    </row>
    <row r="797" spans="1:1">
      <c r="A797" s="125"/>
    </row>
    <row r="798" spans="1:1">
      <c r="A798" s="125"/>
    </row>
    <row r="799" spans="1:1">
      <c r="A799" s="125"/>
    </row>
    <row r="800" spans="1:1">
      <c r="A800" s="125"/>
    </row>
    <row r="801" spans="1:1">
      <c r="A801" s="125"/>
    </row>
    <row r="802" spans="1:1">
      <c r="A802" s="125"/>
    </row>
    <row r="803" spans="1:1">
      <c r="A803" s="125"/>
    </row>
    <row r="804" spans="1:1">
      <c r="A804" s="125"/>
    </row>
    <row r="805" spans="1:1">
      <c r="A805" s="125"/>
    </row>
    <row r="806" spans="1:1">
      <c r="A806" s="125"/>
    </row>
    <row r="807" spans="1:1">
      <c r="A807" s="125"/>
    </row>
    <row r="808" spans="1:1">
      <c r="A808" s="125"/>
    </row>
    <row r="809" spans="1:1">
      <c r="A809" s="125"/>
    </row>
    <row r="810" spans="1:1">
      <c r="A810" s="125"/>
    </row>
    <row r="811" spans="1:1">
      <c r="A811" s="125"/>
    </row>
    <row r="812" spans="1:1">
      <c r="A812" s="125"/>
    </row>
    <row r="813" spans="1:1">
      <c r="A813" s="125"/>
    </row>
    <row r="814" spans="1:1">
      <c r="A814" s="125"/>
    </row>
    <row r="815" spans="1:1">
      <c r="A815" s="125"/>
    </row>
    <row r="816" spans="1:1">
      <c r="A816" s="125"/>
    </row>
    <row r="817" spans="1:1">
      <c r="A817" s="125"/>
    </row>
    <row r="818" spans="1:1">
      <c r="A818" s="125"/>
    </row>
    <row r="819" spans="1:1">
      <c r="A819" s="125"/>
    </row>
    <row r="820" spans="1:1">
      <c r="A820" s="125"/>
    </row>
    <row r="821" spans="1:1">
      <c r="A821" s="125"/>
    </row>
    <row r="822" spans="1:1">
      <c r="A822" s="125"/>
    </row>
    <row r="823" spans="1:1">
      <c r="A823" s="125"/>
    </row>
    <row r="824" spans="1:1">
      <c r="A824" s="125"/>
    </row>
    <row r="825" spans="1:1">
      <c r="A825" s="125"/>
    </row>
    <row r="826" spans="1:1">
      <c r="A826" s="125"/>
    </row>
    <row r="827" spans="1:1">
      <c r="A827" s="125"/>
    </row>
    <row r="828" spans="1:1">
      <c r="A828" s="125"/>
    </row>
    <row r="829" spans="1:1">
      <c r="A829" s="125"/>
    </row>
    <row r="830" spans="1:1">
      <c r="A830" s="125"/>
    </row>
    <row r="831" spans="1:1">
      <c r="A831" s="125"/>
    </row>
    <row r="832" spans="1:1">
      <c r="A832" s="125"/>
    </row>
    <row r="833" spans="1:1">
      <c r="A833" s="125"/>
    </row>
    <row r="834" spans="1:1">
      <c r="A834" s="125"/>
    </row>
    <row r="835" spans="1:1">
      <c r="A835" s="125"/>
    </row>
    <row r="836" spans="1:1">
      <c r="A836" s="125"/>
    </row>
    <row r="837" spans="1:1">
      <c r="A837" s="125"/>
    </row>
    <row r="838" spans="1:1">
      <c r="A838" s="125"/>
    </row>
    <row r="839" spans="1:1">
      <c r="A839" s="125"/>
    </row>
    <row r="840" spans="1:1">
      <c r="A840" s="125"/>
    </row>
    <row r="841" spans="1:1">
      <c r="A841" s="125"/>
    </row>
    <row r="842" spans="1:1">
      <c r="A842" s="125"/>
    </row>
    <row r="843" spans="1:1">
      <c r="A843" s="125"/>
    </row>
    <row r="844" spans="1:1">
      <c r="A844" s="125"/>
    </row>
    <row r="845" spans="1:1">
      <c r="A845" s="125"/>
    </row>
    <row r="846" spans="1:1">
      <c r="A846" s="125"/>
    </row>
    <row r="847" spans="1:1">
      <c r="A847" s="125"/>
    </row>
    <row r="848" spans="1:1">
      <c r="A848" s="125"/>
    </row>
    <row r="849" spans="1:1">
      <c r="A849" s="125"/>
    </row>
    <row r="850" spans="1:1">
      <c r="A850" s="125"/>
    </row>
    <row r="851" spans="1:1">
      <c r="A851" s="125"/>
    </row>
    <row r="852" spans="1:1">
      <c r="A852" s="125"/>
    </row>
    <row r="853" spans="1:1">
      <c r="A853" s="125"/>
    </row>
    <row r="854" spans="1:1">
      <c r="A854" s="125"/>
    </row>
    <row r="855" spans="1:1">
      <c r="A855" s="125"/>
    </row>
    <row r="856" spans="1:1">
      <c r="A856" s="125"/>
    </row>
    <row r="857" spans="1:1">
      <c r="A857" s="125"/>
    </row>
    <row r="858" spans="1:1">
      <c r="A858" s="125"/>
    </row>
    <row r="859" spans="1:1">
      <c r="A859" s="125"/>
    </row>
    <row r="860" spans="1:1">
      <c r="A860" s="125"/>
    </row>
    <row r="861" spans="1:1">
      <c r="A861" s="125"/>
    </row>
    <row r="862" spans="1:1">
      <c r="A862" s="125"/>
    </row>
    <row r="863" spans="1:1">
      <c r="A863" s="125"/>
    </row>
    <row r="864" spans="1:1">
      <c r="A864" s="125"/>
    </row>
    <row r="865" spans="1:1">
      <c r="A865" s="125"/>
    </row>
    <row r="866" spans="1:1">
      <c r="A866" s="125"/>
    </row>
    <row r="867" spans="1:1">
      <c r="A867" s="125"/>
    </row>
    <row r="868" spans="1:1">
      <c r="A868" s="125"/>
    </row>
    <row r="869" spans="1:1">
      <c r="A869" s="125"/>
    </row>
    <row r="870" spans="1:1">
      <c r="A870" s="125"/>
    </row>
    <row r="871" spans="1:1">
      <c r="A871" s="125"/>
    </row>
    <row r="872" spans="1:1">
      <c r="A872" s="125"/>
    </row>
    <row r="873" spans="1:1">
      <c r="A873" s="125"/>
    </row>
    <row r="874" spans="1:1">
      <c r="A874" s="125"/>
    </row>
    <row r="875" spans="1:1">
      <c r="A875" s="125"/>
    </row>
    <row r="876" spans="1:1">
      <c r="A876" s="125"/>
    </row>
    <row r="877" spans="1:1">
      <c r="A877" s="125"/>
    </row>
    <row r="878" spans="1:1">
      <c r="A878" s="125"/>
    </row>
    <row r="879" spans="1:1">
      <c r="A879" s="125"/>
    </row>
    <row r="880" spans="1:1">
      <c r="A880" s="125"/>
    </row>
    <row r="881" spans="1:1">
      <c r="A881" s="125"/>
    </row>
    <row r="882" spans="1:1">
      <c r="A882" s="125"/>
    </row>
    <row r="883" spans="1:1">
      <c r="A883" s="125"/>
    </row>
    <row r="884" spans="1:1">
      <c r="A884" s="125"/>
    </row>
    <row r="885" spans="1:1">
      <c r="A885" s="125"/>
    </row>
    <row r="886" spans="1:1">
      <c r="A886" s="125"/>
    </row>
    <row r="887" spans="1:1">
      <c r="A887" s="125"/>
    </row>
    <row r="888" spans="1:1">
      <c r="A888" s="125"/>
    </row>
    <row r="889" spans="1:1">
      <c r="A889" s="125"/>
    </row>
    <row r="890" spans="1:1">
      <c r="A890" s="125"/>
    </row>
    <row r="891" spans="1:1">
      <c r="A891" s="125"/>
    </row>
    <row r="892" spans="1:1">
      <c r="A892" s="125"/>
    </row>
    <row r="893" spans="1:1">
      <c r="A893" s="125"/>
    </row>
    <row r="894" spans="1:1">
      <c r="A894" s="125"/>
    </row>
    <row r="895" spans="1:1">
      <c r="A895" s="125"/>
    </row>
    <row r="896" spans="1:1">
      <c r="A896" s="125"/>
    </row>
    <row r="897" spans="1:1">
      <c r="A897" s="125"/>
    </row>
    <row r="898" spans="1:1">
      <c r="A898" s="125"/>
    </row>
    <row r="899" spans="1:1">
      <c r="A899" s="125"/>
    </row>
    <row r="900" spans="1:1">
      <c r="A900" s="125"/>
    </row>
    <row r="901" spans="1:1">
      <c r="A901" s="125"/>
    </row>
    <row r="902" spans="1:1">
      <c r="A902" s="125"/>
    </row>
    <row r="903" spans="1:1">
      <c r="A903" s="125"/>
    </row>
    <row r="904" spans="1:1">
      <c r="A904" s="125"/>
    </row>
    <row r="905" spans="1:1">
      <c r="A905" s="125"/>
    </row>
    <row r="906" spans="1:1">
      <c r="A906" s="125"/>
    </row>
    <row r="907" spans="1:1">
      <c r="A907" s="125"/>
    </row>
    <row r="908" spans="1:1">
      <c r="A908" s="125"/>
    </row>
    <row r="909" spans="1:1">
      <c r="A909" s="125"/>
    </row>
    <row r="910" spans="1:1">
      <c r="A910" s="125"/>
    </row>
    <row r="911" spans="1:1">
      <c r="A911" s="125"/>
    </row>
    <row r="912" spans="1:1">
      <c r="A912" s="125"/>
    </row>
    <row r="913" spans="1:1">
      <c r="A913" s="125"/>
    </row>
    <row r="914" spans="1:1">
      <c r="A914" s="125"/>
    </row>
    <row r="915" spans="1:1">
      <c r="A915" s="125"/>
    </row>
    <row r="916" spans="1:1">
      <c r="A916" s="125"/>
    </row>
    <row r="917" spans="1:1">
      <c r="A917" s="125"/>
    </row>
    <row r="918" spans="1:1">
      <c r="A918" s="125"/>
    </row>
    <row r="919" spans="1:1">
      <c r="A919" s="125"/>
    </row>
    <row r="920" spans="1:1">
      <c r="A920" s="125"/>
    </row>
    <row r="921" spans="1:1">
      <c r="A921" s="125"/>
    </row>
    <row r="922" spans="1:1">
      <c r="A922" s="125"/>
    </row>
    <row r="923" spans="1:1">
      <c r="A923" s="125"/>
    </row>
    <row r="924" spans="1:1">
      <c r="A924" s="125"/>
    </row>
    <row r="925" spans="1:1">
      <c r="A925" s="125"/>
    </row>
    <row r="926" spans="1:1">
      <c r="A926" s="125"/>
    </row>
    <row r="927" spans="1:1">
      <c r="A927" s="125"/>
    </row>
    <row r="928" spans="1:1">
      <c r="A928" s="125"/>
    </row>
    <row r="929" spans="1:1">
      <c r="A929" s="125"/>
    </row>
    <row r="930" spans="1:1">
      <c r="A930" s="125"/>
    </row>
    <row r="931" spans="1:1">
      <c r="A931" s="125"/>
    </row>
    <row r="932" spans="1:1">
      <c r="A932" s="125"/>
    </row>
    <row r="933" spans="1:1">
      <c r="A933" s="125"/>
    </row>
    <row r="934" spans="1:1">
      <c r="A934" s="125"/>
    </row>
    <row r="935" spans="1:1">
      <c r="A935" s="125"/>
    </row>
    <row r="936" spans="1:1">
      <c r="A936" s="125"/>
    </row>
    <row r="937" spans="1:1">
      <c r="A937" s="125"/>
    </row>
    <row r="938" spans="1:1">
      <c r="A938" s="125"/>
    </row>
    <row r="939" spans="1:1">
      <c r="A939" s="125"/>
    </row>
    <row r="940" spans="1:1">
      <c r="A940" s="125"/>
    </row>
    <row r="941" spans="1:1">
      <c r="A941" s="125"/>
    </row>
    <row r="942" spans="1:1">
      <c r="A942" s="125"/>
    </row>
    <row r="943" spans="1:1">
      <c r="A943" s="125"/>
    </row>
    <row r="944" spans="1:1">
      <c r="A944" s="125"/>
    </row>
    <row r="945" spans="1:1">
      <c r="A945" s="125"/>
    </row>
    <row r="946" spans="1:1">
      <c r="A946" s="125"/>
    </row>
    <row r="947" spans="1:1">
      <c r="A947" s="125"/>
    </row>
    <row r="948" spans="1:1">
      <c r="A948" s="125"/>
    </row>
    <row r="949" spans="1:1">
      <c r="A949" s="125"/>
    </row>
    <row r="950" spans="1:1">
      <c r="A950" s="125"/>
    </row>
    <row r="951" spans="1:1">
      <c r="A951" s="125"/>
    </row>
    <row r="952" spans="1:1">
      <c r="A952" s="125"/>
    </row>
    <row r="953" spans="1:1">
      <c r="A953" s="125"/>
    </row>
    <row r="954" spans="1:1">
      <c r="A954" s="125"/>
    </row>
    <row r="955" spans="1:1">
      <c r="A955" s="125"/>
    </row>
    <row r="956" spans="1:1">
      <c r="A956" s="125"/>
    </row>
    <row r="957" spans="1:1">
      <c r="A957" s="125"/>
    </row>
    <row r="958" spans="1:1">
      <c r="A958" s="125"/>
    </row>
    <row r="959" spans="1:1">
      <c r="A959" s="125"/>
    </row>
    <row r="960" spans="1:1">
      <c r="A960" s="125"/>
    </row>
    <row r="961" spans="1:1">
      <c r="A961" s="125"/>
    </row>
    <row r="962" spans="1:1">
      <c r="A962" s="125"/>
    </row>
    <row r="963" spans="1:1">
      <c r="A963" s="125"/>
    </row>
    <row r="964" spans="1:1">
      <c r="A964" s="125"/>
    </row>
    <row r="965" spans="1:1">
      <c r="A965" s="125"/>
    </row>
    <row r="966" spans="1:1">
      <c r="A966" s="125"/>
    </row>
    <row r="967" spans="1:1">
      <c r="A967" s="125"/>
    </row>
    <row r="968" spans="1:1">
      <c r="A968" s="125"/>
    </row>
    <row r="969" spans="1:1">
      <c r="A969" s="125"/>
    </row>
    <row r="970" spans="1:1">
      <c r="A970" s="125"/>
    </row>
    <row r="971" spans="1:1">
      <c r="A971" s="125"/>
    </row>
    <row r="972" spans="1:1">
      <c r="A972" s="125"/>
    </row>
    <row r="973" spans="1:1">
      <c r="A973" s="125"/>
    </row>
    <row r="974" spans="1:1">
      <c r="A974" s="125"/>
    </row>
    <row r="975" spans="1:1">
      <c r="A975" s="125"/>
    </row>
    <row r="976" spans="1:1">
      <c r="A976" s="125"/>
    </row>
    <row r="977" spans="1:1">
      <c r="A977" s="125"/>
    </row>
    <row r="978" spans="1:1">
      <c r="A978" s="125"/>
    </row>
    <row r="979" spans="1:1">
      <c r="A979" s="125"/>
    </row>
    <row r="980" spans="1:1">
      <c r="A980" s="125"/>
    </row>
    <row r="981" spans="1:1">
      <c r="A981" s="125"/>
    </row>
    <row r="982" spans="1:1">
      <c r="A982" s="125"/>
    </row>
    <row r="983" spans="1:1">
      <c r="A983" s="125"/>
    </row>
    <row r="984" spans="1:1">
      <c r="A984" s="125"/>
    </row>
    <row r="985" spans="1:1">
      <c r="A985" s="125"/>
    </row>
    <row r="986" spans="1:1">
      <c r="A986" s="125"/>
    </row>
    <row r="987" spans="1:1">
      <c r="A987" s="125"/>
    </row>
    <row r="988" spans="1:1">
      <c r="A988" s="125"/>
    </row>
    <row r="989" spans="1:1">
      <c r="A989" s="125"/>
    </row>
    <row r="990" spans="1:1">
      <c r="A990" s="125"/>
    </row>
    <row r="991" spans="1:1">
      <c r="A991" s="125"/>
    </row>
    <row r="992" spans="1:1">
      <c r="A992" s="125"/>
    </row>
    <row r="993" spans="1:1">
      <c r="A993" s="125"/>
    </row>
    <row r="994" spans="1:1">
      <c r="A994" s="125"/>
    </row>
    <row r="995" spans="1:1">
      <c r="A995" s="125"/>
    </row>
    <row r="996" spans="1:1">
      <c r="A996" s="125"/>
    </row>
    <row r="997" spans="1:1">
      <c r="A997" s="125"/>
    </row>
    <row r="998" spans="1:1">
      <c r="A998" s="125"/>
    </row>
    <row r="999" spans="1:1">
      <c r="A999" s="125"/>
    </row>
    <row r="1000" spans="1:1">
      <c r="A1000" s="125"/>
    </row>
    <row r="1001" spans="1:1">
      <c r="A1001" s="125"/>
    </row>
    <row r="1002" spans="1:1">
      <c r="A1002" s="125"/>
    </row>
    <row r="1003" spans="1:1">
      <c r="A1003" s="125"/>
    </row>
    <row r="1004" spans="1:1">
      <c r="A1004" s="125"/>
    </row>
    <row r="1005" spans="1:1">
      <c r="A1005" s="125"/>
    </row>
    <row r="1006" spans="1:1">
      <c r="A1006" s="125"/>
    </row>
    <row r="1007" spans="1:1">
      <c r="A1007" s="125"/>
    </row>
    <row r="1008" spans="1:1">
      <c r="A1008" s="125"/>
    </row>
    <row r="1009" spans="1:1">
      <c r="A1009" s="125"/>
    </row>
    <row r="1010" spans="1:1">
      <c r="A1010" s="125"/>
    </row>
    <row r="1011" spans="1:1">
      <c r="A1011" s="125"/>
    </row>
    <row r="1012" spans="1:1">
      <c r="A1012" s="125"/>
    </row>
    <row r="1013" spans="1:1">
      <c r="A1013" s="125"/>
    </row>
    <row r="1014" spans="1:1">
      <c r="A1014" s="125"/>
    </row>
    <row r="1015" spans="1:1">
      <c r="A1015" s="125"/>
    </row>
    <row r="1016" spans="1:1">
      <c r="A1016" s="125"/>
    </row>
    <row r="1017" spans="1:1">
      <c r="A1017" s="125"/>
    </row>
    <row r="1018" spans="1:1">
      <c r="A1018" s="125"/>
    </row>
    <row r="1019" spans="1:1">
      <c r="A1019" s="125"/>
    </row>
    <row r="1020" spans="1:1">
      <c r="A1020" s="125"/>
    </row>
    <row r="1021" spans="1:1">
      <c r="A1021" s="125"/>
    </row>
    <row r="1022" spans="1:1">
      <c r="A1022" s="125"/>
    </row>
    <row r="1023" spans="1:1">
      <c r="A1023" s="125"/>
    </row>
    <row r="1024" spans="1:1">
      <c r="A1024" s="125"/>
    </row>
    <row r="1025" spans="1:1">
      <c r="A1025" s="125"/>
    </row>
    <row r="1026" spans="1:1">
      <c r="A1026" s="125"/>
    </row>
    <row r="1027" spans="1:1">
      <c r="A1027" s="125"/>
    </row>
    <row r="1028" spans="1:1">
      <c r="A1028" s="125"/>
    </row>
    <row r="1029" spans="1:1">
      <c r="A1029" s="125"/>
    </row>
    <row r="1030" spans="1:1">
      <c r="A1030" s="125"/>
    </row>
    <row r="1031" spans="1:1">
      <c r="A1031" s="125"/>
    </row>
    <row r="1032" spans="1:1">
      <c r="A1032" s="125"/>
    </row>
    <row r="1033" spans="1:1">
      <c r="A1033" s="125"/>
    </row>
    <row r="1034" spans="1:1">
      <c r="A1034" s="125"/>
    </row>
    <row r="1035" spans="1:1">
      <c r="A1035" s="125"/>
    </row>
    <row r="1036" spans="1:1">
      <c r="A1036" s="125"/>
    </row>
    <row r="1037" spans="1:1">
      <c r="A1037" s="125"/>
    </row>
    <row r="1038" spans="1:1">
      <c r="A1038" s="125"/>
    </row>
    <row r="1039" spans="1:1">
      <c r="A1039" s="125"/>
    </row>
    <row r="1040" spans="1:1">
      <c r="A1040" s="125"/>
    </row>
    <row r="1041" spans="1:1">
      <c r="A1041" s="125"/>
    </row>
    <row r="1042" spans="1:1">
      <c r="A1042" s="125"/>
    </row>
    <row r="1043" spans="1:1">
      <c r="A1043" s="125"/>
    </row>
    <row r="1044" spans="1:1">
      <c r="A1044" s="125"/>
    </row>
    <row r="1045" spans="1:1">
      <c r="A1045" s="125"/>
    </row>
    <row r="1046" spans="1:1">
      <c r="A1046" s="125"/>
    </row>
    <row r="1047" spans="1:1">
      <c r="A1047" s="125"/>
    </row>
    <row r="1048" spans="1:1">
      <c r="A1048" s="125"/>
    </row>
    <row r="1049" spans="1:1">
      <c r="A1049" s="125"/>
    </row>
    <row r="1050" spans="1:1">
      <c r="A1050" s="125"/>
    </row>
    <row r="1051" spans="1:1">
      <c r="A1051" s="125"/>
    </row>
    <row r="1052" spans="1:1">
      <c r="A1052" s="125"/>
    </row>
    <row r="1053" spans="1:1">
      <c r="A1053" s="125"/>
    </row>
  </sheetData>
  <autoFilter ref="A1:C1"/>
  <conditionalFormatting sqref="A82:A85 A61 A2:A5 A16 A8:A9">
    <cfRule type="expression" dxfId="17" priority="13">
      <formula>A2=#REF!</formula>
    </cfRule>
  </conditionalFormatting>
  <conditionalFormatting sqref="A10 A66 A63 A68 A76">
    <cfRule type="expression" dxfId="16" priority="12">
      <formula>A10=#REF!</formula>
    </cfRule>
  </conditionalFormatting>
  <conditionalFormatting sqref="A13">
    <cfRule type="expression" dxfId="15" priority="11">
      <formula>A13=#REF!</formula>
    </cfRule>
  </conditionalFormatting>
  <conditionalFormatting sqref="A77">
    <cfRule type="expression" dxfId="14" priority="10">
      <formula>A77=#REF!</formula>
    </cfRule>
  </conditionalFormatting>
  <conditionalFormatting sqref="A78">
    <cfRule type="expression" dxfId="13" priority="9">
      <formula>A78=#REF!</formula>
    </cfRule>
  </conditionalFormatting>
  <conditionalFormatting sqref="A79">
    <cfRule type="expression" dxfId="12" priority="8">
      <formula>A79=#REF!</formula>
    </cfRule>
  </conditionalFormatting>
  <conditionalFormatting sqref="A80">
    <cfRule type="expression" dxfId="11" priority="7">
      <formula>A80=#REF!</formula>
    </cfRule>
  </conditionalFormatting>
  <conditionalFormatting sqref="A81">
    <cfRule type="expression" dxfId="10" priority="6">
      <formula>A81=#REF!</formula>
    </cfRule>
  </conditionalFormatting>
  <conditionalFormatting sqref="A15">
    <cfRule type="expression" dxfId="9" priority="5">
      <formula>A15=#REF!</formula>
    </cfRule>
  </conditionalFormatting>
  <conditionalFormatting sqref="A69">
    <cfRule type="expression" dxfId="8" priority="4">
      <formula>A69=#REF!</formula>
    </cfRule>
  </conditionalFormatting>
  <conditionalFormatting sqref="A70">
    <cfRule type="expression" dxfId="7" priority="3">
      <formula>A70=#REF!</formula>
    </cfRule>
  </conditionalFormatting>
  <conditionalFormatting sqref="A6">
    <cfRule type="expression" dxfId="6" priority="2">
      <formula>A6=#REF!</formula>
    </cfRule>
  </conditionalFormatting>
  <conditionalFormatting sqref="A7">
    <cfRule type="expression" dxfId="5" priority="1">
      <formula>A7=#REF!</formula>
    </cfRule>
  </conditionalFormatting>
  <pageMargins left="0.70866141732283472" right="0.70866141732283472" top="0.74803149606299213" bottom="0.74803149606299213" header="0.31496062992125984" footer="0.31496062992125984"/>
  <pageSetup paperSize="9" scale="63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S25"/>
  <sheetViews>
    <sheetView workbookViewId="0">
      <selection activeCell="H19" sqref="H19"/>
    </sheetView>
  </sheetViews>
  <sheetFormatPr defaultRowHeight="12.75"/>
  <cols>
    <col min="1" max="1" width="26" style="54" customWidth="1"/>
    <col min="2" max="2" width="15.5703125" customWidth="1"/>
    <col min="3" max="3" width="14.5703125" customWidth="1"/>
    <col min="4" max="4" width="12.7109375" customWidth="1"/>
    <col min="5" max="5" width="16.5703125" customWidth="1"/>
    <col min="6" max="6" width="10.7109375" customWidth="1"/>
    <col min="7" max="7" width="17.140625" customWidth="1"/>
    <col min="8" max="8" width="10.5703125" style="33" customWidth="1"/>
    <col min="9" max="9" width="10.7109375" style="33" customWidth="1"/>
    <col min="10" max="10" width="16.140625" customWidth="1"/>
    <col min="11" max="13" width="13" customWidth="1"/>
    <col min="14" max="14" width="17.42578125" customWidth="1"/>
    <col min="15" max="15" width="14.5703125" customWidth="1"/>
    <col min="16" max="16" width="13.7109375" customWidth="1"/>
    <col min="17" max="17" width="14.42578125" customWidth="1"/>
    <col min="18" max="18" width="13.5703125" customWidth="1"/>
    <col min="19" max="19" width="17.140625" customWidth="1"/>
  </cols>
  <sheetData>
    <row r="1" spans="1:19" s="143" customFormat="1" ht="60" customHeight="1">
      <c r="A1" s="137" t="s">
        <v>1879</v>
      </c>
      <c r="B1" s="138" t="s">
        <v>2118</v>
      </c>
      <c r="C1" s="139" t="s">
        <v>1189</v>
      </c>
      <c r="D1" s="140" t="s">
        <v>1190</v>
      </c>
      <c r="E1" s="139" t="s">
        <v>1191</v>
      </c>
      <c r="F1" s="141" t="s">
        <v>1192</v>
      </c>
      <c r="G1" s="140" t="s">
        <v>1193</v>
      </c>
      <c r="H1" s="140" t="s">
        <v>1194</v>
      </c>
      <c r="I1" s="140" t="s">
        <v>1195</v>
      </c>
      <c r="J1" s="142" t="s">
        <v>1196</v>
      </c>
      <c r="K1" s="142" t="s">
        <v>1194</v>
      </c>
      <c r="L1" s="140" t="s">
        <v>1885</v>
      </c>
      <c r="M1" s="142" t="s">
        <v>1884</v>
      </c>
      <c r="N1" s="144" t="s">
        <v>1893</v>
      </c>
      <c r="O1" s="139" t="s">
        <v>1894</v>
      </c>
      <c r="P1" s="139" t="s">
        <v>1954</v>
      </c>
      <c r="Q1" s="139" t="s">
        <v>2057</v>
      </c>
      <c r="R1" s="139" t="s">
        <v>2074</v>
      </c>
      <c r="S1" s="139" t="s">
        <v>2117</v>
      </c>
    </row>
    <row r="2" spans="1:19" ht="27" customHeight="1">
      <c r="A2" s="54" t="s">
        <v>1880</v>
      </c>
      <c r="B2" s="132">
        <f>SUM('Extraurbano '!L2:L944)</f>
        <v>1858366.6</v>
      </c>
      <c r="C2" s="58">
        <v>1864000</v>
      </c>
      <c r="D2" s="147">
        <v>3.3992</v>
      </c>
      <c r="E2" s="60">
        <v>6337600</v>
      </c>
      <c r="F2" s="61">
        <v>2.1000000000000001E-4</v>
      </c>
      <c r="G2" s="60">
        <f>E2-(E2*F2)</f>
        <v>6336269.1040000003</v>
      </c>
      <c r="H2" s="135">
        <v>0.01</v>
      </c>
      <c r="I2" s="135">
        <v>0.05</v>
      </c>
      <c r="J2" s="63">
        <f>G2*H2</f>
        <v>63362.691040000005</v>
      </c>
      <c r="K2" s="136">
        <f>C2*H2</f>
        <v>18640</v>
      </c>
      <c r="L2" s="147">
        <v>3.3992</v>
      </c>
      <c r="M2" s="136">
        <f ca="1">B6*L2</f>
        <v>34375.769680000325</v>
      </c>
      <c r="N2" s="56">
        <f>SUM('Extraurbano '!BD2:BD944)+SUM('Extraurbano '!BE2:BE944)+SUM('Extraurbano '!BF2:BF944)+SUM('Extraurbano '!BJ2:BJ944)+SUM('Extraurbano '!BM2:BM944)+SUM('Extraurbano '!BO2:BO944)+Forfait!AB33+Integrazioni!AM21</f>
        <v>5829558.4000000004</v>
      </c>
      <c r="O2" s="347">
        <f>SUM('Extraurbano '!CF2:CF944)</f>
        <v>493523.74306475453</v>
      </c>
      <c r="P2" s="59">
        <f>SUM('Extraurbano '!CG2:CG944)</f>
        <v>567040.22620319808</v>
      </c>
      <c r="Q2" s="59">
        <f>SUM('Extraurbano '!CH2:CH944)</f>
        <v>562326.87691453297</v>
      </c>
      <c r="R2" s="59">
        <f>SUM('Extraurbano '!CI2:CI944)</f>
        <v>482866.99603027222</v>
      </c>
      <c r="S2" s="348">
        <f>SUM(O2:R2)</f>
        <v>2105757.842212758</v>
      </c>
    </row>
    <row r="3" spans="1:19" ht="25.5">
      <c r="A3" s="149" t="s">
        <v>1883</v>
      </c>
      <c r="B3" s="134">
        <f>B2-C2</f>
        <v>-5633.3999999999069</v>
      </c>
      <c r="C3" s="58"/>
      <c r="D3" s="353">
        <f>C2*D2</f>
        <v>6336108.7999999998</v>
      </c>
      <c r="E3" s="353">
        <f>6337600-(6337600*0.021/100)</f>
        <v>6336269.1040000003</v>
      </c>
      <c r="F3" s="61"/>
      <c r="G3" s="60"/>
      <c r="H3" s="135"/>
      <c r="I3" s="135"/>
      <c r="J3" s="63" t="s">
        <v>2142</v>
      </c>
      <c r="K3" s="136"/>
      <c r="L3" s="147"/>
      <c r="M3" s="136"/>
      <c r="N3" s="56"/>
      <c r="O3" s="347"/>
      <c r="P3" s="57"/>
      <c r="Q3" s="57"/>
      <c r="R3" s="57"/>
      <c r="S3" s="57"/>
    </row>
    <row r="4" spans="1:19">
      <c r="A4" s="54" t="s">
        <v>1881</v>
      </c>
      <c r="B4" s="132">
        <f>SUM('Extraurbano '!L945:L973)</f>
        <v>24529.300000000003</v>
      </c>
      <c r="N4" s="56">
        <f>SUM('Extraurbano '!BF945:BF973)</f>
        <v>70149.172727272729</v>
      </c>
      <c r="O4" s="347">
        <f>SUM('Extraurbano '!CF945:CF973)</f>
        <v>1964.6636363636364</v>
      </c>
      <c r="P4" s="59">
        <f>SUM('Extraurbano '!CG945:CG973)</f>
        <v>4670.9818181818182</v>
      </c>
      <c r="Q4" s="59">
        <f>SUM('Extraurbano '!CH945:CH973)</f>
        <v>10584.071818181817</v>
      </c>
      <c r="R4" s="59">
        <f>SUM('Extraurbano '!CI945:CI973)</f>
        <v>9927.9409090909085</v>
      </c>
      <c r="S4" s="348">
        <f>SUM(O4:R4)</f>
        <v>27147.65818181818</v>
      </c>
    </row>
    <row r="5" spans="1:19">
      <c r="A5" s="54" t="s">
        <v>2109</v>
      </c>
      <c r="B5" s="132">
        <f>SUM('Extraurbano '!L977:L981)</f>
        <v>-8783</v>
      </c>
      <c r="O5" s="57"/>
      <c r="P5" s="57"/>
      <c r="Q5" s="57"/>
      <c r="R5" s="57"/>
      <c r="S5" s="57"/>
    </row>
    <row r="6" spans="1:19">
      <c r="A6" s="54" t="s">
        <v>1234</v>
      </c>
      <c r="B6" s="340">
        <f ca="1">SUM(B3:B6)</f>
        <v>10112.900000000096</v>
      </c>
      <c r="O6" s="57"/>
      <c r="P6" s="57"/>
      <c r="Q6" s="57"/>
      <c r="R6" s="57"/>
      <c r="S6" s="57"/>
    </row>
    <row r="7" spans="1:19">
      <c r="O7" s="57"/>
      <c r="P7" s="57"/>
      <c r="Q7" s="57"/>
      <c r="R7" s="57"/>
      <c r="S7" s="57"/>
    </row>
    <row r="8" spans="1:19">
      <c r="A8" s="54" t="s">
        <v>2116</v>
      </c>
      <c r="N8" s="148">
        <f>SUM(N2:N7)</f>
        <v>5899707.5727272732</v>
      </c>
      <c r="O8" s="348">
        <f>SUM(O2:O7)</f>
        <v>495488.40670111816</v>
      </c>
      <c r="P8" s="348">
        <f>SUM(P2:P7)</f>
        <v>571711.20802137989</v>
      </c>
      <c r="Q8" s="348">
        <f>SUM(Q2:Q7)</f>
        <v>572910.94873271475</v>
      </c>
      <c r="R8" s="348">
        <f>SUM(R2:R7)</f>
        <v>492794.93693936314</v>
      </c>
      <c r="S8" s="349">
        <f>SUM(O8:R8)</f>
        <v>2132905.5003945762</v>
      </c>
    </row>
    <row r="9" spans="1:19">
      <c r="C9" s="345">
        <v>1858366.6</v>
      </c>
      <c r="D9" s="346" t="s">
        <v>2069</v>
      </c>
    </row>
    <row r="11" spans="1:19">
      <c r="O11">
        <v>495857.41</v>
      </c>
      <c r="P11" s="25">
        <v>571900.19999999995</v>
      </c>
      <c r="Q11">
        <f>572363.45+629.4</f>
        <v>572992.85</v>
      </c>
      <c r="R11">
        <f>492482.04+371.4</f>
        <v>492853.44</v>
      </c>
      <c r="S11" s="28">
        <f>SUM(O11:R11)</f>
        <v>2133603.9</v>
      </c>
    </row>
    <row r="13" spans="1:19">
      <c r="N13" t="s">
        <v>2105</v>
      </c>
      <c r="O13">
        <v>6</v>
      </c>
      <c r="P13">
        <v>45</v>
      </c>
      <c r="Q13" s="28">
        <f>P13*O13</f>
        <v>270</v>
      </c>
      <c r="R13" t="s">
        <v>2100</v>
      </c>
      <c r="S13" s="90">
        <f>S11-Q20</f>
        <v>2132905.5</v>
      </c>
    </row>
    <row r="14" spans="1:19">
      <c r="E14" s="58"/>
      <c r="F14" s="57"/>
      <c r="H14" s="37"/>
      <c r="N14" t="s">
        <v>2105</v>
      </c>
      <c r="O14">
        <v>11</v>
      </c>
      <c r="P14">
        <v>3</v>
      </c>
      <c r="Q14" s="28">
        <f t="shared" ref="Q14:Q18" si="0">P14*O14</f>
        <v>33</v>
      </c>
      <c r="R14" t="s">
        <v>2101</v>
      </c>
    </row>
    <row r="15" spans="1:19">
      <c r="D15" s="91"/>
      <c r="E15" s="59"/>
      <c r="F15" s="57"/>
      <c r="N15" t="s">
        <v>2105</v>
      </c>
      <c r="O15">
        <v>2</v>
      </c>
      <c r="P15">
        <v>33</v>
      </c>
      <c r="Q15" s="28">
        <f t="shared" si="0"/>
        <v>66</v>
      </c>
      <c r="R15" t="s">
        <v>2102</v>
      </c>
    </row>
    <row r="16" spans="1:19">
      <c r="D16" s="91"/>
      <c r="E16" s="57"/>
      <c r="F16" s="57"/>
      <c r="N16" t="s">
        <v>2106</v>
      </c>
      <c r="O16">
        <v>2</v>
      </c>
      <c r="P16">
        <v>94.5</v>
      </c>
      <c r="Q16" s="28">
        <f t="shared" si="0"/>
        <v>189</v>
      </c>
      <c r="R16" t="s">
        <v>2103</v>
      </c>
    </row>
    <row r="17" spans="4:19">
      <c r="D17" s="92"/>
      <c r="E17" s="57"/>
      <c r="F17" s="60"/>
      <c r="N17" t="s">
        <v>2107</v>
      </c>
      <c r="O17">
        <v>21</v>
      </c>
      <c r="P17">
        <v>3.9</v>
      </c>
      <c r="Q17" s="28">
        <f t="shared" si="0"/>
        <v>81.899999999999991</v>
      </c>
      <c r="R17" t="s">
        <v>2104</v>
      </c>
    </row>
    <row r="18" spans="4:19">
      <c r="D18" s="91"/>
      <c r="E18" s="61"/>
      <c r="F18" s="57"/>
      <c r="N18" t="s">
        <v>2108</v>
      </c>
      <c r="O18">
        <v>15</v>
      </c>
      <c r="P18">
        <v>3.9</v>
      </c>
      <c r="Q18" s="28">
        <f t="shared" si="0"/>
        <v>58.5</v>
      </c>
      <c r="R18" t="s">
        <v>2104</v>
      </c>
    </row>
    <row r="19" spans="4:19">
      <c r="D19" s="91"/>
      <c r="E19" s="57"/>
      <c r="F19" s="57"/>
      <c r="Q19" s="28"/>
    </row>
    <row r="20" spans="4:19">
      <c r="D20" s="91"/>
      <c r="E20" s="62"/>
      <c r="F20" s="57"/>
      <c r="Q20" s="56">
        <f>SUM(Q13:Q19)</f>
        <v>698.4</v>
      </c>
      <c r="R20" t="s">
        <v>2099</v>
      </c>
      <c r="S20" s="28"/>
    </row>
    <row r="21" spans="4:19">
      <c r="D21" s="91"/>
      <c r="F21" s="57"/>
    </row>
    <row r="22" spans="4:19">
      <c r="D22" s="88"/>
    </row>
    <row r="23" spans="4:19">
      <c r="S23" s="35"/>
    </row>
    <row r="24" spans="4:19">
      <c r="F24" s="35"/>
    </row>
    <row r="25" spans="4:19">
      <c r="D25" s="37"/>
      <c r="E25" s="76"/>
      <c r="F25" s="76"/>
      <c r="G25" s="37"/>
      <c r="H25" s="37"/>
    </row>
  </sheetData>
  <printOptions gridLines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&amp;L&amp;Z&amp;F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12"/>
  <sheetViews>
    <sheetView workbookViewId="0">
      <selection activeCell="G4" sqref="G4"/>
    </sheetView>
  </sheetViews>
  <sheetFormatPr defaultRowHeight="12.75"/>
  <cols>
    <col min="1" max="1" width="24.28515625" bestFit="1" customWidth="1"/>
    <col min="2" max="2" width="16.5703125" bestFit="1" customWidth="1"/>
    <col min="3" max="3" width="16.140625" customWidth="1"/>
    <col min="4" max="4" width="15.140625" customWidth="1"/>
    <col min="5" max="5" width="12" customWidth="1"/>
    <col min="6" max="6" width="13.28515625" customWidth="1"/>
    <col min="7" max="7" width="14.28515625" customWidth="1"/>
    <col min="8" max="8" width="13.85546875" style="54" customWidth="1"/>
  </cols>
  <sheetData>
    <row r="1" spans="1:8" s="344" customFormat="1" ht="51">
      <c r="A1" s="137" t="s">
        <v>1879</v>
      </c>
      <c r="B1" s="138" t="s">
        <v>1882</v>
      </c>
      <c r="C1" s="139" t="s">
        <v>1189</v>
      </c>
      <c r="D1" s="342" t="s">
        <v>2110</v>
      </c>
      <c r="E1" s="342" t="s">
        <v>2111</v>
      </c>
      <c r="F1" s="342" t="s">
        <v>2112</v>
      </c>
      <c r="G1" s="342" t="s">
        <v>2113</v>
      </c>
      <c r="H1" s="343" t="s">
        <v>2114</v>
      </c>
    </row>
    <row r="2" spans="1:8" ht="19.5" customHeight="1">
      <c r="A2" s="54" t="s">
        <v>1880</v>
      </c>
      <c r="B2" s="132">
        <f>SUM('Extraurbano '!L2:L944)</f>
        <v>1858366.6</v>
      </c>
      <c r="C2" s="58">
        <v>1864000</v>
      </c>
      <c r="D2" s="132">
        <f>SUM('Extraurbano '!CJ2:CJ944)</f>
        <v>156455.69999999992</v>
      </c>
      <c r="E2" s="132">
        <f>SUM('Extraurbano '!CK2:CK944)</f>
        <v>174893.15</v>
      </c>
      <c r="F2" s="132">
        <f>SUM('Extraurbano '!CL2:CL944)</f>
        <v>172879.29999999996</v>
      </c>
      <c r="G2" s="132">
        <f>SUM('Extraurbano '!CM2:CM944)</f>
        <v>151870.69999999995</v>
      </c>
    </row>
    <row r="3" spans="1:8" ht="25.5">
      <c r="A3" s="149" t="s">
        <v>1883</v>
      </c>
      <c r="B3" s="134">
        <f>B2-C2</f>
        <v>-5633.3999999999069</v>
      </c>
      <c r="C3" s="58"/>
      <c r="G3">
        <v>-5.0999999999999996</v>
      </c>
    </row>
    <row r="4" spans="1:8">
      <c r="A4" s="54" t="s">
        <v>1881</v>
      </c>
      <c r="B4" s="132">
        <f>SUM('Extraurbano '!L945:L973)</f>
        <v>24529.300000000003</v>
      </c>
      <c r="D4" s="132">
        <f>SUM('Extraurbano '!CJ945:CJ973)</f>
        <v>552.70000000000005</v>
      </c>
      <c r="E4" s="132">
        <f>SUM('Extraurbano '!CK945:CK973)</f>
        <v>1353.6</v>
      </c>
      <c r="F4" s="132">
        <f>SUM('Extraurbano '!CL945:CL973)</f>
        <v>2547.6000000000004</v>
      </c>
      <c r="G4" s="132">
        <f>SUM('Extraurbano '!CM945:CM973)</f>
        <v>2605.9</v>
      </c>
    </row>
    <row r="5" spans="1:8">
      <c r="A5" s="54" t="s">
        <v>2109</v>
      </c>
      <c r="B5" s="132">
        <f>SUM('Extraurbano '!L977:L981)</f>
        <v>-8783</v>
      </c>
      <c r="D5">
        <f>SUM('Extraurbano '!CJ977:CJ981)</f>
        <v>0</v>
      </c>
      <c r="E5">
        <f>SUM('Extraurbano '!CK977:CK981)</f>
        <v>0</v>
      </c>
      <c r="F5">
        <f>SUM('Extraurbano '!CL977:CL981)</f>
        <v>-1036</v>
      </c>
      <c r="G5">
        <f>SUM('Extraurbano '!CM977:CM981)</f>
        <v>-987</v>
      </c>
    </row>
    <row r="6" spans="1:8">
      <c r="A6" s="54"/>
      <c r="B6" s="132"/>
    </row>
    <row r="7" spans="1:8">
      <c r="A7" s="54"/>
      <c r="B7" s="133"/>
    </row>
    <row r="8" spans="1:8">
      <c r="A8" s="54" t="s">
        <v>1234</v>
      </c>
      <c r="B8" s="340">
        <f>SUM(B3:B7)</f>
        <v>10112.900000000096</v>
      </c>
      <c r="D8" s="133">
        <f>SUM(D4:D7)</f>
        <v>552.70000000000005</v>
      </c>
      <c r="E8" s="133">
        <f t="shared" ref="E8:F8" si="0">SUM(E4:E7)</f>
        <v>1353.6</v>
      </c>
      <c r="F8" s="133">
        <f t="shared" si="0"/>
        <v>1511.6000000000004</v>
      </c>
      <c r="G8" s="133">
        <f>SUM(G4:G7)</f>
        <v>1618.9</v>
      </c>
      <c r="H8" s="341">
        <f>SUM(D8:G8)</f>
        <v>5036.8000000000011</v>
      </c>
    </row>
    <row r="9" spans="1:8">
      <c r="A9" s="54"/>
    </row>
    <row r="10" spans="1:8">
      <c r="A10" s="54" t="s">
        <v>2069</v>
      </c>
      <c r="B10" s="132">
        <v>1858366.6</v>
      </c>
    </row>
    <row r="12" spans="1:8">
      <c r="D12" s="341">
        <f>SUM(D2:G4)</f>
        <v>663153.54999999981</v>
      </c>
      <c r="E12" s="54" t="s">
        <v>2115</v>
      </c>
    </row>
  </sheetData>
  <printOptions gridLines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&amp;L&amp;Z&amp;F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8"/>
  <sheetViews>
    <sheetView workbookViewId="0">
      <selection activeCell="R15" sqref="R15"/>
    </sheetView>
  </sheetViews>
  <sheetFormatPr defaultRowHeight="12.75"/>
  <cols>
    <col min="1" max="1" width="12" customWidth="1"/>
    <col min="2" max="2" width="0" hidden="1" customWidth="1"/>
    <col min="6" max="6" width="0" hidden="1" customWidth="1"/>
    <col min="7" max="7" width="15" customWidth="1"/>
    <col min="9" max="9" width="17.7109375" customWidth="1"/>
    <col min="10" max="10" width="11.85546875" customWidth="1"/>
    <col min="12" max="12" width="12" customWidth="1"/>
    <col min="14" max="17" width="9.140625" customWidth="1"/>
    <col min="18" max="18" width="10.7109375" customWidth="1"/>
  </cols>
  <sheetData>
    <row r="1" spans="1:18" s="111" customFormat="1" ht="38.25">
      <c r="A1" s="316" t="s">
        <v>1236</v>
      </c>
      <c r="B1" s="317" t="s">
        <v>1178</v>
      </c>
      <c r="C1" s="318" t="s">
        <v>91</v>
      </c>
      <c r="D1" s="318" t="s">
        <v>96</v>
      </c>
      <c r="E1" s="318" t="s">
        <v>90</v>
      </c>
      <c r="F1" s="318" t="s">
        <v>89</v>
      </c>
      <c r="G1" s="318" t="s">
        <v>88</v>
      </c>
      <c r="H1" s="319" t="s">
        <v>607</v>
      </c>
      <c r="I1" s="318" t="s">
        <v>718</v>
      </c>
      <c r="J1" s="320" t="s">
        <v>1833</v>
      </c>
      <c r="K1" s="320" t="s">
        <v>1834</v>
      </c>
      <c r="L1" s="320" t="s">
        <v>1111</v>
      </c>
      <c r="M1" s="321" t="s">
        <v>1024</v>
      </c>
      <c r="N1" s="322" t="s">
        <v>1838</v>
      </c>
      <c r="O1" s="322" t="s">
        <v>1839</v>
      </c>
      <c r="P1" s="322" t="s">
        <v>1840</v>
      </c>
      <c r="Q1" s="322" t="s">
        <v>1841</v>
      </c>
      <c r="R1" s="323" t="s">
        <v>2098</v>
      </c>
    </row>
    <row r="2" spans="1:18" s="37" customFormat="1" ht="45">
      <c r="A2" s="324" t="s">
        <v>1106</v>
      </c>
      <c r="B2" s="317" t="s">
        <v>1878</v>
      </c>
      <c r="C2" s="325">
        <v>102</v>
      </c>
      <c r="D2" s="325">
        <v>145</v>
      </c>
      <c r="E2" s="326">
        <v>0.59097222222222223</v>
      </c>
      <c r="F2" s="326">
        <v>0.60277777777777775</v>
      </c>
      <c r="G2" s="325" t="s">
        <v>667</v>
      </c>
      <c r="H2" s="327">
        <v>8</v>
      </c>
      <c r="I2" s="328" t="s">
        <v>727</v>
      </c>
      <c r="J2" s="329">
        <v>44830</v>
      </c>
      <c r="K2" s="329">
        <v>45086</v>
      </c>
      <c r="L2" s="330" t="s">
        <v>1176</v>
      </c>
      <c r="M2" s="331">
        <v>45</v>
      </c>
      <c r="N2" s="332">
        <v>-6</v>
      </c>
      <c r="O2" s="333"/>
      <c r="P2" s="333"/>
      <c r="Q2" s="333"/>
      <c r="R2" s="331">
        <f>N2*M2</f>
        <v>-270</v>
      </c>
    </row>
    <row r="3" spans="1:18" s="37" customFormat="1" ht="45">
      <c r="A3" s="324" t="s">
        <v>2054</v>
      </c>
      <c r="B3" s="317" t="s">
        <v>1878</v>
      </c>
      <c r="C3" s="325">
        <v>625</v>
      </c>
      <c r="D3" s="334">
        <v>581</v>
      </c>
      <c r="E3" s="326">
        <v>0.29791666666666666</v>
      </c>
      <c r="F3" s="326">
        <v>0.3</v>
      </c>
      <c r="G3" s="325" t="s">
        <v>1231</v>
      </c>
      <c r="H3" s="327">
        <v>1</v>
      </c>
      <c r="I3" s="328" t="s">
        <v>1227</v>
      </c>
      <c r="J3" s="329">
        <v>44831</v>
      </c>
      <c r="K3" s="329">
        <v>44865</v>
      </c>
      <c r="L3" s="330" t="s">
        <v>1114</v>
      </c>
      <c r="M3" s="331">
        <f>3*H3</f>
        <v>3</v>
      </c>
      <c r="N3" s="332">
        <v>-11</v>
      </c>
      <c r="O3" s="333"/>
      <c r="P3" s="333"/>
      <c r="Q3" s="333"/>
      <c r="R3" s="331">
        <f t="shared" ref="R3:R4" si="0">N3*M3</f>
        <v>-33</v>
      </c>
    </row>
    <row r="4" spans="1:18" s="37" customFormat="1" ht="38.25">
      <c r="A4" s="324" t="s">
        <v>1109</v>
      </c>
      <c r="B4" s="317" t="s">
        <v>1878</v>
      </c>
      <c r="C4" s="325">
        <v>210</v>
      </c>
      <c r="D4" s="335">
        <v>458</v>
      </c>
      <c r="E4" s="326">
        <v>0.6875</v>
      </c>
      <c r="F4" s="326">
        <v>0.70763888888888893</v>
      </c>
      <c r="G4" s="325" t="s">
        <v>277</v>
      </c>
      <c r="H4" s="327">
        <v>11</v>
      </c>
      <c r="I4" s="328" t="s">
        <v>744</v>
      </c>
      <c r="J4" s="329">
        <v>44832</v>
      </c>
      <c r="K4" s="329">
        <v>45086</v>
      </c>
      <c r="L4" s="330" t="s">
        <v>1177</v>
      </c>
      <c r="M4" s="331">
        <f>3*H4</f>
        <v>33</v>
      </c>
      <c r="N4" s="336">
        <v>-2</v>
      </c>
      <c r="O4" s="333"/>
      <c r="P4" s="333"/>
      <c r="Q4" s="333"/>
      <c r="R4" s="331">
        <f t="shared" si="0"/>
        <v>-66</v>
      </c>
    </row>
    <row r="5" spans="1:18" s="37" customFormat="1" ht="33.75">
      <c r="A5" s="324" t="s">
        <v>1877</v>
      </c>
      <c r="B5" s="317" t="s">
        <v>1878</v>
      </c>
      <c r="C5" s="325">
        <v>645</v>
      </c>
      <c r="D5" s="334">
        <v>682</v>
      </c>
      <c r="E5" s="326">
        <v>0.5541666666666667</v>
      </c>
      <c r="F5" s="326">
        <v>0.58333333333333337</v>
      </c>
      <c r="G5" s="325" t="s">
        <v>1321</v>
      </c>
      <c r="H5" s="327">
        <v>31.5</v>
      </c>
      <c r="I5" s="328" t="s">
        <v>788</v>
      </c>
      <c r="J5" s="329">
        <v>44845</v>
      </c>
      <c r="K5" s="329">
        <v>45086</v>
      </c>
      <c r="L5" s="330" t="s">
        <v>1134</v>
      </c>
      <c r="M5" s="331">
        <f>3*H5</f>
        <v>94.5</v>
      </c>
      <c r="N5" s="333"/>
      <c r="O5" s="337">
        <v>-2</v>
      </c>
      <c r="P5" s="333"/>
      <c r="Q5" s="333"/>
      <c r="R5" s="331">
        <f>O5*M5</f>
        <v>-189</v>
      </c>
    </row>
    <row r="6" spans="1:18" s="37" customFormat="1" ht="51">
      <c r="A6" s="324" t="s">
        <v>1903</v>
      </c>
      <c r="B6" s="317" t="s">
        <v>1878</v>
      </c>
      <c r="C6" s="325">
        <v>211</v>
      </c>
      <c r="D6" s="325">
        <v>8</v>
      </c>
      <c r="E6" s="326">
        <v>0.26944444444444443</v>
      </c>
      <c r="F6" s="326">
        <v>0.28472222222222221</v>
      </c>
      <c r="G6" s="325" t="s">
        <v>1107</v>
      </c>
      <c r="H6" s="325">
        <v>1.3</v>
      </c>
      <c r="I6" s="328" t="s">
        <v>752</v>
      </c>
      <c r="J6" s="329">
        <v>44816</v>
      </c>
      <c r="K6" s="329">
        <v>44834</v>
      </c>
      <c r="L6" s="330" t="s">
        <v>1114</v>
      </c>
      <c r="M6" s="331">
        <f>3*H6</f>
        <v>3.9000000000000004</v>
      </c>
      <c r="N6" s="333"/>
      <c r="O6" s="333"/>
      <c r="P6" s="338">
        <v>-21</v>
      </c>
      <c r="Q6" s="338">
        <v>-15</v>
      </c>
      <c r="R6" s="331">
        <f>(P6+Q6)*M6</f>
        <v>-140.4</v>
      </c>
    </row>
    <row r="8" spans="1:18">
      <c r="R8" s="32">
        <f>SUM(R2:R7)</f>
        <v>-698.4</v>
      </c>
    </row>
  </sheetData>
  <conditionalFormatting sqref="L3 J2:K3">
    <cfRule type="expression" dxfId="4" priority="13">
      <formula>J2=#REF!</formula>
    </cfRule>
  </conditionalFormatting>
  <conditionalFormatting sqref="L4">
    <cfRule type="expression" dxfId="3" priority="9">
      <formula>L4=#REF!</formula>
    </cfRule>
  </conditionalFormatting>
  <conditionalFormatting sqref="J4:K4">
    <cfRule type="expression" dxfId="2" priority="8">
      <formula>J4=#REF!</formula>
    </cfRule>
  </conditionalFormatting>
  <conditionalFormatting sqref="J5:K5">
    <cfRule type="expression" dxfId="1" priority="4">
      <formula>J5=#REF!</formula>
    </cfRule>
  </conditionalFormatting>
  <conditionalFormatting sqref="J6:K6">
    <cfRule type="expression" dxfId="0" priority="3">
      <formula>J6=#REF!</formula>
    </cfRule>
  </conditionalFormatting>
  <pageMargins left="0.70866141732283472" right="0.70866141732283472" top="0.74803149606299213" bottom="0.74803149606299213" header="0.31496062992125984" footer="0.31496062992125984"/>
  <pageSetup paperSize="9" scale="80" orientation="landscape" r:id="rId1"/>
  <headerFooter>
    <oddHeader>&amp;L&amp;Z&amp;F</oddHeader>
    <oddFooter>&amp;L&amp;A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8</vt:i4>
      </vt:variant>
      <vt:variant>
        <vt:lpstr>Intervalli denominati</vt:lpstr>
      </vt:variant>
      <vt:variant>
        <vt:i4>3</vt:i4>
      </vt:variant>
    </vt:vector>
  </HeadingPairs>
  <TitlesOfParts>
    <vt:vector size="11" baseType="lpstr">
      <vt:lpstr>Extraurbano </vt:lpstr>
      <vt:lpstr>Forfait</vt:lpstr>
      <vt:lpstr>Integrazioni</vt:lpstr>
      <vt:lpstr>frequenze appalto</vt:lpstr>
      <vt:lpstr>giorni</vt:lpstr>
      <vt:lpstr>TOTALI EURO</vt:lpstr>
      <vt:lpstr>TOTALI KM</vt:lpstr>
      <vt:lpstr>note d'accredito dicembre</vt:lpstr>
      <vt:lpstr>'Extraurbano '!Area_stampa</vt:lpstr>
      <vt:lpstr>'Extraurbano '!Titoli_stampa</vt:lpstr>
      <vt:lpstr>ToCopy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Adriano_D</dc:creator>
  <cp:lastModifiedBy>Olimpia Kanellatu</cp:lastModifiedBy>
  <cp:lastPrinted>2023-01-24T13:13:59Z</cp:lastPrinted>
  <dcterms:created xsi:type="dcterms:W3CDTF">2016-10-12T15:26:52Z</dcterms:created>
  <dcterms:modified xsi:type="dcterms:W3CDTF">2023-01-24T14:21:08Z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opyToPublic_1" visible="true" label="Aggiorna Server" imageMso="SourceControlCheckOut" onAction="CopyToPublic"/>
      </mso:documentControls>
    </mso:qat>
  </mso:ribbon>
</mso:customUI>
</file>